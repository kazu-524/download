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00_はじめに" sheetId="1" state="visible" r:id="rId1"/>
    <sheet name="01_設定" sheetId="2" state="visible" r:id="rId2"/>
    <sheet name="02_ダッシュボード" sheetId="3" state="visible" r:id="rId3"/>
    <sheet name="03_プロンプト" sheetId="4" state="visible" r:id="rId4"/>
    <sheet name="04_調査結果" sheetId="5" state="visible" r:id="rId5"/>
    <sheet name="05_タスク一覧（提出用）" sheetId="6" state="visible" r:id="rId6"/>
    <sheet name="06_顧客別集計" sheetId="7" state="visible" r:id="rId7"/>
    <sheet name="M1_類型マスタ" sheetId="8" state="visible" r:id="rId8"/>
    <sheet name="M2_区分マスタ" sheetId="9" state="visible" r:id="rId9"/>
  </sheets>
  <definedNames/>
  <calcPr calcId="124519" fullCalcOnLoad="1"/>
</workbook>
</file>

<file path=xl/styles.xml><?xml version="1.0" encoding="utf-8"?>
<styleSheet xmlns="http://schemas.openxmlformats.org/spreadsheetml/2006/main">
  <numFmts count="4">
    <numFmt numFmtId="164" formatCode="yyyy/mm/dd"/>
    <numFmt numFmtId="165" formatCode="yyyy/mm/dd hh:mm"/>
    <numFmt numFmtId="166" formatCode="yyyy/mm"/>
    <numFmt numFmtId="167" formatCode="0.0"/>
  </numFmts>
  <fonts count="14">
    <font>
      <name val="Calibri"/>
      <family val="2"/>
      <color theme="1"/>
      <sz val="11"/>
      <scheme val="minor"/>
    </font>
    <font>
      <name val="Meiryo UI"/>
      <b val="1"/>
      <color rgb="001F4E78"/>
      <sz val="14"/>
    </font>
    <font>
      <name val="Meiryo UI"/>
      <color rgb="00595959"/>
      <sz val="9"/>
    </font>
    <font>
      <name val="Meiryo UI"/>
      <b val="1"/>
      <color rgb="00FFFFFF"/>
      <sz val="10"/>
    </font>
    <font>
      <name val="Meiryo UI"/>
      <color rgb="00808080"/>
      <sz val="9"/>
    </font>
    <font>
      <name val="Meiryo UI"/>
      <color rgb="00000000"/>
      <sz val="10"/>
    </font>
    <font>
      <name val="Meiryo UI"/>
      <b val="1"/>
      <color rgb="001F4E78"/>
      <sz val="11"/>
    </font>
    <font>
      <name val="Meiryo UI"/>
      <b val="1"/>
      <color rgb="00000000"/>
      <sz val="10"/>
    </font>
    <font>
      <name val="Meiryo UI"/>
      <i val="1"/>
      <color rgb="00C00000"/>
      <sz val="9"/>
    </font>
    <font>
      <name val="Meiryo UI"/>
      <b val="1"/>
      <color rgb="001F4E78"/>
      <sz val="12"/>
    </font>
    <font>
      <name val="Meiryo UI"/>
      <b val="1"/>
      <color rgb="00C00000"/>
      <sz val="11"/>
    </font>
    <font>
      <name val="Meiryo UI"/>
      <color rgb="00000000"/>
      <sz val="9"/>
    </font>
    <font>
      <name val="Meiryo UI"/>
      <b val="1"/>
      <color rgb="001F4E78"/>
      <sz val="16"/>
    </font>
    <font>
      <name val="Meiryo UI"/>
      <b val="1"/>
      <color rgb="00FFFFFF"/>
      <sz val="12"/>
    </font>
  </fonts>
  <fills count="8">
    <fill>
      <patternFill/>
    </fill>
    <fill>
      <patternFill patternType="gray125"/>
    </fill>
    <fill>
      <patternFill patternType="solid">
        <fgColor rgb="001F4E78"/>
        <bgColor rgb="001F4E78"/>
      </patternFill>
    </fill>
    <fill>
      <patternFill patternType="solid">
        <fgColor rgb="00BF8F00"/>
        <bgColor rgb="00BF8F00"/>
      </patternFill>
    </fill>
    <fill>
      <patternFill patternType="solid">
        <fgColor rgb="00FFF2CC"/>
        <bgColor rgb="00FFF2CC"/>
      </patternFill>
    </fill>
    <fill>
      <patternFill patternType="solid">
        <fgColor rgb="00F2F2F2"/>
        <bgColor rgb="00F2F2F2"/>
      </patternFill>
    </fill>
    <fill>
      <patternFill patternType="solid">
        <fgColor rgb="00548235"/>
        <bgColor rgb="00548235"/>
      </patternFill>
    </fill>
    <fill>
      <patternFill patternType="solid">
        <fgColor rgb="00808080"/>
        <b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40">
    <xf numFmtId="0" fontId="0" fillId="0" borderId="0" pivotButton="0" quotePrefix="0" xfId="0"/>
    <xf numFmtId="0" fontId="12" fillId="0" borderId="0" pivotButton="0" quotePrefix="0" xfId="0"/>
    <xf numFmtId="0" fontId="2" fillId="0" borderId="0" pivotButton="0" quotePrefix="0" xfId="0"/>
    <xf numFmtId="0" fontId="5" fillId="0" borderId="0" applyAlignment="1" pivotButton="0" quotePrefix="0" xfId="0">
      <alignment vertical="top" wrapText="1"/>
    </xf>
    <xf numFmtId="0" fontId="13" fillId="2" borderId="0" pivotButton="0" quotePrefix="0" xfId="0"/>
    <xf numFmtId="0" fontId="1" fillId="0" borderId="0" pivotButton="0" quotePrefix="0" xfId="0"/>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5" fillId="0" borderId="1" pivotButton="0" quotePrefix="0" xfId="0"/>
    <xf numFmtId="0" fontId="5" fillId="4" borderId="1" pivotButton="0" quotePrefix="0" xfId="0"/>
    <xf numFmtId="164" fontId="5" fillId="4" borderId="1" pivotButton="0" quotePrefix="0" xfId="0"/>
    <xf numFmtId="9" fontId="5" fillId="4" borderId="1" pivotButton="0" quotePrefix="0" xfId="0"/>
    <xf numFmtId="0" fontId="6" fillId="0" borderId="0" pivotButton="0" quotePrefix="0" xfId="0"/>
    <xf numFmtId="165" fontId="5" fillId="4" borderId="1" pivotButton="0" quotePrefix="0" xfId="0"/>
    <xf numFmtId="164" fontId="5" fillId="5" borderId="1" pivotButton="0" quotePrefix="0" xfId="0"/>
    <xf numFmtId="1" fontId="5" fillId="5" borderId="1" pivotButton="0" quotePrefix="0" xfId="0"/>
    <xf numFmtId="9" fontId="5" fillId="5" borderId="1" pivotButton="0" quotePrefix="0" xfId="0"/>
    <xf numFmtId="0" fontId="5" fillId="5" borderId="1" pivotButton="0" quotePrefix="0" xfId="0"/>
    <xf numFmtId="0" fontId="7" fillId="0" borderId="1" pivotButton="0" quotePrefix="0" xfId="0"/>
    <xf numFmtId="0" fontId="0" fillId="0" borderId="4" pivotButton="0" quotePrefix="0" xfId="0"/>
    <xf numFmtId="0" fontId="0" fillId="0" borderId="5" pivotButton="0" quotePrefix="0" xfId="0"/>
    <xf numFmtId="0" fontId="9" fillId="0" borderId="0" pivotButton="0" quotePrefix="0" xfId="0"/>
    <xf numFmtId="0" fontId="10" fillId="0" borderId="1" applyAlignment="1" pivotButton="0" quotePrefix="0" xfId="0">
      <alignment vertical="top" wrapText="1"/>
    </xf>
    <xf numFmtId="0" fontId="5" fillId="0" borderId="1" applyAlignment="1" pivotButton="0" quotePrefix="0" xfId="0">
      <alignment vertical="top" wrapText="1"/>
    </xf>
    <xf numFmtId="0" fontId="11" fillId="0" borderId="0" pivotButton="0" quotePrefix="0" xfId="0"/>
    <xf numFmtId="9" fontId="5" fillId="0" borderId="1" pivotButton="0" quotePrefix="0" xfId="0"/>
    <xf numFmtId="167" fontId="5" fillId="0" borderId="1" pivotButton="0" quotePrefix="0" xfId="0"/>
    <xf numFmtId="0" fontId="5" fillId="4" borderId="1" applyAlignment="1" pivotButton="0" quotePrefix="0" xfId="0">
      <alignment vertical="top" wrapText="1"/>
    </xf>
    <xf numFmtId="0" fontId="3" fillId="6" borderId="1" applyAlignment="1" pivotButton="0" quotePrefix="0" xfId="0">
      <alignment horizontal="center" vertical="center" wrapText="1"/>
    </xf>
    <xf numFmtId="0" fontId="3" fillId="7" borderId="1" applyAlignment="1" pivotButton="0" quotePrefix="0" xfId="0">
      <alignment horizontal="center" vertical="center" wrapText="1"/>
    </xf>
    <xf numFmtId="0" fontId="8" fillId="0" borderId="0" pivotButton="0" quotePrefix="0" xfId="0"/>
    <xf numFmtId="0" fontId="0" fillId="4" borderId="0" pivotButton="0" quotePrefix="0" xfId="0"/>
    <xf numFmtId="167" fontId="0" fillId="4" borderId="0" pivotButton="0" quotePrefix="0" xfId="0"/>
    <xf numFmtId="167" fontId="0" fillId="0" borderId="0" pivotButton="0" quotePrefix="0" xfId="0"/>
    <xf numFmtId="0" fontId="4" fillId="0" borderId="0" pivotButton="0" quotePrefix="0" xfId="0"/>
    <xf numFmtId="166" fontId="4" fillId="0" borderId="0" pivotButton="0" quotePrefix="0" xfId="0"/>
    <xf numFmtId="164" fontId="0" fillId="0" borderId="0" pivotButton="0" quotePrefix="0" xfId="0"/>
    <xf numFmtId="166" fontId="0" fillId="0" borderId="0" pivotButton="0" quotePrefix="0" xfId="0"/>
    <xf numFmtId="0" fontId="7" fillId="0" borderId="0" pivotButton="0" quotePrefix="0" xfId="0"/>
    <xf numFmtId="0" fontId="5" fillId="0" borderId="0" pivotButton="0" quotePrefix="0" xfId="0"/>
  </cellXfs>
  <cellStyles count="1">
    <cellStyle name="Normal" xfId="0" builtinId="0" hidden="0"/>
  </cellStyles>
  <dxfs count="11">
    <dxf>
      <fill>
        <patternFill patternType="solid">
          <fgColor rgb="00FFC7CE"/>
          <bgColor rgb="00FFC7CE"/>
        </patternFill>
      </fill>
    </dxf>
    <dxf>
      <fill>
        <patternFill patternType="solid">
          <fgColor rgb="00FFEB9C"/>
          <bgColor rgb="00FFEB9C"/>
        </patternFill>
      </fill>
    </dxf>
    <dxf>
      <font>
        <color rgb="00006100"/>
      </font>
    </dxf>
    <dxf>
      <font>
        <color rgb="00A6A6A6"/>
      </font>
    </dxf>
    <dxf>
      <fill>
        <patternFill patternType="solid">
          <fgColor rgb="00FCE4D6"/>
          <bgColor rgb="00FCE4D6"/>
        </patternFill>
      </fill>
    </dxf>
    <dxf>
      <font>
        <strike val="1"/>
        <color rgb="00A6A6A6"/>
      </font>
    </dxf>
    <dxf>
      <fill>
        <patternFill patternType="solid">
          <fgColor rgb="00BDD7EE"/>
          <bgColor rgb="00BDD7EE"/>
        </patternFill>
      </fill>
    </dxf>
    <dxf>
      <fill>
        <patternFill patternType="solid">
          <fgColor rgb="00C6EFCE"/>
          <bgColor rgb="00C6EFCE"/>
        </patternFill>
      </fill>
    </dxf>
    <dxf>
      <fill>
        <patternFill patternType="solid">
          <fgColor rgb="00E2EFDA"/>
          <bgColor rgb="00E2EFDA"/>
        </patternFill>
      </fill>
    </dxf>
    <dxf>
      <fill>
        <patternFill patternType="solid">
          <fgColor rgb="00F8CBAD"/>
          <bgColor rgb="00F8CBAD"/>
        </patternFill>
      </fill>
    </dxf>
    <dxf>
      <fill>
        <patternFill patternType="solid">
          <fgColor rgb="00FFF2CC"/>
          <bgColor rgb="00FFF2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4E78"/>
    <outlinePr summaryBelow="1" summaryRight="1"/>
    <pageSetUpPr/>
  </sheetPr>
  <dimension ref="B1:B46"/>
  <sheetViews>
    <sheetView showGridLines="0" workbookViewId="0">
      <selection activeCell="A1" sqref="A1"/>
    </sheetView>
  </sheetViews>
  <sheetFormatPr baseColWidth="8" defaultRowHeight="15"/>
  <cols>
    <col width="3" customWidth="1" min="1" max="1"/>
    <col width="150" customWidth="1" min="2" max="2"/>
  </cols>
  <sheetData>
    <row r="1" ht="28" customHeight="1">
      <c r="B1" s="1" t="inlineStr">
        <is>
          <t>暗黙タスク棚卸し台帳 v3.4（Researcher 1回版）</t>
        </is>
      </c>
    </row>
    <row r="2">
      <c r="B2" s="2" t="inlineStr">
        <is>
          <t>対象：管理職（不特定多数への配布を想定）　／　人の操作：Researcher への依頼1回・貼り付け1回・本人確認　／　待ち時間：5〜45分</t>
        </is>
      </c>
    </row>
    <row r="3">
      <c r="B3" s="3" t="inlineStr"/>
    </row>
    <row r="4" ht="20" customHeight="1">
      <c r="B4" s="4" t="inlineStr">
        <is>
          <t>1. この台帳でやること</t>
        </is>
      </c>
    </row>
    <row r="5" ht="30" customHeight="1">
      <c r="B5" s="3" t="inlineStr">
        <is>
          <t>・Microsoft 365 Copilot の Researcher に1回だけ依頼し、保存期間（既定14か月）分のメール・Teams チャット・会議から、調整・連絡・確認などで時間が過ぎていく「暗黙のタスク」を洗い出す。</t>
        </is>
      </c>
    </row>
    <row r="6" ht="30" customHeight="1">
      <c r="B6" s="3" t="inlineStr">
        <is>
          <t>・Researcher は6つの観点を順番に調べ、業務区分（顧客案件・社内・庶務など）、案件・対象名、タスク名、他の人が読んでもわかる詳細、代表的なやり取り、頻度と時間の目安、任せやすさの採点（A1〜A7）までを1つの表で返す。</t>
        </is>
      </c>
    </row>
    <row r="7" ht="30" customHeight="1">
      <c r="B7" s="3" t="inlineStr">
        <is>
          <t>・台帳は貼り付けた表を自動でチェックし、月あたりの時間と「自動化／オフショア／ニアショア／社内」の区分を計算する。提出するのは 05_タスク一覧（提出用）。</t>
        </is>
      </c>
    </row>
    <row r="8" ht="30" customHeight="1">
      <c r="B8" s="3" t="inlineStr">
        <is>
          <t>・06_顧客別集計で、顧客ごとのタスク数・時間・任せられる候補の時間が見られる。会社名の表記ゆれは自動でそろえ、そろわないものだけ本人が統一後の名前を入れる。</t>
        </is>
      </c>
    </row>
    <row r="9" ht="15" customHeight="1">
      <c r="B9" s="3" t="inlineStr">
        <is>
          <t>・この台帳と提出物は社内でのみ利用する前提のため、顧客名・案件名はそのまま記載する（人名・メールアドレス・金額は書かない）。</t>
        </is>
      </c>
    </row>
    <row r="10" ht="30" customHeight="1">
      <c r="B10" s="3" t="inlineStr">
        <is>
          <t>・分類は3つある。業務区分＝どの仕事のためか（顧客案件・社内・庶務など）／類型＝どんな種類の手間か（日程調整・催促・取りまとめなど）／観点＝Researcher がどの切り口で探したか（漏れの確認用）。</t>
        </is>
      </c>
    </row>
    <row r="11">
      <c r="B11" s="3" t="inlineStr"/>
    </row>
    <row r="12" ht="20" customHeight="1">
      <c r="B12" s="4" t="inlineStr">
        <is>
          <t>2. 手順（02_ダッシュボードの「次にやること」が自動で切り替わる）</t>
        </is>
      </c>
    </row>
    <row r="13" ht="15" customHeight="1">
      <c r="B13" s="3" t="inlineStr">
        <is>
          <t>① 02_ダッシュボードの「このセルをコピー」を選んでコピーする（Ctrl+C）</t>
        </is>
      </c>
    </row>
    <row r="14" ht="30" customHeight="1">
      <c r="B14" s="3" t="inlineStr">
        <is>
          <t>② Microsoft 365 Copilot で Researcher を開き、新しいチャットに貼り付けて送る。調べる範囲を選べる場合は「メール」「会議」「チャット」を選び、Web は外す</t>
        </is>
      </c>
    </row>
    <row r="15" ht="15" customHeight="1">
      <c r="B15" s="3" t="inlineStr">
        <is>
          <t>③ 終わるまで待つ（5〜45分。ほかの仕事をしていてよい）。確認の質問が来たら「指示どおりに進めてください」と返す</t>
        </is>
      </c>
    </row>
    <row r="16" ht="15" customHeight="1">
      <c r="B16" s="3" t="inlineStr">
        <is>
          <t>④ 回答の表を見出し行ごとコピーし、04_調査結果の A5 から下の最初の空き行に貼り付ける</t>
        </is>
      </c>
    </row>
    <row r="17" ht="15" customHeight="1">
      <c r="B17" s="3" t="inlineStr">
        <is>
          <t>⑤ 表が途中で終わっていれば、ダッシュボードが「続きプロンプト」に切り替わる。同じチャットに送り、続きを④と同じように貼る</t>
        </is>
      </c>
    </row>
    <row r="18" ht="30" customHeight="1">
      <c r="B18" s="3" t="inlineStr">
        <is>
          <t>⑥ 本人確認：明らかな誤りや重複を「除外」にし、実感と大きく違うものだけ回数・時間を補正する。01_設定の実行日を入れ、「本人確認」を「完了」にする</t>
        </is>
      </c>
    </row>
    <row r="19" ht="15" customHeight="1">
      <c r="B19" s="3" t="inlineStr">
        <is>
          <t>⑦ 提出：05_タスク一覧（提出用）を提出し、01_設定の「提出状況」を「提出済み」にする</t>
        </is>
      </c>
    </row>
    <row r="20">
      <c r="B20" s="3" t="inlineStr"/>
    </row>
    <row r="21" ht="20" customHeight="1">
      <c r="B21" s="4" t="inlineStr">
        <is>
          <t>3. 判定列（04_調査結果 AB列）の見方</t>
        </is>
      </c>
    </row>
    <row r="22" ht="15" customHeight="1">
      <c r="B22" s="3" t="inlineStr">
        <is>
          <t>・OK：集計の対象になる</t>
        </is>
      </c>
    </row>
    <row r="23" ht="15" customHeight="1">
      <c r="B23" s="3" t="inlineStr">
        <is>
          <t>・（見出し行）（終わりの印）（続きありの印）×表以外の行：集計されない。消さなくてよい</t>
        </is>
      </c>
    </row>
    <row r="24" ht="15" customHeight="1">
      <c r="B24" s="3" t="inlineStr">
        <is>
          <t>・△〜：値を直すと集計の対象になる。直さなければその行が集計されないだけで、他の行には影響しない</t>
        </is>
      </c>
    </row>
    <row r="25" ht="30" customHeight="1">
      <c r="B25" s="3" t="inlineStr">
        <is>
          <t>・類型が「T02 日程・会議調整」のように名前付きでも、先頭のコードで読み取る。回数が「週1回」などでも主な書き方は自動で月あたりに読み替える（M2_区分マスタ参照）</t>
        </is>
      </c>
    </row>
    <row r="26">
      <c r="B26" s="3" t="inlineStr"/>
    </row>
    <row r="27" ht="20" customHeight="1">
      <c r="B27" s="4" t="inlineStr">
        <is>
          <t>4. うまくいかないとき</t>
        </is>
      </c>
    </row>
    <row r="28" ht="15" customHeight="1">
      <c r="B28" s="3" t="inlineStr">
        <is>
          <t>・表にならず文章で返ってきた／観点ごとに表が分かれた／列の並びが違う：03_プロンプトの「出し直し」を同じチャットに送る</t>
        </is>
      </c>
    </row>
    <row r="29" ht="15" customHeight="1">
      <c r="B29" s="3" t="inlineStr">
        <is>
          <t>・表は全部出ているのに「終わりの印」がない：01_設定の「調査の完了」を「完了」にする</t>
        </is>
      </c>
    </row>
    <row r="30" ht="30" customHeight="1">
      <c r="B30" s="3" t="inlineStr">
        <is>
          <t>・タスクが極端に少ない、観点が0件ばかり：Researcher で調べる範囲にメール・チャット・会議が含まれているか確認し、新しいチャットでやり直す</t>
        </is>
      </c>
    </row>
    <row r="31" ht="30" customHeight="1">
      <c r="B31" s="3" t="inlineStr">
        <is>
          <t>・Researcher が使えない（会社で無効など）：同じ文面を通常の Copilot Chat（職場モード）に送っても動く。ただし調べる深さは浅くなる</t>
        </is>
      </c>
    </row>
    <row r="32">
      <c r="B32" s="3" t="inlineStr"/>
    </row>
    <row r="33" ht="20" customHeight="1">
      <c r="B33" s="4" t="inlineStr">
        <is>
          <t>5. 知っておくこと（Researcher の性質）</t>
        </is>
      </c>
    </row>
    <row r="34" ht="30" customHeight="1">
      <c r="B34" s="3" t="inlineStr">
        <is>
          <t>・Researcher はメールを全件読むのではなく、検索を繰り返して新しい手がかりが出なくなったところで止める。主な暗黙のタスクの洗い出しには向くが、回数・時間は目安として扱う。</t>
        </is>
      </c>
    </row>
    <row r="35" ht="30" customHeight="1">
      <c r="B35" s="3" t="inlineStr">
        <is>
          <t>・やり取りの量が多い業務ほど拾われやすく、静かに処理している業務は漏れやすい。観点を6つに分けて順番に調べさせることで補っている。「観点別のタスク数」が0の観点は漏れの可能性がある。</t>
        </is>
      </c>
    </row>
    <row r="36" ht="15" customHeight="1">
      <c r="B36" s="3" t="inlineStr">
        <is>
          <t>・根拠が1件しかないタスクは、思い込みや作り話が混じる可能性がある。「要確認」列で目印を付けている。</t>
        </is>
      </c>
    </row>
    <row r="37" ht="30" customHeight="1">
      <c r="B37" s="3" t="inlineStr">
        <is>
          <t>・結果が直近に偏ることがある。ダッシュボードの「直近に偏っている割合」が赤くなったら注意。気になる場合だけ、03_プロンプトの R2（前半の追加調査・任意）を使う。</t>
        </is>
      </c>
    </row>
    <row r="38" ht="15" customHeight="1">
      <c r="B38" s="3" t="inlineStr">
        <is>
          <t>・Researcher は1人あたり月25回まで。この台帳では通常1回（続きや出し直しをしても数回）で済む。</t>
        </is>
      </c>
    </row>
    <row r="39">
      <c r="B39" s="3" t="inlineStr"/>
    </row>
    <row r="40" ht="20" customHeight="1">
      <c r="B40" s="4" t="inlineStr">
        <is>
          <t>6. 配布・集約する担当者へ</t>
        </is>
      </c>
    </row>
    <row r="41" ht="30" customHeight="1">
      <c r="B41" s="3" t="inlineStr">
        <is>
          <t>・配布するときは、ファイル名の先頭を実行者IDにする（例：MGR-0001_暗黙タスク棚卸し台帳.xlsx）。台帳はファイル名の先頭（最初の「_」の前）を実行者IDとして読み取るので、ファイルの中を書き換える必要はない。氏名は使わない。</t>
        </is>
      </c>
    </row>
    <row r="42" ht="30" customHeight="1">
      <c r="B42" s="3" t="inlineStr">
        <is>
          <t>・人数分のファイルを作るには、IDを1行に1つ書いた ids.txt を台帳と同じフォルダーに置き、Windows の PowerShell でそのフォルダーに移動して次の1行を実行する：</t>
        </is>
      </c>
    </row>
    <row r="43" ht="30" customHeight="1">
      <c r="B43" s="3" t="inlineStr">
        <is>
          <t xml:space="preserve">　Get-Content ids.txt | ForEach-Object { Copy-Item "実行者ID_暗黙タスク棚卸し台帳_v3.4.xlsx" "$($_)_暗黙タスク棚卸し台帳.xlsx" }</t>
        </is>
      </c>
    </row>
    <row r="44" ht="30" customHeight="1">
      <c r="B44" s="3" t="inlineStr">
        <is>
          <t>・回答者には、ファイル名を変えずに（または 02_ダッシュボードに出る推奨ファイル名で）提出してもらう。ダッシュボードの「ファイル名」が OK でなければ、先頭が実行者IDになっていない。</t>
        </is>
      </c>
    </row>
    <row r="45" ht="45" customHeight="1">
      <c r="B45" s="3" t="inlineStr">
        <is>
          <t>・集約：提出されたファイルを1つのフォルダーに集め、Excel の［データ］→［データの取得］→［ファイルから］→［フォルダーから］で「05_タスク一覧（提出用）」シートを結合する。各行に実行者ID・実行日・対象開始日・台帳の版が入っており、Power Query が付ける元のファイル名（Source.Name）でも回答者を判別できる。</t>
        </is>
      </c>
    </row>
    <row r="46" ht="15" customHeight="1">
      <c r="B46" s="3" t="inlineStr">
        <is>
          <t>・類型コード・採点基準・移管区分は全員共通なので、部署・役職をまたいで集計できる。調査の文面は 03_プロンプトの原本（黄色）で一括して直せる。</t>
        </is>
      </c>
    </row>
  </sheetData>
  <pageMargins left="0.75" right="0.75" top="1" bottom="1" header="0.5" footer="0.5"/>
</worksheet>
</file>

<file path=xl/worksheets/sheet2.xml><?xml version="1.0" encoding="utf-8"?>
<worksheet xmlns="http://schemas.openxmlformats.org/spreadsheetml/2006/main">
  <sheetPr>
    <tabColor rgb="00BF8F00"/>
    <outlinePr summaryBelow="1" summaryRight="1"/>
    <pageSetUpPr/>
  </sheetPr>
  <dimension ref="A1:D38"/>
  <sheetViews>
    <sheetView showGridLines="1" workbookViewId="0">
      <selection activeCell="A1" sqref="A1"/>
    </sheetView>
  </sheetViews>
  <sheetFormatPr baseColWidth="8" defaultRowHeight="15"/>
  <cols>
    <col width="2" customWidth="1" min="1" max="1"/>
    <col width="30" customWidth="1" min="2" max="2"/>
    <col width="22" customWidth="1" min="3" max="3"/>
    <col width="90" customWidth="1" min="4" max="4"/>
  </cols>
  <sheetData>
    <row r="1">
      <c r="A1" s="5" t="inlineStr">
        <is>
          <t>01_設定</t>
        </is>
      </c>
    </row>
    <row r="2">
      <c r="A2" s="2" t="inlineStr">
        <is>
          <t>黄色のセルだけを入力・選択する。灰色は自動計算。</t>
        </is>
      </c>
    </row>
    <row r="3" ht="30" customHeight="1">
      <c r="B3" s="6" t="inlineStr">
        <is>
          <t>項目</t>
        </is>
      </c>
      <c r="C3" s="7" t="inlineStr">
        <is>
          <t>値</t>
        </is>
      </c>
      <c r="D3" s="6" t="inlineStr">
        <is>
          <t>説明</t>
        </is>
      </c>
    </row>
    <row r="4">
      <c r="B4" s="8" t="inlineStr">
        <is>
          <t>実行者ID（匿名）</t>
        </is>
      </c>
      <c r="C4" s="9" t="n"/>
      <c r="D4" s="2" t="inlineStr">
        <is>
          <t>空欄なら、ファイル名の先頭（最初の「_」の前）を実行者IDとして使う。ファイル名と違うIDにしたいときだけ入力する。氏名は使わない。</t>
        </is>
      </c>
    </row>
    <row r="5">
      <c r="B5" s="8" t="inlineStr">
        <is>
          <t>部署区分</t>
        </is>
      </c>
      <c r="C5" s="9" t="inlineStr">
        <is>
          <t>企画・管理</t>
        </is>
      </c>
      <c r="D5" s="2" t="inlineStr">
        <is>
          <t>プルダウンから選ぶ。</t>
        </is>
      </c>
    </row>
    <row r="6">
      <c r="B6" s="8" t="inlineStr">
        <is>
          <t>役職区分</t>
        </is>
      </c>
      <c r="C6" s="9" t="inlineStr">
        <is>
          <t>課長級</t>
        </is>
      </c>
      <c r="D6" s="2" t="inlineStr">
        <is>
          <t>プルダウンから選ぶ。</t>
        </is>
      </c>
    </row>
    <row r="7">
      <c r="B7" s="8" t="inlineStr">
        <is>
          <t>実行日</t>
        </is>
      </c>
      <c r="C7" s="10" t="n"/>
      <c r="D7" s="2" t="inlineStr">
        <is>
          <t>Researcher を実行する（した）日。空欄の間は今日の日付が使われる。本人確認のときに日付を入れて固定する。</t>
        </is>
      </c>
    </row>
    <row r="8">
      <c r="B8" s="8" t="inlineStr">
        <is>
          <t>保存期間（月）</t>
        </is>
      </c>
      <c r="C8" s="9" t="n">
        <v>14</v>
      </c>
      <c r="D8" s="2" t="inlineStr">
        <is>
          <t>会社のメール・チャットの保存期間。対象期間の長さになる。</t>
        </is>
      </c>
    </row>
    <row r="9">
      <c r="B9" s="8" t="inlineStr">
        <is>
          <t>最大行数</t>
        </is>
      </c>
      <c r="C9" s="9" t="n">
        <v>50</v>
      </c>
      <c r="D9" s="2" t="inlineStr">
        <is>
          <t>Researcher に挙げてもらうタスクの上限。</t>
        </is>
      </c>
    </row>
    <row r="10">
      <c r="B10" s="8" t="inlineStr">
        <is>
          <t>直近とみなす月数</t>
        </is>
      </c>
      <c r="C10" s="9" t="n">
        <v>3</v>
      </c>
      <c r="D10" s="2" t="inlineStr">
        <is>
          <t>偏りチェック用。根拠の最初がこの月数以内のタスクを「直近」とみなす。</t>
        </is>
      </c>
    </row>
    <row r="11">
      <c r="B11" s="8" t="inlineStr">
        <is>
          <t>偏りの判定基準</t>
        </is>
      </c>
      <c r="C11" s="11" t="n">
        <v>0.7</v>
      </c>
      <c r="D11" s="2" t="inlineStr">
        <is>
          <t>直近のタスクがこの割合以上なら、ダッシュボードに注意を出す。</t>
        </is>
      </c>
    </row>
    <row r="12">
      <c r="B12" s="8" t="inlineStr">
        <is>
          <t>調査の完了</t>
        </is>
      </c>
      <c r="C12" s="9" t="inlineStr">
        <is>
          <t>自動</t>
        </is>
      </c>
      <c r="D12" s="2" t="inlineStr">
        <is>
          <t>通常は「自動」。終わりの印（##END##）がないが表は全部出ていると判断した場合だけ「完了」にする。</t>
        </is>
      </c>
    </row>
    <row r="13">
      <c r="B13" s="8" t="inlineStr">
        <is>
          <t>本人確認</t>
        </is>
      </c>
      <c r="C13" s="9" t="inlineStr">
        <is>
          <t>未完了</t>
        </is>
      </c>
      <c r="D13" s="2" t="inlineStr">
        <is>
          <t>本人確認が終わったら「完了」にする。</t>
        </is>
      </c>
    </row>
    <row r="14">
      <c r="B14" s="8" t="inlineStr">
        <is>
          <t>提出状況</t>
        </is>
      </c>
      <c r="C14" s="9" t="inlineStr">
        <is>
          <t>未提出</t>
        </is>
      </c>
      <c r="D14" s="2" t="inlineStr">
        <is>
          <t>提出したら「提出済み」にする。</t>
        </is>
      </c>
    </row>
    <row r="16">
      <c r="B16" s="12" t="inlineStr">
        <is>
          <t>■ 実行の記録（任意）</t>
        </is>
      </c>
    </row>
    <row r="17">
      <c r="B17" s="8" t="inlineStr">
        <is>
          <t>Researcher を実行した日時</t>
        </is>
      </c>
      <c r="C17" s="13" t="n"/>
    </row>
    <row r="18">
      <c r="B18" s="8" t="inlineStr">
        <is>
          <t>かかった時間（分）</t>
        </is>
      </c>
      <c r="C18" s="9" t="n"/>
    </row>
    <row r="19">
      <c r="B19" s="8" t="inlineStr">
        <is>
          <t>メモ</t>
        </is>
      </c>
      <c r="C19" s="9" t="n"/>
    </row>
    <row r="21">
      <c r="B21" s="12" t="inlineStr">
        <is>
          <t>■ 自動計算（触らない）</t>
        </is>
      </c>
    </row>
    <row r="22">
      <c r="B22" s="8" t="inlineStr">
        <is>
          <t>実行日（使用する値）</t>
        </is>
      </c>
      <c r="C22" s="14">
        <f>IF(C7="",TODAY(),C7)</f>
        <v/>
      </c>
    </row>
    <row r="23">
      <c r="B23" s="8" t="inlineStr">
        <is>
          <t>対象開始日</t>
        </is>
      </c>
      <c r="C23" s="14">
        <f>EDATE(C22,-C8)</f>
        <v/>
      </c>
    </row>
    <row r="24">
      <c r="B24" s="8" t="inlineStr">
        <is>
          <t>対象月数</t>
        </is>
      </c>
      <c r="C24" s="15">
        <f>ROUND((C22-C23)/30.44,0)</f>
        <v/>
      </c>
    </row>
    <row r="25">
      <c r="B25" s="8" t="inlineStr">
        <is>
          <t>前半の終了日</t>
        </is>
      </c>
      <c r="C25" s="14">
        <f>C23+INT((C22-C23)/2)</f>
        <v/>
      </c>
    </row>
    <row r="26">
      <c r="B26" s="8" t="inlineStr">
        <is>
          <t>直近の境界日</t>
        </is>
      </c>
      <c r="C26" s="14">
        <f>EDATE(C22,-C10)</f>
        <v/>
      </c>
    </row>
    <row r="27">
      <c r="B27" s="8" t="inlineStr">
        <is>
          <t>直近に偏っている割合（観点6を除く）</t>
        </is>
      </c>
      <c r="C27" s="16">
        <f>IFERROR(COUNTIFS('04_調査結果'!$AY$5:$AY$404,1,'04_調査結果'!$AO$5:$AO$404,"&lt;&gt;6")/(COUNTIFS('04_調査結果'!$AY$5:$AY$404,1,'04_調査結果'!$AO$5:$AO$404,"&lt;&gt;6")+COUNTIFS('04_調査結果'!$AY$5:$AY$404,0,'04_調査結果'!$AO$5:$AO$404,"&lt;&gt;6")),"")</f>
        <v/>
      </c>
    </row>
    <row r="28">
      <c r="B28" s="8" t="inlineStr">
        <is>
          <t>OKの件数</t>
        </is>
      </c>
      <c r="C28" s="17">
        <f>COUNTIF('04_調査結果'!$AB$5:$AB$404,"OK")</f>
        <v/>
      </c>
    </row>
    <row r="29">
      <c r="B29" s="8" t="inlineStr">
        <is>
          <t>終わりの印の数</t>
        </is>
      </c>
      <c r="C29" s="17">
        <f>COUNTIF('04_調査結果'!$AB$5:$AB$404,"（終わりの印）")</f>
        <v/>
      </c>
    </row>
    <row r="30">
      <c r="B30" s="8" t="inlineStr">
        <is>
          <t>状態コード</t>
        </is>
      </c>
      <c r="C30" s="17">
        <f>IF(C28=0,IF(C31="列がずれている可能性",6,1),IF(AND(C29=0,C12&lt;&gt;"完了"),2,IF(C13&lt;&gt;"完了",3,IF(C14&lt;&gt;"提出済み",4,5))))</f>
        <v/>
      </c>
    </row>
    <row r="31">
      <c r="B31" s="8" t="inlineStr">
        <is>
          <t>列の並びチェック</t>
        </is>
      </c>
      <c r="C31" s="17">
        <f>IF(ISNA(MATCH("調査ID",'04_調査結果'!$AM$5:$AM$404,0)),"見出し行なし（確認できない）",IF(AND(INDEX('04_調査結果'!$H$5:$H$404,MATCH("調査ID",'04_調査結果'!$AM$5:$AM$404,0))="類型",INDEX('04_調査結果'!$P$5:$P$404,MATCH("調査ID",'04_調査結果'!$AM$5:$AM$404,0))="根拠の件数",INDEX('04_調査結果'!$AA$5:$AA$404,MATCH("調査ID",'04_調査結果'!$AM$5:$AM$404,0))="任せるための前提条件"),"OK","列がずれている可能性"))</f>
        <v/>
      </c>
    </row>
    <row r="32">
      <c r="B32" s="8" t="inlineStr">
        <is>
          <t>台帳の版</t>
        </is>
      </c>
      <c r="C32" s="17" t="inlineStr">
        <is>
          <t>v3.4</t>
        </is>
      </c>
    </row>
    <row r="33">
      <c r="B33" s="8" t="inlineStr">
        <is>
          <t>ファイルの場所</t>
        </is>
      </c>
      <c r="C33" s="17">
        <f>CELL("filename",$A$1)</f>
        <v/>
      </c>
    </row>
    <row r="34">
      <c r="B34" s="8" t="inlineStr">
        <is>
          <t>ファイル名</t>
        </is>
      </c>
      <c r="C34" s="17">
        <f>IFERROR(MID(C33,FIND("[",C33)+1,FIND("]",C33)-FIND("[",C33)-1),"")</f>
        <v/>
      </c>
    </row>
    <row r="35">
      <c r="B35" s="8" t="inlineStr">
        <is>
          <t>ファイル名の先頭のID</t>
        </is>
      </c>
      <c r="C35" s="17">
        <f>IF(C34="","",LEFT(C34,FIND("_",C34&amp;"_")-1))</f>
        <v/>
      </c>
    </row>
    <row r="36">
      <c r="B36" s="8" t="inlineStr">
        <is>
          <t>実行者ID（使用する値）</t>
        </is>
      </c>
      <c r="C36" s="17">
        <f>IF(C4&lt;&gt;"",C4,IF(OR(C35="",C35="実行者ID"),"（未設定）",C35))</f>
        <v/>
      </c>
    </row>
    <row r="37">
      <c r="B37" s="8" t="inlineStr">
        <is>
          <t>ファイル名チェック</t>
        </is>
      </c>
      <c r="C37" s="17">
        <f>IF(C34="","未保存（保存すると確認できる）",IF(C36="（未設定）","実行者IDが未設定",IF(LEFT(C34,LEN(C36)+1)=C36&amp;"_","OK","ファイル名の先頭が実行者IDになっていない")))</f>
        <v/>
      </c>
    </row>
    <row r="38">
      <c r="B38" s="8" t="inlineStr">
        <is>
          <t>推奨ファイル名</t>
        </is>
      </c>
      <c r="C38" s="17">
        <f>IF(C36="（未設定）","（先に実行者IDを入力するか、ファイル名の先頭にIDを付ける）",C36&amp;"_暗黙タスク棚卸し台帳_"&amp;TEXT(C22,"yyyymmdd")&amp;".xlsx")</f>
        <v/>
      </c>
    </row>
  </sheetData>
  <dataValidations count="5">
    <dataValidation sqref="C5" showDropDown="0" showInputMessage="0" showErrorMessage="1" allowBlank="1" type="list">
      <formula1>='M2_区分マスタ'!$B$5:$B$16</formula1>
    </dataValidation>
    <dataValidation sqref="C6" showDropDown="0" showInputMessage="0" showErrorMessage="1" allowBlank="1" type="list">
      <formula1>='M2_区分マスタ'!$C$5:$C$8</formula1>
    </dataValidation>
    <dataValidation sqref="C12" showDropDown="0" showInputMessage="0" showErrorMessage="1" allowBlank="1" type="list">
      <formula1>='M2_区分マスタ'!$D$5:$D$6</formula1>
    </dataValidation>
    <dataValidation sqref="C13" showDropDown="0" showInputMessage="0" showErrorMessage="1" allowBlank="1" type="list">
      <formula1>='M2_区分マスタ'!$E$5:$E$6</formula1>
    </dataValidation>
    <dataValidation sqref="C14" showDropDown="0" showInputMessage="0" showErrorMessage="1" allowBlank="1" type="list">
      <formula1>='M2_区分マスタ'!$F$5:$F$6</formula1>
    </dataValidation>
  </dataValidations>
  <pageMargins left="0.75" right="0.75" top="1" bottom="1" header="0.5" footer="0.5"/>
</worksheet>
</file>

<file path=xl/worksheets/sheet3.xml><?xml version="1.0" encoding="utf-8"?>
<worksheet xmlns="http://schemas.openxmlformats.org/spreadsheetml/2006/main">
  <sheetPr>
    <tabColor rgb="001F4E78"/>
    <outlinePr summaryBelow="1" summaryRight="1"/>
    <pageSetUpPr/>
  </sheetPr>
  <dimension ref="A1:I81"/>
  <sheetViews>
    <sheetView showGridLines="1" workbookViewId="0">
      <selection activeCell="A1" sqref="A1"/>
    </sheetView>
  </sheetViews>
  <sheetFormatPr baseColWidth="8" defaultRowHeight="15"/>
  <cols>
    <col width="2" customWidth="1" min="1" max="1"/>
    <col width="26" customWidth="1" min="2" max="2"/>
    <col width="16" customWidth="1" min="3" max="3"/>
    <col width="30" customWidth="1" min="4" max="4"/>
    <col width="12" customWidth="1" min="5" max="5"/>
    <col width="12" customWidth="1" min="6" max="6"/>
    <col width="14" customWidth="1" min="7" max="7"/>
    <col width="16" customWidth="1" min="8" max="8"/>
    <col width="16" customWidth="1" min="9" max="9"/>
  </cols>
  <sheetData>
    <row r="1">
      <c r="A1" s="5" t="inlineStr">
        <is>
          <t>02_ダッシュボード</t>
        </is>
      </c>
    </row>
    <row r="2">
      <c r="A2" s="2" t="inlineStr">
        <is>
          <t>「次にやること」を上から順に行う。Researcher に送るのは基本的に1回だけ。</t>
        </is>
      </c>
    </row>
    <row r="4">
      <c r="B4" s="18" t="inlineStr">
        <is>
          <t>実行者ID</t>
        </is>
      </c>
      <c r="C4" s="8">
        <f>'01_設定'!C36</f>
        <v/>
      </c>
      <c r="D4" s="19" t="n"/>
      <c r="E4" s="19" t="n"/>
      <c r="F4" s="19" t="n"/>
      <c r="G4" s="19" t="n"/>
      <c r="H4" s="19" t="n"/>
      <c r="I4" s="20" t="n"/>
    </row>
    <row r="5">
      <c r="B5" s="18" t="inlineStr">
        <is>
          <t>対象期間</t>
        </is>
      </c>
      <c r="C5" s="8">
        <f>TEXT('01_設定'!C23,"yyyy/mm/dd")&amp;"〜"&amp;TEXT('01_設定'!C22,"yyyy/mm/dd")&amp;"（約"&amp;'01_設定'!C24&amp;"か月）"&amp;IF('01_設定'!C7="","　※実行日が未入力のため今日の日付で計算中","")</f>
        <v/>
      </c>
      <c r="D5" s="19" t="n"/>
      <c r="E5" s="19" t="n"/>
      <c r="F5" s="19" t="n"/>
      <c r="G5" s="19" t="n"/>
      <c r="H5" s="19" t="n"/>
      <c r="I5" s="20" t="n"/>
    </row>
    <row r="6">
      <c r="B6" s="18" t="inlineStr">
        <is>
          <t>ファイル名</t>
        </is>
      </c>
      <c r="C6" s="8">
        <f>'01_設定'!C37&amp;IF('01_設定'!C37="OK","","　→ 推奨：" &amp; '01_設定'!C38)</f>
        <v/>
      </c>
      <c r="D6" s="19" t="n"/>
      <c r="E6" s="19" t="n"/>
      <c r="F6" s="19" t="n"/>
      <c r="G6" s="19" t="n"/>
      <c r="H6" s="19" t="n"/>
      <c r="I6" s="20" t="n"/>
    </row>
    <row r="7">
      <c r="B7" s="21" t="inlineStr">
        <is>
          <t>■ 次にやること</t>
        </is>
      </c>
    </row>
    <row r="8" ht="32" customHeight="1">
      <c r="B8" s="18" t="inlineStr">
        <is>
          <t>状態</t>
        </is>
      </c>
      <c r="C8" s="22">
        <f>CHOOSE('01_設定'!$C$30,"① 調査プロンプトを Researcher の新しいチャットに送り、表を 04_調査結果に貼る","② 終わりの印がまだない。表が途中なら続きプロンプトを同じチャットに送り、続きを貼る（全部出ていれば 01_設定の「調査の完了」を「完了」に）","③ 本人確認（手順は下のセル）","④ 提出（手順は下のセル）"&amp;IF('01_設定'!C7="","　※先に 01_設定の実行日を入力",""),"すべて完了","⑥ 列の並びが指定と違う。出し直しプロンプトを同じチャットに送り、ずれた行を消してから貼り直す")</f>
        <v/>
      </c>
      <c r="D8" s="19" t="n"/>
      <c r="E8" s="19" t="n"/>
      <c r="F8" s="19" t="n"/>
      <c r="G8" s="19" t="n"/>
      <c r="H8" s="19" t="n"/>
      <c r="I8" s="20" t="n"/>
    </row>
    <row r="9" ht="260" customHeight="1">
      <c r="B9" s="18" t="inlineStr">
        <is>
          <t>このセルをコピー</t>
        </is>
      </c>
      <c r="C9" s="23">
        <f>CHOOSE('01_設定'!$C$30,'03_プロンプト'!$E$13,'03_プロンプト'!$E$14,'03_プロンプト'!$E$8,'03_プロンプト'!$E$9,"",'03_プロンプト'!$E$15)</f>
        <v/>
      </c>
      <c r="D9" s="19" t="n"/>
      <c r="E9" s="19" t="n"/>
      <c r="F9" s="19" t="n"/>
      <c r="G9" s="19" t="n"/>
      <c r="H9" s="19" t="n"/>
      <c r="I9" s="20" t="n"/>
    </row>
    <row r="10">
      <c r="B10" s="18" t="inlineStr">
        <is>
          <t>文字数</t>
        </is>
      </c>
      <c r="C10" s="8">
        <f>IF(C9="","",LEN(C9))</f>
        <v/>
      </c>
      <c r="D10" s="19" t="n"/>
      <c r="E10" s="19" t="n"/>
      <c r="F10" s="19" t="n"/>
      <c r="G10" s="19" t="n"/>
      <c r="H10" s="19" t="n"/>
      <c r="I10" s="20" t="n"/>
    </row>
    <row r="11">
      <c r="B11" s="2" t="inlineStr">
        <is>
          <t>※ セルを選んで Ctrl+C → Researcher の入力欄に Ctrl+V。先頭と末尾に " が付いてもそのまま送ってよい。</t>
        </is>
      </c>
    </row>
    <row r="12">
      <c r="B12" s="2" t="inlineStr">
        <is>
          <t>※ Researcher で調べる範囲を選べる場合は、メール・会議・チャットを選び、Web は外す。</t>
        </is>
      </c>
    </row>
    <row r="13">
      <c r="B13" s="2" t="inlineStr">
        <is>
          <t>※ Researcher から確認の質問が来たら「指示どおりに進めてください」と返す。</t>
        </is>
      </c>
    </row>
    <row r="14">
      <c r="B14" s="2" t="inlineStr">
        <is>
          <t>※ 表にならなかった・表が分かれた・列がずれた場合は、03_プロンプトの「出し直し」を同じチャットに送る。</t>
        </is>
      </c>
    </row>
    <row r="15"/>
    <row r="16">
      <c r="B16" s="21" t="inlineStr">
        <is>
          <t>■ 品質チェック</t>
        </is>
      </c>
    </row>
    <row r="17" ht="30" customHeight="1">
      <c r="B17" s="6" t="inlineStr">
        <is>
          <t>項目</t>
        </is>
      </c>
      <c r="C17" s="6" t="inlineStr">
        <is>
          <t>値</t>
        </is>
      </c>
      <c r="D17" s="6" t="inlineStr">
        <is>
          <t>見方・対処</t>
        </is>
      </c>
    </row>
    <row r="18">
      <c r="B18" s="8" t="inlineStr">
        <is>
          <t>OK のタスク数</t>
        </is>
      </c>
      <c r="C18" s="8">
        <f>'01_設定'!C28</f>
        <v/>
      </c>
      <c r="D18" s="24" t="inlineStr">
        <is>
          <t>少なすぎる（10件未満など）場合は、貼り付け漏れや途中終了がないか確認する</t>
        </is>
      </c>
    </row>
    <row r="19">
      <c r="B19" s="8" t="inlineStr">
        <is>
          <t>列の並び</t>
        </is>
      </c>
      <c r="C19" s="8">
        <f>'01_設定'!C31</f>
        <v/>
      </c>
      <c r="D19" s="24" t="inlineStr">
        <is>
          <t>「列がずれている可能性」なら、03_プロンプトの「出し直し」を同じチャットに送り、貼り直す</t>
        </is>
      </c>
    </row>
    <row r="20">
      <c r="B20" s="8" t="inlineStr">
        <is>
          <t>直さないと集計されない行（△）</t>
        </is>
      </c>
      <c r="C20" s="8">
        <f>COUNTIF('04_調査結果'!$AB$5:$AB$404,"△*")</f>
        <v/>
      </c>
      <c r="D20" s="24" t="inlineStr">
        <is>
          <t>値を直すと集計の対象になる（直さなくても他の行には影響しない）</t>
        </is>
      </c>
    </row>
    <row r="21">
      <c r="B21" s="8" t="inlineStr">
        <is>
          <t>要確認のタスク</t>
        </is>
      </c>
      <c r="C21" s="8">
        <f>COUNTIF('04_調査結果'!$AC$5:$AC$404,"?*")</f>
        <v/>
      </c>
      <c r="D21" s="24" t="inlineStr">
        <is>
          <t>根拠1件・同名あり・回数を換算したもの。本人確認で優先して見る</t>
        </is>
      </c>
    </row>
    <row r="22">
      <c r="B22" s="8" t="inlineStr">
        <is>
          <t>直近に偏っている割合</t>
        </is>
      </c>
      <c r="C22" s="25">
        <f>'01_設定'!C27</f>
        <v/>
      </c>
      <c r="D22" s="24" t="inlineStr">
        <is>
          <t>基準以上なら注意。気になる場合だけ、03_プロンプトの R2（前半の追加調査・任意）を使う</t>
        </is>
      </c>
    </row>
    <row r="23"/>
    <row r="24">
      <c r="B24" s="21" t="inlineStr">
        <is>
          <t>■ 観点別のタスク数（0件の観点は漏れの可能性がある）</t>
        </is>
      </c>
    </row>
    <row r="25" ht="30" customHeight="1">
      <c r="B25" s="6" t="inlineStr">
        <is>
          <t>観点</t>
        </is>
      </c>
      <c r="C25" s="6" t="inlineStr">
        <is>
          <t>タスク数</t>
        </is>
      </c>
      <c r="D25" s="6" t="inlineStr">
        <is>
          <t>内容</t>
        </is>
      </c>
    </row>
    <row r="26">
      <c r="B26" s="8" t="n">
        <v>1</v>
      </c>
      <c r="C26" s="8">
        <f>COUNTIFS('04_調査結果'!$AO$5:$AO$404,B26,'04_調査結果'!$AB$5:$AB$404,"OK")</f>
        <v/>
      </c>
      <c r="D26" s="8" t="inlineStr">
        <is>
          <t>中継・調整・催促・取りまとめ</t>
        </is>
      </c>
    </row>
    <row r="27">
      <c r="B27" s="8" t="n">
        <v>2</v>
      </c>
      <c r="C27" s="8">
        <f>COUNTIFS('04_調査結果'!$AO$5:$AO$404,B27,'04_調査結果'!$AB$5:$AB$404,"OK")</f>
        <v/>
      </c>
      <c r="D27" s="8" t="inlineStr">
        <is>
          <t>確認・承認・問い合わせ対応</t>
        </is>
      </c>
    </row>
    <row r="28">
      <c r="B28" s="8" t="n">
        <v>3</v>
      </c>
      <c r="C28" s="8">
        <f>COUNTIFS('04_調査結果'!$AO$5:$AO$404,B28,'04_調査結果'!$AB$5:$AB$404,"OK")</f>
        <v/>
      </c>
      <c r="D28" s="8" t="inlineStr">
        <is>
          <t>利害調整・トラブル・相談対応</t>
        </is>
      </c>
    </row>
    <row r="29">
      <c r="B29" s="8" t="n">
        <v>4</v>
      </c>
      <c r="C29" s="8">
        <f>COUNTIFS('04_調査結果'!$AO$5:$AO$404,B29,'04_調査結果'!$AB$5:$AB$404,"OK")</f>
        <v/>
      </c>
      <c r="D29" s="8" t="inlineStr">
        <is>
          <t>定例報告・会議運営</t>
        </is>
      </c>
    </row>
    <row r="30">
      <c r="B30" s="8" t="n">
        <v>5</v>
      </c>
      <c r="C30" s="8">
        <f>COUNTIFS('04_調査結果'!$AO$5:$AO$404,B30,'04_調査結果'!$AB$5:$AB$404,"OK")</f>
        <v/>
      </c>
      <c r="D30" s="8" t="inlineStr">
        <is>
          <t>申請・手配・調べもの・資料作成</t>
        </is>
      </c>
    </row>
    <row r="31">
      <c r="B31" s="8" t="n">
        <v>6</v>
      </c>
      <c r="C31" s="8">
        <f>COUNTIFS('04_調査結果'!$AO$5:$AO$404,B31,'04_調査結果'!$AB$5:$AB$404,"OK")</f>
        <v/>
      </c>
      <c r="D31" s="8" t="inlineStr">
        <is>
          <t>年に数回の業務</t>
        </is>
      </c>
    </row>
    <row r="32"/>
    <row r="33">
      <c r="B33" s="21" t="inlineStr">
        <is>
          <t>■ 業務区分別の集計（除外したタスクを除く）</t>
        </is>
      </c>
    </row>
    <row r="34" ht="30" customHeight="1">
      <c r="B34" s="6" t="inlineStr">
        <is>
          <t>業務区分</t>
        </is>
      </c>
      <c r="C34" s="6" t="inlineStr">
        <is>
          <t>タスク数</t>
        </is>
      </c>
      <c r="D34" s="6" t="inlineStr">
        <is>
          <t>区分名</t>
        </is>
      </c>
      <c r="E34" s="6" t="inlineStr">
        <is>
          <t>暗黙の数</t>
        </is>
      </c>
      <c r="F34" s="6" t="inlineStr">
        <is>
          <t>月あたり時間h</t>
        </is>
      </c>
    </row>
    <row r="35">
      <c r="B35" s="8" t="n">
        <v>1</v>
      </c>
      <c r="C35" s="8">
        <f>COUNTIFS('04_調査結果'!$AP$5:$AP$404,B35,'04_調査結果'!$AZ$5:$AZ$404,"&gt;0")</f>
        <v/>
      </c>
      <c r="D35" s="8" t="inlineStr">
        <is>
          <t>顧客案件</t>
        </is>
      </c>
      <c r="E35" s="8">
        <f>COUNTIFS('04_調査結果'!$AP$5:$AP$404,B35,'04_調査結果'!$AZ$5:$AZ$404,"&gt;0",'04_調査結果'!$M$5:$M$404,"暗黙")</f>
        <v/>
      </c>
      <c r="F35" s="26">
        <f>SUMIFS('04_調査結果'!$AI$5:$AI$404,'04_調査結果'!$AP$5:$AP$404,B35,'04_調査結果'!$AZ$5:$AZ$404,"&gt;0")</f>
        <v/>
      </c>
    </row>
    <row r="36">
      <c r="B36" s="8" t="n">
        <v>2</v>
      </c>
      <c r="C36" s="8">
        <f>COUNTIFS('04_調査結果'!$AP$5:$AP$404,B36,'04_調査結果'!$AZ$5:$AZ$404,"&gt;0")</f>
        <v/>
      </c>
      <c r="D36" s="8" t="inlineStr">
        <is>
          <t>提案・営業</t>
        </is>
      </c>
      <c r="E36" s="8">
        <f>COUNTIFS('04_調査結果'!$AP$5:$AP$404,B36,'04_調査結果'!$AZ$5:$AZ$404,"&gt;0",'04_調査結果'!$M$5:$M$404,"暗黙")</f>
        <v/>
      </c>
      <c r="F36" s="26">
        <f>SUMIFS('04_調査結果'!$AI$5:$AI$404,'04_調査結果'!$AP$5:$AP$404,B36,'04_調査結果'!$AZ$5:$AZ$404,"&gt;0")</f>
        <v/>
      </c>
    </row>
    <row r="37">
      <c r="B37" s="8" t="n">
        <v>3</v>
      </c>
      <c r="C37" s="8">
        <f>COUNTIFS('04_調査結果'!$AP$5:$AP$404,B37,'04_調査結果'!$AZ$5:$AZ$404,"&gt;0")</f>
        <v/>
      </c>
      <c r="D37" s="8" t="inlineStr">
        <is>
          <t>社内プロジェクト・改善</t>
        </is>
      </c>
      <c r="E37" s="8">
        <f>COUNTIFS('04_調査結果'!$AP$5:$AP$404,B37,'04_調査結果'!$AZ$5:$AZ$404,"&gt;0",'04_調査結果'!$M$5:$M$404,"暗黙")</f>
        <v/>
      </c>
      <c r="F37" s="26">
        <f>SUMIFS('04_調査結果'!$AI$5:$AI$404,'04_調査結果'!$AP$5:$AP$404,B37,'04_調査結果'!$AZ$5:$AZ$404,"&gt;0")</f>
        <v/>
      </c>
    </row>
    <row r="38">
      <c r="B38" s="8" t="n">
        <v>4</v>
      </c>
      <c r="C38" s="8">
        <f>COUNTIFS('04_調査結果'!$AP$5:$AP$404,B38,'04_調査結果'!$AZ$5:$AZ$404,"&gt;0")</f>
        <v/>
      </c>
      <c r="D38" s="8" t="inlineStr">
        <is>
          <t>部門運営・人材マネジメント</t>
        </is>
      </c>
      <c r="E38" s="8">
        <f>COUNTIFS('04_調査結果'!$AP$5:$AP$404,B38,'04_調査結果'!$AZ$5:$AZ$404,"&gt;0",'04_調査結果'!$M$5:$M$404,"暗黙")</f>
        <v/>
      </c>
      <c r="F38" s="26">
        <f>SUMIFS('04_調査結果'!$AI$5:$AI$404,'04_調査結果'!$AP$5:$AP$404,B38,'04_調査結果'!$AZ$5:$AZ$404,"&gt;0")</f>
        <v/>
      </c>
    </row>
    <row r="39">
      <c r="B39" s="8" t="n">
        <v>5</v>
      </c>
      <c r="C39" s="8">
        <f>COUNTIFS('04_調査結果'!$AP$5:$AP$404,B39,'04_調査結果'!$AZ$5:$AZ$404,"&gt;0")</f>
        <v/>
      </c>
      <c r="D39" s="8" t="inlineStr">
        <is>
          <t>庶務・事務手続き</t>
        </is>
      </c>
      <c r="E39" s="8">
        <f>COUNTIFS('04_調査結果'!$AP$5:$AP$404,B39,'04_調査結果'!$AZ$5:$AZ$404,"&gt;0",'04_調査結果'!$M$5:$M$404,"暗黙")</f>
        <v/>
      </c>
      <c r="F39" s="26">
        <f>SUMIFS('04_調査結果'!$AI$5:$AI$404,'04_調査結果'!$AP$5:$AP$404,B39,'04_調査結果'!$AZ$5:$AZ$404,"&gt;0")</f>
        <v/>
      </c>
    </row>
    <row r="40">
      <c r="B40" s="8" t="n">
        <v>6</v>
      </c>
      <c r="C40" s="8">
        <f>COUNTIFS('04_調査結果'!$AP$5:$AP$404,B40,'04_調査結果'!$AZ$5:$AZ$404,"&gt;0")</f>
        <v/>
      </c>
      <c r="D40" s="8" t="inlineStr">
        <is>
          <t>全社行事・その他</t>
        </is>
      </c>
      <c r="E40" s="8">
        <f>COUNTIFS('04_調査結果'!$AP$5:$AP$404,B40,'04_調査結果'!$AZ$5:$AZ$404,"&gt;0",'04_調査結果'!$M$5:$M$404,"暗黙")</f>
        <v/>
      </c>
      <c r="F40" s="26">
        <f>SUMIFS('04_調査結果'!$AI$5:$AI$404,'04_調査結果'!$AP$5:$AP$404,B40,'04_調査結果'!$AZ$5:$AZ$404,"&gt;0")</f>
        <v/>
      </c>
    </row>
    <row r="41"/>
    <row r="42">
      <c r="B42" s="21" t="inlineStr">
        <is>
          <t>■ 類型別の集計（除外したタスクを除く）</t>
        </is>
      </c>
    </row>
    <row r="43" ht="30" customHeight="1">
      <c r="B43" s="6" t="inlineStr">
        <is>
          <t>類型</t>
        </is>
      </c>
      <c r="C43" s="6" t="inlineStr">
        <is>
          <t>タスク数</t>
        </is>
      </c>
      <c r="D43" s="6" t="inlineStr">
        <is>
          <t>類型名</t>
        </is>
      </c>
      <c r="E43" s="6" t="inlineStr">
        <is>
          <t>暗黙の数</t>
        </is>
      </c>
      <c r="F43" s="6" t="inlineStr">
        <is>
          <t>月あたり時間h</t>
        </is>
      </c>
    </row>
    <row r="44">
      <c r="B44" s="8" t="inlineStr">
        <is>
          <t>T01</t>
        </is>
      </c>
      <c r="C44" s="8">
        <f>COUNTIFS('04_調査結果'!$AQ$5:$AQ$404,B44,'04_調査結果'!$AZ$5:$AZ$404,"&gt;0")</f>
        <v/>
      </c>
      <c r="D44" s="8" t="inlineStr">
        <is>
          <t>中継・転送</t>
        </is>
      </c>
      <c r="E44" s="8">
        <f>COUNTIFS('04_調査結果'!$AQ$5:$AQ$404,B44,'04_調査結果'!$AZ$5:$AZ$404,"&gt;0",'04_調査結果'!$M$5:$M$404,"暗黙")</f>
        <v/>
      </c>
      <c r="F44" s="26">
        <f>SUMIFS('04_調査結果'!$AI$5:$AI$404,'04_調査結果'!$AQ$5:$AQ$404,B44,'04_調査結果'!$AZ$5:$AZ$404,"&gt;0")</f>
        <v/>
      </c>
    </row>
    <row r="45">
      <c r="B45" s="8" t="inlineStr">
        <is>
          <t>T02</t>
        </is>
      </c>
      <c r="C45" s="8">
        <f>COUNTIFS('04_調査結果'!$AQ$5:$AQ$404,B45,'04_調査結果'!$AZ$5:$AZ$404,"&gt;0")</f>
        <v/>
      </c>
      <c r="D45" s="8" t="inlineStr">
        <is>
          <t>日程・会議調整</t>
        </is>
      </c>
      <c r="E45" s="8">
        <f>COUNTIFS('04_調査結果'!$AQ$5:$AQ$404,B45,'04_調査結果'!$AZ$5:$AZ$404,"&gt;0",'04_調査結果'!$M$5:$M$404,"暗黙")</f>
        <v/>
      </c>
      <c r="F45" s="26">
        <f>SUMIFS('04_調査結果'!$AI$5:$AI$404,'04_調査結果'!$AQ$5:$AQ$404,B45,'04_調査結果'!$AZ$5:$AZ$404,"&gt;0")</f>
        <v/>
      </c>
    </row>
    <row r="46">
      <c r="B46" s="8" t="inlineStr">
        <is>
          <t>T03</t>
        </is>
      </c>
      <c r="C46" s="8">
        <f>COUNTIFS('04_調査結果'!$AQ$5:$AQ$404,B46,'04_調査結果'!$AZ$5:$AZ$404,"&gt;0")</f>
        <v/>
      </c>
      <c r="D46" s="8" t="inlineStr">
        <is>
          <t>催促・フォローアップ</t>
        </is>
      </c>
      <c r="E46" s="8">
        <f>COUNTIFS('04_調査結果'!$AQ$5:$AQ$404,B46,'04_調査結果'!$AZ$5:$AZ$404,"&gt;0",'04_調査結果'!$M$5:$M$404,"暗黙")</f>
        <v/>
      </c>
      <c r="F46" s="26">
        <f>SUMIFS('04_調査結果'!$AI$5:$AI$404,'04_調査結果'!$AQ$5:$AQ$404,B46,'04_調査結果'!$AZ$5:$AZ$404,"&gt;0")</f>
        <v/>
      </c>
    </row>
    <row r="47">
      <c r="B47" s="8" t="inlineStr">
        <is>
          <t>T04</t>
        </is>
      </c>
      <c r="C47" s="8">
        <f>COUNTIFS('04_調査結果'!$AQ$5:$AQ$404,B47,'04_調査結果'!$AZ$5:$AZ$404,"&gt;0")</f>
        <v/>
      </c>
      <c r="D47" s="8" t="inlineStr">
        <is>
          <t>取りまとめ・集約</t>
        </is>
      </c>
      <c r="E47" s="8">
        <f>COUNTIFS('04_調査結果'!$AQ$5:$AQ$404,B47,'04_調査結果'!$AZ$5:$AZ$404,"&gt;0",'04_調査結果'!$M$5:$M$404,"暗黙")</f>
        <v/>
      </c>
      <c r="F47" s="26">
        <f>SUMIFS('04_調査結果'!$AI$5:$AI$404,'04_調査結果'!$AQ$5:$AQ$404,B47,'04_調査結果'!$AZ$5:$AZ$404,"&gt;0")</f>
        <v/>
      </c>
    </row>
    <row r="48">
      <c r="B48" s="8" t="inlineStr">
        <is>
          <t>T05</t>
        </is>
      </c>
      <c r="C48" s="8">
        <f>COUNTIFS('04_調査結果'!$AQ$5:$AQ$404,B48,'04_調査結果'!$AZ$5:$AZ$404,"&gt;0")</f>
        <v/>
      </c>
      <c r="D48" s="8" t="inlineStr">
        <is>
          <t>確認・承認・レビュー</t>
        </is>
      </c>
      <c r="E48" s="8">
        <f>COUNTIFS('04_調査結果'!$AQ$5:$AQ$404,B48,'04_調査結果'!$AZ$5:$AZ$404,"&gt;0",'04_調査結果'!$M$5:$M$404,"暗黙")</f>
        <v/>
      </c>
      <c r="F48" s="26">
        <f>SUMIFS('04_調査結果'!$AI$5:$AI$404,'04_調査結果'!$AQ$5:$AQ$404,B48,'04_調査結果'!$AZ$5:$AZ$404,"&gt;0")</f>
        <v/>
      </c>
    </row>
    <row r="49">
      <c r="B49" s="8" t="inlineStr">
        <is>
          <t>T06</t>
        </is>
      </c>
      <c r="C49" s="8">
        <f>COUNTIFS('04_調査結果'!$AQ$5:$AQ$404,B49,'04_調査結果'!$AZ$5:$AZ$404,"&gt;0")</f>
        <v/>
      </c>
      <c r="D49" s="8" t="inlineStr">
        <is>
          <t>問い合わせ対応・振り分け</t>
        </is>
      </c>
      <c r="E49" s="8">
        <f>COUNTIFS('04_調査結果'!$AQ$5:$AQ$404,B49,'04_調査結果'!$AZ$5:$AZ$404,"&gt;0",'04_調査結果'!$M$5:$M$404,"暗黙")</f>
        <v/>
      </c>
      <c r="F49" s="26">
        <f>SUMIFS('04_調査結果'!$AI$5:$AI$404,'04_調査結果'!$AQ$5:$AQ$404,B49,'04_調査結果'!$AZ$5:$AZ$404,"&gt;0")</f>
        <v/>
      </c>
    </row>
    <row r="50">
      <c r="B50" s="8" t="inlineStr">
        <is>
          <t>T07</t>
        </is>
      </c>
      <c r="C50" s="8">
        <f>COUNTIFS('04_調査結果'!$AQ$5:$AQ$404,B50,'04_調査結果'!$AZ$5:$AZ$404,"&gt;0")</f>
        <v/>
      </c>
      <c r="D50" s="8" t="inlineStr">
        <is>
          <t>利害調整・合意形成</t>
        </is>
      </c>
      <c r="E50" s="8">
        <f>COUNTIFS('04_調査結果'!$AQ$5:$AQ$404,B50,'04_調査結果'!$AZ$5:$AZ$404,"&gt;0",'04_調査結果'!$M$5:$M$404,"暗黙")</f>
        <v/>
      </c>
      <c r="F50" s="26">
        <f>SUMIFS('04_調査結果'!$AI$5:$AI$404,'04_調査結果'!$AQ$5:$AQ$404,B50,'04_調査結果'!$AZ$5:$AZ$404,"&gt;0")</f>
        <v/>
      </c>
    </row>
    <row r="51">
      <c r="B51" s="8" t="inlineStr">
        <is>
          <t>T08</t>
        </is>
      </c>
      <c r="C51" s="8">
        <f>COUNTIFS('04_調査結果'!$AQ$5:$AQ$404,B51,'04_調査結果'!$AZ$5:$AZ$404,"&gt;0")</f>
        <v/>
      </c>
      <c r="D51" s="8" t="inlineStr">
        <is>
          <t>定例報告・数値更新</t>
        </is>
      </c>
      <c r="E51" s="8">
        <f>COUNTIFS('04_調査結果'!$AQ$5:$AQ$404,B51,'04_調査結果'!$AZ$5:$AZ$404,"&gt;0",'04_調査結果'!$M$5:$M$404,"暗黙")</f>
        <v/>
      </c>
      <c r="F51" s="26">
        <f>SUMIFS('04_調査結果'!$AI$5:$AI$404,'04_調査結果'!$AQ$5:$AQ$404,B51,'04_調査結果'!$AZ$5:$AZ$404,"&gt;0")</f>
        <v/>
      </c>
    </row>
    <row r="52">
      <c r="B52" s="8" t="inlineStr">
        <is>
          <t>T09</t>
        </is>
      </c>
      <c r="C52" s="8">
        <f>COUNTIFS('04_調査結果'!$AQ$5:$AQ$404,B52,'04_調査結果'!$AZ$5:$AZ$404,"&gt;0")</f>
        <v/>
      </c>
      <c r="D52" s="8" t="inlineStr">
        <is>
          <t>申請・手配・事務手続き</t>
        </is>
      </c>
      <c r="E52" s="8">
        <f>COUNTIFS('04_調査結果'!$AQ$5:$AQ$404,B52,'04_調査結果'!$AZ$5:$AZ$404,"&gt;0",'04_調査結果'!$M$5:$M$404,"暗黙")</f>
        <v/>
      </c>
      <c r="F52" s="26">
        <f>SUMIFS('04_調査結果'!$AI$5:$AI$404,'04_調査結果'!$AQ$5:$AQ$404,B52,'04_調査結果'!$AZ$5:$AZ$404,"&gt;0")</f>
        <v/>
      </c>
    </row>
    <row r="53">
      <c r="B53" s="8" t="inlineStr">
        <is>
          <t>T10</t>
        </is>
      </c>
      <c r="C53" s="8">
        <f>COUNTIFS('04_調査結果'!$AQ$5:$AQ$404,B53,'04_調査結果'!$AZ$5:$AZ$404,"&gt;0")</f>
        <v/>
      </c>
      <c r="D53" s="8" t="inlineStr">
        <is>
          <t>調査・情報探し</t>
        </is>
      </c>
      <c r="E53" s="8">
        <f>COUNTIFS('04_調査結果'!$AQ$5:$AQ$404,B53,'04_調査結果'!$AZ$5:$AZ$404,"&gt;0",'04_調査結果'!$M$5:$M$404,"暗黙")</f>
        <v/>
      </c>
      <c r="F53" s="26">
        <f>SUMIFS('04_調査結果'!$AI$5:$AI$404,'04_調査結果'!$AQ$5:$AQ$404,B53,'04_調査結果'!$AZ$5:$AZ$404,"&gt;0")</f>
        <v/>
      </c>
    </row>
    <row r="54">
      <c r="B54" s="8" t="inlineStr">
        <is>
          <t>T11</t>
        </is>
      </c>
      <c r="C54" s="8">
        <f>COUNTIFS('04_調査結果'!$AQ$5:$AQ$404,B54,'04_調査結果'!$AZ$5:$AZ$404,"&gt;0")</f>
        <v/>
      </c>
      <c r="D54" s="8" t="inlineStr">
        <is>
          <t>トラブル・例外対応</t>
        </is>
      </c>
      <c r="E54" s="8">
        <f>COUNTIFS('04_調査結果'!$AQ$5:$AQ$404,B54,'04_調査結果'!$AZ$5:$AZ$404,"&gt;0",'04_調査結果'!$M$5:$M$404,"暗黙")</f>
        <v/>
      </c>
      <c r="F54" s="26">
        <f>SUMIFS('04_調査結果'!$AI$5:$AI$404,'04_調査結果'!$AQ$5:$AQ$404,B54,'04_調査結果'!$AZ$5:$AZ$404,"&gt;0")</f>
        <v/>
      </c>
    </row>
    <row r="55">
      <c r="B55" s="8" t="inlineStr">
        <is>
          <t>T12</t>
        </is>
      </c>
      <c r="C55" s="8">
        <f>COUNTIFS('04_調査結果'!$AQ$5:$AQ$404,B55,'04_調査結果'!$AZ$5:$AZ$404,"&gt;0")</f>
        <v/>
      </c>
      <c r="D55" s="8" t="inlineStr">
        <is>
          <t>相談対応・指導</t>
        </is>
      </c>
      <c r="E55" s="8">
        <f>COUNTIFS('04_調査結果'!$AQ$5:$AQ$404,B55,'04_調査結果'!$AZ$5:$AZ$404,"&gt;0",'04_調査結果'!$M$5:$M$404,"暗黙")</f>
        <v/>
      </c>
      <c r="F55" s="26">
        <f>SUMIFS('04_調査結果'!$AI$5:$AI$404,'04_調査結果'!$AQ$5:$AQ$404,B55,'04_調査結果'!$AZ$5:$AZ$404,"&gt;0")</f>
        <v/>
      </c>
    </row>
    <row r="56">
      <c r="B56" s="8" t="inlineStr">
        <is>
          <t>T13</t>
        </is>
      </c>
      <c r="C56" s="8">
        <f>COUNTIFS('04_調査結果'!$AQ$5:$AQ$404,B56,'04_調査結果'!$AZ$5:$AZ$404,"&gt;0")</f>
        <v/>
      </c>
      <c r="D56" s="8" t="inlineStr">
        <is>
          <t>会議運営</t>
        </is>
      </c>
      <c r="E56" s="8">
        <f>COUNTIFS('04_調査結果'!$AQ$5:$AQ$404,B56,'04_調査結果'!$AZ$5:$AZ$404,"&gt;0",'04_調査結果'!$M$5:$M$404,"暗黙")</f>
        <v/>
      </c>
      <c r="F56" s="26">
        <f>SUMIFS('04_調査結果'!$AI$5:$AI$404,'04_調査結果'!$AQ$5:$AQ$404,B56,'04_調査結果'!$AZ$5:$AZ$404,"&gt;0")</f>
        <v/>
      </c>
    </row>
    <row r="57">
      <c r="B57" s="8" t="inlineStr">
        <is>
          <t>T14</t>
        </is>
      </c>
      <c r="C57" s="8">
        <f>COUNTIFS('04_調査結果'!$AQ$5:$AQ$404,B57,'04_調査結果'!$AZ$5:$AZ$404,"&gt;0")</f>
        <v/>
      </c>
      <c r="D57" s="8" t="inlineStr">
        <is>
          <t>資料・文書作成</t>
        </is>
      </c>
      <c r="E57" s="8">
        <f>COUNTIFS('04_調査結果'!$AQ$5:$AQ$404,B57,'04_調査結果'!$AZ$5:$AZ$404,"&gt;0",'04_調査結果'!$M$5:$M$404,"暗黙")</f>
        <v/>
      </c>
      <c r="F57" s="26">
        <f>SUMIFS('04_調査結果'!$AI$5:$AI$404,'04_調査結果'!$AQ$5:$AQ$404,B57,'04_調査結果'!$AZ$5:$AZ$404,"&gt;0")</f>
        <v/>
      </c>
    </row>
    <row r="58">
      <c r="B58" s="8" t="inlineStr">
        <is>
          <t>T99</t>
        </is>
      </c>
      <c r="C58" s="8">
        <f>COUNTIFS('04_調査結果'!$AQ$5:$AQ$404,B58,'04_調査結果'!$AZ$5:$AZ$404,"&gt;0")</f>
        <v/>
      </c>
      <c r="D58" s="8" t="inlineStr">
        <is>
          <t>その他</t>
        </is>
      </c>
      <c r="E58" s="8">
        <f>COUNTIFS('04_調査結果'!$AQ$5:$AQ$404,B58,'04_調査結果'!$AZ$5:$AZ$404,"&gt;0",'04_調査結果'!$M$5:$M$404,"暗黙")</f>
        <v/>
      </c>
      <c r="F58" s="26">
        <f>SUMIFS('04_調査結果'!$AI$5:$AI$404,'04_調査結果'!$AQ$5:$AQ$404,B58,'04_調査結果'!$AZ$5:$AZ$404,"&gt;0")</f>
        <v/>
      </c>
    </row>
    <row r="59">
      <c r="B59" s="18" t="inlineStr">
        <is>
          <t>合計</t>
        </is>
      </c>
      <c r="C59" s="8">
        <f>SUM(C44:C58)</f>
        <v/>
      </c>
      <c r="E59" s="8">
        <f>SUM(E44:E58)</f>
        <v/>
      </c>
      <c r="F59" s="26">
        <f>SUM(F44:F58)</f>
        <v/>
      </c>
    </row>
    <row r="60"/>
    <row r="61">
      <c r="B61" s="21" t="inlineStr">
        <is>
          <t>■ 移管区分別の集計（除外したタスクを除く）</t>
        </is>
      </c>
    </row>
    <row r="62" ht="30" customHeight="1">
      <c r="B62" s="6" t="inlineStr">
        <is>
          <t>採用区分</t>
        </is>
      </c>
      <c r="C62" s="6" t="inlineStr">
        <is>
          <t>タスク数</t>
        </is>
      </c>
      <c r="D62" s="6" t="inlineStr">
        <is>
          <t>月あたり時間h</t>
        </is>
      </c>
      <c r="E62" s="6" t="inlineStr">
        <is>
          <t>構成比</t>
        </is>
      </c>
    </row>
    <row r="63">
      <c r="B63" s="8" t="inlineStr">
        <is>
          <t>自動化候補</t>
        </is>
      </c>
      <c r="C63" s="8">
        <f>COUNTIFS('04_調査結果'!$AH$5:$AH$404,B63,'04_調査結果'!$AZ$5:$AZ$404,"&gt;0")</f>
        <v/>
      </c>
      <c r="D63" s="26">
        <f>SUMIFS('04_調査結果'!$AI$5:$AI$404,'04_調査結果'!$AH$5:$AH$404,B63,'04_調査結果'!$AZ$5:$AZ$404,"&gt;0")</f>
        <v/>
      </c>
      <c r="E63" s="25">
        <f>IF(SUM($D$63:$D$67)=0,"",D63/SUM($D$63:$D$67))</f>
        <v/>
      </c>
    </row>
    <row r="64">
      <c r="B64" s="8" t="inlineStr">
        <is>
          <t>オフショア候補</t>
        </is>
      </c>
      <c r="C64" s="8">
        <f>COUNTIFS('04_調査結果'!$AH$5:$AH$404,B64,'04_調査結果'!$AZ$5:$AZ$404,"&gt;0")</f>
        <v/>
      </c>
      <c r="D64" s="26">
        <f>SUMIFS('04_調査結果'!$AI$5:$AI$404,'04_調査結果'!$AH$5:$AH$404,B64,'04_調査結果'!$AZ$5:$AZ$404,"&gt;0")</f>
        <v/>
      </c>
      <c r="E64" s="25">
        <f>IF(SUM($D$63:$D$67)=0,"",D64/SUM($D$63:$D$67))</f>
        <v/>
      </c>
    </row>
    <row r="65">
      <c r="B65" s="8" t="inlineStr">
        <is>
          <t>ニアショア候補</t>
        </is>
      </c>
      <c r="C65" s="8">
        <f>COUNTIFS('04_調査結果'!$AH$5:$AH$404,B65,'04_調査結果'!$AZ$5:$AZ$404,"&gt;0")</f>
        <v/>
      </c>
      <c r="D65" s="26">
        <f>SUMIFS('04_調査結果'!$AI$5:$AI$404,'04_調査結果'!$AH$5:$AH$404,B65,'04_調査結果'!$AZ$5:$AZ$404,"&gt;0")</f>
        <v/>
      </c>
      <c r="E65" s="25">
        <f>IF(SUM($D$63:$D$67)=0,"",D65/SUM($D$63:$D$67))</f>
        <v/>
      </c>
    </row>
    <row r="66">
      <c r="B66" s="8" t="inlineStr">
        <is>
          <t>社内で手順化→再評価</t>
        </is>
      </c>
      <c r="C66" s="8">
        <f>COUNTIFS('04_調査結果'!$AH$5:$AH$404,B66,'04_調査結果'!$AZ$5:$AZ$404,"&gt;0")</f>
        <v/>
      </c>
      <c r="D66" s="26">
        <f>SUMIFS('04_調査結果'!$AI$5:$AI$404,'04_調査結果'!$AH$5:$AH$404,B66,'04_調査結果'!$AZ$5:$AZ$404,"&gt;0")</f>
        <v/>
      </c>
      <c r="E66" s="25">
        <f>IF(SUM($D$63:$D$67)=0,"",D66/SUM($D$63:$D$67))</f>
        <v/>
      </c>
    </row>
    <row r="67">
      <c r="B67" s="8" t="inlineStr">
        <is>
          <t>社内残置</t>
        </is>
      </c>
      <c r="C67" s="8">
        <f>COUNTIFS('04_調査結果'!$AH$5:$AH$404,B67,'04_調査結果'!$AZ$5:$AZ$404,"&gt;0")</f>
        <v/>
      </c>
      <c r="D67" s="26">
        <f>SUMIFS('04_調査結果'!$AI$5:$AI$404,'04_調査結果'!$AH$5:$AH$404,B67,'04_調査結果'!$AZ$5:$AZ$404,"&gt;0")</f>
        <v/>
      </c>
      <c r="E67" s="25">
        <f>IF(SUM($D$63:$D$67)=0,"",D67/SUM($D$63:$D$67))</f>
        <v/>
      </c>
    </row>
    <row r="68"/>
    <row r="69">
      <c r="B69" s="21" t="inlineStr">
        <is>
          <t>■ 時間を使っている上位10タスク</t>
        </is>
      </c>
    </row>
    <row r="70" ht="30" customHeight="1">
      <c r="B70" s="6" t="inlineStr">
        <is>
          <t>順位</t>
        </is>
      </c>
      <c r="C70" s="6" t="inlineStr">
        <is>
          <t>類型</t>
        </is>
      </c>
      <c r="D70" s="6" t="inlineStr">
        <is>
          <t>タスク名</t>
        </is>
      </c>
      <c r="E70" s="6" t="inlineStr">
        <is>
          <t>明示暗黙</t>
        </is>
      </c>
      <c r="F70" s="6" t="inlineStr">
        <is>
          <t>月あたり時間h</t>
        </is>
      </c>
      <c r="G70" s="6" t="inlineStr">
        <is>
          <t>採用区分</t>
        </is>
      </c>
      <c r="H70" s="6" t="inlineStr">
        <is>
          <t>前提条件</t>
        </is>
      </c>
    </row>
    <row r="71">
      <c r="B71" s="8" t="n">
        <v>1</v>
      </c>
      <c r="C71" s="8">
        <f>IFERROR(INDEX('04_調査結果'!$AQ$5:$AQ$404,MATCH(LARGE('04_調査結果'!$BA$5:$BA$404,B71),'04_調査結果'!$BA$5:$BA$404,0)),"")</f>
        <v/>
      </c>
      <c r="D71" s="8">
        <f>IFERROR(INDEX('04_調査結果'!$G$5:$G$404,MATCH(LARGE('04_調査結果'!$BA$5:$BA$404,B71),'04_調査結果'!$BA$5:$BA$404,0)),"")</f>
        <v/>
      </c>
      <c r="E71" s="8">
        <f>IFERROR(INDEX('04_調査結果'!$M$5:$M$404,MATCH(LARGE('04_調査結果'!$BA$5:$BA$404,B71),'04_調査結果'!$BA$5:$BA$404,0)),"")</f>
        <v/>
      </c>
      <c r="F71" s="26">
        <f>IFERROR(INDEX('04_調査結果'!$AI$5:$AI$404,MATCH(LARGE('04_調査結果'!$BA$5:$BA$404,B71),'04_調査結果'!$BA$5:$BA$404,0)),"")</f>
        <v/>
      </c>
      <c r="G71" s="8">
        <f>IFERROR(INDEX('04_調査結果'!$AH$5:$AH$404,MATCH(LARGE('04_調査結果'!$BA$5:$BA$404,B71),'04_調査結果'!$BA$5:$BA$404,0)),"")</f>
        <v/>
      </c>
      <c r="H71" s="8">
        <f>IFERROR(INDEX('04_調査結果'!$AA$5:$AA$404,MATCH(LARGE('04_調査結果'!$BA$5:$BA$404,B71),'04_調査結果'!$BA$5:$BA$404,0)),"")</f>
        <v/>
      </c>
      <c r="I71" s="20" t="n"/>
    </row>
    <row r="72">
      <c r="B72" s="8" t="n">
        <v>2</v>
      </c>
      <c r="C72" s="8">
        <f>IFERROR(INDEX('04_調査結果'!$AQ$5:$AQ$404,MATCH(LARGE('04_調査結果'!$BA$5:$BA$404,B72),'04_調査結果'!$BA$5:$BA$404,0)),"")</f>
        <v/>
      </c>
      <c r="D72" s="8">
        <f>IFERROR(INDEX('04_調査結果'!$G$5:$G$404,MATCH(LARGE('04_調査結果'!$BA$5:$BA$404,B72),'04_調査結果'!$BA$5:$BA$404,0)),"")</f>
        <v/>
      </c>
      <c r="E72" s="8">
        <f>IFERROR(INDEX('04_調査結果'!$M$5:$M$404,MATCH(LARGE('04_調査結果'!$BA$5:$BA$404,B72),'04_調査結果'!$BA$5:$BA$404,0)),"")</f>
        <v/>
      </c>
      <c r="F72" s="26">
        <f>IFERROR(INDEX('04_調査結果'!$AI$5:$AI$404,MATCH(LARGE('04_調査結果'!$BA$5:$BA$404,B72),'04_調査結果'!$BA$5:$BA$404,0)),"")</f>
        <v/>
      </c>
      <c r="G72" s="8">
        <f>IFERROR(INDEX('04_調査結果'!$AH$5:$AH$404,MATCH(LARGE('04_調査結果'!$BA$5:$BA$404,B72),'04_調査結果'!$BA$5:$BA$404,0)),"")</f>
        <v/>
      </c>
      <c r="H72" s="8">
        <f>IFERROR(INDEX('04_調査結果'!$AA$5:$AA$404,MATCH(LARGE('04_調査結果'!$BA$5:$BA$404,B72),'04_調査結果'!$BA$5:$BA$404,0)),"")</f>
        <v/>
      </c>
      <c r="I72" s="20" t="n"/>
    </row>
    <row r="73">
      <c r="B73" s="8" t="n">
        <v>3</v>
      </c>
      <c r="C73" s="8">
        <f>IFERROR(INDEX('04_調査結果'!$AQ$5:$AQ$404,MATCH(LARGE('04_調査結果'!$BA$5:$BA$404,B73),'04_調査結果'!$BA$5:$BA$404,0)),"")</f>
        <v/>
      </c>
      <c r="D73" s="8">
        <f>IFERROR(INDEX('04_調査結果'!$G$5:$G$404,MATCH(LARGE('04_調査結果'!$BA$5:$BA$404,B73),'04_調査結果'!$BA$5:$BA$404,0)),"")</f>
        <v/>
      </c>
      <c r="E73" s="8">
        <f>IFERROR(INDEX('04_調査結果'!$M$5:$M$404,MATCH(LARGE('04_調査結果'!$BA$5:$BA$404,B73),'04_調査結果'!$BA$5:$BA$404,0)),"")</f>
        <v/>
      </c>
      <c r="F73" s="26">
        <f>IFERROR(INDEX('04_調査結果'!$AI$5:$AI$404,MATCH(LARGE('04_調査結果'!$BA$5:$BA$404,B73),'04_調査結果'!$BA$5:$BA$404,0)),"")</f>
        <v/>
      </c>
      <c r="G73" s="8">
        <f>IFERROR(INDEX('04_調査結果'!$AH$5:$AH$404,MATCH(LARGE('04_調査結果'!$BA$5:$BA$404,B73),'04_調査結果'!$BA$5:$BA$404,0)),"")</f>
        <v/>
      </c>
      <c r="H73" s="8">
        <f>IFERROR(INDEX('04_調査結果'!$AA$5:$AA$404,MATCH(LARGE('04_調査結果'!$BA$5:$BA$404,B73),'04_調査結果'!$BA$5:$BA$404,0)),"")</f>
        <v/>
      </c>
      <c r="I73" s="20" t="n"/>
    </row>
    <row r="74">
      <c r="B74" s="8" t="n">
        <v>4</v>
      </c>
      <c r="C74" s="8">
        <f>IFERROR(INDEX('04_調査結果'!$AQ$5:$AQ$404,MATCH(LARGE('04_調査結果'!$BA$5:$BA$404,B74),'04_調査結果'!$BA$5:$BA$404,0)),"")</f>
        <v/>
      </c>
      <c r="D74" s="8">
        <f>IFERROR(INDEX('04_調査結果'!$G$5:$G$404,MATCH(LARGE('04_調査結果'!$BA$5:$BA$404,B74),'04_調査結果'!$BA$5:$BA$404,0)),"")</f>
        <v/>
      </c>
      <c r="E74" s="8">
        <f>IFERROR(INDEX('04_調査結果'!$M$5:$M$404,MATCH(LARGE('04_調査結果'!$BA$5:$BA$404,B74),'04_調査結果'!$BA$5:$BA$404,0)),"")</f>
        <v/>
      </c>
      <c r="F74" s="26">
        <f>IFERROR(INDEX('04_調査結果'!$AI$5:$AI$404,MATCH(LARGE('04_調査結果'!$BA$5:$BA$404,B74),'04_調査結果'!$BA$5:$BA$404,0)),"")</f>
        <v/>
      </c>
      <c r="G74" s="8">
        <f>IFERROR(INDEX('04_調査結果'!$AH$5:$AH$404,MATCH(LARGE('04_調査結果'!$BA$5:$BA$404,B74),'04_調査結果'!$BA$5:$BA$404,0)),"")</f>
        <v/>
      </c>
      <c r="H74" s="8">
        <f>IFERROR(INDEX('04_調査結果'!$AA$5:$AA$404,MATCH(LARGE('04_調査結果'!$BA$5:$BA$404,B74),'04_調査結果'!$BA$5:$BA$404,0)),"")</f>
        <v/>
      </c>
      <c r="I74" s="20" t="n"/>
    </row>
    <row r="75">
      <c r="B75" s="8" t="n">
        <v>5</v>
      </c>
      <c r="C75" s="8">
        <f>IFERROR(INDEX('04_調査結果'!$AQ$5:$AQ$404,MATCH(LARGE('04_調査結果'!$BA$5:$BA$404,B75),'04_調査結果'!$BA$5:$BA$404,0)),"")</f>
        <v/>
      </c>
      <c r="D75" s="8">
        <f>IFERROR(INDEX('04_調査結果'!$G$5:$G$404,MATCH(LARGE('04_調査結果'!$BA$5:$BA$404,B75),'04_調査結果'!$BA$5:$BA$404,0)),"")</f>
        <v/>
      </c>
      <c r="E75" s="8">
        <f>IFERROR(INDEX('04_調査結果'!$M$5:$M$404,MATCH(LARGE('04_調査結果'!$BA$5:$BA$404,B75),'04_調査結果'!$BA$5:$BA$404,0)),"")</f>
        <v/>
      </c>
      <c r="F75" s="26">
        <f>IFERROR(INDEX('04_調査結果'!$AI$5:$AI$404,MATCH(LARGE('04_調査結果'!$BA$5:$BA$404,B75),'04_調査結果'!$BA$5:$BA$404,0)),"")</f>
        <v/>
      </c>
      <c r="G75" s="8">
        <f>IFERROR(INDEX('04_調査結果'!$AH$5:$AH$404,MATCH(LARGE('04_調査結果'!$BA$5:$BA$404,B75),'04_調査結果'!$BA$5:$BA$404,0)),"")</f>
        <v/>
      </c>
      <c r="H75" s="8">
        <f>IFERROR(INDEX('04_調査結果'!$AA$5:$AA$404,MATCH(LARGE('04_調査結果'!$BA$5:$BA$404,B75),'04_調査結果'!$BA$5:$BA$404,0)),"")</f>
        <v/>
      </c>
      <c r="I75" s="20" t="n"/>
    </row>
    <row r="76">
      <c r="B76" s="8" t="n">
        <v>6</v>
      </c>
      <c r="C76" s="8">
        <f>IFERROR(INDEX('04_調査結果'!$AQ$5:$AQ$404,MATCH(LARGE('04_調査結果'!$BA$5:$BA$404,B76),'04_調査結果'!$BA$5:$BA$404,0)),"")</f>
        <v/>
      </c>
      <c r="D76" s="8">
        <f>IFERROR(INDEX('04_調査結果'!$G$5:$G$404,MATCH(LARGE('04_調査結果'!$BA$5:$BA$404,B76),'04_調査結果'!$BA$5:$BA$404,0)),"")</f>
        <v/>
      </c>
      <c r="E76" s="8">
        <f>IFERROR(INDEX('04_調査結果'!$M$5:$M$404,MATCH(LARGE('04_調査結果'!$BA$5:$BA$404,B76),'04_調査結果'!$BA$5:$BA$404,0)),"")</f>
        <v/>
      </c>
      <c r="F76" s="26">
        <f>IFERROR(INDEX('04_調査結果'!$AI$5:$AI$404,MATCH(LARGE('04_調査結果'!$BA$5:$BA$404,B76),'04_調査結果'!$BA$5:$BA$404,0)),"")</f>
        <v/>
      </c>
      <c r="G76" s="8">
        <f>IFERROR(INDEX('04_調査結果'!$AH$5:$AH$404,MATCH(LARGE('04_調査結果'!$BA$5:$BA$404,B76),'04_調査結果'!$BA$5:$BA$404,0)),"")</f>
        <v/>
      </c>
      <c r="H76" s="8">
        <f>IFERROR(INDEX('04_調査結果'!$AA$5:$AA$404,MATCH(LARGE('04_調査結果'!$BA$5:$BA$404,B76),'04_調査結果'!$BA$5:$BA$404,0)),"")</f>
        <v/>
      </c>
      <c r="I76" s="20" t="n"/>
    </row>
    <row r="77">
      <c r="B77" s="8" t="n">
        <v>7</v>
      </c>
      <c r="C77" s="8">
        <f>IFERROR(INDEX('04_調査結果'!$AQ$5:$AQ$404,MATCH(LARGE('04_調査結果'!$BA$5:$BA$404,B77),'04_調査結果'!$BA$5:$BA$404,0)),"")</f>
        <v/>
      </c>
      <c r="D77" s="8">
        <f>IFERROR(INDEX('04_調査結果'!$G$5:$G$404,MATCH(LARGE('04_調査結果'!$BA$5:$BA$404,B77),'04_調査結果'!$BA$5:$BA$404,0)),"")</f>
        <v/>
      </c>
      <c r="E77" s="8">
        <f>IFERROR(INDEX('04_調査結果'!$M$5:$M$404,MATCH(LARGE('04_調査結果'!$BA$5:$BA$404,B77),'04_調査結果'!$BA$5:$BA$404,0)),"")</f>
        <v/>
      </c>
      <c r="F77" s="26">
        <f>IFERROR(INDEX('04_調査結果'!$AI$5:$AI$404,MATCH(LARGE('04_調査結果'!$BA$5:$BA$404,B77),'04_調査結果'!$BA$5:$BA$404,0)),"")</f>
        <v/>
      </c>
      <c r="G77" s="8">
        <f>IFERROR(INDEX('04_調査結果'!$AH$5:$AH$404,MATCH(LARGE('04_調査結果'!$BA$5:$BA$404,B77),'04_調査結果'!$BA$5:$BA$404,0)),"")</f>
        <v/>
      </c>
      <c r="H77" s="8">
        <f>IFERROR(INDEX('04_調査結果'!$AA$5:$AA$404,MATCH(LARGE('04_調査結果'!$BA$5:$BA$404,B77),'04_調査結果'!$BA$5:$BA$404,0)),"")</f>
        <v/>
      </c>
      <c r="I77" s="20" t="n"/>
    </row>
    <row r="78">
      <c r="B78" s="8" t="n">
        <v>8</v>
      </c>
      <c r="C78" s="8">
        <f>IFERROR(INDEX('04_調査結果'!$AQ$5:$AQ$404,MATCH(LARGE('04_調査結果'!$BA$5:$BA$404,B78),'04_調査結果'!$BA$5:$BA$404,0)),"")</f>
        <v/>
      </c>
      <c r="D78" s="8">
        <f>IFERROR(INDEX('04_調査結果'!$G$5:$G$404,MATCH(LARGE('04_調査結果'!$BA$5:$BA$404,B78),'04_調査結果'!$BA$5:$BA$404,0)),"")</f>
        <v/>
      </c>
      <c r="E78" s="8">
        <f>IFERROR(INDEX('04_調査結果'!$M$5:$M$404,MATCH(LARGE('04_調査結果'!$BA$5:$BA$404,B78),'04_調査結果'!$BA$5:$BA$404,0)),"")</f>
        <v/>
      </c>
      <c r="F78" s="26">
        <f>IFERROR(INDEX('04_調査結果'!$AI$5:$AI$404,MATCH(LARGE('04_調査結果'!$BA$5:$BA$404,B78),'04_調査結果'!$BA$5:$BA$404,0)),"")</f>
        <v/>
      </c>
      <c r="G78" s="8">
        <f>IFERROR(INDEX('04_調査結果'!$AH$5:$AH$404,MATCH(LARGE('04_調査結果'!$BA$5:$BA$404,B78),'04_調査結果'!$BA$5:$BA$404,0)),"")</f>
        <v/>
      </c>
      <c r="H78" s="8">
        <f>IFERROR(INDEX('04_調査結果'!$AA$5:$AA$404,MATCH(LARGE('04_調査結果'!$BA$5:$BA$404,B78),'04_調査結果'!$BA$5:$BA$404,0)),"")</f>
        <v/>
      </c>
      <c r="I78" s="20" t="n"/>
    </row>
    <row r="79">
      <c r="B79" s="8" t="n">
        <v>9</v>
      </c>
      <c r="C79" s="8">
        <f>IFERROR(INDEX('04_調査結果'!$AQ$5:$AQ$404,MATCH(LARGE('04_調査結果'!$BA$5:$BA$404,B79),'04_調査結果'!$BA$5:$BA$404,0)),"")</f>
        <v/>
      </c>
      <c r="D79" s="8">
        <f>IFERROR(INDEX('04_調査結果'!$G$5:$G$404,MATCH(LARGE('04_調査結果'!$BA$5:$BA$404,B79),'04_調査結果'!$BA$5:$BA$404,0)),"")</f>
        <v/>
      </c>
      <c r="E79" s="8">
        <f>IFERROR(INDEX('04_調査結果'!$M$5:$M$404,MATCH(LARGE('04_調査結果'!$BA$5:$BA$404,B79),'04_調査結果'!$BA$5:$BA$404,0)),"")</f>
        <v/>
      </c>
      <c r="F79" s="26">
        <f>IFERROR(INDEX('04_調査結果'!$AI$5:$AI$404,MATCH(LARGE('04_調査結果'!$BA$5:$BA$404,B79),'04_調査結果'!$BA$5:$BA$404,0)),"")</f>
        <v/>
      </c>
      <c r="G79" s="8">
        <f>IFERROR(INDEX('04_調査結果'!$AH$5:$AH$404,MATCH(LARGE('04_調査結果'!$BA$5:$BA$404,B79),'04_調査結果'!$BA$5:$BA$404,0)),"")</f>
        <v/>
      </c>
      <c r="H79" s="8">
        <f>IFERROR(INDEX('04_調査結果'!$AA$5:$AA$404,MATCH(LARGE('04_調査結果'!$BA$5:$BA$404,B79),'04_調査結果'!$BA$5:$BA$404,0)),"")</f>
        <v/>
      </c>
      <c r="I79" s="20" t="n"/>
    </row>
    <row r="80">
      <c r="B80" s="8" t="n">
        <v>10</v>
      </c>
      <c r="C80" s="8">
        <f>IFERROR(INDEX('04_調査結果'!$AQ$5:$AQ$404,MATCH(LARGE('04_調査結果'!$BA$5:$BA$404,B80),'04_調査結果'!$BA$5:$BA$404,0)),"")</f>
        <v/>
      </c>
      <c r="D80" s="8">
        <f>IFERROR(INDEX('04_調査結果'!$G$5:$G$404,MATCH(LARGE('04_調査結果'!$BA$5:$BA$404,B80),'04_調査結果'!$BA$5:$BA$404,0)),"")</f>
        <v/>
      </c>
      <c r="E80" s="8">
        <f>IFERROR(INDEX('04_調査結果'!$M$5:$M$404,MATCH(LARGE('04_調査結果'!$BA$5:$BA$404,B80),'04_調査結果'!$BA$5:$BA$404,0)),"")</f>
        <v/>
      </c>
      <c r="F80" s="26">
        <f>IFERROR(INDEX('04_調査結果'!$AI$5:$AI$404,MATCH(LARGE('04_調査結果'!$BA$5:$BA$404,B80),'04_調査結果'!$BA$5:$BA$404,0)),"")</f>
        <v/>
      </c>
      <c r="G80" s="8">
        <f>IFERROR(INDEX('04_調査結果'!$AH$5:$AH$404,MATCH(LARGE('04_調査結果'!$BA$5:$BA$404,B80),'04_調査結果'!$BA$5:$BA$404,0)),"")</f>
        <v/>
      </c>
      <c r="H80" s="8">
        <f>IFERROR(INDEX('04_調査結果'!$AA$5:$AA$404,MATCH(LARGE('04_調査結果'!$BA$5:$BA$404,B80),'04_調査結果'!$BA$5:$BA$404,0)),"")</f>
        <v/>
      </c>
      <c r="I80" s="20" t="n"/>
    </row>
    <row r="81"/>
  </sheetData>
  <mergeCells count="21">
    <mergeCell ref="H78:I78"/>
    <mergeCell ref="C8:I8"/>
    <mergeCell ref="H74:I74"/>
    <mergeCell ref="H73:I73"/>
    <mergeCell ref="D18:I18"/>
    <mergeCell ref="C6:I6"/>
    <mergeCell ref="C5:I5"/>
    <mergeCell ref="H79:I79"/>
    <mergeCell ref="H72:I72"/>
    <mergeCell ref="C4:I4"/>
    <mergeCell ref="H75:I75"/>
    <mergeCell ref="C10:I10"/>
    <mergeCell ref="D20:I20"/>
    <mergeCell ref="H80:I80"/>
    <mergeCell ref="D19:I19"/>
    <mergeCell ref="H77:I77"/>
    <mergeCell ref="C9:I9"/>
    <mergeCell ref="D22:I22"/>
    <mergeCell ref="H76:I76"/>
    <mergeCell ref="H71:I71"/>
    <mergeCell ref="D21:I21"/>
  </mergeCells>
  <conditionalFormatting sqref="C19">
    <cfRule type="expression" priority="1" dxfId="0">
      <formula>$C$19="列がずれている可能性"</formula>
    </cfRule>
  </conditionalFormatting>
  <conditionalFormatting sqref="C20">
    <cfRule type="expression" priority="2" dxfId="1">
      <formula>$C$20&gt;0</formula>
    </cfRule>
  </conditionalFormatting>
  <conditionalFormatting sqref="C21">
    <cfRule type="expression" priority="3" dxfId="1">
      <formula>$C$21&gt;0</formula>
    </cfRule>
  </conditionalFormatting>
  <conditionalFormatting sqref="C22">
    <cfRule type="expression" priority="4" dxfId="0">
      <formula>AND(ISNUMBER($C$22),$C$22&gt;='01_設定'!$C$11)</formula>
    </cfRule>
  </conditionalFormatting>
  <conditionalFormatting sqref="C26">
    <cfRule type="expression" priority="5" dxfId="1">
      <formula>AND('01_設定'!$C$28&gt;0,$C$26=0)</formula>
    </cfRule>
  </conditionalFormatting>
  <conditionalFormatting sqref="C27">
    <cfRule type="expression" priority="6" dxfId="1">
      <formula>AND('01_設定'!$C$28&gt;0,$C$27=0)</formula>
    </cfRule>
  </conditionalFormatting>
  <conditionalFormatting sqref="C28">
    <cfRule type="expression" priority="7" dxfId="1">
      <formula>AND('01_設定'!$C$28&gt;0,$C$28=0)</formula>
    </cfRule>
  </conditionalFormatting>
  <conditionalFormatting sqref="C29">
    <cfRule type="expression" priority="8" dxfId="1">
      <formula>AND('01_設定'!$C$28&gt;0,$C$29=0)</formula>
    </cfRule>
  </conditionalFormatting>
  <conditionalFormatting sqref="C30">
    <cfRule type="expression" priority="9" dxfId="1">
      <formula>AND('01_設定'!$C$28&gt;0,$C$30=0)</formula>
    </cfRule>
  </conditionalFormatting>
  <conditionalFormatting sqref="C31">
    <cfRule type="expression" priority="10" dxfId="1">
      <formula>AND('01_設定'!$C$28&gt;0,$C$31=0)</formula>
    </cfRule>
  </conditionalFormatting>
  <pageMargins left="0.75" right="0.75" top="1" bottom="1" header="0.5" footer="0.5"/>
</worksheet>
</file>

<file path=xl/worksheets/sheet4.xml><?xml version="1.0" encoding="utf-8"?>
<worksheet xmlns="http://schemas.openxmlformats.org/spreadsheetml/2006/main">
  <sheetPr>
    <tabColor rgb="00C55A11"/>
    <outlinePr summaryBelow="1" summaryRight="1"/>
    <pageSetUpPr/>
  </sheetPr>
  <dimension ref="A1:F16"/>
  <sheetViews>
    <sheetView showGridLines="1" workbookViewId="0">
      <pane xSplit="2" ySplit="4" topLeftCell="C5" activePane="bottomRight" state="frozen"/>
      <selection pane="topRight"/>
      <selection pane="bottomLeft"/>
      <selection pane="bottomRight" activeCell="A1" sqref="A1"/>
    </sheetView>
  </sheetViews>
  <sheetFormatPr baseColWidth="8" defaultRowHeight="15"/>
  <cols>
    <col width="7" customWidth="1" min="2" max="2"/>
    <col width="18" customWidth="1" min="3" max="3"/>
    <col width="30" customWidth="1" min="4" max="4"/>
    <col width="110" customWidth="1" min="5" max="5"/>
    <col width="8" customWidth="1" min="6" max="6"/>
  </cols>
  <sheetData>
    <row r="1">
      <c r="A1" s="5" t="inlineStr">
        <is>
          <t>03_プロンプト</t>
        </is>
      </c>
    </row>
    <row r="2">
      <c r="A2" s="2" t="inlineStr">
        <is>
          <t>Researcher に送る文面。上（黄色）が原本で、下が日付などを差し込んだ完成版。普段は 02_ダッシュボードのセルをコピーすればよい。</t>
        </is>
      </c>
    </row>
    <row r="4" ht="30" customHeight="1">
      <c r="B4" s="6" t="inlineStr">
        <is>
          <t>ID</t>
        </is>
      </c>
      <c r="C4" s="6" t="inlineStr">
        <is>
          <t>名称</t>
        </is>
      </c>
      <c r="D4" s="6" t="inlineStr">
        <is>
          <t>使う場面</t>
        </is>
      </c>
      <c r="E4" s="6" t="inlineStr">
        <is>
          <t>本文</t>
        </is>
      </c>
      <c r="F4" s="6" t="inlineStr">
        <is>
          <t>文字数</t>
        </is>
      </c>
    </row>
    <row r="5" ht="409" customHeight="1">
      <c r="B5" s="18" t="inlineStr">
        <is>
          <t>RT</t>
        </is>
      </c>
      <c r="C5" s="23" t="inlineStr">
        <is>
          <t>調査（原本）</t>
        </is>
      </c>
      <c r="D5" s="23" t="inlineStr">
        <is>
          <t>Researcher の新しいチャットで1回だけ。</t>
        </is>
      </c>
      <c r="E5" s="27" t="inlineStr">
        <is>
          <t>【業務の棚卸し {調査ID}】暗黙のタスクの洗い出し
■対象期間：{期間開始}〜{期間終了}（約{月数}か月）
■調べる範囲：私のメール（特に私が送信したもの）、Teamsのチャット、会議。Webは使わない。
■目的：依頼された仕事だけでなく、誰にも頼まれていないのに私の時間を使っている「暗黙のタスク」を洗い出し、自動化や、他の拠点・委託先に任せられるかを判断したい。{追加の指示}
■調べ方（確認の質問はせず、このまま進めてください）
次の6つの観点を、1つずつ順番に検索してください。
観点1：転送・共有による中継、日程・会議の調整、返事の催促・再確認、複数人からの回収・取りまとめ
観点2：他人の作成物や申請の確認・承認・差し戻し、問い合わせへの一次対応と担当の振り分け
観点3：関係者間の意見調整・根回し、トラブルや例外への一次対応、部下・同僚からの相談対応・指導
観点4：定例の報告・数値の更新、会議の準備・進行・議事録・宿題の管理
観点5：申請・手配・事務手続き、回答や判断のための調べもの、資料・文書の作成
観点6：年に数回だけ発生する業務（予算策定・人事評価・目標設定・年度計画・決算・監査対応・棚卸・人事異動・年次イベントなど）
・どの観点も、対象期間の前半と後半の両方から根拠となるやり取りを確認してください（直近に偏らないこと）。
・繰り返し発生している作業を優先し、個々のメールではなく、同じ種類の作業を1つのタスクにまとめてください。
・同じ種類の作業でも、対象の顧客・案件が違えば別のタスクにしてください。多くの顧客で同じ作業をしている場合だけ1つにまとめ、顧客名を「複数」にして、詳細に主な顧客の例を書いてください。
・実際のやり取りで確認できたものだけを挙げてください。推測で作らないでください。該当がない観点は0件でかまいません。
■出力のルール
・前置き・まとめは書かず、1つの表だけを出す（観点ごとに表を分けない）。最大{最大行数}行。
・人名・メールアドレス・電話番号・金額は、表のどの列にも書かない（人は「顧客の経理担当」「部下」のように役割で書く）。会社名・案件名・プロジェクト名は書いてよい。表の中に出典番号やリンクを入れない。
・全部出し終えたら、表の最後の行として、調査IDの列に「##END##」とだけ書いた行を加える。途中で止める場合は、同じように「##続きあり##」の行を加える。
・表の列（この順番、この見出しのまま）：
| 調査ID | No | 観点 | 業務区分 | 顧客名 | 案件・対象名 | タスク名 | 類型 | 説明 | 詳細 | 代表的なやり取り | 主な相手 | 明示暗黙 | 月あたり回数 | 1回あたり分 | 根拠の件数 | 根拠の最初 | 根拠の最後 | 暗黙の理由 | A1 | A2 | A3 | A4 | A5 | A6 | A7 | 任せるための前提条件 |
・調査ID：すべての行に {調査ID} と書く
・No：1からの連番
・観点：1〜6の数字だけ
・業務区分：次の番号だけ　{業務区分一覧}
・顧客名：顧客・取引先の会社名だけを書く（例：A社）。同じ会社は表全体で同じ表記にそろえ、「株式会社」などは付けない。多くの顧客で同じ作業なら「複数」。社内の仕事なら -
・案件・対象名：案件名・社内プロジェクト名・会議体・手続きの名前（例：決算監査、システム導入支援、部門定例会議、経費精算）。顧客名はここには書かない
・タスク名：「業務対象＋動作」で20字以内（例：監査調書のレビュー依頼の取りまとめ）
・類型：次のコードだけを書く（例：T02）　T01 中継・転送／T02 日程・会議調整／T03 催促・フォローアップ／T04 取りまとめ・集約／T05 確認・承認・レビュー／T06 問い合わせ対応・振り分け／T07 利害調整・合意形成／T08 定例報告・数値更新／T09 申請・手配・事務手続き／T10 調査・情報探し／T11 トラブル・例外対応／T12 相談対応・指導／T13 会議運営／T14 資料・文書作成／T99 その他
・説明：40字以内の要約
・詳細：100〜200字。本人や他の人が読んで、どの作業か特定できるように書く。何のための作業か、誰（役割）とどんなやり取りをするか、どんな手順で何を作る・送るか、手間がかかる理由を含める
・代表的なやり取り：根拠にしたやり取りの代表例を1〜2件、「yyyy/mm 件名や話題の要約」の形で書く（人名は書かない）
・主な相手：上司／部下／自部署／他部署／経営層／顧客／取引先／社外その他／複数 のどれか
・明示暗黙：私宛てに具体的な依頼があり、成果物か期限がはっきりしているものは「明示」、それ以外は「暗黙」
・月あたり回数：数字だけ（週1回なら4、月2回なら2、年1回なら0.1、四半期ごとなら0.3）
・1回あたり分：数字だけ（1回分のやり取り全体にかかる時間の目安）
・根拠の件数：このタスクの根拠として確認したやり取りの件数（数字だけ）
・根拠の最初、根拠の最後：根拠にしたやり取りの最初と最後の年月（yyyy/mm）
・暗黙の理由：30字以内（例：依頼がないのに自分から催促している）。明示なら -
・A1〜A7：下の基準で 0・1・2 の数字だけ（大きいほど任せにくい。迷ったら大きい方）
A1 判断・裁量：0=手順どおりで判断不要／1=軽い判断がある／2=管理職の判断・決裁が必要
A2 機密性：0=社内の一般的な情報／1=社外秘／2=人事・評価・個人情報・未公表の経営情報
A3 関係性：0=誰が対応しても同じ／1=相手との一定の関係が必要／2=私本人との信頼関係が前提
A4 言語・文脈：0=定型文で足りる／1=日本語の言い回し・社内用語が必要／2=経緯や空気を読む高度な日本語が必要
A5 即時性：0=翌営業日でよい／1=当日中に必要／2=即時、または日本の勤務時間内の対応が必須
A6 非定型度：0=毎回同じ手順／1=いくつかのパターンがある／2=毎回内容が違う
A7 システム権限：0=メール・Teamsだけで完結／1=社内システムの閲覧が必要／2=承認権限・特別なIDが必要
・任せるための前提条件：40字以内（例：手順書と定型文の整備、閲覧権限の付与）</t>
        </is>
      </c>
      <c r="F5" s="8">
        <f>LEN(E5)</f>
        <v/>
      </c>
    </row>
    <row r="6" ht="42" customHeight="1">
      <c r="B6" s="18" t="inlineStr">
        <is>
          <t>RC</t>
        </is>
      </c>
      <c r="C6" s="23" t="inlineStr">
        <is>
          <t>続き（原本）</t>
        </is>
      </c>
      <c r="D6" s="23" t="inlineStr">
        <is>
          <t>表が途中で終わったとき、同じチャットで。</t>
        </is>
      </c>
      <c r="E6" s="27" t="inlineStr">
        <is>
          <t>【続き {調査ID}】表が途中で終わっています。続きを No.{次No} から、同じ列・同じルールの1つの表で出してください。すでに出した行は繰り返さないでください。前置きは不要です。全部出し終えたら、表の最後の行として、調査IDの列に「##END##」とだけ書いた行を加えてください。</t>
        </is>
      </c>
      <c r="F6" s="8">
        <f>LEN(E6)</f>
        <v/>
      </c>
    </row>
    <row r="7" ht="42" customHeight="1">
      <c r="B7" s="18" t="inlineStr">
        <is>
          <t>RF</t>
        </is>
      </c>
      <c r="C7" s="23" t="inlineStr">
        <is>
          <t>出し直し（原本）</t>
        </is>
      </c>
      <c r="D7" s="23" t="inlineStr">
        <is>
          <t>表にならなかった・表が分かれた・列がずれたとき、同じチャットで。</t>
        </is>
      </c>
      <c r="E7" s="27" t="inlineStr">
        <is>
          <t>【出し直し {調査ID}】上の調査結果を、最初に指定した27列の表1つだけで出し直してください。列の順番と見出しは指定どおりにし、数字の列には数字だけを書いてください。前置き・まとめは不要です。表の最後の行として、調査IDの列に「##END##」とだけ書いた行を加えてください。</t>
        </is>
      </c>
      <c r="F7" s="8">
        <f>LEN(E7)</f>
        <v/>
      </c>
    </row>
    <row r="8" ht="210" customHeight="1">
      <c r="B8" s="18" t="inlineStr">
        <is>
          <t>MR</t>
        </is>
      </c>
      <c r="C8" s="23" t="inlineStr">
        <is>
          <t>手作業：本人確認</t>
        </is>
      </c>
      <c r="D8" s="23" t="inlineStr">
        <is>
          <t>調査のあと。</t>
        </is>
      </c>
      <c r="E8" s="27" t="inlineStr">
        <is>
          <t>【手作業】本人確認（目安20分）
1. 01_設定の「実行日」が空欄なら、Researcher を実行した日を入れる（空欄のままだと毎日変わる）。
2. 04_調査結果の判定列（AB列）に「△」が出ている行は、値を直すと集計の対象になる（直さなければ集計されないだけ）。「×」や見出し行・終わりの印はそのままでよい。
3. 05_タスク一覧を上から見て、明らかな誤り・業務ではないもの・重複があれば、04_調査結果のAD列（本人確認）で「除外」を選ぶ。AC列（要確認）に「根拠1件」「同名あり」と出ているものを優先して見る。何もしなければ提出の対象になる。
4. 回数や時間が実感と大きく違うものだけ、AE列・AF列に自分の見積もりを入れる。移管区分に異論があるものだけ、AG列で選び直す。
5. 詳細を読んで、自分でも何の作業かわからないものは、詳細を書き足すか「除外」にする。業務区分・案件・対象名が違っていれば直す。
6. 06_顧客別集計の「会社名の名寄せ」で、同じ会社が別の表記になっていないか確認する。自動でそろわなかったものだけ「統一後の名前」に正しい名前を入れる。人名が残っていれば書き換える。
7. 終わったら、01_設定の「本人確認」を「完了」にする。</t>
        </is>
      </c>
      <c r="F8" s="8">
        <f>LEN(E8)</f>
        <v/>
      </c>
    </row>
    <row r="9" ht="98" customHeight="1">
      <c r="B9" s="18" t="inlineStr">
        <is>
          <t>MS</t>
        </is>
      </c>
      <c r="C9" s="23" t="inlineStr">
        <is>
          <t>手作業：提出</t>
        </is>
      </c>
      <c r="D9" s="23" t="inlineStr">
        <is>
          <t>本人確認のあと。</t>
        </is>
      </c>
      <c r="E9" s="27" t="inlineStr">
        <is>
          <t>【手作業】提出
1. 05_タスク一覧（提出用）に、除外していないタスクだけが並んでいることを確認する（氏名・メール本文は含まれない）。
2. 02_ダッシュボードの「ファイル名」が OK か確認する。OK でなければ、表示されている推奨ファイル名（実行者IDで始まる名前）で保存し直す。
3. 配布元の指示に従い、このファイルを提出先に保存する。
4. 01_設定の「提出状況」を「提出済み」にする。</t>
        </is>
      </c>
      <c r="F9" s="8">
        <f>LEN(E9)</f>
        <v/>
      </c>
    </row>
    <row r="11">
      <c r="B11" s="12" t="inlineStr">
        <is>
          <t>■ 完成版（自動で差し込み済み）</t>
        </is>
      </c>
    </row>
    <row r="12" ht="30" customHeight="1">
      <c r="B12" s="6" t="inlineStr">
        <is>
          <t>ID</t>
        </is>
      </c>
      <c r="C12" s="6" t="inlineStr">
        <is>
          <t>名称</t>
        </is>
      </c>
      <c r="D12" s="6" t="inlineStr">
        <is>
          <t>使う場面</t>
        </is>
      </c>
      <c r="E12" s="6" t="inlineStr">
        <is>
          <t>本文（このセルをコピー）</t>
        </is>
      </c>
      <c r="F12" s="6" t="inlineStr">
        <is>
          <t>文字数</t>
        </is>
      </c>
    </row>
    <row r="13" ht="120" customHeight="1">
      <c r="B13" s="18" t="inlineStr">
        <is>
          <t>R1</t>
        </is>
      </c>
      <c r="C13" s="23" t="inlineStr">
        <is>
          <t>調査（送るもの）</t>
        </is>
      </c>
      <c r="D13" s="23" t="inlineStr">
        <is>
          <t>Researcher の新しいチャットで1回だけ。</t>
        </is>
      </c>
      <c r="E13" s="23">
        <f>SUBSTITUTE(SUBSTITUTE(SUBSTITUTE(SUBSTITUTE(SUBSTITUTE(SUBSTITUTE(SUBSTITUTE($E$5,"{調査ID}","R1"),"{期間開始}",TEXT('01_設定'!$C$23,"yyyy年m月d日")),"{期間終了}",TEXT('01_設定'!$C$22,"yyyy年m月d日")),"{月数}",ROUND(('01_設定'!$C$22-'01_設定'!$C$23)/30.44,0)),"{最大行数}",'01_設定'!$C$9),"{業務区分一覧}",'M2_区分マスタ'!$I$12),"{追加の指示}","")</f>
        <v/>
      </c>
      <c r="F13" s="8">
        <f>LEN(E13)</f>
        <v/>
      </c>
    </row>
    <row r="14" ht="120" customHeight="1">
      <c r="B14" s="18" t="inlineStr">
        <is>
          <t>R1続き</t>
        </is>
      </c>
      <c r="C14" s="23" t="inlineStr">
        <is>
          <t>続き（送るもの）</t>
        </is>
      </c>
      <c r="D14" s="23" t="inlineStr">
        <is>
          <t>表が途中で終わったとき、同じチャットで。</t>
        </is>
      </c>
      <c r="E14" s="23">
        <f>SUBSTITUTE(SUBSTITUTE($E$6,"{調査ID}","R1"),"{次No}",IFERROR(_xlfn.MAXIFS('04_調査結果'!$B$5:$B$404,'04_調査結果'!$AM$5:$AM$404,"R1"),0)+1)</f>
        <v/>
      </c>
      <c r="F14" s="8">
        <f>LEN(E14)</f>
        <v/>
      </c>
    </row>
    <row r="15" ht="120" customHeight="1">
      <c r="B15" s="18" t="inlineStr">
        <is>
          <t>R1出し直し</t>
        </is>
      </c>
      <c r="C15" s="23" t="inlineStr">
        <is>
          <t>出し直し（送るもの）</t>
        </is>
      </c>
      <c r="D15" s="23" t="inlineStr">
        <is>
          <t>表にならなかった・表が分かれた・列がずれたとき、同じチャットで。</t>
        </is>
      </c>
      <c r="E15" s="23">
        <f>SUBSTITUTE($E$7,"{調査ID}","R1")</f>
        <v/>
      </c>
      <c r="F15" s="8">
        <f>LEN(E15)</f>
        <v/>
      </c>
    </row>
    <row r="16" ht="120" customHeight="1">
      <c r="B16" s="18" t="inlineStr">
        <is>
          <t>R2</t>
        </is>
      </c>
      <c r="C16" s="23" t="inlineStr">
        <is>
          <t>前半の追加調査（任意）</t>
        </is>
      </c>
      <c r="D16" s="23" t="inlineStr">
        <is>
          <t>結果が直近に偏っていた場合だけ。Researcher の新しいチャットで。</t>
        </is>
      </c>
      <c r="E16" s="23">
        <f>SUBSTITUTE(SUBSTITUTE(SUBSTITUTE(SUBSTITUTE(SUBSTITUTE(SUBSTITUTE(SUBSTITUTE($E$5,"{調査ID}","R2"),"{期間開始}",TEXT('01_設定'!$C$23,"yyyy年m月d日")),"{期間終了}",TEXT('01_設定'!$C$25,"yyyy年m月d日")),"{月数}",ROUND(('01_設定'!$C$25-'01_設定'!$C$23)/30.44,0)),"{最大行数}",'01_設定'!$C$9),"{業務区分一覧}",'M2_区分マスタ'!$I$12),"{追加の指示}","
※ 直近の業務は別の調査で確認済みです。この期間に繰り返し発生していた業務を中心に挙げてください。")</f>
        <v/>
      </c>
      <c r="F16" s="8">
        <f>LEN(E16)</f>
        <v/>
      </c>
    </row>
  </sheetData>
  <pageMargins left="0.75" right="0.75" top="1" bottom="1" header="0.5" footer="0.5"/>
</worksheet>
</file>

<file path=xl/worksheets/sheet5.xml><?xml version="1.0" encoding="utf-8"?>
<worksheet xmlns="http://schemas.openxmlformats.org/spreadsheetml/2006/main">
  <sheetPr>
    <tabColor rgb="00548235"/>
    <outlinePr summaryBelow="1" summaryRight="1"/>
    <pageSetUpPr/>
  </sheetPr>
  <dimension ref="A1:BG404"/>
  <sheetViews>
    <sheetView showGridLines="1" workbookViewId="0">
      <pane xSplit="4" ySplit="4" topLeftCell="E5" activePane="bottomRight" state="frozen"/>
      <selection pane="topRight"/>
      <selection pane="bottomLeft"/>
      <selection pane="bottomRight" activeCell="A1" sqref="A1"/>
    </sheetView>
  </sheetViews>
  <sheetFormatPr baseColWidth="8" defaultRowHeight="15"/>
  <cols>
    <col width="7" customWidth="1" min="1" max="1"/>
    <col width="5" customWidth="1" min="2" max="2"/>
    <col width="5" customWidth="1" min="3" max="3"/>
    <col width="6" customWidth="1" min="4" max="4"/>
    <col width="14" customWidth="1" min="5" max="5"/>
    <col width="20" customWidth="1" min="6" max="6"/>
    <col width="26" customWidth="1" min="7" max="7"/>
    <col width="7" customWidth="1" min="8" max="8"/>
    <col width="30" customWidth="1" min="9" max="9"/>
    <col width="60" customWidth="1" min="10" max="10"/>
    <col width="34" customWidth="1" min="11" max="11"/>
    <col width="9" customWidth="1" min="12" max="12"/>
    <col width="7" customWidth="1" min="13" max="13"/>
    <col width="8" customWidth="1" min="14" max="14"/>
    <col width="8" customWidth="1" min="15" max="15"/>
    <col width="7" customWidth="1" min="16" max="16"/>
    <col width="9" customWidth="1" min="17" max="17"/>
    <col width="9" customWidth="1" min="18" max="18"/>
    <col width="26" customWidth="1" min="19" max="19"/>
    <col width="4" customWidth="1" min="20" max="20"/>
    <col width="4" customWidth="1" min="21" max="21"/>
    <col width="4" customWidth="1" min="22" max="22"/>
    <col width="4" customWidth="1" min="23" max="23"/>
    <col width="4" customWidth="1" min="24" max="24"/>
    <col width="4" customWidth="1" min="25" max="25"/>
    <col width="4" customWidth="1" min="26" max="26"/>
    <col width="30" customWidth="1" min="27" max="27"/>
    <col width="20" customWidth="1" min="28" max="28"/>
    <col width="16" customWidth="1" min="29" max="29"/>
    <col width="8" customWidth="1" min="30" max="30"/>
    <col width="9" customWidth="1" min="31" max="31"/>
    <col width="9" customWidth="1" min="32" max="32"/>
    <col width="16" customWidth="1" min="33" max="33"/>
    <col width="16" customWidth="1" min="34" max="34"/>
    <col width="9" customWidth="1" min="35" max="35"/>
    <col width="16" customWidth="1" min="36" max="36"/>
    <col width="8" customWidth="1" min="37" max="37"/>
    <col width="9" customWidth="1" min="38" max="38"/>
    <col width="7" customWidth="1" min="39" max="39"/>
    <col width="8" customWidth="1" min="40" max="40"/>
    <col width="6" customWidth="1" min="41" max="41"/>
    <col width="6" customWidth="1" min="42" max="42"/>
    <col width="6" customWidth="1" min="43" max="43"/>
    <col width="7" customWidth="1" min="44" max="44"/>
    <col width="7" customWidth="1" min="45" max="45"/>
    <col width="7" customWidth="1" min="46" max="46"/>
    <col width="7" customWidth="1" min="47" max="47"/>
    <col width="9" customWidth="1" min="48" max="48"/>
    <col width="10" customWidth="1" min="49" max="49"/>
    <col width="10" customWidth="1" min="50" max="50"/>
    <col width="6" customWidth="1" min="51" max="51"/>
    <col width="6" customWidth="1" min="52" max="52"/>
    <col width="8" customWidth="1" min="53" max="53"/>
    <col width="12" customWidth="1" min="54" max="54"/>
    <col width="5" customWidth="1" min="55" max="55"/>
    <col width="5" customWidth="1" min="56" max="56"/>
    <col width="12" customWidth="1" min="57" max="57"/>
    <col width="5" customWidth="1" min="58" max="58"/>
    <col width="5" customWidth="1" min="59" max="59"/>
  </cols>
  <sheetData>
    <row r="1">
      <c r="A1" s="5" t="inlineStr">
        <is>
          <t>04_調査結果（Researcher の表の貼り付け先・本人確認もここで行う）</t>
        </is>
      </c>
    </row>
    <row r="2">
      <c r="A2" s="2" t="inlineStr">
        <is>
          <t>Researcher の表を見出し行ごとコピーし、A5 から下の最初の空き行に貼る（緑の見出しの列 A〜AA）。判定が OK の行だけが集計される。黄色の見出しの列（AD〜AG）は本人確認のときだけ入力する。</t>
        </is>
      </c>
    </row>
    <row r="3" ht="48" customHeight="1">
      <c r="A3" s="28" t="inlineStr">
        <is>
          <t>調査ID</t>
        </is>
      </c>
      <c r="B3" s="28" t="inlineStr">
        <is>
          <t>No</t>
        </is>
      </c>
      <c r="C3" s="28" t="inlineStr">
        <is>
          <t>観点</t>
        </is>
      </c>
      <c r="D3" s="28" t="inlineStr">
        <is>
          <t>業務区分</t>
        </is>
      </c>
      <c r="E3" s="28" t="inlineStr">
        <is>
          <t>顧客名</t>
        </is>
      </c>
      <c r="F3" s="28" t="inlineStr">
        <is>
          <t>案件・対象名</t>
        </is>
      </c>
      <c r="G3" s="28" t="inlineStr">
        <is>
          <t>タスク名</t>
        </is>
      </c>
      <c r="H3" s="28" t="inlineStr">
        <is>
          <t>類型</t>
        </is>
      </c>
      <c r="I3" s="28" t="inlineStr">
        <is>
          <t>説明</t>
        </is>
      </c>
      <c r="J3" s="28" t="inlineStr">
        <is>
          <t>詳細</t>
        </is>
      </c>
      <c r="K3" s="28" t="inlineStr">
        <is>
          <t>代表的なやり取り</t>
        </is>
      </c>
      <c r="L3" s="28" t="inlineStr">
        <is>
          <t>主な相手</t>
        </is>
      </c>
      <c r="M3" s="28" t="inlineStr">
        <is>
          <t>明示暗黙</t>
        </is>
      </c>
      <c r="N3" s="28" t="inlineStr">
        <is>
          <t>月あたり回数</t>
        </is>
      </c>
      <c r="O3" s="28" t="inlineStr">
        <is>
          <t>1回あたり分</t>
        </is>
      </c>
      <c r="P3" s="28" t="inlineStr">
        <is>
          <t>根拠の件数</t>
        </is>
      </c>
      <c r="Q3" s="28" t="inlineStr">
        <is>
          <t>根拠の最初</t>
        </is>
      </c>
      <c r="R3" s="28" t="inlineStr">
        <is>
          <t>根拠の最後</t>
        </is>
      </c>
      <c r="S3" s="28" t="inlineStr">
        <is>
          <t>暗黙の理由</t>
        </is>
      </c>
      <c r="T3" s="28" t="inlineStr">
        <is>
          <t>A1</t>
        </is>
      </c>
      <c r="U3" s="28" t="inlineStr">
        <is>
          <t>A2</t>
        </is>
      </c>
      <c r="V3" s="28" t="inlineStr">
        <is>
          <t>A3</t>
        </is>
      </c>
      <c r="W3" s="28" t="inlineStr">
        <is>
          <t>A4</t>
        </is>
      </c>
      <c r="X3" s="28" t="inlineStr">
        <is>
          <t>A5</t>
        </is>
      </c>
      <c r="Y3" s="28" t="inlineStr">
        <is>
          <t>A6</t>
        </is>
      </c>
      <c r="Z3" s="28" t="inlineStr">
        <is>
          <t>A7</t>
        </is>
      </c>
      <c r="AA3" s="28" t="inlineStr">
        <is>
          <t>任せるための前提条件</t>
        </is>
      </c>
      <c r="AB3" s="6" t="inlineStr">
        <is>
          <t>判定</t>
        </is>
      </c>
      <c r="AC3" s="6" t="inlineStr">
        <is>
          <t>要確認</t>
        </is>
      </c>
      <c r="AD3" s="7" t="inlineStr">
        <is>
          <t>本人確認</t>
        </is>
      </c>
      <c r="AE3" s="7" t="inlineStr">
        <is>
          <t>補正：月あたり回数</t>
        </is>
      </c>
      <c r="AF3" s="7" t="inlineStr">
        <is>
          <t>補正：1回あたり分</t>
        </is>
      </c>
      <c r="AG3" s="7" t="inlineStr">
        <is>
          <t>本人判断（上書き）</t>
        </is>
      </c>
      <c r="AH3" s="6" t="inlineStr">
        <is>
          <t>採用区分</t>
        </is>
      </c>
      <c r="AI3" s="6" t="inlineStr">
        <is>
          <t>採用：月あたり時間h</t>
        </is>
      </c>
      <c r="AJ3" s="6" t="inlineStr">
        <is>
          <t>自動判定</t>
        </is>
      </c>
      <c r="AK3" s="6" t="inlineStr">
        <is>
          <t>任せやすさ（14点満点）</t>
        </is>
      </c>
      <c r="AL3" s="6" t="inlineStr">
        <is>
          <t>月あたり時間h（推定）</t>
        </is>
      </c>
      <c r="AM3" s="29" t="inlineStr">
        <is>
          <t>調査ID（整形）</t>
        </is>
      </c>
      <c r="AN3" s="29" t="inlineStr">
        <is>
          <t>キー</t>
        </is>
      </c>
      <c r="AO3" s="29" t="inlineStr">
        <is>
          <t>観点（数値）</t>
        </is>
      </c>
      <c r="AP3" s="29" t="inlineStr">
        <is>
          <t>業務区分（数値）</t>
        </is>
      </c>
      <c r="AQ3" s="29" t="inlineStr">
        <is>
          <t>類型コード</t>
        </is>
      </c>
      <c r="AR3" s="29" t="inlineStr">
        <is>
          <t>回数の数字部分</t>
        </is>
      </c>
      <c r="AS3" s="29" t="inlineStr">
        <is>
          <t>回数（数値）</t>
        </is>
      </c>
      <c r="AT3" s="29" t="inlineStr">
        <is>
          <t>分（数値）</t>
        </is>
      </c>
      <c r="AU3" s="29" t="inlineStr">
        <is>
          <t>根拠の件数（数値）</t>
        </is>
      </c>
      <c r="AV3" s="29" t="inlineStr">
        <is>
          <t>同名チェック</t>
        </is>
      </c>
      <c r="AW3" s="29" t="inlineStr">
        <is>
          <t>根拠の最初（日付）</t>
        </is>
      </c>
      <c r="AX3" s="29" t="inlineStr">
        <is>
          <t>根拠の最後（日付）</t>
        </is>
      </c>
      <c r="AY3" s="29" t="inlineStr">
        <is>
          <t>直近フラグ</t>
        </is>
      </c>
      <c r="AZ3" s="29" t="inlineStr">
        <is>
          <t>一覧番号</t>
        </is>
      </c>
      <c r="BA3" s="29" t="inlineStr">
        <is>
          <t>順位用</t>
        </is>
      </c>
      <c r="BB3" s="29" t="inlineStr">
        <is>
          <t>顧客名（整形）</t>
        </is>
      </c>
      <c r="BC3" s="29" t="inlineStr">
        <is>
          <t>顧客名初出</t>
        </is>
      </c>
      <c r="BD3" s="29" t="inlineStr">
        <is>
          <t>顧客名初出番号</t>
        </is>
      </c>
      <c r="BE3" s="29" t="inlineStr">
        <is>
          <t>顧客名（統一後）</t>
        </is>
      </c>
      <c r="BF3" s="29" t="inlineStr">
        <is>
          <t>統一後初出</t>
        </is>
      </c>
      <c r="BG3" s="29" t="inlineStr">
        <is>
          <t>統一後初出番号</t>
        </is>
      </c>
    </row>
    <row r="4">
      <c r="A4" s="30" t="inlineStr">
        <is>
          <t>↓ A5 のセルを選んで貼り付ける（見出し行ごと貼ってよい）。×の行や見出し行は消さなくてよい（集計されない）。</t>
        </is>
      </c>
    </row>
    <row r="5">
      <c r="AB5">
        <f>IF(AND(A5="",G5=""),"",IF(ISNUMBER(SEARCH("##END",AM5)),"（終わりの印）",IF(ISNUMBER(SEARCH("##続き",AM5)),"（続きありの印）",IF(AM5="調査ID","（見出し行）",IF(AND(AM5&lt;&gt;"R1",AM5&lt;&gt;"R2"),"×表以外の行（集計されない）",IF(COUNTIF($AN$5:AN5,AN5)&gt;1,"△重複（集計されない）",IF(G5="","△タスク名なし",IF(ISNA(MATCH(AQ5,'M1_類型マスタ'!$A$5:$A$19,0)),"△類型が不正",IF(OR(AP5="",N(AP5)&lt;1,N(AP5)&gt;6),"△業務区分が不正",IF(OR(AS5="",AT5=""),"△回数・分が読めない",IF(SUMPRODUCT(--ISNUMBER(--T5:Z5))&lt;7,"△採点が足りない",IF(SUMPRODUCT((--T5:Z5&gt;2)+(--T5:Z5&lt;0))&gt;0,"△採点が範囲外","OK"))))))))))))</f>
        <v/>
      </c>
      <c r="AC5">
        <f>IF(AB5&lt;&gt;"OK","",TRIM(IF(AND(AU5&lt;&gt;"",N(AU5)&lt;=1),"根拠1件 ","")&amp;IF(AV5&lt;&gt;"","同名あり ","")&amp;IF(AND(NOT(ISNUMBER(N5)),N5&lt;&gt;""),"回数を換算 ","")&amp;IF(J5="","詳細なし ","")&amp;IF(AND(N(AP5)=1,BB5=""),"顧客名なし ","")))</f>
        <v/>
      </c>
      <c r="AD5" s="31" t="n"/>
      <c r="AE5" s="32" t="n"/>
      <c r="AF5" s="32" t="n"/>
      <c r="AG5" s="31" t="n"/>
      <c r="AH5">
        <f>IF(AB5&lt;&gt;"OK","",IF(AG5&lt;&gt;"",AG5,AJ5))</f>
        <v/>
      </c>
      <c r="AI5" s="33">
        <f>IF(AB5&lt;&gt;"OK","",IFERROR(IF(AE5&lt;&gt;"",AE5,AS5)*IF(AF5&lt;&gt;"",AF5,AT5)/60,""))</f>
        <v/>
      </c>
      <c r="AJ5">
        <f>IF(AB5&lt;&gt;"OK","",IF(OR(VALUE(T5)=2,VALUE(U5)=2,VALUE(V5)=2),"社内残置",IF(AND(VALUE(T5)=0,VALUE(W5)=0,VALUE(Y5)=0),"自動化候補",IF(AND(VALUE(U5)=0,VALUE(W5)&lt;=1,VALUE(X5)&lt;=1,VALUE(Y5)&lt;=1,VALUE(Z5)&lt;=1),"オフショア候補",IF(AND(VALUE(Y5)&lt;=1,VALUE(Z5)&lt;=1),"ニアショア候補","社内で手順化→再評価")))))</f>
        <v/>
      </c>
      <c r="AK5">
        <f>IF(AB5&lt;&gt;"OK","",14-SUMPRODUCT(--T5:Z5))</f>
        <v/>
      </c>
      <c r="AL5" s="33">
        <f>IF(AB5&lt;&gt;"OK","",AS5*AT5/60)</f>
        <v/>
      </c>
      <c r="AM5" s="34">
        <f>IF(A5="","",UPPER(TRIM(ASC(A5&amp;""))))</f>
        <v/>
      </c>
      <c r="AN5" s="34">
        <f>IF(AM5="","",AM5&amp;"-"&amp;B5)</f>
        <v/>
      </c>
      <c r="AO5" s="34">
        <f>IF(C5="","",IFERROR(VALUE(ASC(SUBSTITUTE(C5&amp;"","観点",""))),""))</f>
        <v/>
      </c>
      <c r="AP5" s="34">
        <f>IF(D5="","",IFERROR(VALUE(LEFT(TRIM(ASC(D5&amp;"")),1)),IFERROR(MATCH(TRIM(D5&amp;""),'M2_区分マスタ'!$I$5:$I$10,0),"")))</f>
        <v/>
      </c>
      <c r="AQ5" s="34">
        <f>IF(H5="","",UPPER(LEFT(TRIM(ASC(H5&amp;"")),3)))</f>
        <v/>
      </c>
      <c r="AR5" s="34">
        <f>IF(N5="","",IFERROR(VALUE(SUBSTITUTE(SUBSTITUTE(SUBSTITUTE(SUBSTITUTE(SUBSTITUTE(SUBSTITUTE(SUBSTITUTE(SUBSTITUTE(SUBSTITUTE(SUBSTITUTE(SUBSTITUTE(SUBSTITUTE(ASC(N5&amp;""),"約",""),"程度",""),"ほど",""),"回",""),"毎",""),"週",""),"月",""),"年",""),"日",""),"に",""),"/","")," ","")),""))</f>
        <v/>
      </c>
      <c r="AS5" s="34">
        <f>IF(N5="","",IF(ISNUMBER(N5),N5,IFERROR(VALUE(ASC(N5&amp;"")),IF(AR5&lt;&gt;"",AR5*IF(ISNUMBER(SEARCH("週",N5)),4.3,IF(ISNUMBER(SEARCH("年",N5)),1/12,IF(ISNUMBER(SEARCH("日",N5)),20,1))),IF(ISNUMBER(SEARCH("日",N5)),20,IF(ISNUMBER(SEARCH("週",N5)),4.3,IF(ISNUMBER(SEARCH("月",N5)),1,"")))))))</f>
        <v/>
      </c>
      <c r="AT5" s="34">
        <f>IF(O5="","",IF(ISNUMBER(O5),O5,IFERROR(VALUE(ASC(O5&amp;"")),IF(ISNUMBER(SEARCH("時間",O5)),IFERROR(VALUE(SUBSTITUTE(SUBSTITUTE(SUBSTITUTE(SUBSTITUTE(SUBSTITUTE(ASC(O5&amp;""),"約",""),"程度",""),"ほど",""),"時間","")," ",""))*60,""),IFERROR(VALUE(SUBSTITUTE(SUBSTITUTE(SUBSTITUTE(SUBSTITUTE(SUBSTITUTE(ASC(O5&amp;""),"約",""),"程度",""),"ほど",""),"分","")," ","")),"")))))</f>
        <v/>
      </c>
      <c r="AU5" s="34">
        <f>IF(P5="","",IF(ISNUMBER(P5),P5,IFERROR(VALUE(SUBSTITUTE(SUBSTITUTE(SUBSTITUTE(ASC(P5&amp;""),"約",""),"件","")," ","")),"")))</f>
        <v/>
      </c>
      <c r="AV5" s="34">
        <f>IF(AB5&lt;&gt;"OK","",IF(COUNTIFS($G$5:$G$404,G5&amp;"",$F$5:$F$404,F5&amp;"",$BE$5:$BE$404,BE5&amp;"",$AB$5:$AB$404,"OK")&gt;1,"同名あり",""))</f>
        <v/>
      </c>
      <c r="AW5" s="35">
        <f>IF(Q5="","",IF(ISNUMBER(Q5),Q5,IFERROR(DATEVALUE(SUBSTITUTE(SUBSTITUTE(ASC(Q5&amp;""),"-","/"),".","/")&amp;"/01"),"")))</f>
        <v/>
      </c>
      <c r="AX5" s="35">
        <f>IF(R5="","",IF(ISNUMBER(R5),R5,IFERROR(DATEVALUE(SUBSTITUTE(SUBSTITUTE(ASC(R5&amp;""),"-","/"),".","/")&amp;"/01"),"")))</f>
        <v/>
      </c>
      <c r="AY5" s="34">
        <f>IF(OR(AB5&lt;&gt;"OK",AW5=""),"",IF(AW5&gt;='01_設定'!$C$26,1,0))</f>
        <v/>
      </c>
      <c r="AZ5" s="34">
        <f>IF(AND(AB5="OK",AD5&lt;&gt;"除外"),COUNTIFS($AB$5:AB5,"OK",$AD$5:AD5,"&lt;&gt;除外"),"")</f>
        <v/>
      </c>
      <c r="BA5" s="34">
        <f>IF(OR(AZ5="",AI5=""),"",AI5+ROW()/1000000000)</f>
        <v/>
      </c>
      <c r="BB5" s="34">
        <f>IF(E5="","",IF(OR(TRIM(E5&amp;"")="-",TRIM(E5&amp;"")="－",TRIM(E5&amp;"")="ー"),"",TRIM(E5&amp;"")))</f>
        <v/>
      </c>
      <c r="BC5" s="34">
        <f>IF(AND(AB5="OK",BB5&lt;&gt;""),IF(COUNTIFS($BB$5:BB5,BB5,$AB$5:AB5,"OK")=1,1,""),"")</f>
        <v/>
      </c>
      <c r="BD5" s="34">
        <f>IF(BC5=1,COUNTIF($BC$5:BC5,1),"")</f>
        <v/>
      </c>
      <c r="BE5" s="34">
        <f>IF(BB5="","",IFERROR(INDEX('06_顧客別集計'!$G$5:$G$104,MATCH(BB5,'06_顧客別集計'!$C$5:$C$104,0)),BB5))</f>
        <v/>
      </c>
      <c r="BF5" s="34">
        <f>IF(AND(AZ5&lt;&gt;"",BE5&lt;&gt;""),IF(COUNTIFS($BE$5:BE5,BE5,$AZ$5:AZ5,"&gt;0")=1,1,""),"")</f>
        <v/>
      </c>
      <c r="BG5" s="34">
        <f>IF(BF5=1,COUNTIF($BF$5:BF5,1),"")</f>
        <v/>
      </c>
    </row>
    <row r="6">
      <c r="AB6">
        <f>IF(AND(A6="",G6=""),"",IF(ISNUMBER(SEARCH("##END",AM6)),"（終わりの印）",IF(ISNUMBER(SEARCH("##続き",AM6)),"（続きありの印）",IF(AM6="調査ID","（見出し行）",IF(AND(AM6&lt;&gt;"R1",AM6&lt;&gt;"R2"),"×表以外の行（集計されない）",IF(COUNTIF($AN$5:AN6,AN6)&gt;1,"△重複（集計されない）",IF(G6="","△タスク名なし",IF(ISNA(MATCH(AQ6,'M1_類型マスタ'!$A$5:$A$19,0)),"△類型が不正",IF(OR(AP6="",N(AP6)&lt;1,N(AP6)&gt;6),"△業務区分が不正",IF(OR(AS6="",AT6=""),"△回数・分が読めない",IF(SUMPRODUCT(--ISNUMBER(--T6:Z6))&lt;7,"△採点が足りない",IF(SUMPRODUCT((--T6:Z6&gt;2)+(--T6:Z6&lt;0))&gt;0,"△採点が範囲外","OK"))))))))))))</f>
        <v/>
      </c>
      <c r="AC6">
        <f>IF(AB6&lt;&gt;"OK","",TRIM(IF(AND(AU6&lt;&gt;"",N(AU6)&lt;=1),"根拠1件 ","")&amp;IF(AV6&lt;&gt;"","同名あり ","")&amp;IF(AND(NOT(ISNUMBER(N6)),N6&lt;&gt;""),"回数を換算 ","")&amp;IF(J6="","詳細なし ","")&amp;IF(AND(N(AP6)=1,BB6=""),"顧客名なし ","")))</f>
        <v/>
      </c>
      <c r="AD6" s="31" t="n"/>
      <c r="AE6" s="32" t="n"/>
      <c r="AF6" s="32" t="n"/>
      <c r="AG6" s="31" t="n"/>
      <c r="AH6">
        <f>IF(AB6&lt;&gt;"OK","",IF(AG6&lt;&gt;"",AG6,AJ6))</f>
        <v/>
      </c>
      <c r="AI6" s="33">
        <f>IF(AB6&lt;&gt;"OK","",IFERROR(IF(AE6&lt;&gt;"",AE6,AS6)*IF(AF6&lt;&gt;"",AF6,AT6)/60,""))</f>
        <v/>
      </c>
      <c r="AJ6">
        <f>IF(AB6&lt;&gt;"OK","",IF(OR(VALUE(T6)=2,VALUE(U6)=2,VALUE(V6)=2),"社内残置",IF(AND(VALUE(T6)=0,VALUE(W6)=0,VALUE(Y6)=0),"自動化候補",IF(AND(VALUE(U6)=0,VALUE(W6)&lt;=1,VALUE(X6)&lt;=1,VALUE(Y6)&lt;=1,VALUE(Z6)&lt;=1),"オフショア候補",IF(AND(VALUE(Y6)&lt;=1,VALUE(Z6)&lt;=1),"ニアショア候補","社内で手順化→再評価")))))</f>
        <v/>
      </c>
      <c r="AK6">
        <f>IF(AB6&lt;&gt;"OK","",14-SUMPRODUCT(--T6:Z6))</f>
        <v/>
      </c>
      <c r="AL6" s="33">
        <f>IF(AB6&lt;&gt;"OK","",AS6*AT6/60)</f>
        <v/>
      </c>
      <c r="AM6" s="34">
        <f>IF(A6="","",UPPER(TRIM(ASC(A6&amp;""))))</f>
        <v/>
      </c>
      <c r="AN6" s="34">
        <f>IF(AM6="","",AM6&amp;"-"&amp;B6)</f>
        <v/>
      </c>
      <c r="AO6" s="34">
        <f>IF(C6="","",IFERROR(VALUE(ASC(SUBSTITUTE(C6&amp;"","観点",""))),""))</f>
        <v/>
      </c>
      <c r="AP6" s="34">
        <f>IF(D6="","",IFERROR(VALUE(LEFT(TRIM(ASC(D6&amp;"")),1)),IFERROR(MATCH(TRIM(D6&amp;""),'M2_区分マスタ'!$I$5:$I$10,0),"")))</f>
        <v/>
      </c>
      <c r="AQ6" s="34">
        <f>IF(H6="","",UPPER(LEFT(TRIM(ASC(H6&amp;"")),3)))</f>
        <v/>
      </c>
      <c r="AR6" s="34">
        <f>IF(N6="","",IFERROR(VALUE(SUBSTITUTE(SUBSTITUTE(SUBSTITUTE(SUBSTITUTE(SUBSTITUTE(SUBSTITUTE(SUBSTITUTE(SUBSTITUTE(SUBSTITUTE(SUBSTITUTE(SUBSTITUTE(SUBSTITUTE(ASC(N6&amp;""),"約",""),"程度",""),"ほど",""),"回",""),"毎",""),"週",""),"月",""),"年",""),"日",""),"に",""),"/","")," ","")),""))</f>
        <v/>
      </c>
      <c r="AS6" s="34">
        <f>IF(N6="","",IF(ISNUMBER(N6),N6,IFERROR(VALUE(ASC(N6&amp;"")),IF(AR6&lt;&gt;"",AR6*IF(ISNUMBER(SEARCH("週",N6)),4.3,IF(ISNUMBER(SEARCH("年",N6)),1/12,IF(ISNUMBER(SEARCH("日",N6)),20,1))),IF(ISNUMBER(SEARCH("日",N6)),20,IF(ISNUMBER(SEARCH("週",N6)),4.3,IF(ISNUMBER(SEARCH("月",N6)),1,"")))))))</f>
        <v/>
      </c>
      <c r="AT6" s="34">
        <f>IF(O6="","",IF(ISNUMBER(O6),O6,IFERROR(VALUE(ASC(O6&amp;"")),IF(ISNUMBER(SEARCH("時間",O6)),IFERROR(VALUE(SUBSTITUTE(SUBSTITUTE(SUBSTITUTE(SUBSTITUTE(SUBSTITUTE(ASC(O6&amp;""),"約",""),"程度",""),"ほど",""),"時間","")," ",""))*60,""),IFERROR(VALUE(SUBSTITUTE(SUBSTITUTE(SUBSTITUTE(SUBSTITUTE(SUBSTITUTE(ASC(O6&amp;""),"約",""),"程度",""),"ほど",""),"分","")," ","")),"")))))</f>
        <v/>
      </c>
      <c r="AU6" s="34">
        <f>IF(P6="","",IF(ISNUMBER(P6),P6,IFERROR(VALUE(SUBSTITUTE(SUBSTITUTE(SUBSTITUTE(ASC(P6&amp;""),"約",""),"件","")," ","")),"")))</f>
        <v/>
      </c>
      <c r="AV6" s="34">
        <f>IF(AB6&lt;&gt;"OK","",IF(COUNTIFS($G$5:$G$404,G6&amp;"",$F$5:$F$404,F6&amp;"",$BE$5:$BE$404,BE6&amp;"",$AB$5:$AB$404,"OK")&gt;1,"同名あり",""))</f>
        <v/>
      </c>
      <c r="AW6" s="35">
        <f>IF(Q6="","",IF(ISNUMBER(Q6),Q6,IFERROR(DATEVALUE(SUBSTITUTE(SUBSTITUTE(ASC(Q6&amp;""),"-","/"),".","/")&amp;"/01"),"")))</f>
        <v/>
      </c>
      <c r="AX6" s="35">
        <f>IF(R6="","",IF(ISNUMBER(R6),R6,IFERROR(DATEVALUE(SUBSTITUTE(SUBSTITUTE(ASC(R6&amp;""),"-","/"),".","/")&amp;"/01"),"")))</f>
        <v/>
      </c>
      <c r="AY6" s="34">
        <f>IF(OR(AB6&lt;&gt;"OK",AW6=""),"",IF(AW6&gt;='01_設定'!$C$26,1,0))</f>
        <v/>
      </c>
      <c r="AZ6" s="34">
        <f>IF(AND(AB6="OK",AD6&lt;&gt;"除外"),COUNTIFS($AB$5:AB6,"OK",$AD$5:AD6,"&lt;&gt;除外"),"")</f>
        <v/>
      </c>
      <c r="BA6" s="34">
        <f>IF(OR(AZ6="",AI6=""),"",AI6+ROW()/1000000000)</f>
        <v/>
      </c>
      <c r="BB6" s="34">
        <f>IF(E6="","",IF(OR(TRIM(E6&amp;"")="-",TRIM(E6&amp;"")="－",TRIM(E6&amp;"")="ー"),"",TRIM(E6&amp;"")))</f>
        <v/>
      </c>
      <c r="BC6" s="34">
        <f>IF(AND(AB6="OK",BB6&lt;&gt;""),IF(COUNTIFS($BB$5:BB6,BB6,$AB$5:AB6,"OK")=1,1,""),"")</f>
        <v/>
      </c>
      <c r="BD6" s="34">
        <f>IF(BC6=1,COUNTIF($BC$5:BC6,1),"")</f>
        <v/>
      </c>
      <c r="BE6" s="34">
        <f>IF(BB6="","",IFERROR(INDEX('06_顧客別集計'!$G$5:$G$104,MATCH(BB6,'06_顧客別集計'!$C$5:$C$104,0)),BB6))</f>
        <v/>
      </c>
      <c r="BF6" s="34">
        <f>IF(AND(AZ6&lt;&gt;"",BE6&lt;&gt;""),IF(COUNTIFS($BE$5:BE6,BE6,$AZ$5:AZ6,"&gt;0")=1,1,""),"")</f>
        <v/>
      </c>
      <c r="BG6" s="34">
        <f>IF(BF6=1,COUNTIF($BF$5:BF6,1),"")</f>
        <v/>
      </c>
    </row>
    <row r="7">
      <c r="AB7">
        <f>IF(AND(A7="",G7=""),"",IF(ISNUMBER(SEARCH("##END",AM7)),"（終わりの印）",IF(ISNUMBER(SEARCH("##続き",AM7)),"（続きありの印）",IF(AM7="調査ID","（見出し行）",IF(AND(AM7&lt;&gt;"R1",AM7&lt;&gt;"R2"),"×表以外の行（集計されない）",IF(COUNTIF($AN$5:AN7,AN7)&gt;1,"△重複（集計されない）",IF(G7="","△タスク名なし",IF(ISNA(MATCH(AQ7,'M1_類型マスタ'!$A$5:$A$19,0)),"△類型が不正",IF(OR(AP7="",N(AP7)&lt;1,N(AP7)&gt;6),"△業務区分が不正",IF(OR(AS7="",AT7=""),"△回数・分が読めない",IF(SUMPRODUCT(--ISNUMBER(--T7:Z7))&lt;7,"△採点が足りない",IF(SUMPRODUCT((--T7:Z7&gt;2)+(--T7:Z7&lt;0))&gt;0,"△採点が範囲外","OK"))))))))))))</f>
        <v/>
      </c>
      <c r="AC7">
        <f>IF(AB7&lt;&gt;"OK","",TRIM(IF(AND(AU7&lt;&gt;"",N(AU7)&lt;=1),"根拠1件 ","")&amp;IF(AV7&lt;&gt;"","同名あり ","")&amp;IF(AND(NOT(ISNUMBER(N7)),N7&lt;&gt;""),"回数を換算 ","")&amp;IF(J7="","詳細なし ","")&amp;IF(AND(N(AP7)=1,BB7=""),"顧客名なし ","")))</f>
        <v/>
      </c>
      <c r="AD7" s="31" t="n"/>
      <c r="AE7" s="32" t="n"/>
      <c r="AF7" s="32" t="n"/>
      <c r="AG7" s="31" t="n"/>
      <c r="AH7">
        <f>IF(AB7&lt;&gt;"OK","",IF(AG7&lt;&gt;"",AG7,AJ7))</f>
        <v/>
      </c>
      <c r="AI7" s="33">
        <f>IF(AB7&lt;&gt;"OK","",IFERROR(IF(AE7&lt;&gt;"",AE7,AS7)*IF(AF7&lt;&gt;"",AF7,AT7)/60,""))</f>
        <v/>
      </c>
      <c r="AJ7">
        <f>IF(AB7&lt;&gt;"OK","",IF(OR(VALUE(T7)=2,VALUE(U7)=2,VALUE(V7)=2),"社内残置",IF(AND(VALUE(T7)=0,VALUE(W7)=0,VALUE(Y7)=0),"自動化候補",IF(AND(VALUE(U7)=0,VALUE(W7)&lt;=1,VALUE(X7)&lt;=1,VALUE(Y7)&lt;=1,VALUE(Z7)&lt;=1),"オフショア候補",IF(AND(VALUE(Y7)&lt;=1,VALUE(Z7)&lt;=1),"ニアショア候補","社内で手順化→再評価")))))</f>
        <v/>
      </c>
      <c r="AK7">
        <f>IF(AB7&lt;&gt;"OK","",14-SUMPRODUCT(--T7:Z7))</f>
        <v/>
      </c>
      <c r="AL7" s="33">
        <f>IF(AB7&lt;&gt;"OK","",AS7*AT7/60)</f>
        <v/>
      </c>
      <c r="AM7" s="34">
        <f>IF(A7="","",UPPER(TRIM(ASC(A7&amp;""))))</f>
        <v/>
      </c>
      <c r="AN7" s="34">
        <f>IF(AM7="","",AM7&amp;"-"&amp;B7)</f>
        <v/>
      </c>
      <c r="AO7" s="34">
        <f>IF(C7="","",IFERROR(VALUE(ASC(SUBSTITUTE(C7&amp;"","観点",""))),""))</f>
        <v/>
      </c>
      <c r="AP7" s="34">
        <f>IF(D7="","",IFERROR(VALUE(LEFT(TRIM(ASC(D7&amp;"")),1)),IFERROR(MATCH(TRIM(D7&amp;""),'M2_区分マスタ'!$I$5:$I$10,0),"")))</f>
        <v/>
      </c>
      <c r="AQ7" s="34">
        <f>IF(H7="","",UPPER(LEFT(TRIM(ASC(H7&amp;"")),3)))</f>
        <v/>
      </c>
      <c r="AR7" s="34">
        <f>IF(N7="","",IFERROR(VALUE(SUBSTITUTE(SUBSTITUTE(SUBSTITUTE(SUBSTITUTE(SUBSTITUTE(SUBSTITUTE(SUBSTITUTE(SUBSTITUTE(SUBSTITUTE(SUBSTITUTE(SUBSTITUTE(SUBSTITUTE(ASC(N7&amp;""),"約",""),"程度",""),"ほど",""),"回",""),"毎",""),"週",""),"月",""),"年",""),"日",""),"に",""),"/","")," ","")),""))</f>
        <v/>
      </c>
      <c r="AS7" s="34">
        <f>IF(N7="","",IF(ISNUMBER(N7),N7,IFERROR(VALUE(ASC(N7&amp;"")),IF(AR7&lt;&gt;"",AR7*IF(ISNUMBER(SEARCH("週",N7)),4.3,IF(ISNUMBER(SEARCH("年",N7)),1/12,IF(ISNUMBER(SEARCH("日",N7)),20,1))),IF(ISNUMBER(SEARCH("日",N7)),20,IF(ISNUMBER(SEARCH("週",N7)),4.3,IF(ISNUMBER(SEARCH("月",N7)),1,"")))))))</f>
        <v/>
      </c>
      <c r="AT7" s="34">
        <f>IF(O7="","",IF(ISNUMBER(O7),O7,IFERROR(VALUE(ASC(O7&amp;"")),IF(ISNUMBER(SEARCH("時間",O7)),IFERROR(VALUE(SUBSTITUTE(SUBSTITUTE(SUBSTITUTE(SUBSTITUTE(SUBSTITUTE(ASC(O7&amp;""),"約",""),"程度",""),"ほど",""),"時間","")," ",""))*60,""),IFERROR(VALUE(SUBSTITUTE(SUBSTITUTE(SUBSTITUTE(SUBSTITUTE(SUBSTITUTE(ASC(O7&amp;""),"約",""),"程度",""),"ほど",""),"分","")," ","")),"")))))</f>
        <v/>
      </c>
      <c r="AU7" s="34">
        <f>IF(P7="","",IF(ISNUMBER(P7),P7,IFERROR(VALUE(SUBSTITUTE(SUBSTITUTE(SUBSTITUTE(ASC(P7&amp;""),"約",""),"件","")," ","")),"")))</f>
        <v/>
      </c>
      <c r="AV7" s="34">
        <f>IF(AB7&lt;&gt;"OK","",IF(COUNTIFS($G$5:$G$404,G7&amp;"",$F$5:$F$404,F7&amp;"",$BE$5:$BE$404,BE7&amp;"",$AB$5:$AB$404,"OK")&gt;1,"同名あり",""))</f>
        <v/>
      </c>
      <c r="AW7" s="35">
        <f>IF(Q7="","",IF(ISNUMBER(Q7),Q7,IFERROR(DATEVALUE(SUBSTITUTE(SUBSTITUTE(ASC(Q7&amp;""),"-","/"),".","/")&amp;"/01"),"")))</f>
        <v/>
      </c>
      <c r="AX7" s="35">
        <f>IF(R7="","",IF(ISNUMBER(R7),R7,IFERROR(DATEVALUE(SUBSTITUTE(SUBSTITUTE(ASC(R7&amp;""),"-","/"),".","/")&amp;"/01"),"")))</f>
        <v/>
      </c>
      <c r="AY7" s="34">
        <f>IF(OR(AB7&lt;&gt;"OK",AW7=""),"",IF(AW7&gt;='01_設定'!$C$26,1,0))</f>
        <v/>
      </c>
      <c r="AZ7" s="34">
        <f>IF(AND(AB7="OK",AD7&lt;&gt;"除外"),COUNTIFS($AB$5:AB7,"OK",$AD$5:AD7,"&lt;&gt;除外"),"")</f>
        <v/>
      </c>
      <c r="BA7" s="34">
        <f>IF(OR(AZ7="",AI7=""),"",AI7+ROW()/1000000000)</f>
        <v/>
      </c>
      <c r="BB7" s="34">
        <f>IF(E7="","",IF(OR(TRIM(E7&amp;"")="-",TRIM(E7&amp;"")="－",TRIM(E7&amp;"")="ー"),"",TRIM(E7&amp;"")))</f>
        <v/>
      </c>
      <c r="BC7" s="34">
        <f>IF(AND(AB7="OK",BB7&lt;&gt;""),IF(COUNTIFS($BB$5:BB7,BB7,$AB$5:AB7,"OK")=1,1,""),"")</f>
        <v/>
      </c>
      <c r="BD7" s="34">
        <f>IF(BC7=1,COUNTIF($BC$5:BC7,1),"")</f>
        <v/>
      </c>
      <c r="BE7" s="34">
        <f>IF(BB7="","",IFERROR(INDEX('06_顧客別集計'!$G$5:$G$104,MATCH(BB7,'06_顧客別集計'!$C$5:$C$104,0)),BB7))</f>
        <v/>
      </c>
      <c r="BF7" s="34">
        <f>IF(AND(AZ7&lt;&gt;"",BE7&lt;&gt;""),IF(COUNTIFS($BE$5:BE7,BE7,$AZ$5:AZ7,"&gt;0")=1,1,""),"")</f>
        <v/>
      </c>
      <c r="BG7" s="34">
        <f>IF(BF7=1,COUNTIF($BF$5:BF7,1),"")</f>
        <v/>
      </c>
    </row>
    <row r="8">
      <c r="AB8">
        <f>IF(AND(A8="",G8=""),"",IF(ISNUMBER(SEARCH("##END",AM8)),"（終わりの印）",IF(ISNUMBER(SEARCH("##続き",AM8)),"（続きありの印）",IF(AM8="調査ID","（見出し行）",IF(AND(AM8&lt;&gt;"R1",AM8&lt;&gt;"R2"),"×表以外の行（集計されない）",IF(COUNTIF($AN$5:AN8,AN8)&gt;1,"△重複（集計されない）",IF(G8="","△タスク名なし",IF(ISNA(MATCH(AQ8,'M1_類型マスタ'!$A$5:$A$19,0)),"△類型が不正",IF(OR(AP8="",N(AP8)&lt;1,N(AP8)&gt;6),"△業務区分が不正",IF(OR(AS8="",AT8=""),"△回数・分が読めない",IF(SUMPRODUCT(--ISNUMBER(--T8:Z8))&lt;7,"△採点が足りない",IF(SUMPRODUCT((--T8:Z8&gt;2)+(--T8:Z8&lt;0))&gt;0,"△採点が範囲外","OK"))))))))))))</f>
        <v/>
      </c>
      <c r="AC8">
        <f>IF(AB8&lt;&gt;"OK","",TRIM(IF(AND(AU8&lt;&gt;"",N(AU8)&lt;=1),"根拠1件 ","")&amp;IF(AV8&lt;&gt;"","同名あり ","")&amp;IF(AND(NOT(ISNUMBER(N8)),N8&lt;&gt;""),"回数を換算 ","")&amp;IF(J8="","詳細なし ","")&amp;IF(AND(N(AP8)=1,BB8=""),"顧客名なし ","")))</f>
        <v/>
      </c>
      <c r="AD8" s="31" t="n"/>
      <c r="AE8" s="32" t="n"/>
      <c r="AF8" s="32" t="n"/>
      <c r="AG8" s="31" t="n"/>
      <c r="AH8">
        <f>IF(AB8&lt;&gt;"OK","",IF(AG8&lt;&gt;"",AG8,AJ8))</f>
        <v/>
      </c>
      <c r="AI8" s="33">
        <f>IF(AB8&lt;&gt;"OK","",IFERROR(IF(AE8&lt;&gt;"",AE8,AS8)*IF(AF8&lt;&gt;"",AF8,AT8)/60,""))</f>
        <v/>
      </c>
      <c r="AJ8">
        <f>IF(AB8&lt;&gt;"OK","",IF(OR(VALUE(T8)=2,VALUE(U8)=2,VALUE(V8)=2),"社内残置",IF(AND(VALUE(T8)=0,VALUE(W8)=0,VALUE(Y8)=0),"自動化候補",IF(AND(VALUE(U8)=0,VALUE(W8)&lt;=1,VALUE(X8)&lt;=1,VALUE(Y8)&lt;=1,VALUE(Z8)&lt;=1),"オフショア候補",IF(AND(VALUE(Y8)&lt;=1,VALUE(Z8)&lt;=1),"ニアショア候補","社内で手順化→再評価")))))</f>
        <v/>
      </c>
      <c r="AK8">
        <f>IF(AB8&lt;&gt;"OK","",14-SUMPRODUCT(--T8:Z8))</f>
        <v/>
      </c>
      <c r="AL8" s="33">
        <f>IF(AB8&lt;&gt;"OK","",AS8*AT8/60)</f>
        <v/>
      </c>
      <c r="AM8" s="34">
        <f>IF(A8="","",UPPER(TRIM(ASC(A8&amp;""))))</f>
        <v/>
      </c>
      <c r="AN8" s="34">
        <f>IF(AM8="","",AM8&amp;"-"&amp;B8)</f>
        <v/>
      </c>
      <c r="AO8" s="34">
        <f>IF(C8="","",IFERROR(VALUE(ASC(SUBSTITUTE(C8&amp;"","観点",""))),""))</f>
        <v/>
      </c>
      <c r="AP8" s="34">
        <f>IF(D8="","",IFERROR(VALUE(LEFT(TRIM(ASC(D8&amp;"")),1)),IFERROR(MATCH(TRIM(D8&amp;""),'M2_区分マスタ'!$I$5:$I$10,0),"")))</f>
        <v/>
      </c>
      <c r="AQ8" s="34">
        <f>IF(H8="","",UPPER(LEFT(TRIM(ASC(H8&amp;"")),3)))</f>
        <v/>
      </c>
      <c r="AR8" s="34">
        <f>IF(N8="","",IFERROR(VALUE(SUBSTITUTE(SUBSTITUTE(SUBSTITUTE(SUBSTITUTE(SUBSTITUTE(SUBSTITUTE(SUBSTITUTE(SUBSTITUTE(SUBSTITUTE(SUBSTITUTE(SUBSTITUTE(SUBSTITUTE(ASC(N8&amp;""),"約",""),"程度",""),"ほど",""),"回",""),"毎",""),"週",""),"月",""),"年",""),"日",""),"に",""),"/","")," ","")),""))</f>
        <v/>
      </c>
      <c r="AS8" s="34">
        <f>IF(N8="","",IF(ISNUMBER(N8),N8,IFERROR(VALUE(ASC(N8&amp;"")),IF(AR8&lt;&gt;"",AR8*IF(ISNUMBER(SEARCH("週",N8)),4.3,IF(ISNUMBER(SEARCH("年",N8)),1/12,IF(ISNUMBER(SEARCH("日",N8)),20,1))),IF(ISNUMBER(SEARCH("日",N8)),20,IF(ISNUMBER(SEARCH("週",N8)),4.3,IF(ISNUMBER(SEARCH("月",N8)),1,"")))))))</f>
        <v/>
      </c>
      <c r="AT8" s="34">
        <f>IF(O8="","",IF(ISNUMBER(O8),O8,IFERROR(VALUE(ASC(O8&amp;"")),IF(ISNUMBER(SEARCH("時間",O8)),IFERROR(VALUE(SUBSTITUTE(SUBSTITUTE(SUBSTITUTE(SUBSTITUTE(SUBSTITUTE(ASC(O8&amp;""),"約",""),"程度",""),"ほど",""),"時間","")," ",""))*60,""),IFERROR(VALUE(SUBSTITUTE(SUBSTITUTE(SUBSTITUTE(SUBSTITUTE(SUBSTITUTE(ASC(O8&amp;""),"約",""),"程度",""),"ほど",""),"分","")," ","")),"")))))</f>
        <v/>
      </c>
      <c r="AU8" s="34">
        <f>IF(P8="","",IF(ISNUMBER(P8),P8,IFERROR(VALUE(SUBSTITUTE(SUBSTITUTE(SUBSTITUTE(ASC(P8&amp;""),"約",""),"件","")," ","")),"")))</f>
        <v/>
      </c>
      <c r="AV8" s="34">
        <f>IF(AB8&lt;&gt;"OK","",IF(COUNTIFS($G$5:$G$404,G8&amp;"",$F$5:$F$404,F8&amp;"",$BE$5:$BE$404,BE8&amp;"",$AB$5:$AB$404,"OK")&gt;1,"同名あり",""))</f>
        <v/>
      </c>
      <c r="AW8" s="35">
        <f>IF(Q8="","",IF(ISNUMBER(Q8),Q8,IFERROR(DATEVALUE(SUBSTITUTE(SUBSTITUTE(ASC(Q8&amp;""),"-","/"),".","/")&amp;"/01"),"")))</f>
        <v/>
      </c>
      <c r="AX8" s="35">
        <f>IF(R8="","",IF(ISNUMBER(R8),R8,IFERROR(DATEVALUE(SUBSTITUTE(SUBSTITUTE(ASC(R8&amp;""),"-","/"),".","/")&amp;"/01"),"")))</f>
        <v/>
      </c>
      <c r="AY8" s="34">
        <f>IF(OR(AB8&lt;&gt;"OK",AW8=""),"",IF(AW8&gt;='01_設定'!$C$26,1,0))</f>
        <v/>
      </c>
      <c r="AZ8" s="34">
        <f>IF(AND(AB8="OK",AD8&lt;&gt;"除外"),COUNTIFS($AB$5:AB8,"OK",$AD$5:AD8,"&lt;&gt;除外"),"")</f>
        <v/>
      </c>
      <c r="BA8" s="34">
        <f>IF(OR(AZ8="",AI8=""),"",AI8+ROW()/1000000000)</f>
        <v/>
      </c>
      <c r="BB8" s="34">
        <f>IF(E8="","",IF(OR(TRIM(E8&amp;"")="-",TRIM(E8&amp;"")="－",TRIM(E8&amp;"")="ー"),"",TRIM(E8&amp;"")))</f>
        <v/>
      </c>
      <c r="BC8" s="34">
        <f>IF(AND(AB8="OK",BB8&lt;&gt;""),IF(COUNTIFS($BB$5:BB8,BB8,$AB$5:AB8,"OK")=1,1,""),"")</f>
        <v/>
      </c>
      <c r="BD8" s="34">
        <f>IF(BC8=1,COUNTIF($BC$5:BC8,1),"")</f>
        <v/>
      </c>
      <c r="BE8" s="34">
        <f>IF(BB8="","",IFERROR(INDEX('06_顧客別集計'!$G$5:$G$104,MATCH(BB8,'06_顧客別集計'!$C$5:$C$104,0)),BB8))</f>
        <v/>
      </c>
      <c r="BF8" s="34">
        <f>IF(AND(AZ8&lt;&gt;"",BE8&lt;&gt;""),IF(COUNTIFS($BE$5:BE8,BE8,$AZ$5:AZ8,"&gt;0")=1,1,""),"")</f>
        <v/>
      </c>
      <c r="BG8" s="34">
        <f>IF(BF8=1,COUNTIF($BF$5:BF8,1),"")</f>
        <v/>
      </c>
    </row>
    <row r="9">
      <c r="AB9">
        <f>IF(AND(A9="",G9=""),"",IF(ISNUMBER(SEARCH("##END",AM9)),"（終わりの印）",IF(ISNUMBER(SEARCH("##続き",AM9)),"（続きありの印）",IF(AM9="調査ID","（見出し行）",IF(AND(AM9&lt;&gt;"R1",AM9&lt;&gt;"R2"),"×表以外の行（集計されない）",IF(COUNTIF($AN$5:AN9,AN9)&gt;1,"△重複（集計されない）",IF(G9="","△タスク名なし",IF(ISNA(MATCH(AQ9,'M1_類型マスタ'!$A$5:$A$19,0)),"△類型が不正",IF(OR(AP9="",N(AP9)&lt;1,N(AP9)&gt;6),"△業務区分が不正",IF(OR(AS9="",AT9=""),"△回数・分が読めない",IF(SUMPRODUCT(--ISNUMBER(--T9:Z9))&lt;7,"△採点が足りない",IF(SUMPRODUCT((--T9:Z9&gt;2)+(--T9:Z9&lt;0))&gt;0,"△採点が範囲外","OK"))))))))))))</f>
        <v/>
      </c>
      <c r="AC9">
        <f>IF(AB9&lt;&gt;"OK","",TRIM(IF(AND(AU9&lt;&gt;"",N(AU9)&lt;=1),"根拠1件 ","")&amp;IF(AV9&lt;&gt;"","同名あり ","")&amp;IF(AND(NOT(ISNUMBER(N9)),N9&lt;&gt;""),"回数を換算 ","")&amp;IF(J9="","詳細なし ","")&amp;IF(AND(N(AP9)=1,BB9=""),"顧客名なし ","")))</f>
        <v/>
      </c>
      <c r="AD9" s="31" t="n"/>
      <c r="AE9" s="32" t="n"/>
      <c r="AF9" s="32" t="n"/>
      <c r="AG9" s="31" t="n"/>
      <c r="AH9">
        <f>IF(AB9&lt;&gt;"OK","",IF(AG9&lt;&gt;"",AG9,AJ9))</f>
        <v/>
      </c>
      <c r="AI9" s="33">
        <f>IF(AB9&lt;&gt;"OK","",IFERROR(IF(AE9&lt;&gt;"",AE9,AS9)*IF(AF9&lt;&gt;"",AF9,AT9)/60,""))</f>
        <v/>
      </c>
      <c r="AJ9">
        <f>IF(AB9&lt;&gt;"OK","",IF(OR(VALUE(T9)=2,VALUE(U9)=2,VALUE(V9)=2),"社内残置",IF(AND(VALUE(T9)=0,VALUE(W9)=0,VALUE(Y9)=0),"自動化候補",IF(AND(VALUE(U9)=0,VALUE(W9)&lt;=1,VALUE(X9)&lt;=1,VALUE(Y9)&lt;=1,VALUE(Z9)&lt;=1),"オフショア候補",IF(AND(VALUE(Y9)&lt;=1,VALUE(Z9)&lt;=1),"ニアショア候補","社内で手順化→再評価")))))</f>
        <v/>
      </c>
      <c r="AK9">
        <f>IF(AB9&lt;&gt;"OK","",14-SUMPRODUCT(--T9:Z9))</f>
        <v/>
      </c>
      <c r="AL9" s="33">
        <f>IF(AB9&lt;&gt;"OK","",AS9*AT9/60)</f>
        <v/>
      </c>
      <c r="AM9" s="34">
        <f>IF(A9="","",UPPER(TRIM(ASC(A9&amp;""))))</f>
        <v/>
      </c>
      <c r="AN9" s="34">
        <f>IF(AM9="","",AM9&amp;"-"&amp;B9)</f>
        <v/>
      </c>
      <c r="AO9" s="34">
        <f>IF(C9="","",IFERROR(VALUE(ASC(SUBSTITUTE(C9&amp;"","観点",""))),""))</f>
        <v/>
      </c>
      <c r="AP9" s="34">
        <f>IF(D9="","",IFERROR(VALUE(LEFT(TRIM(ASC(D9&amp;"")),1)),IFERROR(MATCH(TRIM(D9&amp;""),'M2_区分マスタ'!$I$5:$I$10,0),"")))</f>
        <v/>
      </c>
      <c r="AQ9" s="34">
        <f>IF(H9="","",UPPER(LEFT(TRIM(ASC(H9&amp;"")),3)))</f>
        <v/>
      </c>
      <c r="AR9" s="34">
        <f>IF(N9="","",IFERROR(VALUE(SUBSTITUTE(SUBSTITUTE(SUBSTITUTE(SUBSTITUTE(SUBSTITUTE(SUBSTITUTE(SUBSTITUTE(SUBSTITUTE(SUBSTITUTE(SUBSTITUTE(SUBSTITUTE(SUBSTITUTE(ASC(N9&amp;""),"約",""),"程度",""),"ほど",""),"回",""),"毎",""),"週",""),"月",""),"年",""),"日",""),"に",""),"/","")," ","")),""))</f>
        <v/>
      </c>
      <c r="AS9" s="34">
        <f>IF(N9="","",IF(ISNUMBER(N9),N9,IFERROR(VALUE(ASC(N9&amp;"")),IF(AR9&lt;&gt;"",AR9*IF(ISNUMBER(SEARCH("週",N9)),4.3,IF(ISNUMBER(SEARCH("年",N9)),1/12,IF(ISNUMBER(SEARCH("日",N9)),20,1))),IF(ISNUMBER(SEARCH("日",N9)),20,IF(ISNUMBER(SEARCH("週",N9)),4.3,IF(ISNUMBER(SEARCH("月",N9)),1,"")))))))</f>
        <v/>
      </c>
      <c r="AT9" s="34">
        <f>IF(O9="","",IF(ISNUMBER(O9),O9,IFERROR(VALUE(ASC(O9&amp;"")),IF(ISNUMBER(SEARCH("時間",O9)),IFERROR(VALUE(SUBSTITUTE(SUBSTITUTE(SUBSTITUTE(SUBSTITUTE(SUBSTITUTE(ASC(O9&amp;""),"約",""),"程度",""),"ほど",""),"時間","")," ",""))*60,""),IFERROR(VALUE(SUBSTITUTE(SUBSTITUTE(SUBSTITUTE(SUBSTITUTE(SUBSTITUTE(ASC(O9&amp;""),"約",""),"程度",""),"ほど",""),"分","")," ","")),"")))))</f>
        <v/>
      </c>
      <c r="AU9" s="34">
        <f>IF(P9="","",IF(ISNUMBER(P9),P9,IFERROR(VALUE(SUBSTITUTE(SUBSTITUTE(SUBSTITUTE(ASC(P9&amp;""),"約",""),"件","")," ","")),"")))</f>
        <v/>
      </c>
      <c r="AV9" s="34">
        <f>IF(AB9&lt;&gt;"OK","",IF(COUNTIFS($G$5:$G$404,G9&amp;"",$F$5:$F$404,F9&amp;"",$BE$5:$BE$404,BE9&amp;"",$AB$5:$AB$404,"OK")&gt;1,"同名あり",""))</f>
        <v/>
      </c>
      <c r="AW9" s="35">
        <f>IF(Q9="","",IF(ISNUMBER(Q9),Q9,IFERROR(DATEVALUE(SUBSTITUTE(SUBSTITUTE(ASC(Q9&amp;""),"-","/"),".","/")&amp;"/01"),"")))</f>
        <v/>
      </c>
      <c r="AX9" s="35">
        <f>IF(R9="","",IF(ISNUMBER(R9),R9,IFERROR(DATEVALUE(SUBSTITUTE(SUBSTITUTE(ASC(R9&amp;""),"-","/"),".","/")&amp;"/01"),"")))</f>
        <v/>
      </c>
      <c r="AY9" s="34">
        <f>IF(OR(AB9&lt;&gt;"OK",AW9=""),"",IF(AW9&gt;='01_設定'!$C$26,1,0))</f>
        <v/>
      </c>
      <c r="AZ9" s="34">
        <f>IF(AND(AB9="OK",AD9&lt;&gt;"除外"),COUNTIFS($AB$5:AB9,"OK",$AD$5:AD9,"&lt;&gt;除外"),"")</f>
        <v/>
      </c>
      <c r="BA9" s="34">
        <f>IF(OR(AZ9="",AI9=""),"",AI9+ROW()/1000000000)</f>
        <v/>
      </c>
      <c r="BB9" s="34">
        <f>IF(E9="","",IF(OR(TRIM(E9&amp;"")="-",TRIM(E9&amp;"")="－",TRIM(E9&amp;"")="ー"),"",TRIM(E9&amp;"")))</f>
        <v/>
      </c>
      <c r="BC9" s="34">
        <f>IF(AND(AB9="OK",BB9&lt;&gt;""),IF(COUNTIFS($BB$5:BB9,BB9,$AB$5:AB9,"OK")=1,1,""),"")</f>
        <v/>
      </c>
      <c r="BD9" s="34">
        <f>IF(BC9=1,COUNTIF($BC$5:BC9,1),"")</f>
        <v/>
      </c>
      <c r="BE9" s="34">
        <f>IF(BB9="","",IFERROR(INDEX('06_顧客別集計'!$G$5:$G$104,MATCH(BB9,'06_顧客別集計'!$C$5:$C$104,0)),BB9))</f>
        <v/>
      </c>
      <c r="BF9" s="34">
        <f>IF(AND(AZ9&lt;&gt;"",BE9&lt;&gt;""),IF(COUNTIFS($BE$5:BE9,BE9,$AZ$5:AZ9,"&gt;0")=1,1,""),"")</f>
        <v/>
      </c>
      <c r="BG9" s="34">
        <f>IF(BF9=1,COUNTIF($BF$5:BF9,1),"")</f>
        <v/>
      </c>
    </row>
    <row r="10">
      <c r="AB10">
        <f>IF(AND(A10="",G10=""),"",IF(ISNUMBER(SEARCH("##END",AM10)),"（終わりの印）",IF(ISNUMBER(SEARCH("##続き",AM10)),"（続きありの印）",IF(AM10="調査ID","（見出し行）",IF(AND(AM10&lt;&gt;"R1",AM10&lt;&gt;"R2"),"×表以外の行（集計されない）",IF(COUNTIF($AN$5:AN10,AN10)&gt;1,"△重複（集計されない）",IF(G10="","△タスク名なし",IF(ISNA(MATCH(AQ10,'M1_類型マスタ'!$A$5:$A$19,0)),"△類型が不正",IF(OR(AP10="",N(AP10)&lt;1,N(AP10)&gt;6),"△業務区分が不正",IF(OR(AS10="",AT10=""),"△回数・分が読めない",IF(SUMPRODUCT(--ISNUMBER(--T10:Z10))&lt;7,"△採点が足りない",IF(SUMPRODUCT((--T10:Z10&gt;2)+(--T10:Z10&lt;0))&gt;0,"△採点が範囲外","OK"))))))))))))</f>
        <v/>
      </c>
      <c r="AC10">
        <f>IF(AB10&lt;&gt;"OK","",TRIM(IF(AND(AU10&lt;&gt;"",N(AU10)&lt;=1),"根拠1件 ","")&amp;IF(AV10&lt;&gt;"","同名あり ","")&amp;IF(AND(NOT(ISNUMBER(N10)),N10&lt;&gt;""),"回数を換算 ","")&amp;IF(J10="","詳細なし ","")&amp;IF(AND(N(AP10)=1,BB10=""),"顧客名なし ","")))</f>
        <v/>
      </c>
      <c r="AD10" s="31" t="n"/>
      <c r="AE10" s="32" t="n"/>
      <c r="AF10" s="32" t="n"/>
      <c r="AG10" s="31" t="n"/>
      <c r="AH10">
        <f>IF(AB10&lt;&gt;"OK","",IF(AG10&lt;&gt;"",AG10,AJ10))</f>
        <v/>
      </c>
      <c r="AI10" s="33">
        <f>IF(AB10&lt;&gt;"OK","",IFERROR(IF(AE10&lt;&gt;"",AE10,AS10)*IF(AF10&lt;&gt;"",AF10,AT10)/60,""))</f>
        <v/>
      </c>
      <c r="AJ10">
        <f>IF(AB10&lt;&gt;"OK","",IF(OR(VALUE(T10)=2,VALUE(U10)=2,VALUE(V10)=2),"社内残置",IF(AND(VALUE(T10)=0,VALUE(W10)=0,VALUE(Y10)=0),"自動化候補",IF(AND(VALUE(U10)=0,VALUE(W10)&lt;=1,VALUE(X10)&lt;=1,VALUE(Y10)&lt;=1,VALUE(Z10)&lt;=1),"オフショア候補",IF(AND(VALUE(Y10)&lt;=1,VALUE(Z10)&lt;=1),"ニアショア候補","社内で手順化→再評価")))))</f>
        <v/>
      </c>
      <c r="AK10">
        <f>IF(AB10&lt;&gt;"OK","",14-SUMPRODUCT(--T10:Z10))</f>
        <v/>
      </c>
      <c r="AL10" s="33">
        <f>IF(AB10&lt;&gt;"OK","",AS10*AT10/60)</f>
        <v/>
      </c>
      <c r="AM10" s="34">
        <f>IF(A10="","",UPPER(TRIM(ASC(A10&amp;""))))</f>
        <v/>
      </c>
      <c r="AN10" s="34">
        <f>IF(AM10="","",AM10&amp;"-"&amp;B10)</f>
        <v/>
      </c>
      <c r="AO10" s="34">
        <f>IF(C10="","",IFERROR(VALUE(ASC(SUBSTITUTE(C10&amp;"","観点",""))),""))</f>
        <v/>
      </c>
      <c r="AP10" s="34">
        <f>IF(D10="","",IFERROR(VALUE(LEFT(TRIM(ASC(D10&amp;"")),1)),IFERROR(MATCH(TRIM(D10&amp;""),'M2_区分マスタ'!$I$5:$I$10,0),"")))</f>
        <v/>
      </c>
      <c r="AQ10" s="34">
        <f>IF(H10="","",UPPER(LEFT(TRIM(ASC(H10&amp;"")),3)))</f>
        <v/>
      </c>
      <c r="AR10" s="34">
        <f>IF(N10="","",IFERROR(VALUE(SUBSTITUTE(SUBSTITUTE(SUBSTITUTE(SUBSTITUTE(SUBSTITUTE(SUBSTITUTE(SUBSTITUTE(SUBSTITUTE(SUBSTITUTE(SUBSTITUTE(SUBSTITUTE(SUBSTITUTE(ASC(N10&amp;""),"約",""),"程度",""),"ほど",""),"回",""),"毎",""),"週",""),"月",""),"年",""),"日",""),"に",""),"/","")," ","")),""))</f>
        <v/>
      </c>
      <c r="AS10" s="34">
        <f>IF(N10="","",IF(ISNUMBER(N10),N10,IFERROR(VALUE(ASC(N10&amp;"")),IF(AR10&lt;&gt;"",AR10*IF(ISNUMBER(SEARCH("週",N10)),4.3,IF(ISNUMBER(SEARCH("年",N10)),1/12,IF(ISNUMBER(SEARCH("日",N10)),20,1))),IF(ISNUMBER(SEARCH("日",N10)),20,IF(ISNUMBER(SEARCH("週",N10)),4.3,IF(ISNUMBER(SEARCH("月",N10)),1,"")))))))</f>
        <v/>
      </c>
      <c r="AT10" s="34">
        <f>IF(O10="","",IF(ISNUMBER(O10),O10,IFERROR(VALUE(ASC(O10&amp;"")),IF(ISNUMBER(SEARCH("時間",O10)),IFERROR(VALUE(SUBSTITUTE(SUBSTITUTE(SUBSTITUTE(SUBSTITUTE(SUBSTITUTE(ASC(O10&amp;""),"約",""),"程度",""),"ほど",""),"時間","")," ",""))*60,""),IFERROR(VALUE(SUBSTITUTE(SUBSTITUTE(SUBSTITUTE(SUBSTITUTE(SUBSTITUTE(ASC(O10&amp;""),"約",""),"程度",""),"ほど",""),"分","")," ","")),"")))))</f>
        <v/>
      </c>
      <c r="AU10" s="34">
        <f>IF(P10="","",IF(ISNUMBER(P10),P10,IFERROR(VALUE(SUBSTITUTE(SUBSTITUTE(SUBSTITUTE(ASC(P10&amp;""),"約",""),"件","")," ","")),"")))</f>
        <v/>
      </c>
      <c r="AV10" s="34">
        <f>IF(AB10&lt;&gt;"OK","",IF(COUNTIFS($G$5:$G$404,G10&amp;"",$F$5:$F$404,F10&amp;"",$BE$5:$BE$404,BE10&amp;"",$AB$5:$AB$404,"OK")&gt;1,"同名あり",""))</f>
        <v/>
      </c>
      <c r="AW10" s="35">
        <f>IF(Q10="","",IF(ISNUMBER(Q10),Q10,IFERROR(DATEVALUE(SUBSTITUTE(SUBSTITUTE(ASC(Q10&amp;""),"-","/"),".","/")&amp;"/01"),"")))</f>
        <v/>
      </c>
      <c r="AX10" s="35">
        <f>IF(R10="","",IF(ISNUMBER(R10),R10,IFERROR(DATEVALUE(SUBSTITUTE(SUBSTITUTE(ASC(R10&amp;""),"-","/"),".","/")&amp;"/01"),"")))</f>
        <v/>
      </c>
      <c r="AY10" s="34">
        <f>IF(OR(AB10&lt;&gt;"OK",AW10=""),"",IF(AW10&gt;='01_設定'!$C$26,1,0))</f>
        <v/>
      </c>
      <c r="AZ10" s="34">
        <f>IF(AND(AB10="OK",AD10&lt;&gt;"除外"),COUNTIFS($AB$5:AB10,"OK",$AD$5:AD10,"&lt;&gt;除外"),"")</f>
        <v/>
      </c>
      <c r="BA10" s="34">
        <f>IF(OR(AZ10="",AI10=""),"",AI10+ROW()/1000000000)</f>
        <v/>
      </c>
      <c r="BB10" s="34">
        <f>IF(E10="","",IF(OR(TRIM(E10&amp;"")="-",TRIM(E10&amp;"")="－",TRIM(E10&amp;"")="ー"),"",TRIM(E10&amp;"")))</f>
        <v/>
      </c>
      <c r="BC10" s="34">
        <f>IF(AND(AB10="OK",BB10&lt;&gt;""),IF(COUNTIFS($BB$5:BB10,BB10,$AB$5:AB10,"OK")=1,1,""),"")</f>
        <v/>
      </c>
      <c r="BD10" s="34">
        <f>IF(BC10=1,COUNTIF($BC$5:BC10,1),"")</f>
        <v/>
      </c>
      <c r="BE10" s="34">
        <f>IF(BB10="","",IFERROR(INDEX('06_顧客別集計'!$G$5:$G$104,MATCH(BB10,'06_顧客別集計'!$C$5:$C$104,0)),BB10))</f>
        <v/>
      </c>
      <c r="BF10" s="34">
        <f>IF(AND(AZ10&lt;&gt;"",BE10&lt;&gt;""),IF(COUNTIFS($BE$5:BE10,BE10,$AZ$5:AZ10,"&gt;0")=1,1,""),"")</f>
        <v/>
      </c>
      <c r="BG10" s="34">
        <f>IF(BF10=1,COUNTIF($BF$5:BF10,1),"")</f>
        <v/>
      </c>
    </row>
    <row r="11">
      <c r="AB11">
        <f>IF(AND(A11="",G11=""),"",IF(ISNUMBER(SEARCH("##END",AM11)),"（終わりの印）",IF(ISNUMBER(SEARCH("##続き",AM11)),"（続きありの印）",IF(AM11="調査ID","（見出し行）",IF(AND(AM11&lt;&gt;"R1",AM11&lt;&gt;"R2"),"×表以外の行（集計されない）",IF(COUNTIF($AN$5:AN11,AN11)&gt;1,"△重複（集計されない）",IF(G11="","△タスク名なし",IF(ISNA(MATCH(AQ11,'M1_類型マスタ'!$A$5:$A$19,0)),"△類型が不正",IF(OR(AP11="",N(AP11)&lt;1,N(AP11)&gt;6),"△業務区分が不正",IF(OR(AS11="",AT11=""),"△回数・分が読めない",IF(SUMPRODUCT(--ISNUMBER(--T11:Z11))&lt;7,"△採点が足りない",IF(SUMPRODUCT((--T11:Z11&gt;2)+(--T11:Z11&lt;0))&gt;0,"△採点が範囲外","OK"))))))))))))</f>
        <v/>
      </c>
      <c r="AC11">
        <f>IF(AB11&lt;&gt;"OK","",TRIM(IF(AND(AU11&lt;&gt;"",N(AU11)&lt;=1),"根拠1件 ","")&amp;IF(AV11&lt;&gt;"","同名あり ","")&amp;IF(AND(NOT(ISNUMBER(N11)),N11&lt;&gt;""),"回数を換算 ","")&amp;IF(J11="","詳細なし ","")&amp;IF(AND(N(AP11)=1,BB11=""),"顧客名なし ","")))</f>
        <v/>
      </c>
      <c r="AD11" s="31" t="n"/>
      <c r="AE11" s="32" t="n"/>
      <c r="AF11" s="32" t="n"/>
      <c r="AG11" s="31" t="n"/>
      <c r="AH11">
        <f>IF(AB11&lt;&gt;"OK","",IF(AG11&lt;&gt;"",AG11,AJ11))</f>
        <v/>
      </c>
      <c r="AI11" s="33">
        <f>IF(AB11&lt;&gt;"OK","",IFERROR(IF(AE11&lt;&gt;"",AE11,AS11)*IF(AF11&lt;&gt;"",AF11,AT11)/60,""))</f>
        <v/>
      </c>
      <c r="AJ11">
        <f>IF(AB11&lt;&gt;"OK","",IF(OR(VALUE(T11)=2,VALUE(U11)=2,VALUE(V11)=2),"社内残置",IF(AND(VALUE(T11)=0,VALUE(W11)=0,VALUE(Y11)=0),"自動化候補",IF(AND(VALUE(U11)=0,VALUE(W11)&lt;=1,VALUE(X11)&lt;=1,VALUE(Y11)&lt;=1,VALUE(Z11)&lt;=1),"オフショア候補",IF(AND(VALUE(Y11)&lt;=1,VALUE(Z11)&lt;=1),"ニアショア候補","社内で手順化→再評価")))))</f>
        <v/>
      </c>
      <c r="AK11">
        <f>IF(AB11&lt;&gt;"OK","",14-SUMPRODUCT(--T11:Z11))</f>
        <v/>
      </c>
      <c r="AL11" s="33">
        <f>IF(AB11&lt;&gt;"OK","",AS11*AT11/60)</f>
        <v/>
      </c>
      <c r="AM11" s="34">
        <f>IF(A11="","",UPPER(TRIM(ASC(A11&amp;""))))</f>
        <v/>
      </c>
      <c r="AN11" s="34">
        <f>IF(AM11="","",AM11&amp;"-"&amp;B11)</f>
        <v/>
      </c>
      <c r="AO11" s="34">
        <f>IF(C11="","",IFERROR(VALUE(ASC(SUBSTITUTE(C11&amp;"","観点",""))),""))</f>
        <v/>
      </c>
      <c r="AP11" s="34">
        <f>IF(D11="","",IFERROR(VALUE(LEFT(TRIM(ASC(D11&amp;"")),1)),IFERROR(MATCH(TRIM(D11&amp;""),'M2_区分マスタ'!$I$5:$I$10,0),"")))</f>
        <v/>
      </c>
      <c r="AQ11" s="34">
        <f>IF(H11="","",UPPER(LEFT(TRIM(ASC(H11&amp;"")),3)))</f>
        <v/>
      </c>
      <c r="AR11" s="34">
        <f>IF(N11="","",IFERROR(VALUE(SUBSTITUTE(SUBSTITUTE(SUBSTITUTE(SUBSTITUTE(SUBSTITUTE(SUBSTITUTE(SUBSTITUTE(SUBSTITUTE(SUBSTITUTE(SUBSTITUTE(SUBSTITUTE(SUBSTITUTE(ASC(N11&amp;""),"約",""),"程度",""),"ほど",""),"回",""),"毎",""),"週",""),"月",""),"年",""),"日",""),"に",""),"/","")," ","")),""))</f>
        <v/>
      </c>
      <c r="AS11" s="34">
        <f>IF(N11="","",IF(ISNUMBER(N11),N11,IFERROR(VALUE(ASC(N11&amp;"")),IF(AR11&lt;&gt;"",AR11*IF(ISNUMBER(SEARCH("週",N11)),4.3,IF(ISNUMBER(SEARCH("年",N11)),1/12,IF(ISNUMBER(SEARCH("日",N11)),20,1))),IF(ISNUMBER(SEARCH("日",N11)),20,IF(ISNUMBER(SEARCH("週",N11)),4.3,IF(ISNUMBER(SEARCH("月",N11)),1,"")))))))</f>
        <v/>
      </c>
      <c r="AT11" s="34">
        <f>IF(O11="","",IF(ISNUMBER(O11),O11,IFERROR(VALUE(ASC(O11&amp;"")),IF(ISNUMBER(SEARCH("時間",O11)),IFERROR(VALUE(SUBSTITUTE(SUBSTITUTE(SUBSTITUTE(SUBSTITUTE(SUBSTITUTE(ASC(O11&amp;""),"約",""),"程度",""),"ほど",""),"時間","")," ",""))*60,""),IFERROR(VALUE(SUBSTITUTE(SUBSTITUTE(SUBSTITUTE(SUBSTITUTE(SUBSTITUTE(ASC(O11&amp;""),"約",""),"程度",""),"ほど",""),"分","")," ","")),"")))))</f>
        <v/>
      </c>
      <c r="AU11" s="34">
        <f>IF(P11="","",IF(ISNUMBER(P11),P11,IFERROR(VALUE(SUBSTITUTE(SUBSTITUTE(SUBSTITUTE(ASC(P11&amp;""),"約",""),"件","")," ","")),"")))</f>
        <v/>
      </c>
      <c r="AV11" s="34">
        <f>IF(AB11&lt;&gt;"OK","",IF(COUNTIFS($G$5:$G$404,G11&amp;"",$F$5:$F$404,F11&amp;"",$BE$5:$BE$404,BE11&amp;"",$AB$5:$AB$404,"OK")&gt;1,"同名あり",""))</f>
        <v/>
      </c>
      <c r="AW11" s="35">
        <f>IF(Q11="","",IF(ISNUMBER(Q11),Q11,IFERROR(DATEVALUE(SUBSTITUTE(SUBSTITUTE(ASC(Q11&amp;""),"-","/"),".","/")&amp;"/01"),"")))</f>
        <v/>
      </c>
      <c r="AX11" s="35">
        <f>IF(R11="","",IF(ISNUMBER(R11),R11,IFERROR(DATEVALUE(SUBSTITUTE(SUBSTITUTE(ASC(R11&amp;""),"-","/"),".","/")&amp;"/01"),"")))</f>
        <v/>
      </c>
      <c r="AY11" s="34">
        <f>IF(OR(AB11&lt;&gt;"OK",AW11=""),"",IF(AW11&gt;='01_設定'!$C$26,1,0))</f>
        <v/>
      </c>
      <c r="AZ11" s="34">
        <f>IF(AND(AB11="OK",AD11&lt;&gt;"除外"),COUNTIFS($AB$5:AB11,"OK",$AD$5:AD11,"&lt;&gt;除外"),"")</f>
        <v/>
      </c>
      <c r="BA11" s="34">
        <f>IF(OR(AZ11="",AI11=""),"",AI11+ROW()/1000000000)</f>
        <v/>
      </c>
      <c r="BB11" s="34">
        <f>IF(E11="","",IF(OR(TRIM(E11&amp;"")="-",TRIM(E11&amp;"")="－",TRIM(E11&amp;"")="ー"),"",TRIM(E11&amp;"")))</f>
        <v/>
      </c>
      <c r="BC11" s="34">
        <f>IF(AND(AB11="OK",BB11&lt;&gt;""),IF(COUNTIFS($BB$5:BB11,BB11,$AB$5:AB11,"OK")=1,1,""),"")</f>
        <v/>
      </c>
      <c r="BD11" s="34">
        <f>IF(BC11=1,COUNTIF($BC$5:BC11,1),"")</f>
        <v/>
      </c>
      <c r="BE11" s="34">
        <f>IF(BB11="","",IFERROR(INDEX('06_顧客別集計'!$G$5:$G$104,MATCH(BB11,'06_顧客別集計'!$C$5:$C$104,0)),BB11))</f>
        <v/>
      </c>
      <c r="BF11" s="34">
        <f>IF(AND(AZ11&lt;&gt;"",BE11&lt;&gt;""),IF(COUNTIFS($BE$5:BE11,BE11,$AZ$5:AZ11,"&gt;0")=1,1,""),"")</f>
        <v/>
      </c>
      <c r="BG11" s="34">
        <f>IF(BF11=1,COUNTIF($BF$5:BF11,1),"")</f>
        <v/>
      </c>
    </row>
    <row r="12">
      <c r="AB12">
        <f>IF(AND(A12="",G12=""),"",IF(ISNUMBER(SEARCH("##END",AM12)),"（終わりの印）",IF(ISNUMBER(SEARCH("##続き",AM12)),"（続きありの印）",IF(AM12="調査ID","（見出し行）",IF(AND(AM12&lt;&gt;"R1",AM12&lt;&gt;"R2"),"×表以外の行（集計されない）",IF(COUNTIF($AN$5:AN12,AN12)&gt;1,"△重複（集計されない）",IF(G12="","△タスク名なし",IF(ISNA(MATCH(AQ12,'M1_類型マスタ'!$A$5:$A$19,0)),"△類型が不正",IF(OR(AP12="",N(AP12)&lt;1,N(AP12)&gt;6),"△業務区分が不正",IF(OR(AS12="",AT12=""),"△回数・分が読めない",IF(SUMPRODUCT(--ISNUMBER(--T12:Z12))&lt;7,"△採点が足りない",IF(SUMPRODUCT((--T12:Z12&gt;2)+(--T12:Z12&lt;0))&gt;0,"△採点が範囲外","OK"))))))))))))</f>
        <v/>
      </c>
      <c r="AC12">
        <f>IF(AB12&lt;&gt;"OK","",TRIM(IF(AND(AU12&lt;&gt;"",N(AU12)&lt;=1),"根拠1件 ","")&amp;IF(AV12&lt;&gt;"","同名あり ","")&amp;IF(AND(NOT(ISNUMBER(N12)),N12&lt;&gt;""),"回数を換算 ","")&amp;IF(J12="","詳細なし ","")&amp;IF(AND(N(AP12)=1,BB12=""),"顧客名なし ","")))</f>
        <v/>
      </c>
      <c r="AD12" s="31" t="n"/>
      <c r="AE12" s="32" t="n"/>
      <c r="AF12" s="32" t="n"/>
      <c r="AG12" s="31" t="n"/>
      <c r="AH12">
        <f>IF(AB12&lt;&gt;"OK","",IF(AG12&lt;&gt;"",AG12,AJ12))</f>
        <v/>
      </c>
      <c r="AI12" s="33">
        <f>IF(AB12&lt;&gt;"OK","",IFERROR(IF(AE12&lt;&gt;"",AE12,AS12)*IF(AF12&lt;&gt;"",AF12,AT12)/60,""))</f>
        <v/>
      </c>
      <c r="AJ12">
        <f>IF(AB12&lt;&gt;"OK","",IF(OR(VALUE(T12)=2,VALUE(U12)=2,VALUE(V12)=2),"社内残置",IF(AND(VALUE(T12)=0,VALUE(W12)=0,VALUE(Y12)=0),"自動化候補",IF(AND(VALUE(U12)=0,VALUE(W12)&lt;=1,VALUE(X12)&lt;=1,VALUE(Y12)&lt;=1,VALUE(Z12)&lt;=1),"オフショア候補",IF(AND(VALUE(Y12)&lt;=1,VALUE(Z12)&lt;=1),"ニアショア候補","社内で手順化→再評価")))))</f>
        <v/>
      </c>
      <c r="AK12">
        <f>IF(AB12&lt;&gt;"OK","",14-SUMPRODUCT(--T12:Z12))</f>
        <v/>
      </c>
      <c r="AL12" s="33">
        <f>IF(AB12&lt;&gt;"OK","",AS12*AT12/60)</f>
        <v/>
      </c>
      <c r="AM12" s="34">
        <f>IF(A12="","",UPPER(TRIM(ASC(A12&amp;""))))</f>
        <v/>
      </c>
      <c r="AN12" s="34">
        <f>IF(AM12="","",AM12&amp;"-"&amp;B12)</f>
        <v/>
      </c>
      <c r="AO12" s="34">
        <f>IF(C12="","",IFERROR(VALUE(ASC(SUBSTITUTE(C12&amp;"","観点",""))),""))</f>
        <v/>
      </c>
      <c r="AP12" s="34">
        <f>IF(D12="","",IFERROR(VALUE(LEFT(TRIM(ASC(D12&amp;"")),1)),IFERROR(MATCH(TRIM(D12&amp;""),'M2_区分マスタ'!$I$5:$I$10,0),"")))</f>
        <v/>
      </c>
      <c r="AQ12" s="34">
        <f>IF(H12="","",UPPER(LEFT(TRIM(ASC(H12&amp;"")),3)))</f>
        <v/>
      </c>
      <c r="AR12" s="34">
        <f>IF(N12="","",IFERROR(VALUE(SUBSTITUTE(SUBSTITUTE(SUBSTITUTE(SUBSTITUTE(SUBSTITUTE(SUBSTITUTE(SUBSTITUTE(SUBSTITUTE(SUBSTITUTE(SUBSTITUTE(SUBSTITUTE(SUBSTITUTE(ASC(N12&amp;""),"約",""),"程度",""),"ほど",""),"回",""),"毎",""),"週",""),"月",""),"年",""),"日",""),"に",""),"/","")," ","")),""))</f>
        <v/>
      </c>
      <c r="AS12" s="34">
        <f>IF(N12="","",IF(ISNUMBER(N12),N12,IFERROR(VALUE(ASC(N12&amp;"")),IF(AR12&lt;&gt;"",AR12*IF(ISNUMBER(SEARCH("週",N12)),4.3,IF(ISNUMBER(SEARCH("年",N12)),1/12,IF(ISNUMBER(SEARCH("日",N12)),20,1))),IF(ISNUMBER(SEARCH("日",N12)),20,IF(ISNUMBER(SEARCH("週",N12)),4.3,IF(ISNUMBER(SEARCH("月",N12)),1,"")))))))</f>
        <v/>
      </c>
      <c r="AT12" s="34">
        <f>IF(O12="","",IF(ISNUMBER(O12),O12,IFERROR(VALUE(ASC(O12&amp;"")),IF(ISNUMBER(SEARCH("時間",O12)),IFERROR(VALUE(SUBSTITUTE(SUBSTITUTE(SUBSTITUTE(SUBSTITUTE(SUBSTITUTE(ASC(O12&amp;""),"約",""),"程度",""),"ほど",""),"時間","")," ",""))*60,""),IFERROR(VALUE(SUBSTITUTE(SUBSTITUTE(SUBSTITUTE(SUBSTITUTE(SUBSTITUTE(ASC(O12&amp;""),"約",""),"程度",""),"ほど",""),"分","")," ","")),"")))))</f>
        <v/>
      </c>
      <c r="AU12" s="34">
        <f>IF(P12="","",IF(ISNUMBER(P12),P12,IFERROR(VALUE(SUBSTITUTE(SUBSTITUTE(SUBSTITUTE(ASC(P12&amp;""),"約",""),"件","")," ","")),"")))</f>
        <v/>
      </c>
      <c r="AV12" s="34">
        <f>IF(AB12&lt;&gt;"OK","",IF(COUNTIFS($G$5:$G$404,G12&amp;"",$F$5:$F$404,F12&amp;"",$BE$5:$BE$404,BE12&amp;"",$AB$5:$AB$404,"OK")&gt;1,"同名あり",""))</f>
        <v/>
      </c>
      <c r="AW12" s="35">
        <f>IF(Q12="","",IF(ISNUMBER(Q12),Q12,IFERROR(DATEVALUE(SUBSTITUTE(SUBSTITUTE(ASC(Q12&amp;""),"-","/"),".","/")&amp;"/01"),"")))</f>
        <v/>
      </c>
      <c r="AX12" s="35">
        <f>IF(R12="","",IF(ISNUMBER(R12),R12,IFERROR(DATEVALUE(SUBSTITUTE(SUBSTITUTE(ASC(R12&amp;""),"-","/"),".","/")&amp;"/01"),"")))</f>
        <v/>
      </c>
      <c r="AY12" s="34">
        <f>IF(OR(AB12&lt;&gt;"OK",AW12=""),"",IF(AW12&gt;='01_設定'!$C$26,1,0))</f>
        <v/>
      </c>
      <c r="AZ12" s="34">
        <f>IF(AND(AB12="OK",AD12&lt;&gt;"除外"),COUNTIFS($AB$5:AB12,"OK",$AD$5:AD12,"&lt;&gt;除外"),"")</f>
        <v/>
      </c>
      <c r="BA12" s="34">
        <f>IF(OR(AZ12="",AI12=""),"",AI12+ROW()/1000000000)</f>
        <v/>
      </c>
      <c r="BB12" s="34">
        <f>IF(E12="","",IF(OR(TRIM(E12&amp;"")="-",TRIM(E12&amp;"")="－",TRIM(E12&amp;"")="ー"),"",TRIM(E12&amp;"")))</f>
        <v/>
      </c>
      <c r="BC12" s="34">
        <f>IF(AND(AB12="OK",BB12&lt;&gt;""),IF(COUNTIFS($BB$5:BB12,BB12,$AB$5:AB12,"OK")=1,1,""),"")</f>
        <v/>
      </c>
      <c r="BD12" s="34">
        <f>IF(BC12=1,COUNTIF($BC$5:BC12,1),"")</f>
        <v/>
      </c>
      <c r="BE12" s="34">
        <f>IF(BB12="","",IFERROR(INDEX('06_顧客別集計'!$G$5:$G$104,MATCH(BB12,'06_顧客別集計'!$C$5:$C$104,0)),BB12))</f>
        <v/>
      </c>
      <c r="BF12" s="34">
        <f>IF(AND(AZ12&lt;&gt;"",BE12&lt;&gt;""),IF(COUNTIFS($BE$5:BE12,BE12,$AZ$5:AZ12,"&gt;0")=1,1,""),"")</f>
        <v/>
      </c>
      <c r="BG12" s="34">
        <f>IF(BF12=1,COUNTIF($BF$5:BF12,1),"")</f>
        <v/>
      </c>
    </row>
    <row r="13">
      <c r="AB13">
        <f>IF(AND(A13="",G13=""),"",IF(ISNUMBER(SEARCH("##END",AM13)),"（終わりの印）",IF(ISNUMBER(SEARCH("##続き",AM13)),"（続きありの印）",IF(AM13="調査ID","（見出し行）",IF(AND(AM13&lt;&gt;"R1",AM13&lt;&gt;"R2"),"×表以外の行（集計されない）",IF(COUNTIF($AN$5:AN13,AN13)&gt;1,"△重複（集計されない）",IF(G13="","△タスク名なし",IF(ISNA(MATCH(AQ13,'M1_類型マスタ'!$A$5:$A$19,0)),"△類型が不正",IF(OR(AP13="",N(AP13)&lt;1,N(AP13)&gt;6),"△業務区分が不正",IF(OR(AS13="",AT13=""),"△回数・分が読めない",IF(SUMPRODUCT(--ISNUMBER(--T13:Z13))&lt;7,"△採点が足りない",IF(SUMPRODUCT((--T13:Z13&gt;2)+(--T13:Z13&lt;0))&gt;0,"△採点が範囲外","OK"))))))))))))</f>
        <v/>
      </c>
      <c r="AC13">
        <f>IF(AB13&lt;&gt;"OK","",TRIM(IF(AND(AU13&lt;&gt;"",N(AU13)&lt;=1),"根拠1件 ","")&amp;IF(AV13&lt;&gt;"","同名あり ","")&amp;IF(AND(NOT(ISNUMBER(N13)),N13&lt;&gt;""),"回数を換算 ","")&amp;IF(J13="","詳細なし ","")&amp;IF(AND(N(AP13)=1,BB13=""),"顧客名なし ","")))</f>
        <v/>
      </c>
      <c r="AD13" s="31" t="n"/>
      <c r="AE13" s="32" t="n"/>
      <c r="AF13" s="32" t="n"/>
      <c r="AG13" s="31" t="n"/>
      <c r="AH13">
        <f>IF(AB13&lt;&gt;"OK","",IF(AG13&lt;&gt;"",AG13,AJ13))</f>
        <v/>
      </c>
      <c r="AI13" s="33">
        <f>IF(AB13&lt;&gt;"OK","",IFERROR(IF(AE13&lt;&gt;"",AE13,AS13)*IF(AF13&lt;&gt;"",AF13,AT13)/60,""))</f>
        <v/>
      </c>
      <c r="AJ13">
        <f>IF(AB13&lt;&gt;"OK","",IF(OR(VALUE(T13)=2,VALUE(U13)=2,VALUE(V13)=2),"社内残置",IF(AND(VALUE(T13)=0,VALUE(W13)=0,VALUE(Y13)=0),"自動化候補",IF(AND(VALUE(U13)=0,VALUE(W13)&lt;=1,VALUE(X13)&lt;=1,VALUE(Y13)&lt;=1,VALUE(Z13)&lt;=1),"オフショア候補",IF(AND(VALUE(Y13)&lt;=1,VALUE(Z13)&lt;=1),"ニアショア候補","社内で手順化→再評価")))))</f>
        <v/>
      </c>
      <c r="AK13">
        <f>IF(AB13&lt;&gt;"OK","",14-SUMPRODUCT(--T13:Z13))</f>
        <v/>
      </c>
      <c r="AL13" s="33">
        <f>IF(AB13&lt;&gt;"OK","",AS13*AT13/60)</f>
        <v/>
      </c>
      <c r="AM13" s="34">
        <f>IF(A13="","",UPPER(TRIM(ASC(A13&amp;""))))</f>
        <v/>
      </c>
      <c r="AN13" s="34">
        <f>IF(AM13="","",AM13&amp;"-"&amp;B13)</f>
        <v/>
      </c>
      <c r="AO13" s="34">
        <f>IF(C13="","",IFERROR(VALUE(ASC(SUBSTITUTE(C13&amp;"","観点",""))),""))</f>
        <v/>
      </c>
      <c r="AP13" s="34">
        <f>IF(D13="","",IFERROR(VALUE(LEFT(TRIM(ASC(D13&amp;"")),1)),IFERROR(MATCH(TRIM(D13&amp;""),'M2_区分マスタ'!$I$5:$I$10,0),"")))</f>
        <v/>
      </c>
      <c r="AQ13" s="34">
        <f>IF(H13="","",UPPER(LEFT(TRIM(ASC(H13&amp;"")),3)))</f>
        <v/>
      </c>
      <c r="AR13" s="34">
        <f>IF(N13="","",IFERROR(VALUE(SUBSTITUTE(SUBSTITUTE(SUBSTITUTE(SUBSTITUTE(SUBSTITUTE(SUBSTITUTE(SUBSTITUTE(SUBSTITUTE(SUBSTITUTE(SUBSTITUTE(SUBSTITUTE(SUBSTITUTE(ASC(N13&amp;""),"約",""),"程度",""),"ほど",""),"回",""),"毎",""),"週",""),"月",""),"年",""),"日",""),"に",""),"/","")," ","")),""))</f>
        <v/>
      </c>
      <c r="AS13" s="34">
        <f>IF(N13="","",IF(ISNUMBER(N13),N13,IFERROR(VALUE(ASC(N13&amp;"")),IF(AR13&lt;&gt;"",AR13*IF(ISNUMBER(SEARCH("週",N13)),4.3,IF(ISNUMBER(SEARCH("年",N13)),1/12,IF(ISNUMBER(SEARCH("日",N13)),20,1))),IF(ISNUMBER(SEARCH("日",N13)),20,IF(ISNUMBER(SEARCH("週",N13)),4.3,IF(ISNUMBER(SEARCH("月",N13)),1,"")))))))</f>
        <v/>
      </c>
      <c r="AT13" s="34">
        <f>IF(O13="","",IF(ISNUMBER(O13),O13,IFERROR(VALUE(ASC(O13&amp;"")),IF(ISNUMBER(SEARCH("時間",O13)),IFERROR(VALUE(SUBSTITUTE(SUBSTITUTE(SUBSTITUTE(SUBSTITUTE(SUBSTITUTE(ASC(O13&amp;""),"約",""),"程度",""),"ほど",""),"時間","")," ",""))*60,""),IFERROR(VALUE(SUBSTITUTE(SUBSTITUTE(SUBSTITUTE(SUBSTITUTE(SUBSTITUTE(ASC(O13&amp;""),"約",""),"程度",""),"ほど",""),"分","")," ","")),"")))))</f>
        <v/>
      </c>
      <c r="AU13" s="34">
        <f>IF(P13="","",IF(ISNUMBER(P13),P13,IFERROR(VALUE(SUBSTITUTE(SUBSTITUTE(SUBSTITUTE(ASC(P13&amp;""),"約",""),"件","")," ","")),"")))</f>
        <v/>
      </c>
      <c r="AV13" s="34">
        <f>IF(AB13&lt;&gt;"OK","",IF(COUNTIFS($G$5:$G$404,G13&amp;"",$F$5:$F$404,F13&amp;"",$BE$5:$BE$404,BE13&amp;"",$AB$5:$AB$404,"OK")&gt;1,"同名あり",""))</f>
        <v/>
      </c>
      <c r="AW13" s="35">
        <f>IF(Q13="","",IF(ISNUMBER(Q13),Q13,IFERROR(DATEVALUE(SUBSTITUTE(SUBSTITUTE(ASC(Q13&amp;""),"-","/"),".","/")&amp;"/01"),"")))</f>
        <v/>
      </c>
      <c r="AX13" s="35">
        <f>IF(R13="","",IF(ISNUMBER(R13),R13,IFERROR(DATEVALUE(SUBSTITUTE(SUBSTITUTE(ASC(R13&amp;""),"-","/"),".","/")&amp;"/01"),"")))</f>
        <v/>
      </c>
      <c r="AY13" s="34">
        <f>IF(OR(AB13&lt;&gt;"OK",AW13=""),"",IF(AW13&gt;='01_設定'!$C$26,1,0))</f>
        <v/>
      </c>
      <c r="AZ13" s="34">
        <f>IF(AND(AB13="OK",AD13&lt;&gt;"除外"),COUNTIFS($AB$5:AB13,"OK",$AD$5:AD13,"&lt;&gt;除外"),"")</f>
        <v/>
      </c>
      <c r="BA13" s="34">
        <f>IF(OR(AZ13="",AI13=""),"",AI13+ROW()/1000000000)</f>
        <v/>
      </c>
      <c r="BB13" s="34">
        <f>IF(E13="","",IF(OR(TRIM(E13&amp;"")="-",TRIM(E13&amp;"")="－",TRIM(E13&amp;"")="ー"),"",TRIM(E13&amp;"")))</f>
        <v/>
      </c>
      <c r="BC13" s="34">
        <f>IF(AND(AB13="OK",BB13&lt;&gt;""),IF(COUNTIFS($BB$5:BB13,BB13,$AB$5:AB13,"OK")=1,1,""),"")</f>
        <v/>
      </c>
      <c r="BD13" s="34">
        <f>IF(BC13=1,COUNTIF($BC$5:BC13,1),"")</f>
        <v/>
      </c>
      <c r="BE13" s="34">
        <f>IF(BB13="","",IFERROR(INDEX('06_顧客別集計'!$G$5:$G$104,MATCH(BB13,'06_顧客別集計'!$C$5:$C$104,0)),BB13))</f>
        <v/>
      </c>
      <c r="BF13" s="34">
        <f>IF(AND(AZ13&lt;&gt;"",BE13&lt;&gt;""),IF(COUNTIFS($BE$5:BE13,BE13,$AZ$5:AZ13,"&gt;0")=1,1,""),"")</f>
        <v/>
      </c>
      <c r="BG13" s="34">
        <f>IF(BF13=1,COUNTIF($BF$5:BF13,1),"")</f>
        <v/>
      </c>
    </row>
    <row r="14">
      <c r="AB14">
        <f>IF(AND(A14="",G14=""),"",IF(ISNUMBER(SEARCH("##END",AM14)),"（終わりの印）",IF(ISNUMBER(SEARCH("##続き",AM14)),"（続きありの印）",IF(AM14="調査ID","（見出し行）",IF(AND(AM14&lt;&gt;"R1",AM14&lt;&gt;"R2"),"×表以外の行（集計されない）",IF(COUNTIF($AN$5:AN14,AN14)&gt;1,"△重複（集計されない）",IF(G14="","△タスク名なし",IF(ISNA(MATCH(AQ14,'M1_類型マスタ'!$A$5:$A$19,0)),"△類型が不正",IF(OR(AP14="",N(AP14)&lt;1,N(AP14)&gt;6),"△業務区分が不正",IF(OR(AS14="",AT14=""),"△回数・分が読めない",IF(SUMPRODUCT(--ISNUMBER(--T14:Z14))&lt;7,"△採点が足りない",IF(SUMPRODUCT((--T14:Z14&gt;2)+(--T14:Z14&lt;0))&gt;0,"△採点が範囲外","OK"))))))))))))</f>
        <v/>
      </c>
      <c r="AC14">
        <f>IF(AB14&lt;&gt;"OK","",TRIM(IF(AND(AU14&lt;&gt;"",N(AU14)&lt;=1),"根拠1件 ","")&amp;IF(AV14&lt;&gt;"","同名あり ","")&amp;IF(AND(NOT(ISNUMBER(N14)),N14&lt;&gt;""),"回数を換算 ","")&amp;IF(J14="","詳細なし ","")&amp;IF(AND(N(AP14)=1,BB14=""),"顧客名なし ","")))</f>
        <v/>
      </c>
      <c r="AD14" s="31" t="n"/>
      <c r="AE14" s="32" t="n"/>
      <c r="AF14" s="32" t="n"/>
      <c r="AG14" s="31" t="n"/>
      <c r="AH14">
        <f>IF(AB14&lt;&gt;"OK","",IF(AG14&lt;&gt;"",AG14,AJ14))</f>
        <v/>
      </c>
      <c r="AI14" s="33">
        <f>IF(AB14&lt;&gt;"OK","",IFERROR(IF(AE14&lt;&gt;"",AE14,AS14)*IF(AF14&lt;&gt;"",AF14,AT14)/60,""))</f>
        <v/>
      </c>
      <c r="AJ14">
        <f>IF(AB14&lt;&gt;"OK","",IF(OR(VALUE(T14)=2,VALUE(U14)=2,VALUE(V14)=2),"社内残置",IF(AND(VALUE(T14)=0,VALUE(W14)=0,VALUE(Y14)=0),"自動化候補",IF(AND(VALUE(U14)=0,VALUE(W14)&lt;=1,VALUE(X14)&lt;=1,VALUE(Y14)&lt;=1,VALUE(Z14)&lt;=1),"オフショア候補",IF(AND(VALUE(Y14)&lt;=1,VALUE(Z14)&lt;=1),"ニアショア候補","社内で手順化→再評価")))))</f>
        <v/>
      </c>
      <c r="AK14">
        <f>IF(AB14&lt;&gt;"OK","",14-SUMPRODUCT(--T14:Z14))</f>
        <v/>
      </c>
      <c r="AL14" s="33">
        <f>IF(AB14&lt;&gt;"OK","",AS14*AT14/60)</f>
        <v/>
      </c>
      <c r="AM14" s="34">
        <f>IF(A14="","",UPPER(TRIM(ASC(A14&amp;""))))</f>
        <v/>
      </c>
      <c r="AN14" s="34">
        <f>IF(AM14="","",AM14&amp;"-"&amp;B14)</f>
        <v/>
      </c>
      <c r="AO14" s="34">
        <f>IF(C14="","",IFERROR(VALUE(ASC(SUBSTITUTE(C14&amp;"","観点",""))),""))</f>
        <v/>
      </c>
      <c r="AP14" s="34">
        <f>IF(D14="","",IFERROR(VALUE(LEFT(TRIM(ASC(D14&amp;"")),1)),IFERROR(MATCH(TRIM(D14&amp;""),'M2_区分マスタ'!$I$5:$I$10,0),"")))</f>
        <v/>
      </c>
      <c r="AQ14" s="34">
        <f>IF(H14="","",UPPER(LEFT(TRIM(ASC(H14&amp;"")),3)))</f>
        <v/>
      </c>
      <c r="AR14" s="34">
        <f>IF(N14="","",IFERROR(VALUE(SUBSTITUTE(SUBSTITUTE(SUBSTITUTE(SUBSTITUTE(SUBSTITUTE(SUBSTITUTE(SUBSTITUTE(SUBSTITUTE(SUBSTITUTE(SUBSTITUTE(SUBSTITUTE(SUBSTITUTE(ASC(N14&amp;""),"約",""),"程度",""),"ほど",""),"回",""),"毎",""),"週",""),"月",""),"年",""),"日",""),"に",""),"/","")," ","")),""))</f>
        <v/>
      </c>
      <c r="AS14" s="34">
        <f>IF(N14="","",IF(ISNUMBER(N14),N14,IFERROR(VALUE(ASC(N14&amp;"")),IF(AR14&lt;&gt;"",AR14*IF(ISNUMBER(SEARCH("週",N14)),4.3,IF(ISNUMBER(SEARCH("年",N14)),1/12,IF(ISNUMBER(SEARCH("日",N14)),20,1))),IF(ISNUMBER(SEARCH("日",N14)),20,IF(ISNUMBER(SEARCH("週",N14)),4.3,IF(ISNUMBER(SEARCH("月",N14)),1,"")))))))</f>
        <v/>
      </c>
      <c r="AT14" s="34">
        <f>IF(O14="","",IF(ISNUMBER(O14),O14,IFERROR(VALUE(ASC(O14&amp;"")),IF(ISNUMBER(SEARCH("時間",O14)),IFERROR(VALUE(SUBSTITUTE(SUBSTITUTE(SUBSTITUTE(SUBSTITUTE(SUBSTITUTE(ASC(O14&amp;""),"約",""),"程度",""),"ほど",""),"時間","")," ",""))*60,""),IFERROR(VALUE(SUBSTITUTE(SUBSTITUTE(SUBSTITUTE(SUBSTITUTE(SUBSTITUTE(ASC(O14&amp;""),"約",""),"程度",""),"ほど",""),"分","")," ","")),"")))))</f>
        <v/>
      </c>
      <c r="AU14" s="34">
        <f>IF(P14="","",IF(ISNUMBER(P14),P14,IFERROR(VALUE(SUBSTITUTE(SUBSTITUTE(SUBSTITUTE(ASC(P14&amp;""),"約",""),"件","")," ","")),"")))</f>
        <v/>
      </c>
      <c r="AV14" s="34">
        <f>IF(AB14&lt;&gt;"OK","",IF(COUNTIFS($G$5:$G$404,G14&amp;"",$F$5:$F$404,F14&amp;"",$BE$5:$BE$404,BE14&amp;"",$AB$5:$AB$404,"OK")&gt;1,"同名あり",""))</f>
        <v/>
      </c>
      <c r="AW14" s="35">
        <f>IF(Q14="","",IF(ISNUMBER(Q14),Q14,IFERROR(DATEVALUE(SUBSTITUTE(SUBSTITUTE(ASC(Q14&amp;""),"-","/"),".","/")&amp;"/01"),"")))</f>
        <v/>
      </c>
      <c r="AX14" s="35">
        <f>IF(R14="","",IF(ISNUMBER(R14),R14,IFERROR(DATEVALUE(SUBSTITUTE(SUBSTITUTE(ASC(R14&amp;""),"-","/"),".","/")&amp;"/01"),"")))</f>
        <v/>
      </c>
      <c r="AY14" s="34">
        <f>IF(OR(AB14&lt;&gt;"OK",AW14=""),"",IF(AW14&gt;='01_設定'!$C$26,1,0))</f>
        <v/>
      </c>
      <c r="AZ14" s="34">
        <f>IF(AND(AB14="OK",AD14&lt;&gt;"除外"),COUNTIFS($AB$5:AB14,"OK",$AD$5:AD14,"&lt;&gt;除外"),"")</f>
        <v/>
      </c>
      <c r="BA14" s="34">
        <f>IF(OR(AZ14="",AI14=""),"",AI14+ROW()/1000000000)</f>
        <v/>
      </c>
      <c r="BB14" s="34">
        <f>IF(E14="","",IF(OR(TRIM(E14&amp;"")="-",TRIM(E14&amp;"")="－",TRIM(E14&amp;"")="ー"),"",TRIM(E14&amp;"")))</f>
        <v/>
      </c>
      <c r="BC14" s="34">
        <f>IF(AND(AB14="OK",BB14&lt;&gt;""),IF(COUNTIFS($BB$5:BB14,BB14,$AB$5:AB14,"OK")=1,1,""),"")</f>
        <v/>
      </c>
      <c r="BD14" s="34">
        <f>IF(BC14=1,COUNTIF($BC$5:BC14,1),"")</f>
        <v/>
      </c>
      <c r="BE14" s="34">
        <f>IF(BB14="","",IFERROR(INDEX('06_顧客別集計'!$G$5:$G$104,MATCH(BB14,'06_顧客別集計'!$C$5:$C$104,0)),BB14))</f>
        <v/>
      </c>
      <c r="BF14" s="34">
        <f>IF(AND(AZ14&lt;&gt;"",BE14&lt;&gt;""),IF(COUNTIFS($BE$5:BE14,BE14,$AZ$5:AZ14,"&gt;0")=1,1,""),"")</f>
        <v/>
      </c>
      <c r="BG14" s="34">
        <f>IF(BF14=1,COUNTIF($BF$5:BF14,1),"")</f>
        <v/>
      </c>
    </row>
    <row r="15">
      <c r="AB15">
        <f>IF(AND(A15="",G15=""),"",IF(ISNUMBER(SEARCH("##END",AM15)),"（終わりの印）",IF(ISNUMBER(SEARCH("##続き",AM15)),"（続きありの印）",IF(AM15="調査ID","（見出し行）",IF(AND(AM15&lt;&gt;"R1",AM15&lt;&gt;"R2"),"×表以外の行（集計されない）",IF(COUNTIF($AN$5:AN15,AN15)&gt;1,"△重複（集計されない）",IF(G15="","△タスク名なし",IF(ISNA(MATCH(AQ15,'M1_類型マスタ'!$A$5:$A$19,0)),"△類型が不正",IF(OR(AP15="",N(AP15)&lt;1,N(AP15)&gt;6),"△業務区分が不正",IF(OR(AS15="",AT15=""),"△回数・分が読めない",IF(SUMPRODUCT(--ISNUMBER(--T15:Z15))&lt;7,"△採点が足りない",IF(SUMPRODUCT((--T15:Z15&gt;2)+(--T15:Z15&lt;0))&gt;0,"△採点が範囲外","OK"))))))))))))</f>
        <v/>
      </c>
      <c r="AC15">
        <f>IF(AB15&lt;&gt;"OK","",TRIM(IF(AND(AU15&lt;&gt;"",N(AU15)&lt;=1),"根拠1件 ","")&amp;IF(AV15&lt;&gt;"","同名あり ","")&amp;IF(AND(NOT(ISNUMBER(N15)),N15&lt;&gt;""),"回数を換算 ","")&amp;IF(J15="","詳細なし ","")&amp;IF(AND(N(AP15)=1,BB15=""),"顧客名なし ","")))</f>
        <v/>
      </c>
      <c r="AD15" s="31" t="n"/>
      <c r="AE15" s="32" t="n"/>
      <c r="AF15" s="32" t="n"/>
      <c r="AG15" s="31" t="n"/>
      <c r="AH15">
        <f>IF(AB15&lt;&gt;"OK","",IF(AG15&lt;&gt;"",AG15,AJ15))</f>
        <v/>
      </c>
      <c r="AI15" s="33">
        <f>IF(AB15&lt;&gt;"OK","",IFERROR(IF(AE15&lt;&gt;"",AE15,AS15)*IF(AF15&lt;&gt;"",AF15,AT15)/60,""))</f>
        <v/>
      </c>
      <c r="AJ15">
        <f>IF(AB15&lt;&gt;"OK","",IF(OR(VALUE(T15)=2,VALUE(U15)=2,VALUE(V15)=2),"社内残置",IF(AND(VALUE(T15)=0,VALUE(W15)=0,VALUE(Y15)=0),"自動化候補",IF(AND(VALUE(U15)=0,VALUE(W15)&lt;=1,VALUE(X15)&lt;=1,VALUE(Y15)&lt;=1,VALUE(Z15)&lt;=1),"オフショア候補",IF(AND(VALUE(Y15)&lt;=1,VALUE(Z15)&lt;=1),"ニアショア候補","社内で手順化→再評価")))))</f>
        <v/>
      </c>
      <c r="AK15">
        <f>IF(AB15&lt;&gt;"OK","",14-SUMPRODUCT(--T15:Z15))</f>
        <v/>
      </c>
      <c r="AL15" s="33">
        <f>IF(AB15&lt;&gt;"OK","",AS15*AT15/60)</f>
        <v/>
      </c>
      <c r="AM15" s="34">
        <f>IF(A15="","",UPPER(TRIM(ASC(A15&amp;""))))</f>
        <v/>
      </c>
      <c r="AN15" s="34">
        <f>IF(AM15="","",AM15&amp;"-"&amp;B15)</f>
        <v/>
      </c>
      <c r="AO15" s="34">
        <f>IF(C15="","",IFERROR(VALUE(ASC(SUBSTITUTE(C15&amp;"","観点",""))),""))</f>
        <v/>
      </c>
      <c r="AP15" s="34">
        <f>IF(D15="","",IFERROR(VALUE(LEFT(TRIM(ASC(D15&amp;"")),1)),IFERROR(MATCH(TRIM(D15&amp;""),'M2_区分マスタ'!$I$5:$I$10,0),"")))</f>
        <v/>
      </c>
      <c r="AQ15" s="34">
        <f>IF(H15="","",UPPER(LEFT(TRIM(ASC(H15&amp;"")),3)))</f>
        <v/>
      </c>
      <c r="AR15" s="34">
        <f>IF(N15="","",IFERROR(VALUE(SUBSTITUTE(SUBSTITUTE(SUBSTITUTE(SUBSTITUTE(SUBSTITUTE(SUBSTITUTE(SUBSTITUTE(SUBSTITUTE(SUBSTITUTE(SUBSTITUTE(SUBSTITUTE(SUBSTITUTE(ASC(N15&amp;""),"約",""),"程度",""),"ほど",""),"回",""),"毎",""),"週",""),"月",""),"年",""),"日",""),"に",""),"/","")," ","")),""))</f>
        <v/>
      </c>
      <c r="AS15" s="34">
        <f>IF(N15="","",IF(ISNUMBER(N15),N15,IFERROR(VALUE(ASC(N15&amp;"")),IF(AR15&lt;&gt;"",AR15*IF(ISNUMBER(SEARCH("週",N15)),4.3,IF(ISNUMBER(SEARCH("年",N15)),1/12,IF(ISNUMBER(SEARCH("日",N15)),20,1))),IF(ISNUMBER(SEARCH("日",N15)),20,IF(ISNUMBER(SEARCH("週",N15)),4.3,IF(ISNUMBER(SEARCH("月",N15)),1,"")))))))</f>
        <v/>
      </c>
      <c r="AT15" s="34">
        <f>IF(O15="","",IF(ISNUMBER(O15),O15,IFERROR(VALUE(ASC(O15&amp;"")),IF(ISNUMBER(SEARCH("時間",O15)),IFERROR(VALUE(SUBSTITUTE(SUBSTITUTE(SUBSTITUTE(SUBSTITUTE(SUBSTITUTE(ASC(O15&amp;""),"約",""),"程度",""),"ほど",""),"時間","")," ",""))*60,""),IFERROR(VALUE(SUBSTITUTE(SUBSTITUTE(SUBSTITUTE(SUBSTITUTE(SUBSTITUTE(ASC(O15&amp;""),"約",""),"程度",""),"ほど",""),"分","")," ","")),"")))))</f>
        <v/>
      </c>
      <c r="AU15" s="34">
        <f>IF(P15="","",IF(ISNUMBER(P15),P15,IFERROR(VALUE(SUBSTITUTE(SUBSTITUTE(SUBSTITUTE(ASC(P15&amp;""),"約",""),"件","")," ","")),"")))</f>
        <v/>
      </c>
      <c r="AV15" s="34">
        <f>IF(AB15&lt;&gt;"OK","",IF(COUNTIFS($G$5:$G$404,G15&amp;"",$F$5:$F$404,F15&amp;"",$BE$5:$BE$404,BE15&amp;"",$AB$5:$AB$404,"OK")&gt;1,"同名あり",""))</f>
        <v/>
      </c>
      <c r="AW15" s="35">
        <f>IF(Q15="","",IF(ISNUMBER(Q15),Q15,IFERROR(DATEVALUE(SUBSTITUTE(SUBSTITUTE(ASC(Q15&amp;""),"-","/"),".","/")&amp;"/01"),"")))</f>
        <v/>
      </c>
      <c r="AX15" s="35">
        <f>IF(R15="","",IF(ISNUMBER(R15),R15,IFERROR(DATEVALUE(SUBSTITUTE(SUBSTITUTE(ASC(R15&amp;""),"-","/"),".","/")&amp;"/01"),"")))</f>
        <v/>
      </c>
      <c r="AY15" s="34">
        <f>IF(OR(AB15&lt;&gt;"OK",AW15=""),"",IF(AW15&gt;='01_設定'!$C$26,1,0))</f>
        <v/>
      </c>
      <c r="AZ15" s="34">
        <f>IF(AND(AB15="OK",AD15&lt;&gt;"除外"),COUNTIFS($AB$5:AB15,"OK",$AD$5:AD15,"&lt;&gt;除外"),"")</f>
        <v/>
      </c>
      <c r="BA15" s="34">
        <f>IF(OR(AZ15="",AI15=""),"",AI15+ROW()/1000000000)</f>
        <v/>
      </c>
      <c r="BB15" s="34">
        <f>IF(E15="","",IF(OR(TRIM(E15&amp;"")="-",TRIM(E15&amp;"")="－",TRIM(E15&amp;"")="ー"),"",TRIM(E15&amp;"")))</f>
        <v/>
      </c>
      <c r="BC15" s="34">
        <f>IF(AND(AB15="OK",BB15&lt;&gt;""),IF(COUNTIFS($BB$5:BB15,BB15,$AB$5:AB15,"OK")=1,1,""),"")</f>
        <v/>
      </c>
      <c r="BD15" s="34">
        <f>IF(BC15=1,COUNTIF($BC$5:BC15,1),"")</f>
        <v/>
      </c>
      <c r="BE15" s="34">
        <f>IF(BB15="","",IFERROR(INDEX('06_顧客別集計'!$G$5:$G$104,MATCH(BB15,'06_顧客別集計'!$C$5:$C$104,0)),BB15))</f>
        <v/>
      </c>
      <c r="BF15" s="34">
        <f>IF(AND(AZ15&lt;&gt;"",BE15&lt;&gt;""),IF(COUNTIFS($BE$5:BE15,BE15,$AZ$5:AZ15,"&gt;0")=1,1,""),"")</f>
        <v/>
      </c>
      <c r="BG15" s="34">
        <f>IF(BF15=1,COUNTIF($BF$5:BF15,1),"")</f>
        <v/>
      </c>
    </row>
    <row r="16">
      <c r="AB16">
        <f>IF(AND(A16="",G16=""),"",IF(ISNUMBER(SEARCH("##END",AM16)),"（終わりの印）",IF(ISNUMBER(SEARCH("##続き",AM16)),"（続きありの印）",IF(AM16="調査ID","（見出し行）",IF(AND(AM16&lt;&gt;"R1",AM16&lt;&gt;"R2"),"×表以外の行（集計されない）",IF(COUNTIF($AN$5:AN16,AN16)&gt;1,"△重複（集計されない）",IF(G16="","△タスク名なし",IF(ISNA(MATCH(AQ16,'M1_類型マスタ'!$A$5:$A$19,0)),"△類型が不正",IF(OR(AP16="",N(AP16)&lt;1,N(AP16)&gt;6),"△業務区分が不正",IF(OR(AS16="",AT16=""),"△回数・分が読めない",IF(SUMPRODUCT(--ISNUMBER(--T16:Z16))&lt;7,"△採点が足りない",IF(SUMPRODUCT((--T16:Z16&gt;2)+(--T16:Z16&lt;0))&gt;0,"△採点が範囲外","OK"))))))))))))</f>
        <v/>
      </c>
      <c r="AC16">
        <f>IF(AB16&lt;&gt;"OK","",TRIM(IF(AND(AU16&lt;&gt;"",N(AU16)&lt;=1),"根拠1件 ","")&amp;IF(AV16&lt;&gt;"","同名あり ","")&amp;IF(AND(NOT(ISNUMBER(N16)),N16&lt;&gt;""),"回数を換算 ","")&amp;IF(J16="","詳細なし ","")&amp;IF(AND(N(AP16)=1,BB16=""),"顧客名なし ","")))</f>
        <v/>
      </c>
      <c r="AD16" s="31" t="n"/>
      <c r="AE16" s="32" t="n"/>
      <c r="AF16" s="32" t="n"/>
      <c r="AG16" s="31" t="n"/>
      <c r="AH16">
        <f>IF(AB16&lt;&gt;"OK","",IF(AG16&lt;&gt;"",AG16,AJ16))</f>
        <v/>
      </c>
      <c r="AI16" s="33">
        <f>IF(AB16&lt;&gt;"OK","",IFERROR(IF(AE16&lt;&gt;"",AE16,AS16)*IF(AF16&lt;&gt;"",AF16,AT16)/60,""))</f>
        <v/>
      </c>
      <c r="AJ16">
        <f>IF(AB16&lt;&gt;"OK","",IF(OR(VALUE(T16)=2,VALUE(U16)=2,VALUE(V16)=2),"社内残置",IF(AND(VALUE(T16)=0,VALUE(W16)=0,VALUE(Y16)=0),"自動化候補",IF(AND(VALUE(U16)=0,VALUE(W16)&lt;=1,VALUE(X16)&lt;=1,VALUE(Y16)&lt;=1,VALUE(Z16)&lt;=1),"オフショア候補",IF(AND(VALUE(Y16)&lt;=1,VALUE(Z16)&lt;=1),"ニアショア候補","社内で手順化→再評価")))))</f>
        <v/>
      </c>
      <c r="AK16">
        <f>IF(AB16&lt;&gt;"OK","",14-SUMPRODUCT(--T16:Z16))</f>
        <v/>
      </c>
      <c r="AL16" s="33">
        <f>IF(AB16&lt;&gt;"OK","",AS16*AT16/60)</f>
        <v/>
      </c>
      <c r="AM16" s="34">
        <f>IF(A16="","",UPPER(TRIM(ASC(A16&amp;""))))</f>
        <v/>
      </c>
      <c r="AN16" s="34">
        <f>IF(AM16="","",AM16&amp;"-"&amp;B16)</f>
        <v/>
      </c>
      <c r="AO16" s="34">
        <f>IF(C16="","",IFERROR(VALUE(ASC(SUBSTITUTE(C16&amp;"","観点",""))),""))</f>
        <v/>
      </c>
      <c r="AP16" s="34">
        <f>IF(D16="","",IFERROR(VALUE(LEFT(TRIM(ASC(D16&amp;"")),1)),IFERROR(MATCH(TRIM(D16&amp;""),'M2_区分マスタ'!$I$5:$I$10,0),"")))</f>
        <v/>
      </c>
      <c r="AQ16" s="34">
        <f>IF(H16="","",UPPER(LEFT(TRIM(ASC(H16&amp;"")),3)))</f>
        <v/>
      </c>
      <c r="AR16" s="34">
        <f>IF(N16="","",IFERROR(VALUE(SUBSTITUTE(SUBSTITUTE(SUBSTITUTE(SUBSTITUTE(SUBSTITUTE(SUBSTITUTE(SUBSTITUTE(SUBSTITUTE(SUBSTITUTE(SUBSTITUTE(SUBSTITUTE(SUBSTITUTE(ASC(N16&amp;""),"約",""),"程度",""),"ほど",""),"回",""),"毎",""),"週",""),"月",""),"年",""),"日",""),"に",""),"/","")," ","")),""))</f>
        <v/>
      </c>
      <c r="AS16" s="34">
        <f>IF(N16="","",IF(ISNUMBER(N16),N16,IFERROR(VALUE(ASC(N16&amp;"")),IF(AR16&lt;&gt;"",AR16*IF(ISNUMBER(SEARCH("週",N16)),4.3,IF(ISNUMBER(SEARCH("年",N16)),1/12,IF(ISNUMBER(SEARCH("日",N16)),20,1))),IF(ISNUMBER(SEARCH("日",N16)),20,IF(ISNUMBER(SEARCH("週",N16)),4.3,IF(ISNUMBER(SEARCH("月",N16)),1,"")))))))</f>
        <v/>
      </c>
      <c r="AT16" s="34">
        <f>IF(O16="","",IF(ISNUMBER(O16),O16,IFERROR(VALUE(ASC(O16&amp;"")),IF(ISNUMBER(SEARCH("時間",O16)),IFERROR(VALUE(SUBSTITUTE(SUBSTITUTE(SUBSTITUTE(SUBSTITUTE(SUBSTITUTE(ASC(O16&amp;""),"約",""),"程度",""),"ほど",""),"時間","")," ",""))*60,""),IFERROR(VALUE(SUBSTITUTE(SUBSTITUTE(SUBSTITUTE(SUBSTITUTE(SUBSTITUTE(ASC(O16&amp;""),"約",""),"程度",""),"ほど",""),"分","")," ","")),"")))))</f>
        <v/>
      </c>
      <c r="AU16" s="34">
        <f>IF(P16="","",IF(ISNUMBER(P16),P16,IFERROR(VALUE(SUBSTITUTE(SUBSTITUTE(SUBSTITUTE(ASC(P16&amp;""),"約",""),"件","")," ","")),"")))</f>
        <v/>
      </c>
      <c r="AV16" s="34">
        <f>IF(AB16&lt;&gt;"OK","",IF(COUNTIFS($G$5:$G$404,G16&amp;"",$F$5:$F$404,F16&amp;"",$BE$5:$BE$404,BE16&amp;"",$AB$5:$AB$404,"OK")&gt;1,"同名あり",""))</f>
        <v/>
      </c>
      <c r="AW16" s="35">
        <f>IF(Q16="","",IF(ISNUMBER(Q16),Q16,IFERROR(DATEVALUE(SUBSTITUTE(SUBSTITUTE(ASC(Q16&amp;""),"-","/"),".","/")&amp;"/01"),"")))</f>
        <v/>
      </c>
      <c r="AX16" s="35">
        <f>IF(R16="","",IF(ISNUMBER(R16),R16,IFERROR(DATEVALUE(SUBSTITUTE(SUBSTITUTE(ASC(R16&amp;""),"-","/"),".","/")&amp;"/01"),"")))</f>
        <v/>
      </c>
      <c r="AY16" s="34">
        <f>IF(OR(AB16&lt;&gt;"OK",AW16=""),"",IF(AW16&gt;='01_設定'!$C$26,1,0))</f>
        <v/>
      </c>
      <c r="AZ16" s="34">
        <f>IF(AND(AB16="OK",AD16&lt;&gt;"除外"),COUNTIFS($AB$5:AB16,"OK",$AD$5:AD16,"&lt;&gt;除外"),"")</f>
        <v/>
      </c>
      <c r="BA16" s="34">
        <f>IF(OR(AZ16="",AI16=""),"",AI16+ROW()/1000000000)</f>
        <v/>
      </c>
      <c r="BB16" s="34">
        <f>IF(E16="","",IF(OR(TRIM(E16&amp;"")="-",TRIM(E16&amp;"")="－",TRIM(E16&amp;"")="ー"),"",TRIM(E16&amp;"")))</f>
        <v/>
      </c>
      <c r="BC16" s="34">
        <f>IF(AND(AB16="OK",BB16&lt;&gt;""),IF(COUNTIFS($BB$5:BB16,BB16,$AB$5:AB16,"OK")=1,1,""),"")</f>
        <v/>
      </c>
      <c r="BD16" s="34">
        <f>IF(BC16=1,COUNTIF($BC$5:BC16,1),"")</f>
        <v/>
      </c>
      <c r="BE16" s="34">
        <f>IF(BB16="","",IFERROR(INDEX('06_顧客別集計'!$G$5:$G$104,MATCH(BB16,'06_顧客別集計'!$C$5:$C$104,0)),BB16))</f>
        <v/>
      </c>
      <c r="BF16" s="34">
        <f>IF(AND(AZ16&lt;&gt;"",BE16&lt;&gt;""),IF(COUNTIFS($BE$5:BE16,BE16,$AZ$5:AZ16,"&gt;0")=1,1,""),"")</f>
        <v/>
      </c>
      <c r="BG16" s="34">
        <f>IF(BF16=1,COUNTIF($BF$5:BF16,1),"")</f>
        <v/>
      </c>
    </row>
    <row r="17">
      <c r="AB17">
        <f>IF(AND(A17="",G17=""),"",IF(ISNUMBER(SEARCH("##END",AM17)),"（終わりの印）",IF(ISNUMBER(SEARCH("##続き",AM17)),"（続きありの印）",IF(AM17="調査ID","（見出し行）",IF(AND(AM17&lt;&gt;"R1",AM17&lt;&gt;"R2"),"×表以外の行（集計されない）",IF(COUNTIF($AN$5:AN17,AN17)&gt;1,"△重複（集計されない）",IF(G17="","△タスク名なし",IF(ISNA(MATCH(AQ17,'M1_類型マスタ'!$A$5:$A$19,0)),"△類型が不正",IF(OR(AP17="",N(AP17)&lt;1,N(AP17)&gt;6),"△業務区分が不正",IF(OR(AS17="",AT17=""),"△回数・分が読めない",IF(SUMPRODUCT(--ISNUMBER(--T17:Z17))&lt;7,"△採点が足りない",IF(SUMPRODUCT((--T17:Z17&gt;2)+(--T17:Z17&lt;0))&gt;0,"△採点が範囲外","OK"))))))))))))</f>
        <v/>
      </c>
      <c r="AC17">
        <f>IF(AB17&lt;&gt;"OK","",TRIM(IF(AND(AU17&lt;&gt;"",N(AU17)&lt;=1),"根拠1件 ","")&amp;IF(AV17&lt;&gt;"","同名あり ","")&amp;IF(AND(NOT(ISNUMBER(N17)),N17&lt;&gt;""),"回数を換算 ","")&amp;IF(J17="","詳細なし ","")&amp;IF(AND(N(AP17)=1,BB17=""),"顧客名なし ","")))</f>
        <v/>
      </c>
      <c r="AD17" s="31" t="n"/>
      <c r="AE17" s="32" t="n"/>
      <c r="AF17" s="32" t="n"/>
      <c r="AG17" s="31" t="n"/>
      <c r="AH17">
        <f>IF(AB17&lt;&gt;"OK","",IF(AG17&lt;&gt;"",AG17,AJ17))</f>
        <v/>
      </c>
      <c r="AI17" s="33">
        <f>IF(AB17&lt;&gt;"OK","",IFERROR(IF(AE17&lt;&gt;"",AE17,AS17)*IF(AF17&lt;&gt;"",AF17,AT17)/60,""))</f>
        <v/>
      </c>
      <c r="AJ17">
        <f>IF(AB17&lt;&gt;"OK","",IF(OR(VALUE(T17)=2,VALUE(U17)=2,VALUE(V17)=2),"社内残置",IF(AND(VALUE(T17)=0,VALUE(W17)=0,VALUE(Y17)=0),"自動化候補",IF(AND(VALUE(U17)=0,VALUE(W17)&lt;=1,VALUE(X17)&lt;=1,VALUE(Y17)&lt;=1,VALUE(Z17)&lt;=1),"オフショア候補",IF(AND(VALUE(Y17)&lt;=1,VALUE(Z17)&lt;=1),"ニアショア候補","社内で手順化→再評価")))))</f>
        <v/>
      </c>
      <c r="AK17">
        <f>IF(AB17&lt;&gt;"OK","",14-SUMPRODUCT(--T17:Z17))</f>
        <v/>
      </c>
      <c r="AL17" s="33">
        <f>IF(AB17&lt;&gt;"OK","",AS17*AT17/60)</f>
        <v/>
      </c>
      <c r="AM17" s="34">
        <f>IF(A17="","",UPPER(TRIM(ASC(A17&amp;""))))</f>
        <v/>
      </c>
      <c r="AN17" s="34">
        <f>IF(AM17="","",AM17&amp;"-"&amp;B17)</f>
        <v/>
      </c>
      <c r="AO17" s="34">
        <f>IF(C17="","",IFERROR(VALUE(ASC(SUBSTITUTE(C17&amp;"","観点",""))),""))</f>
        <v/>
      </c>
      <c r="AP17" s="34">
        <f>IF(D17="","",IFERROR(VALUE(LEFT(TRIM(ASC(D17&amp;"")),1)),IFERROR(MATCH(TRIM(D17&amp;""),'M2_区分マスタ'!$I$5:$I$10,0),"")))</f>
        <v/>
      </c>
      <c r="AQ17" s="34">
        <f>IF(H17="","",UPPER(LEFT(TRIM(ASC(H17&amp;"")),3)))</f>
        <v/>
      </c>
      <c r="AR17" s="34">
        <f>IF(N17="","",IFERROR(VALUE(SUBSTITUTE(SUBSTITUTE(SUBSTITUTE(SUBSTITUTE(SUBSTITUTE(SUBSTITUTE(SUBSTITUTE(SUBSTITUTE(SUBSTITUTE(SUBSTITUTE(SUBSTITUTE(SUBSTITUTE(ASC(N17&amp;""),"約",""),"程度",""),"ほど",""),"回",""),"毎",""),"週",""),"月",""),"年",""),"日",""),"に",""),"/","")," ","")),""))</f>
        <v/>
      </c>
      <c r="AS17" s="34">
        <f>IF(N17="","",IF(ISNUMBER(N17),N17,IFERROR(VALUE(ASC(N17&amp;"")),IF(AR17&lt;&gt;"",AR17*IF(ISNUMBER(SEARCH("週",N17)),4.3,IF(ISNUMBER(SEARCH("年",N17)),1/12,IF(ISNUMBER(SEARCH("日",N17)),20,1))),IF(ISNUMBER(SEARCH("日",N17)),20,IF(ISNUMBER(SEARCH("週",N17)),4.3,IF(ISNUMBER(SEARCH("月",N17)),1,"")))))))</f>
        <v/>
      </c>
      <c r="AT17" s="34">
        <f>IF(O17="","",IF(ISNUMBER(O17),O17,IFERROR(VALUE(ASC(O17&amp;"")),IF(ISNUMBER(SEARCH("時間",O17)),IFERROR(VALUE(SUBSTITUTE(SUBSTITUTE(SUBSTITUTE(SUBSTITUTE(SUBSTITUTE(ASC(O17&amp;""),"約",""),"程度",""),"ほど",""),"時間","")," ",""))*60,""),IFERROR(VALUE(SUBSTITUTE(SUBSTITUTE(SUBSTITUTE(SUBSTITUTE(SUBSTITUTE(ASC(O17&amp;""),"約",""),"程度",""),"ほど",""),"分","")," ","")),"")))))</f>
        <v/>
      </c>
      <c r="AU17" s="34">
        <f>IF(P17="","",IF(ISNUMBER(P17),P17,IFERROR(VALUE(SUBSTITUTE(SUBSTITUTE(SUBSTITUTE(ASC(P17&amp;""),"約",""),"件","")," ","")),"")))</f>
        <v/>
      </c>
      <c r="AV17" s="34">
        <f>IF(AB17&lt;&gt;"OK","",IF(COUNTIFS($G$5:$G$404,G17&amp;"",$F$5:$F$404,F17&amp;"",$BE$5:$BE$404,BE17&amp;"",$AB$5:$AB$404,"OK")&gt;1,"同名あり",""))</f>
        <v/>
      </c>
      <c r="AW17" s="35">
        <f>IF(Q17="","",IF(ISNUMBER(Q17),Q17,IFERROR(DATEVALUE(SUBSTITUTE(SUBSTITUTE(ASC(Q17&amp;""),"-","/"),".","/")&amp;"/01"),"")))</f>
        <v/>
      </c>
      <c r="AX17" s="35">
        <f>IF(R17="","",IF(ISNUMBER(R17),R17,IFERROR(DATEVALUE(SUBSTITUTE(SUBSTITUTE(ASC(R17&amp;""),"-","/"),".","/")&amp;"/01"),"")))</f>
        <v/>
      </c>
      <c r="AY17" s="34">
        <f>IF(OR(AB17&lt;&gt;"OK",AW17=""),"",IF(AW17&gt;='01_設定'!$C$26,1,0))</f>
        <v/>
      </c>
      <c r="AZ17" s="34">
        <f>IF(AND(AB17="OK",AD17&lt;&gt;"除外"),COUNTIFS($AB$5:AB17,"OK",$AD$5:AD17,"&lt;&gt;除外"),"")</f>
        <v/>
      </c>
      <c r="BA17" s="34">
        <f>IF(OR(AZ17="",AI17=""),"",AI17+ROW()/1000000000)</f>
        <v/>
      </c>
      <c r="BB17" s="34">
        <f>IF(E17="","",IF(OR(TRIM(E17&amp;"")="-",TRIM(E17&amp;"")="－",TRIM(E17&amp;"")="ー"),"",TRIM(E17&amp;"")))</f>
        <v/>
      </c>
      <c r="BC17" s="34">
        <f>IF(AND(AB17="OK",BB17&lt;&gt;""),IF(COUNTIFS($BB$5:BB17,BB17,$AB$5:AB17,"OK")=1,1,""),"")</f>
        <v/>
      </c>
      <c r="BD17" s="34">
        <f>IF(BC17=1,COUNTIF($BC$5:BC17,1),"")</f>
        <v/>
      </c>
      <c r="BE17" s="34">
        <f>IF(BB17="","",IFERROR(INDEX('06_顧客別集計'!$G$5:$G$104,MATCH(BB17,'06_顧客別集計'!$C$5:$C$104,0)),BB17))</f>
        <v/>
      </c>
      <c r="BF17" s="34">
        <f>IF(AND(AZ17&lt;&gt;"",BE17&lt;&gt;""),IF(COUNTIFS($BE$5:BE17,BE17,$AZ$5:AZ17,"&gt;0")=1,1,""),"")</f>
        <v/>
      </c>
      <c r="BG17" s="34">
        <f>IF(BF17=1,COUNTIF($BF$5:BF17,1),"")</f>
        <v/>
      </c>
    </row>
    <row r="18">
      <c r="AB18">
        <f>IF(AND(A18="",G18=""),"",IF(ISNUMBER(SEARCH("##END",AM18)),"（終わりの印）",IF(ISNUMBER(SEARCH("##続き",AM18)),"（続きありの印）",IF(AM18="調査ID","（見出し行）",IF(AND(AM18&lt;&gt;"R1",AM18&lt;&gt;"R2"),"×表以外の行（集計されない）",IF(COUNTIF($AN$5:AN18,AN18)&gt;1,"△重複（集計されない）",IF(G18="","△タスク名なし",IF(ISNA(MATCH(AQ18,'M1_類型マスタ'!$A$5:$A$19,0)),"△類型が不正",IF(OR(AP18="",N(AP18)&lt;1,N(AP18)&gt;6),"△業務区分が不正",IF(OR(AS18="",AT18=""),"△回数・分が読めない",IF(SUMPRODUCT(--ISNUMBER(--T18:Z18))&lt;7,"△採点が足りない",IF(SUMPRODUCT((--T18:Z18&gt;2)+(--T18:Z18&lt;0))&gt;0,"△採点が範囲外","OK"))))))))))))</f>
        <v/>
      </c>
      <c r="AC18">
        <f>IF(AB18&lt;&gt;"OK","",TRIM(IF(AND(AU18&lt;&gt;"",N(AU18)&lt;=1),"根拠1件 ","")&amp;IF(AV18&lt;&gt;"","同名あり ","")&amp;IF(AND(NOT(ISNUMBER(N18)),N18&lt;&gt;""),"回数を換算 ","")&amp;IF(J18="","詳細なし ","")&amp;IF(AND(N(AP18)=1,BB18=""),"顧客名なし ","")))</f>
        <v/>
      </c>
      <c r="AD18" s="31" t="n"/>
      <c r="AE18" s="32" t="n"/>
      <c r="AF18" s="32" t="n"/>
      <c r="AG18" s="31" t="n"/>
      <c r="AH18">
        <f>IF(AB18&lt;&gt;"OK","",IF(AG18&lt;&gt;"",AG18,AJ18))</f>
        <v/>
      </c>
      <c r="AI18" s="33">
        <f>IF(AB18&lt;&gt;"OK","",IFERROR(IF(AE18&lt;&gt;"",AE18,AS18)*IF(AF18&lt;&gt;"",AF18,AT18)/60,""))</f>
        <v/>
      </c>
      <c r="AJ18">
        <f>IF(AB18&lt;&gt;"OK","",IF(OR(VALUE(T18)=2,VALUE(U18)=2,VALUE(V18)=2),"社内残置",IF(AND(VALUE(T18)=0,VALUE(W18)=0,VALUE(Y18)=0),"自動化候補",IF(AND(VALUE(U18)=0,VALUE(W18)&lt;=1,VALUE(X18)&lt;=1,VALUE(Y18)&lt;=1,VALUE(Z18)&lt;=1),"オフショア候補",IF(AND(VALUE(Y18)&lt;=1,VALUE(Z18)&lt;=1),"ニアショア候補","社内で手順化→再評価")))))</f>
        <v/>
      </c>
      <c r="AK18">
        <f>IF(AB18&lt;&gt;"OK","",14-SUMPRODUCT(--T18:Z18))</f>
        <v/>
      </c>
      <c r="AL18" s="33">
        <f>IF(AB18&lt;&gt;"OK","",AS18*AT18/60)</f>
        <v/>
      </c>
      <c r="AM18" s="34">
        <f>IF(A18="","",UPPER(TRIM(ASC(A18&amp;""))))</f>
        <v/>
      </c>
      <c r="AN18" s="34">
        <f>IF(AM18="","",AM18&amp;"-"&amp;B18)</f>
        <v/>
      </c>
      <c r="AO18" s="34">
        <f>IF(C18="","",IFERROR(VALUE(ASC(SUBSTITUTE(C18&amp;"","観点",""))),""))</f>
        <v/>
      </c>
      <c r="AP18" s="34">
        <f>IF(D18="","",IFERROR(VALUE(LEFT(TRIM(ASC(D18&amp;"")),1)),IFERROR(MATCH(TRIM(D18&amp;""),'M2_区分マスタ'!$I$5:$I$10,0),"")))</f>
        <v/>
      </c>
      <c r="AQ18" s="34">
        <f>IF(H18="","",UPPER(LEFT(TRIM(ASC(H18&amp;"")),3)))</f>
        <v/>
      </c>
      <c r="AR18" s="34">
        <f>IF(N18="","",IFERROR(VALUE(SUBSTITUTE(SUBSTITUTE(SUBSTITUTE(SUBSTITUTE(SUBSTITUTE(SUBSTITUTE(SUBSTITUTE(SUBSTITUTE(SUBSTITUTE(SUBSTITUTE(SUBSTITUTE(SUBSTITUTE(ASC(N18&amp;""),"約",""),"程度",""),"ほど",""),"回",""),"毎",""),"週",""),"月",""),"年",""),"日",""),"に",""),"/","")," ","")),""))</f>
        <v/>
      </c>
      <c r="AS18" s="34">
        <f>IF(N18="","",IF(ISNUMBER(N18),N18,IFERROR(VALUE(ASC(N18&amp;"")),IF(AR18&lt;&gt;"",AR18*IF(ISNUMBER(SEARCH("週",N18)),4.3,IF(ISNUMBER(SEARCH("年",N18)),1/12,IF(ISNUMBER(SEARCH("日",N18)),20,1))),IF(ISNUMBER(SEARCH("日",N18)),20,IF(ISNUMBER(SEARCH("週",N18)),4.3,IF(ISNUMBER(SEARCH("月",N18)),1,"")))))))</f>
        <v/>
      </c>
      <c r="AT18" s="34">
        <f>IF(O18="","",IF(ISNUMBER(O18),O18,IFERROR(VALUE(ASC(O18&amp;"")),IF(ISNUMBER(SEARCH("時間",O18)),IFERROR(VALUE(SUBSTITUTE(SUBSTITUTE(SUBSTITUTE(SUBSTITUTE(SUBSTITUTE(ASC(O18&amp;""),"約",""),"程度",""),"ほど",""),"時間","")," ",""))*60,""),IFERROR(VALUE(SUBSTITUTE(SUBSTITUTE(SUBSTITUTE(SUBSTITUTE(SUBSTITUTE(ASC(O18&amp;""),"約",""),"程度",""),"ほど",""),"分","")," ","")),"")))))</f>
        <v/>
      </c>
      <c r="AU18" s="34">
        <f>IF(P18="","",IF(ISNUMBER(P18),P18,IFERROR(VALUE(SUBSTITUTE(SUBSTITUTE(SUBSTITUTE(ASC(P18&amp;""),"約",""),"件","")," ","")),"")))</f>
        <v/>
      </c>
      <c r="AV18" s="34">
        <f>IF(AB18&lt;&gt;"OK","",IF(COUNTIFS($G$5:$G$404,G18&amp;"",$F$5:$F$404,F18&amp;"",$BE$5:$BE$404,BE18&amp;"",$AB$5:$AB$404,"OK")&gt;1,"同名あり",""))</f>
        <v/>
      </c>
      <c r="AW18" s="35">
        <f>IF(Q18="","",IF(ISNUMBER(Q18),Q18,IFERROR(DATEVALUE(SUBSTITUTE(SUBSTITUTE(ASC(Q18&amp;""),"-","/"),".","/")&amp;"/01"),"")))</f>
        <v/>
      </c>
      <c r="AX18" s="35">
        <f>IF(R18="","",IF(ISNUMBER(R18),R18,IFERROR(DATEVALUE(SUBSTITUTE(SUBSTITUTE(ASC(R18&amp;""),"-","/"),".","/")&amp;"/01"),"")))</f>
        <v/>
      </c>
      <c r="AY18" s="34">
        <f>IF(OR(AB18&lt;&gt;"OK",AW18=""),"",IF(AW18&gt;='01_設定'!$C$26,1,0))</f>
        <v/>
      </c>
      <c r="AZ18" s="34">
        <f>IF(AND(AB18="OK",AD18&lt;&gt;"除外"),COUNTIFS($AB$5:AB18,"OK",$AD$5:AD18,"&lt;&gt;除外"),"")</f>
        <v/>
      </c>
      <c r="BA18" s="34">
        <f>IF(OR(AZ18="",AI18=""),"",AI18+ROW()/1000000000)</f>
        <v/>
      </c>
      <c r="BB18" s="34">
        <f>IF(E18="","",IF(OR(TRIM(E18&amp;"")="-",TRIM(E18&amp;"")="－",TRIM(E18&amp;"")="ー"),"",TRIM(E18&amp;"")))</f>
        <v/>
      </c>
      <c r="BC18" s="34">
        <f>IF(AND(AB18="OK",BB18&lt;&gt;""),IF(COUNTIFS($BB$5:BB18,BB18,$AB$5:AB18,"OK")=1,1,""),"")</f>
        <v/>
      </c>
      <c r="BD18" s="34">
        <f>IF(BC18=1,COUNTIF($BC$5:BC18,1),"")</f>
        <v/>
      </c>
      <c r="BE18" s="34">
        <f>IF(BB18="","",IFERROR(INDEX('06_顧客別集計'!$G$5:$G$104,MATCH(BB18,'06_顧客別集計'!$C$5:$C$104,0)),BB18))</f>
        <v/>
      </c>
      <c r="BF18" s="34">
        <f>IF(AND(AZ18&lt;&gt;"",BE18&lt;&gt;""),IF(COUNTIFS($BE$5:BE18,BE18,$AZ$5:AZ18,"&gt;0")=1,1,""),"")</f>
        <v/>
      </c>
      <c r="BG18" s="34">
        <f>IF(BF18=1,COUNTIF($BF$5:BF18,1),"")</f>
        <v/>
      </c>
    </row>
    <row r="19">
      <c r="AB19">
        <f>IF(AND(A19="",G19=""),"",IF(ISNUMBER(SEARCH("##END",AM19)),"（終わりの印）",IF(ISNUMBER(SEARCH("##続き",AM19)),"（続きありの印）",IF(AM19="調査ID","（見出し行）",IF(AND(AM19&lt;&gt;"R1",AM19&lt;&gt;"R2"),"×表以外の行（集計されない）",IF(COUNTIF($AN$5:AN19,AN19)&gt;1,"△重複（集計されない）",IF(G19="","△タスク名なし",IF(ISNA(MATCH(AQ19,'M1_類型マスタ'!$A$5:$A$19,0)),"△類型が不正",IF(OR(AP19="",N(AP19)&lt;1,N(AP19)&gt;6),"△業務区分が不正",IF(OR(AS19="",AT19=""),"△回数・分が読めない",IF(SUMPRODUCT(--ISNUMBER(--T19:Z19))&lt;7,"△採点が足りない",IF(SUMPRODUCT((--T19:Z19&gt;2)+(--T19:Z19&lt;0))&gt;0,"△採点が範囲外","OK"))))))))))))</f>
        <v/>
      </c>
      <c r="AC19">
        <f>IF(AB19&lt;&gt;"OK","",TRIM(IF(AND(AU19&lt;&gt;"",N(AU19)&lt;=1),"根拠1件 ","")&amp;IF(AV19&lt;&gt;"","同名あり ","")&amp;IF(AND(NOT(ISNUMBER(N19)),N19&lt;&gt;""),"回数を換算 ","")&amp;IF(J19="","詳細なし ","")&amp;IF(AND(N(AP19)=1,BB19=""),"顧客名なし ","")))</f>
        <v/>
      </c>
      <c r="AD19" s="31" t="n"/>
      <c r="AE19" s="32" t="n"/>
      <c r="AF19" s="32" t="n"/>
      <c r="AG19" s="31" t="n"/>
      <c r="AH19">
        <f>IF(AB19&lt;&gt;"OK","",IF(AG19&lt;&gt;"",AG19,AJ19))</f>
        <v/>
      </c>
      <c r="AI19" s="33">
        <f>IF(AB19&lt;&gt;"OK","",IFERROR(IF(AE19&lt;&gt;"",AE19,AS19)*IF(AF19&lt;&gt;"",AF19,AT19)/60,""))</f>
        <v/>
      </c>
      <c r="AJ19">
        <f>IF(AB19&lt;&gt;"OK","",IF(OR(VALUE(T19)=2,VALUE(U19)=2,VALUE(V19)=2),"社内残置",IF(AND(VALUE(T19)=0,VALUE(W19)=0,VALUE(Y19)=0),"自動化候補",IF(AND(VALUE(U19)=0,VALUE(W19)&lt;=1,VALUE(X19)&lt;=1,VALUE(Y19)&lt;=1,VALUE(Z19)&lt;=1),"オフショア候補",IF(AND(VALUE(Y19)&lt;=1,VALUE(Z19)&lt;=1),"ニアショア候補","社内で手順化→再評価")))))</f>
        <v/>
      </c>
      <c r="AK19">
        <f>IF(AB19&lt;&gt;"OK","",14-SUMPRODUCT(--T19:Z19))</f>
        <v/>
      </c>
      <c r="AL19" s="33">
        <f>IF(AB19&lt;&gt;"OK","",AS19*AT19/60)</f>
        <v/>
      </c>
      <c r="AM19" s="34">
        <f>IF(A19="","",UPPER(TRIM(ASC(A19&amp;""))))</f>
        <v/>
      </c>
      <c r="AN19" s="34">
        <f>IF(AM19="","",AM19&amp;"-"&amp;B19)</f>
        <v/>
      </c>
      <c r="AO19" s="34">
        <f>IF(C19="","",IFERROR(VALUE(ASC(SUBSTITUTE(C19&amp;"","観点",""))),""))</f>
        <v/>
      </c>
      <c r="AP19" s="34">
        <f>IF(D19="","",IFERROR(VALUE(LEFT(TRIM(ASC(D19&amp;"")),1)),IFERROR(MATCH(TRIM(D19&amp;""),'M2_区分マスタ'!$I$5:$I$10,0),"")))</f>
        <v/>
      </c>
      <c r="AQ19" s="34">
        <f>IF(H19="","",UPPER(LEFT(TRIM(ASC(H19&amp;"")),3)))</f>
        <v/>
      </c>
      <c r="AR19" s="34">
        <f>IF(N19="","",IFERROR(VALUE(SUBSTITUTE(SUBSTITUTE(SUBSTITUTE(SUBSTITUTE(SUBSTITUTE(SUBSTITUTE(SUBSTITUTE(SUBSTITUTE(SUBSTITUTE(SUBSTITUTE(SUBSTITUTE(SUBSTITUTE(ASC(N19&amp;""),"約",""),"程度",""),"ほど",""),"回",""),"毎",""),"週",""),"月",""),"年",""),"日",""),"に",""),"/","")," ","")),""))</f>
        <v/>
      </c>
      <c r="AS19" s="34">
        <f>IF(N19="","",IF(ISNUMBER(N19),N19,IFERROR(VALUE(ASC(N19&amp;"")),IF(AR19&lt;&gt;"",AR19*IF(ISNUMBER(SEARCH("週",N19)),4.3,IF(ISNUMBER(SEARCH("年",N19)),1/12,IF(ISNUMBER(SEARCH("日",N19)),20,1))),IF(ISNUMBER(SEARCH("日",N19)),20,IF(ISNUMBER(SEARCH("週",N19)),4.3,IF(ISNUMBER(SEARCH("月",N19)),1,"")))))))</f>
        <v/>
      </c>
      <c r="AT19" s="34">
        <f>IF(O19="","",IF(ISNUMBER(O19),O19,IFERROR(VALUE(ASC(O19&amp;"")),IF(ISNUMBER(SEARCH("時間",O19)),IFERROR(VALUE(SUBSTITUTE(SUBSTITUTE(SUBSTITUTE(SUBSTITUTE(SUBSTITUTE(ASC(O19&amp;""),"約",""),"程度",""),"ほど",""),"時間","")," ",""))*60,""),IFERROR(VALUE(SUBSTITUTE(SUBSTITUTE(SUBSTITUTE(SUBSTITUTE(SUBSTITUTE(ASC(O19&amp;""),"約",""),"程度",""),"ほど",""),"分","")," ","")),"")))))</f>
        <v/>
      </c>
      <c r="AU19" s="34">
        <f>IF(P19="","",IF(ISNUMBER(P19),P19,IFERROR(VALUE(SUBSTITUTE(SUBSTITUTE(SUBSTITUTE(ASC(P19&amp;""),"約",""),"件","")," ","")),"")))</f>
        <v/>
      </c>
      <c r="AV19" s="34">
        <f>IF(AB19&lt;&gt;"OK","",IF(COUNTIFS($G$5:$G$404,G19&amp;"",$F$5:$F$404,F19&amp;"",$BE$5:$BE$404,BE19&amp;"",$AB$5:$AB$404,"OK")&gt;1,"同名あり",""))</f>
        <v/>
      </c>
      <c r="AW19" s="35">
        <f>IF(Q19="","",IF(ISNUMBER(Q19),Q19,IFERROR(DATEVALUE(SUBSTITUTE(SUBSTITUTE(ASC(Q19&amp;""),"-","/"),".","/")&amp;"/01"),"")))</f>
        <v/>
      </c>
      <c r="AX19" s="35">
        <f>IF(R19="","",IF(ISNUMBER(R19),R19,IFERROR(DATEVALUE(SUBSTITUTE(SUBSTITUTE(ASC(R19&amp;""),"-","/"),".","/")&amp;"/01"),"")))</f>
        <v/>
      </c>
      <c r="AY19" s="34">
        <f>IF(OR(AB19&lt;&gt;"OK",AW19=""),"",IF(AW19&gt;='01_設定'!$C$26,1,0))</f>
        <v/>
      </c>
      <c r="AZ19" s="34">
        <f>IF(AND(AB19="OK",AD19&lt;&gt;"除外"),COUNTIFS($AB$5:AB19,"OK",$AD$5:AD19,"&lt;&gt;除外"),"")</f>
        <v/>
      </c>
      <c r="BA19" s="34">
        <f>IF(OR(AZ19="",AI19=""),"",AI19+ROW()/1000000000)</f>
        <v/>
      </c>
      <c r="BB19" s="34">
        <f>IF(E19="","",IF(OR(TRIM(E19&amp;"")="-",TRIM(E19&amp;"")="－",TRIM(E19&amp;"")="ー"),"",TRIM(E19&amp;"")))</f>
        <v/>
      </c>
      <c r="BC19" s="34">
        <f>IF(AND(AB19="OK",BB19&lt;&gt;""),IF(COUNTIFS($BB$5:BB19,BB19,$AB$5:AB19,"OK")=1,1,""),"")</f>
        <v/>
      </c>
      <c r="BD19" s="34">
        <f>IF(BC19=1,COUNTIF($BC$5:BC19,1),"")</f>
        <v/>
      </c>
      <c r="BE19" s="34">
        <f>IF(BB19="","",IFERROR(INDEX('06_顧客別集計'!$G$5:$G$104,MATCH(BB19,'06_顧客別集計'!$C$5:$C$104,0)),BB19))</f>
        <v/>
      </c>
      <c r="BF19" s="34">
        <f>IF(AND(AZ19&lt;&gt;"",BE19&lt;&gt;""),IF(COUNTIFS($BE$5:BE19,BE19,$AZ$5:AZ19,"&gt;0")=1,1,""),"")</f>
        <v/>
      </c>
      <c r="BG19" s="34">
        <f>IF(BF19=1,COUNTIF($BF$5:BF19,1),"")</f>
        <v/>
      </c>
    </row>
    <row r="20">
      <c r="AB20">
        <f>IF(AND(A20="",G20=""),"",IF(ISNUMBER(SEARCH("##END",AM20)),"（終わりの印）",IF(ISNUMBER(SEARCH("##続き",AM20)),"（続きありの印）",IF(AM20="調査ID","（見出し行）",IF(AND(AM20&lt;&gt;"R1",AM20&lt;&gt;"R2"),"×表以外の行（集計されない）",IF(COUNTIF($AN$5:AN20,AN20)&gt;1,"△重複（集計されない）",IF(G20="","△タスク名なし",IF(ISNA(MATCH(AQ20,'M1_類型マスタ'!$A$5:$A$19,0)),"△類型が不正",IF(OR(AP20="",N(AP20)&lt;1,N(AP20)&gt;6),"△業務区分が不正",IF(OR(AS20="",AT20=""),"△回数・分が読めない",IF(SUMPRODUCT(--ISNUMBER(--T20:Z20))&lt;7,"△採点が足りない",IF(SUMPRODUCT((--T20:Z20&gt;2)+(--T20:Z20&lt;0))&gt;0,"△採点が範囲外","OK"))))))))))))</f>
        <v/>
      </c>
      <c r="AC20">
        <f>IF(AB20&lt;&gt;"OK","",TRIM(IF(AND(AU20&lt;&gt;"",N(AU20)&lt;=1),"根拠1件 ","")&amp;IF(AV20&lt;&gt;"","同名あり ","")&amp;IF(AND(NOT(ISNUMBER(N20)),N20&lt;&gt;""),"回数を換算 ","")&amp;IF(J20="","詳細なし ","")&amp;IF(AND(N(AP20)=1,BB20=""),"顧客名なし ","")))</f>
        <v/>
      </c>
      <c r="AD20" s="31" t="n"/>
      <c r="AE20" s="32" t="n"/>
      <c r="AF20" s="32" t="n"/>
      <c r="AG20" s="31" t="n"/>
      <c r="AH20">
        <f>IF(AB20&lt;&gt;"OK","",IF(AG20&lt;&gt;"",AG20,AJ20))</f>
        <v/>
      </c>
      <c r="AI20" s="33">
        <f>IF(AB20&lt;&gt;"OK","",IFERROR(IF(AE20&lt;&gt;"",AE20,AS20)*IF(AF20&lt;&gt;"",AF20,AT20)/60,""))</f>
        <v/>
      </c>
      <c r="AJ20">
        <f>IF(AB20&lt;&gt;"OK","",IF(OR(VALUE(T20)=2,VALUE(U20)=2,VALUE(V20)=2),"社内残置",IF(AND(VALUE(T20)=0,VALUE(W20)=0,VALUE(Y20)=0),"自動化候補",IF(AND(VALUE(U20)=0,VALUE(W20)&lt;=1,VALUE(X20)&lt;=1,VALUE(Y20)&lt;=1,VALUE(Z20)&lt;=1),"オフショア候補",IF(AND(VALUE(Y20)&lt;=1,VALUE(Z20)&lt;=1),"ニアショア候補","社内で手順化→再評価")))))</f>
        <v/>
      </c>
      <c r="AK20">
        <f>IF(AB20&lt;&gt;"OK","",14-SUMPRODUCT(--T20:Z20))</f>
        <v/>
      </c>
      <c r="AL20" s="33">
        <f>IF(AB20&lt;&gt;"OK","",AS20*AT20/60)</f>
        <v/>
      </c>
      <c r="AM20" s="34">
        <f>IF(A20="","",UPPER(TRIM(ASC(A20&amp;""))))</f>
        <v/>
      </c>
      <c r="AN20" s="34">
        <f>IF(AM20="","",AM20&amp;"-"&amp;B20)</f>
        <v/>
      </c>
      <c r="AO20" s="34">
        <f>IF(C20="","",IFERROR(VALUE(ASC(SUBSTITUTE(C20&amp;"","観点",""))),""))</f>
        <v/>
      </c>
      <c r="AP20" s="34">
        <f>IF(D20="","",IFERROR(VALUE(LEFT(TRIM(ASC(D20&amp;"")),1)),IFERROR(MATCH(TRIM(D20&amp;""),'M2_区分マスタ'!$I$5:$I$10,0),"")))</f>
        <v/>
      </c>
      <c r="AQ20" s="34">
        <f>IF(H20="","",UPPER(LEFT(TRIM(ASC(H20&amp;"")),3)))</f>
        <v/>
      </c>
      <c r="AR20" s="34">
        <f>IF(N20="","",IFERROR(VALUE(SUBSTITUTE(SUBSTITUTE(SUBSTITUTE(SUBSTITUTE(SUBSTITUTE(SUBSTITUTE(SUBSTITUTE(SUBSTITUTE(SUBSTITUTE(SUBSTITUTE(SUBSTITUTE(SUBSTITUTE(ASC(N20&amp;""),"約",""),"程度",""),"ほど",""),"回",""),"毎",""),"週",""),"月",""),"年",""),"日",""),"に",""),"/","")," ","")),""))</f>
        <v/>
      </c>
      <c r="AS20" s="34">
        <f>IF(N20="","",IF(ISNUMBER(N20),N20,IFERROR(VALUE(ASC(N20&amp;"")),IF(AR20&lt;&gt;"",AR20*IF(ISNUMBER(SEARCH("週",N20)),4.3,IF(ISNUMBER(SEARCH("年",N20)),1/12,IF(ISNUMBER(SEARCH("日",N20)),20,1))),IF(ISNUMBER(SEARCH("日",N20)),20,IF(ISNUMBER(SEARCH("週",N20)),4.3,IF(ISNUMBER(SEARCH("月",N20)),1,"")))))))</f>
        <v/>
      </c>
      <c r="AT20" s="34">
        <f>IF(O20="","",IF(ISNUMBER(O20),O20,IFERROR(VALUE(ASC(O20&amp;"")),IF(ISNUMBER(SEARCH("時間",O20)),IFERROR(VALUE(SUBSTITUTE(SUBSTITUTE(SUBSTITUTE(SUBSTITUTE(SUBSTITUTE(ASC(O20&amp;""),"約",""),"程度",""),"ほど",""),"時間","")," ",""))*60,""),IFERROR(VALUE(SUBSTITUTE(SUBSTITUTE(SUBSTITUTE(SUBSTITUTE(SUBSTITUTE(ASC(O20&amp;""),"約",""),"程度",""),"ほど",""),"分","")," ","")),"")))))</f>
        <v/>
      </c>
      <c r="AU20" s="34">
        <f>IF(P20="","",IF(ISNUMBER(P20),P20,IFERROR(VALUE(SUBSTITUTE(SUBSTITUTE(SUBSTITUTE(ASC(P20&amp;""),"約",""),"件","")," ","")),"")))</f>
        <v/>
      </c>
      <c r="AV20" s="34">
        <f>IF(AB20&lt;&gt;"OK","",IF(COUNTIFS($G$5:$G$404,G20&amp;"",$F$5:$F$404,F20&amp;"",$BE$5:$BE$404,BE20&amp;"",$AB$5:$AB$404,"OK")&gt;1,"同名あり",""))</f>
        <v/>
      </c>
      <c r="AW20" s="35">
        <f>IF(Q20="","",IF(ISNUMBER(Q20),Q20,IFERROR(DATEVALUE(SUBSTITUTE(SUBSTITUTE(ASC(Q20&amp;""),"-","/"),".","/")&amp;"/01"),"")))</f>
        <v/>
      </c>
      <c r="AX20" s="35">
        <f>IF(R20="","",IF(ISNUMBER(R20),R20,IFERROR(DATEVALUE(SUBSTITUTE(SUBSTITUTE(ASC(R20&amp;""),"-","/"),".","/")&amp;"/01"),"")))</f>
        <v/>
      </c>
      <c r="AY20" s="34">
        <f>IF(OR(AB20&lt;&gt;"OK",AW20=""),"",IF(AW20&gt;='01_設定'!$C$26,1,0))</f>
        <v/>
      </c>
      <c r="AZ20" s="34">
        <f>IF(AND(AB20="OK",AD20&lt;&gt;"除外"),COUNTIFS($AB$5:AB20,"OK",$AD$5:AD20,"&lt;&gt;除外"),"")</f>
        <v/>
      </c>
      <c r="BA20" s="34">
        <f>IF(OR(AZ20="",AI20=""),"",AI20+ROW()/1000000000)</f>
        <v/>
      </c>
      <c r="BB20" s="34">
        <f>IF(E20="","",IF(OR(TRIM(E20&amp;"")="-",TRIM(E20&amp;"")="－",TRIM(E20&amp;"")="ー"),"",TRIM(E20&amp;"")))</f>
        <v/>
      </c>
      <c r="BC20" s="34">
        <f>IF(AND(AB20="OK",BB20&lt;&gt;""),IF(COUNTIFS($BB$5:BB20,BB20,$AB$5:AB20,"OK")=1,1,""),"")</f>
        <v/>
      </c>
      <c r="BD20" s="34">
        <f>IF(BC20=1,COUNTIF($BC$5:BC20,1),"")</f>
        <v/>
      </c>
      <c r="BE20" s="34">
        <f>IF(BB20="","",IFERROR(INDEX('06_顧客別集計'!$G$5:$G$104,MATCH(BB20,'06_顧客別集計'!$C$5:$C$104,0)),BB20))</f>
        <v/>
      </c>
      <c r="BF20" s="34">
        <f>IF(AND(AZ20&lt;&gt;"",BE20&lt;&gt;""),IF(COUNTIFS($BE$5:BE20,BE20,$AZ$5:AZ20,"&gt;0")=1,1,""),"")</f>
        <v/>
      </c>
      <c r="BG20" s="34">
        <f>IF(BF20=1,COUNTIF($BF$5:BF20,1),"")</f>
        <v/>
      </c>
    </row>
    <row r="21">
      <c r="AB21">
        <f>IF(AND(A21="",G21=""),"",IF(ISNUMBER(SEARCH("##END",AM21)),"（終わりの印）",IF(ISNUMBER(SEARCH("##続き",AM21)),"（続きありの印）",IF(AM21="調査ID","（見出し行）",IF(AND(AM21&lt;&gt;"R1",AM21&lt;&gt;"R2"),"×表以外の行（集計されない）",IF(COUNTIF($AN$5:AN21,AN21)&gt;1,"△重複（集計されない）",IF(G21="","△タスク名なし",IF(ISNA(MATCH(AQ21,'M1_類型マスタ'!$A$5:$A$19,0)),"△類型が不正",IF(OR(AP21="",N(AP21)&lt;1,N(AP21)&gt;6),"△業務区分が不正",IF(OR(AS21="",AT21=""),"△回数・分が読めない",IF(SUMPRODUCT(--ISNUMBER(--T21:Z21))&lt;7,"△採点が足りない",IF(SUMPRODUCT((--T21:Z21&gt;2)+(--T21:Z21&lt;0))&gt;0,"△採点が範囲外","OK"))))))))))))</f>
        <v/>
      </c>
      <c r="AC21">
        <f>IF(AB21&lt;&gt;"OK","",TRIM(IF(AND(AU21&lt;&gt;"",N(AU21)&lt;=1),"根拠1件 ","")&amp;IF(AV21&lt;&gt;"","同名あり ","")&amp;IF(AND(NOT(ISNUMBER(N21)),N21&lt;&gt;""),"回数を換算 ","")&amp;IF(J21="","詳細なし ","")&amp;IF(AND(N(AP21)=1,BB21=""),"顧客名なし ","")))</f>
        <v/>
      </c>
      <c r="AD21" s="31" t="n"/>
      <c r="AE21" s="32" t="n"/>
      <c r="AF21" s="32" t="n"/>
      <c r="AG21" s="31" t="n"/>
      <c r="AH21">
        <f>IF(AB21&lt;&gt;"OK","",IF(AG21&lt;&gt;"",AG21,AJ21))</f>
        <v/>
      </c>
      <c r="AI21" s="33">
        <f>IF(AB21&lt;&gt;"OK","",IFERROR(IF(AE21&lt;&gt;"",AE21,AS21)*IF(AF21&lt;&gt;"",AF21,AT21)/60,""))</f>
        <v/>
      </c>
      <c r="AJ21">
        <f>IF(AB21&lt;&gt;"OK","",IF(OR(VALUE(T21)=2,VALUE(U21)=2,VALUE(V21)=2),"社内残置",IF(AND(VALUE(T21)=0,VALUE(W21)=0,VALUE(Y21)=0),"自動化候補",IF(AND(VALUE(U21)=0,VALUE(W21)&lt;=1,VALUE(X21)&lt;=1,VALUE(Y21)&lt;=1,VALUE(Z21)&lt;=1),"オフショア候補",IF(AND(VALUE(Y21)&lt;=1,VALUE(Z21)&lt;=1),"ニアショア候補","社内で手順化→再評価")))))</f>
        <v/>
      </c>
      <c r="AK21">
        <f>IF(AB21&lt;&gt;"OK","",14-SUMPRODUCT(--T21:Z21))</f>
        <v/>
      </c>
      <c r="AL21" s="33">
        <f>IF(AB21&lt;&gt;"OK","",AS21*AT21/60)</f>
        <v/>
      </c>
      <c r="AM21" s="34">
        <f>IF(A21="","",UPPER(TRIM(ASC(A21&amp;""))))</f>
        <v/>
      </c>
      <c r="AN21" s="34">
        <f>IF(AM21="","",AM21&amp;"-"&amp;B21)</f>
        <v/>
      </c>
      <c r="AO21" s="34">
        <f>IF(C21="","",IFERROR(VALUE(ASC(SUBSTITUTE(C21&amp;"","観点",""))),""))</f>
        <v/>
      </c>
      <c r="AP21" s="34">
        <f>IF(D21="","",IFERROR(VALUE(LEFT(TRIM(ASC(D21&amp;"")),1)),IFERROR(MATCH(TRIM(D21&amp;""),'M2_区分マスタ'!$I$5:$I$10,0),"")))</f>
        <v/>
      </c>
      <c r="AQ21" s="34">
        <f>IF(H21="","",UPPER(LEFT(TRIM(ASC(H21&amp;"")),3)))</f>
        <v/>
      </c>
      <c r="AR21" s="34">
        <f>IF(N21="","",IFERROR(VALUE(SUBSTITUTE(SUBSTITUTE(SUBSTITUTE(SUBSTITUTE(SUBSTITUTE(SUBSTITUTE(SUBSTITUTE(SUBSTITUTE(SUBSTITUTE(SUBSTITUTE(SUBSTITUTE(SUBSTITUTE(ASC(N21&amp;""),"約",""),"程度",""),"ほど",""),"回",""),"毎",""),"週",""),"月",""),"年",""),"日",""),"に",""),"/","")," ","")),""))</f>
        <v/>
      </c>
      <c r="AS21" s="34">
        <f>IF(N21="","",IF(ISNUMBER(N21),N21,IFERROR(VALUE(ASC(N21&amp;"")),IF(AR21&lt;&gt;"",AR21*IF(ISNUMBER(SEARCH("週",N21)),4.3,IF(ISNUMBER(SEARCH("年",N21)),1/12,IF(ISNUMBER(SEARCH("日",N21)),20,1))),IF(ISNUMBER(SEARCH("日",N21)),20,IF(ISNUMBER(SEARCH("週",N21)),4.3,IF(ISNUMBER(SEARCH("月",N21)),1,"")))))))</f>
        <v/>
      </c>
      <c r="AT21" s="34">
        <f>IF(O21="","",IF(ISNUMBER(O21),O21,IFERROR(VALUE(ASC(O21&amp;"")),IF(ISNUMBER(SEARCH("時間",O21)),IFERROR(VALUE(SUBSTITUTE(SUBSTITUTE(SUBSTITUTE(SUBSTITUTE(SUBSTITUTE(ASC(O21&amp;""),"約",""),"程度",""),"ほど",""),"時間","")," ",""))*60,""),IFERROR(VALUE(SUBSTITUTE(SUBSTITUTE(SUBSTITUTE(SUBSTITUTE(SUBSTITUTE(ASC(O21&amp;""),"約",""),"程度",""),"ほど",""),"分","")," ","")),"")))))</f>
        <v/>
      </c>
      <c r="AU21" s="34">
        <f>IF(P21="","",IF(ISNUMBER(P21),P21,IFERROR(VALUE(SUBSTITUTE(SUBSTITUTE(SUBSTITUTE(ASC(P21&amp;""),"約",""),"件","")," ","")),"")))</f>
        <v/>
      </c>
      <c r="AV21" s="34">
        <f>IF(AB21&lt;&gt;"OK","",IF(COUNTIFS($G$5:$G$404,G21&amp;"",$F$5:$F$404,F21&amp;"",$BE$5:$BE$404,BE21&amp;"",$AB$5:$AB$404,"OK")&gt;1,"同名あり",""))</f>
        <v/>
      </c>
      <c r="AW21" s="35">
        <f>IF(Q21="","",IF(ISNUMBER(Q21),Q21,IFERROR(DATEVALUE(SUBSTITUTE(SUBSTITUTE(ASC(Q21&amp;""),"-","/"),".","/")&amp;"/01"),"")))</f>
        <v/>
      </c>
      <c r="AX21" s="35">
        <f>IF(R21="","",IF(ISNUMBER(R21),R21,IFERROR(DATEVALUE(SUBSTITUTE(SUBSTITUTE(ASC(R21&amp;""),"-","/"),".","/")&amp;"/01"),"")))</f>
        <v/>
      </c>
      <c r="AY21" s="34">
        <f>IF(OR(AB21&lt;&gt;"OK",AW21=""),"",IF(AW21&gt;='01_設定'!$C$26,1,0))</f>
        <v/>
      </c>
      <c r="AZ21" s="34">
        <f>IF(AND(AB21="OK",AD21&lt;&gt;"除外"),COUNTIFS($AB$5:AB21,"OK",$AD$5:AD21,"&lt;&gt;除外"),"")</f>
        <v/>
      </c>
      <c r="BA21" s="34">
        <f>IF(OR(AZ21="",AI21=""),"",AI21+ROW()/1000000000)</f>
        <v/>
      </c>
      <c r="BB21" s="34">
        <f>IF(E21="","",IF(OR(TRIM(E21&amp;"")="-",TRIM(E21&amp;"")="－",TRIM(E21&amp;"")="ー"),"",TRIM(E21&amp;"")))</f>
        <v/>
      </c>
      <c r="BC21" s="34">
        <f>IF(AND(AB21="OK",BB21&lt;&gt;""),IF(COUNTIFS($BB$5:BB21,BB21,$AB$5:AB21,"OK")=1,1,""),"")</f>
        <v/>
      </c>
      <c r="BD21" s="34">
        <f>IF(BC21=1,COUNTIF($BC$5:BC21,1),"")</f>
        <v/>
      </c>
      <c r="BE21" s="34">
        <f>IF(BB21="","",IFERROR(INDEX('06_顧客別集計'!$G$5:$G$104,MATCH(BB21,'06_顧客別集計'!$C$5:$C$104,0)),BB21))</f>
        <v/>
      </c>
      <c r="BF21" s="34">
        <f>IF(AND(AZ21&lt;&gt;"",BE21&lt;&gt;""),IF(COUNTIFS($BE$5:BE21,BE21,$AZ$5:AZ21,"&gt;0")=1,1,""),"")</f>
        <v/>
      </c>
      <c r="BG21" s="34">
        <f>IF(BF21=1,COUNTIF($BF$5:BF21,1),"")</f>
        <v/>
      </c>
    </row>
    <row r="22">
      <c r="AB22">
        <f>IF(AND(A22="",G22=""),"",IF(ISNUMBER(SEARCH("##END",AM22)),"（終わりの印）",IF(ISNUMBER(SEARCH("##続き",AM22)),"（続きありの印）",IF(AM22="調査ID","（見出し行）",IF(AND(AM22&lt;&gt;"R1",AM22&lt;&gt;"R2"),"×表以外の行（集計されない）",IF(COUNTIF($AN$5:AN22,AN22)&gt;1,"△重複（集計されない）",IF(G22="","△タスク名なし",IF(ISNA(MATCH(AQ22,'M1_類型マスタ'!$A$5:$A$19,0)),"△類型が不正",IF(OR(AP22="",N(AP22)&lt;1,N(AP22)&gt;6),"△業務区分が不正",IF(OR(AS22="",AT22=""),"△回数・分が読めない",IF(SUMPRODUCT(--ISNUMBER(--T22:Z22))&lt;7,"△採点が足りない",IF(SUMPRODUCT((--T22:Z22&gt;2)+(--T22:Z22&lt;0))&gt;0,"△採点が範囲外","OK"))))))))))))</f>
        <v/>
      </c>
      <c r="AC22">
        <f>IF(AB22&lt;&gt;"OK","",TRIM(IF(AND(AU22&lt;&gt;"",N(AU22)&lt;=1),"根拠1件 ","")&amp;IF(AV22&lt;&gt;"","同名あり ","")&amp;IF(AND(NOT(ISNUMBER(N22)),N22&lt;&gt;""),"回数を換算 ","")&amp;IF(J22="","詳細なし ","")&amp;IF(AND(N(AP22)=1,BB22=""),"顧客名なし ","")))</f>
        <v/>
      </c>
      <c r="AD22" s="31" t="n"/>
      <c r="AE22" s="32" t="n"/>
      <c r="AF22" s="32" t="n"/>
      <c r="AG22" s="31" t="n"/>
      <c r="AH22">
        <f>IF(AB22&lt;&gt;"OK","",IF(AG22&lt;&gt;"",AG22,AJ22))</f>
        <v/>
      </c>
      <c r="AI22" s="33">
        <f>IF(AB22&lt;&gt;"OK","",IFERROR(IF(AE22&lt;&gt;"",AE22,AS22)*IF(AF22&lt;&gt;"",AF22,AT22)/60,""))</f>
        <v/>
      </c>
      <c r="AJ22">
        <f>IF(AB22&lt;&gt;"OK","",IF(OR(VALUE(T22)=2,VALUE(U22)=2,VALUE(V22)=2),"社内残置",IF(AND(VALUE(T22)=0,VALUE(W22)=0,VALUE(Y22)=0),"自動化候補",IF(AND(VALUE(U22)=0,VALUE(W22)&lt;=1,VALUE(X22)&lt;=1,VALUE(Y22)&lt;=1,VALUE(Z22)&lt;=1),"オフショア候補",IF(AND(VALUE(Y22)&lt;=1,VALUE(Z22)&lt;=1),"ニアショア候補","社内で手順化→再評価")))))</f>
        <v/>
      </c>
      <c r="AK22">
        <f>IF(AB22&lt;&gt;"OK","",14-SUMPRODUCT(--T22:Z22))</f>
        <v/>
      </c>
      <c r="AL22" s="33">
        <f>IF(AB22&lt;&gt;"OK","",AS22*AT22/60)</f>
        <v/>
      </c>
      <c r="AM22" s="34">
        <f>IF(A22="","",UPPER(TRIM(ASC(A22&amp;""))))</f>
        <v/>
      </c>
      <c r="AN22" s="34">
        <f>IF(AM22="","",AM22&amp;"-"&amp;B22)</f>
        <v/>
      </c>
      <c r="AO22" s="34">
        <f>IF(C22="","",IFERROR(VALUE(ASC(SUBSTITUTE(C22&amp;"","観点",""))),""))</f>
        <v/>
      </c>
      <c r="AP22" s="34">
        <f>IF(D22="","",IFERROR(VALUE(LEFT(TRIM(ASC(D22&amp;"")),1)),IFERROR(MATCH(TRIM(D22&amp;""),'M2_区分マスタ'!$I$5:$I$10,0),"")))</f>
        <v/>
      </c>
      <c r="AQ22" s="34">
        <f>IF(H22="","",UPPER(LEFT(TRIM(ASC(H22&amp;"")),3)))</f>
        <v/>
      </c>
      <c r="AR22" s="34">
        <f>IF(N22="","",IFERROR(VALUE(SUBSTITUTE(SUBSTITUTE(SUBSTITUTE(SUBSTITUTE(SUBSTITUTE(SUBSTITUTE(SUBSTITUTE(SUBSTITUTE(SUBSTITUTE(SUBSTITUTE(SUBSTITUTE(SUBSTITUTE(ASC(N22&amp;""),"約",""),"程度",""),"ほど",""),"回",""),"毎",""),"週",""),"月",""),"年",""),"日",""),"に",""),"/","")," ","")),""))</f>
        <v/>
      </c>
      <c r="AS22" s="34">
        <f>IF(N22="","",IF(ISNUMBER(N22),N22,IFERROR(VALUE(ASC(N22&amp;"")),IF(AR22&lt;&gt;"",AR22*IF(ISNUMBER(SEARCH("週",N22)),4.3,IF(ISNUMBER(SEARCH("年",N22)),1/12,IF(ISNUMBER(SEARCH("日",N22)),20,1))),IF(ISNUMBER(SEARCH("日",N22)),20,IF(ISNUMBER(SEARCH("週",N22)),4.3,IF(ISNUMBER(SEARCH("月",N22)),1,"")))))))</f>
        <v/>
      </c>
      <c r="AT22" s="34">
        <f>IF(O22="","",IF(ISNUMBER(O22),O22,IFERROR(VALUE(ASC(O22&amp;"")),IF(ISNUMBER(SEARCH("時間",O22)),IFERROR(VALUE(SUBSTITUTE(SUBSTITUTE(SUBSTITUTE(SUBSTITUTE(SUBSTITUTE(ASC(O22&amp;""),"約",""),"程度",""),"ほど",""),"時間","")," ",""))*60,""),IFERROR(VALUE(SUBSTITUTE(SUBSTITUTE(SUBSTITUTE(SUBSTITUTE(SUBSTITUTE(ASC(O22&amp;""),"約",""),"程度",""),"ほど",""),"分","")," ","")),"")))))</f>
        <v/>
      </c>
      <c r="AU22" s="34">
        <f>IF(P22="","",IF(ISNUMBER(P22),P22,IFERROR(VALUE(SUBSTITUTE(SUBSTITUTE(SUBSTITUTE(ASC(P22&amp;""),"約",""),"件","")," ","")),"")))</f>
        <v/>
      </c>
      <c r="AV22" s="34">
        <f>IF(AB22&lt;&gt;"OK","",IF(COUNTIFS($G$5:$G$404,G22&amp;"",$F$5:$F$404,F22&amp;"",$BE$5:$BE$404,BE22&amp;"",$AB$5:$AB$404,"OK")&gt;1,"同名あり",""))</f>
        <v/>
      </c>
      <c r="AW22" s="35">
        <f>IF(Q22="","",IF(ISNUMBER(Q22),Q22,IFERROR(DATEVALUE(SUBSTITUTE(SUBSTITUTE(ASC(Q22&amp;""),"-","/"),".","/")&amp;"/01"),"")))</f>
        <v/>
      </c>
      <c r="AX22" s="35">
        <f>IF(R22="","",IF(ISNUMBER(R22),R22,IFERROR(DATEVALUE(SUBSTITUTE(SUBSTITUTE(ASC(R22&amp;""),"-","/"),".","/")&amp;"/01"),"")))</f>
        <v/>
      </c>
      <c r="AY22" s="34">
        <f>IF(OR(AB22&lt;&gt;"OK",AW22=""),"",IF(AW22&gt;='01_設定'!$C$26,1,0))</f>
        <v/>
      </c>
      <c r="AZ22" s="34">
        <f>IF(AND(AB22="OK",AD22&lt;&gt;"除外"),COUNTIFS($AB$5:AB22,"OK",$AD$5:AD22,"&lt;&gt;除外"),"")</f>
        <v/>
      </c>
      <c r="BA22" s="34">
        <f>IF(OR(AZ22="",AI22=""),"",AI22+ROW()/1000000000)</f>
        <v/>
      </c>
      <c r="BB22" s="34">
        <f>IF(E22="","",IF(OR(TRIM(E22&amp;"")="-",TRIM(E22&amp;"")="－",TRIM(E22&amp;"")="ー"),"",TRIM(E22&amp;"")))</f>
        <v/>
      </c>
      <c r="BC22" s="34">
        <f>IF(AND(AB22="OK",BB22&lt;&gt;""),IF(COUNTIFS($BB$5:BB22,BB22,$AB$5:AB22,"OK")=1,1,""),"")</f>
        <v/>
      </c>
      <c r="BD22" s="34">
        <f>IF(BC22=1,COUNTIF($BC$5:BC22,1),"")</f>
        <v/>
      </c>
      <c r="BE22" s="34">
        <f>IF(BB22="","",IFERROR(INDEX('06_顧客別集計'!$G$5:$G$104,MATCH(BB22,'06_顧客別集計'!$C$5:$C$104,0)),BB22))</f>
        <v/>
      </c>
      <c r="BF22" s="34">
        <f>IF(AND(AZ22&lt;&gt;"",BE22&lt;&gt;""),IF(COUNTIFS($BE$5:BE22,BE22,$AZ$5:AZ22,"&gt;0")=1,1,""),"")</f>
        <v/>
      </c>
      <c r="BG22" s="34">
        <f>IF(BF22=1,COUNTIF($BF$5:BF22,1),"")</f>
        <v/>
      </c>
    </row>
    <row r="23">
      <c r="AB23">
        <f>IF(AND(A23="",G23=""),"",IF(ISNUMBER(SEARCH("##END",AM23)),"（終わりの印）",IF(ISNUMBER(SEARCH("##続き",AM23)),"（続きありの印）",IF(AM23="調査ID","（見出し行）",IF(AND(AM23&lt;&gt;"R1",AM23&lt;&gt;"R2"),"×表以外の行（集計されない）",IF(COUNTIF($AN$5:AN23,AN23)&gt;1,"△重複（集計されない）",IF(G23="","△タスク名なし",IF(ISNA(MATCH(AQ23,'M1_類型マスタ'!$A$5:$A$19,0)),"△類型が不正",IF(OR(AP23="",N(AP23)&lt;1,N(AP23)&gt;6),"△業務区分が不正",IF(OR(AS23="",AT23=""),"△回数・分が読めない",IF(SUMPRODUCT(--ISNUMBER(--T23:Z23))&lt;7,"△採点が足りない",IF(SUMPRODUCT((--T23:Z23&gt;2)+(--T23:Z23&lt;0))&gt;0,"△採点が範囲外","OK"))))))))))))</f>
        <v/>
      </c>
      <c r="AC23">
        <f>IF(AB23&lt;&gt;"OK","",TRIM(IF(AND(AU23&lt;&gt;"",N(AU23)&lt;=1),"根拠1件 ","")&amp;IF(AV23&lt;&gt;"","同名あり ","")&amp;IF(AND(NOT(ISNUMBER(N23)),N23&lt;&gt;""),"回数を換算 ","")&amp;IF(J23="","詳細なし ","")&amp;IF(AND(N(AP23)=1,BB23=""),"顧客名なし ","")))</f>
        <v/>
      </c>
      <c r="AD23" s="31" t="n"/>
      <c r="AE23" s="32" t="n"/>
      <c r="AF23" s="32" t="n"/>
      <c r="AG23" s="31" t="n"/>
      <c r="AH23">
        <f>IF(AB23&lt;&gt;"OK","",IF(AG23&lt;&gt;"",AG23,AJ23))</f>
        <v/>
      </c>
      <c r="AI23" s="33">
        <f>IF(AB23&lt;&gt;"OK","",IFERROR(IF(AE23&lt;&gt;"",AE23,AS23)*IF(AF23&lt;&gt;"",AF23,AT23)/60,""))</f>
        <v/>
      </c>
      <c r="AJ23">
        <f>IF(AB23&lt;&gt;"OK","",IF(OR(VALUE(T23)=2,VALUE(U23)=2,VALUE(V23)=2),"社内残置",IF(AND(VALUE(T23)=0,VALUE(W23)=0,VALUE(Y23)=0),"自動化候補",IF(AND(VALUE(U23)=0,VALUE(W23)&lt;=1,VALUE(X23)&lt;=1,VALUE(Y23)&lt;=1,VALUE(Z23)&lt;=1),"オフショア候補",IF(AND(VALUE(Y23)&lt;=1,VALUE(Z23)&lt;=1),"ニアショア候補","社内で手順化→再評価")))))</f>
        <v/>
      </c>
      <c r="AK23">
        <f>IF(AB23&lt;&gt;"OK","",14-SUMPRODUCT(--T23:Z23))</f>
        <v/>
      </c>
      <c r="AL23" s="33">
        <f>IF(AB23&lt;&gt;"OK","",AS23*AT23/60)</f>
        <v/>
      </c>
      <c r="AM23" s="34">
        <f>IF(A23="","",UPPER(TRIM(ASC(A23&amp;""))))</f>
        <v/>
      </c>
      <c r="AN23" s="34">
        <f>IF(AM23="","",AM23&amp;"-"&amp;B23)</f>
        <v/>
      </c>
      <c r="AO23" s="34">
        <f>IF(C23="","",IFERROR(VALUE(ASC(SUBSTITUTE(C23&amp;"","観点",""))),""))</f>
        <v/>
      </c>
      <c r="AP23" s="34">
        <f>IF(D23="","",IFERROR(VALUE(LEFT(TRIM(ASC(D23&amp;"")),1)),IFERROR(MATCH(TRIM(D23&amp;""),'M2_区分マスタ'!$I$5:$I$10,0),"")))</f>
        <v/>
      </c>
      <c r="AQ23" s="34">
        <f>IF(H23="","",UPPER(LEFT(TRIM(ASC(H23&amp;"")),3)))</f>
        <v/>
      </c>
      <c r="AR23" s="34">
        <f>IF(N23="","",IFERROR(VALUE(SUBSTITUTE(SUBSTITUTE(SUBSTITUTE(SUBSTITUTE(SUBSTITUTE(SUBSTITUTE(SUBSTITUTE(SUBSTITUTE(SUBSTITUTE(SUBSTITUTE(SUBSTITUTE(SUBSTITUTE(ASC(N23&amp;""),"約",""),"程度",""),"ほど",""),"回",""),"毎",""),"週",""),"月",""),"年",""),"日",""),"に",""),"/","")," ","")),""))</f>
        <v/>
      </c>
      <c r="AS23" s="34">
        <f>IF(N23="","",IF(ISNUMBER(N23),N23,IFERROR(VALUE(ASC(N23&amp;"")),IF(AR23&lt;&gt;"",AR23*IF(ISNUMBER(SEARCH("週",N23)),4.3,IF(ISNUMBER(SEARCH("年",N23)),1/12,IF(ISNUMBER(SEARCH("日",N23)),20,1))),IF(ISNUMBER(SEARCH("日",N23)),20,IF(ISNUMBER(SEARCH("週",N23)),4.3,IF(ISNUMBER(SEARCH("月",N23)),1,"")))))))</f>
        <v/>
      </c>
      <c r="AT23" s="34">
        <f>IF(O23="","",IF(ISNUMBER(O23),O23,IFERROR(VALUE(ASC(O23&amp;"")),IF(ISNUMBER(SEARCH("時間",O23)),IFERROR(VALUE(SUBSTITUTE(SUBSTITUTE(SUBSTITUTE(SUBSTITUTE(SUBSTITUTE(ASC(O23&amp;""),"約",""),"程度",""),"ほど",""),"時間","")," ",""))*60,""),IFERROR(VALUE(SUBSTITUTE(SUBSTITUTE(SUBSTITUTE(SUBSTITUTE(SUBSTITUTE(ASC(O23&amp;""),"約",""),"程度",""),"ほど",""),"分","")," ","")),"")))))</f>
        <v/>
      </c>
      <c r="AU23" s="34">
        <f>IF(P23="","",IF(ISNUMBER(P23),P23,IFERROR(VALUE(SUBSTITUTE(SUBSTITUTE(SUBSTITUTE(ASC(P23&amp;""),"約",""),"件","")," ","")),"")))</f>
        <v/>
      </c>
      <c r="AV23" s="34">
        <f>IF(AB23&lt;&gt;"OK","",IF(COUNTIFS($G$5:$G$404,G23&amp;"",$F$5:$F$404,F23&amp;"",$BE$5:$BE$404,BE23&amp;"",$AB$5:$AB$404,"OK")&gt;1,"同名あり",""))</f>
        <v/>
      </c>
      <c r="AW23" s="35">
        <f>IF(Q23="","",IF(ISNUMBER(Q23),Q23,IFERROR(DATEVALUE(SUBSTITUTE(SUBSTITUTE(ASC(Q23&amp;""),"-","/"),".","/")&amp;"/01"),"")))</f>
        <v/>
      </c>
      <c r="AX23" s="35">
        <f>IF(R23="","",IF(ISNUMBER(R23),R23,IFERROR(DATEVALUE(SUBSTITUTE(SUBSTITUTE(ASC(R23&amp;""),"-","/"),".","/")&amp;"/01"),"")))</f>
        <v/>
      </c>
      <c r="AY23" s="34">
        <f>IF(OR(AB23&lt;&gt;"OK",AW23=""),"",IF(AW23&gt;='01_設定'!$C$26,1,0))</f>
        <v/>
      </c>
      <c r="AZ23" s="34">
        <f>IF(AND(AB23="OK",AD23&lt;&gt;"除外"),COUNTIFS($AB$5:AB23,"OK",$AD$5:AD23,"&lt;&gt;除外"),"")</f>
        <v/>
      </c>
      <c r="BA23" s="34">
        <f>IF(OR(AZ23="",AI23=""),"",AI23+ROW()/1000000000)</f>
        <v/>
      </c>
      <c r="BB23" s="34">
        <f>IF(E23="","",IF(OR(TRIM(E23&amp;"")="-",TRIM(E23&amp;"")="－",TRIM(E23&amp;"")="ー"),"",TRIM(E23&amp;"")))</f>
        <v/>
      </c>
      <c r="BC23" s="34">
        <f>IF(AND(AB23="OK",BB23&lt;&gt;""),IF(COUNTIFS($BB$5:BB23,BB23,$AB$5:AB23,"OK")=1,1,""),"")</f>
        <v/>
      </c>
      <c r="BD23" s="34">
        <f>IF(BC23=1,COUNTIF($BC$5:BC23,1),"")</f>
        <v/>
      </c>
      <c r="BE23" s="34">
        <f>IF(BB23="","",IFERROR(INDEX('06_顧客別集計'!$G$5:$G$104,MATCH(BB23,'06_顧客別集計'!$C$5:$C$104,0)),BB23))</f>
        <v/>
      </c>
      <c r="BF23" s="34">
        <f>IF(AND(AZ23&lt;&gt;"",BE23&lt;&gt;""),IF(COUNTIFS($BE$5:BE23,BE23,$AZ$5:AZ23,"&gt;0")=1,1,""),"")</f>
        <v/>
      </c>
      <c r="BG23" s="34">
        <f>IF(BF23=1,COUNTIF($BF$5:BF23,1),"")</f>
        <v/>
      </c>
    </row>
    <row r="24">
      <c r="AB24">
        <f>IF(AND(A24="",G24=""),"",IF(ISNUMBER(SEARCH("##END",AM24)),"（終わりの印）",IF(ISNUMBER(SEARCH("##続き",AM24)),"（続きありの印）",IF(AM24="調査ID","（見出し行）",IF(AND(AM24&lt;&gt;"R1",AM24&lt;&gt;"R2"),"×表以外の行（集計されない）",IF(COUNTIF($AN$5:AN24,AN24)&gt;1,"△重複（集計されない）",IF(G24="","△タスク名なし",IF(ISNA(MATCH(AQ24,'M1_類型マスタ'!$A$5:$A$19,0)),"△類型が不正",IF(OR(AP24="",N(AP24)&lt;1,N(AP24)&gt;6),"△業務区分が不正",IF(OR(AS24="",AT24=""),"△回数・分が読めない",IF(SUMPRODUCT(--ISNUMBER(--T24:Z24))&lt;7,"△採点が足りない",IF(SUMPRODUCT((--T24:Z24&gt;2)+(--T24:Z24&lt;0))&gt;0,"△採点が範囲外","OK"))))))))))))</f>
        <v/>
      </c>
      <c r="AC24">
        <f>IF(AB24&lt;&gt;"OK","",TRIM(IF(AND(AU24&lt;&gt;"",N(AU24)&lt;=1),"根拠1件 ","")&amp;IF(AV24&lt;&gt;"","同名あり ","")&amp;IF(AND(NOT(ISNUMBER(N24)),N24&lt;&gt;""),"回数を換算 ","")&amp;IF(J24="","詳細なし ","")&amp;IF(AND(N(AP24)=1,BB24=""),"顧客名なし ","")))</f>
        <v/>
      </c>
      <c r="AD24" s="31" t="n"/>
      <c r="AE24" s="32" t="n"/>
      <c r="AF24" s="32" t="n"/>
      <c r="AG24" s="31" t="n"/>
      <c r="AH24">
        <f>IF(AB24&lt;&gt;"OK","",IF(AG24&lt;&gt;"",AG24,AJ24))</f>
        <v/>
      </c>
      <c r="AI24" s="33">
        <f>IF(AB24&lt;&gt;"OK","",IFERROR(IF(AE24&lt;&gt;"",AE24,AS24)*IF(AF24&lt;&gt;"",AF24,AT24)/60,""))</f>
        <v/>
      </c>
      <c r="AJ24">
        <f>IF(AB24&lt;&gt;"OK","",IF(OR(VALUE(T24)=2,VALUE(U24)=2,VALUE(V24)=2),"社内残置",IF(AND(VALUE(T24)=0,VALUE(W24)=0,VALUE(Y24)=0),"自動化候補",IF(AND(VALUE(U24)=0,VALUE(W24)&lt;=1,VALUE(X24)&lt;=1,VALUE(Y24)&lt;=1,VALUE(Z24)&lt;=1),"オフショア候補",IF(AND(VALUE(Y24)&lt;=1,VALUE(Z24)&lt;=1),"ニアショア候補","社内で手順化→再評価")))))</f>
        <v/>
      </c>
      <c r="AK24">
        <f>IF(AB24&lt;&gt;"OK","",14-SUMPRODUCT(--T24:Z24))</f>
        <v/>
      </c>
      <c r="AL24" s="33">
        <f>IF(AB24&lt;&gt;"OK","",AS24*AT24/60)</f>
        <v/>
      </c>
      <c r="AM24" s="34">
        <f>IF(A24="","",UPPER(TRIM(ASC(A24&amp;""))))</f>
        <v/>
      </c>
      <c r="AN24" s="34">
        <f>IF(AM24="","",AM24&amp;"-"&amp;B24)</f>
        <v/>
      </c>
      <c r="AO24" s="34">
        <f>IF(C24="","",IFERROR(VALUE(ASC(SUBSTITUTE(C24&amp;"","観点",""))),""))</f>
        <v/>
      </c>
      <c r="AP24" s="34">
        <f>IF(D24="","",IFERROR(VALUE(LEFT(TRIM(ASC(D24&amp;"")),1)),IFERROR(MATCH(TRIM(D24&amp;""),'M2_区分マスタ'!$I$5:$I$10,0),"")))</f>
        <v/>
      </c>
      <c r="AQ24" s="34">
        <f>IF(H24="","",UPPER(LEFT(TRIM(ASC(H24&amp;"")),3)))</f>
        <v/>
      </c>
      <c r="AR24" s="34">
        <f>IF(N24="","",IFERROR(VALUE(SUBSTITUTE(SUBSTITUTE(SUBSTITUTE(SUBSTITUTE(SUBSTITUTE(SUBSTITUTE(SUBSTITUTE(SUBSTITUTE(SUBSTITUTE(SUBSTITUTE(SUBSTITUTE(SUBSTITUTE(ASC(N24&amp;""),"約",""),"程度",""),"ほど",""),"回",""),"毎",""),"週",""),"月",""),"年",""),"日",""),"に",""),"/","")," ","")),""))</f>
        <v/>
      </c>
      <c r="AS24" s="34">
        <f>IF(N24="","",IF(ISNUMBER(N24),N24,IFERROR(VALUE(ASC(N24&amp;"")),IF(AR24&lt;&gt;"",AR24*IF(ISNUMBER(SEARCH("週",N24)),4.3,IF(ISNUMBER(SEARCH("年",N24)),1/12,IF(ISNUMBER(SEARCH("日",N24)),20,1))),IF(ISNUMBER(SEARCH("日",N24)),20,IF(ISNUMBER(SEARCH("週",N24)),4.3,IF(ISNUMBER(SEARCH("月",N24)),1,"")))))))</f>
        <v/>
      </c>
      <c r="AT24" s="34">
        <f>IF(O24="","",IF(ISNUMBER(O24),O24,IFERROR(VALUE(ASC(O24&amp;"")),IF(ISNUMBER(SEARCH("時間",O24)),IFERROR(VALUE(SUBSTITUTE(SUBSTITUTE(SUBSTITUTE(SUBSTITUTE(SUBSTITUTE(ASC(O24&amp;""),"約",""),"程度",""),"ほど",""),"時間","")," ",""))*60,""),IFERROR(VALUE(SUBSTITUTE(SUBSTITUTE(SUBSTITUTE(SUBSTITUTE(SUBSTITUTE(ASC(O24&amp;""),"約",""),"程度",""),"ほど",""),"分","")," ","")),"")))))</f>
        <v/>
      </c>
      <c r="AU24" s="34">
        <f>IF(P24="","",IF(ISNUMBER(P24),P24,IFERROR(VALUE(SUBSTITUTE(SUBSTITUTE(SUBSTITUTE(ASC(P24&amp;""),"約",""),"件","")," ","")),"")))</f>
        <v/>
      </c>
      <c r="AV24" s="34">
        <f>IF(AB24&lt;&gt;"OK","",IF(COUNTIFS($G$5:$G$404,G24&amp;"",$F$5:$F$404,F24&amp;"",$BE$5:$BE$404,BE24&amp;"",$AB$5:$AB$404,"OK")&gt;1,"同名あり",""))</f>
        <v/>
      </c>
      <c r="AW24" s="35">
        <f>IF(Q24="","",IF(ISNUMBER(Q24),Q24,IFERROR(DATEVALUE(SUBSTITUTE(SUBSTITUTE(ASC(Q24&amp;""),"-","/"),".","/")&amp;"/01"),"")))</f>
        <v/>
      </c>
      <c r="AX24" s="35">
        <f>IF(R24="","",IF(ISNUMBER(R24),R24,IFERROR(DATEVALUE(SUBSTITUTE(SUBSTITUTE(ASC(R24&amp;""),"-","/"),".","/")&amp;"/01"),"")))</f>
        <v/>
      </c>
      <c r="AY24" s="34">
        <f>IF(OR(AB24&lt;&gt;"OK",AW24=""),"",IF(AW24&gt;='01_設定'!$C$26,1,0))</f>
        <v/>
      </c>
      <c r="AZ24" s="34">
        <f>IF(AND(AB24="OK",AD24&lt;&gt;"除外"),COUNTIFS($AB$5:AB24,"OK",$AD$5:AD24,"&lt;&gt;除外"),"")</f>
        <v/>
      </c>
      <c r="BA24" s="34">
        <f>IF(OR(AZ24="",AI24=""),"",AI24+ROW()/1000000000)</f>
        <v/>
      </c>
      <c r="BB24" s="34">
        <f>IF(E24="","",IF(OR(TRIM(E24&amp;"")="-",TRIM(E24&amp;"")="－",TRIM(E24&amp;"")="ー"),"",TRIM(E24&amp;"")))</f>
        <v/>
      </c>
      <c r="BC24" s="34">
        <f>IF(AND(AB24="OK",BB24&lt;&gt;""),IF(COUNTIFS($BB$5:BB24,BB24,$AB$5:AB24,"OK")=1,1,""),"")</f>
        <v/>
      </c>
      <c r="BD24" s="34">
        <f>IF(BC24=1,COUNTIF($BC$5:BC24,1),"")</f>
        <v/>
      </c>
      <c r="BE24" s="34">
        <f>IF(BB24="","",IFERROR(INDEX('06_顧客別集計'!$G$5:$G$104,MATCH(BB24,'06_顧客別集計'!$C$5:$C$104,0)),BB24))</f>
        <v/>
      </c>
      <c r="BF24" s="34">
        <f>IF(AND(AZ24&lt;&gt;"",BE24&lt;&gt;""),IF(COUNTIFS($BE$5:BE24,BE24,$AZ$5:AZ24,"&gt;0")=1,1,""),"")</f>
        <v/>
      </c>
      <c r="BG24" s="34">
        <f>IF(BF24=1,COUNTIF($BF$5:BF24,1),"")</f>
        <v/>
      </c>
    </row>
    <row r="25">
      <c r="AB25">
        <f>IF(AND(A25="",G25=""),"",IF(ISNUMBER(SEARCH("##END",AM25)),"（終わりの印）",IF(ISNUMBER(SEARCH("##続き",AM25)),"（続きありの印）",IF(AM25="調査ID","（見出し行）",IF(AND(AM25&lt;&gt;"R1",AM25&lt;&gt;"R2"),"×表以外の行（集計されない）",IF(COUNTIF($AN$5:AN25,AN25)&gt;1,"△重複（集計されない）",IF(G25="","△タスク名なし",IF(ISNA(MATCH(AQ25,'M1_類型マスタ'!$A$5:$A$19,0)),"△類型が不正",IF(OR(AP25="",N(AP25)&lt;1,N(AP25)&gt;6),"△業務区分が不正",IF(OR(AS25="",AT25=""),"△回数・分が読めない",IF(SUMPRODUCT(--ISNUMBER(--T25:Z25))&lt;7,"△採点が足りない",IF(SUMPRODUCT((--T25:Z25&gt;2)+(--T25:Z25&lt;0))&gt;0,"△採点が範囲外","OK"))))))))))))</f>
        <v/>
      </c>
      <c r="AC25">
        <f>IF(AB25&lt;&gt;"OK","",TRIM(IF(AND(AU25&lt;&gt;"",N(AU25)&lt;=1),"根拠1件 ","")&amp;IF(AV25&lt;&gt;"","同名あり ","")&amp;IF(AND(NOT(ISNUMBER(N25)),N25&lt;&gt;""),"回数を換算 ","")&amp;IF(J25="","詳細なし ","")&amp;IF(AND(N(AP25)=1,BB25=""),"顧客名なし ","")))</f>
        <v/>
      </c>
      <c r="AD25" s="31" t="n"/>
      <c r="AE25" s="32" t="n"/>
      <c r="AF25" s="32" t="n"/>
      <c r="AG25" s="31" t="n"/>
      <c r="AH25">
        <f>IF(AB25&lt;&gt;"OK","",IF(AG25&lt;&gt;"",AG25,AJ25))</f>
        <v/>
      </c>
      <c r="AI25" s="33">
        <f>IF(AB25&lt;&gt;"OK","",IFERROR(IF(AE25&lt;&gt;"",AE25,AS25)*IF(AF25&lt;&gt;"",AF25,AT25)/60,""))</f>
        <v/>
      </c>
      <c r="AJ25">
        <f>IF(AB25&lt;&gt;"OK","",IF(OR(VALUE(T25)=2,VALUE(U25)=2,VALUE(V25)=2),"社内残置",IF(AND(VALUE(T25)=0,VALUE(W25)=0,VALUE(Y25)=0),"自動化候補",IF(AND(VALUE(U25)=0,VALUE(W25)&lt;=1,VALUE(X25)&lt;=1,VALUE(Y25)&lt;=1,VALUE(Z25)&lt;=1),"オフショア候補",IF(AND(VALUE(Y25)&lt;=1,VALUE(Z25)&lt;=1),"ニアショア候補","社内で手順化→再評価")))))</f>
        <v/>
      </c>
      <c r="AK25">
        <f>IF(AB25&lt;&gt;"OK","",14-SUMPRODUCT(--T25:Z25))</f>
        <v/>
      </c>
      <c r="AL25" s="33">
        <f>IF(AB25&lt;&gt;"OK","",AS25*AT25/60)</f>
        <v/>
      </c>
      <c r="AM25" s="34">
        <f>IF(A25="","",UPPER(TRIM(ASC(A25&amp;""))))</f>
        <v/>
      </c>
      <c r="AN25" s="34">
        <f>IF(AM25="","",AM25&amp;"-"&amp;B25)</f>
        <v/>
      </c>
      <c r="AO25" s="34">
        <f>IF(C25="","",IFERROR(VALUE(ASC(SUBSTITUTE(C25&amp;"","観点",""))),""))</f>
        <v/>
      </c>
      <c r="AP25" s="34">
        <f>IF(D25="","",IFERROR(VALUE(LEFT(TRIM(ASC(D25&amp;"")),1)),IFERROR(MATCH(TRIM(D25&amp;""),'M2_区分マスタ'!$I$5:$I$10,0),"")))</f>
        <v/>
      </c>
      <c r="AQ25" s="34">
        <f>IF(H25="","",UPPER(LEFT(TRIM(ASC(H25&amp;"")),3)))</f>
        <v/>
      </c>
      <c r="AR25" s="34">
        <f>IF(N25="","",IFERROR(VALUE(SUBSTITUTE(SUBSTITUTE(SUBSTITUTE(SUBSTITUTE(SUBSTITUTE(SUBSTITUTE(SUBSTITUTE(SUBSTITUTE(SUBSTITUTE(SUBSTITUTE(SUBSTITUTE(SUBSTITUTE(ASC(N25&amp;""),"約",""),"程度",""),"ほど",""),"回",""),"毎",""),"週",""),"月",""),"年",""),"日",""),"に",""),"/","")," ","")),""))</f>
        <v/>
      </c>
      <c r="AS25" s="34">
        <f>IF(N25="","",IF(ISNUMBER(N25),N25,IFERROR(VALUE(ASC(N25&amp;"")),IF(AR25&lt;&gt;"",AR25*IF(ISNUMBER(SEARCH("週",N25)),4.3,IF(ISNUMBER(SEARCH("年",N25)),1/12,IF(ISNUMBER(SEARCH("日",N25)),20,1))),IF(ISNUMBER(SEARCH("日",N25)),20,IF(ISNUMBER(SEARCH("週",N25)),4.3,IF(ISNUMBER(SEARCH("月",N25)),1,"")))))))</f>
        <v/>
      </c>
      <c r="AT25" s="34">
        <f>IF(O25="","",IF(ISNUMBER(O25),O25,IFERROR(VALUE(ASC(O25&amp;"")),IF(ISNUMBER(SEARCH("時間",O25)),IFERROR(VALUE(SUBSTITUTE(SUBSTITUTE(SUBSTITUTE(SUBSTITUTE(SUBSTITUTE(ASC(O25&amp;""),"約",""),"程度",""),"ほど",""),"時間","")," ",""))*60,""),IFERROR(VALUE(SUBSTITUTE(SUBSTITUTE(SUBSTITUTE(SUBSTITUTE(SUBSTITUTE(ASC(O25&amp;""),"約",""),"程度",""),"ほど",""),"分","")," ","")),"")))))</f>
        <v/>
      </c>
      <c r="AU25" s="34">
        <f>IF(P25="","",IF(ISNUMBER(P25),P25,IFERROR(VALUE(SUBSTITUTE(SUBSTITUTE(SUBSTITUTE(ASC(P25&amp;""),"約",""),"件","")," ","")),"")))</f>
        <v/>
      </c>
      <c r="AV25" s="34">
        <f>IF(AB25&lt;&gt;"OK","",IF(COUNTIFS($G$5:$G$404,G25&amp;"",$F$5:$F$404,F25&amp;"",$BE$5:$BE$404,BE25&amp;"",$AB$5:$AB$404,"OK")&gt;1,"同名あり",""))</f>
        <v/>
      </c>
      <c r="AW25" s="35">
        <f>IF(Q25="","",IF(ISNUMBER(Q25),Q25,IFERROR(DATEVALUE(SUBSTITUTE(SUBSTITUTE(ASC(Q25&amp;""),"-","/"),".","/")&amp;"/01"),"")))</f>
        <v/>
      </c>
      <c r="AX25" s="35">
        <f>IF(R25="","",IF(ISNUMBER(R25),R25,IFERROR(DATEVALUE(SUBSTITUTE(SUBSTITUTE(ASC(R25&amp;""),"-","/"),".","/")&amp;"/01"),"")))</f>
        <v/>
      </c>
      <c r="AY25" s="34">
        <f>IF(OR(AB25&lt;&gt;"OK",AW25=""),"",IF(AW25&gt;='01_設定'!$C$26,1,0))</f>
        <v/>
      </c>
      <c r="AZ25" s="34">
        <f>IF(AND(AB25="OK",AD25&lt;&gt;"除外"),COUNTIFS($AB$5:AB25,"OK",$AD$5:AD25,"&lt;&gt;除外"),"")</f>
        <v/>
      </c>
      <c r="BA25" s="34">
        <f>IF(OR(AZ25="",AI25=""),"",AI25+ROW()/1000000000)</f>
        <v/>
      </c>
      <c r="BB25" s="34">
        <f>IF(E25="","",IF(OR(TRIM(E25&amp;"")="-",TRIM(E25&amp;"")="－",TRIM(E25&amp;"")="ー"),"",TRIM(E25&amp;"")))</f>
        <v/>
      </c>
      <c r="BC25" s="34">
        <f>IF(AND(AB25="OK",BB25&lt;&gt;""),IF(COUNTIFS($BB$5:BB25,BB25,$AB$5:AB25,"OK")=1,1,""),"")</f>
        <v/>
      </c>
      <c r="BD25" s="34">
        <f>IF(BC25=1,COUNTIF($BC$5:BC25,1),"")</f>
        <v/>
      </c>
      <c r="BE25" s="34">
        <f>IF(BB25="","",IFERROR(INDEX('06_顧客別集計'!$G$5:$G$104,MATCH(BB25,'06_顧客別集計'!$C$5:$C$104,0)),BB25))</f>
        <v/>
      </c>
      <c r="BF25" s="34">
        <f>IF(AND(AZ25&lt;&gt;"",BE25&lt;&gt;""),IF(COUNTIFS($BE$5:BE25,BE25,$AZ$5:AZ25,"&gt;0")=1,1,""),"")</f>
        <v/>
      </c>
      <c r="BG25" s="34">
        <f>IF(BF25=1,COUNTIF($BF$5:BF25,1),"")</f>
        <v/>
      </c>
    </row>
    <row r="26">
      <c r="AB26">
        <f>IF(AND(A26="",G26=""),"",IF(ISNUMBER(SEARCH("##END",AM26)),"（終わりの印）",IF(ISNUMBER(SEARCH("##続き",AM26)),"（続きありの印）",IF(AM26="調査ID","（見出し行）",IF(AND(AM26&lt;&gt;"R1",AM26&lt;&gt;"R2"),"×表以外の行（集計されない）",IF(COUNTIF($AN$5:AN26,AN26)&gt;1,"△重複（集計されない）",IF(G26="","△タスク名なし",IF(ISNA(MATCH(AQ26,'M1_類型マスタ'!$A$5:$A$19,0)),"△類型が不正",IF(OR(AP26="",N(AP26)&lt;1,N(AP26)&gt;6),"△業務区分が不正",IF(OR(AS26="",AT26=""),"△回数・分が読めない",IF(SUMPRODUCT(--ISNUMBER(--T26:Z26))&lt;7,"△採点が足りない",IF(SUMPRODUCT((--T26:Z26&gt;2)+(--T26:Z26&lt;0))&gt;0,"△採点が範囲外","OK"))))))))))))</f>
        <v/>
      </c>
      <c r="AC26">
        <f>IF(AB26&lt;&gt;"OK","",TRIM(IF(AND(AU26&lt;&gt;"",N(AU26)&lt;=1),"根拠1件 ","")&amp;IF(AV26&lt;&gt;"","同名あり ","")&amp;IF(AND(NOT(ISNUMBER(N26)),N26&lt;&gt;""),"回数を換算 ","")&amp;IF(J26="","詳細なし ","")&amp;IF(AND(N(AP26)=1,BB26=""),"顧客名なし ","")))</f>
        <v/>
      </c>
      <c r="AD26" s="31" t="n"/>
      <c r="AE26" s="32" t="n"/>
      <c r="AF26" s="32" t="n"/>
      <c r="AG26" s="31" t="n"/>
      <c r="AH26">
        <f>IF(AB26&lt;&gt;"OK","",IF(AG26&lt;&gt;"",AG26,AJ26))</f>
        <v/>
      </c>
      <c r="AI26" s="33">
        <f>IF(AB26&lt;&gt;"OK","",IFERROR(IF(AE26&lt;&gt;"",AE26,AS26)*IF(AF26&lt;&gt;"",AF26,AT26)/60,""))</f>
        <v/>
      </c>
      <c r="AJ26">
        <f>IF(AB26&lt;&gt;"OK","",IF(OR(VALUE(T26)=2,VALUE(U26)=2,VALUE(V26)=2),"社内残置",IF(AND(VALUE(T26)=0,VALUE(W26)=0,VALUE(Y26)=0),"自動化候補",IF(AND(VALUE(U26)=0,VALUE(W26)&lt;=1,VALUE(X26)&lt;=1,VALUE(Y26)&lt;=1,VALUE(Z26)&lt;=1),"オフショア候補",IF(AND(VALUE(Y26)&lt;=1,VALUE(Z26)&lt;=1),"ニアショア候補","社内で手順化→再評価")))))</f>
        <v/>
      </c>
      <c r="AK26">
        <f>IF(AB26&lt;&gt;"OK","",14-SUMPRODUCT(--T26:Z26))</f>
        <v/>
      </c>
      <c r="AL26" s="33">
        <f>IF(AB26&lt;&gt;"OK","",AS26*AT26/60)</f>
        <v/>
      </c>
      <c r="AM26" s="34">
        <f>IF(A26="","",UPPER(TRIM(ASC(A26&amp;""))))</f>
        <v/>
      </c>
      <c r="AN26" s="34">
        <f>IF(AM26="","",AM26&amp;"-"&amp;B26)</f>
        <v/>
      </c>
      <c r="AO26" s="34">
        <f>IF(C26="","",IFERROR(VALUE(ASC(SUBSTITUTE(C26&amp;"","観点",""))),""))</f>
        <v/>
      </c>
      <c r="AP26" s="34">
        <f>IF(D26="","",IFERROR(VALUE(LEFT(TRIM(ASC(D26&amp;"")),1)),IFERROR(MATCH(TRIM(D26&amp;""),'M2_区分マスタ'!$I$5:$I$10,0),"")))</f>
        <v/>
      </c>
      <c r="AQ26" s="34">
        <f>IF(H26="","",UPPER(LEFT(TRIM(ASC(H26&amp;"")),3)))</f>
        <v/>
      </c>
      <c r="AR26" s="34">
        <f>IF(N26="","",IFERROR(VALUE(SUBSTITUTE(SUBSTITUTE(SUBSTITUTE(SUBSTITUTE(SUBSTITUTE(SUBSTITUTE(SUBSTITUTE(SUBSTITUTE(SUBSTITUTE(SUBSTITUTE(SUBSTITUTE(SUBSTITUTE(ASC(N26&amp;""),"約",""),"程度",""),"ほど",""),"回",""),"毎",""),"週",""),"月",""),"年",""),"日",""),"に",""),"/","")," ","")),""))</f>
        <v/>
      </c>
      <c r="AS26" s="34">
        <f>IF(N26="","",IF(ISNUMBER(N26),N26,IFERROR(VALUE(ASC(N26&amp;"")),IF(AR26&lt;&gt;"",AR26*IF(ISNUMBER(SEARCH("週",N26)),4.3,IF(ISNUMBER(SEARCH("年",N26)),1/12,IF(ISNUMBER(SEARCH("日",N26)),20,1))),IF(ISNUMBER(SEARCH("日",N26)),20,IF(ISNUMBER(SEARCH("週",N26)),4.3,IF(ISNUMBER(SEARCH("月",N26)),1,"")))))))</f>
        <v/>
      </c>
      <c r="AT26" s="34">
        <f>IF(O26="","",IF(ISNUMBER(O26),O26,IFERROR(VALUE(ASC(O26&amp;"")),IF(ISNUMBER(SEARCH("時間",O26)),IFERROR(VALUE(SUBSTITUTE(SUBSTITUTE(SUBSTITUTE(SUBSTITUTE(SUBSTITUTE(ASC(O26&amp;""),"約",""),"程度",""),"ほど",""),"時間","")," ",""))*60,""),IFERROR(VALUE(SUBSTITUTE(SUBSTITUTE(SUBSTITUTE(SUBSTITUTE(SUBSTITUTE(ASC(O26&amp;""),"約",""),"程度",""),"ほど",""),"分","")," ","")),"")))))</f>
        <v/>
      </c>
      <c r="AU26" s="34">
        <f>IF(P26="","",IF(ISNUMBER(P26),P26,IFERROR(VALUE(SUBSTITUTE(SUBSTITUTE(SUBSTITUTE(ASC(P26&amp;""),"約",""),"件","")," ","")),"")))</f>
        <v/>
      </c>
      <c r="AV26" s="34">
        <f>IF(AB26&lt;&gt;"OK","",IF(COUNTIFS($G$5:$G$404,G26&amp;"",$F$5:$F$404,F26&amp;"",$BE$5:$BE$404,BE26&amp;"",$AB$5:$AB$404,"OK")&gt;1,"同名あり",""))</f>
        <v/>
      </c>
      <c r="AW26" s="35">
        <f>IF(Q26="","",IF(ISNUMBER(Q26),Q26,IFERROR(DATEVALUE(SUBSTITUTE(SUBSTITUTE(ASC(Q26&amp;""),"-","/"),".","/")&amp;"/01"),"")))</f>
        <v/>
      </c>
      <c r="AX26" s="35">
        <f>IF(R26="","",IF(ISNUMBER(R26),R26,IFERROR(DATEVALUE(SUBSTITUTE(SUBSTITUTE(ASC(R26&amp;""),"-","/"),".","/")&amp;"/01"),"")))</f>
        <v/>
      </c>
      <c r="AY26" s="34">
        <f>IF(OR(AB26&lt;&gt;"OK",AW26=""),"",IF(AW26&gt;='01_設定'!$C$26,1,0))</f>
        <v/>
      </c>
      <c r="AZ26" s="34">
        <f>IF(AND(AB26="OK",AD26&lt;&gt;"除外"),COUNTIFS($AB$5:AB26,"OK",$AD$5:AD26,"&lt;&gt;除外"),"")</f>
        <v/>
      </c>
      <c r="BA26" s="34">
        <f>IF(OR(AZ26="",AI26=""),"",AI26+ROW()/1000000000)</f>
        <v/>
      </c>
      <c r="BB26" s="34">
        <f>IF(E26="","",IF(OR(TRIM(E26&amp;"")="-",TRIM(E26&amp;"")="－",TRIM(E26&amp;"")="ー"),"",TRIM(E26&amp;"")))</f>
        <v/>
      </c>
      <c r="BC26" s="34">
        <f>IF(AND(AB26="OK",BB26&lt;&gt;""),IF(COUNTIFS($BB$5:BB26,BB26,$AB$5:AB26,"OK")=1,1,""),"")</f>
        <v/>
      </c>
      <c r="BD26" s="34">
        <f>IF(BC26=1,COUNTIF($BC$5:BC26,1),"")</f>
        <v/>
      </c>
      <c r="BE26" s="34">
        <f>IF(BB26="","",IFERROR(INDEX('06_顧客別集計'!$G$5:$G$104,MATCH(BB26,'06_顧客別集計'!$C$5:$C$104,0)),BB26))</f>
        <v/>
      </c>
      <c r="BF26" s="34">
        <f>IF(AND(AZ26&lt;&gt;"",BE26&lt;&gt;""),IF(COUNTIFS($BE$5:BE26,BE26,$AZ$5:AZ26,"&gt;0")=1,1,""),"")</f>
        <v/>
      </c>
      <c r="BG26" s="34">
        <f>IF(BF26=1,COUNTIF($BF$5:BF26,1),"")</f>
        <v/>
      </c>
    </row>
    <row r="27">
      <c r="AB27">
        <f>IF(AND(A27="",G27=""),"",IF(ISNUMBER(SEARCH("##END",AM27)),"（終わりの印）",IF(ISNUMBER(SEARCH("##続き",AM27)),"（続きありの印）",IF(AM27="調査ID","（見出し行）",IF(AND(AM27&lt;&gt;"R1",AM27&lt;&gt;"R2"),"×表以外の行（集計されない）",IF(COUNTIF($AN$5:AN27,AN27)&gt;1,"△重複（集計されない）",IF(G27="","△タスク名なし",IF(ISNA(MATCH(AQ27,'M1_類型マスタ'!$A$5:$A$19,0)),"△類型が不正",IF(OR(AP27="",N(AP27)&lt;1,N(AP27)&gt;6),"△業務区分が不正",IF(OR(AS27="",AT27=""),"△回数・分が読めない",IF(SUMPRODUCT(--ISNUMBER(--T27:Z27))&lt;7,"△採点が足りない",IF(SUMPRODUCT((--T27:Z27&gt;2)+(--T27:Z27&lt;0))&gt;0,"△採点が範囲外","OK"))))))))))))</f>
        <v/>
      </c>
      <c r="AC27">
        <f>IF(AB27&lt;&gt;"OK","",TRIM(IF(AND(AU27&lt;&gt;"",N(AU27)&lt;=1),"根拠1件 ","")&amp;IF(AV27&lt;&gt;"","同名あり ","")&amp;IF(AND(NOT(ISNUMBER(N27)),N27&lt;&gt;""),"回数を換算 ","")&amp;IF(J27="","詳細なし ","")&amp;IF(AND(N(AP27)=1,BB27=""),"顧客名なし ","")))</f>
        <v/>
      </c>
      <c r="AD27" s="31" t="n"/>
      <c r="AE27" s="32" t="n"/>
      <c r="AF27" s="32" t="n"/>
      <c r="AG27" s="31" t="n"/>
      <c r="AH27">
        <f>IF(AB27&lt;&gt;"OK","",IF(AG27&lt;&gt;"",AG27,AJ27))</f>
        <v/>
      </c>
      <c r="AI27" s="33">
        <f>IF(AB27&lt;&gt;"OK","",IFERROR(IF(AE27&lt;&gt;"",AE27,AS27)*IF(AF27&lt;&gt;"",AF27,AT27)/60,""))</f>
        <v/>
      </c>
      <c r="AJ27">
        <f>IF(AB27&lt;&gt;"OK","",IF(OR(VALUE(T27)=2,VALUE(U27)=2,VALUE(V27)=2),"社内残置",IF(AND(VALUE(T27)=0,VALUE(W27)=0,VALUE(Y27)=0),"自動化候補",IF(AND(VALUE(U27)=0,VALUE(W27)&lt;=1,VALUE(X27)&lt;=1,VALUE(Y27)&lt;=1,VALUE(Z27)&lt;=1),"オフショア候補",IF(AND(VALUE(Y27)&lt;=1,VALUE(Z27)&lt;=1),"ニアショア候補","社内で手順化→再評価")))))</f>
        <v/>
      </c>
      <c r="AK27">
        <f>IF(AB27&lt;&gt;"OK","",14-SUMPRODUCT(--T27:Z27))</f>
        <v/>
      </c>
      <c r="AL27" s="33">
        <f>IF(AB27&lt;&gt;"OK","",AS27*AT27/60)</f>
        <v/>
      </c>
      <c r="AM27" s="34">
        <f>IF(A27="","",UPPER(TRIM(ASC(A27&amp;""))))</f>
        <v/>
      </c>
      <c r="AN27" s="34">
        <f>IF(AM27="","",AM27&amp;"-"&amp;B27)</f>
        <v/>
      </c>
      <c r="AO27" s="34">
        <f>IF(C27="","",IFERROR(VALUE(ASC(SUBSTITUTE(C27&amp;"","観点",""))),""))</f>
        <v/>
      </c>
      <c r="AP27" s="34">
        <f>IF(D27="","",IFERROR(VALUE(LEFT(TRIM(ASC(D27&amp;"")),1)),IFERROR(MATCH(TRIM(D27&amp;""),'M2_区分マスタ'!$I$5:$I$10,0),"")))</f>
        <v/>
      </c>
      <c r="AQ27" s="34">
        <f>IF(H27="","",UPPER(LEFT(TRIM(ASC(H27&amp;"")),3)))</f>
        <v/>
      </c>
      <c r="AR27" s="34">
        <f>IF(N27="","",IFERROR(VALUE(SUBSTITUTE(SUBSTITUTE(SUBSTITUTE(SUBSTITUTE(SUBSTITUTE(SUBSTITUTE(SUBSTITUTE(SUBSTITUTE(SUBSTITUTE(SUBSTITUTE(SUBSTITUTE(SUBSTITUTE(ASC(N27&amp;""),"約",""),"程度",""),"ほど",""),"回",""),"毎",""),"週",""),"月",""),"年",""),"日",""),"に",""),"/","")," ","")),""))</f>
        <v/>
      </c>
      <c r="AS27" s="34">
        <f>IF(N27="","",IF(ISNUMBER(N27),N27,IFERROR(VALUE(ASC(N27&amp;"")),IF(AR27&lt;&gt;"",AR27*IF(ISNUMBER(SEARCH("週",N27)),4.3,IF(ISNUMBER(SEARCH("年",N27)),1/12,IF(ISNUMBER(SEARCH("日",N27)),20,1))),IF(ISNUMBER(SEARCH("日",N27)),20,IF(ISNUMBER(SEARCH("週",N27)),4.3,IF(ISNUMBER(SEARCH("月",N27)),1,"")))))))</f>
        <v/>
      </c>
      <c r="AT27" s="34">
        <f>IF(O27="","",IF(ISNUMBER(O27),O27,IFERROR(VALUE(ASC(O27&amp;"")),IF(ISNUMBER(SEARCH("時間",O27)),IFERROR(VALUE(SUBSTITUTE(SUBSTITUTE(SUBSTITUTE(SUBSTITUTE(SUBSTITUTE(ASC(O27&amp;""),"約",""),"程度",""),"ほど",""),"時間","")," ",""))*60,""),IFERROR(VALUE(SUBSTITUTE(SUBSTITUTE(SUBSTITUTE(SUBSTITUTE(SUBSTITUTE(ASC(O27&amp;""),"約",""),"程度",""),"ほど",""),"分","")," ","")),"")))))</f>
        <v/>
      </c>
      <c r="AU27" s="34">
        <f>IF(P27="","",IF(ISNUMBER(P27),P27,IFERROR(VALUE(SUBSTITUTE(SUBSTITUTE(SUBSTITUTE(ASC(P27&amp;""),"約",""),"件","")," ","")),"")))</f>
        <v/>
      </c>
      <c r="AV27" s="34">
        <f>IF(AB27&lt;&gt;"OK","",IF(COUNTIFS($G$5:$G$404,G27&amp;"",$F$5:$F$404,F27&amp;"",$BE$5:$BE$404,BE27&amp;"",$AB$5:$AB$404,"OK")&gt;1,"同名あり",""))</f>
        <v/>
      </c>
      <c r="AW27" s="35">
        <f>IF(Q27="","",IF(ISNUMBER(Q27),Q27,IFERROR(DATEVALUE(SUBSTITUTE(SUBSTITUTE(ASC(Q27&amp;""),"-","/"),".","/")&amp;"/01"),"")))</f>
        <v/>
      </c>
      <c r="AX27" s="35">
        <f>IF(R27="","",IF(ISNUMBER(R27),R27,IFERROR(DATEVALUE(SUBSTITUTE(SUBSTITUTE(ASC(R27&amp;""),"-","/"),".","/")&amp;"/01"),"")))</f>
        <v/>
      </c>
      <c r="AY27" s="34">
        <f>IF(OR(AB27&lt;&gt;"OK",AW27=""),"",IF(AW27&gt;='01_設定'!$C$26,1,0))</f>
        <v/>
      </c>
      <c r="AZ27" s="34">
        <f>IF(AND(AB27="OK",AD27&lt;&gt;"除外"),COUNTIFS($AB$5:AB27,"OK",$AD$5:AD27,"&lt;&gt;除外"),"")</f>
        <v/>
      </c>
      <c r="BA27" s="34">
        <f>IF(OR(AZ27="",AI27=""),"",AI27+ROW()/1000000000)</f>
        <v/>
      </c>
      <c r="BB27" s="34">
        <f>IF(E27="","",IF(OR(TRIM(E27&amp;"")="-",TRIM(E27&amp;"")="－",TRIM(E27&amp;"")="ー"),"",TRIM(E27&amp;"")))</f>
        <v/>
      </c>
      <c r="BC27" s="34">
        <f>IF(AND(AB27="OK",BB27&lt;&gt;""),IF(COUNTIFS($BB$5:BB27,BB27,$AB$5:AB27,"OK")=1,1,""),"")</f>
        <v/>
      </c>
      <c r="BD27" s="34">
        <f>IF(BC27=1,COUNTIF($BC$5:BC27,1),"")</f>
        <v/>
      </c>
      <c r="BE27" s="34">
        <f>IF(BB27="","",IFERROR(INDEX('06_顧客別集計'!$G$5:$G$104,MATCH(BB27,'06_顧客別集計'!$C$5:$C$104,0)),BB27))</f>
        <v/>
      </c>
      <c r="BF27" s="34">
        <f>IF(AND(AZ27&lt;&gt;"",BE27&lt;&gt;""),IF(COUNTIFS($BE$5:BE27,BE27,$AZ$5:AZ27,"&gt;0")=1,1,""),"")</f>
        <v/>
      </c>
      <c r="BG27" s="34">
        <f>IF(BF27=1,COUNTIF($BF$5:BF27,1),"")</f>
        <v/>
      </c>
    </row>
    <row r="28">
      <c r="AB28">
        <f>IF(AND(A28="",G28=""),"",IF(ISNUMBER(SEARCH("##END",AM28)),"（終わりの印）",IF(ISNUMBER(SEARCH("##続き",AM28)),"（続きありの印）",IF(AM28="調査ID","（見出し行）",IF(AND(AM28&lt;&gt;"R1",AM28&lt;&gt;"R2"),"×表以外の行（集計されない）",IF(COUNTIF($AN$5:AN28,AN28)&gt;1,"△重複（集計されない）",IF(G28="","△タスク名なし",IF(ISNA(MATCH(AQ28,'M1_類型マスタ'!$A$5:$A$19,0)),"△類型が不正",IF(OR(AP28="",N(AP28)&lt;1,N(AP28)&gt;6),"△業務区分が不正",IF(OR(AS28="",AT28=""),"△回数・分が読めない",IF(SUMPRODUCT(--ISNUMBER(--T28:Z28))&lt;7,"△採点が足りない",IF(SUMPRODUCT((--T28:Z28&gt;2)+(--T28:Z28&lt;0))&gt;0,"△採点が範囲外","OK"))))))))))))</f>
        <v/>
      </c>
      <c r="AC28">
        <f>IF(AB28&lt;&gt;"OK","",TRIM(IF(AND(AU28&lt;&gt;"",N(AU28)&lt;=1),"根拠1件 ","")&amp;IF(AV28&lt;&gt;"","同名あり ","")&amp;IF(AND(NOT(ISNUMBER(N28)),N28&lt;&gt;""),"回数を換算 ","")&amp;IF(J28="","詳細なし ","")&amp;IF(AND(N(AP28)=1,BB28=""),"顧客名なし ","")))</f>
        <v/>
      </c>
      <c r="AD28" s="31" t="n"/>
      <c r="AE28" s="32" t="n"/>
      <c r="AF28" s="32" t="n"/>
      <c r="AG28" s="31" t="n"/>
      <c r="AH28">
        <f>IF(AB28&lt;&gt;"OK","",IF(AG28&lt;&gt;"",AG28,AJ28))</f>
        <v/>
      </c>
      <c r="AI28" s="33">
        <f>IF(AB28&lt;&gt;"OK","",IFERROR(IF(AE28&lt;&gt;"",AE28,AS28)*IF(AF28&lt;&gt;"",AF28,AT28)/60,""))</f>
        <v/>
      </c>
      <c r="AJ28">
        <f>IF(AB28&lt;&gt;"OK","",IF(OR(VALUE(T28)=2,VALUE(U28)=2,VALUE(V28)=2),"社内残置",IF(AND(VALUE(T28)=0,VALUE(W28)=0,VALUE(Y28)=0),"自動化候補",IF(AND(VALUE(U28)=0,VALUE(W28)&lt;=1,VALUE(X28)&lt;=1,VALUE(Y28)&lt;=1,VALUE(Z28)&lt;=1),"オフショア候補",IF(AND(VALUE(Y28)&lt;=1,VALUE(Z28)&lt;=1),"ニアショア候補","社内で手順化→再評価")))))</f>
        <v/>
      </c>
      <c r="AK28">
        <f>IF(AB28&lt;&gt;"OK","",14-SUMPRODUCT(--T28:Z28))</f>
        <v/>
      </c>
      <c r="AL28" s="33">
        <f>IF(AB28&lt;&gt;"OK","",AS28*AT28/60)</f>
        <v/>
      </c>
      <c r="AM28" s="34">
        <f>IF(A28="","",UPPER(TRIM(ASC(A28&amp;""))))</f>
        <v/>
      </c>
      <c r="AN28" s="34">
        <f>IF(AM28="","",AM28&amp;"-"&amp;B28)</f>
        <v/>
      </c>
      <c r="AO28" s="34">
        <f>IF(C28="","",IFERROR(VALUE(ASC(SUBSTITUTE(C28&amp;"","観点",""))),""))</f>
        <v/>
      </c>
      <c r="AP28" s="34">
        <f>IF(D28="","",IFERROR(VALUE(LEFT(TRIM(ASC(D28&amp;"")),1)),IFERROR(MATCH(TRIM(D28&amp;""),'M2_区分マスタ'!$I$5:$I$10,0),"")))</f>
        <v/>
      </c>
      <c r="AQ28" s="34">
        <f>IF(H28="","",UPPER(LEFT(TRIM(ASC(H28&amp;"")),3)))</f>
        <v/>
      </c>
      <c r="AR28" s="34">
        <f>IF(N28="","",IFERROR(VALUE(SUBSTITUTE(SUBSTITUTE(SUBSTITUTE(SUBSTITUTE(SUBSTITUTE(SUBSTITUTE(SUBSTITUTE(SUBSTITUTE(SUBSTITUTE(SUBSTITUTE(SUBSTITUTE(SUBSTITUTE(ASC(N28&amp;""),"約",""),"程度",""),"ほど",""),"回",""),"毎",""),"週",""),"月",""),"年",""),"日",""),"に",""),"/","")," ","")),""))</f>
        <v/>
      </c>
      <c r="AS28" s="34">
        <f>IF(N28="","",IF(ISNUMBER(N28),N28,IFERROR(VALUE(ASC(N28&amp;"")),IF(AR28&lt;&gt;"",AR28*IF(ISNUMBER(SEARCH("週",N28)),4.3,IF(ISNUMBER(SEARCH("年",N28)),1/12,IF(ISNUMBER(SEARCH("日",N28)),20,1))),IF(ISNUMBER(SEARCH("日",N28)),20,IF(ISNUMBER(SEARCH("週",N28)),4.3,IF(ISNUMBER(SEARCH("月",N28)),1,"")))))))</f>
        <v/>
      </c>
      <c r="AT28" s="34">
        <f>IF(O28="","",IF(ISNUMBER(O28),O28,IFERROR(VALUE(ASC(O28&amp;"")),IF(ISNUMBER(SEARCH("時間",O28)),IFERROR(VALUE(SUBSTITUTE(SUBSTITUTE(SUBSTITUTE(SUBSTITUTE(SUBSTITUTE(ASC(O28&amp;""),"約",""),"程度",""),"ほど",""),"時間","")," ",""))*60,""),IFERROR(VALUE(SUBSTITUTE(SUBSTITUTE(SUBSTITUTE(SUBSTITUTE(SUBSTITUTE(ASC(O28&amp;""),"約",""),"程度",""),"ほど",""),"分","")," ","")),"")))))</f>
        <v/>
      </c>
      <c r="AU28" s="34">
        <f>IF(P28="","",IF(ISNUMBER(P28),P28,IFERROR(VALUE(SUBSTITUTE(SUBSTITUTE(SUBSTITUTE(ASC(P28&amp;""),"約",""),"件","")," ","")),"")))</f>
        <v/>
      </c>
      <c r="AV28" s="34">
        <f>IF(AB28&lt;&gt;"OK","",IF(COUNTIFS($G$5:$G$404,G28&amp;"",$F$5:$F$404,F28&amp;"",$BE$5:$BE$404,BE28&amp;"",$AB$5:$AB$404,"OK")&gt;1,"同名あり",""))</f>
        <v/>
      </c>
      <c r="AW28" s="35">
        <f>IF(Q28="","",IF(ISNUMBER(Q28),Q28,IFERROR(DATEVALUE(SUBSTITUTE(SUBSTITUTE(ASC(Q28&amp;""),"-","/"),".","/")&amp;"/01"),"")))</f>
        <v/>
      </c>
      <c r="AX28" s="35">
        <f>IF(R28="","",IF(ISNUMBER(R28),R28,IFERROR(DATEVALUE(SUBSTITUTE(SUBSTITUTE(ASC(R28&amp;""),"-","/"),".","/")&amp;"/01"),"")))</f>
        <v/>
      </c>
      <c r="AY28" s="34">
        <f>IF(OR(AB28&lt;&gt;"OK",AW28=""),"",IF(AW28&gt;='01_設定'!$C$26,1,0))</f>
        <v/>
      </c>
      <c r="AZ28" s="34">
        <f>IF(AND(AB28="OK",AD28&lt;&gt;"除外"),COUNTIFS($AB$5:AB28,"OK",$AD$5:AD28,"&lt;&gt;除外"),"")</f>
        <v/>
      </c>
      <c r="BA28" s="34">
        <f>IF(OR(AZ28="",AI28=""),"",AI28+ROW()/1000000000)</f>
        <v/>
      </c>
      <c r="BB28" s="34">
        <f>IF(E28="","",IF(OR(TRIM(E28&amp;"")="-",TRIM(E28&amp;"")="－",TRIM(E28&amp;"")="ー"),"",TRIM(E28&amp;"")))</f>
        <v/>
      </c>
      <c r="BC28" s="34">
        <f>IF(AND(AB28="OK",BB28&lt;&gt;""),IF(COUNTIFS($BB$5:BB28,BB28,$AB$5:AB28,"OK")=1,1,""),"")</f>
        <v/>
      </c>
      <c r="BD28" s="34">
        <f>IF(BC28=1,COUNTIF($BC$5:BC28,1),"")</f>
        <v/>
      </c>
      <c r="BE28" s="34">
        <f>IF(BB28="","",IFERROR(INDEX('06_顧客別集計'!$G$5:$G$104,MATCH(BB28,'06_顧客別集計'!$C$5:$C$104,0)),BB28))</f>
        <v/>
      </c>
      <c r="BF28" s="34">
        <f>IF(AND(AZ28&lt;&gt;"",BE28&lt;&gt;""),IF(COUNTIFS($BE$5:BE28,BE28,$AZ$5:AZ28,"&gt;0")=1,1,""),"")</f>
        <v/>
      </c>
      <c r="BG28" s="34">
        <f>IF(BF28=1,COUNTIF($BF$5:BF28,1),"")</f>
        <v/>
      </c>
    </row>
    <row r="29">
      <c r="AB29">
        <f>IF(AND(A29="",G29=""),"",IF(ISNUMBER(SEARCH("##END",AM29)),"（終わりの印）",IF(ISNUMBER(SEARCH("##続き",AM29)),"（続きありの印）",IF(AM29="調査ID","（見出し行）",IF(AND(AM29&lt;&gt;"R1",AM29&lt;&gt;"R2"),"×表以外の行（集計されない）",IF(COUNTIF($AN$5:AN29,AN29)&gt;1,"△重複（集計されない）",IF(G29="","△タスク名なし",IF(ISNA(MATCH(AQ29,'M1_類型マスタ'!$A$5:$A$19,0)),"△類型が不正",IF(OR(AP29="",N(AP29)&lt;1,N(AP29)&gt;6),"△業務区分が不正",IF(OR(AS29="",AT29=""),"△回数・分が読めない",IF(SUMPRODUCT(--ISNUMBER(--T29:Z29))&lt;7,"△採点が足りない",IF(SUMPRODUCT((--T29:Z29&gt;2)+(--T29:Z29&lt;0))&gt;0,"△採点が範囲外","OK"))))))))))))</f>
        <v/>
      </c>
      <c r="AC29">
        <f>IF(AB29&lt;&gt;"OK","",TRIM(IF(AND(AU29&lt;&gt;"",N(AU29)&lt;=1),"根拠1件 ","")&amp;IF(AV29&lt;&gt;"","同名あり ","")&amp;IF(AND(NOT(ISNUMBER(N29)),N29&lt;&gt;""),"回数を換算 ","")&amp;IF(J29="","詳細なし ","")&amp;IF(AND(N(AP29)=1,BB29=""),"顧客名なし ","")))</f>
        <v/>
      </c>
      <c r="AD29" s="31" t="n"/>
      <c r="AE29" s="32" t="n"/>
      <c r="AF29" s="32" t="n"/>
      <c r="AG29" s="31" t="n"/>
      <c r="AH29">
        <f>IF(AB29&lt;&gt;"OK","",IF(AG29&lt;&gt;"",AG29,AJ29))</f>
        <v/>
      </c>
      <c r="AI29" s="33">
        <f>IF(AB29&lt;&gt;"OK","",IFERROR(IF(AE29&lt;&gt;"",AE29,AS29)*IF(AF29&lt;&gt;"",AF29,AT29)/60,""))</f>
        <v/>
      </c>
      <c r="AJ29">
        <f>IF(AB29&lt;&gt;"OK","",IF(OR(VALUE(T29)=2,VALUE(U29)=2,VALUE(V29)=2),"社内残置",IF(AND(VALUE(T29)=0,VALUE(W29)=0,VALUE(Y29)=0),"自動化候補",IF(AND(VALUE(U29)=0,VALUE(W29)&lt;=1,VALUE(X29)&lt;=1,VALUE(Y29)&lt;=1,VALUE(Z29)&lt;=1),"オフショア候補",IF(AND(VALUE(Y29)&lt;=1,VALUE(Z29)&lt;=1),"ニアショア候補","社内で手順化→再評価")))))</f>
        <v/>
      </c>
      <c r="AK29">
        <f>IF(AB29&lt;&gt;"OK","",14-SUMPRODUCT(--T29:Z29))</f>
        <v/>
      </c>
      <c r="AL29" s="33">
        <f>IF(AB29&lt;&gt;"OK","",AS29*AT29/60)</f>
        <v/>
      </c>
      <c r="AM29" s="34">
        <f>IF(A29="","",UPPER(TRIM(ASC(A29&amp;""))))</f>
        <v/>
      </c>
      <c r="AN29" s="34">
        <f>IF(AM29="","",AM29&amp;"-"&amp;B29)</f>
        <v/>
      </c>
      <c r="AO29" s="34">
        <f>IF(C29="","",IFERROR(VALUE(ASC(SUBSTITUTE(C29&amp;"","観点",""))),""))</f>
        <v/>
      </c>
      <c r="AP29" s="34">
        <f>IF(D29="","",IFERROR(VALUE(LEFT(TRIM(ASC(D29&amp;"")),1)),IFERROR(MATCH(TRIM(D29&amp;""),'M2_区分マスタ'!$I$5:$I$10,0),"")))</f>
        <v/>
      </c>
      <c r="AQ29" s="34">
        <f>IF(H29="","",UPPER(LEFT(TRIM(ASC(H29&amp;"")),3)))</f>
        <v/>
      </c>
      <c r="AR29" s="34">
        <f>IF(N29="","",IFERROR(VALUE(SUBSTITUTE(SUBSTITUTE(SUBSTITUTE(SUBSTITUTE(SUBSTITUTE(SUBSTITUTE(SUBSTITUTE(SUBSTITUTE(SUBSTITUTE(SUBSTITUTE(SUBSTITUTE(SUBSTITUTE(ASC(N29&amp;""),"約",""),"程度",""),"ほど",""),"回",""),"毎",""),"週",""),"月",""),"年",""),"日",""),"に",""),"/","")," ","")),""))</f>
        <v/>
      </c>
      <c r="AS29" s="34">
        <f>IF(N29="","",IF(ISNUMBER(N29),N29,IFERROR(VALUE(ASC(N29&amp;"")),IF(AR29&lt;&gt;"",AR29*IF(ISNUMBER(SEARCH("週",N29)),4.3,IF(ISNUMBER(SEARCH("年",N29)),1/12,IF(ISNUMBER(SEARCH("日",N29)),20,1))),IF(ISNUMBER(SEARCH("日",N29)),20,IF(ISNUMBER(SEARCH("週",N29)),4.3,IF(ISNUMBER(SEARCH("月",N29)),1,"")))))))</f>
        <v/>
      </c>
      <c r="AT29" s="34">
        <f>IF(O29="","",IF(ISNUMBER(O29),O29,IFERROR(VALUE(ASC(O29&amp;"")),IF(ISNUMBER(SEARCH("時間",O29)),IFERROR(VALUE(SUBSTITUTE(SUBSTITUTE(SUBSTITUTE(SUBSTITUTE(SUBSTITUTE(ASC(O29&amp;""),"約",""),"程度",""),"ほど",""),"時間","")," ",""))*60,""),IFERROR(VALUE(SUBSTITUTE(SUBSTITUTE(SUBSTITUTE(SUBSTITUTE(SUBSTITUTE(ASC(O29&amp;""),"約",""),"程度",""),"ほど",""),"分","")," ","")),"")))))</f>
        <v/>
      </c>
      <c r="AU29" s="34">
        <f>IF(P29="","",IF(ISNUMBER(P29),P29,IFERROR(VALUE(SUBSTITUTE(SUBSTITUTE(SUBSTITUTE(ASC(P29&amp;""),"約",""),"件","")," ","")),"")))</f>
        <v/>
      </c>
      <c r="AV29" s="34">
        <f>IF(AB29&lt;&gt;"OK","",IF(COUNTIFS($G$5:$G$404,G29&amp;"",$F$5:$F$404,F29&amp;"",$BE$5:$BE$404,BE29&amp;"",$AB$5:$AB$404,"OK")&gt;1,"同名あり",""))</f>
        <v/>
      </c>
      <c r="AW29" s="35">
        <f>IF(Q29="","",IF(ISNUMBER(Q29),Q29,IFERROR(DATEVALUE(SUBSTITUTE(SUBSTITUTE(ASC(Q29&amp;""),"-","/"),".","/")&amp;"/01"),"")))</f>
        <v/>
      </c>
      <c r="AX29" s="35">
        <f>IF(R29="","",IF(ISNUMBER(R29),R29,IFERROR(DATEVALUE(SUBSTITUTE(SUBSTITUTE(ASC(R29&amp;""),"-","/"),".","/")&amp;"/01"),"")))</f>
        <v/>
      </c>
      <c r="AY29" s="34">
        <f>IF(OR(AB29&lt;&gt;"OK",AW29=""),"",IF(AW29&gt;='01_設定'!$C$26,1,0))</f>
        <v/>
      </c>
      <c r="AZ29" s="34">
        <f>IF(AND(AB29="OK",AD29&lt;&gt;"除外"),COUNTIFS($AB$5:AB29,"OK",$AD$5:AD29,"&lt;&gt;除外"),"")</f>
        <v/>
      </c>
      <c r="BA29" s="34">
        <f>IF(OR(AZ29="",AI29=""),"",AI29+ROW()/1000000000)</f>
        <v/>
      </c>
      <c r="BB29" s="34">
        <f>IF(E29="","",IF(OR(TRIM(E29&amp;"")="-",TRIM(E29&amp;"")="－",TRIM(E29&amp;"")="ー"),"",TRIM(E29&amp;"")))</f>
        <v/>
      </c>
      <c r="BC29" s="34">
        <f>IF(AND(AB29="OK",BB29&lt;&gt;""),IF(COUNTIFS($BB$5:BB29,BB29,$AB$5:AB29,"OK")=1,1,""),"")</f>
        <v/>
      </c>
      <c r="BD29" s="34">
        <f>IF(BC29=1,COUNTIF($BC$5:BC29,1),"")</f>
        <v/>
      </c>
      <c r="BE29" s="34">
        <f>IF(BB29="","",IFERROR(INDEX('06_顧客別集計'!$G$5:$G$104,MATCH(BB29,'06_顧客別集計'!$C$5:$C$104,0)),BB29))</f>
        <v/>
      </c>
      <c r="BF29" s="34">
        <f>IF(AND(AZ29&lt;&gt;"",BE29&lt;&gt;""),IF(COUNTIFS($BE$5:BE29,BE29,$AZ$5:AZ29,"&gt;0")=1,1,""),"")</f>
        <v/>
      </c>
      <c r="BG29" s="34">
        <f>IF(BF29=1,COUNTIF($BF$5:BF29,1),"")</f>
        <v/>
      </c>
    </row>
    <row r="30">
      <c r="AB30">
        <f>IF(AND(A30="",G30=""),"",IF(ISNUMBER(SEARCH("##END",AM30)),"（終わりの印）",IF(ISNUMBER(SEARCH("##続き",AM30)),"（続きありの印）",IF(AM30="調査ID","（見出し行）",IF(AND(AM30&lt;&gt;"R1",AM30&lt;&gt;"R2"),"×表以外の行（集計されない）",IF(COUNTIF($AN$5:AN30,AN30)&gt;1,"△重複（集計されない）",IF(G30="","△タスク名なし",IF(ISNA(MATCH(AQ30,'M1_類型マスタ'!$A$5:$A$19,0)),"△類型が不正",IF(OR(AP30="",N(AP30)&lt;1,N(AP30)&gt;6),"△業務区分が不正",IF(OR(AS30="",AT30=""),"△回数・分が読めない",IF(SUMPRODUCT(--ISNUMBER(--T30:Z30))&lt;7,"△採点が足りない",IF(SUMPRODUCT((--T30:Z30&gt;2)+(--T30:Z30&lt;0))&gt;0,"△採点が範囲外","OK"))))))))))))</f>
        <v/>
      </c>
      <c r="AC30">
        <f>IF(AB30&lt;&gt;"OK","",TRIM(IF(AND(AU30&lt;&gt;"",N(AU30)&lt;=1),"根拠1件 ","")&amp;IF(AV30&lt;&gt;"","同名あり ","")&amp;IF(AND(NOT(ISNUMBER(N30)),N30&lt;&gt;""),"回数を換算 ","")&amp;IF(J30="","詳細なし ","")&amp;IF(AND(N(AP30)=1,BB30=""),"顧客名なし ","")))</f>
        <v/>
      </c>
      <c r="AD30" s="31" t="n"/>
      <c r="AE30" s="32" t="n"/>
      <c r="AF30" s="32" t="n"/>
      <c r="AG30" s="31" t="n"/>
      <c r="AH30">
        <f>IF(AB30&lt;&gt;"OK","",IF(AG30&lt;&gt;"",AG30,AJ30))</f>
        <v/>
      </c>
      <c r="AI30" s="33">
        <f>IF(AB30&lt;&gt;"OK","",IFERROR(IF(AE30&lt;&gt;"",AE30,AS30)*IF(AF30&lt;&gt;"",AF30,AT30)/60,""))</f>
        <v/>
      </c>
      <c r="AJ30">
        <f>IF(AB30&lt;&gt;"OK","",IF(OR(VALUE(T30)=2,VALUE(U30)=2,VALUE(V30)=2),"社内残置",IF(AND(VALUE(T30)=0,VALUE(W30)=0,VALUE(Y30)=0),"自動化候補",IF(AND(VALUE(U30)=0,VALUE(W30)&lt;=1,VALUE(X30)&lt;=1,VALUE(Y30)&lt;=1,VALUE(Z30)&lt;=1),"オフショア候補",IF(AND(VALUE(Y30)&lt;=1,VALUE(Z30)&lt;=1),"ニアショア候補","社内で手順化→再評価")))))</f>
        <v/>
      </c>
      <c r="AK30">
        <f>IF(AB30&lt;&gt;"OK","",14-SUMPRODUCT(--T30:Z30))</f>
        <v/>
      </c>
      <c r="AL30" s="33">
        <f>IF(AB30&lt;&gt;"OK","",AS30*AT30/60)</f>
        <v/>
      </c>
      <c r="AM30" s="34">
        <f>IF(A30="","",UPPER(TRIM(ASC(A30&amp;""))))</f>
        <v/>
      </c>
      <c r="AN30" s="34">
        <f>IF(AM30="","",AM30&amp;"-"&amp;B30)</f>
        <v/>
      </c>
      <c r="AO30" s="34">
        <f>IF(C30="","",IFERROR(VALUE(ASC(SUBSTITUTE(C30&amp;"","観点",""))),""))</f>
        <v/>
      </c>
      <c r="AP30" s="34">
        <f>IF(D30="","",IFERROR(VALUE(LEFT(TRIM(ASC(D30&amp;"")),1)),IFERROR(MATCH(TRIM(D30&amp;""),'M2_区分マスタ'!$I$5:$I$10,0),"")))</f>
        <v/>
      </c>
      <c r="AQ30" s="34">
        <f>IF(H30="","",UPPER(LEFT(TRIM(ASC(H30&amp;"")),3)))</f>
        <v/>
      </c>
      <c r="AR30" s="34">
        <f>IF(N30="","",IFERROR(VALUE(SUBSTITUTE(SUBSTITUTE(SUBSTITUTE(SUBSTITUTE(SUBSTITUTE(SUBSTITUTE(SUBSTITUTE(SUBSTITUTE(SUBSTITUTE(SUBSTITUTE(SUBSTITUTE(SUBSTITUTE(ASC(N30&amp;""),"約",""),"程度",""),"ほど",""),"回",""),"毎",""),"週",""),"月",""),"年",""),"日",""),"に",""),"/","")," ","")),""))</f>
        <v/>
      </c>
      <c r="AS30" s="34">
        <f>IF(N30="","",IF(ISNUMBER(N30),N30,IFERROR(VALUE(ASC(N30&amp;"")),IF(AR30&lt;&gt;"",AR30*IF(ISNUMBER(SEARCH("週",N30)),4.3,IF(ISNUMBER(SEARCH("年",N30)),1/12,IF(ISNUMBER(SEARCH("日",N30)),20,1))),IF(ISNUMBER(SEARCH("日",N30)),20,IF(ISNUMBER(SEARCH("週",N30)),4.3,IF(ISNUMBER(SEARCH("月",N30)),1,"")))))))</f>
        <v/>
      </c>
      <c r="AT30" s="34">
        <f>IF(O30="","",IF(ISNUMBER(O30),O30,IFERROR(VALUE(ASC(O30&amp;"")),IF(ISNUMBER(SEARCH("時間",O30)),IFERROR(VALUE(SUBSTITUTE(SUBSTITUTE(SUBSTITUTE(SUBSTITUTE(SUBSTITUTE(ASC(O30&amp;""),"約",""),"程度",""),"ほど",""),"時間","")," ",""))*60,""),IFERROR(VALUE(SUBSTITUTE(SUBSTITUTE(SUBSTITUTE(SUBSTITUTE(SUBSTITUTE(ASC(O30&amp;""),"約",""),"程度",""),"ほど",""),"分","")," ","")),"")))))</f>
        <v/>
      </c>
      <c r="AU30" s="34">
        <f>IF(P30="","",IF(ISNUMBER(P30),P30,IFERROR(VALUE(SUBSTITUTE(SUBSTITUTE(SUBSTITUTE(ASC(P30&amp;""),"約",""),"件","")," ","")),"")))</f>
        <v/>
      </c>
      <c r="AV30" s="34">
        <f>IF(AB30&lt;&gt;"OK","",IF(COUNTIFS($G$5:$G$404,G30&amp;"",$F$5:$F$404,F30&amp;"",$BE$5:$BE$404,BE30&amp;"",$AB$5:$AB$404,"OK")&gt;1,"同名あり",""))</f>
        <v/>
      </c>
      <c r="AW30" s="35">
        <f>IF(Q30="","",IF(ISNUMBER(Q30),Q30,IFERROR(DATEVALUE(SUBSTITUTE(SUBSTITUTE(ASC(Q30&amp;""),"-","/"),".","/")&amp;"/01"),"")))</f>
        <v/>
      </c>
      <c r="AX30" s="35">
        <f>IF(R30="","",IF(ISNUMBER(R30),R30,IFERROR(DATEVALUE(SUBSTITUTE(SUBSTITUTE(ASC(R30&amp;""),"-","/"),".","/")&amp;"/01"),"")))</f>
        <v/>
      </c>
      <c r="AY30" s="34">
        <f>IF(OR(AB30&lt;&gt;"OK",AW30=""),"",IF(AW30&gt;='01_設定'!$C$26,1,0))</f>
        <v/>
      </c>
      <c r="AZ30" s="34">
        <f>IF(AND(AB30="OK",AD30&lt;&gt;"除外"),COUNTIFS($AB$5:AB30,"OK",$AD$5:AD30,"&lt;&gt;除外"),"")</f>
        <v/>
      </c>
      <c r="BA30" s="34">
        <f>IF(OR(AZ30="",AI30=""),"",AI30+ROW()/1000000000)</f>
        <v/>
      </c>
      <c r="BB30" s="34">
        <f>IF(E30="","",IF(OR(TRIM(E30&amp;"")="-",TRIM(E30&amp;"")="－",TRIM(E30&amp;"")="ー"),"",TRIM(E30&amp;"")))</f>
        <v/>
      </c>
      <c r="BC30" s="34">
        <f>IF(AND(AB30="OK",BB30&lt;&gt;""),IF(COUNTIFS($BB$5:BB30,BB30,$AB$5:AB30,"OK")=1,1,""),"")</f>
        <v/>
      </c>
      <c r="BD30" s="34">
        <f>IF(BC30=1,COUNTIF($BC$5:BC30,1),"")</f>
        <v/>
      </c>
      <c r="BE30" s="34">
        <f>IF(BB30="","",IFERROR(INDEX('06_顧客別集計'!$G$5:$G$104,MATCH(BB30,'06_顧客別集計'!$C$5:$C$104,0)),BB30))</f>
        <v/>
      </c>
      <c r="BF30" s="34">
        <f>IF(AND(AZ30&lt;&gt;"",BE30&lt;&gt;""),IF(COUNTIFS($BE$5:BE30,BE30,$AZ$5:AZ30,"&gt;0")=1,1,""),"")</f>
        <v/>
      </c>
      <c r="BG30" s="34">
        <f>IF(BF30=1,COUNTIF($BF$5:BF30,1),"")</f>
        <v/>
      </c>
    </row>
    <row r="31">
      <c r="AB31">
        <f>IF(AND(A31="",G31=""),"",IF(ISNUMBER(SEARCH("##END",AM31)),"（終わりの印）",IF(ISNUMBER(SEARCH("##続き",AM31)),"（続きありの印）",IF(AM31="調査ID","（見出し行）",IF(AND(AM31&lt;&gt;"R1",AM31&lt;&gt;"R2"),"×表以外の行（集計されない）",IF(COUNTIF($AN$5:AN31,AN31)&gt;1,"△重複（集計されない）",IF(G31="","△タスク名なし",IF(ISNA(MATCH(AQ31,'M1_類型マスタ'!$A$5:$A$19,0)),"△類型が不正",IF(OR(AP31="",N(AP31)&lt;1,N(AP31)&gt;6),"△業務区分が不正",IF(OR(AS31="",AT31=""),"△回数・分が読めない",IF(SUMPRODUCT(--ISNUMBER(--T31:Z31))&lt;7,"△採点が足りない",IF(SUMPRODUCT((--T31:Z31&gt;2)+(--T31:Z31&lt;0))&gt;0,"△採点が範囲外","OK"))))))))))))</f>
        <v/>
      </c>
      <c r="AC31">
        <f>IF(AB31&lt;&gt;"OK","",TRIM(IF(AND(AU31&lt;&gt;"",N(AU31)&lt;=1),"根拠1件 ","")&amp;IF(AV31&lt;&gt;"","同名あり ","")&amp;IF(AND(NOT(ISNUMBER(N31)),N31&lt;&gt;""),"回数を換算 ","")&amp;IF(J31="","詳細なし ","")&amp;IF(AND(N(AP31)=1,BB31=""),"顧客名なし ","")))</f>
        <v/>
      </c>
      <c r="AD31" s="31" t="n"/>
      <c r="AE31" s="32" t="n"/>
      <c r="AF31" s="32" t="n"/>
      <c r="AG31" s="31" t="n"/>
      <c r="AH31">
        <f>IF(AB31&lt;&gt;"OK","",IF(AG31&lt;&gt;"",AG31,AJ31))</f>
        <v/>
      </c>
      <c r="AI31" s="33">
        <f>IF(AB31&lt;&gt;"OK","",IFERROR(IF(AE31&lt;&gt;"",AE31,AS31)*IF(AF31&lt;&gt;"",AF31,AT31)/60,""))</f>
        <v/>
      </c>
      <c r="AJ31">
        <f>IF(AB31&lt;&gt;"OK","",IF(OR(VALUE(T31)=2,VALUE(U31)=2,VALUE(V31)=2),"社内残置",IF(AND(VALUE(T31)=0,VALUE(W31)=0,VALUE(Y31)=0),"自動化候補",IF(AND(VALUE(U31)=0,VALUE(W31)&lt;=1,VALUE(X31)&lt;=1,VALUE(Y31)&lt;=1,VALUE(Z31)&lt;=1),"オフショア候補",IF(AND(VALUE(Y31)&lt;=1,VALUE(Z31)&lt;=1),"ニアショア候補","社内で手順化→再評価")))))</f>
        <v/>
      </c>
      <c r="AK31">
        <f>IF(AB31&lt;&gt;"OK","",14-SUMPRODUCT(--T31:Z31))</f>
        <v/>
      </c>
      <c r="AL31" s="33">
        <f>IF(AB31&lt;&gt;"OK","",AS31*AT31/60)</f>
        <v/>
      </c>
      <c r="AM31" s="34">
        <f>IF(A31="","",UPPER(TRIM(ASC(A31&amp;""))))</f>
        <v/>
      </c>
      <c r="AN31" s="34">
        <f>IF(AM31="","",AM31&amp;"-"&amp;B31)</f>
        <v/>
      </c>
      <c r="AO31" s="34">
        <f>IF(C31="","",IFERROR(VALUE(ASC(SUBSTITUTE(C31&amp;"","観点",""))),""))</f>
        <v/>
      </c>
      <c r="AP31" s="34">
        <f>IF(D31="","",IFERROR(VALUE(LEFT(TRIM(ASC(D31&amp;"")),1)),IFERROR(MATCH(TRIM(D31&amp;""),'M2_区分マスタ'!$I$5:$I$10,0),"")))</f>
        <v/>
      </c>
      <c r="AQ31" s="34">
        <f>IF(H31="","",UPPER(LEFT(TRIM(ASC(H31&amp;"")),3)))</f>
        <v/>
      </c>
      <c r="AR31" s="34">
        <f>IF(N31="","",IFERROR(VALUE(SUBSTITUTE(SUBSTITUTE(SUBSTITUTE(SUBSTITUTE(SUBSTITUTE(SUBSTITUTE(SUBSTITUTE(SUBSTITUTE(SUBSTITUTE(SUBSTITUTE(SUBSTITUTE(SUBSTITUTE(ASC(N31&amp;""),"約",""),"程度",""),"ほど",""),"回",""),"毎",""),"週",""),"月",""),"年",""),"日",""),"に",""),"/","")," ","")),""))</f>
        <v/>
      </c>
      <c r="AS31" s="34">
        <f>IF(N31="","",IF(ISNUMBER(N31),N31,IFERROR(VALUE(ASC(N31&amp;"")),IF(AR31&lt;&gt;"",AR31*IF(ISNUMBER(SEARCH("週",N31)),4.3,IF(ISNUMBER(SEARCH("年",N31)),1/12,IF(ISNUMBER(SEARCH("日",N31)),20,1))),IF(ISNUMBER(SEARCH("日",N31)),20,IF(ISNUMBER(SEARCH("週",N31)),4.3,IF(ISNUMBER(SEARCH("月",N31)),1,"")))))))</f>
        <v/>
      </c>
      <c r="AT31" s="34">
        <f>IF(O31="","",IF(ISNUMBER(O31),O31,IFERROR(VALUE(ASC(O31&amp;"")),IF(ISNUMBER(SEARCH("時間",O31)),IFERROR(VALUE(SUBSTITUTE(SUBSTITUTE(SUBSTITUTE(SUBSTITUTE(SUBSTITUTE(ASC(O31&amp;""),"約",""),"程度",""),"ほど",""),"時間","")," ",""))*60,""),IFERROR(VALUE(SUBSTITUTE(SUBSTITUTE(SUBSTITUTE(SUBSTITUTE(SUBSTITUTE(ASC(O31&amp;""),"約",""),"程度",""),"ほど",""),"分","")," ","")),"")))))</f>
        <v/>
      </c>
      <c r="AU31" s="34">
        <f>IF(P31="","",IF(ISNUMBER(P31),P31,IFERROR(VALUE(SUBSTITUTE(SUBSTITUTE(SUBSTITUTE(ASC(P31&amp;""),"約",""),"件","")," ","")),"")))</f>
        <v/>
      </c>
      <c r="AV31" s="34">
        <f>IF(AB31&lt;&gt;"OK","",IF(COUNTIFS($G$5:$G$404,G31&amp;"",$F$5:$F$404,F31&amp;"",$BE$5:$BE$404,BE31&amp;"",$AB$5:$AB$404,"OK")&gt;1,"同名あり",""))</f>
        <v/>
      </c>
      <c r="AW31" s="35">
        <f>IF(Q31="","",IF(ISNUMBER(Q31),Q31,IFERROR(DATEVALUE(SUBSTITUTE(SUBSTITUTE(ASC(Q31&amp;""),"-","/"),".","/")&amp;"/01"),"")))</f>
        <v/>
      </c>
      <c r="AX31" s="35">
        <f>IF(R31="","",IF(ISNUMBER(R31),R31,IFERROR(DATEVALUE(SUBSTITUTE(SUBSTITUTE(ASC(R31&amp;""),"-","/"),".","/")&amp;"/01"),"")))</f>
        <v/>
      </c>
      <c r="AY31" s="34">
        <f>IF(OR(AB31&lt;&gt;"OK",AW31=""),"",IF(AW31&gt;='01_設定'!$C$26,1,0))</f>
        <v/>
      </c>
      <c r="AZ31" s="34">
        <f>IF(AND(AB31="OK",AD31&lt;&gt;"除外"),COUNTIFS($AB$5:AB31,"OK",$AD$5:AD31,"&lt;&gt;除外"),"")</f>
        <v/>
      </c>
      <c r="BA31" s="34">
        <f>IF(OR(AZ31="",AI31=""),"",AI31+ROW()/1000000000)</f>
        <v/>
      </c>
      <c r="BB31" s="34">
        <f>IF(E31="","",IF(OR(TRIM(E31&amp;"")="-",TRIM(E31&amp;"")="－",TRIM(E31&amp;"")="ー"),"",TRIM(E31&amp;"")))</f>
        <v/>
      </c>
      <c r="BC31" s="34">
        <f>IF(AND(AB31="OK",BB31&lt;&gt;""),IF(COUNTIFS($BB$5:BB31,BB31,$AB$5:AB31,"OK")=1,1,""),"")</f>
        <v/>
      </c>
      <c r="BD31" s="34">
        <f>IF(BC31=1,COUNTIF($BC$5:BC31,1),"")</f>
        <v/>
      </c>
      <c r="BE31" s="34">
        <f>IF(BB31="","",IFERROR(INDEX('06_顧客別集計'!$G$5:$G$104,MATCH(BB31,'06_顧客別集計'!$C$5:$C$104,0)),BB31))</f>
        <v/>
      </c>
      <c r="BF31" s="34">
        <f>IF(AND(AZ31&lt;&gt;"",BE31&lt;&gt;""),IF(COUNTIFS($BE$5:BE31,BE31,$AZ$5:AZ31,"&gt;0")=1,1,""),"")</f>
        <v/>
      </c>
      <c r="BG31" s="34">
        <f>IF(BF31=1,COUNTIF($BF$5:BF31,1),"")</f>
        <v/>
      </c>
    </row>
    <row r="32">
      <c r="AB32">
        <f>IF(AND(A32="",G32=""),"",IF(ISNUMBER(SEARCH("##END",AM32)),"（終わりの印）",IF(ISNUMBER(SEARCH("##続き",AM32)),"（続きありの印）",IF(AM32="調査ID","（見出し行）",IF(AND(AM32&lt;&gt;"R1",AM32&lt;&gt;"R2"),"×表以外の行（集計されない）",IF(COUNTIF($AN$5:AN32,AN32)&gt;1,"△重複（集計されない）",IF(G32="","△タスク名なし",IF(ISNA(MATCH(AQ32,'M1_類型マスタ'!$A$5:$A$19,0)),"△類型が不正",IF(OR(AP32="",N(AP32)&lt;1,N(AP32)&gt;6),"△業務区分が不正",IF(OR(AS32="",AT32=""),"△回数・分が読めない",IF(SUMPRODUCT(--ISNUMBER(--T32:Z32))&lt;7,"△採点が足りない",IF(SUMPRODUCT((--T32:Z32&gt;2)+(--T32:Z32&lt;0))&gt;0,"△採点が範囲外","OK"))))))))))))</f>
        <v/>
      </c>
      <c r="AC32">
        <f>IF(AB32&lt;&gt;"OK","",TRIM(IF(AND(AU32&lt;&gt;"",N(AU32)&lt;=1),"根拠1件 ","")&amp;IF(AV32&lt;&gt;"","同名あり ","")&amp;IF(AND(NOT(ISNUMBER(N32)),N32&lt;&gt;""),"回数を換算 ","")&amp;IF(J32="","詳細なし ","")&amp;IF(AND(N(AP32)=1,BB32=""),"顧客名なし ","")))</f>
        <v/>
      </c>
      <c r="AD32" s="31" t="n"/>
      <c r="AE32" s="32" t="n"/>
      <c r="AF32" s="32" t="n"/>
      <c r="AG32" s="31" t="n"/>
      <c r="AH32">
        <f>IF(AB32&lt;&gt;"OK","",IF(AG32&lt;&gt;"",AG32,AJ32))</f>
        <v/>
      </c>
      <c r="AI32" s="33">
        <f>IF(AB32&lt;&gt;"OK","",IFERROR(IF(AE32&lt;&gt;"",AE32,AS32)*IF(AF32&lt;&gt;"",AF32,AT32)/60,""))</f>
        <v/>
      </c>
      <c r="AJ32">
        <f>IF(AB32&lt;&gt;"OK","",IF(OR(VALUE(T32)=2,VALUE(U32)=2,VALUE(V32)=2),"社内残置",IF(AND(VALUE(T32)=0,VALUE(W32)=0,VALUE(Y32)=0),"自動化候補",IF(AND(VALUE(U32)=0,VALUE(W32)&lt;=1,VALUE(X32)&lt;=1,VALUE(Y32)&lt;=1,VALUE(Z32)&lt;=1),"オフショア候補",IF(AND(VALUE(Y32)&lt;=1,VALUE(Z32)&lt;=1),"ニアショア候補","社内で手順化→再評価")))))</f>
        <v/>
      </c>
      <c r="AK32">
        <f>IF(AB32&lt;&gt;"OK","",14-SUMPRODUCT(--T32:Z32))</f>
        <v/>
      </c>
      <c r="AL32" s="33">
        <f>IF(AB32&lt;&gt;"OK","",AS32*AT32/60)</f>
        <v/>
      </c>
      <c r="AM32" s="34">
        <f>IF(A32="","",UPPER(TRIM(ASC(A32&amp;""))))</f>
        <v/>
      </c>
      <c r="AN32" s="34">
        <f>IF(AM32="","",AM32&amp;"-"&amp;B32)</f>
        <v/>
      </c>
      <c r="AO32" s="34">
        <f>IF(C32="","",IFERROR(VALUE(ASC(SUBSTITUTE(C32&amp;"","観点",""))),""))</f>
        <v/>
      </c>
      <c r="AP32" s="34">
        <f>IF(D32="","",IFERROR(VALUE(LEFT(TRIM(ASC(D32&amp;"")),1)),IFERROR(MATCH(TRIM(D32&amp;""),'M2_区分マスタ'!$I$5:$I$10,0),"")))</f>
        <v/>
      </c>
      <c r="AQ32" s="34">
        <f>IF(H32="","",UPPER(LEFT(TRIM(ASC(H32&amp;"")),3)))</f>
        <v/>
      </c>
      <c r="AR32" s="34">
        <f>IF(N32="","",IFERROR(VALUE(SUBSTITUTE(SUBSTITUTE(SUBSTITUTE(SUBSTITUTE(SUBSTITUTE(SUBSTITUTE(SUBSTITUTE(SUBSTITUTE(SUBSTITUTE(SUBSTITUTE(SUBSTITUTE(SUBSTITUTE(ASC(N32&amp;""),"約",""),"程度",""),"ほど",""),"回",""),"毎",""),"週",""),"月",""),"年",""),"日",""),"に",""),"/","")," ","")),""))</f>
        <v/>
      </c>
      <c r="AS32" s="34">
        <f>IF(N32="","",IF(ISNUMBER(N32),N32,IFERROR(VALUE(ASC(N32&amp;"")),IF(AR32&lt;&gt;"",AR32*IF(ISNUMBER(SEARCH("週",N32)),4.3,IF(ISNUMBER(SEARCH("年",N32)),1/12,IF(ISNUMBER(SEARCH("日",N32)),20,1))),IF(ISNUMBER(SEARCH("日",N32)),20,IF(ISNUMBER(SEARCH("週",N32)),4.3,IF(ISNUMBER(SEARCH("月",N32)),1,"")))))))</f>
        <v/>
      </c>
      <c r="AT32" s="34">
        <f>IF(O32="","",IF(ISNUMBER(O32),O32,IFERROR(VALUE(ASC(O32&amp;"")),IF(ISNUMBER(SEARCH("時間",O32)),IFERROR(VALUE(SUBSTITUTE(SUBSTITUTE(SUBSTITUTE(SUBSTITUTE(SUBSTITUTE(ASC(O32&amp;""),"約",""),"程度",""),"ほど",""),"時間","")," ",""))*60,""),IFERROR(VALUE(SUBSTITUTE(SUBSTITUTE(SUBSTITUTE(SUBSTITUTE(SUBSTITUTE(ASC(O32&amp;""),"約",""),"程度",""),"ほど",""),"分","")," ","")),"")))))</f>
        <v/>
      </c>
      <c r="AU32" s="34">
        <f>IF(P32="","",IF(ISNUMBER(P32),P32,IFERROR(VALUE(SUBSTITUTE(SUBSTITUTE(SUBSTITUTE(ASC(P32&amp;""),"約",""),"件","")," ","")),"")))</f>
        <v/>
      </c>
      <c r="AV32" s="34">
        <f>IF(AB32&lt;&gt;"OK","",IF(COUNTIFS($G$5:$G$404,G32&amp;"",$F$5:$F$404,F32&amp;"",$BE$5:$BE$404,BE32&amp;"",$AB$5:$AB$404,"OK")&gt;1,"同名あり",""))</f>
        <v/>
      </c>
      <c r="AW32" s="35">
        <f>IF(Q32="","",IF(ISNUMBER(Q32),Q32,IFERROR(DATEVALUE(SUBSTITUTE(SUBSTITUTE(ASC(Q32&amp;""),"-","/"),".","/")&amp;"/01"),"")))</f>
        <v/>
      </c>
      <c r="AX32" s="35">
        <f>IF(R32="","",IF(ISNUMBER(R32),R32,IFERROR(DATEVALUE(SUBSTITUTE(SUBSTITUTE(ASC(R32&amp;""),"-","/"),".","/")&amp;"/01"),"")))</f>
        <v/>
      </c>
      <c r="AY32" s="34">
        <f>IF(OR(AB32&lt;&gt;"OK",AW32=""),"",IF(AW32&gt;='01_設定'!$C$26,1,0))</f>
        <v/>
      </c>
      <c r="AZ32" s="34">
        <f>IF(AND(AB32="OK",AD32&lt;&gt;"除外"),COUNTIFS($AB$5:AB32,"OK",$AD$5:AD32,"&lt;&gt;除外"),"")</f>
        <v/>
      </c>
      <c r="BA32" s="34">
        <f>IF(OR(AZ32="",AI32=""),"",AI32+ROW()/1000000000)</f>
        <v/>
      </c>
      <c r="BB32" s="34">
        <f>IF(E32="","",IF(OR(TRIM(E32&amp;"")="-",TRIM(E32&amp;"")="－",TRIM(E32&amp;"")="ー"),"",TRIM(E32&amp;"")))</f>
        <v/>
      </c>
      <c r="BC32" s="34">
        <f>IF(AND(AB32="OK",BB32&lt;&gt;""),IF(COUNTIFS($BB$5:BB32,BB32,$AB$5:AB32,"OK")=1,1,""),"")</f>
        <v/>
      </c>
      <c r="BD32" s="34">
        <f>IF(BC32=1,COUNTIF($BC$5:BC32,1),"")</f>
        <v/>
      </c>
      <c r="BE32" s="34">
        <f>IF(BB32="","",IFERROR(INDEX('06_顧客別集計'!$G$5:$G$104,MATCH(BB32,'06_顧客別集計'!$C$5:$C$104,0)),BB32))</f>
        <v/>
      </c>
      <c r="BF32" s="34">
        <f>IF(AND(AZ32&lt;&gt;"",BE32&lt;&gt;""),IF(COUNTIFS($BE$5:BE32,BE32,$AZ$5:AZ32,"&gt;0")=1,1,""),"")</f>
        <v/>
      </c>
      <c r="BG32" s="34">
        <f>IF(BF32=1,COUNTIF($BF$5:BF32,1),"")</f>
        <v/>
      </c>
    </row>
    <row r="33">
      <c r="AB33">
        <f>IF(AND(A33="",G33=""),"",IF(ISNUMBER(SEARCH("##END",AM33)),"（終わりの印）",IF(ISNUMBER(SEARCH("##続き",AM33)),"（続きありの印）",IF(AM33="調査ID","（見出し行）",IF(AND(AM33&lt;&gt;"R1",AM33&lt;&gt;"R2"),"×表以外の行（集計されない）",IF(COUNTIF($AN$5:AN33,AN33)&gt;1,"△重複（集計されない）",IF(G33="","△タスク名なし",IF(ISNA(MATCH(AQ33,'M1_類型マスタ'!$A$5:$A$19,0)),"△類型が不正",IF(OR(AP33="",N(AP33)&lt;1,N(AP33)&gt;6),"△業務区分が不正",IF(OR(AS33="",AT33=""),"△回数・分が読めない",IF(SUMPRODUCT(--ISNUMBER(--T33:Z33))&lt;7,"△採点が足りない",IF(SUMPRODUCT((--T33:Z33&gt;2)+(--T33:Z33&lt;0))&gt;0,"△採点が範囲外","OK"))))))))))))</f>
        <v/>
      </c>
      <c r="AC33">
        <f>IF(AB33&lt;&gt;"OK","",TRIM(IF(AND(AU33&lt;&gt;"",N(AU33)&lt;=1),"根拠1件 ","")&amp;IF(AV33&lt;&gt;"","同名あり ","")&amp;IF(AND(NOT(ISNUMBER(N33)),N33&lt;&gt;""),"回数を換算 ","")&amp;IF(J33="","詳細なし ","")&amp;IF(AND(N(AP33)=1,BB33=""),"顧客名なし ","")))</f>
        <v/>
      </c>
      <c r="AD33" s="31" t="n"/>
      <c r="AE33" s="32" t="n"/>
      <c r="AF33" s="32" t="n"/>
      <c r="AG33" s="31" t="n"/>
      <c r="AH33">
        <f>IF(AB33&lt;&gt;"OK","",IF(AG33&lt;&gt;"",AG33,AJ33))</f>
        <v/>
      </c>
      <c r="AI33" s="33">
        <f>IF(AB33&lt;&gt;"OK","",IFERROR(IF(AE33&lt;&gt;"",AE33,AS33)*IF(AF33&lt;&gt;"",AF33,AT33)/60,""))</f>
        <v/>
      </c>
      <c r="AJ33">
        <f>IF(AB33&lt;&gt;"OK","",IF(OR(VALUE(T33)=2,VALUE(U33)=2,VALUE(V33)=2),"社内残置",IF(AND(VALUE(T33)=0,VALUE(W33)=0,VALUE(Y33)=0),"自動化候補",IF(AND(VALUE(U33)=0,VALUE(W33)&lt;=1,VALUE(X33)&lt;=1,VALUE(Y33)&lt;=1,VALUE(Z33)&lt;=1),"オフショア候補",IF(AND(VALUE(Y33)&lt;=1,VALUE(Z33)&lt;=1),"ニアショア候補","社内で手順化→再評価")))))</f>
        <v/>
      </c>
      <c r="AK33">
        <f>IF(AB33&lt;&gt;"OK","",14-SUMPRODUCT(--T33:Z33))</f>
        <v/>
      </c>
      <c r="AL33" s="33">
        <f>IF(AB33&lt;&gt;"OK","",AS33*AT33/60)</f>
        <v/>
      </c>
      <c r="AM33" s="34">
        <f>IF(A33="","",UPPER(TRIM(ASC(A33&amp;""))))</f>
        <v/>
      </c>
      <c r="AN33" s="34">
        <f>IF(AM33="","",AM33&amp;"-"&amp;B33)</f>
        <v/>
      </c>
      <c r="AO33" s="34">
        <f>IF(C33="","",IFERROR(VALUE(ASC(SUBSTITUTE(C33&amp;"","観点",""))),""))</f>
        <v/>
      </c>
      <c r="AP33" s="34">
        <f>IF(D33="","",IFERROR(VALUE(LEFT(TRIM(ASC(D33&amp;"")),1)),IFERROR(MATCH(TRIM(D33&amp;""),'M2_区分マスタ'!$I$5:$I$10,0),"")))</f>
        <v/>
      </c>
      <c r="AQ33" s="34">
        <f>IF(H33="","",UPPER(LEFT(TRIM(ASC(H33&amp;"")),3)))</f>
        <v/>
      </c>
      <c r="AR33" s="34">
        <f>IF(N33="","",IFERROR(VALUE(SUBSTITUTE(SUBSTITUTE(SUBSTITUTE(SUBSTITUTE(SUBSTITUTE(SUBSTITUTE(SUBSTITUTE(SUBSTITUTE(SUBSTITUTE(SUBSTITUTE(SUBSTITUTE(SUBSTITUTE(ASC(N33&amp;""),"約",""),"程度",""),"ほど",""),"回",""),"毎",""),"週",""),"月",""),"年",""),"日",""),"に",""),"/","")," ","")),""))</f>
        <v/>
      </c>
      <c r="AS33" s="34">
        <f>IF(N33="","",IF(ISNUMBER(N33),N33,IFERROR(VALUE(ASC(N33&amp;"")),IF(AR33&lt;&gt;"",AR33*IF(ISNUMBER(SEARCH("週",N33)),4.3,IF(ISNUMBER(SEARCH("年",N33)),1/12,IF(ISNUMBER(SEARCH("日",N33)),20,1))),IF(ISNUMBER(SEARCH("日",N33)),20,IF(ISNUMBER(SEARCH("週",N33)),4.3,IF(ISNUMBER(SEARCH("月",N33)),1,"")))))))</f>
        <v/>
      </c>
      <c r="AT33" s="34">
        <f>IF(O33="","",IF(ISNUMBER(O33),O33,IFERROR(VALUE(ASC(O33&amp;"")),IF(ISNUMBER(SEARCH("時間",O33)),IFERROR(VALUE(SUBSTITUTE(SUBSTITUTE(SUBSTITUTE(SUBSTITUTE(SUBSTITUTE(ASC(O33&amp;""),"約",""),"程度",""),"ほど",""),"時間","")," ",""))*60,""),IFERROR(VALUE(SUBSTITUTE(SUBSTITUTE(SUBSTITUTE(SUBSTITUTE(SUBSTITUTE(ASC(O33&amp;""),"約",""),"程度",""),"ほど",""),"分","")," ","")),"")))))</f>
        <v/>
      </c>
      <c r="AU33" s="34">
        <f>IF(P33="","",IF(ISNUMBER(P33),P33,IFERROR(VALUE(SUBSTITUTE(SUBSTITUTE(SUBSTITUTE(ASC(P33&amp;""),"約",""),"件","")," ","")),"")))</f>
        <v/>
      </c>
      <c r="AV33" s="34">
        <f>IF(AB33&lt;&gt;"OK","",IF(COUNTIFS($G$5:$G$404,G33&amp;"",$F$5:$F$404,F33&amp;"",$BE$5:$BE$404,BE33&amp;"",$AB$5:$AB$404,"OK")&gt;1,"同名あり",""))</f>
        <v/>
      </c>
      <c r="AW33" s="35">
        <f>IF(Q33="","",IF(ISNUMBER(Q33),Q33,IFERROR(DATEVALUE(SUBSTITUTE(SUBSTITUTE(ASC(Q33&amp;""),"-","/"),".","/")&amp;"/01"),"")))</f>
        <v/>
      </c>
      <c r="AX33" s="35">
        <f>IF(R33="","",IF(ISNUMBER(R33),R33,IFERROR(DATEVALUE(SUBSTITUTE(SUBSTITUTE(ASC(R33&amp;""),"-","/"),".","/")&amp;"/01"),"")))</f>
        <v/>
      </c>
      <c r="AY33" s="34">
        <f>IF(OR(AB33&lt;&gt;"OK",AW33=""),"",IF(AW33&gt;='01_設定'!$C$26,1,0))</f>
        <v/>
      </c>
      <c r="AZ33" s="34">
        <f>IF(AND(AB33="OK",AD33&lt;&gt;"除外"),COUNTIFS($AB$5:AB33,"OK",$AD$5:AD33,"&lt;&gt;除外"),"")</f>
        <v/>
      </c>
      <c r="BA33" s="34">
        <f>IF(OR(AZ33="",AI33=""),"",AI33+ROW()/1000000000)</f>
        <v/>
      </c>
      <c r="BB33" s="34">
        <f>IF(E33="","",IF(OR(TRIM(E33&amp;"")="-",TRIM(E33&amp;"")="－",TRIM(E33&amp;"")="ー"),"",TRIM(E33&amp;"")))</f>
        <v/>
      </c>
      <c r="BC33" s="34">
        <f>IF(AND(AB33="OK",BB33&lt;&gt;""),IF(COUNTIFS($BB$5:BB33,BB33,$AB$5:AB33,"OK")=1,1,""),"")</f>
        <v/>
      </c>
      <c r="BD33" s="34">
        <f>IF(BC33=1,COUNTIF($BC$5:BC33,1),"")</f>
        <v/>
      </c>
      <c r="BE33" s="34">
        <f>IF(BB33="","",IFERROR(INDEX('06_顧客別集計'!$G$5:$G$104,MATCH(BB33,'06_顧客別集計'!$C$5:$C$104,0)),BB33))</f>
        <v/>
      </c>
      <c r="BF33" s="34">
        <f>IF(AND(AZ33&lt;&gt;"",BE33&lt;&gt;""),IF(COUNTIFS($BE$5:BE33,BE33,$AZ$5:AZ33,"&gt;0")=1,1,""),"")</f>
        <v/>
      </c>
      <c r="BG33" s="34">
        <f>IF(BF33=1,COUNTIF($BF$5:BF33,1),"")</f>
        <v/>
      </c>
    </row>
    <row r="34">
      <c r="AB34">
        <f>IF(AND(A34="",G34=""),"",IF(ISNUMBER(SEARCH("##END",AM34)),"（終わりの印）",IF(ISNUMBER(SEARCH("##続き",AM34)),"（続きありの印）",IF(AM34="調査ID","（見出し行）",IF(AND(AM34&lt;&gt;"R1",AM34&lt;&gt;"R2"),"×表以外の行（集計されない）",IF(COUNTIF($AN$5:AN34,AN34)&gt;1,"△重複（集計されない）",IF(G34="","△タスク名なし",IF(ISNA(MATCH(AQ34,'M1_類型マスタ'!$A$5:$A$19,0)),"△類型が不正",IF(OR(AP34="",N(AP34)&lt;1,N(AP34)&gt;6),"△業務区分が不正",IF(OR(AS34="",AT34=""),"△回数・分が読めない",IF(SUMPRODUCT(--ISNUMBER(--T34:Z34))&lt;7,"△採点が足りない",IF(SUMPRODUCT((--T34:Z34&gt;2)+(--T34:Z34&lt;0))&gt;0,"△採点が範囲外","OK"))))))))))))</f>
        <v/>
      </c>
      <c r="AC34">
        <f>IF(AB34&lt;&gt;"OK","",TRIM(IF(AND(AU34&lt;&gt;"",N(AU34)&lt;=1),"根拠1件 ","")&amp;IF(AV34&lt;&gt;"","同名あり ","")&amp;IF(AND(NOT(ISNUMBER(N34)),N34&lt;&gt;""),"回数を換算 ","")&amp;IF(J34="","詳細なし ","")&amp;IF(AND(N(AP34)=1,BB34=""),"顧客名なし ","")))</f>
        <v/>
      </c>
      <c r="AD34" s="31" t="n"/>
      <c r="AE34" s="32" t="n"/>
      <c r="AF34" s="32" t="n"/>
      <c r="AG34" s="31" t="n"/>
      <c r="AH34">
        <f>IF(AB34&lt;&gt;"OK","",IF(AG34&lt;&gt;"",AG34,AJ34))</f>
        <v/>
      </c>
      <c r="AI34" s="33">
        <f>IF(AB34&lt;&gt;"OK","",IFERROR(IF(AE34&lt;&gt;"",AE34,AS34)*IF(AF34&lt;&gt;"",AF34,AT34)/60,""))</f>
        <v/>
      </c>
      <c r="AJ34">
        <f>IF(AB34&lt;&gt;"OK","",IF(OR(VALUE(T34)=2,VALUE(U34)=2,VALUE(V34)=2),"社内残置",IF(AND(VALUE(T34)=0,VALUE(W34)=0,VALUE(Y34)=0),"自動化候補",IF(AND(VALUE(U34)=0,VALUE(W34)&lt;=1,VALUE(X34)&lt;=1,VALUE(Y34)&lt;=1,VALUE(Z34)&lt;=1),"オフショア候補",IF(AND(VALUE(Y34)&lt;=1,VALUE(Z34)&lt;=1),"ニアショア候補","社内で手順化→再評価")))))</f>
        <v/>
      </c>
      <c r="AK34">
        <f>IF(AB34&lt;&gt;"OK","",14-SUMPRODUCT(--T34:Z34))</f>
        <v/>
      </c>
      <c r="AL34" s="33">
        <f>IF(AB34&lt;&gt;"OK","",AS34*AT34/60)</f>
        <v/>
      </c>
      <c r="AM34" s="34">
        <f>IF(A34="","",UPPER(TRIM(ASC(A34&amp;""))))</f>
        <v/>
      </c>
      <c r="AN34" s="34">
        <f>IF(AM34="","",AM34&amp;"-"&amp;B34)</f>
        <v/>
      </c>
      <c r="AO34" s="34">
        <f>IF(C34="","",IFERROR(VALUE(ASC(SUBSTITUTE(C34&amp;"","観点",""))),""))</f>
        <v/>
      </c>
      <c r="AP34" s="34">
        <f>IF(D34="","",IFERROR(VALUE(LEFT(TRIM(ASC(D34&amp;"")),1)),IFERROR(MATCH(TRIM(D34&amp;""),'M2_区分マスタ'!$I$5:$I$10,0),"")))</f>
        <v/>
      </c>
      <c r="AQ34" s="34">
        <f>IF(H34="","",UPPER(LEFT(TRIM(ASC(H34&amp;"")),3)))</f>
        <v/>
      </c>
      <c r="AR34" s="34">
        <f>IF(N34="","",IFERROR(VALUE(SUBSTITUTE(SUBSTITUTE(SUBSTITUTE(SUBSTITUTE(SUBSTITUTE(SUBSTITUTE(SUBSTITUTE(SUBSTITUTE(SUBSTITUTE(SUBSTITUTE(SUBSTITUTE(SUBSTITUTE(ASC(N34&amp;""),"約",""),"程度",""),"ほど",""),"回",""),"毎",""),"週",""),"月",""),"年",""),"日",""),"に",""),"/","")," ","")),""))</f>
        <v/>
      </c>
      <c r="AS34" s="34">
        <f>IF(N34="","",IF(ISNUMBER(N34),N34,IFERROR(VALUE(ASC(N34&amp;"")),IF(AR34&lt;&gt;"",AR34*IF(ISNUMBER(SEARCH("週",N34)),4.3,IF(ISNUMBER(SEARCH("年",N34)),1/12,IF(ISNUMBER(SEARCH("日",N34)),20,1))),IF(ISNUMBER(SEARCH("日",N34)),20,IF(ISNUMBER(SEARCH("週",N34)),4.3,IF(ISNUMBER(SEARCH("月",N34)),1,"")))))))</f>
        <v/>
      </c>
      <c r="AT34" s="34">
        <f>IF(O34="","",IF(ISNUMBER(O34),O34,IFERROR(VALUE(ASC(O34&amp;"")),IF(ISNUMBER(SEARCH("時間",O34)),IFERROR(VALUE(SUBSTITUTE(SUBSTITUTE(SUBSTITUTE(SUBSTITUTE(SUBSTITUTE(ASC(O34&amp;""),"約",""),"程度",""),"ほど",""),"時間","")," ",""))*60,""),IFERROR(VALUE(SUBSTITUTE(SUBSTITUTE(SUBSTITUTE(SUBSTITUTE(SUBSTITUTE(ASC(O34&amp;""),"約",""),"程度",""),"ほど",""),"分","")," ","")),"")))))</f>
        <v/>
      </c>
      <c r="AU34" s="34">
        <f>IF(P34="","",IF(ISNUMBER(P34),P34,IFERROR(VALUE(SUBSTITUTE(SUBSTITUTE(SUBSTITUTE(ASC(P34&amp;""),"約",""),"件","")," ","")),"")))</f>
        <v/>
      </c>
      <c r="AV34" s="34">
        <f>IF(AB34&lt;&gt;"OK","",IF(COUNTIFS($G$5:$G$404,G34&amp;"",$F$5:$F$404,F34&amp;"",$BE$5:$BE$404,BE34&amp;"",$AB$5:$AB$404,"OK")&gt;1,"同名あり",""))</f>
        <v/>
      </c>
      <c r="AW34" s="35">
        <f>IF(Q34="","",IF(ISNUMBER(Q34),Q34,IFERROR(DATEVALUE(SUBSTITUTE(SUBSTITUTE(ASC(Q34&amp;""),"-","/"),".","/")&amp;"/01"),"")))</f>
        <v/>
      </c>
      <c r="AX34" s="35">
        <f>IF(R34="","",IF(ISNUMBER(R34),R34,IFERROR(DATEVALUE(SUBSTITUTE(SUBSTITUTE(ASC(R34&amp;""),"-","/"),".","/")&amp;"/01"),"")))</f>
        <v/>
      </c>
      <c r="AY34" s="34">
        <f>IF(OR(AB34&lt;&gt;"OK",AW34=""),"",IF(AW34&gt;='01_設定'!$C$26,1,0))</f>
        <v/>
      </c>
      <c r="AZ34" s="34">
        <f>IF(AND(AB34="OK",AD34&lt;&gt;"除外"),COUNTIFS($AB$5:AB34,"OK",$AD$5:AD34,"&lt;&gt;除外"),"")</f>
        <v/>
      </c>
      <c r="BA34" s="34">
        <f>IF(OR(AZ34="",AI34=""),"",AI34+ROW()/1000000000)</f>
        <v/>
      </c>
      <c r="BB34" s="34">
        <f>IF(E34="","",IF(OR(TRIM(E34&amp;"")="-",TRIM(E34&amp;"")="－",TRIM(E34&amp;"")="ー"),"",TRIM(E34&amp;"")))</f>
        <v/>
      </c>
      <c r="BC34" s="34">
        <f>IF(AND(AB34="OK",BB34&lt;&gt;""),IF(COUNTIFS($BB$5:BB34,BB34,$AB$5:AB34,"OK")=1,1,""),"")</f>
        <v/>
      </c>
      <c r="BD34" s="34">
        <f>IF(BC34=1,COUNTIF($BC$5:BC34,1),"")</f>
        <v/>
      </c>
      <c r="BE34" s="34">
        <f>IF(BB34="","",IFERROR(INDEX('06_顧客別集計'!$G$5:$G$104,MATCH(BB34,'06_顧客別集計'!$C$5:$C$104,0)),BB34))</f>
        <v/>
      </c>
      <c r="BF34" s="34">
        <f>IF(AND(AZ34&lt;&gt;"",BE34&lt;&gt;""),IF(COUNTIFS($BE$5:BE34,BE34,$AZ$5:AZ34,"&gt;0")=1,1,""),"")</f>
        <v/>
      </c>
      <c r="BG34" s="34">
        <f>IF(BF34=1,COUNTIF($BF$5:BF34,1),"")</f>
        <v/>
      </c>
    </row>
    <row r="35">
      <c r="AB35">
        <f>IF(AND(A35="",G35=""),"",IF(ISNUMBER(SEARCH("##END",AM35)),"（終わりの印）",IF(ISNUMBER(SEARCH("##続き",AM35)),"（続きありの印）",IF(AM35="調査ID","（見出し行）",IF(AND(AM35&lt;&gt;"R1",AM35&lt;&gt;"R2"),"×表以外の行（集計されない）",IF(COUNTIF($AN$5:AN35,AN35)&gt;1,"△重複（集計されない）",IF(G35="","△タスク名なし",IF(ISNA(MATCH(AQ35,'M1_類型マスタ'!$A$5:$A$19,0)),"△類型が不正",IF(OR(AP35="",N(AP35)&lt;1,N(AP35)&gt;6),"△業務区分が不正",IF(OR(AS35="",AT35=""),"△回数・分が読めない",IF(SUMPRODUCT(--ISNUMBER(--T35:Z35))&lt;7,"△採点が足りない",IF(SUMPRODUCT((--T35:Z35&gt;2)+(--T35:Z35&lt;0))&gt;0,"△採点が範囲外","OK"))))))))))))</f>
        <v/>
      </c>
      <c r="AC35">
        <f>IF(AB35&lt;&gt;"OK","",TRIM(IF(AND(AU35&lt;&gt;"",N(AU35)&lt;=1),"根拠1件 ","")&amp;IF(AV35&lt;&gt;"","同名あり ","")&amp;IF(AND(NOT(ISNUMBER(N35)),N35&lt;&gt;""),"回数を換算 ","")&amp;IF(J35="","詳細なし ","")&amp;IF(AND(N(AP35)=1,BB35=""),"顧客名なし ","")))</f>
        <v/>
      </c>
      <c r="AD35" s="31" t="n"/>
      <c r="AE35" s="32" t="n"/>
      <c r="AF35" s="32" t="n"/>
      <c r="AG35" s="31" t="n"/>
      <c r="AH35">
        <f>IF(AB35&lt;&gt;"OK","",IF(AG35&lt;&gt;"",AG35,AJ35))</f>
        <v/>
      </c>
      <c r="AI35" s="33">
        <f>IF(AB35&lt;&gt;"OK","",IFERROR(IF(AE35&lt;&gt;"",AE35,AS35)*IF(AF35&lt;&gt;"",AF35,AT35)/60,""))</f>
        <v/>
      </c>
      <c r="AJ35">
        <f>IF(AB35&lt;&gt;"OK","",IF(OR(VALUE(T35)=2,VALUE(U35)=2,VALUE(V35)=2),"社内残置",IF(AND(VALUE(T35)=0,VALUE(W35)=0,VALUE(Y35)=0),"自動化候補",IF(AND(VALUE(U35)=0,VALUE(W35)&lt;=1,VALUE(X35)&lt;=1,VALUE(Y35)&lt;=1,VALUE(Z35)&lt;=1),"オフショア候補",IF(AND(VALUE(Y35)&lt;=1,VALUE(Z35)&lt;=1),"ニアショア候補","社内で手順化→再評価")))))</f>
        <v/>
      </c>
      <c r="AK35">
        <f>IF(AB35&lt;&gt;"OK","",14-SUMPRODUCT(--T35:Z35))</f>
        <v/>
      </c>
      <c r="AL35" s="33">
        <f>IF(AB35&lt;&gt;"OK","",AS35*AT35/60)</f>
        <v/>
      </c>
      <c r="AM35" s="34">
        <f>IF(A35="","",UPPER(TRIM(ASC(A35&amp;""))))</f>
        <v/>
      </c>
      <c r="AN35" s="34">
        <f>IF(AM35="","",AM35&amp;"-"&amp;B35)</f>
        <v/>
      </c>
      <c r="AO35" s="34">
        <f>IF(C35="","",IFERROR(VALUE(ASC(SUBSTITUTE(C35&amp;"","観点",""))),""))</f>
        <v/>
      </c>
      <c r="AP35" s="34">
        <f>IF(D35="","",IFERROR(VALUE(LEFT(TRIM(ASC(D35&amp;"")),1)),IFERROR(MATCH(TRIM(D35&amp;""),'M2_区分マスタ'!$I$5:$I$10,0),"")))</f>
        <v/>
      </c>
      <c r="AQ35" s="34">
        <f>IF(H35="","",UPPER(LEFT(TRIM(ASC(H35&amp;"")),3)))</f>
        <v/>
      </c>
      <c r="AR35" s="34">
        <f>IF(N35="","",IFERROR(VALUE(SUBSTITUTE(SUBSTITUTE(SUBSTITUTE(SUBSTITUTE(SUBSTITUTE(SUBSTITUTE(SUBSTITUTE(SUBSTITUTE(SUBSTITUTE(SUBSTITUTE(SUBSTITUTE(SUBSTITUTE(ASC(N35&amp;""),"約",""),"程度",""),"ほど",""),"回",""),"毎",""),"週",""),"月",""),"年",""),"日",""),"に",""),"/","")," ","")),""))</f>
        <v/>
      </c>
      <c r="AS35" s="34">
        <f>IF(N35="","",IF(ISNUMBER(N35),N35,IFERROR(VALUE(ASC(N35&amp;"")),IF(AR35&lt;&gt;"",AR35*IF(ISNUMBER(SEARCH("週",N35)),4.3,IF(ISNUMBER(SEARCH("年",N35)),1/12,IF(ISNUMBER(SEARCH("日",N35)),20,1))),IF(ISNUMBER(SEARCH("日",N35)),20,IF(ISNUMBER(SEARCH("週",N35)),4.3,IF(ISNUMBER(SEARCH("月",N35)),1,"")))))))</f>
        <v/>
      </c>
      <c r="AT35" s="34">
        <f>IF(O35="","",IF(ISNUMBER(O35),O35,IFERROR(VALUE(ASC(O35&amp;"")),IF(ISNUMBER(SEARCH("時間",O35)),IFERROR(VALUE(SUBSTITUTE(SUBSTITUTE(SUBSTITUTE(SUBSTITUTE(SUBSTITUTE(ASC(O35&amp;""),"約",""),"程度",""),"ほど",""),"時間","")," ",""))*60,""),IFERROR(VALUE(SUBSTITUTE(SUBSTITUTE(SUBSTITUTE(SUBSTITUTE(SUBSTITUTE(ASC(O35&amp;""),"約",""),"程度",""),"ほど",""),"分","")," ","")),"")))))</f>
        <v/>
      </c>
      <c r="AU35" s="34">
        <f>IF(P35="","",IF(ISNUMBER(P35),P35,IFERROR(VALUE(SUBSTITUTE(SUBSTITUTE(SUBSTITUTE(ASC(P35&amp;""),"約",""),"件","")," ","")),"")))</f>
        <v/>
      </c>
      <c r="AV35" s="34">
        <f>IF(AB35&lt;&gt;"OK","",IF(COUNTIFS($G$5:$G$404,G35&amp;"",$F$5:$F$404,F35&amp;"",$BE$5:$BE$404,BE35&amp;"",$AB$5:$AB$404,"OK")&gt;1,"同名あり",""))</f>
        <v/>
      </c>
      <c r="AW35" s="35">
        <f>IF(Q35="","",IF(ISNUMBER(Q35),Q35,IFERROR(DATEVALUE(SUBSTITUTE(SUBSTITUTE(ASC(Q35&amp;""),"-","/"),".","/")&amp;"/01"),"")))</f>
        <v/>
      </c>
      <c r="AX35" s="35">
        <f>IF(R35="","",IF(ISNUMBER(R35),R35,IFERROR(DATEVALUE(SUBSTITUTE(SUBSTITUTE(ASC(R35&amp;""),"-","/"),".","/")&amp;"/01"),"")))</f>
        <v/>
      </c>
      <c r="AY35" s="34">
        <f>IF(OR(AB35&lt;&gt;"OK",AW35=""),"",IF(AW35&gt;='01_設定'!$C$26,1,0))</f>
        <v/>
      </c>
      <c r="AZ35" s="34">
        <f>IF(AND(AB35="OK",AD35&lt;&gt;"除外"),COUNTIFS($AB$5:AB35,"OK",$AD$5:AD35,"&lt;&gt;除外"),"")</f>
        <v/>
      </c>
      <c r="BA35" s="34">
        <f>IF(OR(AZ35="",AI35=""),"",AI35+ROW()/1000000000)</f>
        <v/>
      </c>
      <c r="BB35" s="34">
        <f>IF(E35="","",IF(OR(TRIM(E35&amp;"")="-",TRIM(E35&amp;"")="－",TRIM(E35&amp;"")="ー"),"",TRIM(E35&amp;"")))</f>
        <v/>
      </c>
      <c r="BC35" s="34">
        <f>IF(AND(AB35="OK",BB35&lt;&gt;""),IF(COUNTIFS($BB$5:BB35,BB35,$AB$5:AB35,"OK")=1,1,""),"")</f>
        <v/>
      </c>
      <c r="BD35" s="34">
        <f>IF(BC35=1,COUNTIF($BC$5:BC35,1),"")</f>
        <v/>
      </c>
      <c r="BE35" s="34">
        <f>IF(BB35="","",IFERROR(INDEX('06_顧客別集計'!$G$5:$G$104,MATCH(BB35,'06_顧客別集計'!$C$5:$C$104,0)),BB35))</f>
        <v/>
      </c>
      <c r="BF35" s="34">
        <f>IF(AND(AZ35&lt;&gt;"",BE35&lt;&gt;""),IF(COUNTIFS($BE$5:BE35,BE35,$AZ$5:AZ35,"&gt;0")=1,1,""),"")</f>
        <v/>
      </c>
      <c r="BG35" s="34">
        <f>IF(BF35=1,COUNTIF($BF$5:BF35,1),"")</f>
        <v/>
      </c>
    </row>
    <row r="36">
      <c r="AB36">
        <f>IF(AND(A36="",G36=""),"",IF(ISNUMBER(SEARCH("##END",AM36)),"（終わりの印）",IF(ISNUMBER(SEARCH("##続き",AM36)),"（続きありの印）",IF(AM36="調査ID","（見出し行）",IF(AND(AM36&lt;&gt;"R1",AM36&lt;&gt;"R2"),"×表以外の行（集計されない）",IF(COUNTIF($AN$5:AN36,AN36)&gt;1,"△重複（集計されない）",IF(G36="","△タスク名なし",IF(ISNA(MATCH(AQ36,'M1_類型マスタ'!$A$5:$A$19,0)),"△類型が不正",IF(OR(AP36="",N(AP36)&lt;1,N(AP36)&gt;6),"△業務区分が不正",IF(OR(AS36="",AT36=""),"△回数・分が読めない",IF(SUMPRODUCT(--ISNUMBER(--T36:Z36))&lt;7,"△採点が足りない",IF(SUMPRODUCT((--T36:Z36&gt;2)+(--T36:Z36&lt;0))&gt;0,"△採点が範囲外","OK"))))))))))))</f>
        <v/>
      </c>
      <c r="AC36">
        <f>IF(AB36&lt;&gt;"OK","",TRIM(IF(AND(AU36&lt;&gt;"",N(AU36)&lt;=1),"根拠1件 ","")&amp;IF(AV36&lt;&gt;"","同名あり ","")&amp;IF(AND(NOT(ISNUMBER(N36)),N36&lt;&gt;""),"回数を換算 ","")&amp;IF(J36="","詳細なし ","")&amp;IF(AND(N(AP36)=1,BB36=""),"顧客名なし ","")))</f>
        <v/>
      </c>
      <c r="AD36" s="31" t="n"/>
      <c r="AE36" s="32" t="n"/>
      <c r="AF36" s="32" t="n"/>
      <c r="AG36" s="31" t="n"/>
      <c r="AH36">
        <f>IF(AB36&lt;&gt;"OK","",IF(AG36&lt;&gt;"",AG36,AJ36))</f>
        <v/>
      </c>
      <c r="AI36" s="33">
        <f>IF(AB36&lt;&gt;"OK","",IFERROR(IF(AE36&lt;&gt;"",AE36,AS36)*IF(AF36&lt;&gt;"",AF36,AT36)/60,""))</f>
        <v/>
      </c>
      <c r="AJ36">
        <f>IF(AB36&lt;&gt;"OK","",IF(OR(VALUE(T36)=2,VALUE(U36)=2,VALUE(V36)=2),"社内残置",IF(AND(VALUE(T36)=0,VALUE(W36)=0,VALUE(Y36)=0),"自動化候補",IF(AND(VALUE(U36)=0,VALUE(W36)&lt;=1,VALUE(X36)&lt;=1,VALUE(Y36)&lt;=1,VALUE(Z36)&lt;=1),"オフショア候補",IF(AND(VALUE(Y36)&lt;=1,VALUE(Z36)&lt;=1),"ニアショア候補","社内で手順化→再評価")))))</f>
        <v/>
      </c>
      <c r="AK36">
        <f>IF(AB36&lt;&gt;"OK","",14-SUMPRODUCT(--T36:Z36))</f>
        <v/>
      </c>
      <c r="AL36" s="33">
        <f>IF(AB36&lt;&gt;"OK","",AS36*AT36/60)</f>
        <v/>
      </c>
      <c r="AM36" s="34">
        <f>IF(A36="","",UPPER(TRIM(ASC(A36&amp;""))))</f>
        <v/>
      </c>
      <c r="AN36" s="34">
        <f>IF(AM36="","",AM36&amp;"-"&amp;B36)</f>
        <v/>
      </c>
      <c r="AO36" s="34">
        <f>IF(C36="","",IFERROR(VALUE(ASC(SUBSTITUTE(C36&amp;"","観点",""))),""))</f>
        <v/>
      </c>
      <c r="AP36" s="34">
        <f>IF(D36="","",IFERROR(VALUE(LEFT(TRIM(ASC(D36&amp;"")),1)),IFERROR(MATCH(TRIM(D36&amp;""),'M2_区分マスタ'!$I$5:$I$10,0),"")))</f>
        <v/>
      </c>
      <c r="AQ36" s="34">
        <f>IF(H36="","",UPPER(LEFT(TRIM(ASC(H36&amp;"")),3)))</f>
        <v/>
      </c>
      <c r="AR36" s="34">
        <f>IF(N36="","",IFERROR(VALUE(SUBSTITUTE(SUBSTITUTE(SUBSTITUTE(SUBSTITUTE(SUBSTITUTE(SUBSTITUTE(SUBSTITUTE(SUBSTITUTE(SUBSTITUTE(SUBSTITUTE(SUBSTITUTE(SUBSTITUTE(ASC(N36&amp;""),"約",""),"程度",""),"ほど",""),"回",""),"毎",""),"週",""),"月",""),"年",""),"日",""),"に",""),"/","")," ","")),""))</f>
        <v/>
      </c>
      <c r="AS36" s="34">
        <f>IF(N36="","",IF(ISNUMBER(N36),N36,IFERROR(VALUE(ASC(N36&amp;"")),IF(AR36&lt;&gt;"",AR36*IF(ISNUMBER(SEARCH("週",N36)),4.3,IF(ISNUMBER(SEARCH("年",N36)),1/12,IF(ISNUMBER(SEARCH("日",N36)),20,1))),IF(ISNUMBER(SEARCH("日",N36)),20,IF(ISNUMBER(SEARCH("週",N36)),4.3,IF(ISNUMBER(SEARCH("月",N36)),1,"")))))))</f>
        <v/>
      </c>
      <c r="AT36" s="34">
        <f>IF(O36="","",IF(ISNUMBER(O36),O36,IFERROR(VALUE(ASC(O36&amp;"")),IF(ISNUMBER(SEARCH("時間",O36)),IFERROR(VALUE(SUBSTITUTE(SUBSTITUTE(SUBSTITUTE(SUBSTITUTE(SUBSTITUTE(ASC(O36&amp;""),"約",""),"程度",""),"ほど",""),"時間","")," ",""))*60,""),IFERROR(VALUE(SUBSTITUTE(SUBSTITUTE(SUBSTITUTE(SUBSTITUTE(SUBSTITUTE(ASC(O36&amp;""),"約",""),"程度",""),"ほど",""),"分","")," ","")),"")))))</f>
        <v/>
      </c>
      <c r="AU36" s="34">
        <f>IF(P36="","",IF(ISNUMBER(P36),P36,IFERROR(VALUE(SUBSTITUTE(SUBSTITUTE(SUBSTITUTE(ASC(P36&amp;""),"約",""),"件","")," ","")),"")))</f>
        <v/>
      </c>
      <c r="AV36" s="34">
        <f>IF(AB36&lt;&gt;"OK","",IF(COUNTIFS($G$5:$G$404,G36&amp;"",$F$5:$F$404,F36&amp;"",$BE$5:$BE$404,BE36&amp;"",$AB$5:$AB$404,"OK")&gt;1,"同名あり",""))</f>
        <v/>
      </c>
      <c r="AW36" s="35">
        <f>IF(Q36="","",IF(ISNUMBER(Q36),Q36,IFERROR(DATEVALUE(SUBSTITUTE(SUBSTITUTE(ASC(Q36&amp;""),"-","/"),".","/")&amp;"/01"),"")))</f>
        <v/>
      </c>
      <c r="AX36" s="35">
        <f>IF(R36="","",IF(ISNUMBER(R36),R36,IFERROR(DATEVALUE(SUBSTITUTE(SUBSTITUTE(ASC(R36&amp;""),"-","/"),".","/")&amp;"/01"),"")))</f>
        <v/>
      </c>
      <c r="AY36" s="34">
        <f>IF(OR(AB36&lt;&gt;"OK",AW36=""),"",IF(AW36&gt;='01_設定'!$C$26,1,0))</f>
        <v/>
      </c>
      <c r="AZ36" s="34">
        <f>IF(AND(AB36="OK",AD36&lt;&gt;"除外"),COUNTIFS($AB$5:AB36,"OK",$AD$5:AD36,"&lt;&gt;除外"),"")</f>
        <v/>
      </c>
      <c r="BA36" s="34">
        <f>IF(OR(AZ36="",AI36=""),"",AI36+ROW()/1000000000)</f>
        <v/>
      </c>
      <c r="BB36" s="34">
        <f>IF(E36="","",IF(OR(TRIM(E36&amp;"")="-",TRIM(E36&amp;"")="－",TRIM(E36&amp;"")="ー"),"",TRIM(E36&amp;"")))</f>
        <v/>
      </c>
      <c r="BC36" s="34">
        <f>IF(AND(AB36="OK",BB36&lt;&gt;""),IF(COUNTIFS($BB$5:BB36,BB36,$AB$5:AB36,"OK")=1,1,""),"")</f>
        <v/>
      </c>
      <c r="BD36" s="34">
        <f>IF(BC36=1,COUNTIF($BC$5:BC36,1),"")</f>
        <v/>
      </c>
      <c r="BE36" s="34">
        <f>IF(BB36="","",IFERROR(INDEX('06_顧客別集計'!$G$5:$G$104,MATCH(BB36,'06_顧客別集計'!$C$5:$C$104,0)),BB36))</f>
        <v/>
      </c>
      <c r="BF36" s="34">
        <f>IF(AND(AZ36&lt;&gt;"",BE36&lt;&gt;""),IF(COUNTIFS($BE$5:BE36,BE36,$AZ$5:AZ36,"&gt;0")=1,1,""),"")</f>
        <v/>
      </c>
      <c r="BG36" s="34">
        <f>IF(BF36=1,COUNTIF($BF$5:BF36,1),"")</f>
        <v/>
      </c>
    </row>
    <row r="37">
      <c r="AB37">
        <f>IF(AND(A37="",G37=""),"",IF(ISNUMBER(SEARCH("##END",AM37)),"（終わりの印）",IF(ISNUMBER(SEARCH("##続き",AM37)),"（続きありの印）",IF(AM37="調査ID","（見出し行）",IF(AND(AM37&lt;&gt;"R1",AM37&lt;&gt;"R2"),"×表以外の行（集計されない）",IF(COUNTIF($AN$5:AN37,AN37)&gt;1,"△重複（集計されない）",IF(G37="","△タスク名なし",IF(ISNA(MATCH(AQ37,'M1_類型マスタ'!$A$5:$A$19,0)),"△類型が不正",IF(OR(AP37="",N(AP37)&lt;1,N(AP37)&gt;6),"△業務区分が不正",IF(OR(AS37="",AT37=""),"△回数・分が読めない",IF(SUMPRODUCT(--ISNUMBER(--T37:Z37))&lt;7,"△採点が足りない",IF(SUMPRODUCT((--T37:Z37&gt;2)+(--T37:Z37&lt;0))&gt;0,"△採点が範囲外","OK"))))))))))))</f>
        <v/>
      </c>
      <c r="AC37">
        <f>IF(AB37&lt;&gt;"OK","",TRIM(IF(AND(AU37&lt;&gt;"",N(AU37)&lt;=1),"根拠1件 ","")&amp;IF(AV37&lt;&gt;"","同名あり ","")&amp;IF(AND(NOT(ISNUMBER(N37)),N37&lt;&gt;""),"回数を換算 ","")&amp;IF(J37="","詳細なし ","")&amp;IF(AND(N(AP37)=1,BB37=""),"顧客名なし ","")))</f>
        <v/>
      </c>
      <c r="AD37" s="31" t="n"/>
      <c r="AE37" s="32" t="n"/>
      <c r="AF37" s="32" t="n"/>
      <c r="AG37" s="31" t="n"/>
      <c r="AH37">
        <f>IF(AB37&lt;&gt;"OK","",IF(AG37&lt;&gt;"",AG37,AJ37))</f>
        <v/>
      </c>
      <c r="AI37" s="33">
        <f>IF(AB37&lt;&gt;"OK","",IFERROR(IF(AE37&lt;&gt;"",AE37,AS37)*IF(AF37&lt;&gt;"",AF37,AT37)/60,""))</f>
        <v/>
      </c>
      <c r="AJ37">
        <f>IF(AB37&lt;&gt;"OK","",IF(OR(VALUE(T37)=2,VALUE(U37)=2,VALUE(V37)=2),"社内残置",IF(AND(VALUE(T37)=0,VALUE(W37)=0,VALUE(Y37)=0),"自動化候補",IF(AND(VALUE(U37)=0,VALUE(W37)&lt;=1,VALUE(X37)&lt;=1,VALUE(Y37)&lt;=1,VALUE(Z37)&lt;=1),"オフショア候補",IF(AND(VALUE(Y37)&lt;=1,VALUE(Z37)&lt;=1),"ニアショア候補","社内で手順化→再評価")))))</f>
        <v/>
      </c>
      <c r="AK37">
        <f>IF(AB37&lt;&gt;"OK","",14-SUMPRODUCT(--T37:Z37))</f>
        <v/>
      </c>
      <c r="AL37" s="33">
        <f>IF(AB37&lt;&gt;"OK","",AS37*AT37/60)</f>
        <v/>
      </c>
      <c r="AM37" s="34">
        <f>IF(A37="","",UPPER(TRIM(ASC(A37&amp;""))))</f>
        <v/>
      </c>
      <c r="AN37" s="34">
        <f>IF(AM37="","",AM37&amp;"-"&amp;B37)</f>
        <v/>
      </c>
      <c r="AO37" s="34">
        <f>IF(C37="","",IFERROR(VALUE(ASC(SUBSTITUTE(C37&amp;"","観点",""))),""))</f>
        <v/>
      </c>
      <c r="AP37" s="34">
        <f>IF(D37="","",IFERROR(VALUE(LEFT(TRIM(ASC(D37&amp;"")),1)),IFERROR(MATCH(TRIM(D37&amp;""),'M2_区分マスタ'!$I$5:$I$10,0),"")))</f>
        <v/>
      </c>
      <c r="AQ37" s="34">
        <f>IF(H37="","",UPPER(LEFT(TRIM(ASC(H37&amp;"")),3)))</f>
        <v/>
      </c>
      <c r="AR37" s="34">
        <f>IF(N37="","",IFERROR(VALUE(SUBSTITUTE(SUBSTITUTE(SUBSTITUTE(SUBSTITUTE(SUBSTITUTE(SUBSTITUTE(SUBSTITUTE(SUBSTITUTE(SUBSTITUTE(SUBSTITUTE(SUBSTITUTE(SUBSTITUTE(ASC(N37&amp;""),"約",""),"程度",""),"ほど",""),"回",""),"毎",""),"週",""),"月",""),"年",""),"日",""),"に",""),"/","")," ","")),""))</f>
        <v/>
      </c>
      <c r="AS37" s="34">
        <f>IF(N37="","",IF(ISNUMBER(N37),N37,IFERROR(VALUE(ASC(N37&amp;"")),IF(AR37&lt;&gt;"",AR37*IF(ISNUMBER(SEARCH("週",N37)),4.3,IF(ISNUMBER(SEARCH("年",N37)),1/12,IF(ISNUMBER(SEARCH("日",N37)),20,1))),IF(ISNUMBER(SEARCH("日",N37)),20,IF(ISNUMBER(SEARCH("週",N37)),4.3,IF(ISNUMBER(SEARCH("月",N37)),1,"")))))))</f>
        <v/>
      </c>
      <c r="AT37" s="34">
        <f>IF(O37="","",IF(ISNUMBER(O37),O37,IFERROR(VALUE(ASC(O37&amp;"")),IF(ISNUMBER(SEARCH("時間",O37)),IFERROR(VALUE(SUBSTITUTE(SUBSTITUTE(SUBSTITUTE(SUBSTITUTE(SUBSTITUTE(ASC(O37&amp;""),"約",""),"程度",""),"ほど",""),"時間","")," ",""))*60,""),IFERROR(VALUE(SUBSTITUTE(SUBSTITUTE(SUBSTITUTE(SUBSTITUTE(SUBSTITUTE(ASC(O37&amp;""),"約",""),"程度",""),"ほど",""),"分","")," ","")),"")))))</f>
        <v/>
      </c>
      <c r="AU37" s="34">
        <f>IF(P37="","",IF(ISNUMBER(P37),P37,IFERROR(VALUE(SUBSTITUTE(SUBSTITUTE(SUBSTITUTE(ASC(P37&amp;""),"約",""),"件","")," ","")),"")))</f>
        <v/>
      </c>
      <c r="AV37" s="34">
        <f>IF(AB37&lt;&gt;"OK","",IF(COUNTIFS($G$5:$G$404,G37&amp;"",$F$5:$F$404,F37&amp;"",$BE$5:$BE$404,BE37&amp;"",$AB$5:$AB$404,"OK")&gt;1,"同名あり",""))</f>
        <v/>
      </c>
      <c r="AW37" s="35">
        <f>IF(Q37="","",IF(ISNUMBER(Q37),Q37,IFERROR(DATEVALUE(SUBSTITUTE(SUBSTITUTE(ASC(Q37&amp;""),"-","/"),".","/")&amp;"/01"),"")))</f>
        <v/>
      </c>
      <c r="AX37" s="35">
        <f>IF(R37="","",IF(ISNUMBER(R37),R37,IFERROR(DATEVALUE(SUBSTITUTE(SUBSTITUTE(ASC(R37&amp;""),"-","/"),".","/")&amp;"/01"),"")))</f>
        <v/>
      </c>
      <c r="AY37" s="34">
        <f>IF(OR(AB37&lt;&gt;"OK",AW37=""),"",IF(AW37&gt;='01_設定'!$C$26,1,0))</f>
        <v/>
      </c>
      <c r="AZ37" s="34">
        <f>IF(AND(AB37="OK",AD37&lt;&gt;"除外"),COUNTIFS($AB$5:AB37,"OK",$AD$5:AD37,"&lt;&gt;除外"),"")</f>
        <v/>
      </c>
      <c r="BA37" s="34">
        <f>IF(OR(AZ37="",AI37=""),"",AI37+ROW()/1000000000)</f>
        <v/>
      </c>
      <c r="BB37" s="34">
        <f>IF(E37="","",IF(OR(TRIM(E37&amp;"")="-",TRIM(E37&amp;"")="－",TRIM(E37&amp;"")="ー"),"",TRIM(E37&amp;"")))</f>
        <v/>
      </c>
      <c r="BC37" s="34">
        <f>IF(AND(AB37="OK",BB37&lt;&gt;""),IF(COUNTIFS($BB$5:BB37,BB37,$AB$5:AB37,"OK")=1,1,""),"")</f>
        <v/>
      </c>
      <c r="BD37" s="34">
        <f>IF(BC37=1,COUNTIF($BC$5:BC37,1),"")</f>
        <v/>
      </c>
      <c r="BE37" s="34">
        <f>IF(BB37="","",IFERROR(INDEX('06_顧客別集計'!$G$5:$G$104,MATCH(BB37,'06_顧客別集計'!$C$5:$C$104,0)),BB37))</f>
        <v/>
      </c>
      <c r="BF37" s="34">
        <f>IF(AND(AZ37&lt;&gt;"",BE37&lt;&gt;""),IF(COUNTIFS($BE$5:BE37,BE37,$AZ$5:AZ37,"&gt;0")=1,1,""),"")</f>
        <v/>
      </c>
      <c r="BG37" s="34">
        <f>IF(BF37=1,COUNTIF($BF$5:BF37,1),"")</f>
        <v/>
      </c>
    </row>
    <row r="38">
      <c r="AB38">
        <f>IF(AND(A38="",G38=""),"",IF(ISNUMBER(SEARCH("##END",AM38)),"（終わりの印）",IF(ISNUMBER(SEARCH("##続き",AM38)),"（続きありの印）",IF(AM38="調査ID","（見出し行）",IF(AND(AM38&lt;&gt;"R1",AM38&lt;&gt;"R2"),"×表以外の行（集計されない）",IF(COUNTIF($AN$5:AN38,AN38)&gt;1,"△重複（集計されない）",IF(G38="","△タスク名なし",IF(ISNA(MATCH(AQ38,'M1_類型マスタ'!$A$5:$A$19,0)),"△類型が不正",IF(OR(AP38="",N(AP38)&lt;1,N(AP38)&gt;6),"△業務区分が不正",IF(OR(AS38="",AT38=""),"△回数・分が読めない",IF(SUMPRODUCT(--ISNUMBER(--T38:Z38))&lt;7,"△採点が足りない",IF(SUMPRODUCT((--T38:Z38&gt;2)+(--T38:Z38&lt;0))&gt;0,"△採点が範囲外","OK"))))))))))))</f>
        <v/>
      </c>
      <c r="AC38">
        <f>IF(AB38&lt;&gt;"OK","",TRIM(IF(AND(AU38&lt;&gt;"",N(AU38)&lt;=1),"根拠1件 ","")&amp;IF(AV38&lt;&gt;"","同名あり ","")&amp;IF(AND(NOT(ISNUMBER(N38)),N38&lt;&gt;""),"回数を換算 ","")&amp;IF(J38="","詳細なし ","")&amp;IF(AND(N(AP38)=1,BB38=""),"顧客名なし ","")))</f>
        <v/>
      </c>
      <c r="AD38" s="31" t="n"/>
      <c r="AE38" s="32" t="n"/>
      <c r="AF38" s="32" t="n"/>
      <c r="AG38" s="31" t="n"/>
      <c r="AH38">
        <f>IF(AB38&lt;&gt;"OK","",IF(AG38&lt;&gt;"",AG38,AJ38))</f>
        <v/>
      </c>
      <c r="AI38" s="33">
        <f>IF(AB38&lt;&gt;"OK","",IFERROR(IF(AE38&lt;&gt;"",AE38,AS38)*IF(AF38&lt;&gt;"",AF38,AT38)/60,""))</f>
        <v/>
      </c>
      <c r="AJ38">
        <f>IF(AB38&lt;&gt;"OK","",IF(OR(VALUE(T38)=2,VALUE(U38)=2,VALUE(V38)=2),"社内残置",IF(AND(VALUE(T38)=0,VALUE(W38)=0,VALUE(Y38)=0),"自動化候補",IF(AND(VALUE(U38)=0,VALUE(W38)&lt;=1,VALUE(X38)&lt;=1,VALUE(Y38)&lt;=1,VALUE(Z38)&lt;=1),"オフショア候補",IF(AND(VALUE(Y38)&lt;=1,VALUE(Z38)&lt;=1),"ニアショア候補","社内で手順化→再評価")))))</f>
        <v/>
      </c>
      <c r="AK38">
        <f>IF(AB38&lt;&gt;"OK","",14-SUMPRODUCT(--T38:Z38))</f>
        <v/>
      </c>
      <c r="AL38" s="33">
        <f>IF(AB38&lt;&gt;"OK","",AS38*AT38/60)</f>
        <v/>
      </c>
      <c r="AM38" s="34">
        <f>IF(A38="","",UPPER(TRIM(ASC(A38&amp;""))))</f>
        <v/>
      </c>
      <c r="AN38" s="34">
        <f>IF(AM38="","",AM38&amp;"-"&amp;B38)</f>
        <v/>
      </c>
      <c r="AO38" s="34">
        <f>IF(C38="","",IFERROR(VALUE(ASC(SUBSTITUTE(C38&amp;"","観点",""))),""))</f>
        <v/>
      </c>
      <c r="AP38" s="34">
        <f>IF(D38="","",IFERROR(VALUE(LEFT(TRIM(ASC(D38&amp;"")),1)),IFERROR(MATCH(TRIM(D38&amp;""),'M2_区分マスタ'!$I$5:$I$10,0),"")))</f>
        <v/>
      </c>
      <c r="AQ38" s="34">
        <f>IF(H38="","",UPPER(LEFT(TRIM(ASC(H38&amp;"")),3)))</f>
        <v/>
      </c>
      <c r="AR38" s="34">
        <f>IF(N38="","",IFERROR(VALUE(SUBSTITUTE(SUBSTITUTE(SUBSTITUTE(SUBSTITUTE(SUBSTITUTE(SUBSTITUTE(SUBSTITUTE(SUBSTITUTE(SUBSTITUTE(SUBSTITUTE(SUBSTITUTE(SUBSTITUTE(ASC(N38&amp;""),"約",""),"程度",""),"ほど",""),"回",""),"毎",""),"週",""),"月",""),"年",""),"日",""),"に",""),"/","")," ","")),""))</f>
        <v/>
      </c>
      <c r="AS38" s="34">
        <f>IF(N38="","",IF(ISNUMBER(N38),N38,IFERROR(VALUE(ASC(N38&amp;"")),IF(AR38&lt;&gt;"",AR38*IF(ISNUMBER(SEARCH("週",N38)),4.3,IF(ISNUMBER(SEARCH("年",N38)),1/12,IF(ISNUMBER(SEARCH("日",N38)),20,1))),IF(ISNUMBER(SEARCH("日",N38)),20,IF(ISNUMBER(SEARCH("週",N38)),4.3,IF(ISNUMBER(SEARCH("月",N38)),1,"")))))))</f>
        <v/>
      </c>
      <c r="AT38" s="34">
        <f>IF(O38="","",IF(ISNUMBER(O38),O38,IFERROR(VALUE(ASC(O38&amp;"")),IF(ISNUMBER(SEARCH("時間",O38)),IFERROR(VALUE(SUBSTITUTE(SUBSTITUTE(SUBSTITUTE(SUBSTITUTE(SUBSTITUTE(ASC(O38&amp;""),"約",""),"程度",""),"ほど",""),"時間","")," ",""))*60,""),IFERROR(VALUE(SUBSTITUTE(SUBSTITUTE(SUBSTITUTE(SUBSTITUTE(SUBSTITUTE(ASC(O38&amp;""),"約",""),"程度",""),"ほど",""),"分","")," ","")),"")))))</f>
        <v/>
      </c>
      <c r="AU38" s="34">
        <f>IF(P38="","",IF(ISNUMBER(P38),P38,IFERROR(VALUE(SUBSTITUTE(SUBSTITUTE(SUBSTITUTE(ASC(P38&amp;""),"約",""),"件","")," ","")),"")))</f>
        <v/>
      </c>
      <c r="AV38" s="34">
        <f>IF(AB38&lt;&gt;"OK","",IF(COUNTIFS($G$5:$G$404,G38&amp;"",$F$5:$F$404,F38&amp;"",$BE$5:$BE$404,BE38&amp;"",$AB$5:$AB$404,"OK")&gt;1,"同名あり",""))</f>
        <v/>
      </c>
      <c r="AW38" s="35">
        <f>IF(Q38="","",IF(ISNUMBER(Q38),Q38,IFERROR(DATEVALUE(SUBSTITUTE(SUBSTITUTE(ASC(Q38&amp;""),"-","/"),".","/")&amp;"/01"),"")))</f>
        <v/>
      </c>
      <c r="AX38" s="35">
        <f>IF(R38="","",IF(ISNUMBER(R38),R38,IFERROR(DATEVALUE(SUBSTITUTE(SUBSTITUTE(ASC(R38&amp;""),"-","/"),".","/")&amp;"/01"),"")))</f>
        <v/>
      </c>
      <c r="AY38" s="34">
        <f>IF(OR(AB38&lt;&gt;"OK",AW38=""),"",IF(AW38&gt;='01_設定'!$C$26,1,0))</f>
        <v/>
      </c>
      <c r="AZ38" s="34">
        <f>IF(AND(AB38="OK",AD38&lt;&gt;"除外"),COUNTIFS($AB$5:AB38,"OK",$AD$5:AD38,"&lt;&gt;除外"),"")</f>
        <v/>
      </c>
      <c r="BA38" s="34">
        <f>IF(OR(AZ38="",AI38=""),"",AI38+ROW()/1000000000)</f>
        <v/>
      </c>
      <c r="BB38" s="34">
        <f>IF(E38="","",IF(OR(TRIM(E38&amp;"")="-",TRIM(E38&amp;"")="－",TRIM(E38&amp;"")="ー"),"",TRIM(E38&amp;"")))</f>
        <v/>
      </c>
      <c r="BC38" s="34">
        <f>IF(AND(AB38="OK",BB38&lt;&gt;""),IF(COUNTIFS($BB$5:BB38,BB38,$AB$5:AB38,"OK")=1,1,""),"")</f>
        <v/>
      </c>
      <c r="BD38" s="34">
        <f>IF(BC38=1,COUNTIF($BC$5:BC38,1),"")</f>
        <v/>
      </c>
      <c r="BE38" s="34">
        <f>IF(BB38="","",IFERROR(INDEX('06_顧客別集計'!$G$5:$G$104,MATCH(BB38,'06_顧客別集計'!$C$5:$C$104,0)),BB38))</f>
        <v/>
      </c>
      <c r="BF38" s="34">
        <f>IF(AND(AZ38&lt;&gt;"",BE38&lt;&gt;""),IF(COUNTIFS($BE$5:BE38,BE38,$AZ$5:AZ38,"&gt;0")=1,1,""),"")</f>
        <v/>
      </c>
      <c r="BG38" s="34">
        <f>IF(BF38=1,COUNTIF($BF$5:BF38,1),"")</f>
        <v/>
      </c>
    </row>
    <row r="39">
      <c r="AB39">
        <f>IF(AND(A39="",G39=""),"",IF(ISNUMBER(SEARCH("##END",AM39)),"（終わりの印）",IF(ISNUMBER(SEARCH("##続き",AM39)),"（続きありの印）",IF(AM39="調査ID","（見出し行）",IF(AND(AM39&lt;&gt;"R1",AM39&lt;&gt;"R2"),"×表以外の行（集計されない）",IF(COUNTIF($AN$5:AN39,AN39)&gt;1,"△重複（集計されない）",IF(G39="","△タスク名なし",IF(ISNA(MATCH(AQ39,'M1_類型マスタ'!$A$5:$A$19,0)),"△類型が不正",IF(OR(AP39="",N(AP39)&lt;1,N(AP39)&gt;6),"△業務区分が不正",IF(OR(AS39="",AT39=""),"△回数・分が読めない",IF(SUMPRODUCT(--ISNUMBER(--T39:Z39))&lt;7,"△採点が足りない",IF(SUMPRODUCT((--T39:Z39&gt;2)+(--T39:Z39&lt;0))&gt;0,"△採点が範囲外","OK"))))))))))))</f>
        <v/>
      </c>
      <c r="AC39">
        <f>IF(AB39&lt;&gt;"OK","",TRIM(IF(AND(AU39&lt;&gt;"",N(AU39)&lt;=1),"根拠1件 ","")&amp;IF(AV39&lt;&gt;"","同名あり ","")&amp;IF(AND(NOT(ISNUMBER(N39)),N39&lt;&gt;""),"回数を換算 ","")&amp;IF(J39="","詳細なし ","")&amp;IF(AND(N(AP39)=1,BB39=""),"顧客名なし ","")))</f>
        <v/>
      </c>
      <c r="AD39" s="31" t="n"/>
      <c r="AE39" s="32" t="n"/>
      <c r="AF39" s="32" t="n"/>
      <c r="AG39" s="31" t="n"/>
      <c r="AH39">
        <f>IF(AB39&lt;&gt;"OK","",IF(AG39&lt;&gt;"",AG39,AJ39))</f>
        <v/>
      </c>
      <c r="AI39" s="33">
        <f>IF(AB39&lt;&gt;"OK","",IFERROR(IF(AE39&lt;&gt;"",AE39,AS39)*IF(AF39&lt;&gt;"",AF39,AT39)/60,""))</f>
        <v/>
      </c>
      <c r="AJ39">
        <f>IF(AB39&lt;&gt;"OK","",IF(OR(VALUE(T39)=2,VALUE(U39)=2,VALUE(V39)=2),"社内残置",IF(AND(VALUE(T39)=0,VALUE(W39)=0,VALUE(Y39)=0),"自動化候補",IF(AND(VALUE(U39)=0,VALUE(W39)&lt;=1,VALUE(X39)&lt;=1,VALUE(Y39)&lt;=1,VALUE(Z39)&lt;=1),"オフショア候補",IF(AND(VALUE(Y39)&lt;=1,VALUE(Z39)&lt;=1),"ニアショア候補","社内で手順化→再評価")))))</f>
        <v/>
      </c>
      <c r="AK39">
        <f>IF(AB39&lt;&gt;"OK","",14-SUMPRODUCT(--T39:Z39))</f>
        <v/>
      </c>
      <c r="AL39" s="33">
        <f>IF(AB39&lt;&gt;"OK","",AS39*AT39/60)</f>
        <v/>
      </c>
      <c r="AM39" s="34">
        <f>IF(A39="","",UPPER(TRIM(ASC(A39&amp;""))))</f>
        <v/>
      </c>
      <c r="AN39" s="34">
        <f>IF(AM39="","",AM39&amp;"-"&amp;B39)</f>
        <v/>
      </c>
      <c r="AO39" s="34">
        <f>IF(C39="","",IFERROR(VALUE(ASC(SUBSTITUTE(C39&amp;"","観点",""))),""))</f>
        <v/>
      </c>
      <c r="AP39" s="34">
        <f>IF(D39="","",IFERROR(VALUE(LEFT(TRIM(ASC(D39&amp;"")),1)),IFERROR(MATCH(TRIM(D39&amp;""),'M2_区分マスタ'!$I$5:$I$10,0),"")))</f>
        <v/>
      </c>
      <c r="AQ39" s="34">
        <f>IF(H39="","",UPPER(LEFT(TRIM(ASC(H39&amp;"")),3)))</f>
        <v/>
      </c>
      <c r="AR39" s="34">
        <f>IF(N39="","",IFERROR(VALUE(SUBSTITUTE(SUBSTITUTE(SUBSTITUTE(SUBSTITUTE(SUBSTITUTE(SUBSTITUTE(SUBSTITUTE(SUBSTITUTE(SUBSTITUTE(SUBSTITUTE(SUBSTITUTE(SUBSTITUTE(ASC(N39&amp;""),"約",""),"程度",""),"ほど",""),"回",""),"毎",""),"週",""),"月",""),"年",""),"日",""),"に",""),"/","")," ","")),""))</f>
        <v/>
      </c>
      <c r="AS39" s="34">
        <f>IF(N39="","",IF(ISNUMBER(N39),N39,IFERROR(VALUE(ASC(N39&amp;"")),IF(AR39&lt;&gt;"",AR39*IF(ISNUMBER(SEARCH("週",N39)),4.3,IF(ISNUMBER(SEARCH("年",N39)),1/12,IF(ISNUMBER(SEARCH("日",N39)),20,1))),IF(ISNUMBER(SEARCH("日",N39)),20,IF(ISNUMBER(SEARCH("週",N39)),4.3,IF(ISNUMBER(SEARCH("月",N39)),1,"")))))))</f>
        <v/>
      </c>
      <c r="AT39" s="34">
        <f>IF(O39="","",IF(ISNUMBER(O39),O39,IFERROR(VALUE(ASC(O39&amp;"")),IF(ISNUMBER(SEARCH("時間",O39)),IFERROR(VALUE(SUBSTITUTE(SUBSTITUTE(SUBSTITUTE(SUBSTITUTE(SUBSTITUTE(ASC(O39&amp;""),"約",""),"程度",""),"ほど",""),"時間","")," ",""))*60,""),IFERROR(VALUE(SUBSTITUTE(SUBSTITUTE(SUBSTITUTE(SUBSTITUTE(SUBSTITUTE(ASC(O39&amp;""),"約",""),"程度",""),"ほど",""),"分","")," ","")),"")))))</f>
        <v/>
      </c>
      <c r="AU39" s="34">
        <f>IF(P39="","",IF(ISNUMBER(P39),P39,IFERROR(VALUE(SUBSTITUTE(SUBSTITUTE(SUBSTITUTE(ASC(P39&amp;""),"約",""),"件","")," ","")),"")))</f>
        <v/>
      </c>
      <c r="AV39" s="34">
        <f>IF(AB39&lt;&gt;"OK","",IF(COUNTIFS($G$5:$G$404,G39&amp;"",$F$5:$F$404,F39&amp;"",$BE$5:$BE$404,BE39&amp;"",$AB$5:$AB$404,"OK")&gt;1,"同名あり",""))</f>
        <v/>
      </c>
      <c r="AW39" s="35">
        <f>IF(Q39="","",IF(ISNUMBER(Q39),Q39,IFERROR(DATEVALUE(SUBSTITUTE(SUBSTITUTE(ASC(Q39&amp;""),"-","/"),".","/")&amp;"/01"),"")))</f>
        <v/>
      </c>
      <c r="AX39" s="35">
        <f>IF(R39="","",IF(ISNUMBER(R39),R39,IFERROR(DATEVALUE(SUBSTITUTE(SUBSTITUTE(ASC(R39&amp;""),"-","/"),".","/")&amp;"/01"),"")))</f>
        <v/>
      </c>
      <c r="AY39" s="34">
        <f>IF(OR(AB39&lt;&gt;"OK",AW39=""),"",IF(AW39&gt;='01_設定'!$C$26,1,0))</f>
        <v/>
      </c>
      <c r="AZ39" s="34">
        <f>IF(AND(AB39="OK",AD39&lt;&gt;"除外"),COUNTIFS($AB$5:AB39,"OK",$AD$5:AD39,"&lt;&gt;除外"),"")</f>
        <v/>
      </c>
      <c r="BA39" s="34">
        <f>IF(OR(AZ39="",AI39=""),"",AI39+ROW()/1000000000)</f>
        <v/>
      </c>
      <c r="BB39" s="34">
        <f>IF(E39="","",IF(OR(TRIM(E39&amp;"")="-",TRIM(E39&amp;"")="－",TRIM(E39&amp;"")="ー"),"",TRIM(E39&amp;"")))</f>
        <v/>
      </c>
      <c r="BC39" s="34">
        <f>IF(AND(AB39="OK",BB39&lt;&gt;""),IF(COUNTIFS($BB$5:BB39,BB39,$AB$5:AB39,"OK")=1,1,""),"")</f>
        <v/>
      </c>
      <c r="BD39" s="34">
        <f>IF(BC39=1,COUNTIF($BC$5:BC39,1),"")</f>
        <v/>
      </c>
      <c r="BE39" s="34">
        <f>IF(BB39="","",IFERROR(INDEX('06_顧客別集計'!$G$5:$G$104,MATCH(BB39,'06_顧客別集計'!$C$5:$C$104,0)),BB39))</f>
        <v/>
      </c>
      <c r="BF39" s="34">
        <f>IF(AND(AZ39&lt;&gt;"",BE39&lt;&gt;""),IF(COUNTIFS($BE$5:BE39,BE39,$AZ$5:AZ39,"&gt;0")=1,1,""),"")</f>
        <v/>
      </c>
      <c r="BG39" s="34">
        <f>IF(BF39=1,COUNTIF($BF$5:BF39,1),"")</f>
        <v/>
      </c>
    </row>
    <row r="40">
      <c r="AB40">
        <f>IF(AND(A40="",G40=""),"",IF(ISNUMBER(SEARCH("##END",AM40)),"（終わりの印）",IF(ISNUMBER(SEARCH("##続き",AM40)),"（続きありの印）",IF(AM40="調査ID","（見出し行）",IF(AND(AM40&lt;&gt;"R1",AM40&lt;&gt;"R2"),"×表以外の行（集計されない）",IF(COUNTIF($AN$5:AN40,AN40)&gt;1,"△重複（集計されない）",IF(G40="","△タスク名なし",IF(ISNA(MATCH(AQ40,'M1_類型マスタ'!$A$5:$A$19,0)),"△類型が不正",IF(OR(AP40="",N(AP40)&lt;1,N(AP40)&gt;6),"△業務区分が不正",IF(OR(AS40="",AT40=""),"△回数・分が読めない",IF(SUMPRODUCT(--ISNUMBER(--T40:Z40))&lt;7,"△採点が足りない",IF(SUMPRODUCT((--T40:Z40&gt;2)+(--T40:Z40&lt;0))&gt;0,"△採点が範囲外","OK"))))))))))))</f>
        <v/>
      </c>
      <c r="AC40">
        <f>IF(AB40&lt;&gt;"OK","",TRIM(IF(AND(AU40&lt;&gt;"",N(AU40)&lt;=1),"根拠1件 ","")&amp;IF(AV40&lt;&gt;"","同名あり ","")&amp;IF(AND(NOT(ISNUMBER(N40)),N40&lt;&gt;""),"回数を換算 ","")&amp;IF(J40="","詳細なし ","")&amp;IF(AND(N(AP40)=1,BB40=""),"顧客名なし ","")))</f>
        <v/>
      </c>
      <c r="AD40" s="31" t="n"/>
      <c r="AE40" s="32" t="n"/>
      <c r="AF40" s="32" t="n"/>
      <c r="AG40" s="31" t="n"/>
      <c r="AH40">
        <f>IF(AB40&lt;&gt;"OK","",IF(AG40&lt;&gt;"",AG40,AJ40))</f>
        <v/>
      </c>
      <c r="AI40" s="33">
        <f>IF(AB40&lt;&gt;"OK","",IFERROR(IF(AE40&lt;&gt;"",AE40,AS40)*IF(AF40&lt;&gt;"",AF40,AT40)/60,""))</f>
        <v/>
      </c>
      <c r="AJ40">
        <f>IF(AB40&lt;&gt;"OK","",IF(OR(VALUE(T40)=2,VALUE(U40)=2,VALUE(V40)=2),"社内残置",IF(AND(VALUE(T40)=0,VALUE(W40)=0,VALUE(Y40)=0),"自動化候補",IF(AND(VALUE(U40)=0,VALUE(W40)&lt;=1,VALUE(X40)&lt;=1,VALUE(Y40)&lt;=1,VALUE(Z40)&lt;=1),"オフショア候補",IF(AND(VALUE(Y40)&lt;=1,VALUE(Z40)&lt;=1),"ニアショア候補","社内で手順化→再評価")))))</f>
        <v/>
      </c>
      <c r="AK40">
        <f>IF(AB40&lt;&gt;"OK","",14-SUMPRODUCT(--T40:Z40))</f>
        <v/>
      </c>
      <c r="AL40" s="33">
        <f>IF(AB40&lt;&gt;"OK","",AS40*AT40/60)</f>
        <v/>
      </c>
      <c r="AM40" s="34">
        <f>IF(A40="","",UPPER(TRIM(ASC(A40&amp;""))))</f>
        <v/>
      </c>
      <c r="AN40" s="34">
        <f>IF(AM40="","",AM40&amp;"-"&amp;B40)</f>
        <v/>
      </c>
      <c r="AO40" s="34">
        <f>IF(C40="","",IFERROR(VALUE(ASC(SUBSTITUTE(C40&amp;"","観点",""))),""))</f>
        <v/>
      </c>
      <c r="AP40" s="34">
        <f>IF(D40="","",IFERROR(VALUE(LEFT(TRIM(ASC(D40&amp;"")),1)),IFERROR(MATCH(TRIM(D40&amp;""),'M2_区分マスタ'!$I$5:$I$10,0),"")))</f>
        <v/>
      </c>
      <c r="AQ40" s="34">
        <f>IF(H40="","",UPPER(LEFT(TRIM(ASC(H40&amp;"")),3)))</f>
        <v/>
      </c>
      <c r="AR40" s="34">
        <f>IF(N40="","",IFERROR(VALUE(SUBSTITUTE(SUBSTITUTE(SUBSTITUTE(SUBSTITUTE(SUBSTITUTE(SUBSTITUTE(SUBSTITUTE(SUBSTITUTE(SUBSTITUTE(SUBSTITUTE(SUBSTITUTE(SUBSTITUTE(ASC(N40&amp;""),"約",""),"程度",""),"ほど",""),"回",""),"毎",""),"週",""),"月",""),"年",""),"日",""),"に",""),"/","")," ","")),""))</f>
        <v/>
      </c>
      <c r="AS40" s="34">
        <f>IF(N40="","",IF(ISNUMBER(N40),N40,IFERROR(VALUE(ASC(N40&amp;"")),IF(AR40&lt;&gt;"",AR40*IF(ISNUMBER(SEARCH("週",N40)),4.3,IF(ISNUMBER(SEARCH("年",N40)),1/12,IF(ISNUMBER(SEARCH("日",N40)),20,1))),IF(ISNUMBER(SEARCH("日",N40)),20,IF(ISNUMBER(SEARCH("週",N40)),4.3,IF(ISNUMBER(SEARCH("月",N40)),1,"")))))))</f>
        <v/>
      </c>
      <c r="AT40" s="34">
        <f>IF(O40="","",IF(ISNUMBER(O40),O40,IFERROR(VALUE(ASC(O40&amp;"")),IF(ISNUMBER(SEARCH("時間",O40)),IFERROR(VALUE(SUBSTITUTE(SUBSTITUTE(SUBSTITUTE(SUBSTITUTE(SUBSTITUTE(ASC(O40&amp;""),"約",""),"程度",""),"ほど",""),"時間","")," ",""))*60,""),IFERROR(VALUE(SUBSTITUTE(SUBSTITUTE(SUBSTITUTE(SUBSTITUTE(SUBSTITUTE(ASC(O40&amp;""),"約",""),"程度",""),"ほど",""),"分","")," ","")),"")))))</f>
        <v/>
      </c>
      <c r="AU40" s="34">
        <f>IF(P40="","",IF(ISNUMBER(P40),P40,IFERROR(VALUE(SUBSTITUTE(SUBSTITUTE(SUBSTITUTE(ASC(P40&amp;""),"約",""),"件","")," ","")),"")))</f>
        <v/>
      </c>
      <c r="AV40" s="34">
        <f>IF(AB40&lt;&gt;"OK","",IF(COUNTIFS($G$5:$G$404,G40&amp;"",$F$5:$F$404,F40&amp;"",$BE$5:$BE$404,BE40&amp;"",$AB$5:$AB$404,"OK")&gt;1,"同名あり",""))</f>
        <v/>
      </c>
      <c r="AW40" s="35">
        <f>IF(Q40="","",IF(ISNUMBER(Q40),Q40,IFERROR(DATEVALUE(SUBSTITUTE(SUBSTITUTE(ASC(Q40&amp;""),"-","/"),".","/")&amp;"/01"),"")))</f>
        <v/>
      </c>
      <c r="AX40" s="35">
        <f>IF(R40="","",IF(ISNUMBER(R40),R40,IFERROR(DATEVALUE(SUBSTITUTE(SUBSTITUTE(ASC(R40&amp;""),"-","/"),".","/")&amp;"/01"),"")))</f>
        <v/>
      </c>
      <c r="AY40" s="34">
        <f>IF(OR(AB40&lt;&gt;"OK",AW40=""),"",IF(AW40&gt;='01_設定'!$C$26,1,0))</f>
        <v/>
      </c>
      <c r="AZ40" s="34">
        <f>IF(AND(AB40="OK",AD40&lt;&gt;"除外"),COUNTIFS($AB$5:AB40,"OK",$AD$5:AD40,"&lt;&gt;除外"),"")</f>
        <v/>
      </c>
      <c r="BA40" s="34">
        <f>IF(OR(AZ40="",AI40=""),"",AI40+ROW()/1000000000)</f>
        <v/>
      </c>
      <c r="BB40" s="34">
        <f>IF(E40="","",IF(OR(TRIM(E40&amp;"")="-",TRIM(E40&amp;"")="－",TRIM(E40&amp;"")="ー"),"",TRIM(E40&amp;"")))</f>
        <v/>
      </c>
      <c r="BC40" s="34">
        <f>IF(AND(AB40="OK",BB40&lt;&gt;""),IF(COUNTIFS($BB$5:BB40,BB40,$AB$5:AB40,"OK")=1,1,""),"")</f>
        <v/>
      </c>
      <c r="BD40" s="34">
        <f>IF(BC40=1,COUNTIF($BC$5:BC40,1),"")</f>
        <v/>
      </c>
      <c r="BE40" s="34">
        <f>IF(BB40="","",IFERROR(INDEX('06_顧客別集計'!$G$5:$G$104,MATCH(BB40,'06_顧客別集計'!$C$5:$C$104,0)),BB40))</f>
        <v/>
      </c>
      <c r="BF40" s="34">
        <f>IF(AND(AZ40&lt;&gt;"",BE40&lt;&gt;""),IF(COUNTIFS($BE$5:BE40,BE40,$AZ$5:AZ40,"&gt;0")=1,1,""),"")</f>
        <v/>
      </c>
      <c r="BG40" s="34">
        <f>IF(BF40=1,COUNTIF($BF$5:BF40,1),"")</f>
        <v/>
      </c>
    </row>
    <row r="41">
      <c r="AB41">
        <f>IF(AND(A41="",G41=""),"",IF(ISNUMBER(SEARCH("##END",AM41)),"（終わりの印）",IF(ISNUMBER(SEARCH("##続き",AM41)),"（続きありの印）",IF(AM41="調査ID","（見出し行）",IF(AND(AM41&lt;&gt;"R1",AM41&lt;&gt;"R2"),"×表以外の行（集計されない）",IF(COUNTIF($AN$5:AN41,AN41)&gt;1,"△重複（集計されない）",IF(G41="","△タスク名なし",IF(ISNA(MATCH(AQ41,'M1_類型マスタ'!$A$5:$A$19,0)),"△類型が不正",IF(OR(AP41="",N(AP41)&lt;1,N(AP41)&gt;6),"△業務区分が不正",IF(OR(AS41="",AT41=""),"△回数・分が読めない",IF(SUMPRODUCT(--ISNUMBER(--T41:Z41))&lt;7,"△採点が足りない",IF(SUMPRODUCT((--T41:Z41&gt;2)+(--T41:Z41&lt;0))&gt;0,"△採点が範囲外","OK"))))))))))))</f>
        <v/>
      </c>
      <c r="AC41">
        <f>IF(AB41&lt;&gt;"OK","",TRIM(IF(AND(AU41&lt;&gt;"",N(AU41)&lt;=1),"根拠1件 ","")&amp;IF(AV41&lt;&gt;"","同名あり ","")&amp;IF(AND(NOT(ISNUMBER(N41)),N41&lt;&gt;""),"回数を換算 ","")&amp;IF(J41="","詳細なし ","")&amp;IF(AND(N(AP41)=1,BB41=""),"顧客名なし ","")))</f>
        <v/>
      </c>
      <c r="AD41" s="31" t="n"/>
      <c r="AE41" s="32" t="n"/>
      <c r="AF41" s="32" t="n"/>
      <c r="AG41" s="31" t="n"/>
      <c r="AH41">
        <f>IF(AB41&lt;&gt;"OK","",IF(AG41&lt;&gt;"",AG41,AJ41))</f>
        <v/>
      </c>
      <c r="AI41" s="33">
        <f>IF(AB41&lt;&gt;"OK","",IFERROR(IF(AE41&lt;&gt;"",AE41,AS41)*IF(AF41&lt;&gt;"",AF41,AT41)/60,""))</f>
        <v/>
      </c>
      <c r="AJ41">
        <f>IF(AB41&lt;&gt;"OK","",IF(OR(VALUE(T41)=2,VALUE(U41)=2,VALUE(V41)=2),"社内残置",IF(AND(VALUE(T41)=0,VALUE(W41)=0,VALUE(Y41)=0),"自動化候補",IF(AND(VALUE(U41)=0,VALUE(W41)&lt;=1,VALUE(X41)&lt;=1,VALUE(Y41)&lt;=1,VALUE(Z41)&lt;=1),"オフショア候補",IF(AND(VALUE(Y41)&lt;=1,VALUE(Z41)&lt;=1),"ニアショア候補","社内で手順化→再評価")))))</f>
        <v/>
      </c>
      <c r="AK41">
        <f>IF(AB41&lt;&gt;"OK","",14-SUMPRODUCT(--T41:Z41))</f>
        <v/>
      </c>
      <c r="AL41" s="33">
        <f>IF(AB41&lt;&gt;"OK","",AS41*AT41/60)</f>
        <v/>
      </c>
      <c r="AM41" s="34">
        <f>IF(A41="","",UPPER(TRIM(ASC(A41&amp;""))))</f>
        <v/>
      </c>
      <c r="AN41" s="34">
        <f>IF(AM41="","",AM41&amp;"-"&amp;B41)</f>
        <v/>
      </c>
      <c r="AO41" s="34">
        <f>IF(C41="","",IFERROR(VALUE(ASC(SUBSTITUTE(C41&amp;"","観点",""))),""))</f>
        <v/>
      </c>
      <c r="AP41" s="34">
        <f>IF(D41="","",IFERROR(VALUE(LEFT(TRIM(ASC(D41&amp;"")),1)),IFERROR(MATCH(TRIM(D41&amp;""),'M2_区分マスタ'!$I$5:$I$10,0),"")))</f>
        <v/>
      </c>
      <c r="AQ41" s="34">
        <f>IF(H41="","",UPPER(LEFT(TRIM(ASC(H41&amp;"")),3)))</f>
        <v/>
      </c>
      <c r="AR41" s="34">
        <f>IF(N41="","",IFERROR(VALUE(SUBSTITUTE(SUBSTITUTE(SUBSTITUTE(SUBSTITUTE(SUBSTITUTE(SUBSTITUTE(SUBSTITUTE(SUBSTITUTE(SUBSTITUTE(SUBSTITUTE(SUBSTITUTE(SUBSTITUTE(ASC(N41&amp;""),"約",""),"程度",""),"ほど",""),"回",""),"毎",""),"週",""),"月",""),"年",""),"日",""),"に",""),"/","")," ","")),""))</f>
        <v/>
      </c>
      <c r="AS41" s="34">
        <f>IF(N41="","",IF(ISNUMBER(N41),N41,IFERROR(VALUE(ASC(N41&amp;"")),IF(AR41&lt;&gt;"",AR41*IF(ISNUMBER(SEARCH("週",N41)),4.3,IF(ISNUMBER(SEARCH("年",N41)),1/12,IF(ISNUMBER(SEARCH("日",N41)),20,1))),IF(ISNUMBER(SEARCH("日",N41)),20,IF(ISNUMBER(SEARCH("週",N41)),4.3,IF(ISNUMBER(SEARCH("月",N41)),1,"")))))))</f>
        <v/>
      </c>
      <c r="AT41" s="34">
        <f>IF(O41="","",IF(ISNUMBER(O41),O41,IFERROR(VALUE(ASC(O41&amp;"")),IF(ISNUMBER(SEARCH("時間",O41)),IFERROR(VALUE(SUBSTITUTE(SUBSTITUTE(SUBSTITUTE(SUBSTITUTE(SUBSTITUTE(ASC(O41&amp;""),"約",""),"程度",""),"ほど",""),"時間","")," ",""))*60,""),IFERROR(VALUE(SUBSTITUTE(SUBSTITUTE(SUBSTITUTE(SUBSTITUTE(SUBSTITUTE(ASC(O41&amp;""),"約",""),"程度",""),"ほど",""),"分","")," ","")),"")))))</f>
        <v/>
      </c>
      <c r="AU41" s="34">
        <f>IF(P41="","",IF(ISNUMBER(P41),P41,IFERROR(VALUE(SUBSTITUTE(SUBSTITUTE(SUBSTITUTE(ASC(P41&amp;""),"約",""),"件","")," ","")),"")))</f>
        <v/>
      </c>
      <c r="AV41" s="34">
        <f>IF(AB41&lt;&gt;"OK","",IF(COUNTIFS($G$5:$G$404,G41&amp;"",$F$5:$F$404,F41&amp;"",$BE$5:$BE$404,BE41&amp;"",$AB$5:$AB$404,"OK")&gt;1,"同名あり",""))</f>
        <v/>
      </c>
      <c r="AW41" s="35">
        <f>IF(Q41="","",IF(ISNUMBER(Q41),Q41,IFERROR(DATEVALUE(SUBSTITUTE(SUBSTITUTE(ASC(Q41&amp;""),"-","/"),".","/")&amp;"/01"),"")))</f>
        <v/>
      </c>
      <c r="AX41" s="35">
        <f>IF(R41="","",IF(ISNUMBER(R41),R41,IFERROR(DATEVALUE(SUBSTITUTE(SUBSTITUTE(ASC(R41&amp;""),"-","/"),".","/")&amp;"/01"),"")))</f>
        <v/>
      </c>
      <c r="AY41" s="34">
        <f>IF(OR(AB41&lt;&gt;"OK",AW41=""),"",IF(AW41&gt;='01_設定'!$C$26,1,0))</f>
        <v/>
      </c>
      <c r="AZ41" s="34">
        <f>IF(AND(AB41="OK",AD41&lt;&gt;"除外"),COUNTIFS($AB$5:AB41,"OK",$AD$5:AD41,"&lt;&gt;除外"),"")</f>
        <v/>
      </c>
      <c r="BA41" s="34">
        <f>IF(OR(AZ41="",AI41=""),"",AI41+ROW()/1000000000)</f>
        <v/>
      </c>
      <c r="BB41" s="34">
        <f>IF(E41="","",IF(OR(TRIM(E41&amp;"")="-",TRIM(E41&amp;"")="－",TRIM(E41&amp;"")="ー"),"",TRIM(E41&amp;"")))</f>
        <v/>
      </c>
      <c r="BC41" s="34">
        <f>IF(AND(AB41="OK",BB41&lt;&gt;""),IF(COUNTIFS($BB$5:BB41,BB41,$AB$5:AB41,"OK")=1,1,""),"")</f>
        <v/>
      </c>
      <c r="BD41" s="34">
        <f>IF(BC41=1,COUNTIF($BC$5:BC41,1),"")</f>
        <v/>
      </c>
      <c r="BE41" s="34">
        <f>IF(BB41="","",IFERROR(INDEX('06_顧客別集計'!$G$5:$G$104,MATCH(BB41,'06_顧客別集計'!$C$5:$C$104,0)),BB41))</f>
        <v/>
      </c>
      <c r="BF41" s="34">
        <f>IF(AND(AZ41&lt;&gt;"",BE41&lt;&gt;""),IF(COUNTIFS($BE$5:BE41,BE41,$AZ$5:AZ41,"&gt;0")=1,1,""),"")</f>
        <v/>
      </c>
      <c r="BG41" s="34">
        <f>IF(BF41=1,COUNTIF($BF$5:BF41,1),"")</f>
        <v/>
      </c>
    </row>
    <row r="42">
      <c r="AB42">
        <f>IF(AND(A42="",G42=""),"",IF(ISNUMBER(SEARCH("##END",AM42)),"（終わりの印）",IF(ISNUMBER(SEARCH("##続き",AM42)),"（続きありの印）",IF(AM42="調査ID","（見出し行）",IF(AND(AM42&lt;&gt;"R1",AM42&lt;&gt;"R2"),"×表以外の行（集計されない）",IF(COUNTIF($AN$5:AN42,AN42)&gt;1,"△重複（集計されない）",IF(G42="","△タスク名なし",IF(ISNA(MATCH(AQ42,'M1_類型マスタ'!$A$5:$A$19,0)),"△類型が不正",IF(OR(AP42="",N(AP42)&lt;1,N(AP42)&gt;6),"△業務区分が不正",IF(OR(AS42="",AT42=""),"△回数・分が読めない",IF(SUMPRODUCT(--ISNUMBER(--T42:Z42))&lt;7,"△採点が足りない",IF(SUMPRODUCT((--T42:Z42&gt;2)+(--T42:Z42&lt;0))&gt;0,"△採点が範囲外","OK"))))))))))))</f>
        <v/>
      </c>
      <c r="AC42">
        <f>IF(AB42&lt;&gt;"OK","",TRIM(IF(AND(AU42&lt;&gt;"",N(AU42)&lt;=1),"根拠1件 ","")&amp;IF(AV42&lt;&gt;"","同名あり ","")&amp;IF(AND(NOT(ISNUMBER(N42)),N42&lt;&gt;""),"回数を換算 ","")&amp;IF(J42="","詳細なし ","")&amp;IF(AND(N(AP42)=1,BB42=""),"顧客名なし ","")))</f>
        <v/>
      </c>
      <c r="AD42" s="31" t="n"/>
      <c r="AE42" s="32" t="n"/>
      <c r="AF42" s="32" t="n"/>
      <c r="AG42" s="31" t="n"/>
      <c r="AH42">
        <f>IF(AB42&lt;&gt;"OK","",IF(AG42&lt;&gt;"",AG42,AJ42))</f>
        <v/>
      </c>
      <c r="AI42" s="33">
        <f>IF(AB42&lt;&gt;"OK","",IFERROR(IF(AE42&lt;&gt;"",AE42,AS42)*IF(AF42&lt;&gt;"",AF42,AT42)/60,""))</f>
        <v/>
      </c>
      <c r="AJ42">
        <f>IF(AB42&lt;&gt;"OK","",IF(OR(VALUE(T42)=2,VALUE(U42)=2,VALUE(V42)=2),"社内残置",IF(AND(VALUE(T42)=0,VALUE(W42)=0,VALUE(Y42)=0),"自動化候補",IF(AND(VALUE(U42)=0,VALUE(W42)&lt;=1,VALUE(X42)&lt;=1,VALUE(Y42)&lt;=1,VALUE(Z42)&lt;=1),"オフショア候補",IF(AND(VALUE(Y42)&lt;=1,VALUE(Z42)&lt;=1),"ニアショア候補","社内で手順化→再評価")))))</f>
        <v/>
      </c>
      <c r="AK42">
        <f>IF(AB42&lt;&gt;"OK","",14-SUMPRODUCT(--T42:Z42))</f>
        <v/>
      </c>
      <c r="AL42" s="33">
        <f>IF(AB42&lt;&gt;"OK","",AS42*AT42/60)</f>
        <v/>
      </c>
      <c r="AM42" s="34">
        <f>IF(A42="","",UPPER(TRIM(ASC(A42&amp;""))))</f>
        <v/>
      </c>
      <c r="AN42" s="34">
        <f>IF(AM42="","",AM42&amp;"-"&amp;B42)</f>
        <v/>
      </c>
      <c r="AO42" s="34">
        <f>IF(C42="","",IFERROR(VALUE(ASC(SUBSTITUTE(C42&amp;"","観点",""))),""))</f>
        <v/>
      </c>
      <c r="AP42" s="34">
        <f>IF(D42="","",IFERROR(VALUE(LEFT(TRIM(ASC(D42&amp;"")),1)),IFERROR(MATCH(TRIM(D42&amp;""),'M2_区分マスタ'!$I$5:$I$10,0),"")))</f>
        <v/>
      </c>
      <c r="AQ42" s="34">
        <f>IF(H42="","",UPPER(LEFT(TRIM(ASC(H42&amp;"")),3)))</f>
        <v/>
      </c>
      <c r="AR42" s="34">
        <f>IF(N42="","",IFERROR(VALUE(SUBSTITUTE(SUBSTITUTE(SUBSTITUTE(SUBSTITUTE(SUBSTITUTE(SUBSTITUTE(SUBSTITUTE(SUBSTITUTE(SUBSTITUTE(SUBSTITUTE(SUBSTITUTE(SUBSTITUTE(ASC(N42&amp;""),"約",""),"程度",""),"ほど",""),"回",""),"毎",""),"週",""),"月",""),"年",""),"日",""),"に",""),"/","")," ","")),""))</f>
        <v/>
      </c>
      <c r="AS42" s="34">
        <f>IF(N42="","",IF(ISNUMBER(N42),N42,IFERROR(VALUE(ASC(N42&amp;"")),IF(AR42&lt;&gt;"",AR42*IF(ISNUMBER(SEARCH("週",N42)),4.3,IF(ISNUMBER(SEARCH("年",N42)),1/12,IF(ISNUMBER(SEARCH("日",N42)),20,1))),IF(ISNUMBER(SEARCH("日",N42)),20,IF(ISNUMBER(SEARCH("週",N42)),4.3,IF(ISNUMBER(SEARCH("月",N42)),1,"")))))))</f>
        <v/>
      </c>
      <c r="AT42" s="34">
        <f>IF(O42="","",IF(ISNUMBER(O42),O42,IFERROR(VALUE(ASC(O42&amp;"")),IF(ISNUMBER(SEARCH("時間",O42)),IFERROR(VALUE(SUBSTITUTE(SUBSTITUTE(SUBSTITUTE(SUBSTITUTE(SUBSTITUTE(ASC(O42&amp;""),"約",""),"程度",""),"ほど",""),"時間","")," ",""))*60,""),IFERROR(VALUE(SUBSTITUTE(SUBSTITUTE(SUBSTITUTE(SUBSTITUTE(SUBSTITUTE(ASC(O42&amp;""),"約",""),"程度",""),"ほど",""),"分","")," ","")),"")))))</f>
        <v/>
      </c>
      <c r="AU42" s="34">
        <f>IF(P42="","",IF(ISNUMBER(P42),P42,IFERROR(VALUE(SUBSTITUTE(SUBSTITUTE(SUBSTITUTE(ASC(P42&amp;""),"約",""),"件","")," ","")),"")))</f>
        <v/>
      </c>
      <c r="AV42" s="34">
        <f>IF(AB42&lt;&gt;"OK","",IF(COUNTIFS($G$5:$G$404,G42&amp;"",$F$5:$F$404,F42&amp;"",$BE$5:$BE$404,BE42&amp;"",$AB$5:$AB$404,"OK")&gt;1,"同名あり",""))</f>
        <v/>
      </c>
      <c r="AW42" s="35">
        <f>IF(Q42="","",IF(ISNUMBER(Q42),Q42,IFERROR(DATEVALUE(SUBSTITUTE(SUBSTITUTE(ASC(Q42&amp;""),"-","/"),".","/")&amp;"/01"),"")))</f>
        <v/>
      </c>
      <c r="AX42" s="35">
        <f>IF(R42="","",IF(ISNUMBER(R42),R42,IFERROR(DATEVALUE(SUBSTITUTE(SUBSTITUTE(ASC(R42&amp;""),"-","/"),".","/")&amp;"/01"),"")))</f>
        <v/>
      </c>
      <c r="AY42" s="34">
        <f>IF(OR(AB42&lt;&gt;"OK",AW42=""),"",IF(AW42&gt;='01_設定'!$C$26,1,0))</f>
        <v/>
      </c>
      <c r="AZ42" s="34">
        <f>IF(AND(AB42="OK",AD42&lt;&gt;"除外"),COUNTIFS($AB$5:AB42,"OK",$AD$5:AD42,"&lt;&gt;除外"),"")</f>
        <v/>
      </c>
      <c r="BA42" s="34">
        <f>IF(OR(AZ42="",AI42=""),"",AI42+ROW()/1000000000)</f>
        <v/>
      </c>
      <c r="BB42" s="34">
        <f>IF(E42="","",IF(OR(TRIM(E42&amp;"")="-",TRIM(E42&amp;"")="－",TRIM(E42&amp;"")="ー"),"",TRIM(E42&amp;"")))</f>
        <v/>
      </c>
      <c r="BC42" s="34">
        <f>IF(AND(AB42="OK",BB42&lt;&gt;""),IF(COUNTIFS($BB$5:BB42,BB42,$AB$5:AB42,"OK")=1,1,""),"")</f>
        <v/>
      </c>
      <c r="BD42" s="34">
        <f>IF(BC42=1,COUNTIF($BC$5:BC42,1),"")</f>
        <v/>
      </c>
      <c r="BE42" s="34">
        <f>IF(BB42="","",IFERROR(INDEX('06_顧客別集計'!$G$5:$G$104,MATCH(BB42,'06_顧客別集計'!$C$5:$C$104,0)),BB42))</f>
        <v/>
      </c>
      <c r="BF42" s="34">
        <f>IF(AND(AZ42&lt;&gt;"",BE42&lt;&gt;""),IF(COUNTIFS($BE$5:BE42,BE42,$AZ$5:AZ42,"&gt;0")=1,1,""),"")</f>
        <v/>
      </c>
      <c r="BG42" s="34">
        <f>IF(BF42=1,COUNTIF($BF$5:BF42,1),"")</f>
        <v/>
      </c>
    </row>
    <row r="43">
      <c r="AB43">
        <f>IF(AND(A43="",G43=""),"",IF(ISNUMBER(SEARCH("##END",AM43)),"（終わりの印）",IF(ISNUMBER(SEARCH("##続き",AM43)),"（続きありの印）",IF(AM43="調査ID","（見出し行）",IF(AND(AM43&lt;&gt;"R1",AM43&lt;&gt;"R2"),"×表以外の行（集計されない）",IF(COUNTIF($AN$5:AN43,AN43)&gt;1,"△重複（集計されない）",IF(G43="","△タスク名なし",IF(ISNA(MATCH(AQ43,'M1_類型マスタ'!$A$5:$A$19,0)),"△類型が不正",IF(OR(AP43="",N(AP43)&lt;1,N(AP43)&gt;6),"△業務区分が不正",IF(OR(AS43="",AT43=""),"△回数・分が読めない",IF(SUMPRODUCT(--ISNUMBER(--T43:Z43))&lt;7,"△採点が足りない",IF(SUMPRODUCT((--T43:Z43&gt;2)+(--T43:Z43&lt;0))&gt;0,"△採点が範囲外","OK"))))))))))))</f>
        <v/>
      </c>
      <c r="AC43">
        <f>IF(AB43&lt;&gt;"OK","",TRIM(IF(AND(AU43&lt;&gt;"",N(AU43)&lt;=1),"根拠1件 ","")&amp;IF(AV43&lt;&gt;"","同名あり ","")&amp;IF(AND(NOT(ISNUMBER(N43)),N43&lt;&gt;""),"回数を換算 ","")&amp;IF(J43="","詳細なし ","")&amp;IF(AND(N(AP43)=1,BB43=""),"顧客名なし ","")))</f>
        <v/>
      </c>
      <c r="AD43" s="31" t="n"/>
      <c r="AE43" s="32" t="n"/>
      <c r="AF43" s="32" t="n"/>
      <c r="AG43" s="31" t="n"/>
      <c r="AH43">
        <f>IF(AB43&lt;&gt;"OK","",IF(AG43&lt;&gt;"",AG43,AJ43))</f>
        <v/>
      </c>
      <c r="AI43" s="33">
        <f>IF(AB43&lt;&gt;"OK","",IFERROR(IF(AE43&lt;&gt;"",AE43,AS43)*IF(AF43&lt;&gt;"",AF43,AT43)/60,""))</f>
        <v/>
      </c>
      <c r="AJ43">
        <f>IF(AB43&lt;&gt;"OK","",IF(OR(VALUE(T43)=2,VALUE(U43)=2,VALUE(V43)=2),"社内残置",IF(AND(VALUE(T43)=0,VALUE(W43)=0,VALUE(Y43)=0),"自動化候補",IF(AND(VALUE(U43)=0,VALUE(W43)&lt;=1,VALUE(X43)&lt;=1,VALUE(Y43)&lt;=1,VALUE(Z43)&lt;=1),"オフショア候補",IF(AND(VALUE(Y43)&lt;=1,VALUE(Z43)&lt;=1),"ニアショア候補","社内で手順化→再評価")))))</f>
        <v/>
      </c>
      <c r="AK43">
        <f>IF(AB43&lt;&gt;"OK","",14-SUMPRODUCT(--T43:Z43))</f>
        <v/>
      </c>
      <c r="AL43" s="33">
        <f>IF(AB43&lt;&gt;"OK","",AS43*AT43/60)</f>
        <v/>
      </c>
      <c r="AM43" s="34">
        <f>IF(A43="","",UPPER(TRIM(ASC(A43&amp;""))))</f>
        <v/>
      </c>
      <c r="AN43" s="34">
        <f>IF(AM43="","",AM43&amp;"-"&amp;B43)</f>
        <v/>
      </c>
      <c r="AO43" s="34">
        <f>IF(C43="","",IFERROR(VALUE(ASC(SUBSTITUTE(C43&amp;"","観点",""))),""))</f>
        <v/>
      </c>
      <c r="AP43" s="34">
        <f>IF(D43="","",IFERROR(VALUE(LEFT(TRIM(ASC(D43&amp;"")),1)),IFERROR(MATCH(TRIM(D43&amp;""),'M2_区分マスタ'!$I$5:$I$10,0),"")))</f>
        <v/>
      </c>
      <c r="AQ43" s="34">
        <f>IF(H43="","",UPPER(LEFT(TRIM(ASC(H43&amp;"")),3)))</f>
        <v/>
      </c>
      <c r="AR43" s="34">
        <f>IF(N43="","",IFERROR(VALUE(SUBSTITUTE(SUBSTITUTE(SUBSTITUTE(SUBSTITUTE(SUBSTITUTE(SUBSTITUTE(SUBSTITUTE(SUBSTITUTE(SUBSTITUTE(SUBSTITUTE(SUBSTITUTE(SUBSTITUTE(ASC(N43&amp;""),"約",""),"程度",""),"ほど",""),"回",""),"毎",""),"週",""),"月",""),"年",""),"日",""),"に",""),"/","")," ","")),""))</f>
        <v/>
      </c>
      <c r="AS43" s="34">
        <f>IF(N43="","",IF(ISNUMBER(N43),N43,IFERROR(VALUE(ASC(N43&amp;"")),IF(AR43&lt;&gt;"",AR43*IF(ISNUMBER(SEARCH("週",N43)),4.3,IF(ISNUMBER(SEARCH("年",N43)),1/12,IF(ISNUMBER(SEARCH("日",N43)),20,1))),IF(ISNUMBER(SEARCH("日",N43)),20,IF(ISNUMBER(SEARCH("週",N43)),4.3,IF(ISNUMBER(SEARCH("月",N43)),1,"")))))))</f>
        <v/>
      </c>
      <c r="AT43" s="34">
        <f>IF(O43="","",IF(ISNUMBER(O43),O43,IFERROR(VALUE(ASC(O43&amp;"")),IF(ISNUMBER(SEARCH("時間",O43)),IFERROR(VALUE(SUBSTITUTE(SUBSTITUTE(SUBSTITUTE(SUBSTITUTE(SUBSTITUTE(ASC(O43&amp;""),"約",""),"程度",""),"ほど",""),"時間","")," ",""))*60,""),IFERROR(VALUE(SUBSTITUTE(SUBSTITUTE(SUBSTITUTE(SUBSTITUTE(SUBSTITUTE(ASC(O43&amp;""),"約",""),"程度",""),"ほど",""),"分","")," ","")),"")))))</f>
        <v/>
      </c>
      <c r="AU43" s="34">
        <f>IF(P43="","",IF(ISNUMBER(P43),P43,IFERROR(VALUE(SUBSTITUTE(SUBSTITUTE(SUBSTITUTE(ASC(P43&amp;""),"約",""),"件","")," ","")),"")))</f>
        <v/>
      </c>
      <c r="AV43" s="34">
        <f>IF(AB43&lt;&gt;"OK","",IF(COUNTIFS($G$5:$G$404,G43&amp;"",$F$5:$F$404,F43&amp;"",$BE$5:$BE$404,BE43&amp;"",$AB$5:$AB$404,"OK")&gt;1,"同名あり",""))</f>
        <v/>
      </c>
      <c r="AW43" s="35">
        <f>IF(Q43="","",IF(ISNUMBER(Q43),Q43,IFERROR(DATEVALUE(SUBSTITUTE(SUBSTITUTE(ASC(Q43&amp;""),"-","/"),".","/")&amp;"/01"),"")))</f>
        <v/>
      </c>
      <c r="AX43" s="35">
        <f>IF(R43="","",IF(ISNUMBER(R43),R43,IFERROR(DATEVALUE(SUBSTITUTE(SUBSTITUTE(ASC(R43&amp;""),"-","/"),".","/")&amp;"/01"),"")))</f>
        <v/>
      </c>
      <c r="AY43" s="34">
        <f>IF(OR(AB43&lt;&gt;"OK",AW43=""),"",IF(AW43&gt;='01_設定'!$C$26,1,0))</f>
        <v/>
      </c>
      <c r="AZ43" s="34">
        <f>IF(AND(AB43="OK",AD43&lt;&gt;"除外"),COUNTIFS($AB$5:AB43,"OK",$AD$5:AD43,"&lt;&gt;除外"),"")</f>
        <v/>
      </c>
      <c r="BA43" s="34">
        <f>IF(OR(AZ43="",AI43=""),"",AI43+ROW()/1000000000)</f>
        <v/>
      </c>
      <c r="BB43" s="34">
        <f>IF(E43="","",IF(OR(TRIM(E43&amp;"")="-",TRIM(E43&amp;"")="－",TRIM(E43&amp;"")="ー"),"",TRIM(E43&amp;"")))</f>
        <v/>
      </c>
      <c r="BC43" s="34">
        <f>IF(AND(AB43="OK",BB43&lt;&gt;""),IF(COUNTIFS($BB$5:BB43,BB43,$AB$5:AB43,"OK")=1,1,""),"")</f>
        <v/>
      </c>
      <c r="BD43" s="34">
        <f>IF(BC43=1,COUNTIF($BC$5:BC43,1),"")</f>
        <v/>
      </c>
      <c r="BE43" s="34">
        <f>IF(BB43="","",IFERROR(INDEX('06_顧客別集計'!$G$5:$G$104,MATCH(BB43,'06_顧客別集計'!$C$5:$C$104,0)),BB43))</f>
        <v/>
      </c>
      <c r="BF43" s="34">
        <f>IF(AND(AZ43&lt;&gt;"",BE43&lt;&gt;""),IF(COUNTIFS($BE$5:BE43,BE43,$AZ$5:AZ43,"&gt;0")=1,1,""),"")</f>
        <v/>
      </c>
      <c r="BG43" s="34">
        <f>IF(BF43=1,COUNTIF($BF$5:BF43,1),"")</f>
        <v/>
      </c>
    </row>
    <row r="44">
      <c r="AB44">
        <f>IF(AND(A44="",G44=""),"",IF(ISNUMBER(SEARCH("##END",AM44)),"（終わりの印）",IF(ISNUMBER(SEARCH("##続き",AM44)),"（続きありの印）",IF(AM44="調査ID","（見出し行）",IF(AND(AM44&lt;&gt;"R1",AM44&lt;&gt;"R2"),"×表以外の行（集計されない）",IF(COUNTIF($AN$5:AN44,AN44)&gt;1,"△重複（集計されない）",IF(G44="","△タスク名なし",IF(ISNA(MATCH(AQ44,'M1_類型マスタ'!$A$5:$A$19,0)),"△類型が不正",IF(OR(AP44="",N(AP44)&lt;1,N(AP44)&gt;6),"△業務区分が不正",IF(OR(AS44="",AT44=""),"△回数・分が読めない",IF(SUMPRODUCT(--ISNUMBER(--T44:Z44))&lt;7,"△採点が足りない",IF(SUMPRODUCT((--T44:Z44&gt;2)+(--T44:Z44&lt;0))&gt;0,"△採点が範囲外","OK"))))))))))))</f>
        <v/>
      </c>
      <c r="AC44">
        <f>IF(AB44&lt;&gt;"OK","",TRIM(IF(AND(AU44&lt;&gt;"",N(AU44)&lt;=1),"根拠1件 ","")&amp;IF(AV44&lt;&gt;"","同名あり ","")&amp;IF(AND(NOT(ISNUMBER(N44)),N44&lt;&gt;""),"回数を換算 ","")&amp;IF(J44="","詳細なし ","")&amp;IF(AND(N(AP44)=1,BB44=""),"顧客名なし ","")))</f>
        <v/>
      </c>
      <c r="AD44" s="31" t="n"/>
      <c r="AE44" s="32" t="n"/>
      <c r="AF44" s="32" t="n"/>
      <c r="AG44" s="31" t="n"/>
      <c r="AH44">
        <f>IF(AB44&lt;&gt;"OK","",IF(AG44&lt;&gt;"",AG44,AJ44))</f>
        <v/>
      </c>
      <c r="AI44" s="33">
        <f>IF(AB44&lt;&gt;"OK","",IFERROR(IF(AE44&lt;&gt;"",AE44,AS44)*IF(AF44&lt;&gt;"",AF44,AT44)/60,""))</f>
        <v/>
      </c>
      <c r="AJ44">
        <f>IF(AB44&lt;&gt;"OK","",IF(OR(VALUE(T44)=2,VALUE(U44)=2,VALUE(V44)=2),"社内残置",IF(AND(VALUE(T44)=0,VALUE(W44)=0,VALUE(Y44)=0),"自動化候補",IF(AND(VALUE(U44)=0,VALUE(W44)&lt;=1,VALUE(X44)&lt;=1,VALUE(Y44)&lt;=1,VALUE(Z44)&lt;=1),"オフショア候補",IF(AND(VALUE(Y44)&lt;=1,VALUE(Z44)&lt;=1),"ニアショア候補","社内で手順化→再評価")))))</f>
        <v/>
      </c>
      <c r="AK44">
        <f>IF(AB44&lt;&gt;"OK","",14-SUMPRODUCT(--T44:Z44))</f>
        <v/>
      </c>
      <c r="AL44" s="33">
        <f>IF(AB44&lt;&gt;"OK","",AS44*AT44/60)</f>
        <v/>
      </c>
      <c r="AM44" s="34">
        <f>IF(A44="","",UPPER(TRIM(ASC(A44&amp;""))))</f>
        <v/>
      </c>
      <c r="AN44" s="34">
        <f>IF(AM44="","",AM44&amp;"-"&amp;B44)</f>
        <v/>
      </c>
      <c r="AO44" s="34">
        <f>IF(C44="","",IFERROR(VALUE(ASC(SUBSTITUTE(C44&amp;"","観点",""))),""))</f>
        <v/>
      </c>
      <c r="AP44" s="34">
        <f>IF(D44="","",IFERROR(VALUE(LEFT(TRIM(ASC(D44&amp;"")),1)),IFERROR(MATCH(TRIM(D44&amp;""),'M2_区分マスタ'!$I$5:$I$10,0),"")))</f>
        <v/>
      </c>
      <c r="AQ44" s="34">
        <f>IF(H44="","",UPPER(LEFT(TRIM(ASC(H44&amp;"")),3)))</f>
        <v/>
      </c>
      <c r="AR44" s="34">
        <f>IF(N44="","",IFERROR(VALUE(SUBSTITUTE(SUBSTITUTE(SUBSTITUTE(SUBSTITUTE(SUBSTITUTE(SUBSTITUTE(SUBSTITUTE(SUBSTITUTE(SUBSTITUTE(SUBSTITUTE(SUBSTITUTE(SUBSTITUTE(ASC(N44&amp;""),"約",""),"程度",""),"ほど",""),"回",""),"毎",""),"週",""),"月",""),"年",""),"日",""),"に",""),"/","")," ","")),""))</f>
        <v/>
      </c>
      <c r="AS44" s="34">
        <f>IF(N44="","",IF(ISNUMBER(N44),N44,IFERROR(VALUE(ASC(N44&amp;"")),IF(AR44&lt;&gt;"",AR44*IF(ISNUMBER(SEARCH("週",N44)),4.3,IF(ISNUMBER(SEARCH("年",N44)),1/12,IF(ISNUMBER(SEARCH("日",N44)),20,1))),IF(ISNUMBER(SEARCH("日",N44)),20,IF(ISNUMBER(SEARCH("週",N44)),4.3,IF(ISNUMBER(SEARCH("月",N44)),1,"")))))))</f>
        <v/>
      </c>
      <c r="AT44" s="34">
        <f>IF(O44="","",IF(ISNUMBER(O44),O44,IFERROR(VALUE(ASC(O44&amp;"")),IF(ISNUMBER(SEARCH("時間",O44)),IFERROR(VALUE(SUBSTITUTE(SUBSTITUTE(SUBSTITUTE(SUBSTITUTE(SUBSTITUTE(ASC(O44&amp;""),"約",""),"程度",""),"ほど",""),"時間","")," ",""))*60,""),IFERROR(VALUE(SUBSTITUTE(SUBSTITUTE(SUBSTITUTE(SUBSTITUTE(SUBSTITUTE(ASC(O44&amp;""),"約",""),"程度",""),"ほど",""),"分","")," ","")),"")))))</f>
        <v/>
      </c>
      <c r="AU44" s="34">
        <f>IF(P44="","",IF(ISNUMBER(P44),P44,IFERROR(VALUE(SUBSTITUTE(SUBSTITUTE(SUBSTITUTE(ASC(P44&amp;""),"約",""),"件","")," ","")),"")))</f>
        <v/>
      </c>
      <c r="AV44" s="34">
        <f>IF(AB44&lt;&gt;"OK","",IF(COUNTIFS($G$5:$G$404,G44&amp;"",$F$5:$F$404,F44&amp;"",$BE$5:$BE$404,BE44&amp;"",$AB$5:$AB$404,"OK")&gt;1,"同名あり",""))</f>
        <v/>
      </c>
      <c r="AW44" s="35">
        <f>IF(Q44="","",IF(ISNUMBER(Q44),Q44,IFERROR(DATEVALUE(SUBSTITUTE(SUBSTITUTE(ASC(Q44&amp;""),"-","/"),".","/")&amp;"/01"),"")))</f>
        <v/>
      </c>
      <c r="AX44" s="35">
        <f>IF(R44="","",IF(ISNUMBER(R44),R44,IFERROR(DATEVALUE(SUBSTITUTE(SUBSTITUTE(ASC(R44&amp;""),"-","/"),".","/")&amp;"/01"),"")))</f>
        <v/>
      </c>
      <c r="AY44" s="34">
        <f>IF(OR(AB44&lt;&gt;"OK",AW44=""),"",IF(AW44&gt;='01_設定'!$C$26,1,0))</f>
        <v/>
      </c>
      <c r="AZ44" s="34">
        <f>IF(AND(AB44="OK",AD44&lt;&gt;"除外"),COUNTIFS($AB$5:AB44,"OK",$AD$5:AD44,"&lt;&gt;除外"),"")</f>
        <v/>
      </c>
      <c r="BA44" s="34">
        <f>IF(OR(AZ44="",AI44=""),"",AI44+ROW()/1000000000)</f>
        <v/>
      </c>
      <c r="BB44" s="34">
        <f>IF(E44="","",IF(OR(TRIM(E44&amp;"")="-",TRIM(E44&amp;"")="－",TRIM(E44&amp;"")="ー"),"",TRIM(E44&amp;"")))</f>
        <v/>
      </c>
      <c r="BC44" s="34">
        <f>IF(AND(AB44="OK",BB44&lt;&gt;""),IF(COUNTIFS($BB$5:BB44,BB44,$AB$5:AB44,"OK")=1,1,""),"")</f>
        <v/>
      </c>
      <c r="BD44" s="34">
        <f>IF(BC44=1,COUNTIF($BC$5:BC44,1),"")</f>
        <v/>
      </c>
      <c r="BE44" s="34">
        <f>IF(BB44="","",IFERROR(INDEX('06_顧客別集計'!$G$5:$G$104,MATCH(BB44,'06_顧客別集計'!$C$5:$C$104,0)),BB44))</f>
        <v/>
      </c>
      <c r="BF44" s="34">
        <f>IF(AND(AZ44&lt;&gt;"",BE44&lt;&gt;""),IF(COUNTIFS($BE$5:BE44,BE44,$AZ$5:AZ44,"&gt;0")=1,1,""),"")</f>
        <v/>
      </c>
      <c r="BG44" s="34">
        <f>IF(BF44=1,COUNTIF($BF$5:BF44,1),"")</f>
        <v/>
      </c>
    </row>
    <row r="45">
      <c r="AB45">
        <f>IF(AND(A45="",G45=""),"",IF(ISNUMBER(SEARCH("##END",AM45)),"（終わりの印）",IF(ISNUMBER(SEARCH("##続き",AM45)),"（続きありの印）",IF(AM45="調査ID","（見出し行）",IF(AND(AM45&lt;&gt;"R1",AM45&lt;&gt;"R2"),"×表以外の行（集計されない）",IF(COUNTIF($AN$5:AN45,AN45)&gt;1,"△重複（集計されない）",IF(G45="","△タスク名なし",IF(ISNA(MATCH(AQ45,'M1_類型マスタ'!$A$5:$A$19,0)),"△類型が不正",IF(OR(AP45="",N(AP45)&lt;1,N(AP45)&gt;6),"△業務区分が不正",IF(OR(AS45="",AT45=""),"△回数・分が読めない",IF(SUMPRODUCT(--ISNUMBER(--T45:Z45))&lt;7,"△採点が足りない",IF(SUMPRODUCT((--T45:Z45&gt;2)+(--T45:Z45&lt;0))&gt;0,"△採点が範囲外","OK"))))))))))))</f>
        <v/>
      </c>
      <c r="AC45">
        <f>IF(AB45&lt;&gt;"OK","",TRIM(IF(AND(AU45&lt;&gt;"",N(AU45)&lt;=1),"根拠1件 ","")&amp;IF(AV45&lt;&gt;"","同名あり ","")&amp;IF(AND(NOT(ISNUMBER(N45)),N45&lt;&gt;""),"回数を換算 ","")&amp;IF(J45="","詳細なし ","")&amp;IF(AND(N(AP45)=1,BB45=""),"顧客名なし ","")))</f>
        <v/>
      </c>
      <c r="AD45" s="31" t="n"/>
      <c r="AE45" s="32" t="n"/>
      <c r="AF45" s="32" t="n"/>
      <c r="AG45" s="31" t="n"/>
      <c r="AH45">
        <f>IF(AB45&lt;&gt;"OK","",IF(AG45&lt;&gt;"",AG45,AJ45))</f>
        <v/>
      </c>
      <c r="AI45" s="33">
        <f>IF(AB45&lt;&gt;"OK","",IFERROR(IF(AE45&lt;&gt;"",AE45,AS45)*IF(AF45&lt;&gt;"",AF45,AT45)/60,""))</f>
        <v/>
      </c>
      <c r="AJ45">
        <f>IF(AB45&lt;&gt;"OK","",IF(OR(VALUE(T45)=2,VALUE(U45)=2,VALUE(V45)=2),"社内残置",IF(AND(VALUE(T45)=0,VALUE(W45)=0,VALUE(Y45)=0),"自動化候補",IF(AND(VALUE(U45)=0,VALUE(W45)&lt;=1,VALUE(X45)&lt;=1,VALUE(Y45)&lt;=1,VALUE(Z45)&lt;=1),"オフショア候補",IF(AND(VALUE(Y45)&lt;=1,VALUE(Z45)&lt;=1),"ニアショア候補","社内で手順化→再評価")))))</f>
        <v/>
      </c>
      <c r="AK45">
        <f>IF(AB45&lt;&gt;"OK","",14-SUMPRODUCT(--T45:Z45))</f>
        <v/>
      </c>
      <c r="AL45" s="33">
        <f>IF(AB45&lt;&gt;"OK","",AS45*AT45/60)</f>
        <v/>
      </c>
      <c r="AM45" s="34">
        <f>IF(A45="","",UPPER(TRIM(ASC(A45&amp;""))))</f>
        <v/>
      </c>
      <c r="AN45" s="34">
        <f>IF(AM45="","",AM45&amp;"-"&amp;B45)</f>
        <v/>
      </c>
      <c r="AO45" s="34">
        <f>IF(C45="","",IFERROR(VALUE(ASC(SUBSTITUTE(C45&amp;"","観点",""))),""))</f>
        <v/>
      </c>
      <c r="AP45" s="34">
        <f>IF(D45="","",IFERROR(VALUE(LEFT(TRIM(ASC(D45&amp;"")),1)),IFERROR(MATCH(TRIM(D45&amp;""),'M2_区分マスタ'!$I$5:$I$10,0),"")))</f>
        <v/>
      </c>
      <c r="AQ45" s="34">
        <f>IF(H45="","",UPPER(LEFT(TRIM(ASC(H45&amp;"")),3)))</f>
        <v/>
      </c>
      <c r="AR45" s="34">
        <f>IF(N45="","",IFERROR(VALUE(SUBSTITUTE(SUBSTITUTE(SUBSTITUTE(SUBSTITUTE(SUBSTITUTE(SUBSTITUTE(SUBSTITUTE(SUBSTITUTE(SUBSTITUTE(SUBSTITUTE(SUBSTITUTE(SUBSTITUTE(ASC(N45&amp;""),"約",""),"程度",""),"ほど",""),"回",""),"毎",""),"週",""),"月",""),"年",""),"日",""),"に",""),"/","")," ","")),""))</f>
        <v/>
      </c>
      <c r="AS45" s="34">
        <f>IF(N45="","",IF(ISNUMBER(N45),N45,IFERROR(VALUE(ASC(N45&amp;"")),IF(AR45&lt;&gt;"",AR45*IF(ISNUMBER(SEARCH("週",N45)),4.3,IF(ISNUMBER(SEARCH("年",N45)),1/12,IF(ISNUMBER(SEARCH("日",N45)),20,1))),IF(ISNUMBER(SEARCH("日",N45)),20,IF(ISNUMBER(SEARCH("週",N45)),4.3,IF(ISNUMBER(SEARCH("月",N45)),1,"")))))))</f>
        <v/>
      </c>
      <c r="AT45" s="34">
        <f>IF(O45="","",IF(ISNUMBER(O45),O45,IFERROR(VALUE(ASC(O45&amp;"")),IF(ISNUMBER(SEARCH("時間",O45)),IFERROR(VALUE(SUBSTITUTE(SUBSTITUTE(SUBSTITUTE(SUBSTITUTE(SUBSTITUTE(ASC(O45&amp;""),"約",""),"程度",""),"ほど",""),"時間","")," ",""))*60,""),IFERROR(VALUE(SUBSTITUTE(SUBSTITUTE(SUBSTITUTE(SUBSTITUTE(SUBSTITUTE(ASC(O45&amp;""),"約",""),"程度",""),"ほど",""),"分","")," ","")),"")))))</f>
        <v/>
      </c>
      <c r="AU45" s="34">
        <f>IF(P45="","",IF(ISNUMBER(P45),P45,IFERROR(VALUE(SUBSTITUTE(SUBSTITUTE(SUBSTITUTE(ASC(P45&amp;""),"約",""),"件","")," ","")),"")))</f>
        <v/>
      </c>
      <c r="AV45" s="34">
        <f>IF(AB45&lt;&gt;"OK","",IF(COUNTIFS($G$5:$G$404,G45&amp;"",$F$5:$F$404,F45&amp;"",$BE$5:$BE$404,BE45&amp;"",$AB$5:$AB$404,"OK")&gt;1,"同名あり",""))</f>
        <v/>
      </c>
      <c r="AW45" s="35">
        <f>IF(Q45="","",IF(ISNUMBER(Q45),Q45,IFERROR(DATEVALUE(SUBSTITUTE(SUBSTITUTE(ASC(Q45&amp;""),"-","/"),".","/")&amp;"/01"),"")))</f>
        <v/>
      </c>
      <c r="AX45" s="35">
        <f>IF(R45="","",IF(ISNUMBER(R45),R45,IFERROR(DATEVALUE(SUBSTITUTE(SUBSTITUTE(ASC(R45&amp;""),"-","/"),".","/")&amp;"/01"),"")))</f>
        <v/>
      </c>
      <c r="AY45" s="34">
        <f>IF(OR(AB45&lt;&gt;"OK",AW45=""),"",IF(AW45&gt;='01_設定'!$C$26,1,0))</f>
        <v/>
      </c>
      <c r="AZ45" s="34">
        <f>IF(AND(AB45="OK",AD45&lt;&gt;"除外"),COUNTIFS($AB$5:AB45,"OK",$AD$5:AD45,"&lt;&gt;除外"),"")</f>
        <v/>
      </c>
      <c r="BA45" s="34">
        <f>IF(OR(AZ45="",AI45=""),"",AI45+ROW()/1000000000)</f>
        <v/>
      </c>
      <c r="BB45" s="34">
        <f>IF(E45="","",IF(OR(TRIM(E45&amp;"")="-",TRIM(E45&amp;"")="－",TRIM(E45&amp;"")="ー"),"",TRIM(E45&amp;"")))</f>
        <v/>
      </c>
      <c r="BC45" s="34">
        <f>IF(AND(AB45="OK",BB45&lt;&gt;""),IF(COUNTIFS($BB$5:BB45,BB45,$AB$5:AB45,"OK")=1,1,""),"")</f>
        <v/>
      </c>
      <c r="BD45" s="34">
        <f>IF(BC45=1,COUNTIF($BC$5:BC45,1),"")</f>
        <v/>
      </c>
      <c r="BE45" s="34">
        <f>IF(BB45="","",IFERROR(INDEX('06_顧客別集計'!$G$5:$G$104,MATCH(BB45,'06_顧客別集計'!$C$5:$C$104,0)),BB45))</f>
        <v/>
      </c>
      <c r="BF45" s="34">
        <f>IF(AND(AZ45&lt;&gt;"",BE45&lt;&gt;""),IF(COUNTIFS($BE$5:BE45,BE45,$AZ$5:AZ45,"&gt;0")=1,1,""),"")</f>
        <v/>
      </c>
      <c r="BG45" s="34">
        <f>IF(BF45=1,COUNTIF($BF$5:BF45,1),"")</f>
        <v/>
      </c>
    </row>
    <row r="46">
      <c r="AB46">
        <f>IF(AND(A46="",G46=""),"",IF(ISNUMBER(SEARCH("##END",AM46)),"（終わりの印）",IF(ISNUMBER(SEARCH("##続き",AM46)),"（続きありの印）",IF(AM46="調査ID","（見出し行）",IF(AND(AM46&lt;&gt;"R1",AM46&lt;&gt;"R2"),"×表以外の行（集計されない）",IF(COUNTIF($AN$5:AN46,AN46)&gt;1,"△重複（集計されない）",IF(G46="","△タスク名なし",IF(ISNA(MATCH(AQ46,'M1_類型マスタ'!$A$5:$A$19,0)),"△類型が不正",IF(OR(AP46="",N(AP46)&lt;1,N(AP46)&gt;6),"△業務区分が不正",IF(OR(AS46="",AT46=""),"△回数・分が読めない",IF(SUMPRODUCT(--ISNUMBER(--T46:Z46))&lt;7,"△採点が足りない",IF(SUMPRODUCT((--T46:Z46&gt;2)+(--T46:Z46&lt;0))&gt;0,"△採点が範囲外","OK"))))))))))))</f>
        <v/>
      </c>
      <c r="AC46">
        <f>IF(AB46&lt;&gt;"OK","",TRIM(IF(AND(AU46&lt;&gt;"",N(AU46)&lt;=1),"根拠1件 ","")&amp;IF(AV46&lt;&gt;"","同名あり ","")&amp;IF(AND(NOT(ISNUMBER(N46)),N46&lt;&gt;""),"回数を換算 ","")&amp;IF(J46="","詳細なし ","")&amp;IF(AND(N(AP46)=1,BB46=""),"顧客名なし ","")))</f>
        <v/>
      </c>
      <c r="AD46" s="31" t="n"/>
      <c r="AE46" s="32" t="n"/>
      <c r="AF46" s="32" t="n"/>
      <c r="AG46" s="31" t="n"/>
      <c r="AH46">
        <f>IF(AB46&lt;&gt;"OK","",IF(AG46&lt;&gt;"",AG46,AJ46))</f>
        <v/>
      </c>
      <c r="AI46" s="33">
        <f>IF(AB46&lt;&gt;"OK","",IFERROR(IF(AE46&lt;&gt;"",AE46,AS46)*IF(AF46&lt;&gt;"",AF46,AT46)/60,""))</f>
        <v/>
      </c>
      <c r="AJ46">
        <f>IF(AB46&lt;&gt;"OK","",IF(OR(VALUE(T46)=2,VALUE(U46)=2,VALUE(V46)=2),"社内残置",IF(AND(VALUE(T46)=0,VALUE(W46)=0,VALUE(Y46)=0),"自動化候補",IF(AND(VALUE(U46)=0,VALUE(W46)&lt;=1,VALUE(X46)&lt;=1,VALUE(Y46)&lt;=1,VALUE(Z46)&lt;=1),"オフショア候補",IF(AND(VALUE(Y46)&lt;=1,VALUE(Z46)&lt;=1),"ニアショア候補","社内で手順化→再評価")))))</f>
        <v/>
      </c>
      <c r="AK46">
        <f>IF(AB46&lt;&gt;"OK","",14-SUMPRODUCT(--T46:Z46))</f>
        <v/>
      </c>
      <c r="AL46" s="33">
        <f>IF(AB46&lt;&gt;"OK","",AS46*AT46/60)</f>
        <v/>
      </c>
      <c r="AM46" s="34">
        <f>IF(A46="","",UPPER(TRIM(ASC(A46&amp;""))))</f>
        <v/>
      </c>
      <c r="AN46" s="34">
        <f>IF(AM46="","",AM46&amp;"-"&amp;B46)</f>
        <v/>
      </c>
      <c r="AO46" s="34">
        <f>IF(C46="","",IFERROR(VALUE(ASC(SUBSTITUTE(C46&amp;"","観点",""))),""))</f>
        <v/>
      </c>
      <c r="AP46" s="34">
        <f>IF(D46="","",IFERROR(VALUE(LEFT(TRIM(ASC(D46&amp;"")),1)),IFERROR(MATCH(TRIM(D46&amp;""),'M2_区分マスタ'!$I$5:$I$10,0),"")))</f>
        <v/>
      </c>
      <c r="AQ46" s="34">
        <f>IF(H46="","",UPPER(LEFT(TRIM(ASC(H46&amp;"")),3)))</f>
        <v/>
      </c>
      <c r="AR46" s="34">
        <f>IF(N46="","",IFERROR(VALUE(SUBSTITUTE(SUBSTITUTE(SUBSTITUTE(SUBSTITUTE(SUBSTITUTE(SUBSTITUTE(SUBSTITUTE(SUBSTITUTE(SUBSTITUTE(SUBSTITUTE(SUBSTITUTE(SUBSTITUTE(ASC(N46&amp;""),"約",""),"程度",""),"ほど",""),"回",""),"毎",""),"週",""),"月",""),"年",""),"日",""),"に",""),"/","")," ","")),""))</f>
        <v/>
      </c>
      <c r="AS46" s="34">
        <f>IF(N46="","",IF(ISNUMBER(N46),N46,IFERROR(VALUE(ASC(N46&amp;"")),IF(AR46&lt;&gt;"",AR46*IF(ISNUMBER(SEARCH("週",N46)),4.3,IF(ISNUMBER(SEARCH("年",N46)),1/12,IF(ISNUMBER(SEARCH("日",N46)),20,1))),IF(ISNUMBER(SEARCH("日",N46)),20,IF(ISNUMBER(SEARCH("週",N46)),4.3,IF(ISNUMBER(SEARCH("月",N46)),1,"")))))))</f>
        <v/>
      </c>
      <c r="AT46" s="34">
        <f>IF(O46="","",IF(ISNUMBER(O46),O46,IFERROR(VALUE(ASC(O46&amp;"")),IF(ISNUMBER(SEARCH("時間",O46)),IFERROR(VALUE(SUBSTITUTE(SUBSTITUTE(SUBSTITUTE(SUBSTITUTE(SUBSTITUTE(ASC(O46&amp;""),"約",""),"程度",""),"ほど",""),"時間","")," ",""))*60,""),IFERROR(VALUE(SUBSTITUTE(SUBSTITUTE(SUBSTITUTE(SUBSTITUTE(SUBSTITUTE(ASC(O46&amp;""),"約",""),"程度",""),"ほど",""),"分","")," ","")),"")))))</f>
        <v/>
      </c>
      <c r="AU46" s="34">
        <f>IF(P46="","",IF(ISNUMBER(P46),P46,IFERROR(VALUE(SUBSTITUTE(SUBSTITUTE(SUBSTITUTE(ASC(P46&amp;""),"約",""),"件","")," ","")),"")))</f>
        <v/>
      </c>
      <c r="AV46" s="34">
        <f>IF(AB46&lt;&gt;"OK","",IF(COUNTIFS($G$5:$G$404,G46&amp;"",$F$5:$F$404,F46&amp;"",$BE$5:$BE$404,BE46&amp;"",$AB$5:$AB$404,"OK")&gt;1,"同名あり",""))</f>
        <v/>
      </c>
      <c r="AW46" s="35">
        <f>IF(Q46="","",IF(ISNUMBER(Q46),Q46,IFERROR(DATEVALUE(SUBSTITUTE(SUBSTITUTE(ASC(Q46&amp;""),"-","/"),".","/")&amp;"/01"),"")))</f>
        <v/>
      </c>
      <c r="AX46" s="35">
        <f>IF(R46="","",IF(ISNUMBER(R46),R46,IFERROR(DATEVALUE(SUBSTITUTE(SUBSTITUTE(ASC(R46&amp;""),"-","/"),".","/")&amp;"/01"),"")))</f>
        <v/>
      </c>
      <c r="AY46" s="34">
        <f>IF(OR(AB46&lt;&gt;"OK",AW46=""),"",IF(AW46&gt;='01_設定'!$C$26,1,0))</f>
        <v/>
      </c>
      <c r="AZ46" s="34">
        <f>IF(AND(AB46="OK",AD46&lt;&gt;"除外"),COUNTIFS($AB$5:AB46,"OK",$AD$5:AD46,"&lt;&gt;除外"),"")</f>
        <v/>
      </c>
      <c r="BA46" s="34">
        <f>IF(OR(AZ46="",AI46=""),"",AI46+ROW()/1000000000)</f>
        <v/>
      </c>
      <c r="BB46" s="34">
        <f>IF(E46="","",IF(OR(TRIM(E46&amp;"")="-",TRIM(E46&amp;"")="－",TRIM(E46&amp;"")="ー"),"",TRIM(E46&amp;"")))</f>
        <v/>
      </c>
      <c r="BC46" s="34">
        <f>IF(AND(AB46="OK",BB46&lt;&gt;""),IF(COUNTIFS($BB$5:BB46,BB46,$AB$5:AB46,"OK")=1,1,""),"")</f>
        <v/>
      </c>
      <c r="BD46" s="34">
        <f>IF(BC46=1,COUNTIF($BC$5:BC46,1),"")</f>
        <v/>
      </c>
      <c r="BE46" s="34">
        <f>IF(BB46="","",IFERROR(INDEX('06_顧客別集計'!$G$5:$G$104,MATCH(BB46,'06_顧客別集計'!$C$5:$C$104,0)),BB46))</f>
        <v/>
      </c>
      <c r="BF46" s="34">
        <f>IF(AND(AZ46&lt;&gt;"",BE46&lt;&gt;""),IF(COUNTIFS($BE$5:BE46,BE46,$AZ$5:AZ46,"&gt;0")=1,1,""),"")</f>
        <v/>
      </c>
      <c r="BG46" s="34">
        <f>IF(BF46=1,COUNTIF($BF$5:BF46,1),"")</f>
        <v/>
      </c>
    </row>
    <row r="47">
      <c r="AB47">
        <f>IF(AND(A47="",G47=""),"",IF(ISNUMBER(SEARCH("##END",AM47)),"（終わりの印）",IF(ISNUMBER(SEARCH("##続き",AM47)),"（続きありの印）",IF(AM47="調査ID","（見出し行）",IF(AND(AM47&lt;&gt;"R1",AM47&lt;&gt;"R2"),"×表以外の行（集計されない）",IF(COUNTIF($AN$5:AN47,AN47)&gt;1,"△重複（集計されない）",IF(G47="","△タスク名なし",IF(ISNA(MATCH(AQ47,'M1_類型マスタ'!$A$5:$A$19,0)),"△類型が不正",IF(OR(AP47="",N(AP47)&lt;1,N(AP47)&gt;6),"△業務区分が不正",IF(OR(AS47="",AT47=""),"△回数・分が読めない",IF(SUMPRODUCT(--ISNUMBER(--T47:Z47))&lt;7,"△採点が足りない",IF(SUMPRODUCT((--T47:Z47&gt;2)+(--T47:Z47&lt;0))&gt;0,"△採点が範囲外","OK"))))))))))))</f>
        <v/>
      </c>
      <c r="AC47">
        <f>IF(AB47&lt;&gt;"OK","",TRIM(IF(AND(AU47&lt;&gt;"",N(AU47)&lt;=1),"根拠1件 ","")&amp;IF(AV47&lt;&gt;"","同名あり ","")&amp;IF(AND(NOT(ISNUMBER(N47)),N47&lt;&gt;""),"回数を換算 ","")&amp;IF(J47="","詳細なし ","")&amp;IF(AND(N(AP47)=1,BB47=""),"顧客名なし ","")))</f>
        <v/>
      </c>
      <c r="AD47" s="31" t="n"/>
      <c r="AE47" s="32" t="n"/>
      <c r="AF47" s="32" t="n"/>
      <c r="AG47" s="31" t="n"/>
      <c r="AH47">
        <f>IF(AB47&lt;&gt;"OK","",IF(AG47&lt;&gt;"",AG47,AJ47))</f>
        <v/>
      </c>
      <c r="AI47" s="33">
        <f>IF(AB47&lt;&gt;"OK","",IFERROR(IF(AE47&lt;&gt;"",AE47,AS47)*IF(AF47&lt;&gt;"",AF47,AT47)/60,""))</f>
        <v/>
      </c>
      <c r="AJ47">
        <f>IF(AB47&lt;&gt;"OK","",IF(OR(VALUE(T47)=2,VALUE(U47)=2,VALUE(V47)=2),"社内残置",IF(AND(VALUE(T47)=0,VALUE(W47)=0,VALUE(Y47)=0),"自動化候補",IF(AND(VALUE(U47)=0,VALUE(W47)&lt;=1,VALUE(X47)&lt;=1,VALUE(Y47)&lt;=1,VALUE(Z47)&lt;=1),"オフショア候補",IF(AND(VALUE(Y47)&lt;=1,VALUE(Z47)&lt;=1),"ニアショア候補","社内で手順化→再評価")))))</f>
        <v/>
      </c>
      <c r="AK47">
        <f>IF(AB47&lt;&gt;"OK","",14-SUMPRODUCT(--T47:Z47))</f>
        <v/>
      </c>
      <c r="AL47" s="33">
        <f>IF(AB47&lt;&gt;"OK","",AS47*AT47/60)</f>
        <v/>
      </c>
      <c r="AM47" s="34">
        <f>IF(A47="","",UPPER(TRIM(ASC(A47&amp;""))))</f>
        <v/>
      </c>
      <c r="AN47" s="34">
        <f>IF(AM47="","",AM47&amp;"-"&amp;B47)</f>
        <v/>
      </c>
      <c r="AO47" s="34">
        <f>IF(C47="","",IFERROR(VALUE(ASC(SUBSTITUTE(C47&amp;"","観点",""))),""))</f>
        <v/>
      </c>
      <c r="AP47" s="34">
        <f>IF(D47="","",IFERROR(VALUE(LEFT(TRIM(ASC(D47&amp;"")),1)),IFERROR(MATCH(TRIM(D47&amp;""),'M2_区分マスタ'!$I$5:$I$10,0),"")))</f>
        <v/>
      </c>
      <c r="AQ47" s="34">
        <f>IF(H47="","",UPPER(LEFT(TRIM(ASC(H47&amp;"")),3)))</f>
        <v/>
      </c>
      <c r="AR47" s="34">
        <f>IF(N47="","",IFERROR(VALUE(SUBSTITUTE(SUBSTITUTE(SUBSTITUTE(SUBSTITUTE(SUBSTITUTE(SUBSTITUTE(SUBSTITUTE(SUBSTITUTE(SUBSTITUTE(SUBSTITUTE(SUBSTITUTE(SUBSTITUTE(ASC(N47&amp;""),"約",""),"程度",""),"ほど",""),"回",""),"毎",""),"週",""),"月",""),"年",""),"日",""),"に",""),"/","")," ","")),""))</f>
        <v/>
      </c>
      <c r="AS47" s="34">
        <f>IF(N47="","",IF(ISNUMBER(N47),N47,IFERROR(VALUE(ASC(N47&amp;"")),IF(AR47&lt;&gt;"",AR47*IF(ISNUMBER(SEARCH("週",N47)),4.3,IF(ISNUMBER(SEARCH("年",N47)),1/12,IF(ISNUMBER(SEARCH("日",N47)),20,1))),IF(ISNUMBER(SEARCH("日",N47)),20,IF(ISNUMBER(SEARCH("週",N47)),4.3,IF(ISNUMBER(SEARCH("月",N47)),1,"")))))))</f>
        <v/>
      </c>
      <c r="AT47" s="34">
        <f>IF(O47="","",IF(ISNUMBER(O47),O47,IFERROR(VALUE(ASC(O47&amp;"")),IF(ISNUMBER(SEARCH("時間",O47)),IFERROR(VALUE(SUBSTITUTE(SUBSTITUTE(SUBSTITUTE(SUBSTITUTE(SUBSTITUTE(ASC(O47&amp;""),"約",""),"程度",""),"ほど",""),"時間","")," ",""))*60,""),IFERROR(VALUE(SUBSTITUTE(SUBSTITUTE(SUBSTITUTE(SUBSTITUTE(SUBSTITUTE(ASC(O47&amp;""),"約",""),"程度",""),"ほど",""),"分","")," ","")),"")))))</f>
        <v/>
      </c>
      <c r="AU47" s="34">
        <f>IF(P47="","",IF(ISNUMBER(P47),P47,IFERROR(VALUE(SUBSTITUTE(SUBSTITUTE(SUBSTITUTE(ASC(P47&amp;""),"約",""),"件","")," ","")),"")))</f>
        <v/>
      </c>
      <c r="AV47" s="34">
        <f>IF(AB47&lt;&gt;"OK","",IF(COUNTIFS($G$5:$G$404,G47&amp;"",$F$5:$F$404,F47&amp;"",$BE$5:$BE$404,BE47&amp;"",$AB$5:$AB$404,"OK")&gt;1,"同名あり",""))</f>
        <v/>
      </c>
      <c r="AW47" s="35">
        <f>IF(Q47="","",IF(ISNUMBER(Q47),Q47,IFERROR(DATEVALUE(SUBSTITUTE(SUBSTITUTE(ASC(Q47&amp;""),"-","/"),".","/")&amp;"/01"),"")))</f>
        <v/>
      </c>
      <c r="AX47" s="35">
        <f>IF(R47="","",IF(ISNUMBER(R47),R47,IFERROR(DATEVALUE(SUBSTITUTE(SUBSTITUTE(ASC(R47&amp;""),"-","/"),".","/")&amp;"/01"),"")))</f>
        <v/>
      </c>
      <c r="AY47" s="34">
        <f>IF(OR(AB47&lt;&gt;"OK",AW47=""),"",IF(AW47&gt;='01_設定'!$C$26,1,0))</f>
        <v/>
      </c>
      <c r="AZ47" s="34">
        <f>IF(AND(AB47="OK",AD47&lt;&gt;"除外"),COUNTIFS($AB$5:AB47,"OK",$AD$5:AD47,"&lt;&gt;除外"),"")</f>
        <v/>
      </c>
      <c r="BA47" s="34">
        <f>IF(OR(AZ47="",AI47=""),"",AI47+ROW()/1000000000)</f>
        <v/>
      </c>
      <c r="BB47" s="34">
        <f>IF(E47="","",IF(OR(TRIM(E47&amp;"")="-",TRIM(E47&amp;"")="－",TRIM(E47&amp;"")="ー"),"",TRIM(E47&amp;"")))</f>
        <v/>
      </c>
      <c r="BC47" s="34">
        <f>IF(AND(AB47="OK",BB47&lt;&gt;""),IF(COUNTIFS($BB$5:BB47,BB47,$AB$5:AB47,"OK")=1,1,""),"")</f>
        <v/>
      </c>
      <c r="BD47" s="34">
        <f>IF(BC47=1,COUNTIF($BC$5:BC47,1),"")</f>
        <v/>
      </c>
      <c r="BE47" s="34">
        <f>IF(BB47="","",IFERROR(INDEX('06_顧客別集計'!$G$5:$G$104,MATCH(BB47,'06_顧客別集計'!$C$5:$C$104,0)),BB47))</f>
        <v/>
      </c>
      <c r="BF47" s="34">
        <f>IF(AND(AZ47&lt;&gt;"",BE47&lt;&gt;""),IF(COUNTIFS($BE$5:BE47,BE47,$AZ$5:AZ47,"&gt;0")=1,1,""),"")</f>
        <v/>
      </c>
      <c r="BG47" s="34">
        <f>IF(BF47=1,COUNTIF($BF$5:BF47,1),"")</f>
        <v/>
      </c>
    </row>
    <row r="48">
      <c r="AB48">
        <f>IF(AND(A48="",G48=""),"",IF(ISNUMBER(SEARCH("##END",AM48)),"（終わりの印）",IF(ISNUMBER(SEARCH("##続き",AM48)),"（続きありの印）",IF(AM48="調査ID","（見出し行）",IF(AND(AM48&lt;&gt;"R1",AM48&lt;&gt;"R2"),"×表以外の行（集計されない）",IF(COUNTIF($AN$5:AN48,AN48)&gt;1,"△重複（集計されない）",IF(G48="","△タスク名なし",IF(ISNA(MATCH(AQ48,'M1_類型マスタ'!$A$5:$A$19,0)),"△類型が不正",IF(OR(AP48="",N(AP48)&lt;1,N(AP48)&gt;6),"△業務区分が不正",IF(OR(AS48="",AT48=""),"△回数・分が読めない",IF(SUMPRODUCT(--ISNUMBER(--T48:Z48))&lt;7,"△採点が足りない",IF(SUMPRODUCT((--T48:Z48&gt;2)+(--T48:Z48&lt;0))&gt;0,"△採点が範囲外","OK"))))))))))))</f>
        <v/>
      </c>
      <c r="AC48">
        <f>IF(AB48&lt;&gt;"OK","",TRIM(IF(AND(AU48&lt;&gt;"",N(AU48)&lt;=1),"根拠1件 ","")&amp;IF(AV48&lt;&gt;"","同名あり ","")&amp;IF(AND(NOT(ISNUMBER(N48)),N48&lt;&gt;""),"回数を換算 ","")&amp;IF(J48="","詳細なし ","")&amp;IF(AND(N(AP48)=1,BB48=""),"顧客名なし ","")))</f>
        <v/>
      </c>
      <c r="AD48" s="31" t="n"/>
      <c r="AE48" s="32" t="n"/>
      <c r="AF48" s="32" t="n"/>
      <c r="AG48" s="31" t="n"/>
      <c r="AH48">
        <f>IF(AB48&lt;&gt;"OK","",IF(AG48&lt;&gt;"",AG48,AJ48))</f>
        <v/>
      </c>
      <c r="AI48" s="33">
        <f>IF(AB48&lt;&gt;"OK","",IFERROR(IF(AE48&lt;&gt;"",AE48,AS48)*IF(AF48&lt;&gt;"",AF48,AT48)/60,""))</f>
        <v/>
      </c>
      <c r="AJ48">
        <f>IF(AB48&lt;&gt;"OK","",IF(OR(VALUE(T48)=2,VALUE(U48)=2,VALUE(V48)=2),"社内残置",IF(AND(VALUE(T48)=0,VALUE(W48)=0,VALUE(Y48)=0),"自動化候補",IF(AND(VALUE(U48)=0,VALUE(W48)&lt;=1,VALUE(X48)&lt;=1,VALUE(Y48)&lt;=1,VALUE(Z48)&lt;=1),"オフショア候補",IF(AND(VALUE(Y48)&lt;=1,VALUE(Z48)&lt;=1),"ニアショア候補","社内で手順化→再評価")))))</f>
        <v/>
      </c>
      <c r="AK48">
        <f>IF(AB48&lt;&gt;"OK","",14-SUMPRODUCT(--T48:Z48))</f>
        <v/>
      </c>
      <c r="AL48" s="33">
        <f>IF(AB48&lt;&gt;"OK","",AS48*AT48/60)</f>
        <v/>
      </c>
      <c r="AM48" s="34">
        <f>IF(A48="","",UPPER(TRIM(ASC(A48&amp;""))))</f>
        <v/>
      </c>
      <c r="AN48" s="34">
        <f>IF(AM48="","",AM48&amp;"-"&amp;B48)</f>
        <v/>
      </c>
      <c r="AO48" s="34">
        <f>IF(C48="","",IFERROR(VALUE(ASC(SUBSTITUTE(C48&amp;"","観点",""))),""))</f>
        <v/>
      </c>
      <c r="AP48" s="34">
        <f>IF(D48="","",IFERROR(VALUE(LEFT(TRIM(ASC(D48&amp;"")),1)),IFERROR(MATCH(TRIM(D48&amp;""),'M2_区分マスタ'!$I$5:$I$10,0),"")))</f>
        <v/>
      </c>
      <c r="AQ48" s="34">
        <f>IF(H48="","",UPPER(LEFT(TRIM(ASC(H48&amp;"")),3)))</f>
        <v/>
      </c>
      <c r="AR48" s="34">
        <f>IF(N48="","",IFERROR(VALUE(SUBSTITUTE(SUBSTITUTE(SUBSTITUTE(SUBSTITUTE(SUBSTITUTE(SUBSTITUTE(SUBSTITUTE(SUBSTITUTE(SUBSTITUTE(SUBSTITUTE(SUBSTITUTE(SUBSTITUTE(ASC(N48&amp;""),"約",""),"程度",""),"ほど",""),"回",""),"毎",""),"週",""),"月",""),"年",""),"日",""),"に",""),"/","")," ","")),""))</f>
        <v/>
      </c>
      <c r="AS48" s="34">
        <f>IF(N48="","",IF(ISNUMBER(N48),N48,IFERROR(VALUE(ASC(N48&amp;"")),IF(AR48&lt;&gt;"",AR48*IF(ISNUMBER(SEARCH("週",N48)),4.3,IF(ISNUMBER(SEARCH("年",N48)),1/12,IF(ISNUMBER(SEARCH("日",N48)),20,1))),IF(ISNUMBER(SEARCH("日",N48)),20,IF(ISNUMBER(SEARCH("週",N48)),4.3,IF(ISNUMBER(SEARCH("月",N48)),1,"")))))))</f>
        <v/>
      </c>
      <c r="AT48" s="34">
        <f>IF(O48="","",IF(ISNUMBER(O48),O48,IFERROR(VALUE(ASC(O48&amp;"")),IF(ISNUMBER(SEARCH("時間",O48)),IFERROR(VALUE(SUBSTITUTE(SUBSTITUTE(SUBSTITUTE(SUBSTITUTE(SUBSTITUTE(ASC(O48&amp;""),"約",""),"程度",""),"ほど",""),"時間","")," ",""))*60,""),IFERROR(VALUE(SUBSTITUTE(SUBSTITUTE(SUBSTITUTE(SUBSTITUTE(SUBSTITUTE(ASC(O48&amp;""),"約",""),"程度",""),"ほど",""),"分","")," ","")),"")))))</f>
        <v/>
      </c>
      <c r="AU48" s="34">
        <f>IF(P48="","",IF(ISNUMBER(P48),P48,IFERROR(VALUE(SUBSTITUTE(SUBSTITUTE(SUBSTITUTE(ASC(P48&amp;""),"約",""),"件","")," ","")),"")))</f>
        <v/>
      </c>
      <c r="AV48" s="34">
        <f>IF(AB48&lt;&gt;"OK","",IF(COUNTIFS($G$5:$G$404,G48&amp;"",$F$5:$F$404,F48&amp;"",$BE$5:$BE$404,BE48&amp;"",$AB$5:$AB$404,"OK")&gt;1,"同名あり",""))</f>
        <v/>
      </c>
      <c r="AW48" s="35">
        <f>IF(Q48="","",IF(ISNUMBER(Q48),Q48,IFERROR(DATEVALUE(SUBSTITUTE(SUBSTITUTE(ASC(Q48&amp;""),"-","/"),".","/")&amp;"/01"),"")))</f>
        <v/>
      </c>
      <c r="AX48" s="35">
        <f>IF(R48="","",IF(ISNUMBER(R48),R48,IFERROR(DATEVALUE(SUBSTITUTE(SUBSTITUTE(ASC(R48&amp;""),"-","/"),".","/")&amp;"/01"),"")))</f>
        <v/>
      </c>
      <c r="AY48" s="34">
        <f>IF(OR(AB48&lt;&gt;"OK",AW48=""),"",IF(AW48&gt;='01_設定'!$C$26,1,0))</f>
        <v/>
      </c>
      <c r="AZ48" s="34">
        <f>IF(AND(AB48="OK",AD48&lt;&gt;"除外"),COUNTIFS($AB$5:AB48,"OK",$AD$5:AD48,"&lt;&gt;除外"),"")</f>
        <v/>
      </c>
      <c r="BA48" s="34">
        <f>IF(OR(AZ48="",AI48=""),"",AI48+ROW()/1000000000)</f>
        <v/>
      </c>
      <c r="BB48" s="34">
        <f>IF(E48="","",IF(OR(TRIM(E48&amp;"")="-",TRIM(E48&amp;"")="－",TRIM(E48&amp;"")="ー"),"",TRIM(E48&amp;"")))</f>
        <v/>
      </c>
      <c r="BC48" s="34">
        <f>IF(AND(AB48="OK",BB48&lt;&gt;""),IF(COUNTIFS($BB$5:BB48,BB48,$AB$5:AB48,"OK")=1,1,""),"")</f>
        <v/>
      </c>
      <c r="BD48" s="34">
        <f>IF(BC48=1,COUNTIF($BC$5:BC48,1),"")</f>
        <v/>
      </c>
      <c r="BE48" s="34">
        <f>IF(BB48="","",IFERROR(INDEX('06_顧客別集計'!$G$5:$G$104,MATCH(BB48,'06_顧客別集計'!$C$5:$C$104,0)),BB48))</f>
        <v/>
      </c>
      <c r="BF48" s="34">
        <f>IF(AND(AZ48&lt;&gt;"",BE48&lt;&gt;""),IF(COUNTIFS($BE$5:BE48,BE48,$AZ$5:AZ48,"&gt;0")=1,1,""),"")</f>
        <v/>
      </c>
      <c r="BG48" s="34">
        <f>IF(BF48=1,COUNTIF($BF$5:BF48,1),"")</f>
        <v/>
      </c>
    </row>
    <row r="49">
      <c r="AB49">
        <f>IF(AND(A49="",G49=""),"",IF(ISNUMBER(SEARCH("##END",AM49)),"（終わりの印）",IF(ISNUMBER(SEARCH("##続き",AM49)),"（続きありの印）",IF(AM49="調査ID","（見出し行）",IF(AND(AM49&lt;&gt;"R1",AM49&lt;&gt;"R2"),"×表以外の行（集計されない）",IF(COUNTIF($AN$5:AN49,AN49)&gt;1,"△重複（集計されない）",IF(G49="","△タスク名なし",IF(ISNA(MATCH(AQ49,'M1_類型マスタ'!$A$5:$A$19,0)),"△類型が不正",IF(OR(AP49="",N(AP49)&lt;1,N(AP49)&gt;6),"△業務区分が不正",IF(OR(AS49="",AT49=""),"△回数・分が読めない",IF(SUMPRODUCT(--ISNUMBER(--T49:Z49))&lt;7,"△採点が足りない",IF(SUMPRODUCT((--T49:Z49&gt;2)+(--T49:Z49&lt;0))&gt;0,"△採点が範囲外","OK"))))))))))))</f>
        <v/>
      </c>
      <c r="AC49">
        <f>IF(AB49&lt;&gt;"OK","",TRIM(IF(AND(AU49&lt;&gt;"",N(AU49)&lt;=1),"根拠1件 ","")&amp;IF(AV49&lt;&gt;"","同名あり ","")&amp;IF(AND(NOT(ISNUMBER(N49)),N49&lt;&gt;""),"回数を換算 ","")&amp;IF(J49="","詳細なし ","")&amp;IF(AND(N(AP49)=1,BB49=""),"顧客名なし ","")))</f>
        <v/>
      </c>
      <c r="AD49" s="31" t="n"/>
      <c r="AE49" s="32" t="n"/>
      <c r="AF49" s="32" t="n"/>
      <c r="AG49" s="31" t="n"/>
      <c r="AH49">
        <f>IF(AB49&lt;&gt;"OK","",IF(AG49&lt;&gt;"",AG49,AJ49))</f>
        <v/>
      </c>
      <c r="AI49" s="33">
        <f>IF(AB49&lt;&gt;"OK","",IFERROR(IF(AE49&lt;&gt;"",AE49,AS49)*IF(AF49&lt;&gt;"",AF49,AT49)/60,""))</f>
        <v/>
      </c>
      <c r="AJ49">
        <f>IF(AB49&lt;&gt;"OK","",IF(OR(VALUE(T49)=2,VALUE(U49)=2,VALUE(V49)=2),"社内残置",IF(AND(VALUE(T49)=0,VALUE(W49)=0,VALUE(Y49)=0),"自動化候補",IF(AND(VALUE(U49)=0,VALUE(W49)&lt;=1,VALUE(X49)&lt;=1,VALUE(Y49)&lt;=1,VALUE(Z49)&lt;=1),"オフショア候補",IF(AND(VALUE(Y49)&lt;=1,VALUE(Z49)&lt;=1),"ニアショア候補","社内で手順化→再評価")))))</f>
        <v/>
      </c>
      <c r="AK49">
        <f>IF(AB49&lt;&gt;"OK","",14-SUMPRODUCT(--T49:Z49))</f>
        <v/>
      </c>
      <c r="AL49" s="33">
        <f>IF(AB49&lt;&gt;"OK","",AS49*AT49/60)</f>
        <v/>
      </c>
      <c r="AM49" s="34">
        <f>IF(A49="","",UPPER(TRIM(ASC(A49&amp;""))))</f>
        <v/>
      </c>
      <c r="AN49" s="34">
        <f>IF(AM49="","",AM49&amp;"-"&amp;B49)</f>
        <v/>
      </c>
      <c r="AO49" s="34">
        <f>IF(C49="","",IFERROR(VALUE(ASC(SUBSTITUTE(C49&amp;"","観点",""))),""))</f>
        <v/>
      </c>
      <c r="AP49" s="34">
        <f>IF(D49="","",IFERROR(VALUE(LEFT(TRIM(ASC(D49&amp;"")),1)),IFERROR(MATCH(TRIM(D49&amp;""),'M2_区分マスタ'!$I$5:$I$10,0),"")))</f>
        <v/>
      </c>
      <c r="AQ49" s="34">
        <f>IF(H49="","",UPPER(LEFT(TRIM(ASC(H49&amp;"")),3)))</f>
        <v/>
      </c>
      <c r="AR49" s="34">
        <f>IF(N49="","",IFERROR(VALUE(SUBSTITUTE(SUBSTITUTE(SUBSTITUTE(SUBSTITUTE(SUBSTITUTE(SUBSTITUTE(SUBSTITUTE(SUBSTITUTE(SUBSTITUTE(SUBSTITUTE(SUBSTITUTE(SUBSTITUTE(ASC(N49&amp;""),"約",""),"程度",""),"ほど",""),"回",""),"毎",""),"週",""),"月",""),"年",""),"日",""),"に",""),"/","")," ","")),""))</f>
        <v/>
      </c>
      <c r="AS49" s="34">
        <f>IF(N49="","",IF(ISNUMBER(N49),N49,IFERROR(VALUE(ASC(N49&amp;"")),IF(AR49&lt;&gt;"",AR49*IF(ISNUMBER(SEARCH("週",N49)),4.3,IF(ISNUMBER(SEARCH("年",N49)),1/12,IF(ISNUMBER(SEARCH("日",N49)),20,1))),IF(ISNUMBER(SEARCH("日",N49)),20,IF(ISNUMBER(SEARCH("週",N49)),4.3,IF(ISNUMBER(SEARCH("月",N49)),1,"")))))))</f>
        <v/>
      </c>
      <c r="AT49" s="34">
        <f>IF(O49="","",IF(ISNUMBER(O49),O49,IFERROR(VALUE(ASC(O49&amp;"")),IF(ISNUMBER(SEARCH("時間",O49)),IFERROR(VALUE(SUBSTITUTE(SUBSTITUTE(SUBSTITUTE(SUBSTITUTE(SUBSTITUTE(ASC(O49&amp;""),"約",""),"程度",""),"ほど",""),"時間","")," ",""))*60,""),IFERROR(VALUE(SUBSTITUTE(SUBSTITUTE(SUBSTITUTE(SUBSTITUTE(SUBSTITUTE(ASC(O49&amp;""),"約",""),"程度",""),"ほど",""),"分","")," ","")),"")))))</f>
        <v/>
      </c>
      <c r="AU49" s="34">
        <f>IF(P49="","",IF(ISNUMBER(P49),P49,IFERROR(VALUE(SUBSTITUTE(SUBSTITUTE(SUBSTITUTE(ASC(P49&amp;""),"約",""),"件","")," ","")),"")))</f>
        <v/>
      </c>
      <c r="AV49" s="34">
        <f>IF(AB49&lt;&gt;"OK","",IF(COUNTIFS($G$5:$G$404,G49&amp;"",$F$5:$F$404,F49&amp;"",$BE$5:$BE$404,BE49&amp;"",$AB$5:$AB$404,"OK")&gt;1,"同名あり",""))</f>
        <v/>
      </c>
      <c r="AW49" s="35">
        <f>IF(Q49="","",IF(ISNUMBER(Q49),Q49,IFERROR(DATEVALUE(SUBSTITUTE(SUBSTITUTE(ASC(Q49&amp;""),"-","/"),".","/")&amp;"/01"),"")))</f>
        <v/>
      </c>
      <c r="AX49" s="35">
        <f>IF(R49="","",IF(ISNUMBER(R49),R49,IFERROR(DATEVALUE(SUBSTITUTE(SUBSTITUTE(ASC(R49&amp;""),"-","/"),".","/")&amp;"/01"),"")))</f>
        <v/>
      </c>
      <c r="AY49" s="34">
        <f>IF(OR(AB49&lt;&gt;"OK",AW49=""),"",IF(AW49&gt;='01_設定'!$C$26,1,0))</f>
        <v/>
      </c>
      <c r="AZ49" s="34">
        <f>IF(AND(AB49="OK",AD49&lt;&gt;"除外"),COUNTIFS($AB$5:AB49,"OK",$AD$5:AD49,"&lt;&gt;除外"),"")</f>
        <v/>
      </c>
      <c r="BA49" s="34">
        <f>IF(OR(AZ49="",AI49=""),"",AI49+ROW()/1000000000)</f>
        <v/>
      </c>
      <c r="BB49" s="34">
        <f>IF(E49="","",IF(OR(TRIM(E49&amp;"")="-",TRIM(E49&amp;"")="－",TRIM(E49&amp;"")="ー"),"",TRIM(E49&amp;"")))</f>
        <v/>
      </c>
      <c r="BC49" s="34">
        <f>IF(AND(AB49="OK",BB49&lt;&gt;""),IF(COUNTIFS($BB$5:BB49,BB49,$AB$5:AB49,"OK")=1,1,""),"")</f>
        <v/>
      </c>
      <c r="BD49" s="34">
        <f>IF(BC49=1,COUNTIF($BC$5:BC49,1),"")</f>
        <v/>
      </c>
      <c r="BE49" s="34">
        <f>IF(BB49="","",IFERROR(INDEX('06_顧客別集計'!$G$5:$G$104,MATCH(BB49,'06_顧客別集計'!$C$5:$C$104,0)),BB49))</f>
        <v/>
      </c>
      <c r="BF49" s="34">
        <f>IF(AND(AZ49&lt;&gt;"",BE49&lt;&gt;""),IF(COUNTIFS($BE$5:BE49,BE49,$AZ$5:AZ49,"&gt;0")=1,1,""),"")</f>
        <v/>
      </c>
      <c r="BG49" s="34">
        <f>IF(BF49=1,COUNTIF($BF$5:BF49,1),"")</f>
        <v/>
      </c>
    </row>
    <row r="50">
      <c r="AB50">
        <f>IF(AND(A50="",G50=""),"",IF(ISNUMBER(SEARCH("##END",AM50)),"（終わりの印）",IF(ISNUMBER(SEARCH("##続き",AM50)),"（続きありの印）",IF(AM50="調査ID","（見出し行）",IF(AND(AM50&lt;&gt;"R1",AM50&lt;&gt;"R2"),"×表以外の行（集計されない）",IF(COUNTIF($AN$5:AN50,AN50)&gt;1,"△重複（集計されない）",IF(G50="","△タスク名なし",IF(ISNA(MATCH(AQ50,'M1_類型マスタ'!$A$5:$A$19,0)),"△類型が不正",IF(OR(AP50="",N(AP50)&lt;1,N(AP50)&gt;6),"△業務区分が不正",IF(OR(AS50="",AT50=""),"△回数・分が読めない",IF(SUMPRODUCT(--ISNUMBER(--T50:Z50))&lt;7,"△採点が足りない",IF(SUMPRODUCT((--T50:Z50&gt;2)+(--T50:Z50&lt;0))&gt;0,"△採点が範囲外","OK"))))))))))))</f>
        <v/>
      </c>
      <c r="AC50">
        <f>IF(AB50&lt;&gt;"OK","",TRIM(IF(AND(AU50&lt;&gt;"",N(AU50)&lt;=1),"根拠1件 ","")&amp;IF(AV50&lt;&gt;"","同名あり ","")&amp;IF(AND(NOT(ISNUMBER(N50)),N50&lt;&gt;""),"回数を換算 ","")&amp;IF(J50="","詳細なし ","")&amp;IF(AND(N(AP50)=1,BB50=""),"顧客名なし ","")))</f>
        <v/>
      </c>
      <c r="AD50" s="31" t="n"/>
      <c r="AE50" s="32" t="n"/>
      <c r="AF50" s="32" t="n"/>
      <c r="AG50" s="31" t="n"/>
      <c r="AH50">
        <f>IF(AB50&lt;&gt;"OK","",IF(AG50&lt;&gt;"",AG50,AJ50))</f>
        <v/>
      </c>
      <c r="AI50" s="33">
        <f>IF(AB50&lt;&gt;"OK","",IFERROR(IF(AE50&lt;&gt;"",AE50,AS50)*IF(AF50&lt;&gt;"",AF50,AT50)/60,""))</f>
        <v/>
      </c>
      <c r="AJ50">
        <f>IF(AB50&lt;&gt;"OK","",IF(OR(VALUE(T50)=2,VALUE(U50)=2,VALUE(V50)=2),"社内残置",IF(AND(VALUE(T50)=0,VALUE(W50)=0,VALUE(Y50)=0),"自動化候補",IF(AND(VALUE(U50)=0,VALUE(W50)&lt;=1,VALUE(X50)&lt;=1,VALUE(Y50)&lt;=1,VALUE(Z50)&lt;=1),"オフショア候補",IF(AND(VALUE(Y50)&lt;=1,VALUE(Z50)&lt;=1),"ニアショア候補","社内で手順化→再評価")))))</f>
        <v/>
      </c>
      <c r="AK50">
        <f>IF(AB50&lt;&gt;"OK","",14-SUMPRODUCT(--T50:Z50))</f>
        <v/>
      </c>
      <c r="AL50" s="33">
        <f>IF(AB50&lt;&gt;"OK","",AS50*AT50/60)</f>
        <v/>
      </c>
      <c r="AM50" s="34">
        <f>IF(A50="","",UPPER(TRIM(ASC(A50&amp;""))))</f>
        <v/>
      </c>
      <c r="AN50" s="34">
        <f>IF(AM50="","",AM50&amp;"-"&amp;B50)</f>
        <v/>
      </c>
      <c r="AO50" s="34">
        <f>IF(C50="","",IFERROR(VALUE(ASC(SUBSTITUTE(C50&amp;"","観点",""))),""))</f>
        <v/>
      </c>
      <c r="AP50" s="34">
        <f>IF(D50="","",IFERROR(VALUE(LEFT(TRIM(ASC(D50&amp;"")),1)),IFERROR(MATCH(TRIM(D50&amp;""),'M2_区分マスタ'!$I$5:$I$10,0),"")))</f>
        <v/>
      </c>
      <c r="AQ50" s="34">
        <f>IF(H50="","",UPPER(LEFT(TRIM(ASC(H50&amp;"")),3)))</f>
        <v/>
      </c>
      <c r="AR50" s="34">
        <f>IF(N50="","",IFERROR(VALUE(SUBSTITUTE(SUBSTITUTE(SUBSTITUTE(SUBSTITUTE(SUBSTITUTE(SUBSTITUTE(SUBSTITUTE(SUBSTITUTE(SUBSTITUTE(SUBSTITUTE(SUBSTITUTE(SUBSTITUTE(ASC(N50&amp;""),"約",""),"程度",""),"ほど",""),"回",""),"毎",""),"週",""),"月",""),"年",""),"日",""),"に",""),"/","")," ","")),""))</f>
        <v/>
      </c>
      <c r="AS50" s="34">
        <f>IF(N50="","",IF(ISNUMBER(N50),N50,IFERROR(VALUE(ASC(N50&amp;"")),IF(AR50&lt;&gt;"",AR50*IF(ISNUMBER(SEARCH("週",N50)),4.3,IF(ISNUMBER(SEARCH("年",N50)),1/12,IF(ISNUMBER(SEARCH("日",N50)),20,1))),IF(ISNUMBER(SEARCH("日",N50)),20,IF(ISNUMBER(SEARCH("週",N50)),4.3,IF(ISNUMBER(SEARCH("月",N50)),1,"")))))))</f>
        <v/>
      </c>
      <c r="AT50" s="34">
        <f>IF(O50="","",IF(ISNUMBER(O50),O50,IFERROR(VALUE(ASC(O50&amp;"")),IF(ISNUMBER(SEARCH("時間",O50)),IFERROR(VALUE(SUBSTITUTE(SUBSTITUTE(SUBSTITUTE(SUBSTITUTE(SUBSTITUTE(ASC(O50&amp;""),"約",""),"程度",""),"ほど",""),"時間","")," ",""))*60,""),IFERROR(VALUE(SUBSTITUTE(SUBSTITUTE(SUBSTITUTE(SUBSTITUTE(SUBSTITUTE(ASC(O50&amp;""),"約",""),"程度",""),"ほど",""),"分","")," ","")),"")))))</f>
        <v/>
      </c>
      <c r="AU50" s="34">
        <f>IF(P50="","",IF(ISNUMBER(P50),P50,IFERROR(VALUE(SUBSTITUTE(SUBSTITUTE(SUBSTITUTE(ASC(P50&amp;""),"約",""),"件","")," ","")),"")))</f>
        <v/>
      </c>
      <c r="AV50" s="34">
        <f>IF(AB50&lt;&gt;"OK","",IF(COUNTIFS($G$5:$G$404,G50&amp;"",$F$5:$F$404,F50&amp;"",$BE$5:$BE$404,BE50&amp;"",$AB$5:$AB$404,"OK")&gt;1,"同名あり",""))</f>
        <v/>
      </c>
      <c r="AW50" s="35">
        <f>IF(Q50="","",IF(ISNUMBER(Q50),Q50,IFERROR(DATEVALUE(SUBSTITUTE(SUBSTITUTE(ASC(Q50&amp;""),"-","/"),".","/")&amp;"/01"),"")))</f>
        <v/>
      </c>
      <c r="AX50" s="35">
        <f>IF(R50="","",IF(ISNUMBER(R50),R50,IFERROR(DATEVALUE(SUBSTITUTE(SUBSTITUTE(ASC(R50&amp;""),"-","/"),".","/")&amp;"/01"),"")))</f>
        <v/>
      </c>
      <c r="AY50" s="34">
        <f>IF(OR(AB50&lt;&gt;"OK",AW50=""),"",IF(AW50&gt;='01_設定'!$C$26,1,0))</f>
        <v/>
      </c>
      <c r="AZ50" s="34">
        <f>IF(AND(AB50="OK",AD50&lt;&gt;"除外"),COUNTIFS($AB$5:AB50,"OK",$AD$5:AD50,"&lt;&gt;除外"),"")</f>
        <v/>
      </c>
      <c r="BA50" s="34">
        <f>IF(OR(AZ50="",AI50=""),"",AI50+ROW()/1000000000)</f>
        <v/>
      </c>
      <c r="BB50" s="34">
        <f>IF(E50="","",IF(OR(TRIM(E50&amp;"")="-",TRIM(E50&amp;"")="－",TRIM(E50&amp;"")="ー"),"",TRIM(E50&amp;"")))</f>
        <v/>
      </c>
      <c r="BC50" s="34">
        <f>IF(AND(AB50="OK",BB50&lt;&gt;""),IF(COUNTIFS($BB$5:BB50,BB50,$AB$5:AB50,"OK")=1,1,""),"")</f>
        <v/>
      </c>
      <c r="BD50" s="34">
        <f>IF(BC50=1,COUNTIF($BC$5:BC50,1),"")</f>
        <v/>
      </c>
      <c r="BE50" s="34">
        <f>IF(BB50="","",IFERROR(INDEX('06_顧客別集計'!$G$5:$G$104,MATCH(BB50,'06_顧客別集計'!$C$5:$C$104,0)),BB50))</f>
        <v/>
      </c>
      <c r="BF50" s="34">
        <f>IF(AND(AZ50&lt;&gt;"",BE50&lt;&gt;""),IF(COUNTIFS($BE$5:BE50,BE50,$AZ$5:AZ50,"&gt;0")=1,1,""),"")</f>
        <v/>
      </c>
      <c r="BG50" s="34">
        <f>IF(BF50=1,COUNTIF($BF$5:BF50,1),"")</f>
        <v/>
      </c>
    </row>
    <row r="51">
      <c r="AB51">
        <f>IF(AND(A51="",G51=""),"",IF(ISNUMBER(SEARCH("##END",AM51)),"（終わりの印）",IF(ISNUMBER(SEARCH("##続き",AM51)),"（続きありの印）",IF(AM51="調査ID","（見出し行）",IF(AND(AM51&lt;&gt;"R1",AM51&lt;&gt;"R2"),"×表以外の行（集計されない）",IF(COUNTIF($AN$5:AN51,AN51)&gt;1,"△重複（集計されない）",IF(G51="","△タスク名なし",IF(ISNA(MATCH(AQ51,'M1_類型マスタ'!$A$5:$A$19,0)),"△類型が不正",IF(OR(AP51="",N(AP51)&lt;1,N(AP51)&gt;6),"△業務区分が不正",IF(OR(AS51="",AT51=""),"△回数・分が読めない",IF(SUMPRODUCT(--ISNUMBER(--T51:Z51))&lt;7,"△採点が足りない",IF(SUMPRODUCT((--T51:Z51&gt;2)+(--T51:Z51&lt;0))&gt;0,"△採点が範囲外","OK"))))))))))))</f>
        <v/>
      </c>
      <c r="AC51">
        <f>IF(AB51&lt;&gt;"OK","",TRIM(IF(AND(AU51&lt;&gt;"",N(AU51)&lt;=1),"根拠1件 ","")&amp;IF(AV51&lt;&gt;"","同名あり ","")&amp;IF(AND(NOT(ISNUMBER(N51)),N51&lt;&gt;""),"回数を換算 ","")&amp;IF(J51="","詳細なし ","")&amp;IF(AND(N(AP51)=1,BB51=""),"顧客名なし ","")))</f>
        <v/>
      </c>
      <c r="AD51" s="31" t="n"/>
      <c r="AE51" s="32" t="n"/>
      <c r="AF51" s="32" t="n"/>
      <c r="AG51" s="31" t="n"/>
      <c r="AH51">
        <f>IF(AB51&lt;&gt;"OK","",IF(AG51&lt;&gt;"",AG51,AJ51))</f>
        <v/>
      </c>
      <c r="AI51" s="33">
        <f>IF(AB51&lt;&gt;"OK","",IFERROR(IF(AE51&lt;&gt;"",AE51,AS51)*IF(AF51&lt;&gt;"",AF51,AT51)/60,""))</f>
        <v/>
      </c>
      <c r="AJ51">
        <f>IF(AB51&lt;&gt;"OK","",IF(OR(VALUE(T51)=2,VALUE(U51)=2,VALUE(V51)=2),"社内残置",IF(AND(VALUE(T51)=0,VALUE(W51)=0,VALUE(Y51)=0),"自動化候補",IF(AND(VALUE(U51)=0,VALUE(W51)&lt;=1,VALUE(X51)&lt;=1,VALUE(Y51)&lt;=1,VALUE(Z51)&lt;=1),"オフショア候補",IF(AND(VALUE(Y51)&lt;=1,VALUE(Z51)&lt;=1),"ニアショア候補","社内で手順化→再評価")))))</f>
        <v/>
      </c>
      <c r="AK51">
        <f>IF(AB51&lt;&gt;"OK","",14-SUMPRODUCT(--T51:Z51))</f>
        <v/>
      </c>
      <c r="AL51" s="33">
        <f>IF(AB51&lt;&gt;"OK","",AS51*AT51/60)</f>
        <v/>
      </c>
      <c r="AM51" s="34">
        <f>IF(A51="","",UPPER(TRIM(ASC(A51&amp;""))))</f>
        <v/>
      </c>
      <c r="AN51" s="34">
        <f>IF(AM51="","",AM51&amp;"-"&amp;B51)</f>
        <v/>
      </c>
      <c r="AO51" s="34">
        <f>IF(C51="","",IFERROR(VALUE(ASC(SUBSTITUTE(C51&amp;"","観点",""))),""))</f>
        <v/>
      </c>
      <c r="AP51" s="34">
        <f>IF(D51="","",IFERROR(VALUE(LEFT(TRIM(ASC(D51&amp;"")),1)),IFERROR(MATCH(TRIM(D51&amp;""),'M2_区分マスタ'!$I$5:$I$10,0),"")))</f>
        <v/>
      </c>
      <c r="AQ51" s="34">
        <f>IF(H51="","",UPPER(LEFT(TRIM(ASC(H51&amp;"")),3)))</f>
        <v/>
      </c>
      <c r="AR51" s="34">
        <f>IF(N51="","",IFERROR(VALUE(SUBSTITUTE(SUBSTITUTE(SUBSTITUTE(SUBSTITUTE(SUBSTITUTE(SUBSTITUTE(SUBSTITUTE(SUBSTITUTE(SUBSTITUTE(SUBSTITUTE(SUBSTITUTE(SUBSTITUTE(ASC(N51&amp;""),"約",""),"程度",""),"ほど",""),"回",""),"毎",""),"週",""),"月",""),"年",""),"日",""),"に",""),"/","")," ","")),""))</f>
        <v/>
      </c>
      <c r="AS51" s="34">
        <f>IF(N51="","",IF(ISNUMBER(N51),N51,IFERROR(VALUE(ASC(N51&amp;"")),IF(AR51&lt;&gt;"",AR51*IF(ISNUMBER(SEARCH("週",N51)),4.3,IF(ISNUMBER(SEARCH("年",N51)),1/12,IF(ISNUMBER(SEARCH("日",N51)),20,1))),IF(ISNUMBER(SEARCH("日",N51)),20,IF(ISNUMBER(SEARCH("週",N51)),4.3,IF(ISNUMBER(SEARCH("月",N51)),1,"")))))))</f>
        <v/>
      </c>
      <c r="AT51" s="34">
        <f>IF(O51="","",IF(ISNUMBER(O51),O51,IFERROR(VALUE(ASC(O51&amp;"")),IF(ISNUMBER(SEARCH("時間",O51)),IFERROR(VALUE(SUBSTITUTE(SUBSTITUTE(SUBSTITUTE(SUBSTITUTE(SUBSTITUTE(ASC(O51&amp;""),"約",""),"程度",""),"ほど",""),"時間","")," ",""))*60,""),IFERROR(VALUE(SUBSTITUTE(SUBSTITUTE(SUBSTITUTE(SUBSTITUTE(SUBSTITUTE(ASC(O51&amp;""),"約",""),"程度",""),"ほど",""),"分","")," ","")),"")))))</f>
        <v/>
      </c>
      <c r="AU51" s="34">
        <f>IF(P51="","",IF(ISNUMBER(P51),P51,IFERROR(VALUE(SUBSTITUTE(SUBSTITUTE(SUBSTITUTE(ASC(P51&amp;""),"約",""),"件","")," ","")),"")))</f>
        <v/>
      </c>
      <c r="AV51" s="34">
        <f>IF(AB51&lt;&gt;"OK","",IF(COUNTIFS($G$5:$G$404,G51&amp;"",$F$5:$F$404,F51&amp;"",$BE$5:$BE$404,BE51&amp;"",$AB$5:$AB$404,"OK")&gt;1,"同名あり",""))</f>
        <v/>
      </c>
      <c r="AW51" s="35">
        <f>IF(Q51="","",IF(ISNUMBER(Q51),Q51,IFERROR(DATEVALUE(SUBSTITUTE(SUBSTITUTE(ASC(Q51&amp;""),"-","/"),".","/")&amp;"/01"),"")))</f>
        <v/>
      </c>
      <c r="AX51" s="35">
        <f>IF(R51="","",IF(ISNUMBER(R51),R51,IFERROR(DATEVALUE(SUBSTITUTE(SUBSTITUTE(ASC(R51&amp;""),"-","/"),".","/")&amp;"/01"),"")))</f>
        <v/>
      </c>
      <c r="AY51" s="34">
        <f>IF(OR(AB51&lt;&gt;"OK",AW51=""),"",IF(AW51&gt;='01_設定'!$C$26,1,0))</f>
        <v/>
      </c>
      <c r="AZ51" s="34">
        <f>IF(AND(AB51="OK",AD51&lt;&gt;"除外"),COUNTIFS($AB$5:AB51,"OK",$AD$5:AD51,"&lt;&gt;除外"),"")</f>
        <v/>
      </c>
      <c r="BA51" s="34">
        <f>IF(OR(AZ51="",AI51=""),"",AI51+ROW()/1000000000)</f>
        <v/>
      </c>
      <c r="BB51" s="34">
        <f>IF(E51="","",IF(OR(TRIM(E51&amp;"")="-",TRIM(E51&amp;"")="－",TRIM(E51&amp;"")="ー"),"",TRIM(E51&amp;"")))</f>
        <v/>
      </c>
      <c r="BC51" s="34">
        <f>IF(AND(AB51="OK",BB51&lt;&gt;""),IF(COUNTIFS($BB$5:BB51,BB51,$AB$5:AB51,"OK")=1,1,""),"")</f>
        <v/>
      </c>
      <c r="BD51" s="34">
        <f>IF(BC51=1,COUNTIF($BC$5:BC51,1),"")</f>
        <v/>
      </c>
      <c r="BE51" s="34">
        <f>IF(BB51="","",IFERROR(INDEX('06_顧客別集計'!$G$5:$G$104,MATCH(BB51,'06_顧客別集計'!$C$5:$C$104,0)),BB51))</f>
        <v/>
      </c>
      <c r="BF51" s="34">
        <f>IF(AND(AZ51&lt;&gt;"",BE51&lt;&gt;""),IF(COUNTIFS($BE$5:BE51,BE51,$AZ$5:AZ51,"&gt;0")=1,1,""),"")</f>
        <v/>
      </c>
      <c r="BG51" s="34">
        <f>IF(BF51=1,COUNTIF($BF$5:BF51,1),"")</f>
        <v/>
      </c>
    </row>
    <row r="52">
      <c r="AB52">
        <f>IF(AND(A52="",G52=""),"",IF(ISNUMBER(SEARCH("##END",AM52)),"（終わりの印）",IF(ISNUMBER(SEARCH("##続き",AM52)),"（続きありの印）",IF(AM52="調査ID","（見出し行）",IF(AND(AM52&lt;&gt;"R1",AM52&lt;&gt;"R2"),"×表以外の行（集計されない）",IF(COUNTIF($AN$5:AN52,AN52)&gt;1,"△重複（集計されない）",IF(G52="","△タスク名なし",IF(ISNA(MATCH(AQ52,'M1_類型マスタ'!$A$5:$A$19,0)),"△類型が不正",IF(OR(AP52="",N(AP52)&lt;1,N(AP52)&gt;6),"△業務区分が不正",IF(OR(AS52="",AT52=""),"△回数・分が読めない",IF(SUMPRODUCT(--ISNUMBER(--T52:Z52))&lt;7,"△採点が足りない",IF(SUMPRODUCT((--T52:Z52&gt;2)+(--T52:Z52&lt;0))&gt;0,"△採点が範囲外","OK"))))))))))))</f>
        <v/>
      </c>
      <c r="AC52">
        <f>IF(AB52&lt;&gt;"OK","",TRIM(IF(AND(AU52&lt;&gt;"",N(AU52)&lt;=1),"根拠1件 ","")&amp;IF(AV52&lt;&gt;"","同名あり ","")&amp;IF(AND(NOT(ISNUMBER(N52)),N52&lt;&gt;""),"回数を換算 ","")&amp;IF(J52="","詳細なし ","")&amp;IF(AND(N(AP52)=1,BB52=""),"顧客名なし ","")))</f>
        <v/>
      </c>
      <c r="AD52" s="31" t="n"/>
      <c r="AE52" s="32" t="n"/>
      <c r="AF52" s="32" t="n"/>
      <c r="AG52" s="31" t="n"/>
      <c r="AH52">
        <f>IF(AB52&lt;&gt;"OK","",IF(AG52&lt;&gt;"",AG52,AJ52))</f>
        <v/>
      </c>
      <c r="AI52" s="33">
        <f>IF(AB52&lt;&gt;"OK","",IFERROR(IF(AE52&lt;&gt;"",AE52,AS52)*IF(AF52&lt;&gt;"",AF52,AT52)/60,""))</f>
        <v/>
      </c>
      <c r="AJ52">
        <f>IF(AB52&lt;&gt;"OK","",IF(OR(VALUE(T52)=2,VALUE(U52)=2,VALUE(V52)=2),"社内残置",IF(AND(VALUE(T52)=0,VALUE(W52)=0,VALUE(Y52)=0),"自動化候補",IF(AND(VALUE(U52)=0,VALUE(W52)&lt;=1,VALUE(X52)&lt;=1,VALUE(Y52)&lt;=1,VALUE(Z52)&lt;=1),"オフショア候補",IF(AND(VALUE(Y52)&lt;=1,VALUE(Z52)&lt;=1),"ニアショア候補","社内で手順化→再評価")))))</f>
        <v/>
      </c>
      <c r="AK52">
        <f>IF(AB52&lt;&gt;"OK","",14-SUMPRODUCT(--T52:Z52))</f>
        <v/>
      </c>
      <c r="AL52" s="33">
        <f>IF(AB52&lt;&gt;"OK","",AS52*AT52/60)</f>
        <v/>
      </c>
      <c r="AM52" s="34">
        <f>IF(A52="","",UPPER(TRIM(ASC(A52&amp;""))))</f>
        <v/>
      </c>
      <c r="AN52" s="34">
        <f>IF(AM52="","",AM52&amp;"-"&amp;B52)</f>
        <v/>
      </c>
      <c r="AO52" s="34">
        <f>IF(C52="","",IFERROR(VALUE(ASC(SUBSTITUTE(C52&amp;"","観点",""))),""))</f>
        <v/>
      </c>
      <c r="AP52" s="34">
        <f>IF(D52="","",IFERROR(VALUE(LEFT(TRIM(ASC(D52&amp;"")),1)),IFERROR(MATCH(TRIM(D52&amp;""),'M2_区分マスタ'!$I$5:$I$10,0),"")))</f>
        <v/>
      </c>
      <c r="AQ52" s="34">
        <f>IF(H52="","",UPPER(LEFT(TRIM(ASC(H52&amp;"")),3)))</f>
        <v/>
      </c>
      <c r="AR52" s="34">
        <f>IF(N52="","",IFERROR(VALUE(SUBSTITUTE(SUBSTITUTE(SUBSTITUTE(SUBSTITUTE(SUBSTITUTE(SUBSTITUTE(SUBSTITUTE(SUBSTITUTE(SUBSTITUTE(SUBSTITUTE(SUBSTITUTE(SUBSTITUTE(ASC(N52&amp;""),"約",""),"程度",""),"ほど",""),"回",""),"毎",""),"週",""),"月",""),"年",""),"日",""),"に",""),"/","")," ","")),""))</f>
        <v/>
      </c>
      <c r="AS52" s="34">
        <f>IF(N52="","",IF(ISNUMBER(N52),N52,IFERROR(VALUE(ASC(N52&amp;"")),IF(AR52&lt;&gt;"",AR52*IF(ISNUMBER(SEARCH("週",N52)),4.3,IF(ISNUMBER(SEARCH("年",N52)),1/12,IF(ISNUMBER(SEARCH("日",N52)),20,1))),IF(ISNUMBER(SEARCH("日",N52)),20,IF(ISNUMBER(SEARCH("週",N52)),4.3,IF(ISNUMBER(SEARCH("月",N52)),1,"")))))))</f>
        <v/>
      </c>
      <c r="AT52" s="34">
        <f>IF(O52="","",IF(ISNUMBER(O52),O52,IFERROR(VALUE(ASC(O52&amp;"")),IF(ISNUMBER(SEARCH("時間",O52)),IFERROR(VALUE(SUBSTITUTE(SUBSTITUTE(SUBSTITUTE(SUBSTITUTE(SUBSTITUTE(ASC(O52&amp;""),"約",""),"程度",""),"ほど",""),"時間","")," ",""))*60,""),IFERROR(VALUE(SUBSTITUTE(SUBSTITUTE(SUBSTITUTE(SUBSTITUTE(SUBSTITUTE(ASC(O52&amp;""),"約",""),"程度",""),"ほど",""),"分","")," ","")),"")))))</f>
        <v/>
      </c>
      <c r="AU52" s="34">
        <f>IF(P52="","",IF(ISNUMBER(P52),P52,IFERROR(VALUE(SUBSTITUTE(SUBSTITUTE(SUBSTITUTE(ASC(P52&amp;""),"約",""),"件","")," ","")),"")))</f>
        <v/>
      </c>
      <c r="AV52" s="34">
        <f>IF(AB52&lt;&gt;"OK","",IF(COUNTIFS($G$5:$G$404,G52&amp;"",$F$5:$F$404,F52&amp;"",$BE$5:$BE$404,BE52&amp;"",$AB$5:$AB$404,"OK")&gt;1,"同名あり",""))</f>
        <v/>
      </c>
      <c r="AW52" s="35">
        <f>IF(Q52="","",IF(ISNUMBER(Q52),Q52,IFERROR(DATEVALUE(SUBSTITUTE(SUBSTITUTE(ASC(Q52&amp;""),"-","/"),".","/")&amp;"/01"),"")))</f>
        <v/>
      </c>
      <c r="AX52" s="35">
        <f>IF(R52="","",IF(ISNUMBER(R52),R52,IFERROR(DATEVALUE(SUBSTITUTE(SUBSTITUTE(ASC(R52&amp;""),"-","/"),".","/")&amp;"/01"),"")))</f>
        <v/>
      </c>
      <c r="AY52" s="34">
        <f>IF(OR(AB52&lt;&gt;"OK",AW52=""),"",IF(AW52&gt;='01_設定'!$C$26,1,0))</f>
        <v/>
      </c>
      <c r="AZ52" s="34">
        <f>IF(AND(AB52="OK",AD52&lt;&gt;"除外"),COUNTIFS($AB$5:AB52,"OK",$AD$5:AD52,"&lt;&gt;除外"),"")</f>
        <v/>
      </c>
      <c r="BA52" s="34">
        <f>IF(OR(AZ52="",AI52=""),"",AI52+ROW()/1000000000)</f>
        <v/>
      </c>
      <c r="BB52" s="34">
        <f>IF(E52="","",IF(OR(TRIM(E52&amp;"")="-",TRIM(E52&amp;"")="－",TRIM(E52&amp;"")="ー"),"",TRIM(E52&amp;"")))</f>
        <v/>
      </c>
      <c r="BC52" s="34">
        <f>IF(AND(AB52="OK",BB52&lt;&gt;""),IF(COUNTIFS($BB$5:BB52,BB52,$AB$5:AB52,"OK")=1,1,""),"")</f>
        <v/>
      </c>
      <c r="BD52" s="34">
        <f>IF(BC52=1,COUNTIF($BC$5:BC52,1),"")</f>
        <v/>
      </c>
      <c r="BE52" s="34">
        <f>IF(BB52="","",IFERROR(INDEX('06_顧客別集計'!$G$5:$G$104,MATCH(BB52,'06_顧客別集計'!$C$5:$C$104,0)),BB52))</f>
        <v/>
      </c>
      <c r="BF52" s="34">
        <f>IF(AND(AZ52&lt;&gt;"",BE52&lt;&gt;""),IF(COUNTIFS($BE$5:BE52,BE52,$AZ$5:AZ52,"&gt;0")=1,1,""),"")</f>
        <v/>
      </c>
      <c r="BG52" s="34">
        <f>IF(BF52=1,COUNTIF($BF$5:BF52,1),"")</f>
        <v/>
      </c>
    </row>
    <row r="53">
      <c r="AB53">
        <f>IF(AND(A53="",G53=""),"",IF(ISNUMBER(SEARCH("##END",AM53)),"（終わりの印）",IF(ISNUMBER(SEARCH("##続き",AM53)),"（続きありの印）",IF(AM53="調査ID","（見出し行）",IF(AND(AM53&lt;&gt;"R1",AM53&lt;&gt;"R2"),"×表以外の行（集計されない）",IF(COUNTIF($AN$5:AN53,AN53)&gt;1,"△重複（集計されない）",IF(G53="","△タスク名なし",IF(ISNA(MATCH(AQ53,'M1_類型マスタ'!$A$5:$A$19,0)),"△類型が不正",IF(OR(AP53="",N(AP53)&lt;1,N(AP53)&gt;6),"△業務区分が不正",IF(OR(AS53="",AT53=""),"△回数・分が読めない",IF(SUMPRODUCT(--ISNUMBER(--T53:Z53))&lt;7,"△採点が足りない",IF(SUMPRODUCT((--T53:Z53&gt;2)+(--T53:Z53&lt;0))&gt;0,"△採点が範囲外","OK"))))))))))))</f>
        <v/>
      </c>
      <c r="AC53">
        <f>IF(AB53&lt;&gt;"OK","",TRIM(IF(AND(AU53&lt;&gt;"",N(AU53)&lt;=1),"根拠1件 ","")&amp;IF(AV53&lt;&gt;"","同名あり ","")&amp;IF(AND(NOT(ISNUMBER(N53)),N53&lt;&gt;""),"回数を換算 ","")&amp;IF(J53="","詳細なし ","")&amp;IF(AND(N(AP53)=1,BB53=""),"顧客名なし ","")))</f>
        <v/>
      </c>
      <c r="AD53" s="31" t="n"/>
      <c r="AE53" s="32" t="n"/>
      <c r="AF53" s="32" t="n"/>
      <c r="AG53" s="31" t="n"/>
      <c r="AH53">
        <f>IF(AB53&lt;&gt;"OK","",IF(AG53&lt;&gt;"",AG53,AJ53))</f>
        <v/>
      </c>
      <c r="AI53" s="33">
        <f>IF(AB53&lt;&gt;"OK","",IFERROR(IF(AE53&lt;&gt;"",AE53,AS53)*IF(AF53&lt;&gt;"",AF53,AT53)/60,""))</f>
        <v/>
      </c>
      <c r="AJ53">
        <f>IF(AB53&lt;&gt;"OK","",IF(OR(VALUE(T53)=2,VALUE(U53)=2,VALUE(V53)=2),"社内残置",IF(AND(VALUE(T53)=0,VALUE(W53)=0,VALUE(Y53)=0),"自動化候補",IF(AND(VALUE(U53)=0,VALUE(W53)&lt;=1,VALUE(X53)&lt;=1,VALUE(Y53)&lt;=1,VALUE(Z53)&lt;=1),"オフショア候補",IF(AND(VALUE(Y53)&lt;=1,VALUE(Z53)&lt;=1),"ニアショア候補","社内で手順化→再評価")))))</f>
        <v/>
      </c>
      <c r="AK53">
        <f>IF(AB53&lt;&gt;"OK","",14-SUMPRODUCT(--T53:Z53))</f>
        <v/>
      </c>
      <c r="AL53" s="33">
        <f>IF(AB53&lt;&gt;"OK","",AS53*AT53/60)</f>
        <v/>
      </c>
      <c r="AM53" s="34">
        <f>IF(A53="","",UPPER(TRIM(ASC(A53&amp;""))))</f>
        <v/>
      </c>
      <c r="AN53" s="34">
        <f>IF(AM53="","",AM53&amp;"-"&amp;B53)</f>
        <v/>
      </c>
      <c r="AO53" s="34">
        <f>IF(C53="","",IFERROR(VALUE(ASC(SUBSTITUTE(C53&amp;"","観点",""))),""))</f>
        <v/>
      </c>
      <c r="AP53" s="34">
        <f>IF(D53="","",IFERROR(VALUE(LEFT(TRIM(ASC(D53&amp;"")),1)),IFERROR(MATCH(TRIM(D53&amp;""),'M2_区分マスタ'!$I$5:$I$10,0),"")))</f>
        <v/>
      </c>
      <c r="AQ53" s="34">
        <f>IF(H53="","",UPPER(LEFT(TRIM(ASC(H53&amp;"")),3)))</f>
        <v/>
      </c>
      <c r="AR53" s="34">
        <f>IF(N53="","",IFERROR(VALUE(SUBSTITUTE(SUBSTITUTE(SUBSTITUTE(SUBSTITUTE(SUBSTITUTE(SUBSTITUTE(SUBSTITUTE(SUBSTITUTE(SUBSTITUTE(SUBSTITUTE(SUBSTITUTE(SUBSTITUTE(ASC(N53&amp;""),"約",""),"程度",""),"ほど",""),"回",""),"毎",""),"週",""),"月",""),"年",""),"日",""),"に",""),"/","")," ","")),""))</f>
        <v/>
      </c>
      <c r="AS53" s="34">
        <f>IF(N53="","",IF(ISNUMBER(N53),N53,IFERROR(VALUE(ASC(N53&amp;"")),IF(AR53&lt;&gt;"",AR53*IF(ISNUMBER(SEARCH("週",N53)),4.3,IF(ISNUMBER(SEARCH("年",N53)),1/12,IF(ISNUMBER(SEARCH("日",N53)),20,1))),IF(ISNUMBER(SEARCH("日",N53)),20,IF(ISNUMBER(SEARCH("週",N53)),4.3,IF(ISNUMBER(SEARCH("月",N53)),1,"")))))))</f>
        <v/>
      </c>
      <c r="AT53" s="34">
        <f>IF(O53="","",IF(ISNUMBER(O53),O53,IFERROR(VALUE(ASC(O53&amp;"")),IF(ISNUMBER(SEARCH("時間",O53)),IFERROR(VALUE(SUBSTITUTE(SUBSTITUTE(SUBSTITUTE(SUBSTITUTE(SUBSTITUTE(ASC(O53&amp;""),"約",""),"程度",""),"ほど",""),"時間","")," ",""))*60,""),IFERROR(VALUE(SUBSTITUTE(SUBSTITUTE(SUBSTITUTE(SUBSTITUTE(SUBSTITUTE(ASC(O53&amp;""),"約",""),"程度",""),"ほど",""),"分","")," ","")),"")))))</f>
        <v/>
      </c>
      <c r="AU53" s="34">
        <f>IF(P53="","",IF(ISNUMBER(P53),P53,IFERROR(VALUE(SUBSTITUTE(SUBSTITUTE(SUBSTITUTE(ASC(P53&amp;""),"約",""),"件","")," ","")),"")))</f>
        <v/>
      </c>
      <c r="AV53" s="34">
        <f>IF(AB53&lt;&gt;"OK","",IF(COUNTIFS($G$5:$G$404,G53&amp;"",$F$5:$F$404,F53&amp;"",$BE$5:$BE$404,BE53&amp;"",$AB$5:$AB$404,"OK")&gt;1,"同名あり",""))</f>
        <v/>
      </c>
      <c r="AW53" s="35">
        <f>IF(Q53="","",IF(ISNUMBER(Q53),Q53,IFERROR(DATEVALUE(SUBSTITUTE(SUBSTITUTE(ASC(Q53&amp;""),"-","/"),".","/")&amp;"/01"),"")))</f>
        <v/>
      </c>
      <c r="AX53" s="35">
        <f>IF(R53="","",IF(ISNUMBER(R53),R53,IFERROR(DATEVALUE(SUBSTITUTE(SUBSTITUTE(ASC(R53&amp;""),"-","/"),".","/")&amp;"/01"),"")))</f>
        <v/>
      </c>
      <c r="AY53" s="34">
        <f>IF(OR(AB53&lt;&gt;"OK",AW53=""),"",IF(AW53&gt;='01_設定'!$C$26,1,0))</f>
        <v/>
      </c>
      <c r="AZ53" s="34">
        <f>IF(AND(AB53="OK",AD53&lt;&gt;"除外"),COUNTIFS($AB$5:AB53,"OK",$AD$5:AD53,"&lt;&gt;除外"),"")</f>
        <v/>
      </c>
      <c r="BA53" s="34">
        <f>IF(OR(AZ53="",AI53=""),"",AI53+ROW()/1000000000)</f>
        <v/>
      </c>
      <c r="BB53" s="34">
        <f>IF(E53="","",IF(OR(TRIM(E53&amp;"")="-",TRIM(E53&amp;"")="－",TRIM(E53&amp;"")="ー"),"",TRIM(E53&amp;"")))</f>
        <v/>
      </c>
      <c r="BC53" s="34">
        <f>IF(AND(AB53="OK",BB53&lt;&gt;""),IF(COUNTIFS($BB$5:BB53,BB53,$AB$5:AB53,"OK")=1,1,""),"")</f>
        <v/>
      </c>
      <c r="BD53" s="34">
        <f>IF(BC53=1,COUNTIF($BC$5:BC53,1),"")</f>
        <v/>
      </c>
      <c r="BE53" s="34">
        <f>IF(BB53="","",IFERROR(INDEX('06_顧客別集計'!$G$5:$G$104,MATCH(BB53,'06_顧客別集計'!$C$5:$C$104,0)),BB53))</f>
        <v/>
      </c>
      <c r="BF53" s="34">
        <f>IF(AND(AZ53&lt;&gt;"",BE53&lt;&gt;""),IF(COUNTIFS($BE$5:BE53,BE53,$AZ$5:AZ53,"&gt;0")=1,1,""),"")</f>
        <v/>
      </c>
      <c r="BG53" s="34">
        <f>IF(BF53=1,COUNTIF($BF$5:BF53,1),"")</f>
        <v/>
      </c>
    </row>
    <row r="54">
      <c r="AB54">
        <f>IF(AND(A54="",G54=""),"",IF(ISNUMBER(SEARCH("##END",AM54)),"（終わりの印）",IF(ISNUMBER(SEARCH("##続き",AM54)),"（続きありの印）",IF(AM54="調査ID","（見出し行）",IF(AND(AM54&lt;&gt;"R1",AM54&lt;&gt;"R2"),"×表以外の行（集計されない）",IF(COUNTIF($AN$5:AN54,AN54)&gt;1,"△重複（集計されない）",IF(G54="","△タスク名なし",IF(ISNA(MATCH(AQ54,'M1_類型マスタ'!$A$5:$A$19,0)),"△類型が不正",IF(OR(AP54="",N(AP54)&lt;1,N(AP54)&gt;6),"△業務区分が不正",IF(OR(AS54="",AT54=""),"△回数・分が読めない",IF(SUMPRODUCT(--ISNUMBER(--T54:Z54))&lt;7,"△採点が足りない",IF(SUMPRODUCT((--T54:Z54&gt;2)+(--T54:Z54&lt;0))&gt;0,"△採点が範囲外","OK"))))))))))))</f>
        <v/>
      </c>
      <c r="AC54">
        <f>IF(AB54&lt;&gt;"OK","",TRIM(IF(AND(AU54&lt;&gt;"",N(AU54)&lt;=1),"根拠1件 ","")&amp;IF(AV54&lt;&gt;"","同名あり ","")&amp;IF(AND(NOT(ISNUMBER(N54)),N54&lt;&gt;""),"回数を換算 ","")&amp;IF(J54="","詳細なし ","")&amp;IF(AND(N(AP54)=1,BB54=""),"顧客名なし ","")))</f>
        <v/>
      </c>
      <c r="AD54" s="31" t="n"/>
      <c r="AE54" s="32" t="n"/>
      <c r="AF54" s="32" t="n"/>
      <c r="AG54" s="31" t="n"/>
      <c r="AH54">
        <f>IF(AB54&lt;&gt;"OK","",IF(AG54&lt;&gt;"",AG54,AJ54))</f>
        <v/>
      </c>
      <c r="AI54" s="33">
        <f>IF(AB54&lt;&gt;"OK","",IFERROR(IF(AE54&lt;&gt;"",AE54,AS54)*IF(AF54&lt;&gt;"",AF54,AT54)/60,""))</f>
        <v/>
      </c>
      <c r="AJ54">
        <f>IF(AB54&lt;&gt;"OK","",IF(OR(VALUE(T54)=2,VALUE(U54)=2,VALUE(V54)=2),"社内残置",IF(AND(VALUE(T54)=0,VALUE(W54)=0,VALUE(Y54)=0),"自動化候補",IF(AND(VALUE(U54)=0,VALUE(W54)&lt;=1,VALUE(X54)&lt;=1,VALUE(Y54)&lt;=1,VALUE(Z54)&lt;=1),"オフショア候補",IF(AND(VALUE(Y54)&lt;=1,VALUE(Z54)&lt;=1),"ニアショア候補","社内で手順化→再評価")))))</f>
        <v/>
      </c>
      <c r="AK54">
        <f>IF(AB54&lt;&gt;"OK","",14-SUMPRODUCT(--T54:Z54))</f>
        <v/>
      </c>
      <c r="AL54" s="33">
        <f>IF(AB54&lt;&gt;"OK","",AS54*AT54/60)</f>
        <v/>
      </c>
      <c r="AM54" s="34">
        <f>IF(A54="","",UPPER(TRIM(ASC(A54&amp;""))))</f>
        <v/>
      </c>
      <c r="AN54" s="34">
        <f>IF(AM54="","",AM54&amp;"-"&amp;B54)</f>
        <v/>
      </c>
      <c r="AO54" s="34">
        <f>IF(C54="","",IFERROR(VALUE(ASC(SUBSTITUTE(C54&amp;"","観点",""))),""))</f>
        <v/>
      </c>
      <c r="AP54" s="34">
        <f>IF(D54="","",IFERROR(VALUE(LEFT(TRIM(ASC(D54&amp;"")),1)),IFERROR(MATCH(TRIM(D54&amp;""),'M2_区分マスタ'!$I$5:$I$10,0),"")))</f>
        <v/>
      </c>
      <c r="AQ54" s="34">
        <f>IF(H54="","",UPPER(LEFT(TRIM(ASC(H54&amp;"")),3)))</f>
        <v/>
      </c>
      <c r="AR54" s="34">
        <f>IF(N54="","",IFERROR(VALUE(SUBSTITUTE(SUBSTITUTE(SUBSTITUTE(SUBSTITUTE(SUBSTITUTE(SUBSTITUTE(SUBSTITUTE(SUBSTITUTE(SUBSTITUTE(SUBSTITUTE(SUBSTITUTE(SUBSTITUTE(ASC(N54&amp;""),"約",""),"程度",""),"ほど",""),"回",""),"毎",""),"週",""),"月",""),"年",""),"日",""),"に",""),"/","")," ","")),""))</f>
        <v/>
      </c>
      <c r="AS54" s="34">
        <f>IF(N54="","",IF(ISNUMBER(N54),N54,IFERROR(VALUE(ASC(N54&amp;"")),IF(AR54&lt;&gt;"",AR54*IF(ISNUMBER(SEARCH("週",N54)),4.3,IF(ISNUMBER(SEARCH("年",N54)),1/12,IF(ISNUMBER(SEARCH("日",N54)),20,1))),IF(ISNUMBER(SEARCH("日",N54)),20,IF(ISNUMBER(SEARCH("週",N54)),4.3,IF(ISNUMBER(SEARCH("月",N54)),1,"")))))))</f>
        <v/>
      </c>
      <c r="AT54" s="34">
        <f>IF(O54="","",IF(ISNUMBER(O54),O54,IFERROR(VALUE(ASC(O54&amp;"")),IF(ISNUMBER(SEARCH("時間",O54)),IFERROR(VALUE(SUBSTITUTE(SUBSTITUTE(SUBSTITUTE(SUBSTITUTE(SUBSTITUTE(ASC(O54&amp;""),"約",""),"程度",""),"ほど",""),"時間","")," ",""))*60,""),IFERROR(VALUE(SUBSTITUTE(SUBSTITUTE(SUBSTITUTE(SUBSTITUTE(SUBSTITUTE(ASC(O54&amp;""),"約",""),"程度",""),"ほど",""),"分","")," ","")),"")))))</f>
        <v/>
      </c>
      <c r="AU54" s="34">
        <f>IF(P54="","",IF(ISNUMBER(P54),P54,IFERROR(VALUE(SUBSTITUTE(SUBSTITUTE(SUBSTITUTE(ASC(P54&amp;""),"約",""),"件","")," ","")),"")))</f>
        <v/>
      </c>
      <c r="AV54" s="34">
        <f>IF(AB54&lt;&gt;"OK","",IF(COUNTIFS($G$5:$G$404,G54&amp;"",$F$5:$F$404,F54&amp;"",$BE$5:$BE$404,BE54&amp;"",$AB$5:$AB$404,"OK")&gt;1,"同名あり",""))</f>
        <v/>
      </c>
      <c r="AW54" s="35">
        <f>IF(Q54="","",IF(ISNUMBER(Q54),Q54,IFERROR(DATEVALUE(SUBSTITUTE(SUBSTITUTE(ASC(Q54&amp;""),"-","/"),".","/")&amp;"/01"),"")))</f>
        <v/>
      </c>
      <c r="AX54" s="35">
        <f>IF(R54="","",IF(ISNUMBER(R54),R54,IFERROR(DATEVALUE(SUBSTITUTE(SUBSTITUTE(ASC(R54&amp;""),"-","/"),".","/")&amp;"/01"),"")))</f>
        <v/>
      </c>
      <c r="AY54" s="34">
        <f>IF(OR(AB54&lt;&gt;"OK",AW54=""),"",IF(AW54&gt;='01_設定'!$C$26,1,0))</f>
        <v/>
      </c>
      <c r="AZ54" s="34">
        <f>IF(AND(AB54="OK",AD54&lt;&gt;"除外"),COUNTIFS($AB$5:AB54,"OK",$AD$5:AD54,"&lt;&gt;除外"),"")</f>
        <v/>
      </c>
      <c r="BA54" s="34">
        <f>IF(OR(AZ54="",AI54=""),"",AI54+ROW()/1000000000)</f>
        <v/>
      </c>
      <c r="BB54" s="34">
        <f>IF(E54="","",IF(OR(TRIM(E54&amp;"")="-",TRIM(E54&amp;"")="－",TRIM(E54&amp;"")="ー"),"",TRIM(E54&amp;"")))</f>
        <v/>
      </c>
      <c r="BC54" s="34">
        <f>IF(AND(AB54="OK",BB54&lt;&gt;""),IF(COUNTIFS($BB$5:BB54,BB54,$AB$5:AB54,"OK")=1,1,""),"")</f>
        <v/>
      </c>
      <c r="BD54" s="34">
        <f>IF(BC54=1,COUNTIF($BC$5:BC54,1),"")</f>
        <v/>
      </c>
      <c r="BE54" s="34">
        <f>IF(BB54="","",IFERROR(INDEX('06_顧客別集計'!$G$5:$G$104,MATCH(BB54,'06_顧客別集計'!$C$5:$C$104,0)),BB54))</f>
        <v/>
      </c>
      <c r="BF54" s="34">
        <f>IF(AND(AZ54&lt;&gt;"",BE54&lt;&gt;""),IF(COUNTIFS($BE$5:BE54,BE54,$AZ$5:AZ54,"&gt;0")=1,1,""),"")</f>
        <v/>
      </c>
      <c r="BG54" s="34">
        <f>IF(BF54=1,COUNTIF($BF$5:BF54,1),"")</f>
        <v/>
      </c>
    </row>
    <row r="55">
      <c r="AB55">
        <f>IF(AND(A55="",G55=""),"",IF(ISNUMBER(SEARCH("##END",AM55)),"（終わりの印）",IF(ISNUMBER(SEARCH("##続き",AM55)),"（続きありの印）",IF(AM55="調査ID","（見出し行）",IF(AND(AM55&lt;&gt;"R1",AM55&lt;&gt;"R2"),"×表以外の行（集計されない）",IF(COUNTIF($AN$5:AN55,AN55)&gt;1,"△重複（集計されない）",IF(G55="","△タスク名なし",IF(ISNA(MATCH(AQ55,'M1_類型マスタ'!$A$5:$A$19,0)),"△類型が不正",IF(OR(AP55="",N(AP55)&lt;1,N(AP55)&gt;6),"△業務区分が不正",IF(OR(AS55="",AT55=""),"△回数・分が読めない",IF(SUMPRODUCT(--ISNUMBER(--T55:Z55))&lt;7,"△採点が足りない",IF(SUMPRODUCT((--T55:Z55&gt;2)+(--T55:Z55&lt;0))&gt;0,"△採点が範囲外","OK"))))))))))))</f>
        <v/>
      </c>
      <c r="AC55">
        <f>IF(AB55&lt;&gt;"OK","",TRIM(IF(AND(AU55&lt;&gt;"",N(AU55)&lt;=1),"根拠1件 ","")&amp;IF(AV55&lt;&gt;"","同名あり ","")&amp;IF(AND(NOT(ISNUMBER(N55)),N55&lt;&gt;""),"回数を換算 ","")&amp;IF(J55="","詳細なし ","")&amp;IF(AND(N(AP55)=1,BB55=""),"顧客名なし ","")))</f>
        <v/>
      </c>
      <c r="AD55" s="31" t="n"/>
      <c r="AE55" s="32" t="n"/>
      <c r="AF55" s="32" t="n"/>
      <c r="AG55" s="31" t="n"/>
      <c r="AH55">
        <f>IF(AB55&lt;&gt;"OK","",IF(AG55&lt;&gt;"",AG55,AJ55))</f>
        <v/>
      </c>
      <c r="AI55" s="33">
        <f>IF(AB55&lt;&gt;"OK","",IFERROR(IF(AE55&lt;&gt;"",AE55,AS55)*IF(AF55&lt;&gt;"",AF55,AT55)/60,""))</f>
        <v/>
      </c>
      <c r="AJ55">
        <f>IF(AB55&lt;&gt;"OK","",IF(OR(VALUE(T55)=2,VALUE(U55)=2,VALUE(V55)=2),"社内残置",IF(AND(VALUE(T55)=0,VALUE(W55)=0,VALUE(Y55)=0),"自動化候補",IF(AND(VALUE(U55)=0,VALUE(W55)&lt;=1,VALUE(X55)&lt;=1,VALUE(Y55)&lt;=1,VALUE(Z55)&lt;=1),"オフショア候補",IF(AND(VALUE(Y55)&lt;=1,VALUE(Z55)&lt;=1),"ニアショア候補","社内で手順化→再評価")))))</f>
        <v/>
      </c>
      <c r="AK55">
        <f>IF(AB55&lt;&gt;"OK","",14-SUMPRODUCT(--T55:Z55))</f>
        <v/>
      </c>
      <c r="AL55" s="33">
        <f>IF(AB55&lt;&gt;"OK","",AS55*AT55/60)</f>
        <v/>
      </c>
      <c r="AM55" s="34">
        <f>IF(A55="","",UPPER(TRIM(ASC(A55&amp;""))))</f>
        <v/>
      </c>
      <c r="AN55" s="34">
        <f>IF(AM55="","",AM55&amp;"-"&amp;B55)</f>
        <v/>
      </c>
      <c r="AO55" s="34">
        <f>IF(C55="","",IFERROR(VALUE(ASC(SUBSTITUTE(C55&amp;"","観点",""))),""))</f>
        <v/>
      </c>
      <c r="AP55" s="34">
        <f>IF(D55="","",IFERROR(VALUE(LEFT(TRIM(ASC(D55&amp;"")),1)),IFERROR(MATCH(TRIM(D55&amp;""),'M2_区分マスタ'!$I$5:$I$10,0),"")))</f>
        <v/>
      </c>
      <c r="AQ55" s="34">
        <f>IF(H55="","",UPPER(LEFT(TRIM(ASC(H55&amp;"")),3)))</f>
        <v/>
      </c>
      <c r="AR55" s="34">
        <f>IF(N55="","",IFERROR(VALUE(SUBSTITUTE(SUBSTITUTE(SUBSTITUTE(SUBSTITUTE(SUBSTITUTE(SUBSTITUTE(SUBSTITUTE(SUBSTITUTE(SUBSTITUTE(SUBSTITUTE(SUBSTITUTE(SUBSTITUTE(ASC(N55&amp;""),"約",""),"程度",""),"ほど",""),"回",""),"毎",""),"週",""),"月",""),"年",""),"日",""),"に",""),"/","")," ","")),""))</f>
        <v/>
      </c>
      <c r="AS55" s="34">
        <f>IF(N55="","",IF(ISNUMBER(N55),N55,IFERROR(VALUE(ASC(N55&amp;"")),IF(AR55&lt;&gt;"",AR55*IF(ISNUMBER(SEARCH("週",N55)),4.3,IF(ISNUMBER(SEARCH("年",N55)),1/12,IF(ISNUMBER(SEARCH("日",N55)),20,1))),IF(ISNUMBER(SEARCH("日",N55)),20,IF(ISNUMBER(SEARCH("週",N55)),4.3,IF(ISNUMBER(SEARCH("月",N55)),1,"")))))))</f>
        <v/>
      </c>
      <c r="AT55" s="34">
        <f>IF(O55="","",IF(ISNUMBER(O55),O55,IFERROR(VALUE(ASC(O55&amp;"")),IF(ISNUMBER(SEARCH("時間",O55)),IFERROR(VALUE(SUBSTITUTE(SUBSTITUTE(SUBSTITUTE(SUBSTITUTE(SUBSTITUTE(ASC(O55&amp;""),"約",""),"程度",""),"ほど",""),"時間","")," ",""))*60,""),IFERROR(VALUE(SUBSTITUTE(SUBSTITUTE(SUBSTITUTE(SUBSTITUTE(SUBSTITUTE(ASC(O55&amp;""),"約",""),"程度",""),"ほど",""),"分","")," ","")),"")))))</f>
        <v/>
      </c>
      <c r="AU55" s="34">
        <f>IF(P55="","",IF(ISNUMBER(P55),P55,IFERROR(VALUE(SUBSTITUTE(SUBSTITUTE(SUBSTITUTE(ASC(P55&amp;""),"約",""),"件","")," ","")),"")))</f>
        <v/>
      </c>
      <c r="AV55" s="34">
        <f>IF(AB55&lt;&gt;"OK","",IF(COUNTIFS($G$5:$G$404,G55&amp;"",$F$5:$F$404,F55&amp;"",$BE$5:$BE$404,BE55&amp;"",$AB$5:$AB$404,"OK")&gt;1,"同名あり",""))</f>
        <v/>
      </c>
      <c r="AW55" s="35">
        <f>IF(Q55="","",IF(ISNUMBER(Q55),Q55,IFERROR(DATEVALUE(SUBSTITUTE(SUBSTITUTE(ASC(Q55&amp;""),"-","/"),".","/")&amp;"/01"),"")))</f>
        <v/>
      </c>
      <c r="AX55" s="35">
        <f>IF(R55="","",IF(ISNUMBER(R55),R55,IFERROR(DATEVALUE(SUBSTITUTE(SUBSTITUTE(ASC(R55&amp;""),"-","/"),".","/")&amp;"/01"),"")))</f>
        <v/>
      </c>
      <c r="AY55" s="34">
        <f>IF(OR(AB55&lt;&gt;"OK",AW55=""),"",IF(AW55&gt;='01_設定'!$C$26,1,0))</f>
        <v/>
      </c>
      <c r="AZ55" s="34">
        <f>IF(AND(AB55="OK",AD55&lt;&gt;"除外"),COUNTIFS($AB$5:AB55,"OK",$AD$5:AD55,"&lt;&gt;除外"),"")</f>
        <v/>
      </c>
      <c r="BA55" s="34">
        <f>IF(OR(AZ55="",AI55=""),"",AI55+ROW()/1000000000)</f>
        <v/>
      </c>
      <c r="BB55" s="34">
        <f>IF(E55="","",IF(OR(TRIM(E55&amp;"")="-",TRIM(E55&amp;"")="－",TRIM(E55&amp;"")="ー"),"",TRIM(E55&amp;"")))</f>
        <v/>
      </c>
      <c r="BC55" s="34">
        <f>IF(AND(AB55="OK",BB55&lt;&gt;""),IF(COUNTIFS($BB$5:BB55,BB55,$AB$5:AB55,"OK")=1,1,""),"")</f>
        <v/>
      </c>
      <c r="BD55" s="34">
        <f>IF(BC55=1,COUNTIF($BC$5:BC55,1),"")</f>
        <v/>
      </c>
      <c r="BE55" s="34">
        <f>IF(BB55="","",IFERROR(INDEX('06_顧客別集計'!$G$5:$G$104,MATCH(BB55,'06_顧客別集計'!$C$5:$C$104,0)),BB55))</f>
        <v/>
      </c>
      <c r="BF55" s="34">
        <f>IF(AND(AZ55&lt;&gt;"",BE55&lt;&gt;""),IF(COUNTIFS($BE$5:BE55,BE55,$AZ$5:AZ55,"&gt;0")=1,1,""),"")</f>
        <v/>
      </c>
      <c r="BG55" s="34">
        <f>IF(BF55=1,COUNTIF($BF$5:BF55,1),"")</f>
        <v/>
      </c>
    </row>
    <row r="56">
      <c r="AB56">
        <f>IF(AND(A56="",G56=""),"",IF(ISNUMBER(SEARCH("##END",AM56)),"（終わりの印）",IF(ISNUMBER(SEARCH("##続き",AM56)),"（続きありの印）",IF(AM56="調査ID","（見出し行）",IF(AND(AM56&lt;&gt;"R1",AM56&lt;&gt;"R2"),"×表以外の行（集計されない）",IF(COUNTIF($AN$5:AN56,AN56)&gt;1,"△重複（集計されない）",IF(G56="","△タスク名なし",IF(ISNA(MATCH(AQ56,'M1_類型マスタ'!$A$5:$A$19,0)),"△類型が不正",IF(OR(AP56="",N(AP56)&lt;1,N(AP56)&gt;6),"△業務区分が不正",IF(OR(AS56="",AT56=""),"△回数・分が読めない",IF(SUMPRODUCT(--ISNUMBER(--T56:Z56))&lt;7,"△採点が足りない",IF(SUMPRODUCT((--T56:Z56&gt;2)+(--T56:Z56&lt;0))&gt;0,"△採点が範囲外","OK"))))))))))))</f>
        <v/>
      </c>
      <c r="AC56">
        <f>IF(AB56&lt;&gt;"OK","",TRIM(IF(AND(AU56&lt;&gt;"",N(AU56)&lt;=1),"根拠1件 ","")&amp;IF(AV56&lt;&gt;"","同名あり ","")&amp;IF(AND(NOT(ISNUMBER(N56)),N56&lt;&gt;""),"回数を換算 ","")&amp;IF(J56="","詳細なし ","")&amp;IF(AND(N(AP56)=1,BB56=""),"顧客名なし ","")))</f>
        <v/>
      </c>
      <c r="AD56" s="31" t="n"/>
      <c r="AE56" s="32" t="n"/>
      <c r="AF56" s="32" t="n"/>
      <c r="AG56" s="31" t="n"/>
      <c r="AH56">
        <f>IF(AB56&lt;&gt;"OK","",IF(AG56&lt;&gt;"",AG56,AJ56))</f>
        <v/>
      </c>
      <c r="AI56" s="33">
        <f>IF(AB56&lt;&gt;"OK","",IFERROR(IF(AE56&lt;&gt;"",AE56,AS56)*IF(AF56&lt;&gt;"",AF56,AT56)/60,""))</f>
        <v/>
      </c>
      <c r="AJ56">
        <f>IF(AB56&lt;&gt;"OK","",IF(OR(VALUE(T56)=2,VALUE(U56)=2,VALUE(V56)=2),"社内残置",IF(AND(VALUE(T56)=0,VALUE(W56)=0,VALUE(Y56)=0),"自動化候補",IF(AND(VALUE(U56)=0,VALUE(W56)&lt;=1,VALUE(X56)&lt;=1,VALUE(Y56)&lt;=1,VALUE(Z56)&lt;=1),"オフショア候補",IF(AND(VALUE(Y56)&lt;=1,VALUE(Z56)&lt;=1),"ニアショア候補","社内で手順化→再評価")))))</f>
        <v/>
      </c>
      <c r="AK56">
        <f>IF(AB56&lt;&gt;"OK","",14-SUMPRODUCT(--T56:Z56))</f>
        <v/>
      </c>
      <c r="AL56" s="33">
        <f>IF(AB56&lt;&gt;"OK","",AS56*AT56/60)</f>
        <v/>
      </c>
      <c r="AM56" s="34">
        <f>IF(A56="","",UPPER(TRIM(ASC(A56&amp;""))))</f>
        <v/>
      </c>
      <c r="AN56" s="34">
        <f>IF(AM56="","",AM56&amp;"-"&amp;B56)</f>
        <v/>
      </c>
      <c r="AO56" s="34">
        <f>IF(C56="","",IFERROR(VALUE(ASC(SUBSTITUTE(C56&amp;"","観点",""))),""))</f>
        <v/>
      </c>
      <c r="AP56" s="34">
        <f>IF(D56="","",IFERROR(VALUE(LEFT(TRIM(ASC(D56&amp;"")),1)),IFERROR(MATCH(TRIM(D56&amp;""),'M2_区分マスタ'!$I$5:$I$10,0),"")))</f>
        <v/>
      </c>
      <c r="AQ56" s="34">
        <f>IF(H56="","",UPPER(LEFT(TRIM(ASC(H56&amp;"")),3)))</f>
        <v/>
      </c>
      <c r="AR56" s="34">
        <f>IF(N56="","",IFERROR(VALUE(SUBSTITUTE(SUBSTITUTE(SUBSTITUTE(SUBSTITUTE(SUBSTITUTE(SUBSTITUTE(SUBSTITUTE(SUBSTITUTE(SUBSTITUTE(SUBSTITUTE(SUBSTITUTE(SUBSTITUTE(ASC(N56&amp;""),"約",""),"程度",""),"ほど",""),"回",""),"毎",""),"週",""),"月",""),"年",""),"日",""),"に",""),"/","")," ","")),""))</f>
        <v/>
      </c>
      <c r="AS56" s="34">
        <f>IF(N56="","",IF(ISNUMBER(N56),N56,IFERROR(VALUE(ASC(N56&amp;"")),IF(AR56&lt;&gt;"",AR56*IF(ISNUMBER(SEARCH("週",N56)),4.3,IF(ISNUMBER(SEARCH("年",N56)),1/12,IF(ISNUMBER(SEARCH("日",N56)),20,1))),IF(ISNUMBER(SEARCH("日",N56)),20,IF(ISNUMBER(SEARCH("週",N56)),4.3,IF(ISNUMBER(SEARCH("月",N56)),1,"")))))))</f>
        <v/>
      </c>
      <c r="AT56" s="34">
        <f>IF(O56="","",IF(ISNUMBER(O56),O56,IFERROR(VALUE(ASC(O56&amp;"")),IF(ISNUMBER(SEARCH("時間",O56)),IFERROR(VALUE(SUBSTITUTE(SUBSTITUTE(SUBSTITUTE(SUBSTITUTE(SUBSTITUTE(ASC(O56&amp;""),"約",""),"程度",""),"ほど",""),"時間","")," ",""))*60,""),IFERROR(VALUE(SUBSTITUTE(SUBSTITUTE(SUBSTITUTE(SUBSTITUTE(SUBSTITUTE(ASC(O56&amp;""),"約",""),"程度",""),"ほど",""),"分","")," ","")),"")))))</f>
        <v/>
      </c>
      <c r="AU56" s="34">
        <f>IF(P56="","",IF(ISNUMBER(P56),P56,IFERROR(VALUE(SUBSTITUTE(SUBSTITUTE(SUBSTITUTE(ASC(P56&amp;""),"約",""),"件","")," ","")),"")))</f>
        <v/>
      </c>
      <c r="AV56" s="34">
        <f>IF(AB56&lt;&gt;"OK","",IF(COUNTIFS($G$5:$G$404,G56&amp;"",$F$5:$F$404,F56&amp;"",$BE$5:$BE$404,BE56&amp;"",$AB$5:$AB$404,"OK")&gt;1,"同名あり",""))</f>
        <v/>
      </c>
      <c r="AW56" s="35">
        <f>IF(Q56="","",IF(ISNUMBER(Q56),Q56,IFERROR(DATEVALUE(SUBSTITUTE(SUBSTITUTE(ASC(Q56&amp;""),"-","/"),".","/")&amp;"/01"),"")))</f>
        <v/>
      </c>
      <c r="AX56" s="35">
        <f>IF(R56="","",IF(ISNUMBER(R56),R56,IFERROR(DATEVALUE(SUBSTITUTE(SUBSTITUTE(ASC(R56&amp;""),"-","/"),".","/")&amp;"/01"),"")))</f>
        <v/>
      </c>
      <c r="AY56" s="34">
        <f>IF(OR(AB56&lt;&gt;"OK",AW56=""),"",IF(AW56&gt;='01_設定'!$C$26,1,0))</f>
        <v/>
      </c>
      <c r="AZ56" s="34">
        <f>IF(AND(AB56="OK",AD56&lt;&gt;"除外"),COUNTIFS($AB$5:AB56,"OK",$AD$5:AD56,"&lt;&gt;除外"),"")</f>
        <v/>
      </c>
      <c r="BA56" s="34">
        <f>IF(OR(AZ56="",AI56=""),"",AI56+ROW()/1000000000)</f>
        <v/>
      </c>
      <c r="BB56" s="34">
        <f>IF(E56="","",IF(OR(TRIM(E56&amp;"")="-",TRIM(E56&amp;"")="－",TRIM(E56&amp;"")="ー"),"",TRIM(E56&amp;"")))</f>
        <v/>
      </c>
      <c r="BC56" s="34">
        <f>IF(AND(AB56="OK",BB56&lt;&gt;""),IF(COUNTIFS($BB$5:BB56,BB56,$AB$5:AB56,"OK")=1,1,""),"")</f>
        <v/>
      </c>
      <c r="BD56" s="34">
        <f>IF(BC56=1,COUNTIF($BC$5:BC56,1),"")</f>
        <v/>
      </c>
      <c r="BE56" s="34">
        <f>IF(BB56="","",IFERROR(INDEX('06_顧客別集計'!$G$5:$G$104,MATCH(BB56,'06_顧客別集計'!$C$5:$C$104,0)),BB56))</f>
        <v/>
      </c>
      <c r="BF56" s="34">
        <f>IF(AND(AZ56&lt;&gt;"",BE56&lt;&gt;""),IF(COUNTIFS($BE$5:BE56,BE56,$AZ$5:AZ56,"&gt;0")=1,1,""),"")</f>
        <v/>
      </c>
      <c r="BG56" s="34">
        <f>IF(BF56=1,COUNTIF($BF$5:BF56,1),"")</f>
        <v/>
      </c>
    </row>
    <row r="57">
      <c r="AB57">
        <f>IF(AND(A57="",G57=""),"",IF(ISNUMBER(SEARCH("##END",AM57)),"（終わりの印）",IF(ISNUMBER(SEARCH("##続き",AM57)),"（続きありの印）",IF(AM57="調査ID","（見出し行）",IF(AND(AM57&lt;&gt;"R1",AM57&lt;&gt;"R2"),"×表以外の行（集計されない）",IF(COUNTIF($AN$5:AN57,AN57)&gt;1,"△重複（集計されない）",IF(G57="","△タスク名なし",IF(ISNA(MATCH(AQ57,'M1_類型マスタ'!$A$5:$A$19,0)),"△類型が不正",IF(OR(AP57="",N(AP57)&lt;1,N(AP57)&gt;6),"△業務区分が不正",IF(OR(AS57="",AT57=""),"△回数・分が読めない",IF(SUMPRODUCT(--ISNUMBER(--T57:Z57))&lt;7,"△採点が足りない",IF(SUMPRODUCT((--T57:Z57&gt;2)+(--T57:Z57&lt;0))&gt;0,"△採点が範囲外","OK"))))))))))))</f>
        <v/>
      </c>
      <c r="AC57">
        <f>IF(AB57&lt;&gt;"OK","",TRIM(IF(AND(AU57&lt;&gt;"",N(AU57)&lt;=1),"根拠1件 ","")&amp;IF(AV57&lt;&gt;"","同名あり ","")&amp;IF(AND(NOT(ISNUMBER(N57)),N57&lt;&gt;""),"回数を換算 ","")&amp;IF(J57="","詳細なし ","")&amp;IF(AND(N(AP57)=1,BB57=""),"顧客名なし ","")))</f>
        <v/>
      </c>
      <c r="AD57" s="31" t="n"/>
      <c r="AE57" s="32" t="n"/>
      <c r="AF57" s="32" t="n"/>
      <c r="AG57" s="31" t="n"/>
      <c r="AH57">
        <f>IF(AB57&lt;&gt;"OK","",IF(AG57&lt;&gt;"",AG57,AJ57))</f>
        <v/>
      </c>
      <c r="AI57" s="33">
        <f>IF(AB57&lt;&gt;"OK","",IFERROR(IF(AE57&lt;&gt;"",AE57,AS57)*IF(AF57&lt;&gt;"",AF57,AT57)/60,""))</f>
        <v/>
      </c>
      <c r="AJ57">
        <f>IF(AB57&lt;&gt;"OK","",IF(OR(VALUE(T57)=2,VALUE(U57)=2,VALUE(V57)=2),"社内残置",IF(AND(VALUE(T57)=0,VALUE(W57)=0,VALUE(Y57)=0),"自動化候補",IF(AND(VALUE(U57)=0,VALUE(W57)&lt;=1,VALUE(X57)&lt;=1,VALUE(Y57)&lt;=1,VALUE(Z57)&lt;=1),"オフショア候補",IF(AND(VALUE(Y57)&lt;=1,VALUE(Z57)&lt;=1),"ニアショア候補","社内で手順化→再評価")))))</f>
        <v/>
      </c>
      <c r="AK57">
        <f>IF(AB57&lt;&gt;"OK","",14-SUMPRODUCT(--T57:Z57))</f>
        <v/>
      </c>
      <c r="AL57" s="33">
        <f>IF(AB57&lt;&gt;"OK","",AS57*AT57/60)</f>
        <v/>
      </c>
      <c r="AM57" s="34">
        <f>IF(A57="","",UPPER(TRIM(ASC(A57&amp;""))))</f>
        <v/>
      </c>
      <c r="AN57" s="34">
        <f>IF(AM57="","",AM57&amp;"-"&amp;B57)</f>
        <v/>
      </c>
      <c r="AO57" s="34">
        <f>IF(C57="","",IFERROR(VALUE(ASC(SUBSTITUTE(C57&amp;"","観点",""))),""))</f>
        <v/>
      </c>
      <c r="AP57" s="34">
        <f>IF(D57="","",IFERROR(VALUE(LEFT(TRIM(ASC(D57&amp;"")),1)),IFERROR(MATCH(TRIM(D57&amp;""),'M2_区分マスタ'!$I$5:$I$10,0),"")))</f>
        <v/>
      </c>
      <c r="AQ57" s="34">
        <f>IF(H57="","",UPPER(LEFT(TRIM(ASC(H57&amp;"")),3)))</f>
        <v/>
      </c>
      <c r="AR57" s="34">
        <f>IF(N57="","",IFERROR(VALUE(SUBSTITUTE(SUBSTITUTE(SUBSTITUTE(SUBSTITUTE(SUBSTITUTE(SUBSTITUTE(SUBSTITUTE(SUBSTITUTE(SUBSTITUTE(SUBSTITUTE(SUBSTITUTE(SUBSTITUTE(ASC(N57&amp;""),"約",""),"程度",""),"ほど",""),"回",""),"毎",""),"週",""),"月",""),"年",""),"日",""),"に",""),"/","")," ","")),""))</f>
        <v/>
      </c>
      <c r="AS57" s="34">
        <f>IF(N57="","",IF(ISNUMBER(N57),N57,IFERROR(VALUE(ASC(N57&amp;"")),IF(AR57&lt;&gt;"",AR57*IF(ISNUMBER(SEARCH("週",N57)),4.3,IF(ISNUMBER(SEARCH("年",N57)),1/12,IF(ISNUMBER(SEARCH("日",N57)),20,1))),IF(ISNUMBER(SEARCH("日",N57)),20,IF(ISNUMBER(SEARCH("週",N57)),4.3,IF(ISNUMBER(SEARCH("月",N57)),1,"")))))))</f>
        <v/>
      </c>
      <c r="AT57" s="34">
        <f>IF(O57="","",IF(ISNUMBER(O57),O57,IFERROR(VALUE(ASC(O57&amp;"")),IF(ISNUMBER(SEARCH("時間",O57)),IFERROR(VALUE(SUBSTITUTE(SUBSTITUTE(SUBSTITUTE(SUBSTITUTE(SUBSTITUTE(ASC(O57&amp;""),"約",""),"程度",""),"ほど",""),"時間","")," ",""))*60,""),IFERROR(VALUE(SUBSTITUTE(SUBSTITUTE(SUBSTITUTE(SUBSTITUTE(SUBSTITUTE(ASC(O57&amp;""),"約",""),"程度",""),"ほど",""),"分","")," ","")),"")))))</f>
        <v/>
      </c>
      <c r="AU57" s="34">
        <f>IF(P57="","",IF(ISNUMBER(P57),P57,IFERROR(VALUE(SUBSTITUTE(SUBSTITUTE(SUBSTITUTE(ASC(P57&amp;""),"約",""),"件","")," ","")),"")))</f>
        <v/>
      </c>
      <c r="AV57" s="34">
        <f>IF(AB57&lt;&gt;"OK","",IF(COUNTIFS($G$5:$G$404,G57&amp;"",$F$5:$F$404,F57&amp;"",$BE$5:$BE$404,BE57&amp;"",$AB$5:$AB$404,"OK")&gt;1,"同名あり",""))</f>
        <v/>
      </c>
      <c r="AW57" s="35">
        <f>IF(Q57="","",IF(ISNUMBER(Q57),Q57,IFERROR(DATEVALUE(SUBSTITUTE(SUBSTITUTE(ASC(Q57&amp;""),"-","/"),".","/")&amp;"/01"),"")))</f>
        <v/>
      </c>
      <c r="AX57" s="35">
        <f>IF(R57="","",IF(ISNUMBER(R57),R57,IFERROR(DATEVALUE(SUBSTITUTE(SUBSTITUTE(ASC(R57&amp;""),"-","/"),".","/")&amp;"/01"),"")))</f>
        <v/>
      </c>
      <c r="AY57" s="34">
        <f>IF(OR(AB57&lt;&gt;"OK",AW57=""),"",IF(AW57&gt;='01_設定'!$C$26,1,0))</f>
        <v/>
      </c>
      <c r="AZ57" s="34">
        <f>IF(AND(AB57="OK",AD57&lt;&gt;"除外"),COUNTIFS($AB$5:AB57,"OK",$AD$5:AD57,"&lt;&gt;除外"),"")</f>
        <v/>
      </c>
      <c r="BA57" s="34">
        <f>IF(OR(AZ57="",AI57=""),"",AI57+ROW()/1000000000)</f>
        <v/>
      </c>
      <c r="BB57" s="34">
        <f>IF(E57="","",IF(OR(TRIM(E57&amp;"")="-",TRIM(E57&amp;"")="－",TRIM(E57&amp;"")="ー"),"",TRIM(E57&amp;"")))</f>
        <v/>
      </c>
      <c r="BC57" s="34">
        <f>IF(AND(AB57="OK",BB57&lt;&gt;""),IF(COUNTIFS($BB$5:BB57,BB57,$AB$5:AB57,"OK")=1,1,""),"")</f>
        <v/>
      </c>
      <c r="BD57" s="34">
        <f>IF(BC57=1,COUNTIF($BC$5:BC57,1),"")</f>
        <v/>
      </c>
      <c r="BE57" s="34">
        <f>IF(BB57="","",IFERROR(INDEX('06_顧客別集計'!$G$5:$G$104,MATCH(BB57,'06_顧客別集計'!$C$5:$C$104,0)),BB57))</f>
        <v/>
      </c>
      <c r="BF57" s="34">
        <f>IF(AND(AZ57&lt;&gt;"",BE57&lt;&gt;""),IF(COUNTIFS($BE$5:BE57,BE57,$AZ$5:AZ57,"&gt;0")=1,1,""),"")</f>
        <v/>
      </c>
      <c r="BG57" s="34">
        <f>IF(BF57=1,COUNTIF($BF$5:BF57,1),"")</f>
        <v/>
      </c>
    </row>
    <row r="58">
      <c r="AB58">
        <f>IF(AND(A58="",G58=""),"",IF(ISNUMBER(SEARCH("##END",AM58)),"（終わりの印）",IF(ISNUMBER(SEARCH("##続き",AM58)),"（続きありの印）",IF(AM58="調査ID","（見出し行）",IF(AND(AM58&lt;&gt;"R1",AM58&lt;&gt;"R2"),"×表以外の行（集計されない）",IF(COUNTIF($AN$5:AN58,AN58)&gt;1,"△重複（集計されない）",IF(G58="","△タスク名なし",IF(ISNA(MATCH(AQ58,'M1_類型マスタ'!$A$5:$A$19,0)),"△類型が不正",IF(OR(AP58="",N(AP58)&lt;1,N(AP58)&gt;6),"△業務区分が不正",IF(OR(AS58="",AT58=""),"△回数・分が読めない",IF(SUMPRODUCT(--ISNUMBER(--T58:Z58))&lt;7,"△採点が足りない",IF(SUMPRODUCT((--T58:Z58&gt;2)+(--T58:Z58&lt;0))&gt;0,"△採点が範囲外","OK"))))))))))))</f>
        <v/>
      </c>
      <c r="AC58">
        <f>IF(AB58&lt;&gt;"OK","",TRIM(IF(AND(AU58&lt;&gt;"",N(AU58)&lt;=1),"根拠1件 ","")&amp;IF(AV58&lt;&gt;"","同名あり ","")&amp;IF(AND(NOT(ISNUMBER(N58)),N58&lt;&gt;""),"回数を換算 ","")&amp;IF(J58="","詳細なし ","")&amp;IF(AND(N(AP58)=1,BB58=""),"顧客名なし ","")))</f>
        <v/>
      </c>
      <c r="AD58" s="31" t="n"/>
      <c r="AE58" s="32" t="n"/>
      <c r="AF58" s="32" t="n"/>
      <c r="AG58" s="31" t="n"/>
      <c r="AH58">
        <f>IF(AB58&lt;&gt;"OK","",IF(AG58&lt;&gt;"",AG58,AJ58))</f>
        <v/>
      </c>
      <c r="AI58" s="33">
        <f>IF(AB58&lt;&gt;"OK","",IFERROR(IF(AE58&lt;&gt;"",AE58,AS58)*IF(AF58&lt;&gt;"",AF58,AT58)/60,""))</f>
        <v/>
      </c>
      <c r="AJ58">
        <f>IF(AB58&lt;&gt;"OK","",IF(OR(VALUE(T58)=2,VALUE(U58)=2,VALUE(V58)=2),"社内残置",IF(AND(VALUE(T58)=0,VALUE(W58)=0,VALUE(Y58)=0),"自動化候補",IF(AND(VALUE(U58)=0,VALUE(W58)&lt;=1,VALUE(X58)&lt;=1,VALUE(Y58)&lt;=1,VALUE(Z58)&lt;=1),"オフショア候補",IF(AND(VALUE(Y58)&lt;=1,VALUE(Z58)&lt;=1),"ニアショア候補","社内で手順化→再評価")))))</f>
        <v/>
      </c>
      <c r="AK58">
        <f>IF(AB58&lt;&gt;"OK","",14-SUMPRODUCT(--T58:Z58))</f>
        <v/>
      </c>
      <c r="AL58" s="33">
        <f>IF(AB58&lt;&gt;"OK","",AS58*AT58/60)</f>
        <v/>
      </c>
      <c r="AM58" s="34">
        <f>IF(A58="","",UPPER(TRIM(ASC(A58&amp;""))))</f>
        <v/>
      </c>
      <c r="AN58" s="34">
        <f>IF(AM58="","",AM58&amp;"-"&amp;B58)</f>
        <v/>
      </c>
      <c r="AO58" s="34">
        <f>IF(C58="","",IFERROR(VALUE(ASC(SUBSTITUTE(C58&amp;"","観点",""))),""))</f>
        <v/>
      </c>
      <c r="AP58" s="34">
        <f>IF(D58="","",IFERROR(VALUE(LEFT(TRIM(ASC(D58&amp;"")),1)),IFERROR(MATCH(TRIM(D58&amp;""),'M2_区分マスタ'!$I$5:$I$10,0),"")))</f>
        <v/>
      </c>
      <c r="AQ58" s="34">
        <f>IF(H58="","",UPPER(LEFT(TRIM(ASC(H58&amp;"")),3)))</f>
        <v/>
      </c>
      <c r="AR58" s="34">
        <f>IF(N58="","",IFERROR(VALUE(SUBSTITUTE(SUBSTITUTE(SUBSTITUTE(SUBSTITUTE(SUBSTITUTE(SUBSTITUTE(SUBSTITUTE(SUBSTITUTE(SUBSTITUTE(SUBSTITUTE(SUBSTITUTE(SUBSTITUTE(ASC(N58&amp;""),"約",""),"程度",""),"ほど",""),"回",""),"毎",""),"週",""),"月",""),"年",""),"日",""),"に",""),"/","")," ","")),""))</f>
        <v/>
      </c>
      <c r="AS58" s="34">
        <f>IF(N58="","",IF(ISNUMBER(N58),N58,IFERROR(VALUE(ASC(N58&amp;"")),IF(AR58&lt;&gt;"",AR58*IF(ISNUMBER(SEARCH("週",N58)),4.3,IF(ISNUMBER(SEARCH("年",N58)),1/12,IF(ISNUMBER(SEARCH("日",N58)),20,1))),IF(ISNUMBER(SEARCH("日",N58)),20,IF(ISNUMBER(SEARCH("週",N58)),4.3,IF(ISNUMBER(SEARCH("月",N58)),1,"")))))))</f>
        <v/>
      </c>
      <c r="AT58" s="34">
        <f>IF(O58="","",IF(ISNUMBER(O58),O58,IFERROR(VALUE(ASC(O58&amp;"")),IF(ISNUMBER(SEARCH("時間",O58)),IFERROR(VALUE(SUBSTITUTE(SUBSTITUTE(SUBSTITUTE(SUBSTITUTE(SUBSTITUTE(ASC(O58&amp;""),"約",""),"程度",""),"ほど",""),"時間","")," ",""))*60,""),IFERROR(VALUE(SUBSTITUTE(SUBSTITUTE(SUBSTITUTE(SUBSTITUTE(SUBSTITUTE(ASC(O58&amp;""),"約",""),"程度",""),"ほど",""),"分","")," ","")),"")))))</f>
        <v/>
      </c>
      <c r="AU58" s="34">
        <f>IF(P58="","",IF(ISNUMBER(P58),P58,IFERROR(VALUE(SUBSTITUTE(SUBSTITUTE(SUBSTITUTE(ASC(P58&amp;""),"約",""),"件","")," ","")),"")))</f>
        <v/>
      </c>
      <c r="AV58" s="34">
        <f>IF(AB58&lt;&gt;"OK","",IF(COUNTIFS($G$5:$G$404,G58&amp;"",$F$5:$F$404,F58&amp;"",$BE$5:$BE$404,BE58&amp;"",$AB$5:$AB$404,"OK")&gt;1,"同名あり",""))</f>
        <v/>
      </c>
      <c r="AW58" s="35">
        <f>IF(Q58="","",IF(ISNUMBER(Q58),Q58,IFERROR(DATEVALUE(SUBSTITUTE(SUBSTITUTE(ASC(Q58&amp;""),"-","/"),".","/")&amp;"/01"),"")))</f>
        <v/>
      </c>
      <c r="AX58" s="35">
        <f>IF(R58="","",IF(ISNUMBER(R58),R58,IFERROR(DATEVALUE(SUBSTITUTE(SUBSTITUTE(ASC(R58&amp;""),"-","/"),".","/")&amp;"/01"),"")))</f>
        <v/>
      </c>
      <c r="AY58" s="34">
        <f>IF(OR(AB58&lt;&gt;"OK",AW58=""),"",IF(AW58&gt;='01_設定'!$C$26,1,0))</f>
        <v/>
      </c>
      <c r="AZ58" s="34">
        <f>IF(AND(AB58="OK",AD58&lt;&gt;"除外"),COUNTIFS($AB$5:AB58,"OK",$AD$5:AD58,"&lt;&gt;除外"),"")</f>
        <v/>
      </c>
      <c r="BA58" s="34">
        <f>IF(OR(AZ58="",AI58=""),"",AI58+ROW()/1000000000)</f>
        <v/>
      </c>
      <c r="BB58" s="34">
        <f>IF(E58="","",IF(OR(TRIM(E58&amp;"")="-",TRIM(E58&amp;"")="－",TRIM(E58&amp;"")="ー"),"",TRIM(E58&amp;"")))</f>
        <v/>
      </c>
      <c r="BC58" s="34">
        <f>IF(AND(AB58="OK",BB58&lt;&gt;""),IF(COUNTIFS($BB$5:BB58,BB58,$AB$5:AB58,"OK")=1,1,""),"")</f>
        <v/>
      </c>
      <c r="BD58" s="34">
        <f>IF(BC58=1,COUNTIF($BC$5:BC58,1),"")</f>
        <v/>
      </c>
      <c r="BE58" s="34">
        <f>IF(BB58="","",IFERROR(INDEX('06_顧客別集計'!$G$5:$G$104,MATCH(BB58,'06_顧客別集計'!$C$5:$C$104,0)),BB58))</f>
        <v/>
      </c>
      <c r="BF58" s="34">
        <f>IF(AND(AZ58&lt;&gt;"",BE58&lt;&gt;""),IF(COUNTIFS($BE$5:BE58,BE58,$AZ$5:AZ58,"&gt;0")=1,1,""),"")</f>
        <v/>
      </c>
      <c r="BG58" s="34">
        <f>IF(BF58=1,COUNTIF($BF$5:BF58,1),"")</f>
        <v/>
      </c>
    </row>
    <row r="59">
      <c r="AB59">
        <f>IF(AND(A59="",G59=""),"",IF(ISNUMBER(SEARCH("##END",AM59)),"（終わりの印）",IF(ISNUMBER(SEARCH("##続き",AM59)),"（続きありの印）",IF(AM59="調査ID","（見出し行）",IF(AND(AM59&lt;&gt;"R1",AM59&lt;&gt;"R2"),"×表以外の行（集計されない）",IF(COUNTIF($AN$5:AN59,AN59)&gt;1,"△重複（集計されない）",IF(G59="","△タスク名なし",IF(ISNA(MATCH(AQ59,'M1_類型マスタ'!$A$5:$A$19,0)),"△類型が不正",IF(OR(AP59="",N(AP59)&lt;1,N(AP59)&gt;6),"△業務区分が不正",IF(OR(AS59="",AT59=""),"△回数・分が読めない",IF(SUMPRODUCT(--ISNUMBER(--T59:Z59))&lt;7,"△採点が足りない",IF(SUMPRODUCT((--T59:Z59&gt;2)+(--T59:Z59&lt;0))&gt;0,"△採点が範囲外","OK"))))))))))))</f>
        <v/>
      </c>
      <c r="AC59">
        <f>IF(AB59&lt;&gt;"OK","",TRIM(IF(AND(AU59&lt;&gt;"",N(AU59)&lt;=1),"根拠1件 ","")&amp;IF(AV59&lt;&gt;"","同名あり ","")&amp;IF(AND(NOT(ISNUMBER(N59)),N59&lt;&gt;""),"回数を換算 ","")&amp;IF(J59="","詳細なし ","")&amp;IF(AND(N(AP59)=1,BB59=""),"顧客名なし ","")))</f>
        <v/>
      </c>
      <c r="AD59" s="31" t="n"/>
      <c r="AE59" s="32" t="n"/>
      <c r="AF59" s="32" t="n"/>
      <c r="AG59" s="31" t="n"/>
      <c r="AH59">
        <f>IF(AB59&lt;&gt;"OK","",IF(AG59&lt;&gt;"",AG59,AJ59))</f>
        <v/>
      </c>
      <c r="AI59" s="33">
        <f>IF(AB59&lt;&gt;"OK","",IFERROR(IF(AE59&lt;&gt;"",AE59,AS59)*IF(AF59&lt;&gt;"",AF59,AT59)/60,""))</f>
        <v/>
      </c>
      <c r="AJ59">
        <f>IF(AB59&lt;&gt;"OK","",IF(OR(VALUE(T59)=2,VALUE(U59)=2,VALUE(V59)=2),"社内残置",IF(AND(VALUE(T59)=0,VALUE(W59)=0,VALUE(Y59)=0),"自動化候補",IF(AND(VALUE(U59)=0,VALUE(W59)&lt;=1,VALUE(X59)&lt;=1,VALUE(Y59)&lt;=1,VALUE(Z59)&lt;=1),"オフショア候補",IF(AND(VALUE(Y59)&lt;=1,VALUE(Z59)&lt;=1),"ニアショア候補","社内で手順化→再評価")))))</f>
        <v/>
      </c>
      <c r="AK59">
        <f>IF(AB59&lt;&gt;"OK","",14-SUMPRODUCT(--T59:Z59))</f>
        <v/>
      </c>
      <c r="AL59" s="33">
        <f>IF(AB59&lt;&gt;"OK","",AS59*AT59/60)</f>
        <v/>
      </c>
      <c r="AM59" s="34">
        <f>IF(A59="","",UPPER(TRIM(ASC(A59&amp;""))))</f>
        <v/>
      </c>
      <c r="AN59" s="34">
        <f>IF(AM59="","",AM59&amp;"-"&amp;B59)</f>
        <v/>
      </c>
      <c r="AO59" s="34">
        <f>IF(C59="","",IFERROR(VALUE(ASC(SUBSTITUTE(C59&amp;"","観点",""))),""))</f>
        <v/>
      </c>
      <c r="AP59" s="34">
        <f>IF(D59="","",IFERROR(VALUE(LEFT(TRIM(ASC(D59&amp;"")),1)),IFERROR(MATCH(TRIM(D59&amp;""),'M2_区分マスタ'!$I$5:$I$10,0),"")))</f>
        <v/>
      </c>
      <c r="AQ59" s="34">
        <f>IF(H59="","",UPPER(LEFT(TRIM(ASC(H59&amp;"")),3)))</f>
        <v/>
      </c>
      <c r="AR59" s="34">
        <f>IF(N59="","",IFERROR(VALUE(SUBSTITUTE(SUBSTITUTE(SUBSTITUTE(SUBSTITUTE(SUBSTITUTE(SUBSTITUTE(SUBSTITUTE(SUBSTITUTE(SUBSTITUTE(SUBSTITUTE(SUBSTITUTE(SUBSTITUTE(ASC(N59&amp;""),"約",""),"程度",""),"ほど",""),"回",""),"毎",""),"週",""),"月",""),"年",""),"日",""),"に",""),"/","")," ","")),""))</f>
        <v/>
      </c>
      <c r="AS59" s="34">
        <f>IF(N59="","",IF(ISNUMBER(N59),N59,IFERROR(VALUE(ASC(N59&amp;"")),IF(AR59&lt;&gt;"",AR59*IF(ISNUMBER(SEARCH("週",N59)),4.3,IF(ISNUMBER(SEARCH("年",N59)),1/12,IF(ISNUMBER(SEARCH("日",N59)),20,1))),IF(ISNUMBER(SEARCH("日",N59)),20,IF(ISNUMBER(SEARCH("週",N59)),4.3,IF(ISNUMBER(SEARCH("月",N59)),1,"")))))))</f>
        <v/>
      </c>
      <c r="AT59" s="34">
        <f>IF(O59="","",IF(ISNUMBER(O59),O59,IFERROR(VALUE(ASC(O59&amp;"")),IF(ISNUMBER(SEARCH("時間",O59)),IFERROR(VALUE(SUBSTITUTE(SUBSTITUTE(SUBSTITUTE(SUBSTITUTE(SUBSTITUTE(ASC(O59&amp;""),"約",""),"程度",""),"ほど",""),"時間","")," ",""))*60,""),IFERROR(VALUE(SUBSTITUTE(SUBSTITUTE(SUBSTITUTE(SUBSTITUTE(SUBSTITUTE(ASC(O59&amp;""),"約",""),"程度",""),"ほど",""),"分","")," ","")),"")))))</f>
        <v/>
      </c>
      <c r="AU59" s="34">
        <f>IF(P59="","",IF(ISNUMBER(P59),P59,IFERROR(VALUE(SUBSTITUTE(SUBSTITUTE(SUBSTITUTE(ASC(P59&amp;""),"約",""),"件","")," ","")),"")))</f>
        <v/>
      </c>
      <c r="AV59" s="34">
        <f>IF(AB59&lt;&gt;"OK","",IF(COUNTIFS($G$5:$G$404,G59&amp;"",$F$5:$F$404,F59&amp;"",$BE$5:$BE$404,BE59&amp;"",$AB$5:$AB$404,"OK")&gt;1,"同名あり",""))</f>
        <v/>
      </c>
      <c r="AW59" s="35">
        <f>IF(Q59="","",IF(ISNUMBER(Q59),Q59,IFERROR(DATEVALUE(SUBSTITUTE(SUBSTITUTE(ASC(Q59&amp;""),"-","/"),".","/")&amp;"/01"),"")))</f>
        <v/>
      </c>
      <c r="AX59" s="35">
        <f>IF(R59="","",IF(ISNUMBER(R59),R59,IFERROR(DATEVALUE(SUBSTITUTE(SUBSTITUTE(ASC(R59&amp;""),"-","/"),".","/")&amp;"/01"),"")))</f>
        <v/>
      </c>
      <c r="AY59" s="34">
        <f>IF(OR(AB59&lt;&gt;"OK",AW59=""),"",IF(AW59&gt;='01_設定'!$C$26,1,0))</f>
        <v/>
      </c>
      <c r="AZ59" s="34">
        <f>IF(AND(AB59="OK",AD59&lt;&gt;"除外"),COUNTIFS($AB$5:AB59,"OK",$AD$5:AD59,"&lt;&gt;除外"),"")</f>
        <v/>
      </c>
      <c r="BA59" s="34">
        <f>IF(OR(AZ59="",AI59=""),"",AI59+ROW()/1000000000)</f>
        <v/>
      </c>
      <c r="BB59" s="34">
        <f>IF(E59="","",IF(OR(TRIM(E59&amp;"")="-",TRIM(E59&amp;"")="－",TRIM(E59&amp;"")="ー"),"",TRIM(E59&amp;"")))</f>
        <v/>
      </c>
      <c r="BC59" s="34">
        <f>IF(AND(AB59="OK",BB59&lt;&gt;""),IF(COUNTIFS($BB$5:BB59,BB59,$AB$5:AB59,"OK")=1,1,""),"")</f>
        <v/>
      </c>
      <c r="BD59" s="34">
        <f>IF(BC59=1,COUNTIF($BC$5:BC59,1),"")</f>
        <v/>
      </c>
      <c r="BE59" s="34">
        <f>IF(BB59="","",IFERROR(INDEX('06_顧客別集計'!$G$5:$G$104,MATCH(BB59,'06_顧客別集計'!$C$5:$C$104,0)),BB59))</f>
        <v/>
      </c>
      <c r="BF59" s="34">
        <f>IF(AND(AZ59&lt;&gt;"",BE59&lt;&gt;""),IF(COUNTIFS($BE$5:BE59,BE59,$AZ$5:AZ59,"&gt;0")=1,1,""),"")</f>
        <v/>
      </c>
      <c r="BG59" s="34">
        <f>IF(BF59=1,COUNTIF($BF$5:BF59,1),"")</f>
        <v/>
      </c>
    </row>
    <row r="60">
      <c r="AB60">
        <f>IF(AND(A60="",G60=""),"",IF(ISNUMBER(SEARCH("##END",AM60)),"（終わりの印）",IF(ISNUMBER(SEARCH("##続き",AM60)),"（続きありの印）",IF(AM60="調査ID","（見出し行）",IF(AND(AM60&lt;&gt;"R1",AM60&lt;&gt;"R2"),"×表以外の行（集計されない）",IF(COUNTIF($AN$5:AN60,AN60)&gt;1,"△重複（集計されない）",IF(G60="","△タスク名なし",IF(ISNA(MATCH(AQ60,'M1_類型マスタ'!$A$5:$A$19,0)),"△類型が不正",IF(OR(AP60="",N(AP60)&lt;1,N(AP60)&gt;6),"△業務区分が不正",IF(OR(AS60="",AT60=""),"△回数・分が読めない",IF(SUMPRODUCT(--ISNUMBER(--T60:Z60))&lt;7,"△採点が足りない",IF(SUMPRODUCT((--T60:Z60&gt;2)+(--T60:Z60&lt;0))&gt;0,"△採点が範囲外","OK"))))))))))))</f>
        <v/>
      </c>
      <c r="AC60">
        <f>IF(AB60&lt;&gt;"OK","",TRIM(IF(AND(AU60&lt;&gt;"",N(AU60)&lt;=1),"根拠1件 ","")&amp;IF(AV60&lt;&gt;"","同名あり ","")&amp;IF(AND(NOT(ISNUMBER(N60)),N60&lt;&gt;""),"回数を換算 ","")&amp;IF(J60="","詳細なし ","")&amp;IF(AND(N(AP60)=1,BB60=""),"顧客名なし ","")))</f>
        <v/>
      </c>
      <c r="AD60" s="31" t="n"/>
      <c r="AE60" s="32" t="n"/>
      <c r="AF60" s="32" t="n"/>
      <c r="AG60" s="31" t="n"/>
      <c r="AH60">
        <f>IF(AB60&lt;&gt;"OK","",IF(AG60&lt;&gt;"",AG60,AJ60))</f>
        <v/>
      </c>
      <c r="AI60" s="33">
        <f>IF(AB60&lt;&gt;"OK","",IFERROR(IF(AE60&lt;&gt;"",AE60,AS60)*IF(AF60&lt;&gt;"",AF60,AT60)/60,""))</f>
        <v/>
      </c>
      <c r="AJ60">
        <f>IF(AB60&lt;&gt;"OK","",IF(OR(VALUE(T60)=2,VALUE(U60)=2,VALUE(V60)=2),"社内残置",IF(AND(VALUE(T60)=0,VALUE(W60)=0,VALUE(Y60)=0),"自動化候補",IF(AND(VALUE(U60)=0,VALUE(W60)&lt;=1,VALUE(X60)&lt;=1,VALUE(Y60)&lt;=1,VALUE(Z60)&lt;=1),"オフショア候補",IF(AND(VALUE(Y60)&lt;=1,VALUE(Z60)&lt;=1),"ニアショア候補","社内で手順化→再評価")))))</f>
        <v/>
      </c>
      <c r="AK60">
        <f>IF(AB60&lt;&gt;"OK","",14-SUMPRODUCT(--T60:Z60))</f>
        <v/>
      </c>
      <c r="AL60" s="33">
        <f>IF(AB60&lt;&gt;"OK","",AS60*AT60/60)</f>
        <v/>
      </c>
      <c r="AM60" s="34">
        <f>IF(A60="","",UPPER(TRIM(ASC(A60&amp;""))))</f>
        <v/>
      </c>
      <c r="AN60" s="34">
        <f>IF(AM60="","",AM60&amp;"-"&amp;B60)</f>
        <v/>
      </c>
      <c r="AO60" s="34">
        <f>IF(C60="","",IFERROR(VALUE(ASC(SUBSTITUTE(C60&amp;"","観点",""))),""))</f>
        <v/>
      </c>
      <c r="AP60" s="34">
        <f>IF(D60="","",IFERROR(VALUE(LEFT(TRIM(ASC(D60&amp;"")),1)),IFERROR(MATCH(TRIM(D60&amp;""),'M2_区分マスタ'!$I$5:$I$10,0),"")))</f>
        <v/>
      </c>
      <c r="AQ60" s="34">
        <f>IF(H60="","",UPPER(LEFT(TRIM(ASC(H60&amp;"")),3)))</f>
        <v/>
      </c>
      <c r="AR60" s="34">
        <f>IF(N60="","",IFERROR(VALUE(SUBSTITUTE(SUBSTITUTE(SUBSTITUTE(SUBSTITUTE(SUBSTITUTE(SUBSTITUTE(SUBSTITUTE(SUBSTITUTE(SUBSTITUTE(SUBSTITUTE(SUBSTITUTE(SUBSTITUTE(ASC(N60&amp;""),"約",""),"程度",""),"ほど",""),"回",""),"毎",""),"週",""),"月",""),"年",""),"日",""),"に",""),"/","")," ","")),""))</f>
        <v/>
      </c>
      <c r="AS60" s="34">
        <f>IF(N60="","",IF(ISNUMBER(N60),N60,IFERROR(VALUE(ASC(N60&amp;"")),IF(AR60&lt;&gt;"",AR60*IF(ISNUMBER(SEARCH("週",N60)),4.3,IF(ISNUMBER(SEARCH("年",N60)),1/12,IF(ISNUMBER(SEARCH("日",N60)),20,1))),IF(ISNUMBER(SEARCH("日",N60)),20,IF(ISNUMBER(SEARCH("週",N60)),4.3,IF(ISNUMBER(SEARCH("月",N60)),1,"")))))))</f>
        <v/>
      </c>
      <c r="AT60" s="34">
        <f>IF(O60="","",IF(ISNUMBER(O60),O60,IFERROR(VALUE(ASC(O60&amp;"")),IF(ISNUMBER(SEARCH("時間",O60)),IFERROR(VALUE(SUBSTITUTE(SUBSTITUTE(SUBSTITUTE(SUBSTITUTE(SUBSTITUTE(ASC(O60&amp;""),"約",""),"程度",""),"ほど",""),"時間","")," ",""))*60,""),IFERROR(VALUE(SUBSTITUTE(SUBSTITUTE(SUBSTITUTE(SUBSTITUTE(SUBSTITUTE(ASC(O60&amp;""),"約",""),"程度",""),"ほど",""),"分","")," ","")),"")))))</f>
        <v/>
      </c>
      <c r="AU60" s="34">
        <f>IF(P60="","",IF(ISNUMBER(P60),P60,IFERROR(VALUE(SUBSTITUTE(SUBSTITUTE(SUBSTITUTE(ASC(P60&amp;""),"約",""),"件","")," ","")),"")))</f>
        <v/>
      </c>
      <c r="AV60" s="34">
        <f>IF(AB60&lt;&gt;"OK","",IF(COUNTIFS($G$5:$G$404,G60&amp;"",$F$5:$F$404,F60&amp;"",$BE$5:$BE$404,BE60&amp;"",$AB$5:$AB$404,"OK")&gt;1,"同名あり",""))</f>
        <v/>
      </c>
      <c r="AW60" s="35">
        <f>IF(Q60="","",IF(ISNUMBER(Q60),Q60,IFERROR(DATEVALUE(SUBSTITUTE(SUBSTITUTE(ASC(Q60&amp;""),"-","/"),".","/")&amp;"/01"),"")))</f>
        <v/>
      </c>
      <c r="AX60" s="35">
        <f>IF(R60="","",IF(ISNUMBER(R60),R60,IFERROR(DATEVALUE(SUBSTITUTE(SUBSTITUTE(ASC(R60&amp;""),"-","/"),".","/")&amp;"/01"),"")))</f>
        <v/>
      </c>
      <c r="AY60" s="34">
        <f>IF(OR(AB60&lt;&gt;"OK",AW60=""),"",IF(AW60&gt;='01_設定'!$C$26,1,0))</f>
        <v/>
      </c>
      <c r="AZ60" s="34">
        <f>IF(AND(AB60="OK",AD60&lt;&gt;"除外"),COUNTIFS($AB$5:AB60,"OK",$AD$5:AD60,"&lt;&gt;除外"),"")</f>
        <v/>
      </c>
      <c r="BA60" s="34">
        <f>IF(OR(AZ60="",AI60=""),"",AI60+ROW()/1000000000)</f>
        <v/>
      </c>
      <c r="BB60" s="34">
        <f>IF(E60="","",IF(OR(TRIM(E60&amp;"")="-",TRIM(E60&amp;"")="－",TRIM(E60&amp;"")="ー"),"",TRIM(E60&amp;"")))</f>
        <v/>
      </c>
      <c r="BC60" s="34">
        <f>IF(AND(AB60="OK",BB60&lt;&gt;""),IF(COUNTIFS($BB$5:BB60,BB60,$AB$5:AB60,"OK")=1,1,""),"")</f>
        <v/>
      </c>
      <c r="BD60" s="34">
        <f>IF(BC60=1,COUNTIF($BC$5:BC60,1),"")</f>
        <v/>
      </c>
      <c r="BE60" s="34">
        <f>IF(BB60="","",IFERROR(INDEX('06_顧客別集計'!$G$5:$G$104,MATCH(BB60,'06_顧客別集計'!$C$5:$C$104,0)),BB60))</f>
        <v/>
      </c>
      <c r="BF60" s="34">
        <f>IF(AND(AZ60&lt;&gt;"",BE60&lt;&gt;""),IF(COUNTIFS($BE$5:BE60,BE60,$AZ$5:AZ60,"&gt;0")=1,1,""),"")</f>
        <v/>
      </c>
      <c r="BG60" s="34">
        <f>IF(BF60=1,COUNTIF($BF$5:BF60,1),"")</f>
        <v/>
      </c>
    </row>
    <row r="61">
      <c r="AB61">
        <f>IF(AND(A61="",G61=""),"",IF(ISNUMBER(SEARCH("##END",AM61)),"（終わりの印）",IF(ISNUMBER(SEARCH("##続き",AM61)),"（続きありの印）",IF(AM61="調査ID","（見出し行）",IF(AND(AM61&lt;&gt;"R1",AM61&lt;&gt;"R2"),"×表以外の行（集計されない）",IF(COUNTIF($AN$5:AN61,AN61)&gt;1,"△重複（集計されない）",IF(G61="","△タスク名なし",IF(ISNA(MATCH(AQ61,'M1_類型マスタ'!$A$5:$A$19,0)),"△類型が不正",IF(OR(AP61="",N(AP61)&lt;1,N(AP61)&gt;6),"△業務区分が不正",IF(OR(AS61="",AT61=""),"△回数・分が読めない",IF(SUMPRODUCT(--ISNUMBER(--T61:Z61))&lt;7,"△採点が足りない",IF(SUMPRODUCT((--T61:Z61&gt;2)+(--T61:Z61&lt;0))&gt;0,"△採点が範囲外","OK"))))))))))))</f>
        <v/>
      </c>
      <c r="AC61">
        <f>IF(AB61&lt;&gt;"OK","",TRIM(IF(AND(AU61&lt;&gt;"",N(AU61)&lt;=1),"根拠1件 ","")&amp;IF(AV61&lt;&gt;"","同名あり ","")&amp;IF(AND(NOT(ISNUMBER(N61)),N61&lt;&gt;""),"回数を換算 ","")&amp;IF(J61="","詳細なし ","")&amp;IF(AND(N(AP61)=1,BB61=""),"顧客名なし ","")))</f>
        <v/>
      </c>
      <c r="AD61" s="31" t="n"/>
      <c r="AE61" s="32" t="n"/>
      <c r="AF61" s="32" t="n"/>
      <c r="AG61" s="31" t="n"/>
      <c r="AH61">
        <f>IF(AB61&lt;&gt;"OK","",IF(AG61&lt;&gt;"",AG61,AJ61))</f>
        <v/>
      </c>
      <c r="AI61" s="33">
        <f>IF(AB61&lt;&gt;"OK","",IFERROR(IF(AE61&lt;&gt;"",AE61,AS61)*IF(AF61&lt;&gt;"",AF61,AT61)/60,""))</f>
        <v/>
      </c>
      <c r="AJ61">
        <f>IF(AB61&lt;&gt;"OK","",IF(OR(VALUE(T61)=2,VALUE(U61)=2,VALUE(V61)=2),"社内残置",IF(AND(VALUE(T61)=0,VALUE(W61)=0,VALUE(Y61)=0),"自動化候補",IF(AND(VALUE(U61)=0,VALUE(W61)&lt;=1,VALUE(X61)&lt;=1,VALUE(Y61)&lt;=1,VALUE(Z61)&lt;=1),"オフショア候補",IF(AND(VALUE(Y61)&lt;=1,VALUE(Z61)&lt;=1),"ニアショア候補","社内で手順化→再評価")))))</f>
        <v/>
      </c>
      <c r="AK61">
        <f>IF(AB61&lt;&gt;"OK","",14-SUMPRODUCT(--T61:Z61))</f>
        <v/>
      </c>
      <c r="AL61" s="33">
        <f>IF(AB61&lt;&gt;"OK","",AS61*AT61/60)</f>
        <v/>
      </c>
      <c r="AM61" s="34">
        <f>IF(A61="","",UPPER(TRIM(ASC(A61&amp;""))))</f>
        <v/>
      </c>
      <c r="AN61" s="34">
        <f>IF(AM61="","",AM61&amp;"-"&amp;B61)</f>
        <v/>
      </c>
      <c r="AO61" s="34">
        <f>IF(C61="","",IFERROR(VALUE(ASC(SUBSTITUTE(C61&amp;"","観点",""))),""))</f>
        <v/>
      </c>
      <c r="AP61" s="34">
        <f>IF(D61="","",IFERROR(VALUE(LEFT(TRIM(ASC(D61&amp;"")),1)),IFERROR(MATCH(TRIM(D61&amp;""),'M2_区分マスタ'!$I$5:$I$10,0),"")))</f>
        <v/>
      </c>
      <c r="AQ61" s="34">
        <f>IF(H61="","",UPPER(LEFT(TRIM(ASC(H61&amp;"")),3)))</f>
        <v/>
      </c>
      <c r="AR61" s="34">
        <f>IF(N61="","",IFERROR(VALUE(SUBSTITUTE(SUBSTITUTE(SUBSTITUTE(SUBSTITUTE(SUBSTITUTE(SUBSTITUTE(SUBSTITUTE(SUBSTITUTE(SUBSTITUTE(SUBSTITUTE(SUBSTITUTE(SUBSTITUTE(ASC(N61&amp;""),"約",""),"程度",""),"ほど",""),"回",""),"毎",""),"週",""),"月",""),"年",""),"日",""),"に",""),"/","")," ","")),""))</f>
        <v/>
      </c>
      <c r="AS61" s="34">
        <f>IF(N61="","",IF(ISNUMBER(N61),N61,IFERROR(VALUE(ASC(N61&amp;"")),IF(AR61&lt;&gt;"",AR61*IF(ISNUMBER(SEARCH("週",N61)),4.3,IF(ISNUMBER(SEARCH("年",N61)),1/12,IF(ISNUMBER(SEARCH("日",N61)),20,1))),IF(ISNUMBER(SEARCH("日",N61)),20,IF(ISNUMBER(SEARCH("週",N61)),4.3,IF(ISNUMBER(SEARCH("月",N61)),1,"")))))))</f>
        <v/>
      </c>
      <c r="AT61" s="34">
        <f>IF(O61="","",IF(ISNUMBER(O61),O61,IFERROR(VALUE(ASC(O61&amp;"")),IF(ISNUMBER(SEARCH("時間",O61)),IFERROR(VALUE(SUBSTITUTE(SUBSTITUTE(SUBSTITUTE(SUBSTITUTE(SUBSTITUTE(ASC(O61&amp;""),"約",""),"程度",""),"ほど",""),"時間","")," ",""))*60,""),IFERROR(VALUE(SUBSTITUTE(SUBSTITUTE(SUBSTITUTE(SUBSTITUTE(SUBSTITUTE(ASC(O61&amp;""),"約",""),"程度",""),"ほど",""),"分","")," ","")),"")))))</f>
        <v/>
      </c>
      <c r="AU61" s="34">
        <f>IF(P61="","",IF(ISNUMBER(P61),P61,IFERROR(VALUE(SUBSTITUTE(SUBSTITUTE(SUBSTITUTE(ASC(P61&amp;""),"約",""),"件","")," ","")),"")))</f>
        <v/>
      </c>
      <c r="AV61" s="34">
        <f>IF(AB61&lt;&gt;"OK","",IF(COUNTIFS($G$5:$G$404,G61&amp;"",$F$5:$F$404,F61&amp;"",$BE$5:$BE$404,BE61&amp;"",$AB$5:$AB$404,"OK")&gt;1,"同名あり",""))</f>
        <v/>
      </c>
      <c r="AW61" s="35">
        <f>IF(Q61="","",IF(ISNUMBER(Q61),Q61,IFERROR(DATEVALUE(SUBSTITUTE(SUBSTITUTE(ASC(Q61&amp;""),"-","/"),".","/")&amp;"/01"),"")))</f>
        <v/>
      </c>
      <c r="AX61" s="35">
        <f>IF(R61="","",IF(ISNUMBER(R61),R61,IFERROR(DATEVALUE(SUBSTITUTE(SUBSTITUTE(ASC(R61&amp;""),"-","/"),".","/")&amp;"/01"),"")))</f>
        <v/>
      </c>
      <c r="AY61" s="34">
        <f>IF(OR(AB61&lt;&gt;"OK",AW61=""),"",IF(AW61&gt;='01_設定'!$C$26,1,0))</f>
        <v/>
      </c>
      <c r="AZ61" s="34">
        <f>IF(AND(AB61="OK",AD61&lt;&gt;"除外"),COUNTIFS($AB$5:AB61,"OK",$AD$5:AD61,"&lt;&gt;除外"),"")</f>
        <v/>
      </c>
      <c r="BA61" s="34">
        <f>IF(OR(AZ61="",AI61=""),"",AI61+ROW()/1000000000)</f>
        <v/>
      </c>
      <c r="BB61" s="34">
        <f>IF(E61="","",IF(OR(TRIM(E61&amp;"")="-",TRIM(E61&amp;"")="－",TRIM(E61&amp;"")="ー"),"",TRIM(E61&amp;"")))</f>
        <v/>
      </c>
      <c r="BC61" s="34">
        <f>IF(AND(AB61="OK",BB61&lt;&gt;""),IF(COUNTIFS($BB$5:BB61,BB61,$AB$5:AB61,"OK")=1,1,""),"")</f>
        <v/>
      </c>
      <c r="BD61" s="34">
        <f>IF(BC61=1,COUNTIF($BC$5:BC61,1),"")</f>
        <v/>
      </c>
      <c r="BE61" s="34">
        <f>IF(BB61="","",IFERROR(INDEX('06_顧客別集計'!$G$5:$G$104,MATCH(BB61,'06_顧客別集計'!$C$5:$C$104,0)),BB61))</f>
        <v/>
      </c>
      <c r="BF61" s="34">
        <f>IF(AND(AZ61&lt;&gt;"",BE61&lt;&gt;""),IF(COUNTIFS($BE$5:BE61,BE61,$AZ$5:AZ61,"&gt;0")=1,1,""),"")</f>
        <v/>
      </c>
      <c r="BG61" s="34">
        <f>IF(BF61=1,COUNTIF($BF$5:BF61,1),"")</f>
        <v/>
      </c>
    </row>
    <row r="62">
      <c r="AB62">
        <f>IF(AND(A62="",G62=""),"",IF(ISNUMBER(SEARCH("##END",AM62)),"（終わりの印）",IF(ISNUMBER(SEARCH("##続き",AM62)),"（続きありの印）",IF(AM62="調査ID","（見出し行）",IF(AND(AM62&lt;&gt;"R1",AM62&lt;&gt;"R2"),"×表以外の行（集計されない）",IF(COUNTIF($AN$5:AN62,AN62)&gt;1,"△重複（集計されない）",IF(G62="","△タスク名なし",IF(ISNA(MATCH(AQ62,'M1_類型マスタ'!$A$5:$A$19,0)),"△類型が不正",IF(OR(AP62="",N(AP62)&lt;1,N(AP62)&gt;6),"△業務区分が不正",IF(OR(AS62="",AT62=""),"△回数・分が読めない",IF(SUMPRODUCT(--ISNUMBER(--T62:Z62))&lt;7,"△採点が足りない",IF(SUMPRODUCT((--T62:Z62&gt;2)+(--T62:Z62&lt;0))&gt;0,"△採点が範囲外","OK"))))))))))))</f>
        <v/>
      </c>
      <c r="AC62">
        <f>IF(AB62&lt;&gt;"OK","",TRIM(IF(AND(AU62&lt;&gt;"",N(AU62)&lt;=1),"根拠1件 ","")&amp;IF(AV62&lt;&gt;"","同名あり ","")&amp;IF(AND(NOT(ISNUMBER(N62)),N62&lt;&gt;""),"回数を換算 ","")&amp;IF(J62="","詳細なし ","")&amp;IF(AND(N(AP62)=1,BB62=""),"顧客名なし ","")))</f>
        <v/>
      </c>
      <c r="AD62" s="31" t="n"/>
      <c r="AE62" s="32" t="n"/>
      <c r="AF62" s="32" t="n"/>
      <c r="AG62" s="31" t="n"/>
      <c r="AH62">
        <f>IF(AB62&lt;&gt;"OK","",IF(AG62&lt;&gt;"",AG62,AJ62))</f>
        <v/>
      </c>
      <c r="AI62" s="33">
        <f>IF(AB62&lt;&gt;"OK","",IFERROR(IF(AE62&lt;&gt;"",AE62,AS62)*IF(AF62&lt;&gt;"",AF62,AT62)/60,""))</f>
        <v/>
      </c>
      <c r="AJ62">
        <f>IF(AB62&lt;&gt;"OK","",IF(OR(VALUE(T62)=2,VALUE(U62)=2,VALUE(V62)=2),"社内残置",IF(AND(VALUE(T62)=0,VALUE(W62)=0,VALUE(Y62)=0),"自動化候補",IF(AND(VALUE(U62)=0,VALUE(W62)&lt;=1,VALUE(X62)&lt;=1,VALUE(Y62)&lt;=1,VALUE(Z62)&lt;=1),"オフショア候補",IF(AND(VALUE(Y62)&lt;=1,VALUE(Z62)&lt;=1),"ニアショア候補","社内で手順化→再評価")))))</f>
        <v/>
      </c>
      <c r="AK62">
        <f>IF(AB62&lt;&gt;"OK","",14-SUMPRODUCT(--T62:Z62))</f>
        <v/>
      </c>
      <c r="AL62" s="33">
        <f>IF(AB62&lt;&gt;"OK","",AS62*AT62/60)</f>
        <v/>
      </c>
      <c r="AM62" s="34">
        <f>IF(A62="","",UPPER(TRIM(ASC(A62&amp;""))))</f>
        <v/>
      </c>
      <c r="AN62" s="34">
        <f>IF(AM62="","",AM62&amp;"-"&amp;B62)</f>
        <v/>
      </c>
      <c r="AO62" s="34">
        <f>IF(C62="","",IFERROR(VALUE(ASC(SUBSTITUTE(C62&amp;"","観点",""))),""))</f>
        <v/>
      </c>
      <c r="AP62" s="34">
        <f>IF(D62="","",IFERROR(VALUE(LEFT(TRIM(ASC(D62&amp;"")),1)),IFERROR(MATCH(TRIM(D62&amp;""),'M2_区分マスタ'!$I$5:$I$10,0),"")))</f>
        <v/>
      </c>
      <c r="AQ62" s="34">
        <f>IF(H62="","",UPPER(LEFT(TRIM(ASC(H62&amp;"")),3)))</f>
        <v/>
      </c>
      <c r="AR62" s="34">
        <f>IF(N62="","",IFERROR(VALUE(SUBSTITUTE(SUBSTITUTE(SUBSTITUTE(SUBSTITUTE(SUBSTITUTE(SUBSTITUTE(SUBSTITUTE(SUBSTITUTE(SUBSTITUTE(SUBSTITUTE(SUBSTITUTE(SUBSTITUTE(ASC(N62&amp;""),"約",""),"程度",""),"ほど",""),"回",""),"毎",""),"週",""),"月",""),"年",""),"日",""),"に",""),"/","")," ","")),""))</f>
        <v/>
      </c>
      <c r="AS62" s="34">
        <f>IF(N62="","",IF(ISNUMBER(N62),N62,IFERROR(VALUE(ASC(N62&amp;"")),IF(AR62&lt;&gt;"",AR62*IF(ISNUMBER(SEARCH("週",N62)),4.3,IF(ISNUMBER(SEARCH("年",N62)),1/12,IF(ISNUMBER(SEARCH("日",N62)),20,1))),IF(ISNUMBER(SEARCH("日",N62)),20,IF(ISNUMBER(SEARCH("週",N62)),4.3,IF(ISNUMBER(SEARCH("月",N62)),1,"")))))))</f>
        <v/>
      </c>
      <c r="AT62" s="34">
        <f>IF(O62="","",IF(ISNUMBER(O62),O62,IFERROR(VALUE(ASC(O62&amp;"")),IF(ISNUMBER(SEARCH("時間",O62)),IFERROR(VALUE(SUBSTITUTE(SUBSTITUTE(SUBSTITUTE(SUBSTITUTE(SUBSTITUTE(ASC(O62&amp;""),"約",""),"程度",""),"ほど",""),"時間","")," ",""))*60,""),IFERROR(VALUE(SUBSTITUTE(SUBSTITUTE(SUBSTITUTE(SUBSTITUTE(SUBSTITUTE(ASC(O62&amp;""),"約",""),"程度",""),"ほど",""),"分","")," ","")),"")))))</f>
        <v/>
      </c>
      <c r="AU62" s="34">
        <f>IF(P62="","",IF(ISNUMBER(P62),P62,IFERROR(VALUE(SUBSTITUTE(SUBSTITUTE(SUBSTITUTE(ASC(P62&amp;""),"約",""),"件","")," ","")),"")))</f>
        <v/>
      </c>
      <c r="AV62" s="34">
        <f>IF(AB62&lt;&gt;"OK","",IF(COUNTIFS($G$5:$G$404,G62&amp;"",$F$5:$F$404,F62&amp;"",$BE$5:$BE$404,BE62&amp;"",$AB$5:$AB$404,"OK")&gt;1,"同名あり",""))</f>
        <v/>
      </c>
      <c r="AW62" s="35">
        <f>IF(Q62="","",IF(ISNUMBER(Q62),Q62,IFERROR(DATEVALUE(SUBSTITUTE(SUBSTITUTE(ASC(Q62&amp;""),"-","/"),".","/")&amp;"/01"),"")))</f>
        <v/>
      </c>
      <c r="AX62" s="35">
        <f>IF(R62="","",IF(ISNUMBER(R62),R62,IFERROR(DATEVALUE(SUBSTITUTE(SUBSTITUTE(ASC(R62&amp;""),"-","/"),".","/")&amp;"/01"),"")))</f>
        <v/>
      </c>
      <c r="AY62" s="34">
        <f>IF(OR(AB62&lt;&gt;"OK",AW62=""),"",IF(AW62&gt;='01_設定'!$C$26,1,0))</f>
        <v/>
      </c>
      <c r="AZ62" s="34">
        <f>IF(AND(AB62="OK",AD62&lt;&gt;"除外"),COUNTIFS($AB$5:AB62,"OK",$AD$5:AD62,"&lt;&gt;除外"),"")</f>
        <v/>
      </c>
      <c r="BA62" s="34">
        <f>IF(OR(AZ62="",AI62=""),"",AI62+ROW()/1000000000)</f>
        <v/>
      </c>
      <c r="BB62" s="34">
        <f>IF(E62="","",IF(OR(TRIM(E62&amp;"")="-",TRIM(E62&amp;"")="－",TRIM(E62&amp;"")="ー"),"",TRIM(E62&amp;"")))</f>
        <v/>
      </c>
      <c r="BC62" s="34">
        <f>IF(AND(AB62="OK",BB62&lt;&gt;""),IF(COUNTIFS($BB$5:BB62,BB62,$AB$5:AB62,"OK")=1,1,""),"")</f>
        <v/>
      </c>
      <c r="BD62" s="34">
        <f>IF(BC62=1,COUNTIF($BC$5:BC62,1),"")</f>
        <v/>
      </c>
      <c r="BE62" s="34">
        <f>IF(BB62="","",IFERROR(INDEX('06_顧客別集計'!$G$5:$G$104,MATCH(BB62,'06_顧客別集計'!$C$5:$C$104,0)),BB62))</f>
        <v/>
      </c>
      <c r="BF62" s="34">
        <f>IF(AND(AZ62&lt;&gt;"",BE62&lt;&gt;""),IF(COUNTIFS($BE$5:BE62,BE62,$AZ$5:AZ62,"&gt;0")=1,1,""),"")</f>
        <v/>
      </c>
      <c r="BG62" s="34">
        <f>IF(BF62=1,COUNTIF($BF$5:BF62,1),"")</f>
        <v/>
      </c>
    </row>
    <row r="63">
      <c r="AB63">
        <f>IF(AND(A63="",G63=""),"",IF(ISNUMBER(SEARCH("##END",AM63)),"（終わりの印）",IF(ISNUMBER(SEARCH("##続き",AM63)),"（続きありの印）",IF(AM63="調査ID","（見出し行）",IF(AND(AM63&lt;&gt;"R1",AM63&lt;&gt;"R2"),"×表以外の行（集計されない）",IF(COUNTIF($AN$5:AN63,AN63)&gt;1,"△重複（集計されない）",IF(G63="","△タスク名なし",IF(ISNA(MATCH(AQ63,'M1_類型マスタ'!$A$5:$A$19,0)),"△類型が不正",IF(OR(AP63="",N(AP63)&lt;1,N(AP63)&gt;6),"△業務区分が不正",IF(OR(AS63="",AT63=""),"△回数・分が読めない",IF(SUMPRODUCT(--ISNUMBER(--T63:Z63))&lt;7,"△採点が足りない",IF(SUMPRODUCT((--T63:Z63&gt;2)+(--T63:Z63&lt;0))&gt;0,"△採点が範囲外","OK"))))))))))))</f>
        <v/>
      </c>
      <c r="AC63">
        <f>IF(AB63&lt;&gt;"OK","",TRIM(IF(AND(AU63&lt;&gt;"",N(AU63)&lt;=1),"根拠1件 ","")&amp;IF(AV63&lt;&gt;"","同名あり ","")&amp;IF(AND(NOT(ISNUMBER(N63)),N63&lt;&gt;""),"回数を換算 ","")&amp;IF(J63="","詳細なし ","")&amp;IF(AND(N(AP63)=1,BB63=""),"顧客名なし ","")))</f>
        <v/>
      </c>
      <c r="AD63" s="31" t="n"/>
      <c r="AE63" s="32" t="n"/>
      <c r="AF63" s="32" t="n"/>
      <c r="AG63" s="31" t="n"/>
      <c r="AH63">
        <f>IF(AB63&lt;&gt;"OK","",IF(AG63&lt;&gt;"",AG63,AJ63))</f>
        <v/>
      </c>
      <c r="AI63" s="33">
        <f>IF(AB63&lt;&gt;"OK","",IFERROR(IF(AE63&lt;&gt;"",AE63,AS63)*IF(AF63&lt;&gt;"",AF63,AT63)/60,""))</f>
        <v/>
      </c>
      <c r="AJ63">
        <f>IF(AB63&lt;&gt;"OK","",IF(OR(VALUE(T63)=2,VALUE(U63)=2,VALUE(V63)=2),"社内残置",IF(AND(VALUE(T63)=0,VALUE(W63)=0,VALUE(Y63)=0),"自動化候補",IF(AND(VALUE(U63)=0,VALUE(W63)&lt;=1,VALUE(X63)&lt;=1,VALUE(Y63)&lt;=1,VALUE(Z63)&lt;=1),"オフショア候補",IF(AND(VALUE(Y63)&lt;=1,VALUE(Z63)&lt;=1),"ニアショア候補","社内で手順化→再評価")))))</f>
        <v/>
      </c>
      <c r="AK63">
        <f>IF(AB63&lt;&gt;"OK","",14-SUMPRODUCT(--T63:Z63))</f>
        <v/>
      </c>
      <c r="AL63" s="33">
        <f>IF(AB63&lt;&gt;"OK","",AS63*AT63/60)</f>
        <v/>
      </c>
      <c r="AM63" s="34">
        <f>IF(A63="","",UPPER(TRIM(ASC(A63&amp;""))))</f>
        <v/>
      </c>
      <c r="AN63" s="34">
        <f>IF(AM63="","",AM63&amp;"-"&amp;B63)</f>
        <v/>
      </c>
      <c r="AO63" s="34">
        <f>IF(C63="","",IFERROR(VALUE(ASC(SUBSTITUTE(C63&amp;"","観点",""))),""))</f>
        <v/>
      </c>
      <c r="AP63" s="34">
        <f>IF(D63="","",IFERROR(VALUE(LEFT(TRIM(ASC(D63&amp;"")),1)),IFERROR(MATCH(TRIM(D63&amp;""),'M2_区分マスタ'!$I$5:$I$10,0),"")))</f>
        <v/>
      </c>
      <c r="AQ63" s="34">
        <f>IF(H63="","",UPPER(LEFT(TRIM(ASC(H63&amp;"")),3)))</f>
        <v/>
      </c>
      <c r="AR63" s="34">
        <f>IF(N63="","",IFERROR(VALUE(SUBSTITUTE(SUBSTITUTE(SUBSTITUTE(SUBSTITUTE(SUBSTITUTE(SUBSTITUTE(SUBSTITUTE(SUBSTITUTE(SUBSTITUTE(SUBSTITUTE(SUBSTITUTE(SUBSTITUTE(ASC(N63&amp;""),"約",""),"程度",""),"ほど",""),"回",""),"毎",""),"週",""),"月",""),"年",""),"日",""),"に",""),"/","")," ","")),""))</f>
        <v/>
      </c>
      <c r="AS63" s="34">
        <f>IF(N63="","",IF(ISNUMBER(N63),N63,IFERROR(VALUE(ASC(N63&amp;"")),IF(AR63&lt;&gt;"",AR63*IF(ISNUMBER(SEARCH("週",N63)),4.3,IF(ISNUMBER(SEARCH("年",N63)),1/12,IF(ISNUMBER(SEARCH("日",N63)),20,1))),IF(ISNUMBER(SEARCH("日",N63)),20,IF(ISNUMBER(SEARCH("週",N63)),4.3,IF(ISNUMBER(SEARCH("月",N63)),1,"")))))))</f>
        <v/>
      </c>
      <c r="AT63" s="34">
        <f>IF(O63="","",IF(ISNUMBER(O63),O63,IFERROR(VALUE(ASC(O63&amp;"")),IF(ISNUMBER(SEARCH("時間",O63)),IFERROR(VALUE(SUBSTITUTE(SUBSTITUTE(SUBSTITUTE(SUBSTITUTE(SUBSTITUTE(ASC(O63&amp;""),"約",""),"程度",""),"ほど",""),"時間","")," ",""))*60,""),IFERROR(VALUE(SUBSTITUTE(SUBSTITUTE(SUBSTITUTE(SUBSTITUTE(SUBSTITUTE(ASC(O63&amp;""),"約",""),"程度",""),"ほど",""),"分","")," ","")),"")))))</f>
        <v/>
      </c>
      <c r="AU63" s="34">
        <f>IF(P63="","",IF(ISNUMBER(P63),P63,IFERROR(VALUE(SUBSTITUTE(SUBSTITUTE(SUBSTITUTE(ASC(P63&amp;""),"約",""),"件","")," ","")),"")))</f>
        <v/>
      </c>
      <c r="AV63" s="34">
        <f>IF(AB63&lt;&gt;"OK","",IF(COUNTIFS($G$5:$G$404,G63&amp;"",$F$5:$F$404,F63&amp;"",$BE$5:$BE$404,BE63&amp;"",$AB$5:$AB$404,"OK")&gt;1,"同名あり",""))</f>
        <v/>
      </c>
      <c r="AW63" s="35">
        <f>IF(Q63="","",IF(ISNUMBER(Q63),Q63,IFERROR(DATEVALUE(SUBSTITUTE(SUBSTITUTE(ASC(Q63&amp;""),"-","/"),".","/")&amp;"/01"),"")))</f>
        <v/>
      </c>
      <c r="AX63" s="35">
        <f>IF(R63="","",IF(ISNUMBER(R63),R63,IFERROR(DATEVALUE(SUBSTITUTE(SUBSTITUTE(ASC(R63&amp;""),"-","/"),".","/")&amp;"/01"),"")))</f>
        <v/>
      </c>
      <c r="AY63" s="34">
        <f>IF(OR(AB63&lt;&gt;"OK",AW63=""),"",IF(AW63&gt;='01_設定'!$C$26,1,0))</f>
        <v/>
      </c>
      <c r="AZ63" s="34">
        <f>IF(AND(AB63="OK",AD63&lt;&gt;"除外"),COUNTIFS($AB$5:AB63,"OK",$AD$5:AD63,"&lt;&gt;除外"),"")</f>
        <v/>
      </c>
      <c r="BA63" s="34">
        <f>IF(OR(AZ63="",AI63=""),"",AI63+ROW()/1000000000)</f>
        <v/>
      </c>
      <c r="BB63" s="34">
        <f>IF(E63="","",IF(OR(TRIM(E63&amp;"")="-",TRIM(E63&amp;"")="－",TRIM(E63&amp;"")="ー"),"",TRIM(E63&amp;"")))</f>
        <v/>
      </c>
      <c r="BC63" s="34">
        <f>IF(AND(AB63="OK",BB63&lt;&gt;""),IF(COUNTIFS($BB$5:BB63,BB63,$AB$5:AB63,"OK")=1,1,""),"")</f>
        <v/>
      </c>
      <c r="BD63" s="34">
        <f>IF(BC63=1,COUNTIF($BC$5:BC63,1),"")</f>
        <v/>
      </c>
      <c r="BE63" s="34">
        <f>IF(BB63="","",IFERROR(INDEX('06_顧客別集計'!$G$5:$G$104,MATCH(BB63,'06_顧客別集計'!$C$5:$C$104,0)),BB63))</f>
        <v/>
      </c>
      <c r="BF63" s="34">
        <f>IF(AND(AZ63&lt;&gt;"",BE63&lt;&gt;""),IF(COUNTIFS($BE$5:BE63,BE63,$AZ$5:AZ63,"&gt;0")=1,1,""),"")</f>
        <v/>
      </c>
      <c r="BG63" s="34">
        <f>IF(BF63=1,COUNTIF($BF$5:BF63,1),"")</f>
        <v/>
      </c>
    </row>
    <row r="64">
      <c r="AB64">
        <f>IF(AND(A64="",G64=""),"",IF(ISNUMBER(SEARCH("##END",AM64)),"（終わりの印）",IF(ISNUMBER(SEARCH("##続き",AM64)),"（続きありの印）",IF(AM64="調査ID","（見出し行）",IF(AND(AM64&lt;&gt;"R1",AM64&lt;&gt;"R2"),"×表以外の行（集計されない）",IF(COUNTIF($AN$5:AN64,AN64)&gt;1,"△重複（集計されない）",IF(G64="","△タスク名なし",IF(ISNA(MATCH(AQ64,'M1_類型マスタ'!$A$5:$A$19,0)),"△類型が不正",IF(OR(AP64="",N(AP64)&lt;1,N(AP64)&gt;6),"△業務区分が不正",IF(OR(AS64="",AT64=""),"△回数・分が読めない",IF(SUMPRODUCT(--ISNUMBER(--T64:Z64))&lt;7,"△採点が足りない",IF(SUMPRODUCT((--T64:Z64&gt;2)+(--T64:Z64&lt;0))&gt;0,"△採点が範囲外","OK"))))))))))))</f>
        <v/>
      </c>
      <c r="AC64">
        <f>IF(AB64&lt;&gt;"OK","",TRIM(IF(AND(AU64&lt;&gt;"",N(AU64)&lt;=1),"根拠1件 ","")&amp;IF(AV64&lt;&gt;"","同名あり ","")&amp;IF(AND(NOT(ISNUMBER(N64)),N64&lt;&gt;""),"回数を換算 ","")&amp;IF(J64="","詳細なし ","")&amp;IF(AND(N(AP64)=1,BB64=""),"顧客名なし ","")))</f>
        <v/>
      </c>
      <c r="AD64" s="31" t="n"/>
      <c r="AE64" s="32" t="n"/>
      <c r="AF64" s="32" t="n"/>
      <c r="AG64" s="31" t="n"/>
      <c r="AH64">
        <f>IF(AB64&lt;&gt;"OK","",IF(AG64&lt;&gt;"",AG64,AJ64))</f>
        <v/>
      </c>
      <c r="AI64" s="33">
        <f>IF(AB64&lt;&gt;"OK","",IFERROR(IF(AE64&lt;&gt;"",AE64,AS64)*IF(AF64&lt;&gt;"",AF64,AT64)/60,""))</f>
        <v/>
      </c>
      <c r="AJ64">
        <f>IF(AB64&lt;&gt;"OK","",IF(OR(VALUE(T64)=2,VALUE(U64)=2,VALUE(V64)=2),"社内残置",IF(AND(VALUE(T64)=0,VALUE(W64)=0,VALUE(Y64)=0),"自動化候補",IF(AND(VALUE(U64)=0,VALUE(W64)&lt;=1,VALUE(X64)&lt;=1,VALUE(Y64)&lt;=1,VALUE(Z64)&lt;=1),"オフショア候補",IF(AND(VALUE(Y64)&lt;=1,VALUE(Z64)&lt;=1),"ニアショア候補","社内で手順化→再評価")))))</f>
        <v/>
      </c>
      <c r="AK64">
        <f>IF(AB64&lt;&gt;"OK","",14-SUMPRODUCT(--T64:Z64))</f>
        <v/>
      </c>
      <c r="AL64" s="33">
        <f>IF(AB64&lt;&gt;"OK","",AS64*AT64/60)</f>
        <v/>
      </c>
      <c r="AM64" s="34">
        <f>IF(A64="","",UPPER(TRIM(ASC(A64&amp;""))))</f>
        <v/>
      </c>
      <c r="AN64" s="34">
        <f>IF(AM64="","",AM64&amp;"-"&amp;B64)</f>
        <v/>
      </c>
      <c r="AO64" s="34">
        <f>IF(C64="","",IFERROR(VALUE(ASC(SUBSTITUTE(C64&amp;"","観点",""))),""))</f>
        <v/>
      </c>
      <c r="AP64" s="34">
        <f>IF(D64="","",IFERROR(VALUE(LEFT(TRIM(ASC(D64&amp;"")),1)),IFERROR(MATCH(TRIM(D64&amp;""),'M2_区分マスタ'!$I$5:$I$10,0),"")))</f>
        <v/>
      </c>
      <c r="AQ64" s="34">
        <f>IF(H64="","",UPPER(LEFT(TRIM(ASC(H64&amp;"")),3)))</f>
        <v/>
      </c>
      <c r="AR64" s="34">
        <f>IF(N64="","",IFERROR(VALUE(SUBSTITUTE(SUBSTITUTE(SUBSTITUTE(SUBSTITUTE(SUBSTITUTE(SUBSTITUTE(SUBSTITUTE(SUBSTITUTE(SUBSTITUTE(SUBSTITUTE(SUBSTITUTE(SUBSTITUTE(ASC(N64&amp;""),"約",""),"程度",""),"ほど",""),"回",""),"毎",""),"週",""),"月",""),"年",""),"日",""),"に",""),"/","")," ","")),""))</f>
        <v/>
      </c>
      <c r="AS64" s="34">
        <f>IF(N64="","",IF(ISNUMBER(N64),N64,IFERROR(VALUE(ASC(N64&amp;"")),IF(AR64&lt;&gt;"",AR64*IF(ISNUMBER(SEARCH("週",N64)),4.3,IF(ISNUMBER(SEARCH("年",N64)),1/12,IF(ISNUMBER(SEARCH("日",N64)),20,1))),IF(ISNUMBER(SEARCH("日",N64)),20,IF(ISNUMBER(SEARCH("週",N64)),4.3,IF(ISNUMBER(SEARCH("月",N64)),1,"")))))))</f>
        <v/>
      </c>
      <c r="AT64" s="34">
        <f>IF(O64="","",IF(ISNUMBER(O64),O64,IFERROR(VALUE(ASC(O64&amp;"")),IF(ISNUMBER(SEARCH("時間",O64)),IFERROR(VALUE(SUBSTITUTE(SUBSTITUTE(SUBSTITUTE(SUBSTITUTE(SUBSTITUTE(ASC(O64&amp;""),"約",""),"程度",""),"ほど",""),"時間","")," ",""))*60,""),IFERROR(VALUE(SUBSTITUTE(SUBSTITUTE(SUBSTITUTE(SUBSTITUTE(SUBSTITUTE(ASC(O64&amp;""),"約",""),"程度",""),"ほど",""),"分","")," ","")),"")))))</f>
        <v/>
      </c>
      <c r="AU64" s="34">
        <f>IF(P64="","",IF(ISNUMBER(P64),P64,IFERROR(VALUE(SUBSTITUTE(SUBSTITUTE(SUBSTITUTE(ASC(P64&amp;""),"約",""),"件","")," ","")),"")))</f>
        <v/>
      </c>
      <c r="AV64" s="34">
        <f>IF(AB64&lt;&gt;"OK","",IF(COUNTIFS($G$5:$G$404,G64&amp;"",$F$5:$F$404,F64&amp;"",$BE$5:$BE$404,BE64&amp;"",$AB$5:$AB$404,"OK")&gt;1,"同名あり",""))</f>
        <v/>
      </c>
      <c r="AW64" s="35">
        <f>IF(Q64="","",IF(ISNUMBER(Q64),Q64,IFERROR(DATEVALUE(SUBSTITUTE(SUBSTITUTE(ASC(Q64&amp;""),"-","/"),".","/")&amp;"/01"),"")))</f>
        <v/>
      </c>
      <c r="AX64" s="35">
        <f>IF(R64="","",IF(ISNUMBER(R64),R64,IFERROR(DATEVALUE(SUBSTITUTE(SUBSTITUTE(ASC(R64&amp;""),"-","/"),".","/")&amp;"/01"),"")))</f>
        <v/>
      </c>
      <c r="AY64" s="34">
        <f>IF(OR(AB64&lt;&gt;"OK",AW64=""),"",IF(AW64&gt;='01_設定'!$C$26,1,0))</f>
        <v/>
      </c>
      <c r="AZ64" s="34">
        <f>IF(AND(AB64="OK",AD64&lt;&gt;"除外"),COUNTIFS($AB$5:AB64,"OK",$AD$5:AD64,"&lt;&gt;除外"),"")</f>
        <v/>
      </c>
      <c r="BA64" s="34">
        <f>IF(OR(AZ64="",AI64=""),"",AI64+ROW()/1000000000)</f>
        <v/>
      </c>
      <c r="BB64" s="34">
        <f>IF(E64="","",IF(OR(TRIM(E64&amp;"")="-",TRIM(E64&amp;"")="－",TRIM(E64&amp;"")="ー"),"",TRIM(E64&amp;"")))</f>
        <v/>
      </c>
      <c r="BC64" s="34">
        <f>IF(AND(AB64="OK",BB64&lt;&gt;""),IF(COUNTIFS($BB$5:BB64,BB64,$AB$5:AB64,"OK")=1,1,""),"")</f>
        <v/>
      </c>
      <c r="BD64" s="34">
        <f>IF(BC64=1,COUNTIF($BC$5:BC64,1),"")</f>
        <v/>
      </c>
      <c r="BE64" s="34">
        <f>IF(BB64="","",IFERROR(INDEX('06_顧客別集計'!$G$5:$G$104,MATCH(BB64,'06_顧客別集計'!$C$5:$C$104,0)),BB64))</f>
        <v/>
      </c>
      <c r="BF64" s="34">
        <f>IF(AND(AZ64&lt;&gt;"",BE64&lt;&gt;""),IF(COUNTIFS($BE$5:BE64,BE64,$AZ$5:AZ64,"&gt;0")=1,1,""),"")</f>
        <v/>
      </c>
      <c r="BG64" s="34">
        <f>IF(BF64=1,COUNTIF($BF$5:BF64,1),"")</f>
        <v/>
      </c>
    </row>
    <row r="65">
      <c r="AB65">
        <f>IF(AND(A65="",G65=""),"",IF(ISNUMBER(SEARCH("##END",AM65)),"（終わりの印）",IF(ISNUMBER(SEARCH("##続き",AM65)),"（続きありの印）",IF(AM65="調査ID","（見出し行）",IF(AND(AM65&lt;&gt;"R1",AM65&lt;&gt;"R2"),"×表以外の行（集計されない）",IF(COUNTIF($AN$5:AN65,AN65)&gt;1,"△重複（集計されない）",IF(G65="","△タスク名なし",IF(ISNA(MATCH(AQ65,'M1_類型マスタ'!$A$5:$A$19,0)),"△類型が不正",IF(OR(AP65="",N(AP65)&lt;1,N(AP65)&gt;6),"△業務区分が不正",IF(OR(AS65="",AT65=""),"△回数・分が読めない",IF(SUMPRODUCT(--ISNUMBER(--T65:Z65))&lt;7,"△採点が足りない",IF(SUMPRODUCT((--T65:Z65&gt;2)+(--T65:Z65&lt;0))&gt;0,"△採点が範囲外","OK"))))))))))))</f>
        <v/>
      </c>
      <c r="AC65">
        <f>IF(AB65&lt;&gt;"OK","",TRIM(IF(AND(AU65&lt;&gt;"",N(AU65)&lt;=1),"根拠1件 ","")&amp;IF(AV65&lt;&gt;"","同名あり ","")&amp;IF(AND(NOT(ISNUMBER(N65)),N65&lt;&gt;""),"回数を換算 ","")&amp;IF(J65="","詳細なし ","")&amp;IF(AND(N(AP65)=1,BB65=""),"顧客名なし ","")))</f>
        <v/>
      </c>
      <c r="AD65" s="31" t="n"/>
      <c r="AE65" s="32" t="n"/>
      <c r="AF65" s="32" t="n"/>
      <c r="AG65" s="31" t="n"/>
      <c r="AH65">
        <f>IF(AB65&lt;&gt;"OK","",IF(AG65&lt;&gt;"",AG65,AJ65))</f>
        <v/>
      </c>
      <c r="AI65" s="33">
        <f>IF(AB65&lt;&gt;"OK","",IFERROR(IF(AE65&lt;&gt;"",AE65,AS65)*IF(AF65&lt;&gt;"",AF65,AT65)/60,""))</f>
        <v/>
      </c>
      <c r="AJ65">
        <f>IF(AB65&lt;&gt;"OK","",IF(OR(VALUE(T65)=2,VALUE(U65)=2,VALUE(V65)=2),"社内残置",IF(AND(VALUE(T65)=0,VALUE(W65)=0,VALUE(Y65)=0),"自動化候補",IF(AND(VALUE(U65)=0,VALUE(W65)&lt;=1,VALUE(X65)&lt;=1,VALUE(Y65)&lt;=1,VALUE(Z65)&lt;=1),"オフショア候補",IF(AND(VALUE(Y65)&lt;=1,VALUE(Z65)&lt;=1),"ニアショア候補","社内で手順化→再評価")))))</f>
        <v/>
      </c>
      <c r="AK65">
        <f>IF(AB65&lt;&gt;"OK","",14-SUMPRODUCT(--T65:Z65))</f>
        <v/>
      </c>
      <c r="AL65" s="33">
        <f>IF(AB65&lt;&gt;"OK","",AS65*AT65/60)</f>
        <v/>
      </c>
      <c r="AM65" s="34">
        <f>IF(A65="","",UPPER(TRIM(ASC(A65&amp;""))))</f>
        <v/>
      </c>
      <c r="AN65" s="34">
        <f>IF(AM65="","",AM65&amp;"-"&amp;B65)</f>
        <v/>
      </c>
      <c r="AO65" s="34">
        <f>IF(C65="","",IFERROR(VALUE(ASC(SUBSTITUTE(C65&amp;"","観点",""))),""))</f>
        <v/>
      </c>
      <c r="AP65" s="34">
        <f>IF(D65="","",IFERROR(VALUE(LEFT(TRIM(ASC(D65&amp;"")),1)),IFERROR(MATCH(TRIM(D65&amp;""),'M2_区分マスタ'!$I$5:$I$10,0),"")))</f>
        <v/>
      </c>
      <c r="AQ65" s="34">
        <f>IF(H65="","",UPPER(LEFT(TRIM(ASC(H65&amp;"")),3)))</f>
        <v/>
      </c>
      <c r="AR65" s="34">
        <f>IF(N65="","",IFERROR(VALUE(SUBSTITUTE(SUBSTITUTE(SUBSTITUTE(SUBSTITUTE(SUBSTITUTE(SUBSTITUTE(SUBSTITUTE(SUBSTITUTE(SUBSTITUTE(SUBSTITUTE(SUBSTITUTE(SUBSTITUTE(ASC(N65&amp;""),"約",""),"程度",""),"ほど",""),"回",""),"毎",""),"週",""),"月",""),"年",""),"日",""),"に",""),"/","")," ","")),""))</f>
        <v/>
      </c>
      <c r="AS65" s="34">
        <f>IF(N65="","",IF(ISNUMBER(N65),N65,IFERROR(VALUE(ASC(N65&amp;"")),IF(AR65&lt;&gt;"",AR65*IF(ISNUMBER(SEARCH("週",N65)),4.3,IF(ISNUMBER(SEARCH("年",N65)),1/12,IF(ISNUMBER(SEARCH("日",N65)),20,1))),IF(ISNUMBER(SEARCH("日",N65)),20,IF(ISNUMBER(SEARCH("週",N65)),4.3,IF(ISNUMBER(SEARCH("月",N65)),1,"")))))))</f>
        <v/>
      </c>
      <c r="AT65" s="34">
        <f>IF(O65="","",IF(ISNUMBER(O65),O65,IFERROR(VALUE(ASC(O65&amp;"")),IF(ISNUMBER(SEARCH("時間",O65)),IFERROR(VALUE(SUBSTITUTE(SUBSTITUTE(SUBSTITUTE(SUBSTITUTE(SUBSTITUTE(ASC(O65&amp;""),"約",""),"程度",""),"ほど",""),"時間","")," ",""))*60,""),IFERROR(VALUE(SUBSTITUTE(SUBSTITUTE(SUBSTITUTE(SUBSTITUTE(SUBSTITUTE(ASC(O65&amp;""),"約",""),"程度",""),"ほど",""),"分","")," ","")),"")))))</f>
        <v/>
      </c>
      <c r="AU65" s="34">
        <f>IF(P65="","",IF(ISNUMBER(P65),P65,IFERROR(VALUE(SUBSTITUTE(SUBSTITUTE(SUBSTITUTE(ASC(P65&amp;""),"約",""),"件","")," ","")),"")))</f>
        <v/>
      </c>
      <c r="AV65" s="34">
        <f>IF(AB65&lt;&gt;"OK","",IF(COUNTIFS($G$5:$G$404,G65&amp;"",$F$5:$F$404,F65&amp;"",$BE$5:$BE$404,BE65&amp;"",$AB$5:$AB$404,"OK")&gt;1,"同名あり",""))</f>
        <v/>
      </c>
      <c r="AW65" s="35">
        <f>IF(Q65="","",IF(ISNUMBER(Q65),Q65,IFERROR(DATEVALUE(SUBSTITUTE(SUBSTITUTE(ASC(Q65&amp;""),"-","/"),".","/")&amp;"/01"),"")))</f>
        <v/>
      </c>
      <c r="AX65" s="35">
        <f>IF(R65="","",IF(ISNUMBER(R65),R65,IFERROR(DATEVALUE(SUBSTITUTE(SUBSTITUTE(ASC(R65&amp;""),"-","/"),".","/")&amp;"/01"),"")))</f>
        <v/>
      </c>
      <c r="AY65" s="34">
        <f>IF(OR(AB65&lt;&gt;"OK",AW65=""),"",IF(AW65&gt;='01_設定'!$C$26,1,0))</f>
        <v/>
      </c>
      <c r="AZ65" s="34">
        <f>IF(AND(AB65="OK",AD65&lt;&gt;"除外"),COUNTIFS($AB$5:AB65,"OK",$AD$5:AD65,"&lt;&gt;除外"),"")</f>
        <v/>
      </c>
      <c r="BA65" s="34">
        <f>IF(OR(AZ65="",AI65=""),"",AI65+ROW()/1000000000)</f>
        <v/>
      </c>
      <c r="BB65" s="34">
        <f>IF(E65="","",IF(OR(TRIM(E65&amp;"")="-",TRIM(E65&amp;"")="－",TRIM(E65&amp;"")="ー"),"",TRIM(E65&amp;"")))</f>
        <v/>
      </c>
      <c r="BC65" s="34">
        <f>IF(AND(AB65="OK",BB65&lt;&gt;""),IF(COUNTIFS($BB$5:BB65,BB65,$AB$5:AB65,"OK")=1,1,""),"")</f>
        <v/>
      </c>
      <c r="BD65" s="34">
        <f>IF(BC65=1,COUNTIF($BC$5:BC65,1),"")</f>
        <v/>
      </c>
      <c r="BE65" s="34">
        <f>IF(BB65="","",IFERROR(INDEX('06_顧客別集計'!$G$5:$G$104,MATCH(BB65,'06_顧客別集計'!$C$5:$C$104,0)),BB65))</f>
        <v/>
      </c>
      <c r="BF65" s="34">
        <f>IF(AND(AZ65&lt;&gt;"",BE65&lt;&gt;""),IF(COUNTIFS($BE$5:BE65,BE65,$AZ$5:AZ65,"&gt;0")=1,1,""),"")</f>
        <v/>
      </c>
      <c r="BG65" s="34">
        <f>IF(BF65=1,COUNTIF($BF$5:BF65,1),"")</f>
        <v/>
      </c>
    </row>
    <row r="66">
      <c r="AB66">
        <f>IF(AND(A66="",G66=""),"",IF(ISNUMBER(SEARCH("##END",AM66)),"（終わりの印）",IF(ISNUMBER(SEARCH("##続き",AM66)),"（続きありの印）",IF(AM66="調査ID","（見出し行）",IF(AND(AM66&lt;&gt;"R1",AM66&lt;&gt;"R2"),"×表以外の行（集計されない）",IF(COUNTIF($AN$5:AN66,AN66)&gt;1,"△重複（集計されない）",IF(G66="","△タスク名なし",IF(ISNA(MATCH(AQ66,'M1_類型マスタ'!$A$5:$A$19,0)),"△類型が不正",IF(OR(AP66="",N(AP66)&lt;1,N(AP66)&gt;6),"△業務区分が不正",IF(OR(AS66="",AT66=""),"△回数・分が読めない",IF(SUMPRODUCT(--ISNUMBER(--T66:Z66))&lt;7,"△採点が足りない",IF(SUMPRODUCT((--T66:Z66&gt;2)+(--T66:Z66&lt;0))&gt;0,"△採点が範囲外","OK"))))))))))))</f>
        <v/>
      </c>
      <c r="AC66">
        <f>IF(AB66&lt;&gt;"OK","",TRIM(IF(AND(AU66&lt;&gt;"",N(AU66)&lt;=1),"根拠1件 ","")&amp;IF(AV66&lt;&gt;"","同名あり ","")&amp;IF(AND(NOT(ISNUMBER(N66)),N66&lt;&gt;""),"回数を換算 ","")&amp;IF(J66="","詳細なし ","")&amp;IF(AND(N(AP66)=1,BB66=""),"顧客名なし ","")))</f>
        <v/>
      </c>
      <c r="AD66" s="31" t="n"/>
      <c r="AE66" s="32" t="n"/>
      <c r="AF66" s="32" t="n"/>
      <c r="AG66" s="31" t="n"/>
      <c r="AH66">
        <f>IF(AB66&lt;&gt;"OK","",IF(AG66&lt;&gt;"",AG66,AJ66))</f>
        <v/>
      </c>
      <c r="AI66" s="33">
        <f>IF(AB66&lt;&gt;"OK","",IFERROR(IF(AE66&lt;&gt;"",AE66,AS66)*IF(AF66&lt;&gt;"",AF66,AT66)/60,""))</f>
        <v/>
      </c>
      <c r="AJ66">
        <f>IF(AB66&lt;&gt;"OK","",IF(OR(VALUE(T66)=2,VALUE(U66)=2,VALUE(V66)=2),"社内残置",IF(AND(VALUE(T66)=0,VALUE(W66)=0,VALUE(Y66)=0),"自動化候補",IF(AND(VALUE(U66)=0,VALUE(W66)&lt;=1,VALUE(X66)&lt;=1,VALUE(Y66)&lt;=1,VALUE(Z66)&lt;=1),"オフショア候補",IF(AND(VALUE(Y66)&lt;=1,VALUE(Z66)&lt;=1),"ニアショア候補","社内で手順化→再評価")))))</f>
        <v/>
      </c>
      <c r="AK66">
        <f>IF(AB66&lt;&gt;"OK","",14-SUMPRODUCT(--T66:Z66))</f>
        <v/>
      </c>
      <c r="AL66" s="33">
        <f>IF(AB66&lt;&gt;"OK","",AS66*AT66/60)</f>
        <v/>
      </c>
      <c r="AM66" s="34">
        <f>IF(A66="","",UPPER(TRIM(ASC(A66&amp;""))))</f>
        <v/>
      </c>
      <c r="AN66" s="34">
        <f>IF(AM66="","",AM66&amp;"-"&amp;B66)</f>
        <v/>
      </c>
      <c r="AO66" s="34">
        <f>IF(C66="","",IFERROR(VALUE(ASC(SUBSTITUTE(C66&amp;"","観点",""))),""))</f>
        <v/>
      </c>
      <c r="AP66" s="34">
        <f>IF(D66="","",IFERROR(VALUE(LEFT(TRIM(ASC(D66&amp;"")),1)),IFERROR(MATCH(TRIM(D66&amp;""),'M2_区分マスタ'!$I$5:$I$10,0),"")))</f>
        <v/>
      </c>
      <c r="AQ66" s="34">
        <f>IF(H66="","",UPPER(LEFT(TRIM(ASC(H66&amp;"")),3)))</f>
        <v/>
      </c>
      <c r="AR66" s="34">
        <f>IF(N66="","",IFERROR(VALUE(SUBSTITUTE(SUBSTITUTE(SUBSTITUTE(SUBSTITUTE(SUBSTITUTE(SUBSTITUTE(SUBSTITUTE(SUBSTITUTE(SUBSTITUTE(SUBSTITUTE(SUBSTITUTE(SUBSTITUTE(ASC(N66&amp;""),"約",""),"程度",""),"ほど",""),"回",""),"毎",""),"週",""),"月",""),"年",""),"日",""),"に",""),"/","")," ","")),""))</f>
        <v/>
      </c>
      <c r="AS66" s="34">
        <f>IF(N66="","",IF(ISNUMBER(N66),N66,IFERROR(VALUE(ASC(N66&amp;"")),IF(AR66&lt;&gt;"",AR66*IF(ISNUMBER(SEARCH("週",N66)),4.3,IF(ISNUMBER(SEARCH("年",N66)),1/12,IF(ISNUMBER(SEARCH("日",N66)),20,1))),IF(ISNUMBER(SEARCH("日",N66)),20,IF(ISNUMBER(SEARCH("週",N66)),4.3,IF(ISNUMBER(SEARCH("月",N66)),1,"")))))))</f>
        <v/>
      </c>
      <c r="AT66" s="34">
        <f>IF(O66="","",IF(ISNUMBER(O66),O66,IFERROR(VALUE(ASC(O66&amp;"")),IF(ISNUMBER(SEARCH("時間",O66)),IFERROR(VALUE(SUBSTITUTE(SUBSTITUTE(SUBSTITUTE(SUBSTITUTE(SUBSTITUTE(ASC(O66&amp;""),"約",""),"程度",""),"ほど",""),"時間","")," ",""))*60,""),IFERROR(VALUE(SUBSTITUTE(SUBSTITUTE(SUBSTITUTE(SUBSTITUTE(SUBSTITUTE(ASC(O66&amp;""),"約",""),"程度",""),"ほど",""),"分","")," ","")),"")))))</f>
        <v/>
      </c>
      <c r="AU66" s="34">
        <f>IF(P66="","",IF(ISNUMBER(P66),P66,IFERROR(VALUE(SUBSTITUTE(SUBSTITUTE(SUBSTITUTE(ASC(P66&amp;""),"約",""),"件","")," ","")),"")))</f>
        <v/>
      </c>
      <c r="AV66" s="34">
        <f>IF(AB66&lt;&gt;"OK","",IF(COUNTIFS($G$5:$G$404,G66&amp;"",$F$5:$F$404,F66&amp;"",$BE$5:$BE$404,BE66&amp;"",$AB$5:$AB$404,"OK")&gt;1,"同名あり",""))</f>
        <v/>
      </c>
      <c r="AW66" s="35">
        <f>IF(Q66="","",IF(ISNUMBER(Q66),Q66,IFERROR(DATEVALUE(SUBSTITUTE(SUBSTITUTE(ASC(Q66&amp;""),"-","/"),".","/")&amp;"/01"),"")))</f>
        <v/>
      </c>
      <c r="AX66" s="35">
        <f>IF(R66="","",IF(ISNUMBER(R66),R66,IFERROR(DATEVALUE(SUBSTITUTE(SUBSTITUTE(ASC(R66&amp;""),"-","/"),".","/")&amp;"/01"),"")))</f>
        <v/>
      </c>
      <c r="AY66" s="34">
        <f>IF(OR(AB66&lt;&gt;"OK",AW66=""),"",IF(AW66&gt;='01_設定'!$C$26,1,0))</f>
        <v/>
      </c>
      <c r="AZ66" s="34">
        <f>IF(AND(AB66="OK",AD66&lt;&gt;"除外"),COUNTIFS($AB$5:AB66,"OK",$AD$5:AD66,"&lt;&gt;除外"),"")</f>
        <v/>
      </c>
      <c r="BA66" s="34">
        <f>IF(OR(AZ66="",AI66=""),"",AI66+ROW()/1000000000)</f>
        <v/>
      </c>
      <c r="BB66" s="34">
        <f>IF(E66="","",IF(OR(TRIM(E66&amp;"")="-",TRIM(E66&amp;"")="－",TRIM(E66&amp;"")="ー"),"",TRIM(E66&amp;"")))</f>
        <v/>
      </c>
      <c r="BC66" s="34">
        <f>IF(AND(AB66="OK",BB66&lt;&gt;""),IF(COUNTIFS($BB$5:BB66,BB66,$AB$5:AB66,"OK")=1,1,""),"")</f>
        <v/>
      </c>
      <c r="BD66" s="34">
        <f>IF(BC66=1,COUNTIF($BC$5:BC66,1),"")</f>
        <v/>
      </c>
      <c r="BE66" s="34">
        <f>IF(BB66="","",IFERROR(INDEX('06_顧客別集計'!$G$5:$G$104,MATCH(BB66,'06_顧客別集計'!$C$5:$C$104,0)),BB66))</f>
        <v/>
      </c>
      <c r="BF66" s="34">
        <f>IF(AND(AZ66&lt;&gt;"",BE66&lt;&gt;""),IF(COUNTIFS($BE$5:BE66,BE66,$AZ$5:AZ66,"&gt;0")=1,1,""),"")</f>
        <v/>
      </c>
      <c r="BG66" s="34">
        <f>IF(BF66=1,COUNTIF($BF$5:BF66,1),"")</f>
        <v/>
      </c>
    </row>
    <row r="67">
      <c r="AB67">
        <f>IF(AND(A67="",G67=""),"",IF(ISNUMBER(SEARCH("##END",AM67)),"（終わりの印）",IF(ISNUMBER(SEARCH("##続き",AM67)),"（続きありの印）",IF(AM67="調査ID","（見出し行）",IF(AND(AM67&lt;&gt;"R1",AM67&lt;&gt;"R2"),"×表以外の行（集計されない）",IF(COUNTIF($AN$5:AN67,AN67)&gt;1,"△重複（集計されない）",IF(G67="","△タスク名なし",IF(ISNA(MATCH(AQ67,'M1_類型マスタ'!$A$5:$A$19,0)),"△類型が不正",IF(OR(AP67="",N(AP67)&lt;1,N(AP67)&gt;6),"△業務区分が不正",IF(OR(AS67="",AT67=""),"△回数・分が読めない",IF(SUMPRODUCT(--ISNUMBER(--T67:Z67))&lt;7,"△採点が足りない",IF(SUMPRODUCT((--T67:Z67&gt;2)+(--T67:Z67&lt;0))&gt;0,"△採点が範囲外","OK"))))))))))))</f>
        <v/>
      </c>
      <c r="AC67">
        <f>IF(AB67&lt;&gt;"OK","",TRIM(IF(AND(AU67&lt;&gt;"",N(AU67)&lt;=1),"根拠1件 ","")&amp;IF(AV67&lt;&gt;"","同名あり ","")&amp;IF(AND(NOT(ISNUMBER(N67)),N67&lt;&gt;""),"回数を換算 ","")&amp;IF(J67="","詳細なし ","")&amp;IF(AND(N(AP67)=1,BB67=""),"顧客名なし ","")))</f>
        <v/>
      </c>
      <c r="AD67" s="31" t="n"/>
      <c r="AE67" s="32" t="n"/>
      <c r="AF67" s="32" t="n"/>
      <c r="AG67" s="31" t="n"/>
      <c r="AH67">
        <f>IF(AB67&lt;&gt;"OK","",IF(AG67&lt;&gt;"",AG67,AJ67))</f>
        <v/>
      </c>
      <c r="AI67" s="33">
        <f>IF(AB67&lt;&gt;"OK","",IFERROR(IF(AE67&lt;&gt;"",AE67,AS67)*IF(AF67&lt;&gt;"",AF67,AT67)/60,""))</f>
        <v/>
      </c>
      <c r="AJ67">
        <f>IF(AB67&lt;&gt;"OK","",IF(OR(VALUE(T67)=2,VALUE(U67)=2,VALUE(V67)=2),"社内残置",IF(AND(VALUE(T67)=0,VALUE(W67)=0,VALUE(Y67)=0),"自動化候補",IF(AND(VALUE(U67)=0,VALUE(W67)&lt;=1,VALUE(X67)&lt;=1,VALUE(Y67)&lt;=1,VALUE(Z67)&lt;=1),"オフショア候補",IF(AND(VALUE(Y67)&lt;=1,VALUE(Z67)&lt;=1),"ニアショア候補","社内で手順化→再評価")))))</f>
        <v/>
      </c>
      <c r="AK67">
        <f>IF(AB67&lt;&gt;"OK","",14-SUMPRODUCT(--T67:Z67))</f>
        <v/>
      </c>
      <c r="AL67" s="33">
        <f>IF(AB67&lt;&gt;"OK","",AS67*AT67/60)</f>
        <v/>
      </c>
      <c r="AM67" s="34">
        <f>IF(A67="","",UPPER(TRIM(ASC(A67&amp;""))))</f>
        <v/>
      </c>
      <c r="AN67" s="34">
        <f>IF(AM67="","",AM67&amp;"-"&amp;B67)</f>
        <v/>
      </c>
      <c r="AO67" s="34">
        <f>IF(C67="","",IFERROR(VALUE(ASC(SUBSTITUTE(C67&amp;"","観点",""))),""))</f>
        <v/>
      </c>
      <c r="AP67" s="34">
        <f>IF(D67="","",IFERROR(VALUE(LEFT(TRIM(ASC(D67&amp;"")),1)),IFERROR(MATCH(TRIM(D67&amp;""),'M2_区分マスタ'!$I$5:$I$10,0),"")))</f>
        <v/>
      </c>
      <c r="AQ67" s="34">
        <f>IF(H67="","",UPPER(LEFT(TRIM(ASC(H67&amp;"")),3)))</f>
        <v/>
      </c>
      <c r="AR67" s="34">
        <f>IF(N67="","",IFERROR(VALUE(SUBSTITUTE(SUBSTITUTE(SUBSTITUTE(SUBSTITUTE(SUBSTITUTE(SUBSTITUTE(SUBSTITUTE(SUBSTITUTE(SUBSTITUTE(SUBSTITUTE(SUBSTITUTE(SUBSTITUTE(ASC(N67&amp;""),"約",""),"程度",""),"ほど",""),"回",""),"毎",""),"週",""),"月",""),"年",""),"日",""),"に",""),"/","")," ","")),""))</f>
        <v/>
      </c>
      <c r="AS67" s="34">
        <f>IF(N67="","",IF(ISNUMBER(N67),N67,IFERROR(VALUE(ASC(N67&amp;"")),IF(AR67&lt;&gt;"",AR67*IF(ISNUMBER(SEARCH("週",N67)),4.3,IF(ISNUMBER(SEARCH("年",N67)),1/12,IF(ISNUMBER(SEARCH("日",N67)),20,1))),IF(ISNUMBER(SEARCH("日",N67)),20,IF(ISNUMBER(SEARCH("週",N67)),4.3,IF(ISNUMBER(SEARCH("月",N67)),1,"")))))))</f>
        <v/>
      </c>
      <c r="AT67" s="34">
        <f>IF(O67="","",IF(ISNUMBER(O67),O67,IFERROR(VALUE(ASC(O67&amp;"")),IF(ISNUMBER(SEARCH("時間",O67)),IFERROR(VALUE(SUBSTITUTE(SUBSTITUTE(SUBSTITUTE(SUBSTITUTE(SUBSTITUTE(ASC(O67&amp;""),"約",""),"程度",""),"ほど",""),"時間","")," ",""))*60,""),IFERROR(VALUE(SUBSTITUTE(SUBSTITUTE(SUBSTITUTE(SUBSTITUTE(SUBSTITUTE(ASC(O67&amp;""),"約",""),"程度",""),"ほど",""),"分","")," ","")),"")))))</f>
        <v/>
      </c>
      <c r="AU67" s="34">
        <f>IF(P67="","",IF(ISNUMBER(P67),P67,IFERROR(VALUE(SUBSTITUTE(SUBSTITUTE(SUBSTITUTE(ASC(P67&amp;""),"約",""),"件","")," ","")),"")))</f>
        <v/>
      </c>
      <c r="AV67" s="34">
        <f>IF(AB67&lt;&gt;"OK","",IF(COUNTIFS($G$5:$G$404,G67&amp;"",$F$5:$F$404,F67&amp;"",$BE$5:$BE$404,BE67&amp;"",$AB$5:$AB$404,"OK")&gt;1,"同名あり",""))</f>
        <v/>
      </c>
      <c r="AW67" s="35">
        <f>IF(Q67="","",IF(ISNUMBER(Q67),Q67,IFERROR(DATEVALUE(SUBSTITUTE(SUBSTITUTE(ASC(Q67&amp;""),"-","/"),".","/")&amp;"/01"),"")))</f>
        <v/>
      </c>
      <c r="AX67" s="35">
        <f>IF(R67="","",IF(ISNUMBER(R67),R67,IFERROR(DATEVALUE(SUBSTITUTE(SUBSTITUTE(ASC(R67&amp;""),"-","/"),".","/")&amp;"/01"),"")))</f>
        <v/>
      </c>
      <c r="AY67" s="34">
        <f>IF(OR(AB67&lt;&gt;"OK",AW67=""),"",IF(AW67&gt;='01_設定'!$C$26,1,0))</f>
        <v/>
      </c>
      <c r="AZ67" s="34">
        <f>IF(AND(AB67="OK",AD67&lt;&gt;"除外"),COUNTIFS($AB$5:AB67,"OK",$AD$5:AD67,"&lt;&gt;除外"),"")</f>
        <v/>
      </c>
      <c r="BA67" s="34">
        <f>IF(OR(AZ67="",AI67=""),"",AI67+ROW()/1000000000)</f>
        <v/>
      </c>
      <c r="BB67" s="34">
        <f>IF(E67="","",IF(OR(TRIM(E67&amp;"")="-",TRIM(E67&amp;"")="－",TRIM(E67&amp;"")="ー"),"",TRIM(E67&amp;"")))</f>
        <v/>
      </c>
      <c r="BC67" s="34">
        <f>IF(AND(AB67="OK",BB67&lt;&gt;""),IF(COUNTIFS($BB$5:BB67,BB67,$AB$5:AB67,"OK")=1,1,""),"")</f>
        <v/>
      </c>
      <c r="BD67" s="34">
        <f>IF(BC67=1,COUNTIF($BC$5:BC67,1),"")</f>
        <v/>
      </c>
      <c r="BE67" s="34">
        <f>IF(BB67="","",IFERROR(INDEX('06_顧客別集計'!$G$5:$G$104,MATCH(BB67,'06_顧客別集計'!$C$5:$C$104,0)),BB67))</f>
        <v/>
      </c>
      <c r="BF67" s="34">
        <f>IF(AND(AZ67&lt;&gt;"",BE67&lt;&gt;""),IF(COUNTIFS($BE$5:BE67,BE67,$AZ$5:AZ67,"&gt;0")=1,1,""),"")</f>
        <v/>
      </c>
      <c r="BG67" s="34">
        <f>IF(BF67=1,COUNTIF($BF$5:BF67,1),"")</f>
        <v/>
      </c>
    </row>
    <row r="68">
      <c r="AB68">
        <f>IF(AND(A68="",G68=""),"",IF(ISNUMBER(SEARCH("##END",AM68)),"（終わりの印）",IF(ISNUMBER(SEARCH("##続き",AM68)),"（続きありの印）",IF(AM68="調査ID","（見出し行）",IF(AND(AM68&lt;&gt;"R1",AM68&lt;&gt;"R2"),"×表以外の行（集計されない）",IF(COUNTIF($AN$5:AN68,AN68)&gt;1,"△重複（集計されない）",IF(G68="","△タスク名なし",IF(ISNA(MATCH(AQ68,'M1_類型マスタ'!$A$5:$A$19,0)),"△類型が不正",IF(OR(AP68="",N(AP68)&lt;1,N(AP68)&gt;6),"△業務区分が不正",IF(OR(AS68="",AT68=""),"△回数・分が読めない",IF(SUMPRODUCT(--ISNUMBER(--T68:Z68))&lt;7,"△採点が足りない",IF(SUMPRODUCT((--T68:Z68&gt;2)+(--T68:Z68&lt;0))&gt;0,"△採点が範囲外","OK"))))))))))))</f>
        <v/>
      </c>
      <c r="AC68">
        <f>IF(AB68&lt;&gt;"OK","",TRIM(IF(AND(AU68&lt;&gt;"",N(AU68)&lt;=1),"根拠1件 ","")&amp;IF(AV68&lt;&gt;"","同名あり ","")&amp;IF(AND(NOT(ISNUMBER(N68)),N68&lt;&gt;""),"回数を換算 ","")&amp;IF(J68="","詳細なし ","")&amp;IF(AND(N(AP68)=1,BB68=""),"顧客名なし ","")))</f>
        <v/>
      </c>
      <c r="AD68" s="31" t="n"/>
      <c r="AE68" s="32" t="n"/>
      <c r="AF68" s="32" t="n"/>
      <c r="AG68" s="31" t="n"/>
      <c r="AH68">
        <f>IF(AB68&lt;&gt;"OK","",IF(AG68&lt;&gt;"",AG68,AJ68))</f>
        <v/>
      </c>
      <c r="AI68" s="33">
        <f>IF(AB68&lt;&gt;"OK","",IFERROR(IF(AE68&lt;&gt;"",AE68,AS68)*IF(AF68&lt;&gt;"",AF68,AT68)/60,""))</f>
        <v/>
      </c>
      <c r="AJ68">
        <f>IF(AB68&lt;&gt;"OK","",IF(OR(VALUE(T68)=2,VALUE(U68)=2,VALUE(V68)=2),"社内残置",IF(AND(VALUE(T68)=0,VALUE(W68)=0,VALUE(Y68)=0),"自動化候補",IF(AND(VALUE(U68)=0,VALUE(W68)&lt;=1,VALUE(X68)&lt;=1,VALUE(Y68)&lt;=1,VALUE(Z68)&lt;=1),"オフショア候補",IF(AND(VALUE(Y68)&lt;=1,VALUE(Z68)&lt;=1),"ニアショア候補","社内で手順化→再評価")))))</f>
        <v/>
      </c>
      <c r="AK68">
        <f>IF(AB68&lt;&gt;"OK","",14-SUMPRODUCT(--T68:Z68))</f>
        <v/>
      </c>
      <c r="AL68" s="33">
        <f>IF(AB68&lt;&gt;"OK","",AS68*AT68/60)</f>
        <v/>
      </c>
      <c r="AM68" s="34">
        <f>IF(A68="","",UPPER(TRIM(ASC(A68&amp;""))))</f>
        <v/>
      </c>
      <c r="AN68" s="34">
        <f>IF(AM68="","",AM68&amp;"-"&amp;B68)</f>
        <v/>
      </c>
      <c r="AO68" s="34">
        <f>IF(C68="","",IFERROR(VALUE(ASC(SUBSTITUTE(C68&amp;"","観点",""))),""))</f>
        <v/>
      </c>
      <c r="AP68" s="34">
        <f>IF(D68="","",IFERROR(VALUE(LEFT(TRIM(ASC(D68&amp;"")),1)),IFERROR(MATCH(TRIM(D68&amp;""),'M2_区分マスタ'!$I$5:$I$10,0),"")))</f>
        <v/>
      </c>
      <c r="AQ68" s="34">
        <f>IF(H68="","",UPPER(LEFT(TRIM(ASC(H68&amp;"")),3)))</f>
        <v/>
      </c>
      <c r="AR68" s="34">
        <f>IF(N68="","",IFERROR(VALUE(SUBSTITUTE(SUBSTITUTE(SUBSTITUTE(SUBSTITUTE(SUBSTITUTE(SUBSTITUTE(SUBSTITUTE(SUBSTITUTE(SUBSTITUTE(SUBSTITUTE(SUBSTITUTE(SUBSTITUTE(ASC(N68&amp;""),"約",""),"程度",""),"ほど",""),"回",""),"毎",""),"週",""),"月",""),"年",""),"日",""),"に",""),"/","")," ","")),""))</f>
        <v/>
      </c>
      <c r="AS68" s="34">
        <f>IF(N68="","",IF(ISNUMBER(N68),N68,IFERROR(VALUE(ASC(N68&amp;"")),IF(AR68&lt;&gt;"",AR68*IF(ISNUMBER(SEARCH("週",N68)),4.3,IF(ISNUMBER(SEARCH("年",N68)),1/12,IF(ISNUMBER(SEARCH("日",N68)),20,1))),IF(ISNUMBER(SEARCH("日",N68)),20,IF(ISNUMBER(SEARCH("週",N68)),4.3,IF(ISNUMBER(SEARCH("月",N68)),1,"")))))))</f>
        <v/>
      </c>
      <c r="AT68" s="34">
        <f>IF(O68="","",IF(ISNUMBER(O68),O68,IFERROR(VALUE(ASC(O68&amp;"")),IF(ISNUMBER(SEARCH("時間",O68)),IFERROR(VALUE(SUBSTITUTE(SUBSTITUTE(SUBSTITUTE(SUBSTITUTE(SUBSTITUTE(ASC(O68&amp;""),"約",""),"程度",""),"ほど",""),"時間","")," ",""))*60,""),IFERROR(VALUE(SUBSTITUTE(SUBSTITUTE(SUBSTITUTE(SUBSTITUTE(SUBSTITUTE(ASC(O68&amp;""),"約",""),"程度",""),"ほど",""),"分","")," ","")),"")))))</f>
        <v/>
      </c>
      <c r="AU68" s="34">
        <f>IF(P68="","",IF(ISNUMBER(P68),P68,IFERROR(VALUE(SUBSTITUTE(SUBSTITUTE(SUBSTITUTE(ASC(P68&amp;""),"約",""),"件","")," ","")),"")))</f>
        <v/>
      </c>
      <c r="AV68" s="34">
        <f>IF(AB68&lt;&gt;"OK","",IF(COUNTIFS($G$5:$G$404,G68&amp;"",$F$5:$F$404,F68&amp;"",$BE$5:$BE$404,BE68&amp;"",$AB$5:$AB$404,"OK")&gt;1,"同名あり",""))</f>
        <v/>
      </c>
      <c r="AW68" s="35">
        <f>IF(Q68="","",IF(ISNUMBER(Q68),Q68,IFERROR(DATEVALUE(SUBSTITUTE(SUBSTITUTE(ASC(Q68&amp;""),"-","/"),".","/")&amp;"/01"),"")))</f>
        <v/>
      </c>
      <c r="AX68" s="35">
        <f>IF(R68="","",IF(ISNUMBER(R68),R68,IFERROR(DATEVALUE(SUBSTITUTE(SUBSTITUTE(ASC(R68&amp;""),"-","/"),".","/")&amp;"/01"),"")))</f>
        <v/>
      </c>
      <c r="AY68" s="34">
        <f>IF(OR(AB68&lt;&gt;"OK",AW68=""),"",IF(AW68&gt;='01_設定'!$C$26,1,0))</f>
        <v/>
      </c>
      <c r="AZ68" s="34">
        <f>IF(AND(AB68="OK",AD68&lt;&gt;"除外"),COUNTIFS($AB$5:AB68,"OK",$AD$5:AD68,"&lt;&gt;除外"),"")</f>
        <v/>
      </c>
      <c r="BA68" s="34">
        <f>IF(OR(AZ68="",AI68=""),"",AI68+ROW()/1000000000)</f>
        <v/>
      </c>
      <c r="BB68" s="34">
        <f>IF(E68="","",IF(OR(TRIM(E68&amp;"")="-",TRIM(E68&amp;"")="－",TRIM(E68&amp;"")="ー"),"",TRIM(E68&amp;"")))</f>
        <v/>
      </c>
      <c r="BC68" s="34">
        <f>IF(AND(AB68="OK",BB68&lt;&gt;""),IF(COUNTIFS($BB$5:BB68,BB68,$AB$5:AB68,"OK")=1,1,""),"")</f>
        <v/>
      </c>
      <c r="BD68" s="34">
        <f>IF(BC68=1,COUNTIF($BC$5:BC68,1),"")</f>
        <v/>
      </c>
      <c r="BE68" s="34">
        <f>IF(BB68="","",IFERROR(INDEX('06_顧客別集計'!$G$5:$G$104,MATCH(BB68,'06_顧客別集計'!$C$5:$C$104,0)),BB68))</f>
        <v/>
      </c>
      <c r="BF68" s="34">
        <f>IF(AND(AZ68&lt;&gt;"",BE68&lt;&gt;""),IF(COUNTIFS($BE$5:BE68,BE68,$AZ$5:AZ68,"&gt;0")=1,1,""),"")</f>
        <v/>
      </c>
      <c r="BG68" s="34">
        <f>IF(BF68=1,COUNTIF($BF$5:BF68,1),"")</f>
        <v/>
      </c>
    </row>
    <row r="69">
      <c r="AB69">
        <f>IF(AND(A69="",G69=""),"",IF(ISNUMBER(SEARCH("##END",AM69)),"（終わりの印）",IF(ISNUMBER(SEARCH("##続き",AM69)),"（続きありの印）",IF(AM69="調査ID","（見出し行）",IF(AND(AM69&lt;&gt;"R1",AM69&lt;&gt;"R2"),"×表以外の行（集計されない）",IF(COUNTIF($AN$5:AN69,AN69)&gt;1,"△重複（集計されない）",IF(G69="","△タスク名なし",IF(ISNA(MATCH(AQ69,'M1_類型マスタ'!$A$5:$A$19,0)),"△類型が不正",IF(OR(AP69="",N(AP69)&lt;1,N(AP69)&gt;6),"△業務区分が不正",IF(OR(AS69="",AT69=""),"△回数・分が読めない",IF(SUMPRODUCT(--ISNUMBER(--T69:Z69))&lt;7,"△採点が足りない",IF(SUMPRODUCT((--T69:Z69&gt;2)+(--T69:Z69&lt;0))&gt;0,"△採点が範囲外","OK"))))))))))))</f>
        <v/>
      </c>
      <c r="AC69">
        <f>IF(AB69&lt;&gt;"OK","",TRIM(IF(AND(AU69&lt;&gt;"",N(AU69)&lt;=1),"根拠1件 ","")&amp;IF(AV69&lt;&gt;"","同名あり ","")&amp;IF(AND(NOT(ISNUMBER(N69)),N69&lt;&gt;""),"回数を換算 ","")&amp;IF(J69="","詳細なし ","")&amp;IF(AND(N(AP69)=1,BB69=""),"顧客名なし ","")))</f>
        <v/>
      </c>
      <c r="AD69" s="31" t="n"/>
      <c r="AE69" s="32" t="n"/>
      <c r="AF69" s="32" t="n"/>
      <c r="AG69" s="31" t="n"/>
      <c r="AH69">
        <f>IF(AB69&lt;&gt;"OK","",IF(AG69&lt;&gt;"",AG69,AJ69))</f>
        <v/>
      </c>
      <c r="AI69" s="33">
        <f>IF(AB69&lt;&gt;"OK","",IFERROR(IF(AE69&lt;&gt;"",AE69,AS69)*IF(AF69&lt;&gt;"",AF69,AT69)/60,""))</f>
        <v/>
      </c>
      <c r="AJ69">
        <f>IF(AB69&lt;&gt;"OK","",IF(OR(VALUE(T69)=2,VALUE(U69)=2,VALUE(V69)=2),"社内残置",IF(AND(VALUE(T69)=0,VALUE(W69)=0,VALUE(Y69)=0),"自動化候補",IF(AND(VALUE(U69)=0,VALUE(W69)&lt;=1,VALUE(X69)&lt;=1,VALUE(Y69)&lt;=1,VALUE(Z69)&lt;=1),"オフショア候補",IF(AND(VALUE(Y69)&lt;=1,VALUE(Z69)&lt;=1),"ニアショア候補","社内で手順化→再評価")))))</f>
        <v/>
      </c>
      <c r="AK69">
        <f>IF(AB69&lt;&gt;"OK","",14-SUMPRODUCT(--T69:Z69))</f>
        <v/>
      </c>
      <c r="AL69" s="33">
        <f>IF(AB69&lt;&gt;"OK","",AS69*AT69/60)</f>
        <v/>
      </c>
      <c r="AM69" s="34">
        <f>IF(A69="","",UPPER(TRIM(ASC(A69&amp;""))))</f>
        <v/>
      </c>
      <c r="AN69" s="34">
        <f>IF(AM69="","",AM69&amp;"-"&amp;B69)</f>
        <v/>
      </c>
      <c r="AO69" s="34">
        <f>IF(C69="","",IFERROR(VALUE(ASC(SUBSTITUTE(C69&amp;"","観点",""))),""))</f>
        <v/>
      </c>
      <c r="AP69" s="34">
        <f>IF(D69="","",IFERROR(VALUE(LEFT(TRIM(ASC(D69&amp;"")),1)),IFERROR(MATCH(TRIM(D69&amp;""),'M2_区分マスタ'!$I$5:$I$10,0),"")))</f>
        <v/>
      </c>
      <c r="AQ69" s="34">
        <f>IF(H69="","",UPPER(LEFT(TRIM(ASC(H69&amp;"")),3)))</f>
        <v/>
      </c>
      <c r="AR69" s="34">
        <f>IF(N69="","",IFERROR(VALUE(SUBSTITUTE(SUBSTITUTE(SUBSTITUTE(SUBSTITUTE(SUBSTITUTE(SUBSTITUTE(SUBSTITUTE(SUBSTITUTE(SUBSTITUTE(SUBSTITUTE(SUBSTITUTE(SUBSTITUTE(ASC(N69&amp;""),"約",""),"程度",""),"ほど",""),"回",""),"毎",""),"週",""),"月",""),"年",""),"日",""),"に",""),"/","")," ","")),""))</f>
        <v/>
      </c>
      <c r="AS69" s="34">
        <f>IF(N69="","",IF(ISNUMBER(N69),N69,IFERROR(VALUE(ASC(N69&amp;"")),IF(AR69&lt;&gt;"",AR69*IF(ISNUMBER(SEARCH("週",N69)),4.3,IF(ISNUMBER(SEARCH("年",N69)),1/12,IF(ISNUMBER(SEARCH("日",N69)),20,1))),IF(ISNUMBER(SEARCH("日",N69)),20,IF(ISNUMBER(SEARCH("週",N69)),4.3,IF(ISNUMBER(SEARCH("月",N69)),1,"")))))))</f>
        <v/>
      </c>
      <c r="AT69" s="34">
        <f>IF(O69="","",IF(ISNUMBER(O69),O69,IFERROR(VALUE(ASC(O69&amp;"")),IF(ISNUMBER(SEARCH("時間",O69)),IFERROR(VALUE(SUBSTITUTE(SUBSTITUTE(SUBSTITUTE(SUBSTITUTE(SUBSTITUTE(ASC(O69&amp;""),"約",""),"程度",""),"ほど",""),"時間","")," ",""))*60,""),IFERROR(VALUE(SUBSTITUTE(SUBSTITUTE(SUBSTITUTE(SUBSTITUTE(SUBSTITUTE(ASC(O69&amp;""),"約",""),"程度",""),"ほど",""),"分","")," ","")),"")))))</f>
        <v/>
      </c>
      <c r="AU69" s="34">
        <f>IF(P69="","",IF(ISNUMBER(P69),P69,IFERROR(VALUE(SUBSTITUTE(SUBSTITUTE(SUBSTITUTE(ASC(P69&amp;""),"約",""),"件","")," ","")),"")))</f>
        <v/>
      </c>
      <c r="AV69" s="34">
        <f>IF(AB69&lt;&gt;"OK","",IF(COUNTIFS($G$5:$G$404,G69&amp;"",$F$5:$F$404,F69&amp;"",$BE$5:$BE$404,BE69&amp;"",$AB$5:$AB$404,"OK")&gt;1,"同名あり",""))</f>
        <v/>
      </c>
      <c r="AW69" s="35">
        <f>IF(Q69="","",IF(ISNUMBER(Q69),Q69,IFERROR(DATEVALUE(SUBSTITUTE(SUBSTITUTE(ASC(Q69&amp;""),"-","/"),".","/")&amp;"/01"),"")))</f>
        <v/>
      </c>
      <c r="AX69" s="35">
        <f>IF(R69="","",IF(ISNUMBER(R69),R69,IFERROR(DATEVALUE(SUBSTITUTE(SUBSTITUTE(ASC(R69&amp;""),"-","/"),".","/")&amp;"/01"),"")))</f>
        <v/>
      </c>
      <c r="AY69" s="34">
        <f>IF(OR(AB69&lt;&gt;"OK",AW69=""),"",IF(AW69&gt;='01_設定'!$C$26,1,0))</f>
        <v/>
      </c>
      <c r="AZ69" s="34">
        <f>IF(AND(AB69="OK",AD69&lt;&gt;"除外"),COUNTIFS($AB$5:AB69,"OK",$AD$5:AD69,"&lt;&gt;除外"),"")</f>
        <v/>
      </c>
      <c r="BA69" s="34">
        <f>IF(OR(AZ69="",AI69=""),"",AI69+ROW()/1000000000)</f>
        <v/>
      </c>
      <c r="BB69" s="34">
        <f>IF(E69="","",IF(OR(TRIM(E69&amp;"")="-",TRIM(E69&amp;"")="－",TRIM(E69&amp;"")="ー"),"",TRIM(E69&amp;"")))</f>
        <v/>
      </c>
      <c r="BC69" s="34">
        <f>IF(AND(AB69="OK",BB69&lt;&gt;""),IF(COUNTIFS($BB$5:BB69,BB69,$AB$5:AB69,"OK")=1,1,""),"")</f>
        <v/>
      </c>
      <c r="BD69" s="34">
        <f>IF(BC69=1,COUNTIF($BC$5:BC69,1),"")</f>
        <v/>
      </c>
      <c r="BE69" s="34">
        <f>IF(BB69="","",IFERROR(INDEX('06_顧客別集計'!$G$5:$G$104,MATCH(BB69,'06_顧客別集計'!$C$5:$C$104,0)),BB69))</f>
        <v/>
      </c>
      <c r="BF69" s="34">
        <f>IF(AND(AZ69&lt;&gt;"",BE69&lt;&gt;""),IF(COUNTIFS($BE$5:BE69,BE69,$AZ$5:AZ69,"&gt;0")=1,1,""),"")</f>
        <v/>
      </c>
      <c r="BG69" s="34">
        <f>IF(BF69=1,COUNTIF($BF$5:BF69,1),"")</f>
        <v/>
      </c>
    </row>
    <row r="70">
      <c r="AB70">
        <f>IF(AND(A70="",G70=""),"",IF(ISNUMBER(SEARCH("##END",AM70)),"（終わりの印）",IF(ISNUMBER(SEARCH("##続き",AM70)),"（続きありの印）",IF(AM70="調査ID","（見出し行）",IF(AND(AM70&lt;&gt;"R1",AM70&lt;&gt;"R2"),"×表以外の行（集計されない）",IF(COUNTIF($AN$5:AN70,AN70)&gt;1,"△重複（集計されない）",IF(G70="","△タスク名なし",IF(ISNA(MATCH(AQ70,'M1_類型マスタ'!$A$5:$A$19,0)),"△類型が不正",IF(OR(AP70="",N(AP70)&lt;1,N(AP70)&gt;6),"△業務区分が不正",IF(OR(AS70="",AT70=""),"△回数・分が読めない",IF(SUMPRODUCT(--ISNUMBER(--T70:Z70))&lt;7,"△採点が足りない",IF(SUMPRODUCT((--T70:Z70&gt;2)+(--T70:Z70&lt;0))&gt;0,"△採点が範囲外","OK"))))))))))))</f>
        <v/>
      </c>
      <c r="AC70">
        <f>IF(AB70&lt;&gt;"OK","",TRIM(IF(AND(AU70&lt;&gt;"",N(AU70)&lt;=1),"根拠1件 ","")&amp;IF(AV70&lt;&gt;"","同名あり ","")&amp;IF(AND(NOT(ISNUMBER(N70)),N70&lt;&gt;""),"回数を換算 ","")&amp;IF(J70="","詳細なし ","")&amp;IF(AND(N(AP70)=1,BB70=""),"顧客名なし ","")))</f>
        <v/>
      </c>
      <c r="AD70" s="31" t="n"/>
      <c r="AE70" s="32" t="n"/>
      <c r="AF70" s="32" t="n"/>
      <c r="AG70" s="31" t="n"/>
      <c r="AH70">
        <f>IF(AB70&lt;&gt;"OK","",IF(AG70&lt;&gt;"",AG70,AJ70))</f>
        <v/>
      </c>
      <c r="AI70" s="33">
        <f>IF(AB70&lt;&gt;"OK","",IFERROR(IF(AE70&lt;&gt;"",AE70,AS70)*IF(AF70&lt;&gt;"",AF70,AT70)/60,""))</f>
        <v/>
      </c>
      <c r="AJ70">
        <f>IF(AB70&lt;&gt;"OK","",IF(OR(VALUE(T70)=2,VALUE(U70)=2,VALUE(V70)=2),"社内残置",IF(AND(VALUE(T70)=0,VALUE(W70)=0,VALUE(Y70)=0),"自動化候補",IF(AND(VALUE(U70)=0,VALUE(W70)&lt;=1,VALUE(X70)&lt;=1,VALUE(Y70)&lt;=1,VALUE(Z70)&lt;=1),"オフショア候補",IF(AND(VALUE(Y70)&lt;=1,VALUE(Z70)&lt;=1),"ニアショア候補","社内で手順化→再評価")))))</f>
        <v/>
      </c>
      <c r="AK70">
        <f>IF(AB70&lt;&gt;"OK","",14-SUMPRODUCT(--T70:Z70))</f>
        <v/>
      </c>
      <c r="AL70" s="33">
        <f>IF(AB70&lt;&gt;"OK","",AS70*AT70/60)</f>
        <v/>
      </c>
      <c r="AM70" s="34">
        <f>IF(A70="","",UPPER(TRIM(ASC(A70&amp;""))))</f>
        <v/>
      </c>
      <c r="AN70" s="34">
        <f>IF(AM70="","",AM70&amp;"-"&amp;B70)</f>
        <v/>
      </c>
      <c r="AO70" s="34">
        <f>IF(C70="","",IFERROR(VALUE(ASC(SUBSTITUTE(C70&amp;"","観点",""))),""))</f>
        <v/>
      </c>
      <c r="AP70" s="34">
        <f>IF(D70="","",IFERROR(VALUE(LEFT(TRIM(ASC(D70&amp;"")),1)),IFERROR(MATCH(TRIM(D70&amp;""),'M2_区分マスタ'!$I$5:$I$10,0),"")))</f>
        <v/>
      </c>
      <c r="AQ70" s="34">
        <f>IF(H70="","",UPPER(LEFT(TRIM(ASC(H70&amp;"")),3)))</f>
        <v/>
      </c>
      <c r="AR70" s="34">
        <f>IF(N70="","",IFERROR(VALUE(SUBSTITUTE(SUBSTITUTE(SUBSTITUTE(SUBSTITUTE(SUBSTITUTE(SUBSTITUTE(SUBSTITUTE(SUBSTITUTE(SUBSTITUTE(SUBSTITUTE(SUBSTITUTE(SUBSTITUTE(ASC(N70&amp;""),"約",""),"程度",""),"ほど",""),"回",""),"毎",""),"週",""),"月",""),"年",""),"日",""),"に",""),"/","")," ","")),""))</f>
        <v/>
      </c>
      <c r="AS70" s="34">
        <f>IF(N70="","",IF(ISNUMBER(N70),N70,IFERROR(VALUE(ASC(N70&amp;"")),IF(AR70&lt;&gt;"",AR70*IF(ISNUMBER(SEARCH("週",N70)),4.3,IF(ISNUMBER(SEARCH("年",N70)),1/12,IF(ISNUMBER(SEARCH("日",N70)),20,1))),IF(ISNUMBER(SEARCH("日",N70)),20,IF(ISNUMBER(SEARCH("週",N70)),4.3,IF(ISNUMBER(SEARCH("月",N70)),1,"")))))))</f>
        <v/>
      </c>
      <c r="AT70" s="34">
        <f>IF(O70="","",IF(ISNUMBER(O70),O70,IFERROR(VALUE(ASC(O70&amp;"")),IF(ISNUMBER(SEARCH("時間",O70)),IFERROR(VALUE(SUBSTITUTE(SUBSTITUTE(SUBSTITUTE(SUBSTITUTE(SUBSTITUTE(ASC(O70&amp;""),"約",""),"程度",""),"ほど",""),"時間","")," ",""))*60,""),IFERROR(VALUE(SUBSTITUTE(SUBSTITUTE(SUBSTITUTE(SUBSTITUTE(SUBSTITUTE(ASC(O70&amp;""),"約",""),"程度",""),"ほど",""),"分","")," ","")),"")))))</f>
        <v/>
      </c>
      <c r="AU70" s="34">
        <f>IF(P70="","",IF(ISNUMBER(P70),P70,IFERROR(VALUE(SUBSTITUTE(SUBSTITUTE(SUBSTITUTE(ASC(P70&amp;""),"約",""),"件","")," ","")),"")))</f>
        <v/>
      </c>
      <c r="AV70" s="34">
        <f>IF(AB70&lt;&gt;"OK","",IF(COUNTIFS($G$5:$G$404,G70&amp;"",$F$5:$F$404,F70&amp;"",$BE$5:$BE$404,BE70&amp;"",$AB$5:$AB$404,"OK")&gt;1,"同名あり",""))</f>
        <v/>
      </c>
      <c r="AW70" s="35">
        <f>IF(Q70="","",IF(ISNUMBER(Q70),Q70,IFERROR(DATEVALUE(SUBSTITUTE(SUBSTITUTE(ASC(Q70&amp;""),"-","/"),".","/")&amp;"/01"),"")))</f>
        <v/>
      </c>
      <c r="AX70" s="35">
        <f>IF(R70="","",IF(ISNUMBER(R70),R70,IFERROR(DATEVALUE(SUBSTITUTE(SUBSTITUTE(ASC(R70&amp;""),"-","/"),".","/")&amp;"/01"),"")))</f>
        <v/>
      </c>
      <c r="AY70" s="34">
        <f>IF(OR(AB70&lt;&gt;"OK",AW70=""),"",IF(AW70&gt;='01_設定'!$C$26,1,0))</f>
        <v/>
      </c>
      <c r="AZ70" s="34">
        <f>IF(AND(AB70="OK",AD70&lt;&gt;"除外"),COUNTIFS($AB$5:AB70,"OK",$AD$5:AD70,"&lt;&gt;除外"),"")</f>
        <v/>
      </c>
      <c r="BA70" s="34">
        <f>IF(OR(AZ70="",AI70=""),"",AI70+ROW()/1000000000)</f>
        <v/>
      </c>
      <c r="BB70" s="34">
        <f>IF(E70="","",IF(OR(TRIM(E70&amp;"")="-",TRIM(E70&amp;"")="－",TRIM(E70&amp;"")="ー"),"",TRIM(E70&amp;"")))</f>
        <v/>
      </c>
      <c r="BC70" s="34">
        <f>IF(AND(AB70="OK",BB70&lt;&gt;""),IF(COUNTIFS($BB$5:BB70,BB70,$AB$5:AB70,"OK")=1,1,""),"")</f>
        <v/>
      </c>
      <c r="BD70" s="34">
        <f>IF(BC70=1,COUNTIF($BC$5:BC70,1),"")</f>
        <v/>
      </c>
      <c r="BE70" s="34">
        <f>IF(BB70="","",IFERROR(INDEX('06_顧客別集計'!$G$5:$G$104,MATCH(BB70,'06_顧客別集計'!$C$5:$C$104,0)),BB70))</f>
        <v/>
      </c>
      <c r="BF70" s="34">
        <f>IF(AND(AZ70&lt;&gt;"",BE70&lt;&gt;""),IF(COUNTIFS($BE$5:BE70,BE70,$AZ$5:AZ70,"&gt;0")=1,1,""),"")</f>
        <v/>
      </c>
      <c r="BG70" s="34">
        <f>IF(BF70=1,COUNTIF($BF$5:BF70,1),"")</f>
        <v/>
      </c>
    </row>
    <row r="71">
      <c r="AB71">
        <f>IF(AND(A71="",G71=""),"",IF(ISNUMBER(SEARCH("##END",AM71)),"（終わりの印）",IF(ISNUMBER(SEARCH("##続き",AM71)),"（続きありの印）",IF(AM71="調査ID","（見出し行）",IF(AND(AM71&lt;&gt;"R1",AM71&lt;&gt;"R2"),"×表以外の行（集計されない）",IF(COUNTIF($AN$5:AN71,AN71)&gt;1,"△重複（集計されない）",IF(G71="","△タスク名なし",IF(ISNA(MATCH(AQ71,'M1_類型マスタ'!$A$5:$A$19,0)),"△類型が不正",IF(OR(AP71="",N(AP71)&lt;1,N(AP71)&gt;6),"△業務区分が不正",IF(OR(AS71="",AT71=""),"△回数・分が読めない",IF(SUMPRODUCT(--ISNUMBER(--T71:Z71))&lt;7,"△採点が足りない",IF(SUMPRODUCT((--T71:Z71&gt;2)+(--T71:Z71&lt;0))&gt;0,"△採点が範囲外","OK"))))))))))))</f>
        <v/>
      </c>
      <c r="AC71">
        <f>IF(AB71&lt;&gt;"OK","",TRIM(IF(AND(AU71&lt;&gt;"",N(AU71)&lt;=1),"根拠1件 ","")&amp;IF(AV71&lt;&gt;"","同名あり ","")&amp;IF(AND(NOT(ISNUMBER(N71)),N71&lt;&gt;""),"回数を換算 ","")&amp;IF(J71="","詳細なし ","")&amp;IF(AND(N(AP71)=1,BB71=""),"顧客名なし ","")))</f>
        <v/>
      </c>
      <c r="AD71" s="31" t="n"/>
      <c r="AE71" s="32" t="n"/>
      <c r="AF71" s="32" t="n"/>
      <c r="AG71" s="31" t="n"/>
      <c r="AH71">
        <f>IF(AB71&lt;&gt;"OK","",IF(AG71&lt;&gt;"",AG71,AJ71))</f>
        <v/>
      </c>
      <c r="AI71" s="33">
        <f>IF(AB71&lt;&gt;"OK","",IFERROR(IF(AE71&lt;&gt;"",AE71,AS71)*IF(AF71&lt;&gt;"",AF71,AT71)/60,""))</f>
        <v/>
      </c>
      <c r="AJ71">
        <f>IF(AB71&lt;&gt;"OK","",IF(OR(VALUE(T71)=2,VALUE(U71)=2,VALUE(V71)=2),"社内残置",IF(AND(VALUE(T71)=0,VALUE(W71)=0,VALUE(Y71)=0),"自動化候補",IF(AND(VALUE(U71)=0,VALUE(W71)&lt;=1,VALUE(X71)&lt;=1,VALUE(Y71)&lt;=1,VALUE(Z71)&lt;=1),"オフショア候補",IF(AND(VALUE(Y71)&lt;=1,VALUE(Z71)&lt;=1),"ニアショア候補","社内で手順化→再評価")))))</f>
        <v/>
      </c>
      <c r="AK71">
        <f>IF(AB71&lt;&gt;"OK","",14-SUMPRODUCT(--T71:Z71))</f>
        <v/>
      </c>
      <c r="AL71" s="33">
        <f>IF(AB71&lt;&gt;"OK","",AS71*AT71/60)</f>
        <v/>
      </c>
      <c r="AM71" s="34">
        <f>IF(A71="","",UPPER(TRIM(ASC(A71&amp;""))))</f>
        <v/>
      </c>
      <c r="AN71" s="34">
        <f>IF(AM71="","",AM71&amp;"-"&amp;B71)</f>
        <v/>
      </c>
      <c r="AO71" s="34">
        <f>IF(C71="","",IFERROR(VALUE(ASC(SUBSTITUTE(C71&amp;"","観点",""))),""))</f>
        <v/>
      </c>
      <c r="AP71" s="34">
        <f>IF(D71="","",IFERROR(VALUE(LEFT(TRIM(ASC(D71&amp;"")),1)),IFERROR(MATCH(TRIM(D71&amp;""),'M2_区分マスタ'!$I$5:$I$10,0),"")))</f>
        <v/>
      </c>
      <c r="AQ71" s="34">
        <f>IF(H71="","",UPPER(LEFT(TRIM(ASC(H71&amp;"")),3)))</f>
        <v/>
      </c>
      <c r="AR71" s="34">
        <f>IF(N71="","",IFERROR(VALUE(SUBSTITUTE(SUBSTITUTE(SUBSTITUTE(SUBSTITUTE(SUBSTITUTE(SUBSTITUTE(SUBSTITUTE(SUBSTITUTE(SUBSTITUTE(SUBSTITUTE(SUBSTITUTE(SUBSTITUTE(ASC(N71&amp;""),"約",""),"程度",""),"ほど",""),"回",""),"毎",""),"週",""),"月",""),"年",""),"日",""),"に",""),"/","")," ","")),""))</f>
        <v/>
      </c>
      <c r="AS71" s="34">
        <f>IF(N71="","",IF(ISNUMBER(N71),N71,IFERROR(VALUE(ASC(N71&amp;"")),IF(AR71&lt;&gt;"",AR71*IF(ISNUMBER(SEARCH("週",N71)),4.3,IF(ISNUMBER(SEARCH("年",N71)),1/12,IF(ISNUMBER(SEARCH("日",N71)),20,1))),IF(ISNUMBER(SEARCH("日",N71)),20,IF(ISNUMBER(SEARCH("週",N71)),4.3,IF(ISNUMBER(SEARCH("月",N71)),1,"")))))))</f>
        <v/>
      </c>
      <c r="AT71" s="34">
        <f>IF(O71="","",IF(ISNUMBER(O71),O71,IFERROR(VALUE(ASC(O71&amp;"")),IF(ISNUMBER(SEARCH("時間",O71)),IFERROR(VALUE(SUBSTITUTE(SUBSTITUTE(SUBSTITUTE(SUBSTITUTE(SUBSTITUTE(ASC(O71&amp;""),"約",""),"程度",""),"ほど",""),"時間","")," ",""))*60,""),IFERROR(VALUE(SUBSTITUTE(SUBSTITUTE(SUBSTITUTE(SUBSTITUTE(SUBSTITUTE(ASC(O71&amp;""),"約",""),"程度",""),"ほど",""),"分","")," ","")),"")))))</f>
        <v/>
      </c>
      <c r="AU71" s="34">
        <f>IF(P71="","",IF(ISNUMBER(P71),P71,IFERROR(VALUE(SUBSTITUTE(SUBSTITUTE(SUBSTITUTE(ASC(P71&amp;""),"約",""),"件","")," ","")),"")))</f>
        <v/>
      </c>
      <c r="AV71" s="34">
        <f>IF(AB71&lt;&gt;"OK","",IF(COUNTIFS($G$5:$G$404,G71&amp;"",$F$5:$F$404,F71&amp;"",$BE$5:$BE$404,BE71&amp;"",$AB$5:$AB$404,"OK")&gt;1,"同名あり",""))</f>
        <v/>
      </c>
      <c r="AW71" s="35">
        <f>IF(Q71="","",IF(ISNUMBER(Q71),Q71,IFERROR(DATEVALUE(SUBSTITUTE(SUBSTITUTE(ASC(Q71&amp;""),"-","/"),".","/")&amp;"/01"),"")))</f>
        <v/>
      </c>
      <c r="AX71" s="35">
        <f>IF(R71="","",IF(ISNUMBER(R71),R71,IFERROR(DATEVALUE(SUBSTITUTE(SUBSTITUTE(ASC(R71&amp;""),"-","/"),".","/")&amp;"/01"),"")))</f>
        <v/>
      </c>
      <c r="AY71" s="34">
        <f>IF(OR(AB71&lt;&gt;"OK",AW71=""),"",IF(AW71&gt;='01_設定'!$C$26,1,0))</f>
        <v/>
      </c>
      <c r="AZ71" s="34">
        <f>IF(AND(AB71="OK",AD71&lt;&gt;"除外"),COUNTIFS($AB$5:AB71,"OK",$AD$5:AD71,"&lt;&gt;除外"),"")</f>
        <v/>
      </c>
      <c r="BA71" s="34">
        <f>IF(OR(AZ71="",AI71=""),"",AI71+ROW()/1000000000)</f>
        <v/>
      </c>
      <c r="BB71" s="34">
        <f>IF(E71="","",IF(OR(TRIM(E71&amp;"")="-",TRIM(E71&amp;"")="－",TRIM(E71&amp;"")="ー"),"",TRIM(E71&amp;"")))</f>
        <v/>
      </c>
      <c r="BC71" s="34">
        <f>IF(AND(AB71="OK",BB71&lt;&gt;""),IF(COUNTIFS($BB$5:BB71,BB71,$AB$5:AB71,"OK")=1,1,""),"")</f>
        <v/>
      </c>
      <c r="BD71" s="34">
        <f>IF(BC71=1,COUNTIF($BC$5:BC71,1),"")</f>
        <v/>
      </c>
      <c r="BE71" s="34">
        <f>IF(BB71="","",IFERROR(INDEX('06_顧客別集計'!$G$5:$G$104,MATCH(BB71,'06_顧客別集計'!$C$5:$C$104,0)),BB71))</f>
        <v/>
      </c>
      <c r="BF71" s="34">
        <f>IF(AND(AZ71&lt;&gt;"",BE71&lt;&gt;""),IF(COUNTIFS($BE$5:BE71,BE71,$AZ$5:AZ71,"&gt;0")=1,1,""),"")</f>
        <v/>
      </c>
      <c r="BG71" s="34">
        <f>IF(BF71=1,COUNTIF($BF$5:BF71,1),"")</f>
        <v/>
      </c>
    </row>
    <row r="72">
      <c r="AB72">
        <f>IF(AND(A72="",G72=""),"",IF(ISNUMBER(SEARCH("##END",AM72)),"（終わりの印）",IF(ISNUMBER(SEARCH("##続き",AM72)),"（続きありの印）",IF(AM72="調査ID","（見出し行）",IF(AND(AM72&lt;&gt;"R1",AM72&lt;&gt;"R2"),"×表以外の行（集計されない）",IF(COUNTIF($AN$5:AN72,AN72)&gt;1,"△重複（集計されない）",IF(G72="","△タスク名なし",IF(ISNA(MATCH(AQ72,'M1_類型マスタ'!$A$5:$A$19,0)),"△類型が不正",IF(OR(AP72="",N(AP72)&lt;1,N(AP72)&gt;6),"△業務区分が不正",IF(OR(AS72="",AT72=""),"△回数・分が読めない",IF(SUMPRODUCT(--ISNUMBER(--T72:Z72))&lt;7,"△採点が足りない",IF(SUMPRODUCT((--T72:Z72&gt;2)+(--T72:Z72&lt;0))&gt;0,"△採点が範囲外","OK"))))))))))))</f>
        <v/>
      </c>
      <c r="AC72">
        <f>IF(AB72&lt;&gt;"OK","",TRIM(IF(AND(AU72&lt;&gt;"",N(AU72)&lt;=1),"根拠1件 ","")&amp;IF(AV72&lt;&gt;"","同名あり ","")&amp;IF(AND(NOT(ISNUMBER(N72)),N72&lt;&gt;""),"回数を換算 ","")&amp;IF(J72="","詳細なし ","")&amp;IF(AND(N(AP72)=1,BB72=""),"顧客名なし ","")))</f>
        <v/>
      </c>
      <c r="AD72" s="31" t="n"/>
      <c r="AE72" s="32" t="n"/>
      <c r="AF72" s="32" t="n"/>
      <c r="AG72" s="31" t="n"/>
      <c r="AH72">
        <f>IF(AB72&lt;&gt;"OK","",IF(AG72&lt;&gt;"",AG72,AJ72))</f>
        <v/>
      </c>
      <c r="AI72" s="33">
        <f>IF(AB72&lt;&gt;"OK","",IFERROR(IF(AE72&lt;&gt;"",AE72,AS72)*IF(AF72&lt;&gt;"",AF72,AT72)/60,""))</f>
        <v/>
      </c>
      <c r="AJ72">
        <f>IF(AB72&lt;&gt;"OK","",IF(OR(VALUE(T72)=2,VALUE(U72)=2,VALUE(V72)=2),"社内残置",IF(AND(VALUE(T72)=0,VALUE(W72)=0,VALUE(Y72)=0),"自動化候補",IF(AND(VALUE(U72)=0,VALUE(W72)&lt;=1,VALUE(X72)&lt;=1,VALUE(Y72)&lt;=1,VALUE(Z72)&lt;=1),"オフショア候補",IF(AND(VALUE(Y72)&lt;=1,VALUE(Z72)&lt;=1),"ニアショア候補","社内で手順化→再評価")))))</f>
        <v/>
      </c>
      <c r="AK72">
        <f>IF(AB72&lt;&gt;"OK","",14-SUMPRODUCT(--T72:Z72))</f>
        <v/>
      </c>
      <c r="AL72" s="33">
        <f>IF(AB72&lt;&gt;"OK","",AS72*AT72/60)</f>
        <v/>
      </c>
      <c r="AM72" s="34">
        <f>IF(A72="","",UPPER(TRIM(ASC(A72&amp;""))))</f>
        <v/>
      </c>
      <c r="AN72" s="34">
        <f>IF(AM72="","",AM72&amp;"-"&amp;B72)</f>
        <v/>
      </c>
      <c r="AO72" s="34">
        <f>IF(C72="","",IFERROR(VALUE(ASC(SUBSTITUTE(C72&amp;"","観点",""))),""))</f>
        <v/>
      </c>
      <c r="AP72" s="34">
        <f>IF(D72="","",IFERROR(VALUE(LEFT(TRIM(ASC(D72&amp;"")),1)),IFERROR(MATCH(TRIM(D72&amp;""),'M2_区分マスタ'!$I$5:$I$10,0),"")))</f>
        <v/>
      </c>
      <c r="AQ72" s="34">
        <f>IF(H72="","",UPPER(LEFT(TRIM(ASC(H72&amp;"")),3)))</f>
        <v/>
      </c>
      <c r="AR72" s="34">
        <f>IF(N72="","",IFERROR(VALUE(SUBSTITUTE(SUBSTITUTE(SUBSTITUTE(SUBSTITUTE(SUBSTITUTE(SUBSTITUTE(SUBSTITUTE(SUBSTITUTE(SUBSTITUTE(SUBSTITUTE(SUBSTITUTE(SUBSTITUTE(ASC(N72&amp;""),"約",""),"程度",""),"ほど",""),"回",""),"毎",""),"週",""),"月",""),"年",""),"日",""),"に",""),"/","")," ","")),""))</f>
        <v/>
      </c>
      <c r="AS72" s="34">
        <f>IF(N72="","",IF(ISNUMBER(N72),N72,IFERROR(VALUE(ASC(N72&amp;"")),IF(AR72&lt;&gt;"",AR72*IF(ISNUMBER(SEARCH("週",N72)),4.3,IF(ISNUMBER(SEARCH("年",N72)),1/12,IF(ISNUMBER(SEARCH("日",N72)),20,1))),IF(ISNUMBER(SEARCH("日",N72)),20,IF(ISNUMBER(SEARCH("週",N72)),4.3,IF(ISNUMBER(SEARCH("月",N72)),1,"")))))))</f>
        <v/>
      </c>
      <c r="AT72" s="34">
        <f>IF(O72="","",IF(ISNUMBER(O72),O72,IFERROR(VALUE(ASC(O72&amp;"")),IF(ISNUMBER(SEARCH("時間",O72)),IFERROR(VALUE(SUBSTITUTE(SUBSTITUTE(SUBSTITUTE(SUBSTITUTE(SUBSTITUTE(ASC(O72&amp;""),"約",""),"程度",""),"ほど",""),"時間","")," ",""))*60,""),IFERROR(VALUE(SUBSTITUTE(SUBSTITUTE(SUBSTITUTE(SUBSTITUTE(SUBSTITUTE(ASC(O72&amp;""),"約",""),"程度",""),"ほど",""),"分","")," ","")),"")))))</f>
        <v/>
      </c>
      <c r="AU72" s="34">
        <f>IF(P72="","",IF(ISNUMBER(P72),P72,IFERROR(VALUE(SUBSTITUTE(SUBSTITUTE(SUBSTITUTE(ASC(P72&amp;""),"約",""),"件","")," ","")),"")))</f>
        <v/>
      </c>
      <c r="AV72" s="34">
        <f>IF(AB72&lt;&gt;"OK","",IF(COUNTIFS($G$5:$G$404,G72&amp;"",$F$5:$F$404,F72&amp;"",$BE$5:$BE$404,BE72&amp;"",$AB$5:$AB$404,"OK")&gt;1,"同名あり",""))</f>
        <v/>
      </c>
      <c r="AW72" s="35">
        <f>IF(Q72="","",IF(ISNUMBER(Q72),Q72,IFERROR(DATEVALUE(SUBSTITUTE(SUBSTITUTE(ASC(Q72&amp;""),"-","/"),".","/")&amp;"/01"),"")))</f>
        <v/>
      </c>
      <c r="AX72" s="35">
        <f>IF(R72="","",IF(ISNUMBER(R72),R72,IFERROR(DATEVALUE(SUBSTITUTE(SUBSTITUTE(ASC(R72&amp;""),"-","/"),".","/")&amp;"/01"),"")))</f>
        <v/>
      </c>
      <c r="AY72" s="34">
        <f>IF(OR(AB72&lt;&gt;"OK",AW72=""),"",IF(AW72&gt;='01_設定'!$C$26,1,0))</f>
        <v/>
      </c>
      <c r="AZ72" s="34">
        <f>IF(AND(AB72="OK",AD72&lt;&gt;"除外"),COUNTIFS($AB$5:AB72,"OK",$AD$5:AD72,"&lt;&gt;除外"),"")</f>
        <v/>
      </c>
      <c r="BA72" s="34">
        <f>IF(OR(AZ72="",AI72=""),"",AI72+ROW()/1000000000)</f>
        <v/>
      </c>
      <c r="BB72" s="34">
        <f>IF(E72="","",IF(OR(TRIM(E72&amp;"")="-",TRIM(E72&amp;"")="－",TRIM(E72&amp;"")="ー"),"",TRIM(E72&amp;"")))</f>
        <v/>
      </c>
      <c r="BC72" s="34">
        <f>IF(AND(AB72="OK",BB72&lt;&gt;""),IF(COUNTIFS($BB$5:BB72,BB72,$AB$5:AB72,"OK")=1,1,""),"")</f>
        <v/>
      </c>
      <c r="BD72" s="34">
        <f>IF(BC72=1,COUNTIF($BC$5:BC72,1),"")</f>
        <v/>
      </c>
      <c r="BE72" s="34">
        <f>IF(BB72="","",IFERROR(INDEX('06_顧客別集計'!$G$5:$G$104,MATCH(BB72,'06_顧客別集計'!$C$5:$C$104,0)),BB72))</f>
        <v/>
      </c>
      <c r="BF72" s="34">
        <f>IF(AND(AZ72&lt;&gt;"",BE72&lt;&gt;""),IF(COUNTIFS($BE$5:BE72,BE72,$AZ$5:AZ72,"&gt;0")=1,1,""),"")</f>
        <v/>
      </c>
      <c r="BG72" s="34">
        <f>IF(BF72=1,COUNTIF($BF$5:BF72,1),"")</f>
        <v/>
      </c>
    </row>
    <row r="73">
      <c r="AB73">
        <f>IF(AND(A73="",G73=""),"",IF(ISNUMBER(SEARCH("##END",AM73)),"（終わりの印）",IF(ISNUMBER(SEARCH("##続き",AM73)),"（続きありの印）",IF(AM73="調査ID","（見出し行）",IF(AND(AM73&lt;&gt;"R1",AM73&lt;&gt;"R2"),"×表以外の行（集計されない）",IF(COUNTIF($AN$5:AN73,AN73)&gt;1,"△重複（集計されない）",IF(G73="","△タスク名なし",IF(ISNA(MATCH(AQ73,'M1_類型マスタ'!$A$5:$A$19,0)),"△類型が不正",IF(OR(AP73="",N(AP73)&lt;1,N(AP73)&gt;6),"△業務区分が不正",IF(OR(AS73="",AT73=""),"△回数・分が読めない",IF(SUMPRODUCT(--ISNUMBER(--T73:Z73))&lt;7,"△採点が足りない",IF(SUMPRODUCT((--T73:Z73&gt;2)+(--T73:Z73&lt;0))&gt;0,"△採点が範囲外","OK"))))))))))))</f>
        <v/>
      </c>
      <c r="AC73">
        <f>IF(AB73&lt;&gt;"OK","",TRIM(IF(AND(AU73&lt;&gt;"",N(AU73)&lt;=1),"根拠1件 ","")&amp;IF(AV73&lt;&gt;"","同名あり ","")&amp;IF(AND(NOT(ISNUMBER(N73)),N73&lt;&gt;""),"回数を換算 ","")&amp;IF(J73="","詳細なし ","")&amp;IF(AND(N(AP73)=1,BB73=""),"顧客名なし ","")))</f>
        <v/>
      </c>
      <c r="AD73" s="31" t="n"/>
      <c r="AE73" s="32" t="n"/>
      <c r="AF73" s="32" t="n"/>
      <c r="AG73" s="31" t="n"/>
      <c r="AH73">
        <f>IF(AB73&lt;&gt;"OK","",IF(AG73&lt;&gt;"",AG73,AJ73))</f>
        <v/>
      </c>
      <c r="AI73" s="33">
        <f>IF(AB73&lt;&gt;"OK","",IFERROR(IF(AE73&lt;&gt;"",AE73,AS73)*IF(AF73&lt;&gt;"",AF73,AT73)/60,""))</f>
        <v/>
      </c>
      <c r="AJ73">
        <f>IF(AB73&lt;&gt;"OK","",IF(OR(VALUE(T73)=2,VALUE(U73)=2,VALUE(V73)=2),"社内残置",IF(AND(VALUE(T73)=0,VALUE(W73)=0,VALUE(Y73)=0),"自動化候補",IF(AND(VALUE(U73)=0,VALUE(W73)&lt;=1,VALUE(X73)&lt;=1,VALUE(Y73)&lt;=1,VALUE(Z73)&lt;=1),"オフショア候補",IF(AND(VALUE(Y73)&lt;=1,VALUE(Z73)&lt;=1),"ニアショア候補","社内で手順化→再評価")))))</f>
        <v/>
      </c>
      <c r="AK73">
        <f>IF(AB73&lt;&gt;"OK","",14-SUMPRODUCT(--T73:Z73))</f>
        <v/>
      </c>
      <c r="AL73" s="33">
        <f>IF(AB73&lt;&gt;"OK","",AS73*AT73/60)</f>
        <v/>
      </c>
      <c r="AM73" s="34">
        <f>IF(A73="","",UPPER(TRIM(ASC(A73&amp;""))))</f>
        <v/>
      </c>
      <c r="AN73" s="34">
        <f>IF(AM73="","",AM73&amp;"-"&amp;B73)</f>
        <v/>
      </c>
      <c r="AO73" s="34">
        <f>IF(C73="","",IFERROR(VALUE(ASC(SUBSTITUTE(C73&amp;"","観点",""))),""))</f>
        <v/>
      </c>
      <c r="AP73" s="34">
        <f>IF(D73="","",IFERROR(VALUE(LEFT(TRIM(ASC(D73&amp;"")),1)),IFERROR(MATCH(TRIM(D73&amp;""),'M2_区分マスタ'!$I$5:$I$10,0),"")))</f>
        <v/>
      </c>
      <c r="AQ73" s="34">
        <f>IF(H73="","",UPPER(LEFT(TRIM(ASC(H73&amp;"")),3)))</f>
        <v/>
      </c>
      <c r="AR73" s="34">
        <f>IF(N73="","",IFERROR(VALUE(SUBSTITUTE(SUBSTITUTE(SUBSTITUTE(SUBSTITUTE(SUBSTITUTE(SUBSTITUTE(SUBSTITUTE(SUBSTITUTE(SUBSTITUTE(SUBSTITUTE(SUBSTITUTE(SUBSTITUTE(ASC(N73&amp;""),"約",""),"程度",""),"ほど",""),"回",""),"毎",""),"週",""),"月",""),"年",""),"日",""),"に",""),"/","")," ","")),""))</f>
        <v/>
      </c>
      <c r="AS73" s="34">
        <f>IF(N73="","",IF(ISNUMBER(N73),N73,IFERROR(VALUE(ASC(N73&amp;"")),IF(AR73&lt;&gt;"",AR73*IF(ISNUMBER(SEARCH("週",N73)),4.3,IF(ISNUMBER(SEARCH("年",N73)),1/12,IF(ISNUMBER(SEARCH("日",N73)),20,1))),IF(ISNUMBER(SEARCH("日",N73)),20,IF(ISNUMBER(SEARCH("週",N73)),4.3,IF(ISNUMBER(SEARCH("月",N73)),1,"")))))))</f>
        <v/>
      </c>
      <c r="AT73" s="34">
        <f>IF(O73="","",IF(ISNUMBER(O73),O73,IFERROR(VALUE(ASC(O73&amp;"")),IF(ISNUMBER(SEARCH("時間",O73)),IFERROR(VALUE(SUBSTITUTE(SUBSTITUTE(SUBSTITUTE(SUBSTITUTE(SUBSTITUTE(ASC(O73&amp;""),"約",""),"程度",""),"ほど",""),"時間","")," ",""))*60,""),IFERROR(VALUE(SUBSTITUTE(SUBSTITUTE(SUBSTITUTE(SUBSTITUTE(SUBSTITUTE(ASC(O73&amp;""),"約",""),"程度",""),"ほど",""),"分","")," ","")),"")))))</f>
        <v/>
      </c>
      <c r="AU73" s="34">
        <f>IF(P73="","",IF(ISNUMBER(P73),P73,IFERROR(VALUE(SUBSTITUTE(SUBSTITUTE(SUBSTITUTE(ASC(P73&amp;""),"約",""),"件","")," ","")),"")))</f>
        <v/>
      </c>
      <c r="AV73" s="34">
        <f>IF(AB73&lt;&gt;"OK","",IF(COUNTIFS($G$5:$G$404,G73&amp;"",$F$5:$F$404,F73&amp;"",$BE$5:$BE$404,BE73&amp;"",$AB$5:$AB$404,"OK")&gt;1,"同名あり",""))</f>
        <v/>
      </c>
      <c r="AW73" s="35">
        <f>IF(Q73="","",IF(ISNUMBER(Q73),Q73,IFERROR(DATEVALUE(SUBSTITUTE(SUBSTITUTE(ASC(Q73&amp;""),"-","/"),".","/")&amp;"/01"),"")))</f>
        <v/>
      </c>
      <c r="AX73" s="35">
        <f>IF(R73="","",IF(ISNUMBER(R73),R73,IFERROR(DATEVALUE(SUBSTITUTE(SUBSTITUTE(ASC(R73&amp;""),"-","/"),".","/")&amp;"/01"),"")))</f>
        <v/>
      </c>
      <c r="AY73" s="34">
        <f>IF(OR(AB73&lt;&gt;"OK",AW73=""),"",IF(AW73&gt;='01_設定'!$C$26,1,0))</f>
        <v/>
      </c>
      <c r="AZ73" s="34">
        <f>IF(AND(AB73="OK",AD73&lt;&gt;"除外"),COUNTIFS($AB$5:AB73,"OK",$AD$5:AD73,"&lt;&gt;除外"),"")</f>
        <v/>
      </c>
      <c r="BA73" s="34">
        <f>IF(OR(AZ73="",AI73=""),"",AI73+ROW()/1000000000)</f>
        <v/>
      </c>
      <c r="BB73" s="34">
        <f>IF(E73="","",IF(OR(TRIM(E73&amp;"")="-",TRIM(E73&amp;"")="－",TRIM(E73&amp;"")="ー"),"",TRIM(E73&amp;"")))</f>
        <v/>
      </c>
      <c r="BC73" s="34">
        <f>IF(AND(AB73="OK",BB73&lt;&gt;""),IF(COUNTIFS($BB$5:BB73,BB73,$AB$5:AB73,"OK")=1,1,""),"")</f>
        <v/>
      </c>
      <c r="BD73" s="34">
        <f>IF(BC73=1,COUNTIF($BC$5:BC73,1),"")</f>
        <v/>
      </c>
      <c r="BE73" s="34">
        <f>IF(BB73="","",IFERROR(INDEX('06_顧客別集計'!$G$5:$G$104,MATCH(BB73,'06_顧客別集計'!$C$5:$C$104,0)),BB73))</f>
        <v/>
      </c>
      <c r="BF73" s="34">
        <f>IF(AND(AZ73&lt;&gt;"",BE73&lt;&gt;""),IF(COUNTIFS($BE$5:BE73,BE73,$AZ$5:AZ73,"&gt;0")=1,1,""),"")</f>
        <v/>
      </c>
      <c r="BG73" s="34">
        <f>IF(BF73=1,COUNTIF($BF$5:BF73,1),"")</f>
        <v/>
      </c>
    </row>
    <row r="74">
      <c r="AB74">
        <f>IF(AND(A74="",G74=""),"",IF(ISNUMBER(SEARCH("##END",AM74)),"（終わりの印）",IF(ISNUMBER(SEARCH("##続き",AM74)),"（続きありの印）",IF(AM74="調査ID","（見出し行）",IF(AND(AM74&lt;&gt;"R1",AM74&lt;&gt;"R2"),"×表以外の行（集計されない）",IF(COUNTIF($AN$5:AN74,AN74)&gt;1,"△重複（集計されない）",IF(G74="","△タスク名なし",IF(ISNA(MATCH(AQ74,'M1_類型マスタ'!$A$5:$A$19,0)),"△類型が不正",IF(OR(AP74="",N(AP74)&lt;1,N(AP74)&gt;6),"△業務区分が不正",IF(OR(AS74="",AT74=""),"△回数・分が読めない",IF(SUMPRODUCT(--ISNUMBER(--T74:Z74))&lt;7,"△採点が足りない",IF(SUMPRODUCT((--T74:Z74&gt;2)+(--T74:Z74&lt;0))&gt;0,"△採点が範囲外","OK"))))))))))))</f>
        <v/>
      </c>
      <c r="AC74">
        <f>IF(AB74&lt;&gt;"OK","",TRIM(IF(AND(AU74&lt;&gt;"",N(AU74)&lt;=1),"根拠1件 ","")&amp;IF(AV74&lt;&gt;"","同名あり ","")&amp;IF(AND(NOT(ISNUMBER(N74)),N74&lt;&gt;""),"回数を換算 ","")&amp;IF(J74="","詳細なし ","")&amp;IF(AND(N(AP74)=1,BB74=""),"顧客名なし ","")))</f>
        <v/>
      </c>
      <c r="AD74" s="31" t="n"/>
      <c r="AE74" s="32" t="n"/>
      <c r="AF74" s="32" t="n"/>
      <c r="AG74" s="31" t="n"/>
      <c r="AH74">
        <f>IF(AB74&lt;&gt;"OK","",IF(AG74&lt;&gt;"",AG74,AJ74))</f>
        <v/>
      </c>
      <c r="AI74" s="33">
        <f>IF(AB74&lt;&gt;"OK","",IFERROR(IF(AE74&lt;&gt;"",AE74,AS74)*IF(AF74&lt;&gt;"",AF74,AT74)/60,""))</f>
        <v/>
      </c>
      <c r="AJ74">
        <f>IF(AB74&lt;&gt;"OK","",IF(OR(VALUE(T74)=2,VALUE(U74)=2,VALUE(V74)=2),"社内残置",IF(AND(VALUE(T74)=0,VALUE(W74)=0,VALUE(Y74)=0),"自動化候補",IF(AND(VALUE(U74)=0,VALUE(W74)&lt;=1,VALUE(X74)&lt;=1,VALUE(Y74)&lt;=1,VALUE(Z74)&lt;=1),"オフショア候補",IF(AND(VALUE(Y74)&lt;=1,VALUE(Z74)&lt;=1),"ニアショア候補","社内で手順化→再評価")))))</f>
        <v/>
      </c>
      <c r="AK74">
        <f>IF(AB74&lt;&gt;"OK","",14-SUMPRODUCT(--T74:Z74))</f>
        <v/>
      </c>
      <c r="AL74" s="33">
        <f>IF(AB74&lt;&gt;"OK","",AS74*AT74/60)</f>
        <v/>
      </c>
      <c r="AM74" s="34">
        <f>IF(A74="","",UPPER(TRIM(ASC(A74&amp;""))))</f>
        <v/>
      </c>
      <c r="AN74" s="34">
        <f>IF(AM74="","",AM74&amp;"-"&amp;B74)</f>
        <v/>
      </c>
      <c r="AO74" s="34">
        <f>IF(C74="","",IFERROR(VALUE(ASC(SUBSTITUTE(C74&amp;"","観点",""))),""))</f>
        <v/>
      </c>
      <c r="AP74" s="34">
        <f>IF(D74="","",IFERROR(VALUE(LEFT(TRIM(ASC(D74&amp;"")),1)),IFERROR(MATCH(TRIM(D74&amp;""),'M2_区分マスタ'!$I$5:$I$10,0),"")))</f>
        <v/>
      </c>
      <c r="AQ74" s="34">
        <f>IF(H74="","",UPPER(LEFT(TRIM(ASC(H74&amp;"")),3)))</f>
        <v/>
      </c>
      <c r="AR74" s="34">
        <f>IF(N74="","",IFERROR(VALUE(SUBSTITUTE(SUBSTITUTE(SUBSTITUTE(SUBSTITUTE(SUBSTITUTE(SUBSTITUTE(SUBSTITUTE(SUBSTITUTE(SUBSTITUTE(SUBSTITUTE(SUBSTITUTE(SUBSTITUTE(ASC(N74&amp;""),"約",""),"程度",""),"ほど",""),"回",""),"毎",""),"週",""),"月",""),"年",""),"日",""),"に",""),"/","")," ","")),""))</f>
        <v/>
      </c>
      <c r="AS74" s="34">
        <f>IF(N74="","",IF(ISNUMBER(N74),N74,IFERROR(VALUE(ASC(N74&amp;"")),IF(AR74&lt;&gt;"",AR74*IF(ISNUMBER(SEARCH("週",N74)),4.3,IF(ISNUMBER(SEARCH("年",N74)),1/12,IF(ISNUMBER(SEARCH("日",N74)),20,1))),IF(ISNUMBER(SEARCH("日",N74)),20,IF(ISNUMBER(SEARCH("週",N74)),4.3,IF(ISNUMBER(SEARCH("月",N74)),1,"")))))))</f>
        <v/>
      </c>
      <c r="AT74" s="34">
        <f>IF(O74="","",IF(ISNUMBER(O74),O74,IFERROR(VALUE(ASC(O74&amp;"")),IF(ISNUMBER(SEARCH("時間",O74)),IFERROR(VALUE(SUBSTITUTE(SUBSTITUTE(SUBSTITUTE(SUBSTITUTE(SUBSTITUTE(ASC(O74&amp;""),"約",""),"程度",""),"ほど",""),"時間","")," ",""))*60,""),IFERROR(VALUE(SUBSTITUTE(SUBSTITUTE(SUBSTITUTE(SUBSTITUTE(SUBSTITUTE(ASC(O74&amp;""),"約",""),"程度",""),"ほど",""),"分","")," ","")),"")))))</f>
        <v/>
      </c>
      <c r="AU74" s="34">
        <f>IF(P74="","",IF(ISNUMBER(P74),P74,IFERROR(VALUE(SUBSTITUTE(SUBSTITUTE(SUBSTITUTE(ASC(P74&amp;""),"約",""),"件","")," ","")),"")))</f>
        <v/>
      </c>
      <c r="AV74" s="34">
        <f>IF(AB74&lt;&gt;"OK","",IF(COUNTIFS($G$5:$G$404,G74&amp;"",$F$5:$F$404,F74&amp;"",$BE$5:$BE$404,BE74&amp;"",$AB$5:$AB$404,"OK")&gt;1,"同名あり",""))</f>
        <v/>
      </c>
      <c r="AW74" s="35">
        <f>IF(Q74="","",IF(ISNUMBER(Q74),Q74,IFERROR(DATEVALUE(SUBSTITUTE(SUBSTITUTE(ASC(Q74&amp;""),"-","/"),".","/")&amp;"/01"),"")))</f>
        <v/>
      </c>
      <c r="AX74" s="35">
        <f>IF(R74="","",IF(ISNUMBER(R74),R74,IFERROR(DATEVALUE(SUBSTITUTE(SUBSTITUTE(ASC(R74&amp;""),"-","/"),".","/")&amp;"/01"),"")))</f>
        <v/>
      </c>
      <c r="AY74" s="34">
        <f>IF(OR(AB74&lt;&gt;"OK",AW74=""),"",IF(AW74&gt;='01_設定'!$C$26,1,0))</f>
        <v/>
      </c>
      <c r="AZ74" s="34">
        <f>IF(AND(AB74="OK",AD74&lt;&gt;"除外"),COUNTIFS($AB$5:AB74,"OK",$AD$5:AD74,"&lt;&gt;除外"),"")</f>
        <v/>
      </c>
      <c r="BA74" s="34">
        <f>IF(OR(AZ74="",AI74=""),"",AI74+ROW()/1000000000)</f>
        <v/>
      </c>
      <c r="BB74" s="34">
        <f>IF(E74="","",IF(OR(TRIM(E74&amp;"")="-",TRIM(E74&amp;"")="－",TRIM(E74&amp;"")="ー"),"",TRIM(E74&amp;"")))</f>
        <v/>
      </c>
      <c r="BC74" s="34">
        <f>IF(AND(AB74="OK",BB74&lt;&gt;""),IF(COUNTIFS($BB$5:BB74,BB74,$AB$5:AB74,"OK")=1,1,""),"")</f>
        <v/>
      </c>
      <c r="BD74" s="34">
        <f>IF(BC74=1,COUNTIF($BC$5:BC74,1),"")</f>
        <v/>
      </c>
      <c r="BE74" s="34">
        <f>IF(BB74="","",IFERROR(INDEX('06_顧客別集計'!$G$5:$G$104,MATCH(BB74,'06_顧客別集計'!$C$5:$C$104,0)),BB74))</f>
        <v/>
      </c>
      <c r="BF74" s="34">
        <f>IF(AND(AZ74&lt;&gt;"",BE74&lt;&gt;""),IF(COUNTIFS($BE$5:BE74,BE74,$AZ$5:AZ74,"&gt;0")=1,1,""),"")</f>
        <v/>
      </c>
      <c r="BG74" s="34">
        <f>IF(BF74=1,COUNTIF($BF$5:BF74,1),"")</f>
        <v/>
      </c>
    </row>
    <row r="75">
      <c r="AB75">
        <f>IF(AND(A75="",G75=""),"",IF(ISNUMBER(SEARCH("##END",AM75)),"（終わりの印）",IF(ISNUMBER(SEARCH("##続き",AM75)),"（続きありの印）",IF(AM75="調査ID","（見出し行）",IF(AND(AM75&lt;&gt;"R1",AM75&lt;&gt;"R2"),"×表以外の行（集計されない）",IF(COUNTIF($AN$5:AN75,AN75)&gt;1,"△重複（集計されない）",IF(G75="","△タスク名なし",IF(ISNA(MATCH(AQ75,'M1_類型マスタ'!$A$5:$A$19,0)),"△類型が不正",IF(OR(AP75="",N(AP75)&lt;1,N(AP75)&gt;6),"△業務区分が不正",IF(OR(AS75="",AT75=""),"△回数・分が読めない",IF(SUMPRODUCT(--ISNUMBER(--T75:Z75))&lt;7,"△採点が足りない",IF(SUMPRODUCT((--T75:Z75&gt;2)+(--T75:Z75&lt;0))&gt;0,"△採点が範囲外","OK"))))))))))))</f>
        <v/>
      </c>
      <c r="AC75">
        <f>IF(AB75&lt;&gt;"OK","",TRIM(IF(AND(AU75&lt;&gt;"",N(AU75)&lt;=1),"根拠1件 ","")&amp;IF(AV75&lt;&gt;"","同名あり ","")&amp;IF(AND(NOT(ISNUMBER(N75)),N75&lt;&gt;""),"回数を換算 ","")&amp;IF(J75="","詳細なし ","")&amp;IF(AND(N(AP75)=1,BB75=""),"顧客名なし ","")))</f>
        <v/>
      </c>
      <c r="AD75" s="31" t="n"/>
      <c r="AE75" s="32" t="n"/>
      <c r="AF75" s="32" t="n"/>
      <c r="AG75" s="31" t="n"/>
      <c r="AH75">
        <f>IF(AB75&lt;&gt;"OK","",IF(AG75&lt;&gt;"",AG75,AJ75))</f>
        <v/>
      </c>
      <c r="AI75" s="33">
        <f>IF(AB75&lt;&gt;"OK","",IFERROR(IF(AE75&lt;&gt;"",AE75,AS75)*IF(AF75&lt;&gt;"",AF75,AT75)/60,""))</f>
        <v/>
      </c>
      <c r="AJ75">
        <f>IF(AB75&lt;&gt;"OK","",IF(OR(VALUE(T75)=2,VALUE(U75)=2,VALUE(V75)=2),"社内残置",IF(AND(VALUE(T75)=0,VALUE(W75)=0,VALUE(Y75)=0),"自動化候補",IF(AND(VALUE(U75)=0,VALUE(W75)&lt;=1,VALUE(X75)&lt;=1,VALUE(Y75)&lt;=1,VALUE(Z75)&lt;=1),"オフショア候補",IF(AND(VALUE(Y75)&lt;=1,VALUE(Z75)&lt;=1),"ニアショア候補","社内で手順化→再評価")))))</f>
        <v/>
      </c>
      <c r="AK75">
        <f>IF(AB75&lt;&gt;"OK","",14-SUMPRODUCT(--T75:Z75))</f>
        <v/>
      </c>
      <c r="AL75" s="33">
        <f>IF(AB75&lt;&gt;"OK","",AS75*AT75/60)</f>
        <v/>
      </c>
      <c r="AM75" s="34">
        <f>IF(A75="","",UPPER(TRIM(ASC(A75&amp;""))))</f>
        <v/>
      </c>
      <c r="AN75" s="34">
        <f>IF(AM75="","",AM75&amp;"-"&amp;B75)</f>
        <v/>
      </c>
      <c r="AO75" s="34">
        <f>IF(C75="","",IFERROR(VALUE(ASC(SUBSTITUTE(C75&amp;"","観点",""))),""))</f>
        <v/>
      </c>
      <c r="AP75" s="34">
        <f>IF(D75="","",IFERROR(VALUE(LEFT(TRIM(ASC(D75&amp;"")),1)),IFERROR(MATCH(TRIM(D75&amp;""),'M2_区分マスタ'!$I$5:$I$10,0),"")))</f>
        <v/>
      </c>
      <c r="AQ75" s="34">
        <f>IF(H75="","",UPPER(LEFT(TRIM(ASC(H75&amp;"")),3)))</f>
        <v/>
      </c>
      <c r="AR75" s="34">
        <f>IF(N75="","",IFERROR(VALUE(SUBSTITUTE(SUBSTITUTE(SUBSTITUTE(SUBSTITUTE(SUBSTITUTE(SUBSTITUTE(SUBSTITUTE(SUBSTITUTE(SUBSTITUTE(SUBSTITUTE(SUBSTITUTE(SUBSTITUTE(ASC(N75&amp;""),"約",""),"程度",""),"ほど",""),"回",""),"毎",""),"週",""),"月",""),"年",""),"日",""),"に",""),"/","")," ","")),""))</f>
        <v/>
      </c>
      <c r="AS75" s="34">
        <f>IF(N75="","",IF(ISNUMBER(N75),N75,IFERROR(VALUE(ASC(N75&amp;"")),IF(AR75&lt;&gt;"",AR75*IF(ISNUMBER(SEARCH("週",N75)),4.3,IF(ISNUMBER(SEARCH("年",N75)),1/12,IF(ISNUMBER(SEARCH("日",N75)),20,1))),IF(ISNUMBER(SEARCH("日",N75)),20,IF(ISNUMBER(SEARCH("週",N75)),4.3,IF(ISNUMBER(SEARCH("月",N75)),1,"")))))))</f>
        <v/>
      </c>
      <c r="AT75" s="34">
        <f>IF(O75="","",IF(ISNUMBER(O75),O75,IFERROR(VALUE(ASC(O75&amp;"")),IF(ISNUMBER(SEARCH("時間",O75)),IFERROR(VALUE(SUBSTITUTE(SUBSTITUTE(SUBSTITUTE(SUBSTITUTE(SUBSTITUTE(ASC(O75&amp;""),"約",""),"程度",""),"ほど",""),"時間","")," ",""))*60,""),IFERROR(VALUE(SUBSTITUTE(SUBSTITUTE(SUBSTITUTE(SUBSTITUTE(SUBSTITUTE(ASC(O75&amp;""),"約",""),"程度",""),"ほど",""),"分","")," ","")),"")))))</f>
        <v/>
      </c>
      <c r="AU75" s="34">
        <f>IF(P75="","",IF(ISNUMBER(P75),P75,IFERROR(VALUE(SUBSTITUTE(SUBSTITUTE(SUBSTITUTE(ASC(P75&amp;""),"約",""),"件","")," ","")),"")))</f>
        <v/>
      </c>
      <c r="AV75" s="34">
        <f>IF(AB75&lt;&gt;"OK","",IF(COUNTIFS($G$5:$G$404,G75&amp;"",$F$5:$F$404,F75&amp;"",$BE$5:$BE$404,BE75&amp;"",$AB$5:$AB$404,"OK")&gt;1,"同名あり",""))</f>
        <v/>
      </c>
      <c r="AW75" s="35">
        <f>IF(Q75="","",IF(ISNUMBER(Q75),Q75,IFERROR(DATEVALUE(SUBSTITUTE(SUBSTITUTE(ASC(Q75&amp;""),"-","/"),".","/")&amp;"/01"),"")))</f>
        <v/>
      </c>
      <c r="AX75" s="35">
        <f>IF(R75="","",IF(ISNUMBER(R75),R75,IFERROR(DATEVALUE(SUBSTITUTE(SUBSTITUTE(ASC(R75&amp;""),"-","/"),".","/")&amp;"/01"),"")))</f>
        <v/>
      </c>
      <c r="AY75" s="34">
        <f>IF(OR(AB75&lt;&gt;"OK",AW75=""),"",IF(AW75&gt;='01_設定'!$C$26,1,0))</f>
        <v/>
      </c>
      <c r="AZ75" s="34">
        <f>IF(AND(AB75="OK",AD75&lt;&gt;"除外"),COUNTIFS($AB$5:AB75,"OK",$AD$5:AD75,"&lt;&gt;除外"),"")</f>
        <v/>
      </c>
      <c r="BA75" s="34">
        <f>IF(OR(AZ75="",AI75=""),"",AI75+ROW()/1000000000)</f>
        <v/>
      </c>
      <c r="BB75" s="34">
        <f>IF(E75="","",IF(OR(TRIM(E75&amp;"")="-",TRIM(E75&amp;"")="－",TRIM(E75&amp;"")="ー"),"",TRIM(E75&amp;"")))</f>
        <v/>
      </c>
      <c r="BC75" s="34">
        <f>IF(AND(AB75="OK",BB75&lt;&gt;""),IF(COUNTIFS($BB$5:BB75,BB75,$AB$5:AB75,"OK")=1,1,""),"")</f>
        <v/>
      </c>
      <c r="BD75" s="34">
        <f>IF(BC75=1,COUNTIF($BC$5:BC75,1),"")</f>
        <v/>
      </c>
      <c r="BE75" s="34">
        <f>IF(BB75="","",IFERROR(INDEX('06_顧客別集計'!$G$5:$G$104,MATCH(BB75,'06_顧客別集計'!$C$5:$C$104,0)),BB75))</f>
        <v/>
      </c>
      <c r="BF75" s="34">
        <f>IF(AND(AZ75&lt;&gt;"",BE75&lt;&gt;""),IF(COUNTIFS($BE$5:BE75,BE75,$AZ$5:AZ75,"&gt;0")=1,1,""),"")</f>
        <v/>
      </c>
      <c r="BG75" s="34">
        <f>IF(BF75=1,COUNTIF($BF$5:BF75,1),"")</f>
        <v/>
      </c>
    </row>
    <row r="76">
      <c r="AB76">
        <f>IF(AND(A76="",G76=""),"",IF(ISNUMBER(SEARCH("##END",AM76)),"（終わりの印）",IF(ISNUMBER(SEARCH("##続き",AM76)),"（続きありの印）",IF(AM76="調査ID","（見出し行）",IF(AND(AM76&lt;&gt;"R1",AM76&lt;&gt;"R2"),"×表以外の行（集計されない）",IF(COUNTIF($AN$5:AN76,AN76)&gt;1,"△重複（集計されない）",IF(G76="","△タスク名なし",IF(ISNA(MATCH(AQ76,'M1_類型マスタ'!$A$5:$A$19,0)),"△類型が不正",IF(OR(AP76="",N(AP76)&lt;1,N(AP76)&gt;6),"△業務区分が不正",IF(OR(AS76="",AT76=""),"△回数・分が読めない",IF(SUMPRODUCT(--ISNUMBER(--T76:Z76))&lt;7,"△採点が足りない",IF(SUMPRODUCT((--T76:Z76&gt;2)+(--T76:Z76&lt;0))&gt;0,"△採点が範囲外","OK"))))))))))))</f>
        <v/>
      </c>
      <c r="AC76">
        <f>IF(AB76&lt;&gt;"OK","",TRIM(IF(AND(AU76&lt;&gt;"",N(AU76)&lt;=1),"根拠1件 ","")&amp;IF(AV76&lt;&gt;"","同名あり ","")&amp;IF(AND(NOT(ISNUMBER(N76)),N76&lt;&gt;""),"回数を換算 ","")&amp;IF(J76="","詳細なし ","")&amp;IF(AND(N(AP76)=1,BB76=""),"顧客名なし ","")))</f>
        <v/>
      </c>
      <c r="AD76" s="31" t="n"/>
      <c r="AE76" s="32" t="n"/>
      <c r="AF76" s="32" t="n"/>
      <c r="AG76" s="31" t="n"/>
      <c r="AH76">
        <f>IF(AB76&lt;&gt;"OK","",IF(AG76&lt;&gt;"",AG76,AJ76))</f>
        <v/>
      </c>
      <c r="AI76" s="33">
        <f>IF(AB76&lt;&gt;"OK","",IFERROR(IF(AE76&lt;&gt;"",AE76,AS76)*IF(AF76&lt;&gt;"",AF76,AT76)/60,""))</f>
        <v/>
      </c>
      <c r="AJ76">
        <f>IF(AB76&lt;&gt;"OK","",IF(OR(VALUE(T76)=2,VALUE(U76)=2,VALUE(V76)=2),"社内残置",IF(AND(VALUE(T76)=0,VALUE(W76)=0,VALUE(Y76)=0),"自動化候補",IF(AND(VALUE(U76)=0,VALUE(W76)&lt;=1,VALUE(X76)&lt;=1,VALUE(Y76)&lt;=1,VALUE(Z76)&lt;=1),"オフショア候補",IF(AND(VALUE(Y76)&lt;=1,VALUE(Z76)&lt;=1),"ニアショア候補","社内で手順化→再評価")))))</f>
        <v/>
      </c>
      <c r="AK76">
        <f>IF(AB76&lt;&gt;"OK","",14-SUMPRODUCT(--T76:Z76))</f>
        <v/>
      </c>
      <c r="AL76" s="33">
        <f>IF(AB76&lt;&gt;"OK","",AS76*AT76/60)</f>
        <v/>
      </c>
      <c r="AM76" s="34">
        <f>IF(A76="","",UPPER(TRIM(ASC(A76&amp;""))))</f>
        <v/>
      </c>
      <c r="AN76" s="34">
        <f>IF(AM76="","",AM76&amp;"-"&amp;B76)</f>
        <v/>
      </c>
      <c r="AO76" s="34">
        <f>IF(C76="","",IFERROR(VALUE(ASC(SUBSTITUTE(C76&amp;"","観点",""))),""))</f>
        <v/>
      </c>
      <c r="AP76" s="34">
        <f>IF(D76="","",IFERROR(VALUE(LEFT(TRIM(ASC(D76&amp;"")),1)),IFERROR(MATCH(TRIM(D76&amp;""),'M2_区分マスタ'!$I$5:$I$10,0),"")))</f>
        <v/>
      </c>
      <c r="AQ76" s="34">
        <f>IF(H76="","",UPPER(LEFT(TRIM(ASC(H76&amp;"")),3)))</f>
        <v/>
      </c>
      <c r="AR76" s="34">
        <f>IF(N76="","",IFERROR(VALUE(SUBSTITUTE(SUBSTITUTE(SUBSTITUTE(SUBSTITUTE(SUBSTITUTE(SUBSTITUTE(SUBSTITUTE(SUBSTITUTE(SUBSTITUTE(SUBSTITUTE(SUBSTITUTE(SUBSTITUTE(ASC(N76&amp;""),"約",""),"程度",""),"ほど",""),"回",""),"毎",""),"週",""),"月",""),"年",""),"日",""),"に",""),"/","")," ","")),""))</f>
        <v/>
      </c>
      <c r="AS76" s="34">
        <f>IF(N76="","",IF(ISNUMBER(N76),N76,IFERROR(VALUE(ASC(N76&amp;"")),IF(AR76&lt;&gt;"",AR76*IF(ISNUMBER(SEARCH("週",N76)),4.3,IF(ISNUMBER(SEARCH("年",N76)),1/12,IF(ISNUMBER(SEARCH("日",N76)),20,1))),IF(ISNUMBER(SEARCH("日",N76)),20,IF(ISNUMBER(SEARCH("週",N76)),4.3,IF(ISNUMBER(SEARCH("月",N76)),1,"")))))))</f>
        <v/>
      </c>
      <c r="AT76" s="34">
        <f>IF(O76="","",IF(ISNUMBER(O76),O76,IFERROR(VALUE(ASC(O76&amp;"")),IF(ISNUMBER(SEARCH("時間",O76)),IFERROR(VALUE(SUBSTITUTE(SUBSTITUTE(SUBSTITUTE(SUBSTITUTE(SUBSTITUTE(ASC(O76&amp;""),"約",""),"程度",""),"ほど",""),"時間","")," ",""))*60,""),IFERROR(VALUE(SUBSTITUTE(SUBSTITUTE(SUBSTITUTE(SUBSTITUTE(SUBSTITUTE(ASC(O76&amp;""),"約",""),"程度",""),"ほど",""),"分","")," ","")),"")))))</f>
        <v/>
      </c>
      <c r="AU76" s="34">
        <f>IF(P76="","",IF(ISNUMBER(P76),P76,IFERROR(VALUE(SUBSTITUTE(SUBSTITUTE(SUBSTITUTE(ASC(P76&amp;""),"約",""),"件","")," ","")),"")))</f>
        <v/>
      </c>
      <c r="AV76" s="34">
        <f>IF(AB76&lt;&gt;"OK","",IF(COUNTIFS($G$5:$G$404,G76&amp;"",$F$5:$F$404,F76&amp;"",$BE$5:$BE$404,BE76&amp;"",$AB$5:$AB$404,"OK")&gt;1,"同名あり",""))</f>
        <v/>
      </c>
      <c r="AW76" s="35">
        <f>IF(Q76="","",IF(ISNUMBER(Q76),Q76,IFERROR(DATEVALUE(SUBSTITUTE(SUBSTITUTE(ASC(Q76&amp;""),"-","/"),".","/")&amp;"/01"),"")))</f>
        <v/>
      </c>
      <c r="AX76" s="35">
        <f>IF(R76="","",IF(ISNUMBER(R76),R76,IFERROR(DATEVALUE(SUBSTITUTE(SUBSTITUTE(ASC(R76&amp;""),"-","/"),".","/")&amp;"/01"),"")))</f>
        <v/>
      </c>
      <c r="AY76" s="34">
        <f>IF(OR(AB76&lt;&gt;"OK",AW76=""),"",IF(AW76&gt;='01_設定'!$C$26,1,0))</f>
        <v/>
      </c>
      <c r="AZ76" s="34">
        <f>IF(AND(AB76="OK",AD76&lt;&gt;"除外"),COUNTIFS($AB$5:AB76,"OK",$AD$5:AD76,"&lt;&gt;除外"),"")</f>
        <v/>
      </c>
      <c r="BA76" s="34">
        <f>IF(OR(AZ76="",AI76=""),"",AI76+ROW()/1000000000)</f>
        <v/>
      </c>
      <c r="BB76" s="34">
        <f>IF(E76="","",IF(OR(TRIM(E76&amp;"")="-",TRIM(E76&amp;"")="－",TRIM(E76&amp;"")="ー"),"",TRIM(E76&amp;"")))</f>
        <v/>
      </c>
      <c r="BC76" s="34">
        <f>IF(AND(AB76="OK",BB76&lt;&gt;""),IF(COUNTIFS($BB$5:BB76,BB76,$AB$5:AB76,"OK")=1,1,""),"")</f>
        <v/>
      </c>
      <c r="BD76" s="34">
        <f>IF(BC76=1,COUNTIF($BC$5:BC76,1),"")</f>
        <v/>
      </c>
      <c r="BE76" s="34">
        <f>IF(BB76="","",IFERROR(INDEX('06_顧客別集計'!$G$5:$G$104,MATCH(BB76,'06_顧客別集計'!$C$5:$C$104,0)),BB76))</f>
        <v/>
      </c>
      <c r="BF76" s="34">
        <f>IF(AND(AZ76&lt;&gt;"",BE76&lt;&gt;""),IF(COUNTIFS($BE$5:BE76,BE76,$AZ$5:AZ76,"&gt;0")=1,1,""),"")</f>
        <v/>
      </c>
      <c r="BG76" s="34">
        <f>IF(BF76=1,COUNTIF($BF$5:BF76,1),"")</f>
        <v/>
      </c>
    </row>
    <row r="77">
      <c r="AB77">
        <f>IF(AND(A77="",G77=""),"",IF(ISNUMBER(SEARCH("##END",AM77)),"（終わりの印）",IF(ISNUMBER(SEARCH("##続き",AM77)),"（続きありの印）",IF(AM77="調査ID","（見出し行）",IF(AND(AM77&lt;&gt;"R1",AM77&lt;&gt;"R2"),"×表以外の行（集計されない）",IF(COUNTIF($AN$5:AN77,AN77)&gt;1,"△重複（集計されない）",IF(G77="","△タスク名なし",IF(ISNA(MATCH(AQ77,'M1_類型マスタ'!$A$5:$A$19,0)),"△類型が不正",IF(OR(AP77="",N(AP77)&lt;1,N(AP77)&gt;6),"△業務区分が不正",IF(OR(AS77="",AT77=""),"△回数・分が読めない",IF(SUMPRODUCT(--ISNUMBER(--T77:Z77))&lt;7,"△採点が足りない",IF(SUMPRODUCT((--T77:Z77&gt;2)+(--T77:Z77&lt;0))&gt;0,"△採点が範囲外","OK"))))))))))))</f>
        <v/>
      </c>
      <c r="AC77">
        <f>IF(AB77&lt;&gt;"OK","",TRIM(IF(AND(AU77&lt;&gt;"",N(AU77)&lt;=1),"根拠1件 ","")&amp;IF(AV77&lt;&gt;"","同名あり ","")&amp;IF(AND(NOT(ISNUMBER(N77)),N77&lt;&gt;""),"回数を換算 ","")&amp;IF(J77="","詳細なし ","")&amp;IF(AND(N(AP77)=1,BB77=""),"顧客名なし ","")))</f>
        <v/>
      </c>
      <c r="AD77" s="31" t="n"/>
      <c r="AE77" s="32" t="n"/>
      <c r="AF77" s="32" t="n"/>
      <c r="AG77" s="31" t="n"/>
      <c r="AH77">
        <f>IF(AB77&lt;&gt;"OK","",IF(AG77&lt;&gt;"",AG77,AJ77))</f>
        <v/>
      </c>
      <c r="AI77" s="33">
        <f>IF(AB77&lt;&gt;"OK","",IFERROR(IF(AE77&lt;&gt;"",AE77,AS77)*IF(AF77&lt;&gt;"",AF77,AT77)/60,""))</f>
        <v/>
      </c>
      <c r="AJ77">
        <f>IF(AB77&lt;&gt;"OK","",IF(OR(VALUE(T77)=2,VALUE(U77)=2,VALUE(V77)=2),"社内残置",IF(AND(VALUE(T77)=0,VALUE(W77)=0,VALUE(Y77)=0),"自動化候補",IF(AND(VALUE(U77)=0,VALUE(W77)&lt;=1,VALUE(X77)&lt;=1,VALUE(Y77)&lt;=1,VALUE(Z77)&lt;=1),"オフショア候補",IF(AND(VALUE(Y77)&lt;=1,VALUE(Z77)&lt;=1),"ニアショア候補","社内で手順化→再評価")))))</f>
        <v/>
      </c>
      <c r="AK77">
        <f>IF(AB77&lt;&gt;"OK","",14-SUMPRODUCT(--T77:Z77))</f>
        <v/>
      </c>
      <c r="AL77" s="33">
        <f>IF(AB77&lt;&gt;"OK","",AS77*AT77/60)</f>
        <v/>
      </c>
      <c r="AM77" s="34">
        <f>IF(A77="","",UPPER(TRIM(ASC(A77&amp;""))))</f>
        <v/>
      </c>
      <c r="AN77" s="34">
        <f>IF(AM77="","",AM77&amp;"-"&amp;B77)</f>
        <v/>
      </c>
      <c r="AO77" s="34">
        <f>IF(C77="","",IFERROR(VALUE(ASC(SUBSTITUTE(C77&amp;"","観点",""))),""))</f>
        <v/>
      </c>
      <c r="AP77" s="34">
        <f>IF(D77="","",IFERROR(VALUE(LEFT(TRIM(ASC(D77&amp;"")),1)),IFERROR(MATCH(TRIM(D77&amp;""),'M2_区分マスタ'!$I$5:$I$10,0),"")))</f>
        <v/>
      </c>
      <c r="AQ77" s="34">
        <f>IF(H77="","",UPPER(LEFT(TRIM(ASC(H77&amp;"")),3)))</f>
        <v/>
      </c>
      <c r="AR77" s="34">
        <f>IF(N77="","",IFERROR(VALUE(SUBSTITUTE(SUBSTITUTE(SUBSTITUTE(SUBSTITUTE(SUBSTITUTE(SUBSTITUTE(SUBSTITUTE(SUBSTITUTE(SUBSTITUTE(SUBSTITUTE(SUBSTITUTE(SUBSTITUTE(ASC(N77&amp;""),"約",""),"程度",""),"ほど",""),"回",""),"毎",""),"週",""),"月",""),"年",""),"日",""),"に",""),"/","")," ","")),""))</f>
        <v/>
      </c>
      <c r="AS77" s="34">
        <f>IF(N77="","",IF(ISNUMBER(N77),N77,IFERROR(VALUE(ASC(N77&amp;"")),IF(AR77&lt;&gt;"",AR77*IF(ISNUMBER(SEARCH("週",N77)),4.3,IF(ISNUMBER(SEARCH("年",N77)),1/12,IF(ISNUMBER(SEARCH("日",N77)),20,1))),IF(ISNUMBER(SEARCH("日",N77)),20,IF(ISNUMBER(SEARCH("週",N77)),4.3,IF(ISNUMBER(SEARCH("月",N77)),1,"")))))))</f>
        <v/>
      </c>
      <c r="AT77" s="34">
        <f>IF(O77="","",IF(ISNUMBER(O77),O77,IFERROR(VALUE(ASC(O77&amp;"")),IF(ISNUMBER(SEARCH("時間",O77)),IFERROR(VALUE(SUBSTITUTE(SUBSTITUTE(SUBSTITUTE(SUBSTITUTE(SUBSTITUTE(ASC(O77&amp;""),"約",""),"程度",""),"ほど",""),"時間","")," ",""))*60,""),IFERROR(VALUE(SUBSTITUTE(SUBSTITUTE(SUBSTITUTE(SUBSTITUTE(SUBSTITUTE(ASC(O77&amp;""),"約",""),"程度",""),"ほど",""),"分","")," ","")),"")))))</f>
        <v/>
      </c>
      <c r="AU77" s="34">
        <f>IF(P77="","",IF(ISNUMBER(P77),P77,IFERROR(VALUE(SUBSTITUTE(SUBSTITUTE(SUBSTITUTE(ASC(P77&amp;""),"約",""),"件","")," ","")),"")))</f>
        <v/>
      </c>
      <c r="AV77" s="34">
        <f>IF(AB77&lt;&gt;"OK","",IF(COUNTIFS($G$5:$G$404,G77&amp;"",$F$5:$F$404,F77&amp;"",$BE$5:$BE$404,BE77&amp;"",$AB$5:$AB$404,"OK")&gt;1,"同名あり",""))</f>
        <v/>
      </c>
      <c r="AW77" s="35">
        <f>IF(Q77="","",IF(ISNUMBER(Q77),Q77,IFERROR(DATEVALUE(SUBSTITUTE(SUBSTITUTE(ASC(Q77&amp;""),"-","/"),".","/")&amp;"/01"),"")))</f>
        <v/>
      </c>
      <c r="AX77" s="35">
        <f>IF(R77="","",IF(ISNUMBER(R77),R77,IFERROR(DATEVALUE(SUBSTITUTE(SUBSTITUTE(ASC(R77&amp;""),"-","/"),".","/")&amp;"/01"),"")))</f>
        <v/>
      </c>
      <c r="AY77" s="34">
        <f>IF(OR(AB77&lt;&gt;"OK",AW77=""),"",IF(AW77&gt;='01_設定'!$C$26,1,0))</f>
        <v/>
      </c>
      <c r="AZ77" s="34">
        <f>IF(AND(AB77="OK",AD77&lt;&gt;"除外"),COUNTIFS($AB$5:AB77,"OK",$AD$5:AD77,"&lt;&gt;除外"),"")</f>
        <v/>
      </c>
      <c r="BA77" s="34">
        <f>IF(OR(AZ77="",AI77=""),"",AI77+ROW()/1000000000)</f>
        <v/>
      </c>
      <c r="BB77" s="34">
        <f>IF(E77="","",IF(OR(TRIM(E77&amp;"")="-",TRIM(E77&amp;"")="－",TRIM(E77&amp;"")="ー"),"",TRIM(E77&amp;"")))</f>
        <v/>
      </c>
      <c r="BC77" s="34">
        <f>IF(AND(AB77="OK",BB77&lt;&gt;""),IF(COUNTIFS($BB$5:BB77,BB77,$AB$5:AB77,"OK")=1,1,""),"")</f>
        <v/>
      </c>
      <c r="BD77" s="34">
        <f>IF(BC77=1,COUNTIF($BC$5:BC77,1),"")</f>
        <v/>
      </c>
      <c r="BE77" s="34">
        <f>IF(BB77="","",IFERROR(INDEX('06_顧客別集計'!$G$5:$G$104,MATCH(BB77,'06_顧客別集計'!$C$5:$C$104,0)),BB77))</f>
        <v/>
      </c>
      <c r="BF77" s="34">
        <f>IF(AND(AZ77&lt;&gt;"",BE77&lt;&gt;""),IF(COUNTIFS($BE$5:BE77,BE77,$AZ$5:AZ77,"&gt;0")=1,1,""),"")</f>
        <v/>
      </c>
      <c r="BG77" s="34">
        <f>IF(BF77=1,COUNTIF($BF$5:BF77,1),"")</f>
        <v/>
      </c>
    </row>
    <row r="78">
      <c r="AB78">
        <f>IF(AND(A78="",G78=""),"",IF(ISNUMBER(SEARCH("##END",AM78)),"（終わりの印）",IF(ISNUMBER(SEARCH("##続き",AM78)),"（続きありの印）",IF(AM78="調査ID","（見出し行）",IF(AND(AM78&lt;&gt;"R1",AM78&lt;&gt;"R2"),"×表以外の行（集計されない）",IF(COUNTIF($AN$5:AN78,AN78)&gt;1,"△重複（集計されない）",IF(G78="","△タスク名なし",IF(ISNA(MATCH(AQ78,'M1_類型マスタ'!$A$5:$A$19,0)),"△類型が不正",IF(OR(AP78="",N(AP78)&lt;1,N(AP78)&gt;6),"△業務区分が不正",IF(OR(AS78="",AT78=""),"△回数・分が読めない",IF(SUMPRODUCT(--ISNUMBER(--T78:Z78))&lt;7,"△採点が足りない",IF(SUMPRODUCT((--T78:Z78&gt;2)+(--T78:Z78&lt;0))&gt;0,"△採点が範囲外","OK"))))))))))))</f>
        <v/>
      </c>
      <c r="AC78">
        <f>IF(AB78&lt;&gt;"OK","",TRIM(IF(AND(AU78&lt;&gt;"",N(AU78)&lt;=1),"根拠1件 ","")&amp;IF(AV78&lt;&gt;"","同名あり ","")&amp;IF(AND(NOT(ISNUMBER(N78)),N78&lt;&gt;""),"回数を換算 ","")&amp;IF(J78="","詳細なし ","")&amp;IF(AND(N(AP78)=1,BB78=""),"顧客名なし ","")))</f>
        <v/>
      </c>
      <c r="AD78" s="31" t="n"/>
      <c r="AE78" s="32" t="n"/>
      <c r="AF78" s="32" t="n"/>
      <c r="AG78" s="31" t="n"/>
      <c r="AH78">
        <f>IF(AB78&lt;&gt;"OK","",IF(AG78&lt;&gt;"",AG78,AJ78))</f>
        <v/>
      </c>
      <c r="AI78" s="33">
        <f>IF(AB78&lt;&gt;"OK","",IFERROR(IF(AE78&lt;&gt;"",AE78,AS78)*IF(AF78&lt;&gt;"",AF78,AT78)/60,""))</f>
        <v/>
      </c>
      <c r="AJ78">
        <f>IF(AB78&lt;&gt;"OK","",IF(OR(VALUE(T78)=2,VALUE(U78)=2,VALUE(V78)=2),"社内残置",IF(AND(VALUE(T78)=0,VALUE(W78)=0,VALUE(Y78)=0),"自動化候補",IF(AND(VALUE(U78)=0,VALUE(W78)&lt;=1,VALUE(X78)&lt;=1,VALUE(Y78)&lt;=1,VALUE(Z78)&lt;=1),"オフショア候補",IF(AND(VALUE(Y78)&lt;=1,VALUE(Z78)&lt;=1),"ニアショア候補","社内で手順化→再評価")))))</f>
        <v/>
      </c>
      <c r="AK78">
        <f>IF(AB78&lt;&gt;"OK","",14-SUMPRODUCT(--T78:Z78))</f>
        <v/>
      </c>
      <c r="AL78" s="33">
        <f>IF(AB78&lt;&gt;"OK","",AS78*AT78/60)</f>
        <v/>
      </c>
      <c r="AM78" s="34">
        <f>IF(A78="","",UPPER(TRIM(ASC(A78&amp;""))))</f>
        <v/>
      </c>
      <c r="AN78" s="34">
        <f>IF(AM78="","",AM78&amp;"-"&amp;B78)</f>
        <v/>
      </c>
      <c r="AO78" s="34">
        <f>IF(C78="","",IFERROR(VALUE(ASC(SUBSTITUTE(C78&amp;"","観点",""))),""))</f>
        <v/>
      </c>
      <c r="AP78" s="34">
        <f>IF(D78="","",IFERROR(VALUE(LEFT(TRIM(ASC(D78&amp;"")),1)),IFERROR(MATCH(TRIM(D78&amp;""),'M2_区分マスタ'!$I$5:$I$10,0),"")))</f>
        <v/>
      </c>
      <c r="AQ78" s="34">
        <f>IF(H78="","",UPPER(LEFT(TRIM(ASC(H78&amp;"")),3)))</f>
        <v/>
      </c>
      <c r="AR78" s="34">
        <f>IF(N78="","",IFERROR(VALUE(SUBSTITUTE(SUBSTITUTE(SUBSTITUTE(SUBSTITUTE(SUBSTITUTE(SUBSTITUTE(SUBSTITUTE(SUBSTITUTE(SUBSTITUTE(SUBSTITUTE(SUBSTITUTE(SUBSTITUTE(ASC(N78&amp;""),"約",""),"程度",""),"ほど",""),"回",""),"毎",""),"週",""),"月",""),"年",""),"日",""),"に",""),"/","")," ","")),""))</f>
        <v/>
      </c>
      <c r="AS78" s="34">
        <f>IF(N78="","",IF(ISNUMBER(N78),N78,IFERROR(VALUE(ASC(N78&amp;"")),IF(AR78&lt;&gt;"",AR78*IF(ISNUMBER(SEARCH("週",N78)),4.3,IF(ISNUMBER(SEARCH("年",N78)),1/12,IF(ISNUMBER(SEARCH("日",N78)),20,1))),IF(ISNUMBER(SEARCH("日",N78)),20,IF(ISNUMBER(SEARCH("週",N78)),4.3,IF(ISNUMBER(SEARCH("月",N78)),1,"")))))))</f>
        <v/>
      </c>
      <c r="AT78" s="34">
        <f>IF(O78="","",IF(ISNUMBER(O78),O78,IFERROR(VALUE(ASC(O78&amp;"")),IF(ISNUMBER(SEARCH("時間",O78)),IFERROR(VALUE(SUBSTITUTE(SUBSTITUTE(SUBSTITUTE(SUBSTITUTE(SUBSTITUTE(ASC(O78&amp;""),"約",""),"程度",""),"ほど",""),"時間","")," ",""))*60,""),IFERROR(VALUE(SUBSTITUTE(SUBSTITUTE(SUBSTITUTE(SUBSTITUTE(SUBSTITUTE(ASC(O78&amp;""),"約",""),"程度",""),"ほど",""),"分","")," ","")),"")))))</f>
        <v/>
      </c>
      <c r="AU78" s="34">
        <f>IF(P78="","",IF(ISNUMBER(P78),P78,IFERROR(VALUE(SUBSTITUTE(SUBSTITUTE(SUBSTITUTE(ASC(P78&amp;""),"約",""),"件","")," ","")),"")))</f>
        <v/>
      </c>
      <c r="AV78" s="34">
        <f>IF(AB78&lt;&gt;"OK","",IF(COUNTIFS($G$5:$G$404,G78&amp;"",$F$5:$F$404,F78&amp;"",$BE$5:$BE$404,BE78&amp;"",$AB$5:$AB$404,"OK")&gt;1,"同名あり",""))</f>
        <v/>
      </c>
      <c r="AW78" s="35">
        <f>IF(Q78="","",IF(ISNUMBER(Q78),Q78,IFERROR(DATEVALUE(SUBSTITUTE(SUBSTITUTE(ASC(Q78&amp;""),"-","/"),".","/")&amp;"/01"),"")))</f>
        <v/>
      </c>
      <c r="AX78" s="35">
        <f>IF(R78="","",IF(ISNUMBER(R78),R78,IFERROR(DATEVALUE(SUBSTITUTE(SUBSTITUTE(ASC(R78&amp;""),"-","/"),".","/")&amp;"/01"),"")))</f>
        <v/>
      </c>
      <c r="AY78" s="34">
        <f>IF(OR(AB78&lt;&gt;"OK",AW78=""),"",IF(AW78&gt;='01_設定'!$C$26,1,0))</f>
        <v/>
      </c>
      <c r="AZ78" s="34">
        <f>IF(AND(AB78="OK",AD78&lt;&gt;"除外"),COUNTIFS($AB$5:AB78,"OK",$AD$5:AD78,"&lt;&gt;除外"),"")</f>
        <v/>
      </c>
      <c r="BA78" s="34">
        <f>IF(OR(AZ78="",AI78=""),"",AI78+ROW()/1000000000)</f>
        <v/>
      </c>
      <c r="BB78" s="34">
        <f>IF(E78="","",IF(OR(TRIM(E78&amp;"")="-",TRIM(E78&amp;"")="－",TRIM(E78&amp;"")="ー"),"",TRIM(E78&amp;"")))</f>
        <v/>
      </c>
      <c r="BC78" s="34">
        <f>IF(AND(AB78="OK",BB78&lt;&gt;""),IF(COUNTIFS($BB$5:BB78,BB78,$AB$5:AB78,"OK")=1,1,""),"")</f>
        <v/>
      </c>
      <c r="BD78" s="34">
        <f>IF(BC78=1,COUNTIF($BC$5:BC78,1),"")</f>
        <v/>
      </c>
      <c r="BE78" s="34">
        <f>IF(BB78="","",IFERROR(INDEX('06_顧客別集計'!$G$5:$G$104,MATCH(BB78,'06_顧客別集計'!$C$5:$C$104,0)),BB78))</f>
        <v/>
      </c>
      <c r="BF78" s="34">
        <f>IF(AND(AZ78&lt;&gt;"",BE78&lt;&gt;""),IF(COUNTIFS($BE$5:BE78,BE78,$AZ$5:AZ78,"&gt;0")=1,1,""),"")</f>
        <v/>
      </c>
      <c r="BG78" s="34">
        <f>IF(BF78=1,COUNTIF($BF$5:BF78,1),"")</f>
        <v/>
      </c>
    </row>
    <row r="79">
      <c r="AB79">
        <f>IF(AND(A79="",G79=""),"",IF(ISNUMBER(SEARCH("##END",AM79)),"（終わりの印）",IF(ISNUMBER(SEARCH("##続き",AM79)),"（続きありの印）",IF(AM79="調査ID","（見出し行）",IF(AND(AM79&lt;&gt;"R1",AM79&lt;&gt;"R2"),"×表以外の行（集計されない）",IF(COUNTIF($AN$5:AN79,AN79)&gt;1,"△重複（集計されない）",IF(G79="","△タスク名なし",IF(ISNA(MATCH(AQ79,'M1_類型マスタ'!$A$5:$A$19,0)),"△類型が不正",IF(OR(AP79="",N(AP79)&lt;1,N(AP79)&gt;6),"△業務区分が不正",IF(OR(AS79="",AT79=""),"△回数・分が読めない",IF(SUMPRODUCT(--ISNUMBER(--T79:Z79))&lt;7,"△採点が足りない",IF(SUMPRODUCT((--T79:Z79&gt;2)+(--T79:Z79&lt;0))&gt;0,"△採点が範囲外","OK"))))))))))))</f>
        <v/>
      </c>
      <c r="AC79">
        <f>IF(AB79&lt;&gt;"OK","",TRIM(IF(AND(AU79&lt;&gt;"",N(AU79)&lt;=1),"根拠1件 ","")&amp;IF(AV79&lt;&gt;"","同名あり ","")&amp;IF(AND(NOT(ISNUMBER(N79)),N79&lt;&gt;""),"回数を換算 ","")&amp;IF(J79="","詳細なし ","")&amp;IF(AND(N(AP79)=1,BB79=""),"顧客名なし ","")))</f>
        <v/>
      </c>
      <c r="AD79" s="31" t="n"/>
      <c r="AE79" s="32" t="n"/>
      <c r="AF79" s="32" t="n"/>
      <c r="AG79" s="31" t="n"/>
      <c r="AH79">
        <f>IF(AB79&lt;&gt;"OK","",IF(AG79&lt;&gt;"",AG79,AJ79))</f>
        <v/>
      </c>
      <c r="AI79" s="33">
        <f>IF(AB79&lt;&gt;"OK","",IFERROR(IF(AE79&lt;&gt;"",AE79,AS79)*IF(AF79&lt;&gt;"",AF79,AT79)/60,""))</f>
        <v/>
      </c>
      <c r="AJ79">
        <f>IF(AB79&lt;&gt;"OK","",IF(OR(VALUE(T79)=2,VALUE(U79)=2,VALUE(V79)=2),"社内残置",IF(AND(VALUE(T79)=0,VALUE(W79)=0,VALUE(Y79)=0),"自動化候補",IF(AND(VALUE(U79)=0,VALUE(W79)&lt;=1,VALUE(X79)&lt;=1,VALUE(Y79)&lt;=1,VALUE(Z79)&lt;=1),"オフショア候補",IF(AND(VALUE(Y79)&lt;=1,VALUE(Z79)&lt;=1),"ニアショア候補","社内で手順化→再評価")))))</f>
        <v/>
      </c>
      <c r="AK79">
        <f>IF(AB79&lt;&gt;"OK","",14-SUMPRODUCT(--T79:Z79))</f>
        <v/>
      </c>
      <c r="AL79" s="33">
        <f>IF(AB79&lt;&gt;"OK","",AS79*AT79/60)</f>
        <v/>
      </c>
      <c r="AM79" s="34">
        <f>IF(A79="","",UPPER(TRIM(ASC(A79&amp;""))))</f>
        <v/>
      </c>
      <c r="AN79" s="34">
        <f>IF(AM79="","",AM79&amp;"-"&amp;B79)</f>
        <v/>
      </c>
      <c r="AO79" s="34">
        <f>IF(C79="","",IFERROR(VALUE(ASC(SUBSTITUTE(C79&amp;"","観点",""))),""))</f>
        <v/>
      </c>
      <c r="AP79" s="34">
        <f>IF(D79="","",IFERROR(VALUE(LEFT(TRIM(ASC(D79&amp;"")),1)),IFERROR(MATCH(TRIM(D79&amp;""),'M2_区分マスタ'!$I$5:$I$10,0),"")))</f>
        <v/>
      </c>
      <c r="AQ79" s="34">
        <f>IF(H79="","",UPPER(LEFT(TRIM(ASC(H79&amp;"")),3)))</f>
        <v/>
      </c>
      <c r="AR79" s="34">
        <f>IF(N79="","",IFERROR(VALUE(SUBSTITUTE(SUBSTITUTE(SUBSTITUTE(SUBSTITUTE(SUBSTITUTE(SUBSTITUTE(SUBSTITUTE(SUBSTITUTE(SUBSTITUTE(SUBSTITUTE(SUBSTITUTE(SUBSTITUTE(ASC(N79&amp;""),"約",""),"程度",""),"ほど",""),"回",""),"毎",""),"週",""),"月",""),"年",""),"日",""),"に",""),"/","")," ","")),""))</f>
        <v/>
      </c>
      <c r="AS79" s="34">
        <f>IF(N79="","",IF(ISNUMBER(N79),N79,IFERROR(VALUE(ASC(N79&amp;"")),IF(AR79&lt;&gt;"",AR79*IF(ISNUMBER(SEARCH("週",N79)),4.3,IF(ISNUMBER(SEARCH("年",N79)),1/12,IF(ISNUMBER(SEARCH("日",N79)),20,1))),IF(ISNUMBER(SEARCH("日",N79)),20,IF(ISNUMBER(SEARCH("週",N79)),4.3,IF(ISNUMBER(SEARCH("月",N79)),1,"")))))))</f>
        <v/>
      </c>
      <c r="AT79" s="34">
        <f>IF(O79="","",IF(ISNUMBER(O79),O79,IFERROR(VALUE(ASC(O79&amp;"")),IF(ISNUMBER(SEARCH("時間",O79)),IFERROR(VALUE(SUBSTITUTE(SUBSTITUTE(SUBSTITUTE(SUBSTITUTE(SUBSTITUTE(ASC(O79&amp;""),"約",""),"程度",""),"ほど",""),"時間","")," ",""))*60,""),IFERROR(VALUE(SUBSTITUTE(SUBSTITUTE(SUBSTITUTE(SUBSTITUTE(SUBSTITUTE(ASC(O79&amp;""),"約",""),"程度",""),"ほど",""),"分","")," ","")),"")))))</f>
        <v/>
      </c>
      <c r="AU79" s="34">
        <f>IF(P79="","",IF(ISNUMBER(P79),P79,IFERROR(VALUE(SUBSTITUTE(SUBSTITUTE(SUBSTITUTE(ASC(P79&amp;""),"約",""),"件","")," ","")),"")))</f>
        <v/>
      </c>
      <c r="AV79" s="34">
        <f>IF(AB79&lt;&gt;"OK","",IF(COUNTIFS($G$5:$G$404,G79&amp;"",$F$5:$F$404,F79&amp;"",$BE$5:$BE$404,BE79&amp;"",$AB$5:$AB$404,"OK")&gt;1,"同名あり",""))</f>
        <v/>
      </c>
      <c r="AW79" s="35">
        <f>IF(Q79="","",IF(ISNUMBER(Q79),Q79,IFERROR(DATEVALUE(SUBSTITUTE(SUBSTITUTE(ASC(Q79&amp;""),"-","/"),".","/")&amp;"/01"),"")))</f>
        <v/>
      </c>
      <c r="AX79" s="35">
        <f>IF(R79="","",IF(ISNUMBER(R79),R79,IFERROR(DATEVALUE(SUBSTITUTE(SUBSTITUTE(ASC(R79&amp;""),"-","/"),".","/")&amp;"/01"),"")))</f>
        <v/>
      </c>
      <c r="AY79" s="34">
        <f>IF(OR(AB79&lt;&gt;"OK",AW79=""),"",IF(AW79&gt;='01_設定'!$C$26,1,0))</f>
        <v/>
      </c>
      <c r="AZ79" s="34">
        <f>IF(AND(AB79="OK",AD79&lt;&gt;"除外"),COUNTIFS($AB$5:AB79,"OK",$AD$5:AD79,"&lt;&gt;除外"),"")</f>
        <v/>
      </c>
      <c r="BA79" s="34">
        <f>IF(OR(AZ79="",AI79=""),"",AI79+ROW()/1000000000)</f>
        <v/>
      </c>
      <c r="BB79" s="34">
        <f>IF(E79="","",IF(OR(TRIM(E79&amp;"")="-",TRIM(E79&amp;"")="－",TRIM(E79&amp;"")="ー"),"",TRIM(E79&amp;"")))</f>
        <v/>
      </c>
      <c r="BC79" s="34">
        <f>IF(AND(AB79="OK",BB79&lt;&gt;""),IF(COUNTIFS($BB$5:BB79,BB79,$AB$5:AB79,"OK")=1,1,""),"")</f>
        <v/>
      </c>
      <c r="BD79" s="34">
        <f>IF(BC79=1,COUNTIF($BC$5:BC79,1),"")</f>
        <v/>
      </c>
      <c r="BE79" s="34">
        <f>IF(BB79="","",IFERROR(INDEX('06_顧客別集計'!$G$5:$G$104,MATCH(BB79,'06_顧客別集計'!$C$5:$C$104,0)),BB79))</f>
        <v/>
      </c>
      <c r="BF79" s="34">
        <f>IF(AND(AZ79&lt;&gt;"",BE79&lt;&gt;""),IF(COUNTIFS($BE$5:BE79,BE79,$AZ$5:AZ79,"&gt;0")=1,1,""),"")</f>
        <v/>
      </c>
      <c r="BG79" s="34">
        <f>IF(BF79=1,COUNTIF($BF$5:BF79,1),"")</f>
        <v/>
      </c>
    </row>
    <row r="80">
      <c r="AB80">
        <f>IF(AND(A80="",G80=""),"",IF(ISNUMBER(SEARCH("##END",AM80)),"（終わりの印）",IF(ISNUMBER(SEARCH("##続き",AM80)),"（続きありの印）",IF(AM80="調査ID","（見出し行）",IF(AND(AM80&lt;&gt;"R1",AM80&lt;&gt;"R2"),"×表以外の行（集計されない）",IF(COUNTIF($AN$5:AN80,AN80)&gt;1,"△重複（集計されない）",IF(G80="","△タスク名なし",IF(ISNA(MATCH(AQ80,'M1_類型マスタ'!$A$5:$A$19,0)),"△類型が不正",IF(OR(AP80="",N(AP80)&lt;1,N(AP80)&gt;6),"△業務区分が不正",IF(OR(AS80="",AT80=""),"△回数・分が読めない",IF(SUMPRODUCT(--ISNUMBER(--T80:Z80))&lt;7,"△採点が足りない",IF(SUMPRODUCT((--T80:Z80&gt;2)+(--T80:Z80&lt;0))&gt;0,"△採点が範囲外","OK"))))))))))))</f>
        <v/>
      </c>
      <c r="AC80">
        <f>IF(AB80&lt;&gt;"OK","",TRIM(IF(AND(AU80&lt;&gt;"",N(AU80)&lt;=1),"根拠1件 ","")&amp;IF(AV80&lt;&gt;"","同名あり ","")&amp;IF(AND(NOT(ISNUMBER(N80)),N80&lt;&gt;""),"回数を換算 ","")&amp;IF(J80="","詳細なし ","")&amp;IF(AND(N(AP80)=1,BB80=""),"顧客名なし ","")))</f>
        <v/>
      </c>
      <c r="AD80" s="31" t="n"/>
      <c r="AE80" s="32" t="n"/>
      <c r="AF80" s="32" t="n"/>
      <c r="AG80" s="31" t="n"/>
      <c r="AH80">
        <f>IF(AB80&lt;&gt;"OK","",IF(AG80&lt;&gt;"",AG80,AJ80))</f>
        <v/>
      </c>
      <c r="AI80" s="33">
        <f>IF(AB80&lt;&gt;"OK","",IFERROR(IF(AE80&lt;&gt;"",AE80,AS80)*IF(AF80&lt;&gt;"",AF80,AT80)/60,""))</f>
        <v/>
      </c>
      <c r="AJ80">
        <f>IF(AB80&lt;&gt;"OK","",IF(OR(VALUE(T80)=2,VALUE(U80)=2,VALUE(V80)=2),"社内残置",IF(AND(VALUE(T80)=0,VALUE(W80)=0,VALUE(Y80)=0),"自動化候補",IF(AND(VALUE(U80)=0,VALUE(W80)&lt;=1,VALUE(X80)&lt;=1,VALUE(Y80)&lt;=1,VALUE(Z80)&lt;=1),"オフショア候補",IF(AND(VALUE(Y80)&lt;=1,VALUE(Z80)&lt;=1),"ニアショア候補","社内で手順化→再評価")))))</f>
        <v/>
      </c>
      <c r="AK80">
        <f>IF(AB80&lt;&gt;"OK","",14-SUMPRODUCT(--T80:Z80))</f>
        <v/>
      </c>
      <c r="AL80" s="33">
        <f>IF(AB80&lt;&gt;"OK","",AS80*AT80/60)</f>
        <v/>
      </c>
      <c r="AM80" s="34">
        <f>IF(A80="","",UPPER(TRIM(ASC(A80&amp;""))))</f>
        <v/>
      </c>
      <c r="AN80" s="34">
        <f>IF(AM80="","",AM80&amp;"-"&amp;B80)</f>
        <v/>
      </c>
      <c r="AO80" s="34">
        <f>IF(C80="","",IFERROR(VALUE(ASC(SUBSTITUTE(C80&amp;"","観点",""))),""))</f>
        <v/>
      </c>
      <c r="AP80" s="34">
        <f>IF(D80="","",IFERROR(VALUE(LEFT(TRIM(ASC(D80&amp;"")),1)),IFERROR(MATCH(TRIM(D80&amp;""),'M2_区分マスタ'!$I$5:$I$10,0),"")))</f>
        <v/>
      </c>
      <c r="AQ80" s="34">
        <f>IF(H80="","",UPPER(LEFT(TRIM(ASC(H80&amp;"")),3)))</f>
        <v/>
      </c>
      <c r="AR80" s="34">
        <f>IF(N80="","",IFERROR(VALUE(SUBSTITUTE(SUBSTITUTE(SUBSTITUTE(SUBSTITUTE(SUBSTITUTE(SUBSTITUTE(SUBSTITUTE(SUBSTITUTE(SUBSTITUTE(SUBSTITUTE(SUBSTITUTE(SUBSTITUTE(ASC(N80&amp;""),"約",""),"程度",""),"ほど",""),"回",""),"毎",""),"週",""),"月",""),"年",""),"日",""),"に",""),"/","")," ","")),""))</f>
        <v/>
      </c>
      <c r="AS80" s="34">
        <f>IF(N80="","",IF(ISNUMBER(N80),N80,IFERROR(VALUE(ASC(N80&amp;"")),IF(AR80&lt;&gt;"",AR80*IF(ISNUMBER(SEARCH("週",N80)),4.3,IF(ISNUMBER(SEARCH("年",N80)),1/12,IF(ISNUMBER(SEARCH("日",N80)),20,1))),IF(ISNUMBER(SEARCH("日",N80)),20,IF(ISNUMBER(SEARCH("週",N80)),4.3,IF(ISNUMBER(SEARCH("月",N80)),1,"")))))))</f>
        <v/>
      </c>
      <c r="AT80" s="34">
        <f>IF(O80="","",IF(ISNUMBER(O80),O80,IFERROR(VALUE(ASC(O80&amp;"")),IF(ISNUMBER(SEARCH("時間",O80)),IFERROR(VALUE(SUBSTITUTE(SUBSTITUTE(SUBSTITUTE(SUBSTITUTE(SUBSTITUTE(ASC(O80&amp;""),"約",""),"程度",""),"ほど",""),"時間","")," ",""))*60,""),IFERROR(VALUE(SUBSTITUTE(SUBSTITUTE(SUBSTITUTE(SUBSTITUTE(SUBSTITUTE(ASC(O80&amp;""),"約",""),"程度",""),"ほど",""),"分","")," ","")),"")))))</f>
        <v/>
      </c>
      <c r="AU80" s="34">
        <f>IF(P80="","",IF(ISNUMBER(P80),P80,IFERROR(VALUE(SUBSTITUTE(SUBSTITUTE(SUBSTITUTE(ASC(P80&amp;""),"約",""),"件","")," ","")),"")))</f>
        <v/>
      </c>
      <c r="AV80" s="34">
        <f>IF(AB80&lt;&gt;"OK","",IF(COUNTIFS($G$5:$G$404,G80&amp;"",$F$5:$F$404,F80&amp;"",$BE$5:$BE$404,BE80&amp;"",$AB$5:$AB$404,"OK")&gt;1,"同名あり",""))</f>
        <v/>
      </c>
      <c r="AW80" s="35">
        <f>IF(Q80="","",IF(ISNUMBER(Q80),Q80,IFERROR(DATEVALUE(SUBSTITUTE(SUBSTITUTE(ASC(Q80&amp;""),"-","/"),".","/")&amp;"/01"),"")))</f>
        <v/>
      </c>
      <c r="AX80" s="35">
        <f>IF(R80="","",IF(ISNUMBER(R80),R80,IFERROR(DATEVALUE(SUBSTITUTE(SUBSTITUTE(ASC(R80&amp;""),"-","/"),".","/")&amp;"/01"),"")))</f>
        <v/>
      </c>
      <c r="AY80" s="34">
        <f>IF(OR(AB80&lt;&gt;"OK",AW80=""),"",IF(AW80&gt;='01_設定'!$C$26,1,0))</f>
        <v/>
      </c>
      <c r="AZ80" s="34">
        <f>IF(AND(AB80="OK",AD80&lt;&gt;"除外"),COUNTIFS($AB$5:AB80,"OK",$AD$5:AD80,"&lt;&gt;除外"),"")</f>
        <v/>
      </c>
      <c r="BA80" s="34">
        <f>IF(OR(AZ80="",AI80=""),"",AI80+ROW()/1000000000)</f>
        <v/>
      </c>
      <c r="BB80" s="34">
        <f>IF(E80="","",IF(OR(TRIM(E80&amp;"")="-",TRIM(E80&amp;"")="－",TRIM(E80&amp;"")="ー"),"",TRIM(E80&amp;"")))</f>
        <v/>
      </c>
      <c r="BC80" s="34">
        <f>IF(AND(AB80="OK",BB80&lt;&gt;""),IF(COUNTIFS($BB$5:BB80,BB80,$AB$5:AB80,"OK")=1,1,""),"")</f>
        <v/>
      </c>
      <c r="BD80" s="34">
        <f>IF(BC80=1,COUNTIF($BC$5:BC80,1),"")</f>
        <v/>
      </c>
      <c r="BE80" s="34">
        <f>IF(BB80="","",IFERROR(INDEX('06_顧客別集計'!$G$5:$G$104,MATCH(BB80,'06_顧客別集計'!$C$5:$C$104,0)),BB80))</f>
        <v/>
      </c>
      <c r="BF80" s="34">
        <f>IF(AND(AZ80&lt;&gt;"",BE80&lt;&gt;""),IF(COUNTIFS($BE$5:BE80,BE80,$AZ$5:AZ80,"&gt;0")=1,1,""),"")</f>
        <v/>
      </c>
      <c r="BG80" s="34">
        <f>IF(BF80=1,COUNTIF($BF$5:BF80,1),"")</f>
        <v/>
      </c>
    </row>
    <row r="81">
      <c r="AB81">
        <f>IF(AND(A81="",G81=""),"",IF(ISNUMBER(SEARCH("##END",AM81)),"（終わりの印）",IF(ISNUMBER(SEARCH("##続き",AM81)),"（続きありの印）",IF(AM81="調査ID","（見出し行）",IF(AND(AM81&lt;&gt;"R1",AM81&lt;&gt;"R2"),"×表以外の行（集計されない）",IF(COUNTIF($AN$5:AN81,AN81)&gt;1,"△重複（集計されない）",IF(G81="","△タスク名なし",IF(ISNA(MATCH(AQ81,'M1_類型マスタ'!$A$5:$A$19,0)),"△類型が不正",IF(OR(AP81="",N(AP81)&lt;1,N(AP81)&gt;6),"△業務区分が不正",IF(OR(AS81="",AT81=""),"△回数・分が読めない",IF(SUMPRODUCT(--ISNUMBER(--T81:Z81))&lt;7,"△採点が足りない",IF(SUMPRODUCT((--T81:Z81&gt;2)+(--T81:Z81&lt;0))&gt;0,"△採点が範囲外","OK"))))))))))))</f>
        <v/>
      </c>
      <c r="AC81">
        <f>IF(AB81&lt;&gt;"OK","",TRIM(IF(AND(AU81&lt;&gt;"",N(AU81)&lt;=1),"根拠1件 ","")&amp;IF(AV81&lt;&gt;"","同名あり ","")&amp;IF(AND(NOT(ISNUMBER(N81)),N81&lt;&gt;""),"回数を換算 ","")&amp;IF(J81="","詳細なし ","")&amp;IF(AND(N(AP81)=1,BB81=""),"顧客名なし ","")))</f>
        <v/>
      </c>
      <c r="AD81" s="31" t="n"/>
      <c r="AE81" s="32" t="n"/>
      <c r="AF81" s="32" t="n"/>
      <c r="AG81" s="31" t="n"/>
      <c r="AH81">
        <f>IF(AB81&lt;&gt;"OK","",IF(AG81&lt;&gt;"",AG81,AJ81))</f>
        <v/>
      </c>
      <c r="AI81" s="33">
        <f>IF(AB81&lt;&gt;"OK","",IFERROR(IF(AE81&lt;&gt;"",AE81,AS81)*IF(AF81&lt;&gt;"",AF81,AT81)/60,""))</f>
        <v/>
      </c>
      <c r="AJ81">
        <f>IF(AB81&lt;&gt;"OK","",IF(OR(VALUE(T81)=2,VALUE(U81)=2,VALUE(V81)=2),"社内残置",IF(AND(VALUE(T81)=0,VALUE(W81)=0,VALUE(Y81)=0),"自動化候補",IF(AND(VALUE(U81)=0,VALUE(W81)&lt;=1,VALUE(X81)&lt;=1,VALUE(Y81)&lt;=1,VALUE(Z81)&lt;=1),"オフショア候補",IF(AND(VALUE(Y81)&lt;=1,VALUE(Z81)&lt;=1),"ニアショア候補","社内で手順化→再評価")))))</f>
        <v/>
      </c>
      <c r="AK81">
        <f>IF(AB81&lt;&gt;"OK","",14-SUMPRODUCT(--T81:Z81))</f>
        <v/>
      </c>
      <c r="AL81" s="33">
        <f>IF(AB81&lt;&gt;"OK","",AS81*AT81/60)</f>
        <v/>
      </c>
      <c r="AM81" s="34">
        <f>IF(A81="","",UPPER(TRIM(ASC(A81&amp;""))))</f>
        <v/>
      </c>
      <c r="AN81" s="34">
        <f>IF(AM81="","",AM81&amp;"-"&amp;B81)</f>
        <v/>
      </c>
      <c r="AO81" s="34">
        <f>IF(C81="","",IFERROR(VALUE(ASC(SUBSTITUTE(C81&amp;"","観点",""))),""))</f>
        <v/>
      </c>
      <c r="AP81" s="34">
        <f>IF(D81="","",IFERROR(VALUE(LEFT(TRIM(ASC(D81&amp;"")),1)),IFERROR(MATCH(TRIM(D81&amp;""),'M2_区分マスタ'!$I$5:$I$10,0),"")))</f>
        <v/>
      </c>
      <c r="AQ81" s="34">
        <f>IF(H81="","",UPPER(LEFT(TRIM(ASC(H81&amp;"")),3)))</f>
        <v/>
      </c>
      <c r="AR81" s="34">
        <f>IF(N81="","",IFERROR(VALUE(SUBSTITUTE(SUBSTITUTE(SUBSTITUTE(SUBSTITUTE(SUBSTITUTE(SUBSTITUTE(SUBSTITUTE(SUBSTITUTE(SUBSTITUTE(SUBSTITUTE(SUBSTITUTE(SUBSTITUTE(ASC(N81&amp;""),"約",""),"程度",""),"ほど",""),"回",""),"毎",""),"週",""),"月",""),"年",""),"日",""),"に",""),"/","")," ","")),""))</f>
        <v/>
      </c>
      <c r="AS81" s="34">
        <f>IF(N81="","",IF(ISNUMBER(N81),N81,IFERROR(VALUE(ASC(N81&amp;"")),IF(AR81&lt;&gt;"",AR81*IF(ISNUMBER(SEARCH("週",N81)),4.3,IF(ISNUMBER(SEARCH("年",N81)),1/12,IF(ISNUMBER(SEARCH("日",N81)),20,1))),IF(ISNUMBER(SEARCH("日",N81)),20,IF(ISNUMBER(SEARCH("週",N81)),4.3,IF(ISNUMBER(SEARCH("月",N81)),1,"")))))))</f>
        <v/>
      </c>
      <c r="AT81" s="34">
        <f>IF(O81="","",IF(ISNUMBER(O81),O81,IFERROR(VALUE(ASC(O81&amp;"")),IF(ISNUMBER(SEARCH("時間",O81)),IFERROR(VALUE(SUBSTITUTE(SUBSTITUTE(SUBSTITUTE(SUBSTITUTE(SUBSTITUTE(ASC(O81&amp;""),"約",""),"程度",""),"ほど",""),"時間","")," ",""))*60,""),IFERROR(VALUE(SUBSTITUTE(SUBSTITUTE(SUBSTITUTE(SUBSTITUTE(SUBSTITUTE(ASC(O81&amp;""),"約",""),"程度",""),"ほど",""),"分","")," ","")),"")))))</f>
        <v/>
      </c>
      <c r="AU81" s="34">
        <f>IF(P81="","",IF(ISNUMBER(P81),P81,IFERROR(VALUE(SUBSTITUTE(SUBSTITUTE(SUBSTITUTE(ASC(P81&amp;""),"約",""),"件","")," ","")),"")))</f>
        <v/>
      </c>
      <c r="AV81" s="34">
        <f>IF(AB81&lt;&gt;"OK","",IF(COUNTIFS($G$5:$G$404,G81&amp;"",$F$5:$F$404,F81&amp;"",$BE$5:$BE$404,BE81&amp;"",$AB$5:$AB$404,"OK")&gt;1,"同名あり",""))</f>
        <v/>
      </c>
      <c r="AW81" s="35">
        <f>IF(Q81="","",IF(ISNUMBER(Q81),Q81,IFERROR(DATEVALUE(SUBSTITUTE(SUBSTITUTE(ASC(Q81&amp;""),"-","/"),".","/")&amp;"/01"),"")))</f>
        <v/>
      </c>
      <c r="AX81" s="35">
        <f>IF(R81="","",IF(ISNUMBER(R81),R81,IFERROR(DATEVALUE(SUBSTITUTE(SUBSTITUTE(ASC(R81&amp;""),"-","/"),".","/")&amp;"/01"),"")))</f>
        <v/>
      </c>
      <c r="AY81" s="34">
        <f>IF(OR(AB81&lt;&gt;"OK",AW81=""),"",IF(AW81&gt;='01_設定'!$C$26,1,0))</f>
        <v/>
      </c>
      <c r="AZ81" s="34">
        <f>IF(AND(AB81="OK",AD81&lt;&gt;"除外"),COUNTIFS($AB$5:AB81,"OK",$AD$5:AD81,"&lt;&gt;除外"),"")</f>
        <v/>
      </c>
      <c r="BA81" s="34">
        <f>IF(OR(AZ81="",AI81=""),"",AI81+ROW()/1000000000)</f>
        <v/>
      </c>
      <c r="BB81" s="34">
        <f>IF(E81="","",IF(OR(TRIM(E81&amp;"")="-",TRIM(E81&amp;"")="－",TRIM(E81&amp;"")="ー"),"",TRIM(E81&amp;"")))</f>
        <v/>
      </c>
      <c r="BC81" s="34">
        <f>IF(AND(AB81="OK",BB81&lt;&gt;""),IF(COUNTIFS($BB$5:BB81,BB81,$AB$5:AB81,"OK")=1,1,""),"")</f>
        <v/>
      </c>
      <c r="BD81" s="34">
        <f>IF(BC81=1,COUNTIF($BC$5:BC81,1),"")</f>
        <v/>
      </c>
      <c r="BE81" s="34">
        <f>IF(BB81="","",IFERROR(INDEX('06_顧客別集計'!$G$5:$G$104,MATCH(BB81,'06_顧客別集計'!$C$5:$C$104,0)),BB81))</f>
        <v/>
      </c>
      <c r="BF81" s="34">
        <f>IF(AND(AZ81&lt;&gt;"",BE81&lt;&gt;""),IF(COUNTIFS($BE$5:BE81,BE81,$AZ$5:AZ81,"&gt;0")=1,1,""),"")</f>
        <v/>
      </c>
      <c r="BG81" s="34">
        <f>IF(BF81=1,COUNTIF($BF$5:BF81,1),"")</f>
        <v/>
      </c>
    </row>
    <row r="82">
      <c r="AB82">
        <f>IF(AND(A82="",G82=""),"",IF(ISNUMBER(SEARCH("##END",AM82)),"（終わりの印）",IF(ISNUMBER(SEARCH("##続き",AM82)),"（続きありの印）",IF(AM82="調査ID","（見出し行）",IF(AND(AM82&lt;&gt;"R1",AM82&lt;&gt;"R2"),"×表以外の行（集計されない）",IF(COUNTIF($AN$5:AN82,AN82)&gt;1,"△重複（集計されない）",IF(G82="","△タスク名なし",IF(ISNA(MATCH(AQ82,'M1_類型マスタ'!$A$5:$A$19,0)),"△類型が不正",IF(OR(AP82="",N(AP82)&lt;1,N(AP82)&gt;6),"△業務区分が不正",IF(OR(AS82="",AT82=""),"△回数・分が読めない",IF(SUMPRODUCT(--ISNUMBER(--T82:Z82))&lt;7,"△採点が足りない",IF(SUMPRODUCT((--T82:Z82&gt;2)+(--T82:Z82&lt;0))&gt;0,"△採点が範囲外","OK"))))))))))))</f>
        <v/>
      </c>
      <c r="AC82">
        <f>IF(AB82&lt;&gt;"OK","",TRIM(IF(AND(AU82&lt;&gt;"",N(AU82)&lt;=1),"根拠1件 ","")&amp;IF(AV82&lt;&gt;"","同名あり ","")&amp;IF(AND(NOT(ISNUMBER(N82)),N82&lt;&gt;""),"回数を換算 ","")&amp;IF(J82="","詳細なし ","")&amp;IF(AND(N(AP82)=1,BB82=""),"顧客名なし ","")))</f>
        <v/>
      </c>
      <c r="AD82" s="31" t="n"/>
      <c r="AE82" s="32" t="n"/>
      <c r="AF82" s="32" t="n"/>
      <c r="AG82" s="31" t="n"/>
      <c r="AH82">
        <f>IF(AB82&lt;&gt;"OK","",IF(AG82&lt;&gt;"",AG82,AJ82))</f>
        <v/>
      </c>
      <c r="AI82" s="33">
        <f>IF(AB82&lt;&gt;"OK","",IFERROR(IF(AE82&lt;&gt;"",AE82,AS82)*IF(AF82&lt;&gt;"",AF82,AT82)/60,""))</f>
        <v/>
      </c>
      <c r="AJ82">
        <f>IF(AB82&lt;&gt;"OK","",IF(OR(VALUE(T82)=2,VALUE(U82)=2,VALUE(V82)=2),"社内残置",IF(AND(VALUE(T82)=0,VALUE(W82)=0,VALUE(Y82)=0),"自動化候補",IF(AND(VALUE(U82)=0,VALUE(W82)&lt;=1,VALUE(X82)&lt;=1,VALUE(Y82)&lt;=1,VALUE(Z82)&lt;=1),"オフショア候補",IF(AND(VALUE(Y82)&lt;=1,VALUE(Z82)&lt;=1),"ニアショア候補","社内で手順化→再評価")))))</f>
        <v/>
      </c>
      <c r="AK82">
        <f>IF(AB82&lt;&gt;"OK","",14-SUMPRODUCT(--T82:Z82))</f>
        <v/>
      </c>
      <c r="AL82" s="33">
        <f>IF(AB82&lt;&gt;"OK","",AS82*AT82/60)</f>
        <v/>
      </c>
      <c r="AM82" s="34">
        <f>IF(A82="","",UPPER(TRIM(ASC(A82&amp;""))))</f>
        <v/>
      </c>
      <c r="AN82" s="34">
        <f>IF(AM82="","",AM82&amp;"-"&amp;B82)</f>
        <v/>
      </c>
      <c r="AO82" s="34">
        <f>IF(C82="","",IFERROR(VALUE(ASC(SUBSTITUTE(C82&amp;"","観点",""))),""))</f>
        <v/>
      </c>
      <c r="AP82" s="34">
        <f>IF(D82="","",IFERROR(VALUE(LEFT(TRIM(ASC(D82&amp;"")),1)),IFERROR(MATCH(TRIM(D82&amp;""),'M2_区分マスタ'!$I$5:$I$10,0),"")))</f>
        <v/>
      </c>
      <c r="AQ82" s="34">
        <f>IF(H82="","",UPPER(LEFT(TRIM(ASC(H82&amp;"")),3)))</f>
        <v/>
      </c>
      <c r="AR82" s="34">
        <f>IF(N82="","",IFERROR(VALUE(SUBSTITUTE(SUBSTITUTE(SUBSTITUTE(SUBSTITUTE(SUBSTITUTE(SUBSTITUTE(SUBSTITUTE(SUBSTITUTE(SUBSTITUTE(SUBSTITUTE(SUBSTITUTE(SUBSTITUTE(ASC(N82&amp;""),"約",""),"程度",""),"ほど",""),"回",""),"毎",""),"週",""),"月",""),"年",""),"日",""),"に",""),"/","")," ","")),""))</f>
        <v/>
      </c>
      <c r="AS82" s="34">
        <f>IF(N82="","",IF(ISNUMBER(N82),N82,IFERROR(VALUE(ASC(N82&amp;"")),IF(AR82&lt;&gt;"",AR82*IF(ISNUMBER(SEARCH("週",N82)),4.3,IF(ISNUMBER(SEARCH("年",N82)),1/12,IF(ISNUMBER(SEARCH("日",N82)),20,1))),IF(ISNUMBER(SEARCH("日",N82)),20,IF(ISNUMBER(SEARCH("週",N82)),4.3,IF(ISNUMBER(SEARCH("月",N82)),1,"")))))))</f>
        <v/>
      </c>
      <c r="AT82" s="34">
        <f>IF(O82="","",IF(ISNUMBER(O82),O82,IFERROR(VALUE(ASC(O82&amp;"")),IF(ISNUMBER(SEARCH("時間",O82)),IFERROR(VALUE(SUBSTITUTE(SUBSTITUTE(SUBSTITUTE(SUBSTITUTE(SUBSTITUTE(ASC(O82&amp;""),"約",""),"程度",""),"ほど",""),"時間","")," ",""))*60,""),IFERROR(VALUE(SUBSTITUTE(SUBSTITUTE(SUBSTITUTE(SUBSTITUTE(SUBSTITUTE(ASC(O82&amp;""),"約",""),"程度",""),"ほど",""),"分","")," ","")),"")))))</f>
        <v/>
      </c>
      <c r="AU82" s="34">
        <f>IF(P82="","",IF(ISNUMBER(P82),P82,IFERROR(VALUE(SUBSTITUTE(SUBSTITUTE(SUBSTITUTE(ASC(P82&amp;""),"約",""),"件","")," ","")),"")))</f>
        <v/>
      </c>
      <c r="AV82" s="34">
        <f>IF(AB82&lt;&gt;"OK","",IF(COUNTIFS($G$5:$G$404,G82&amp;"",$F$5:$F$404,F82&amp;"",$BE$5:$BE$404,BE82&amp;"",$AB$5:$AB$404,"OK")&gt;1,"同名あり",""))</f>
        <v/>
      </c>
      <c r="AW82" s="35">
        <f>IF(Q82="","",IF(ISNUMBER(Q82),Q82,IFERROR(DATEVALUE(SUBSTITUTE(SUBSTITUTE(ASC(Q82&amp;""),"-","/"),".","/")&amp;"/01"),"")))</f>
        <v/>
      </c>
      <c r="AX82" s="35">
        <f>IF(R82="","",IF(ISNUMBER(R82),R82,IFERROR(DATEVALUE(SUBSTITUTE(SUBSTITUTE(ASC(R82&amp;""),"-","/"),".","/")&amp;"/01"),"")))</f>
        <v/>
      </c>
      <c r="AY82" s="34">
        <f>IF(OR(AB82&lt;&gt;"OK",AW82=""),"",IF(AW82&gt;='01_設定'!$C$26,1,0))</f>
        <v/>
      </c>
      <c r="AZ82" s="34">
        <f>IF(AND(AB82="OK",AD82&lt;&gt;"除外"),COUNTIFS($AB$5:AB82,"OK",$AD$5:AD82,"&lt;&gt;除外"),"")</f>
        <v/>
      </c>
      <c r="BA82" s="34">
        <f>IF(OR(AZ82="",AI82=""),"",AI82+ROW()/1000000000)</f>
        <v/>
      </c>
      <c r="BB82" s="34">
        <f>IF(E82="","",IF(OR(TRIM(E82&amp;"")="-",TRIM(E82&amp;"")="－",TRIM(E82&amp;"")="ー"),"",TRIM(E82&amp;"")))</f>
        <v/>
      </c>
      <c r="BC82" s="34">
        <f>IF(AND(AB82="OK",BB82&lt;&gt;""),IF(COUNTIFS($BB$5:BB82,BB82,$AB$5:AB82,"OK")=1,1,""),"")</f>
        <v/>
      </c>
      <c r="BD82" s="34">
        <f>IF(BC82=1,COUNTIF($BC$5:BC82,1),"")</f>
        <v/>
      </c>
      <c r="BE82" s="34">
        <f>IF(BB82="","",IFERROR(INDEX('06_顧客別集計'!$G$5:$G$104,MATCH(BB82,'06_顧客別集計'!$C$5:$C$104,0)),BB82))</f>
        <v/>
      </c>
      <c r="BF82" s="34">
        <f>IF(AND(AZ82&lt;&gt;"",BE82&lt;&gt;""),IF(COUNTIFS($BE$5:BE82,BE82,$AZ$5:AZ82,"&gt;0")=1,1,""),"")</f>
        <v/>
      </c>
      <c r="BG82" s="34">
        <f>IF(BF82=1,COUNTIF($BF$5:BF82,1),"")</f>
        <v/>
      </c>
    </row>
    <row r="83">
      <c r="AB83">
        <f>IF(AND(A83="",G83=""),"",IF(ISNUMBER(SEARCH("##END",AM83)),"（終わりの印）",IF(ISNUMBER(SEARCH("##続き",AM83)),"（続きありの印）",IF(AM83="調査ID","（見出し行）",IF(AND(AM83&lt;&gt;"R1",AM83&lt;&gt;"R2"),"×表以外の行（集計されない）",IF(COUNTIF($AN$5:AN83,AN83)&gt;1,"△重複（集計されない）",IF(G83="","△タスク名なし",IF(ISNA(MATCH(AQ83,'M1_類型マスタ'!$A$5:$A$19,0)),"△類型が不正",IF(OR(AP83="",N(AP83)&lt;1,N(AP83)&gt;6),"△業務区分が不正",IF(OR(AS83="",AT83=""),"△回数・分が読めない",IF(SUMPRODUCT(--ISNUMBER(--T83:Z83))&lt;7,"△採点が足りない",IF(SUMPRODUCT((--T83:Z83&gt;2)+(--T83:Z83&lt;0))&gt;0,"△採点が範囲外","OK"))))))))))))</f>
        <v/>
      </c>
      <c r="AC83">
        <f>IF(AB83&lt;&gt;"OK","",TRIM(IF(AND(AU83&lt;&gt;"",N(AU83)&lt;=1),"根拠1件 ","")&amp;IF(AV83&lt;&gt;"","同名あり ","")&amp;IF(AND(NOT(ISNUMBER(N83)),N83&lt;&gt;""),"回数を換算 ","")&amp;IF(J83="","詳細なし ","")&amp;IF(AND(N(AP83)=1,BB83=""),"顧客名なし ","")))</f>
        <v/>
      </c>
      <c r="AD83" s="31" t="n"/>
      <c r="AE83" s="32" t="n"/>
      <c r="AF83" s="32" t="n"/>
      <c r="AG83" s="31" t="n"/>
      <c r="AH83">
        <f>IF(AB83&lt;&gt;"OK","",IF(AG83&lt;&gt;"",AG83,AJ83))</f>
        <v/>
      </c>
      <c r="AI83" s="33">
        <f>IF(AB83&lt;&gt;"OK","",IFERROR(IF(AE83&lt;&gt;"",AE83,AS83)*IF(AF83&lt;&gt;"",AF83,AT83)/60,""))</f>
        <v/>
      </c>
      <c r="AJ83">
        <f>IF(AB83&lt;&gt;"OK","",IF(OR(VALUE(T83)=2,VALUE(U83)=2,VALUE(V83)=2),"社内残置",IF(AND(VALUE(T83)=0,VALUE(W83)=0,VALUE(Y83)=0),"自動化候補",IF(AND(VALUE(U83)=0,VALUE(W83)&lt;=1,VALUE(X83)&lt;=1,VALUE(Y83)&lt;=1,VALUE(Z83)&lt;=1),"オフショア候補",IF(AND(VALUE(Y83)&lt;=1,VALUE(Z83)&lt;=1),"ニアショア候補","社内で手順化→再評価")))))</f>
        <v/>
      </c>
      <c r="AK83">
        <f>IF(AB83&lt;&gt;"OK","",14-SUMPRODUCT(--T83:Z83))</f>
        <v/>
      </c>
      <c r="AL83" s="33">
        <f>IF(AB83&lt;&gt;"OK","",AS83*AT83/60)</f>
        <v/>
      </c>
      <c r="AM83" s="34">
        <f>IF(A83="","",UPPER(TRIM(ASC(A83&amp;""))))</f>
        <v/>
      </c>
      <c r="AN83" s="34">
        <f>IF(AM83="","",AM83&amp;"-"&amp;B83)</f>
        <v/>
      </c>
      <c r="AO83" s="34">
        <f>IF(C83="","",IFERROR(VALUE(ASC(SUBSTITUTE(C83&amp;"","観点",""))),""))</f>
        <v/>
      </c>
      <c r="AP83" s="34">
        <f>IF(D83="","",IFERROR(VALUE(LEFT(TRIM(ASC(D83&amp;"")),1)),IFERROR(MATCH(TRIM(D83&amp;""),'M2_区分マスタ'!$I$5:$I$10,0),"")))</f>
        <v/>
      </c>
      <c r="AQ83" s="34">
        <f>IF(H83="","",UPPER(LEFT(TRIM(ASC(H83&amp;"")),3)))</f>
        <v/>
      </c>
      <c r="AR83" s="34">
        <f>IF(N83="","",IFERROR(VALUE(SUBSTITUTE(SUBSTITUTE(SUBSTITUTE(SUBSTITUTE(SUBSTITUTE(SUBSTITUTE(SUBSTITUTE(SUBSTITUTE(SUBSTITUTE(SUBSTITUTE(SUBSTITUTE(SUBSTITUTE(ASC(N83&amp;""),"約",""),"程度",""),"ほど",""),"回",""),"毎",""),"週",""),"月",""),"年",""),"日",""),"に",""),"/","")," ","")),""))</f>
        <v/>
      </c>
      <c r="AS83" s="34">
        <f>IF(N83="","",IF(ISNUMBER(N83),N83,IFERROR(VALUE(ASC(N83&amp;"")),IF(AR83&lt;&gt;"",AR83*IF(ISNUMBER(SEARCH("週",N83)),4.3,IF(ISNUMBER(SEARCH("年",N83)),1/12,IF(ISNUMBER(SEARCH("日",N83)),20,1))),IF(ISNUMBER(SEARCH("日",N83)),20,IF(ISNUMBER(SEARCH("週",N83)),4.3,IF(ISNUMBER(SEARCH("月",N83)),1,"")))))))</f>
        <v/>
      </c>
      <c r="AT83" s="34">
        <f>IF(O83="","",IF(ISNUMBER(O83),O83,IFERROR(VALUE(ASC(O83&amp;"")),IF(ISNUMBER(SEARCH("時間",O83)),IFERROR(VALUE(SUBSTITUTE(SUBSTITUTE(SUBSTITUTE(SUBSTITUTE(SUBSTITUTE(ASC(O83&amp;""),"約",""),"程度",""),"ほど",""),"時間","")," ",""))*60,""),IFERROR(VALUE(SUBSTITUTE(SUBSTITUTE(SUBSTITUTE(SUBSTITUTE(SUBSTITUTE(ASC(O83&amp;""),"約",""),"程度",""),"ほど",""),"分","")," ","")),"")))))</f>
        <v/>
      </c>
      <c r="AU83" s="34">
        <f>IF(P83="","",IF(ISNUMBER(P83),P83,IFERROR(VALUE(SUBSTITUTE(SUBSTITUTE(SUBSTITUTE(ASC(P83&amp;""),"約",""),"件","")," ","")),"")))</f>
        <v/>
      </c>
      <c r="AV83" s="34">
        <f>IF(AB83&lt;&gt;"OK","",IF(COUNTIFS($G$5:$G$404,G83&amp;"",$F$5:$F$404,F83&amp;"",$BE$5:$BE$404,BE83&amp;"",$AB$5:$AB$404,"OK")&gt;1,"同名あり",""))</f>
        <v/>
      </c>
      <c r="AW83" s="35">
        <f>IF(Q83="","",IF(ISNUMBER(Q83),Q83,IFERROR(DATEVALUE(SUBSTITUTE(SUBSTITUTE(ASC(Q83&amp;""),"-","/"),".","/")&amp;"/01"),"")))</f>
        <v/>
      </c>
      <c r="AX83" s="35">
        <f>IF(R83="","",IF(ISNUMBER(R83),R83,IFERROR(DATEVALUE(SUBSTITUTE(SUBSTITUTE(ASC(R83&amp;""),"-","/"),".","/")&amp;"/01"),"")))</f>
        <v/>
      </c>
      <c r="AY83" s="34">
        <f>IF(OR(AB83&lt;&gt;"OK",AW83=""),"",IF(AW83&gt;='01_設定'!$C$26,1,0))</f>
        <v/>
      </c>
      <c r="AZ83" s="34">
        <f>IF(AND(AB83="OK",AD83&lt;&gt;"除外"),COUNTIFS($AB$5:AB83,"OK",$AD$5:AD83,"&lt;&gt;除外"),"")</f>
        <v/>
      </c>
      <c r="BA83" s="34">
        <f>IF(OR(AZ83="",AI83=""),"",AI83+ROW()/1000000000)</f>
        <v/>
      </c>
      <c r="BB83" s="34">
        <f>IF(E83="","",IF(OR(TRIM(E83&amp;"")="-",TRIM(E83&amp;"")="－",TRIM(E83&amp;"")="ー"),"",TRIM(E83&amp;"")))</f>
        <v/>
      </c>
      <c r="BC83" s="34">
        <f>IF(AND(AB83="OK",BB83&lt;&gt;""),IF(COUNTIFS($BB$5:BB83,BB83,$AB$5:AB83,"OK")=1,1,""),"")</f>
        <v/>
      </c>
      <c r="BD83" s="34">
        <f>IF(BC83=1,COUNTIF($BC$5:BC83,1),"")</f>
        <v/>
      </c>
      <c r="BE83" s="34">
        <f>IF(BB83="","",IFERROR(INDEX('06_顧客別集計'!$G$5:$G$104,MATCH(BB83,'06_顧客別集計'!$C$5:$C$104,0)),BB83))</f>
        <v/>
      </c>
      <c r="BF83" s="34">
        <f>IF(AND(AZ83&lt;&gt;"",BE83&lt;&gt;""),IF(COUNTIFS($BE$5:BE83,BE83,$AZ$5:AZ83,"&gt;0")=1,1,""),"")</f>
        <v/>
      </c>
      <c r="BG83" s="34">
        <f>IF(BF83=1,COUNTIF($BF$5:BF83,1),"")</f>
        <v/>
      </c>
    </row>
    <row r="84">
      <c r="AB84">
        <f>IF(AND(A84="",G84=""),"",IF(ISNUMBER(SEARCH("##END",AM84)),"（終わりの印）",IF(ISNUMBER(SEARCH("##続き",AM84)),"（続きありの印）",IF(AM84="調査ID","（見出し行）",IF(AND(AM84&lt;&gt;"R1",AM84&lt;&gt;"R2"),"×表以外の行（集計されない）",IF(COUNTIF($AN$5:AN84,AN84)&gt;1,"△重複（集計されない）",IF(G84="","△タスク名なし",IF(ISNA(MATCH(AQ84,'M1_類型マスタ'!$A$5:$A$19,0)),"△類型が不正",IF(OR(AP84="",N(AP84)&lt;1,N(AP84)&gt;6),"△業務区分が不正",IF(OR(AS84="",AT84=""),"△回数・分が読めない",IF(SUMPRODUCT(--ISNUMBER(--T84:Z84))&lt;7,"△採点が足りない",IF(SUMPRODUCT((--T84:Z84&gt;2)+(--T84:Z84&lt;0))&gt;0,"△採点が範囲外","OK"))))))))))))</f>
        <v/>
      </c>
      <c r="AC84">
        <f>IF(AB84&lt;&gt;"OK","",TRIM(IF(AND(AU84&lt;&gt;"",N(AU84)&lt;=1),"根拠1件 ","")&amp;IF(AV84&lt;&gt;"","同名あり ","")&amp;IF(AND(NOT(ISNUMBER(N84)),N84&lt;&gt;""),"回数を換算 ","")&amp;IF(J84="","詳細なし ","")&amp;IF(AND(N(AP84)=1,BB84=""),"顧客名なし ","")))</f>
        <v/>
      </c>
      <c r="AD84" s="31" t="n"/>
      <c r="AE84" s="32" t="n"/>
      <c r="AF84" s="32" t="n"/>
      <c r="AG84" s="31" t="n"/>
      <c r="AH84">
        <f>IF(AB84&lt;&gt;"OK","",IF(AG84&lt;&gt;"",AG84,AJ84))</f>
        <v/>
      </c>
      <c r="AI84" s="33">
        <f>IF(AB84&lt;&gt;"OK","",IFERROR(IF(AE84&lt;&gt;"",AE84,AS84)*IF(AF84&lt;&gt;"",AF84,AT84)/60,""))</f>
        <v/>
      </c>
      <c r="AJ84">
        <f>IF(AB84&lt;&gt;"OK","",IF(OR(VALUE(T84)=2,VALUE(U84)=2,VALUE(V84)=2),"社内残置",IF(AND(VALUE(T84)=0,VALUE(W84)=0,VALUE(Y84)=0),"自動化候補",IF(AND(VALUE(U84)=0,VALUE(W84)&lt;=1,VALUE(X84)&lt;=1,VALUE(Y84)&lt;=1,VALUE(Z84)&lt;=1),"オフショア候補",IF(AND(VALUE(Y84)&lt;=1,VALUE(Z84)&lt;=1),"ニアショア候補","社内で手順化→再評価")))))</f>
        <v/>
      </c>
      <c r="AK84">
        <f>IF(AB84&lt;&gt;"OK","",14-SUMPRODUCT(--T84:Z84))</f>
        <v/>
      </c>
      <c r="AL84" s="33">
        <f>IF(AB84&lt;&gt;"OK","",AS84*AT84/60)</f>
        <v/>
      </c>
      <c r="AM84" s="34">
        <f>IF(A84="","",UPPER(TRIM(ASC(A84&amp;""))))</f>
        <v/>
      </c>
      <c r="AN84" s="34">
        <f>IF(AM84="","",AM84&amp;"-"&amp;B84)</f>
        <v/>
      </c>
      <c r="AO84" s="34">
        <f>IF(C84="","",IFERROR(VALUE(ASC(SUBSTITUTE(C84&amp;"","観点",""))),""))</f>
        <v/>
      </c>
      <c r="AP84" s="34">
        <f>IF(D84="","",IFERROR(VALUE(LEFT(TRIM(ASC(D84&amp;"")),1)),IFERROR(MATCH(TRIM(D84&amp;""),'M2_区分マスタ'!$I$5:$I$10,0),"")))</f>
        <v/>
      </c>
      <c r="AQ84" s="34">
        <f>IF(H84="","",UPPER(LEFT(TRIM(ASC(H84&amp;"")),3)))</f>
        <v/>
      </c>
      <c r="AR84" s="34">
        <f>IF(N84="","",IFERROR(VALUE(SUBSTITUTE(SUBSTITUTE(SUBSTITUTE(SUBSTITUTE(SUBSTITUTE(SUBSTITUTE(SUBSTITUTE(SUBSTITUTE(SUBSTITUTE(SUBSTITUTE(SUBSTITUTE(SUBSTITUTE(ASC(N84&amp;""),"約",""),"程度",""),"ほど",""),"回",""),"毎",""),"週",""),"月",""),"年",""),"日",""),"に",""),"/","")," ","")),""))</f>
        <v/>
      </c>
      <c r="AS84" s="34">
        <f>IF(N84="","",IF(ISNUMBER(N84),N84,IFERROR(VALUE(ASC(N84&amp;"")),IF(AR84&lt;&gt;"",AR84*IF(ISNUMBER(SEARCH("週",N84)),4.3,IF(ISNUMBER(SEARCH("年",N84)),1/12,IF(ISNUMBER(SEARCH("日",N84)),20,1))),IF(ISNUMBER(SEARCH("日",N84)),20,IF(ISNUMBER(SEARCH("週",N84)),4.3,IF(ISNUMBER(SEARCH("月",N84)),1,"")))))))</f>
        <v/>
      </c>
      <c r="AT84" s="34">
        <f>IF(O84="","",IF(ISNUMBER(O84),O84,IFERROR(VALUE(ASC(O84&amp;"")),IF(ISNUMBER(SEARCH("時間",O84)),IFERROR(VALUE(SUBSTITUTE(SUBSTITUTE(SUBSTITUTE(SUBSTITUTE(SUBSTITUTE(ASC(O84&amp;""),"約",""),"程度",""),"ほど",""),"時間","")," ",""))*60,""),IFERROR(VALUE(SUBSTITUTE(SUBSTITUTE(SUBSTITUTE(SUBSTITUTE(SUBSTITUTE(ASC(O84&amp;""),"約",""),"程度",""),"ほど",""),"分","")," ","")),"")))))</f>
        <v/>
      </c>
      <c r="AU84" s="34">
        <f>IF(P84="","",IF(ISNUMBER(P84),P84,IFERROR(VALUE(SUBSTITUTE(SUBSTITUTE(SUBSTITUTE(ASC(P84&amp;""),"約",""),"件","")," ","")),"")))</f>
        <v/>
      </c>
      <c r="AV84" s="34">
        <f>IF(AB84&lt;&gt;"OK","",IF(COUNTIFS($G$5:$G$404,G84&amp;"",$F$5:$F$404,F84&amp;"",$BE$5:$BE$404,BE84&amp;"",$AB$5:$AB$404,"OK")&gt;1,"同名あり",""))</f>
        <v/>
      </c>
      <c r="AW84" s="35">
        <f>IF(Q84="","",IF(ISNUMBER(Q84),Q84,IFERROR(DATEVALUE(SUBSTITUTE(SUBSTITUTE(ASC(Q84&amp;""),"-","/"),".","/")&amp;"/01"),"")))</f>
        <v/>
      </c>
      <c r="AX84" s="35">
        <f>IF(R84="","",IF(ISNUMBER(R84),R84,IFERROR(DATEVALUE(SUBSTITUTE(SUBSTITUTE(ASC(R84&amp;""),"-","/"),".","/")&amp;"/01"),"")))</f>
        <v/>
      </c>
      <c r="AY84" s="34">
        <f>IF(OR(AB84&lt;&gt;"OK",AW84=""),"",IF(AW84&gt;='01_設定'!$C$26,1,0))</f>
        <v/>
      </c>
      <c r="AZ84" s="34">
        <f>IF(AND(AB84="OK",AD84&lt;&gt;"除外"),COUNTIFS($AB$5:AB84,"OK",$AD$5:AD84,"&lt;&gt;除外"),"")</f>
        <v/>
      </c>
      <c r="BA84" s="34">
        <f>IF(OR(AZ84="",AI84=""),"",AI84+ROW()/1000000000)</f>
        <v/>
      </c>
      <c r="BB84" s="34">
        <f>IF(E84="","",IF(OR(TRIM(E84&amp;"")="-",TRIM(E84&amp;"")="－",TRIM(E84&amp;"")="ー"),"",TRIM(E84&amp;"")))</f>
        <v/>
      </c>
      <c r="BC84" s="34">
        <f>IF(AND(AB84="OK",BB84&lt;&gt;""),IF(COUNTIFS($BB$5:BB84,BB84,$AB$5:AB84,"OK")=1,1,""),"")</f>
        <v/>
      </c>
      <c r="BD84" s="34">
        <f>IF(BC84=1,COUNTIF($BC$5:BC84,1),"")</f>
        <v/>
      </c>
      <c r="BE84" s="34">
        <f>IF(BB84="","",IFERROR(INDEX('06_顧客別集計'!$G$5:$G$104,MATCH(BB84,'06_顧客別集計'!$C$5:$C$104,0)),BB84))</f>
        <v/>
      </c>
      <c r="BF84" s="34">
        <f>IF(AND(AZ84&lt;&gt;"",BE84&lt;&gt;""),IF(COUNTIFS($BE$5:BE84,BE84,$AZ$5:AZ84,"&gt;0")=1,1,""),"")</f>
        <v/>
      </c>
      <c r="BG84" s="34">
        <f>IF(BF84=1,COUNTIF($BF$5:BF84,1),"")</f>
        <v/>
      </c>
    </row>
    <row r="85">
      <c r="AB85">
        <f>IF(AND(A85="",G85=""),"",IF(ISNUMBER(SEARCH("##END",AM85)),"（終わりの印）",IF(ISNUMBER(SEARCH("##続き",AM85)),"（続きありの印）",IF(AM85="調査ID","（見出し行）",IF(AND(AM85&lt;&gt;"R1",AM85&lt;&gt;"R2"),"×表以外の行（集計されない）",IF(COUNTIF($AN$5:AN85,AN85)&gt;1,"△重複（集計されない）",IF(G85="","△タスク名なし",IF(ISNA(MATCH(AQ85,'M1_類型マスタ'!$A$5:$A$19,0)),"△類型が不正",IF(OR(AP85="",N(AP85)&lt;1,N(AP85)&gt;6),"△業務区分が不正",IF(OR(AS85="",AT85=""),"△回数・分が読めない",IF(SUMPRODUCT(--ISNUMBER(--T85:Z85))&lt;7,"△採点が足りない",IF(SUMPRODUCT((--T85:Z85&gt;2)+(--T85:Z85&lt;0))&gt;0,"△採点が範囲外","OK"))))))))))))</f>
        <v/>
      </c>
      <c r="AC85">
        <f>IF(AB85&lt;&gt;"OK","",TRIM(IF(AND(AU85&lt;&gt;"",N(AU85)&lt;=1),"根拠1件 ","")&amp;IF(AV85&lt;&gt;"","同名あり ","")&amp;IF(AND(NOT(ISNUMBER(N85)),N85&lt;&gt;""),"回数を換算 ","")&amp;IF(J85="","詳細なし ","")&amp;IF(AND(N(AP85)=1,BB85=""),"顧客名なし ","")))</f>
        <v/>
      </c>
      <c r="AD85" s="31" t="n"/>
      <c r="AE85" s="32" t="n"/>
      <c r="AF85" s="32" t="n"/>
      <c r="AG85" s="31" t="n"/>
      <c r="AH85">
        <f>IF(AB85&lt;&gt;"OK","",IF(AG85&lt;&gt;"",AG85,AJ85))</f>
        <v/>
      </c>
      <c r="AI85" s="33">
        <f>IF(AB85&lt;&gt;"OK","",IFERROR(IF(AE85&lt;&gt;"",AE85,AS85)*IF(AF85&lt;&gt;"",AF85,AT85)/60,""))</f>
        <v/>
      </c>
      <c r="AJ85">
        <f>IF(AB85&lt;&gt;"OK","",IF(OR(VALUE(T85)=2,VALUE(U85)=2,VALUE(V85)=2),"社内残置",IF(AND(VALUE(T85)=0,VALUE(W85)=0,VALUE(Y85)=0),"自動化候補",IF(AND(VALUE(U85)=0,VALUE(W85)&lt;=1,VALUE(X85)&lt;=1,VALUE(Y85)&lt;=1,VALUE(Z85)&lt;=1),"オフショア候補",IF(AND(VALUE(Y85)&lt;=1,VALUE(Z85)&lt;=1),"ニアショア候補","社内で手順化→再評価")))))</f>
        <v/>
      </c>
      <c r="AK85">
        <f>IF(AB85&lt;&gt;"OK","",14-SUMPRODUCT(--T85:Z85))</f>
        <v/>
      </c>
      <c r="AL85" s="33">
        <f>IF(AB85&lt;&gt;"OK","",AS85*AT85/60)</f>
        <v/>
      </c>
      <c r="AM85" s="34">
        <f>IF(A85="","",UPPER(TRIM(ASC(A85&amp;""))))</f>
        <v/>
      </c>
      <c r="AN85" s="34">
        <f>IF(AM85="","",AM85&amp;"-"&amp;B85)</f>
        <v/>
      </c>
      <c r="AO85" s="34">
        <f>IF(C85="","",IFERROR(VALUE(ASC(SUBSTITUTE(C85&amp;"","観点",""))),""))</f>
        <v/>
      </c>
      <c r="AP85" s="34">
        <f>IF(D85="","",IFERROR(VALUE(LEFT(TRIM(ASC(D85&amp;"")),1)),IFERROR(MATCH(TRIM(D85&amp;""),'M2_区分マスタ'!$I$5:$I$10,0),"")))</f>
        <v/>
      </c>
      <c r="AQ85" s="34">
        <f>IF(H85="","",UPPER(LEFT(TRIM(ASC(H85&amp;"")),3)))</f>
        <v/>
      </c>
      <c r="AR85" s="34">
        <f>IF(N85="","",IFERROR(VALUE(SUBSTITUTE(SUBSTITUTE(SUBSTITUTE(SUBSTITUTE(SUBSTITUTE(SUBSTITUTE(SUBSTITUTE(SUBSTITUTE(SUBSTITUTE(SUBSTITUTE(SUBSTITUTE(SUBSTITUTE(ASC(N85&amp;""),"約",""),"程度",""),"ほど",""),"回",""),"毎",""),"週",""),"月",""),"年",""),"日",""),"に",""),"/","")," ","")),""))</f>
        <v/>
      </c>
      <c r="AS85" s="34">
        <f>IF(N85="","",IF(ISNUMBER(N85),N85,IFERROR(VALUE(ASC(N85&amp;"")),IF(AR85&lt;&gt;"",AR85*IF(ISNUMBER(SEARCH("週",N85)),4.3,IF(ISNUMBER(SEARCH("年",N85)),1/12,IF(ISNUMBER(SEARCH("日",N85)),20,1))),IF(ISNUMBER(SEARCH("日",N85)),20,IF(ISNUMBER(SEARCH("週",N85)),4.3,IF(ISNUMBER(SEARCH("月",N85)),1,"")))))))</f>
        <v/>
      </c>
      <c r="AT85" s="34">
        <f>IF(O85="","",IF(ISNUMBER(O85),O85,IFERROR(VALUE(ASC(O85&amp;"")),IF(ISNUMBER(SEARCH("時間",O85)),IFERROR(VALUE(SUBSTITUTE(SUBSTITUTE(SUBSTITUTE(SUBSTITUTE(SUBSTITUTE(ASC(O85&amp;""),"約",""),"程度",""),"ほど",""),"時間","")," ",""))*60,""),IFERROR(VALUE(SUBSTITUTE(SUBSTITUTE(SUBSTITUTE(SUBSTITUTE(SUBSTITUTE(ASC(O85&amp;""),"約",""),"程度",""),"ほど",""),"分","")," ","")),"")))))</f>
        <v/>
      </c>
      <c r="AU85" s="34">
        <f>IF(P85="","",IF(ISNUMBER(P85),P85,IFERROR(VALUE(SUBSTITUTE(SUBSTITUTE(SUBSTITUTE(ASC(P85&amp;""),"約",""),"件","")," ","")),"")))</f>
        <v/>
      </c>
      <c r="AV85" s="34">
        <f>IF(AB85&lt;&gt;"OK","",IF(COUNTIFS($G$5:$G$404,G85&amp;"",$F$5:$F$404,F85&amp;"",$BE$5:$BE$404,BE85&amp;"",$AB$5:$AB$404,"OK")&gt;1,"同名あり",""))</f>
        <v/>
      </c>
      <c r="AW85" s="35">
        <f>IF(Q85="","",IF(ISNUMBER(Q85),Q85,IFERROR(DATEVALUE(SUBSTITUTE(SUBSTITUTE(ASC(Q85&amp;""),"-","/"),".","/")&amp;"/01"),"")))</f>
        <v/>
      </c>
      <c r="AX85" s="35">
        <f>IF(R85="","",IF(ISNUMBER(R85),R85,IFERROR(DATEVALUE(SUBSTITUTE(SUBSTITUTE(ASC(R85&amp;""),"-","/"),".","/")&amp;"/01"),"")))</f>
        <v/>
      </c>
      <c r="AY85" s="34">
        <f>IF(OR(AB85&lt;&gt;"OK",AW85=""),"",IF(AW85&gt;='01_設定'!$C$26,1,0))</f>
        <v/>
      </c>
      <c r="AZ85" s="34">
        <f>IF(AND(AB85="OK",AD85&lt;&gt;"除外"),COUNTIFS($AB$5:AB85,"OK",$AD$5:AD85,"&lt;&gt;除外"),"")</f>
        <v/>
      </c>
      <c r="BA85" s="34">
        <f>IF(OR(AZ85="",AI85=""),"",AI85+ROW()/1000000000)</f>
        <v/>
      </c>
      <c r="BB85" s="34">
        <f>IF(E85="","",IF(OR(TRIM(E85&amp;"")="-",TRIM(E85&amp;"")="－",TRIM(E85&amp;"")="ー"),"",TRIM(E85&amp;"")))</f>
        <v/>
      </c>
      <c r="BC85" s="34">
        <f>IF(AND(AB85="OK",BB85&lt;&gt;""),IF(COUNTIFS($BB$5:BB85,BB85,$AB$5:AB85,"OK")=1,1,""),"")</f>
        <v/>
      </c>
      <c r="BD85" s="34">
        <f>IF(BC85=1,COUNTIF($BC$5:BC85,1),"")</f>
        <v/>
      </c>
      <c r="BE85" s="34">
        <f>IF(BB85="","",IFERROR(INDEX('06_顧客別集計'!$G$5:$G$104,MATCH(BB85,'06_顧客別集計'!$C$5:$C$104,0)),BB85))</f>
        <v/>
      </c>
      <c r="BF85" s="34">
        <f>IF(AND(AZ85&lt;&gt;"",BE85&lt;&gt;""),IF(COUNTIFS($BE$5:BE85,BE85,$AZ$5:AZ85,"&gt;0")=1,1,""),"")</f>
        <v/>
      </c>
      <c r="BG85" s="34">
        <f>IF(BF85=1,COUNTIF($BF$5:BF85,1),"")</f>
        <v/>
      </c>
    </row>
    <row r="86">
      <c r="AB86">
        <f>IF(AND(A86="",G86=""),"",IF(ISNUMBER(SEARCH("##END",AM86)),"（終わりの印）",IF(ISNUMBER(SEARCH("##続き",AM86)),"（続きありの印）",IF(AM86="調査ID","（見出し行）",IF(AND(AM86&lt;&gt;"R1",AM86&lt;&gt;"R2"),"×表以外の行（集計されない）",IF(COUNTIF($AN$5:AN86,AN86)&gt;1,"△重複（集計されない）",IF(G86="","△タスク名なし",IF(ISNA(MATCH(AQ86,'M1_類型マスタ'!$A$5:$A$19,0)),"△類型が不正",IF(OR(AP86="",N(AP86)&lt;1,N(AP86)&gt;6),"△業務区分が不正",IF(OR(AS86="",AT86=""),"△回数・分が読めない",IF(SUMPRODUCT(--ISNUMBER(--T86:Z86))&lt;7,"△採点が足りない",IF(SUMPRODUCT((--T86:Z86&gt;2)+(--T86:Z86&lt;0))&gt;0,"△採点が範囲外","OK"))))))))))))</f>
        <v/>
      </c>
      <c r="AC86">
        <f>IF(AB86&lt;&gt;"OK","",TRIM(IF(AND(AU86&lt;&gt;"",N(AU86)&lt;=1),"根拠1件 ","")&amp;IF(AV86&lt;&gt;"","同名あり ","")&amp;IF(AND(NOT(ISNUMBER(N86)),N86&lt;&gt;""),"回数を換算 ","")&amp;IF(J86="","詳細なし ","")&amp;IF(AND(N(AP86)=1,BB86=""),"顧客名なし ","")))</f>
        <v/>
      </c>
      <c r="AD86" s="31" t="n"/>
      <c r="AE86" s="32" t="n"/>
      <c r="AF86" s="32" t="n"/>
      <c r="AG86" s="31" t="n"/>
      <c r="AH86">
        <f>IF(AB86&lt;&gt;"OK","",IF(AG86&lt;&gt;"",AG86,AJ86))</f>
        <v/>
      </c>
      <c r="AI86" s="33">
        <f>IF(AB86&lt;&gt;"OK","",IFERROR(IF(AE86&lt;&gt;"",AE86,AS86)*IF(AF86&lt;&gt;"",AF86,AT86)/60,""))</f>
        <v/>
      </c>
      <c r="AJ86">
        <f>IF(AB86&lt;&gt;"OK","",IF(OR(VALUE(T86)=2,VALUE(U86)=2,VALUE(V86)=2),"社内残置",IF(AND(VALUE(T86)=0,VALUE(W86)=0,VALUE(Y86)=0),"自動化候補",IF(AND(VALUE(U86)=0,VALUE(W86)&lt;=1,VALUE(X86)&lt;=1,VALUE(Y86)&lt;=1,VALUE(Z86)&lt;=1),"オフショア候補",IF(AND(VALUE(Y86)&lt;=1,VALUE(Z86)&lt;=1),"ニアショア候補","社内で手順化→再評価")))))</f>
        <v/>
      </c>
      <c r="AK86">
        <f>IF(AB86&lt;&gt;"OK","",14-SUMPRODUCT(--T86:Z86))</f>
        <v/>
      </c>
      <c r="AL86" s="33">
        <f>IF(AB86&lt;&gt;"OK","",AS86*AT86/60)</f>
        <v/>
      </c>
      <c r="AM86" s="34">
        <f>IF(A86="","",UPPER(TRIM(ASC(A86&amp;""))))</f>
        <v/>
      </c>
      <c r="AN86" s="34">
        <f>IF(AM86="","",AM86&amp;"-"&amp;B86)</f>
        <v/>
      </c>
      <c r="AO86" s="34">
        <f>IF(C86="","",IFERROR(VALUE(ASC(SUBSTITUTE(C86&amp;"","観点",""))),""))</f>
        <v/>
      </c>
      <c r="AP86" s="34">
        <f>IF(D86="","",IFERROR(VALUE(LEFT(TRIM(ASC(D86&amp;"")),1)),IFERROR(MATCH(TRIM(D86&amp;""),'M2_区分マスタ'!$I$5:$I$10,0),"")))</f>
        <v/>
      </c>
      <c r="AQ86" s="34">
        <f>IF(H86="","",UPPER(LEFT(TRIM(ASC(H86&amp;"")),3)))</f>
        <v/>
      </c>
      <c r="AR86" s="34">
        <f>IF(N86="","",IFERROR(VALUE(SUBSTITUTE(SUBSTITUTE(SUBSTITUTE(SUBSTITUTE(SUBSTITUTE(SUBSTITUTE(SUBSTITUTE(SUBSTITUTE(SUBSTITUTE(SUBSTITUTE(SUBSTITUTE(SUBSTITUTE(ASC(N86&amp;""),"約",""),"程度",""),"ほど",""),"回",""),"毎",""),"週",""),"月",""),"年",""),"日",""),"に",""),"/","")," ","")),""))</f>
        <v/>
      </c>
      <c r="AS86" s="34">
        <f>IF(N86="","",IF(ISNUMBER(N86),N86,IFERROR(VALUE(ASC(N86&amp;"")),IF(AR86&lt;&gt;"",AR86*IF(ISNUMBER(SEARCH("週",N86)),4.3,IF(ISNUMBER(SEARCH("年",N86)),1/12,IF(ISNUMBER(SEARCH("日",N86)),20,1))),IF(ISNUMBER(SEARCH("日",N86)),20,IF(ISNUMBER(SEARCH("週",N86)),4.3,IF(ISNUMBER(SEARCH("月",N86)),1,"")))))))</f>
        <v/>
      </c>
      <c r="AT86" s="34">
        <f>IF(O86="","",IF(ISNUMBER(O86),O86,IFERROR(VALUE(ASC(O86&amp;"")),IF(ISNUMBER(SEARCH("時間",O86)),IFERROR(VALUE(SUBSTITUTE(SUBSTITUTE(SUBSTITUTE(SUBSTITUTE(SUBSTITUTE(ASC(O86&amp;""),"約",""),"程度",""),"ほど",""),"時間","")," ",""))*60,""),IFERROR(VALUE(SUBSTITUTE(SUBSTITUTE(SUBSTITUTE(SUBSTITUTE(SUBSTITUTE(ASC(O86&amp;""),"約",""),"程度",""),"ほど",""),"分","")," ","")),"")))))</f>
        <v/>
      </c>
      <c r="AU86" s="34">
        <f>IF(P86="","",IF(ISNUMBER(P86),P86,IFERROR(VALUE(SUBSTITUTE(SUBSTITUTE(SUBSTITUTE(ASC(P86&amp;""),"約",""),"件","")," ","")),"")))</f>
        <v/>
      </c>
      <c r="AV86" s="34">
        <f>IF(AB86&lt;&gt;"OK","",IF(COUNTIFS($G$5:$G$404,G86&amp;"",$F$5:$F$404,F86&amp;"",$BE$5:$BE$404,BE86&amp;"",$AB$5:$AB$404,"OK")&gt;1,"同名あり",""))</f>
        <v/>
      </c>
      <c r="AW86" s="35">
        <f>IF(Q86="","",IF(ISNUMBER(Q86),Q86,IFERROR(DATEVALUE(SUBSTITUTE(SUBSTITUTE(ASC(Q86&amp;""),"-","/"),".","/")&amp;"/01"),"")))</f>
        <v/>
      </c>
      <c r="AX86" s="35">
        <f>IF(R86="","",IF(ISNUMBER(R86),R86,IFERROR(DATEVALUE(SUBSTITUTE(SUBSTITUTE(ASC(R86&amp;""),"-","/"),".","/")&amp;"/01"),"")))</f>
        <v/>
      </c>
      <c r="AY86" s="34">
        <f>IF(OR(AB86&lt;&gt;"OK",AW86=""),"",IF(AW86&gt;='01_設定'!$C$26,1,0))</f>
        <v/>
      </c>
      <c r="AZ86" s="34">
        <f>IF(AND(AB86="OK",AD86&lt;&gt;"除外"),COUNTIFS($AB$5:AB86,"OK",$AD$5:AD86,"&lt;&gt;除外"),"")</f>
        <v/>
      </c>
      <c r="BA86" s="34">
        <f>IF(OR(AZ86="",AI86=""),"",AI86+ROW()/1000000000)</f>
        <v/>
      </c>
      <c r="BB86" s="34">
        <f>IF(E86="","",IF(OR(TRIM(E86&amp;"")="-",TRIM(E86&amp;"")="－",TRIM(E86&amp;"")="ー"),"",TRIM(E86&amp;"")))</f>
        <v/>
      </c>
      <c r="BC86" s="34">
        <f>IF(AND(AB86="OK",BB86&lt;&gt;""),IF(COUNTIFS($BB$5:BB86,BB86,$AB$5:AB86,"OK")=1,1,""),"")</f>
        <v/>
      </c>
      <c r="BD86" s="34">
        <f>IF(BC86=1,COUNTIF($BC$5:BC86,1),"")</f>
        <v/>
      </c>
      <c r="BE86" s="34">
        <f>IF(BB86="","",IFERROR(INDEX('06_顧客別集計'!$G$5:$G$104,MATCH(BB86,'06_顧客別集計'!$C$5:$C$104,0)),BB86))</f>
        <v/>
      </c>
      <c r="BF86" s="34">
        <f>IF(AND(AZ86&lt;&gt;"",BE86&lt;&gt;""),IF(COUNTIFS($BE$5:BE86,BE86,$AZ$5:AZ86,"&gt;0")=1,1,""),"")</f>
        <v/>
      </c>
      <c r="BG86" s="34">
        <f>IF(BF86=1,COUNTIF($BF$5:BF86,1),"")</f>
        <v/>
      </c>
    </row>
    <row r="87">
      <c r="AB87">
        <f>IF(AND(A87="",G87=""),"",IF(ISNUMBER(SEARCH("##END",AM87)),"（終わりの印）",IF(ISNUMBER(SEARCH("##続き",AM87)),"（続きありの印）",IF(AM87="調査ID","（見出し行）",IF(AND(AM87&lt;&gt;"R1",AM87&lt;&gt;"R2"),"×表以外の行（集計されない）",IF(COUNTIF($AN$5:AN87,AN87)&gt;1,"△重複（集計されない）",IF(G87="","△タスク名なし",IF(ISNA(MATCH(AQ87,'M1_類型マスタ'!$A$5:$A$19,0)),"△類型が不正",IF(OR(AP87="",N(AP87)&lt;1,N(AP87)&gt;6),"△業務区分が不正",IF(OR(AS87="",AT87=""),"△回数・分が読めない",IF(SUMPRODUCT(--ISNUMBER(--T87:Z87))&lt;7,"△採点が足りない",IF(SUMPRODUCT((--T87:Z87&gt;2)+(--T87:Z87&lt;0))&gt;0,"△採点が範囲外","OK"))))))))))))</f>
        <v/>
      </c>
      <c r="AC87">
        <f>IF(AB87&lt;&gt;"OK","",TRIM(IF(AND(AU87&lt;&gt;"",N(AU87)&lt;=1),"根拠1件 ","")&amp;IF(AV87&lt;&gt;"","同名あり ","")&amp;IF(AND(NOT(ISNUMBER(N87)),N87&lt;&gt;""),"回数を換算 ","")&amp;IF(J87="","詳細なし ","")&amp;IF(AND(N(AP87)=1,BB87=""),"顧客名なし ","")))</f>
        <v/>
      </c>
      <c r="AD87" s="31" t="n"/>
      <c r="AE87" s="32" t="n"/>
      <c r="AF87" s="32" t="n"/>
      <c r="AG87" s="31" t="n"/>
      <c r="AH87">
        <f>IF(AB87&lt;&gt;"OK","",IF(AG87&lt;&gt;"",AG87,AJ87))</f>
        <v/>
      </c>
      <c r="AI87" s="33">
        <f>IF(AB87&lt;&gt;"OK","",IFERROR(IF(AE87&lt;&gt;"",AE87,AS87)*IF(AF87&lt;&gt;"",AF87,AT87)/60,""))</f>
        <v/>
      </c>
      <c r="AJ87">
        <f>IF(AB87&lt;&gt;"OK","",IF(OR(VALUE(T87)=2,VALUE(U87)=2,VALUE(V87)=2),"社内残置",IF(AND(VALUE(T87)=0,VALUE(W87)=0,VALUE(Y87)=0),"自動化候補",IF(AND(VALUE(U87)=0,VALUE(W87)&lt;=1,VALUE(X87)&lt;=1,VALUE(Y87)&lt;=1,VALUE(Z87)&lt;=1),"オフショア候補",IF(AND(VALUE(Y87)&lt;=1,VALUE(Z87)&lt;=1),"ニアショア候補","社内で手順化→再評価")))))</f>
        <v/>
      </c>
      <c r="AK87">
        <f>IF(AB87&lt;&gt;"OK","",14-SUMPRODUCT(--T87:Z87))</f>
        <v/>
      </c>
      <c r="AL87" s="33">
        <f>IF(AB87&lt;&gt;"OK","",AS87*AT87/60)</f>
        <v/>
      </c>
      <c r="AM87" s="34">
        <f>IF(A87="","",UPPER(TRIM(ASC(A87&amp;""))))</f>
        <v/>
      </c>
      <c r="AN87" s="34">
        <f>IF(AM87="","",AM87&amp;"-"&amp;B87)</f>
        <v/>
      </c>
      <c r="AO87" s="34">
        <f>IF(C87="","",IFERROR(VALUE(ASC(SUBSTITUTE(C87&amp;"","観点",""))),""))</f>
        <v/>
      </c>
      <c r="AP87" s="34">
        <f>IF(D87="","",IFERROR(VALUE(LEFT(TRIM(ASC(D87&amp;"")),1)),IFERROR(MATCH(TRIM(D87&amp;""),'M2_区分マスタ'!$I$5:$I$10,0),"")))</f>
        <v/>
      </c>
      <c r="AQ87" s="34">
        <f>IF(H87="","",UPPER(LEFT(TRIM(ASC(H87&amp;"")),3)))</f>
        <v/>
      </c>
      <c r="AR87" s="34">
        <f>IF(N87="","",IFERROR(VALUE(SUBSTITUTE(SUBSTITUTE(SUBSTITUTE(SUBSTITUTE(SUBSTITUTE(SUBSTITUTE(SUBSTITUTE(SUBSTITUTE(SUBSTITUTE(SUBSTITUTE(SUBSTITUTE(SUBSTITUTE(ASC(N87&amp;""),"約",""),"程度",""),"ほど",""),"回",""),"毎",""),"週",""),"月",""),"年",""),"日",""),"に",""),"/","")," ","")),""))</f>
        <v/>
      </c>
      <c r="AS87" s="34">
        <f>IF(N87="","",IF(ISNUMBER(N87),N87,IFERROR(VALUE(ASC(N87&amp;"")),IF(AR87&lt;&gt;"",AR87*IF(ISNUMBER(SEARCH("週",N87)),4.3,IF(ISNUMBER(SEARCH("年",N87)),1/12,IF(ISNUMBER(SEARCH("日",N87)),20,1))),IF(ISNUMBER(SEARCH("日",N87)),20,IF(ISNUMBER(SEARCH("週",N87)),4.3,IF(ISNUMBER(SEARCH("月",N87)),1,"")))))))</f>
        <v/>
      </c>
      <c r="AT87" s="34">
        <f>IF(O87="","",IF(ISNUMBER(O87),O87,IFERROR(VALUE(ASC(O87&amp;"")),IF(ISNUMBER(SEARCH("時間",O87)),IFERROR(VALUE(SUBSTITUTE(SUBSTITUTE(SUBSTITUTE(SUBSTITUTE(SUBSTITUTE(ASC(O87&amp;""),"約",""),"程度",""),"ほど",""),"時間","")," ",""))*60,""),IFERROR(VALUE(SUBSTITUTE(SUBSTITUTE(SUBSTITUTE(SUBSTITUTE(SUBSTITUTE(ASC(O87&amp;""),"約",""),"程度",""),"ほど",""),"分","")," ","")),"")))))</f>
        <v/>
      </c>
      <c r="AU87" s="34">
        <f>IF(P87="","",IF(ISNUMBER(P87),P87,IFERROR(VALUE(SUBSTITUTE(SUBSTITUTE(SUBSTITUTE(ASC(P87&amp;""),"約",""),"件","")," ","")),"")))</f>
        <v/>
      </c>
      <c r="AV87" s="34">
        <f>IF(AB87&lt;&gt;"OK","",IF(COUNTIFS($G$5:$G$404,G87&amp;"",$F$5:$F$404,F87&amp;"",$BE$5:$BE$404,BE87&amp;"",$AB$5:$AB$404,"OK")&gt;1,"同名あり",""))</f>
        <v/>
      </c>
      <c r="AW87" s="35">
        <f>IF(Q87="","",IF(ISNUMBER(Q87),Q87,IFERROR(DATEVALUE(SUBSTITUTE(SUBSTITUTE(ASC(Q87&amp;""),"-","/"),".","/")&amp;"/01"),"")))</f>
        <v/>
      </c>
      <c r="AX87" s="35">
        <f>IF(R87="","",IF(ISNUMBER(R87),R87,IFERROR(DATEVALUE(SUBSTITUTE(SUBSTITUTE(ASC(R87&amp;""),"-","/"),".","/")&amp;"/01"),"")))</f>
        <v/>
      </c>
      <c r="AY87" s="34">
        <f>IF(OR(AB87&lt;&gt;"OK",AW87=""),"",IF(AW87&gt;='01_設定'!$C$26,1,0))</f>
        <v/>
      </c>
      <c r="AZ87" s="34">
        <f>IF(AND(AB87="OK",AD87&lt;&gt;"除外"),COUNTIFS($AB$5:AB87,"OK",$AD$5:AD87,"&lt;&gt;除外"),"")</f>
        <v/>
      </c>
      <c r="BA87" s="34">
        <f>IF(OR(AZ87="",AI87=""),"",AI87+ROW()/1000000000)</f>
        <v/>
      </c>
      <c r="BB87" s="34">
        <f>IF(E87="","",IF(OR(TRIM(E87&amp;"")="-",TRIM(E87&amp;"")="－",TRIM(E87&amp;"")="ー"),"",TRIM(E87&amp;"")))</f>
        <v/>
      </c>
      <c r="BC87" s="34">
        <f>IF(AND(AB87="OK",BB87&lt;&gt;""),IF(COUNTIFS($BB$5:BB87,BB87,$AB$5:AB87,"OK")=1,1,""),"")</f>
        <v/>
      </c>
      <c r="BD87" s="34">
        <f>IF(BC87=1,COUNTIF($BC$5:BC87,1),"")</f>
        <v/>
      </c>
      <c r="BE87" s="34">
        <f>IF(BB87="","",IFERROR(INDEX('06_顧客別集計'!$G$5:$G$104,MATCH(BB87,'06_顧客別集計'!$C$5:$C$104,0)),BB87))</f>
        <v/>
      </c>
      <c r="BF87" s="34">
        <f>IF(AND(AZ87&lt;&gt;"",BE87&lt;&gt;""),IF(COUNTIFS($BE$5:BE87,BE87,$AZ$5:AZ87,"&gt;0")=1,1,""),"")</f>
        <v/>
      </c>
      <c r="BG87" s="34">
        <f>IF(BF87=1,COUNTIF($BF$5:BF87,1),"")</f>
        <v/>
      </c>
    </row>
    <row r="88">
      <c r="AB88">
        <f>IF(AND(A88="",G88=""),"",IF(ISNUMBER(SEARCH("##END",AM88)),"（終わりの印）",IF(ISNUMBER(SEARCH("##続き",AM88)),"（続きありの印）",IF(AM88="調査ID","（見出し行）",IF(AND(AM88&lt;&gt;"R1",AM88&lt;&gt;"R2"),"×表以外の行（集計されない）",IF(COUNTIF($AN$5:AN88,AN88)&gt;1,"△重複（集計されない）",IF(G88="","△タスク名なし",IF(ISNA(MATCH(AQ88,'M1_類型マスタ'!$A$5:$A$19,0)),"△類型が不正",IF(OR(AP88="",N(AP88)&lt;1,N(AP88)&gt;6),"△業務区分が不正",IF(OR(AS88="",AT88=""),"△回数・分が読めない",IF(SUMPRODUCT(--ISNUMBER(--T88:Z88))&lt;7,"△採点が足りない",IF(SUMPRODUCT((--T88:Z88&gt;2)+(--T88:Z88&lt;0))&gt;0,"△採点が範囲外","OK"))))))))))))</f>
        <v/>
      </c>
      <c r="AC88">
        <f>IF(AB88&lt;&gt;"OK","",TRIM(IF(AND(AU88&lt;&gt;"",N(AU88)&lt;=1),"根拠1件 ","")&amp;IF(AV88&lt;&gt;"","同名あり ","")&amp;IF(AND(NOT(ISNUMBER(N88)),N88&lt;&gt;""),"回数を換算 ","")&amp;IF(J88="","詳細なし ","")&amp;IF(AND(N(AP88)=1,BB88=""),"顧客名なし ","")))</f>
        <v/>
      </c>
      <c r="AD88" s="31" t="n"/>
      <c r="AE88" s="32" t="n"/>
      <c r="AF88" s="32" t="n"/>
      <c r="AG88" s="31" t="n"/>
      <c r="AH88">
        <f>IF(AB88&lt;&gt;"OK","",IF(AG88&lt;&gt;"",AG88,AJ88))</f>
        <v/>
      </c>
      <c r="AI88" s="33">
        <f>IF(AB88&lt;&gt;"OK","",IFERROR(IF(AE88&lt;&gt;"",AE88,AS88)*IF(AF88&lt;&gt;"",AF88,AT88)/60,""))</f>
        <v/>
      </c>
      <c r="AJ88">
        <f>IF(AB88&lt;&gt;"OK","",IF(OR(VALUE(T88)=2,VALUE(U88)=2,VALUE(V88)=2),"社内残置",IF(AND(VALUE(T88)=0,VALUE(W88)=0,VALUE(Y88)=0),"自動化候補",IF(AND(VALUE(U88)=0,VALUE(W88)&lt;=1,VALUE(X88)&lt;=1,VALUE(Y88)&lt;=1,VALUE(Z88)&lt;=1),"オフショア候補",IF(AND(VALUE(Y88)&lt;=1,VALUE(Z88)&lt;=1),"ニアショア候補","社内で手順化→再評価")))))</f>
        <v/>
      </c>
      <c r="AK88">
        <f>IF(AB88&lt;&gt;"OK","",14-SUMPRODUCT(--T88:Z88))</f>
        <v/>
      </c>
      <c r="AL88" s="33">
        <f>IF(AB88&lt;&gt;"OK","",AS88*AT88/60)</f>
        <v/>
      </c>
      <c r="AM88" s="34">
        <f>IF(A88="","",UPPER(TRIM(ASC(A88&amp;""))))</f>
        <v/>
      </c>
      <c r="AN88" s="34">
        <f>IF(AM88="","",AM88&amp;"-"&amp;B88)</f>
        <v/>
      </c>
      <c r="AO88" s="34">
        <f>IF(C88="","",IFERROR(VALUE(ASC(SUBSTITUTE(C88&amp;"","観点",""))),""))</f>
        <v/>
      </c>
      <c r="AP88" s="34">
        <f>IF(D88="","",IFERROR(VALUE(LEFT(TRIM(ASC(D88&amp;"")),1)),IFERROR(MATCH(TRIM(D88&amp;""),'M2_区分マスタ'!$I$5:$I$10,0),"")))</f>
        <v/>
      </c>
      <c r="AQ88" s="34">
        <f>IF(H88="","",UPPER(LEFT(TRIM(ASC(H88&amp;"")),3)))</f>
        <v/>
      </c>
      <c r="AR88" s="34">
        <f>IF(N88="","",IFERROR(VALUE(SUBSTITUTE(SUBSTITUTE(SUBSTITUTE(SUBSTITUTE(SUBSTITUTE(SUBSTITUTE(SUBSTITUTE(SUBSTITUTE(SUBSTITUTE(SUBSTITUTE(SUBSTITUTE(SUBSTITUTE(ASC(N88&amp;""),"約",""),"程度",""),"ほど",""),"回",""),"毎",""),"週",""),"月",""),"年",""),"日",""),"に",""),"/","")," ","")),""))</f>
        <v/>
      </c>
      <c r="AS88" s="34">
        <f>IF(N88="","",IF(ISNUMBER(N88),N88,IFERROR(VALUE(ASC(N88&amp;"")),IF(AR88&lt;&gt;"",AR88*IF(ISNUMBER(SEARCH("週",N88)),4.3,IF(ISNUMBER(SEARCH("年",N88)),1/12,IF(ISNUMBER(SEARCH("日",N88)),20,1))),IF(ISNUMBER(SEARCH("日",N88)),20,IF(ISNUMBER(SEARCH("週",N88)),4.3,IF(ISNUMBER(SEARCH("月",N88)),1,"")))))))</f>
        <v/>
      </c>
      <c r="AT88" s="34">
        <f>IF(O88="","",IF(ISNUMBER(O88),O88,IFERROR(VALUE(ASC(O88&amp;"")),IF(ISNUMBER(SEARCH("時間",O88)),IFERROR(VALUE(SUBSTITUTE(SUBSTITUTE(SUBSTITUTE(SUBSTITUTE(SUBSTITUTE(ASC(O88&amp;""),"約",""),"程度",""),"ほど",""),"時間","")," ",""))*60,""),IFERROR(VALUE(SUBSTITUTE(SUBSTITUTE(SUBSTITUTE(SUBSTITUTE(SUBSTITUTE(ASC(O88&amp;""),"約",""),"程度",""),"ほど",""),"分","")," ","")),"")))))</f>
        <v/>
      </c>
      <c r="AU88" s="34">
        <f>IF(P88="","",IF(ISNUMBER(P88),P88,IFERROR(VALUE(SUBSTITUTE(SUBSTITUTE(SUBSTITUTE(ASC(P88&amp;""),"約",""),"件","")," ","")),"")))</f>
        <v/>
      </c>
      <c r="AV88" s="34">
        <f>IF(AB88&lt;&gt;"OK","",IF(COUNTIFS($G$5:$G$404,G88&amp;"",$F$5:$F$404,F88&amp;"",$BE$5:$BE$404,BE88&amp;"",$AB$5:$AB$404,"OK")&gt;1,"同名あり",""))</f>
        <v/>
      </c>
      <c r="AW88" s="35">
        <f>IF(Q88="","",IF(ISNUMBER(Q88),Q88,IFERROR(DATEVALUE(SUBSTITUTE(SUBSTITUTE(ASC(Q88&amp;""),"-","/"),".","/")&amp;"/01"),"")))</f>
        <v/>
      </c>
      <c r="AX88" s="35">
        <f>IF(R88="","",IF(ISNUMBER(R88),R88,IFERROR(DATEVALUE(SUBSTITUTE(SUBSTITUTE(ASC(R88&amp;""),"-","/"),".","/")&amp;"/01"),"")))</f>
        <v/>
      </c>
      <c r="AY88" s="34">
        <f>IF(OR(AB88&lt;&gt;"OK",AW88=""),"",IF(AW88&gt;='01_設定'!$C$26,1,0))</f>
        <v/>
      </c>
      <c r="AZ88" s="34">
        <f>IF(AND(AB88="OK",AD88&lt;&gt;"除外"),COUNTIFS($AB$5:AB88,"OK",$AD$5:AD88,"&lt;&gt;除外"),"")</f>
        <v/>
      </c>
      <c r="BA88" s="34">
        <f>IF(OR(AZ88="",AI88=""),"",AI88+ROW()/1000000000)</f>
        <v/>
      </c>
      <c r="BB88" s="34">
        <f>IF(E88="","",IF(OR(TRIM(E88&amp;"")="-",TRIM(E88&amp;"")="－",TRIM(E88&amp;"")="ー"),"",TRIM(E88&amp;"")))</f>
        <v/>
      </c>
      <c r="BC88" s="34">
        <f>IF(AND(AB88="OK",BB88&lt;&gt;""),IF(COUNTIFS($BB$5:BB88,BB88,$AB$5:AB88,"OK")=1,1,""),"")</f>
        <v/>
      </c>
      <c r="BD88" s="34">
        <f>IF(BC88=1,COUNTIF($BC$5:BC88,1),"")</f>
        <v/>
      </c>
      <c r="BE88" s="34">
        <f>IF(BB88="","",IFERROR(INDEX('06_顧客別集計'!$G$5:$G$104,MATCH(BB88,'06_顧客別集計'!$C$5:$C$104,0)),BB88))</f>
        <v/>
      </c>
      <c r="BF88" s="34">
        <f>IF(AND(AZ88&lt;&gt;"",BE88&lt;&gt;""),IF(COUNTIFS($BE$5:BE88,BE88,$AZ$5:AZ88,"&gt;0")=1,1,""),"")</f>
        <v/>
      </c>
      <c r="BG88" s="34">
        <f>IF(BF88=1,COUNTIF($BF$5:BF88,1),"")</f>
        <v/>
      </c>
    </row>
    <row r="89">
      <c r="AB89">
        <f>IF(AND(A89="",G89=""),"",IF(ISNUMBER(SEARCH("##END",AM89)),"（終わりの印）",IF(ISNUMBER(SEARCH("##続き",AM89)),"（続きありの印）",IF(AM89="調査ID","（見出し行）",IF(AND(AM89&lt;&gt;"R1",AM89&lt;&gt;"R2"),"×表以外の行（集計されない）",IF(COUNTIF($AN$5:AN89,AN89)&gt;1,"△重複（集計されない）",IF(G89="","△タスク名なし",IF(ISNA(MATCH(AQ89,'M1_類型マスタ'!$A$5:$A$19,0)),"△類型が不正",IF(OR(AP89="",N(AP89)&lt;1,N(AP89)&gt;6),"△業務区分が不正",IF(OR(AS89="",AT89=""),"△回数・分が読めない",IF(SUMPRODUCT(--ISNUMBER(--T89:Z89))&lt;7,"△採点が足りない",IF(SUMPRODUCT((--T89:Z89&gt;2)+(--T89:Z89&lt;0))&gt;0,"△採点が範囲外","OK"))))))))))))</f>
        <v/>
      </c>
      <c r="AC89">
        <f>IF(AB89&lt;&gt;"OK","",TRIM(IF(AND(AU89&lt;&gt;"",N(AU89)&lt;=1),"根拠1件 ","")&amp;IF(AV89&lt;&gt;"","同名あり ","")&amp;IF(AND(NOT(ISNUMBER(N89)),N89&lt;&gt;""),"回数を換算 ","")&amp;IF(J89="","詳細なし ","")&amp;IF(AND(N(AP89)=1,BB89=""),"顧客名なし ","")))</f>
        <v/>
      </c>
      <c r="AD89" s="31" t="n"/>
      <c r="AE89" s="32" t="n"/>
      <c r="AF89" s="32" t="n"/>
      <c r="AG89" s="31" t="n"/>
      <c r="AH89">
        <f>IF(AB89&lt;&gt;"OK","",IF(AG89&lt;&gt;"",AG89,AJ89))</f>
        <v/>
      </c>
      <c r="AI89" s="33">
        <f>IF(AB89&lt;&gt;"OK","",IFERROR(IF(AE89&lt;&gt;"",AE89,AS89)*IF(AF89&lt;&gt;"",AF89,AT89)/60,""))</f>
        <v/>
      </c>
      <c r="AJ89">
        <f>IF(AB89&lt;&gt;"OK","",IF(OR(VALUE(T89)=2,VALUE(U89)=2,VALUE(V89)=2),"社内残置",IF(AND(VALUE(T89)=0,VALUE(W89)=0,VALUE(Y89)=0),"自動化候補",IF(AND(VALUE(U89)=0,VALUE(W89)&lt;=1,VALUE(X89)&lt;=1,VALUE(Y89)&lt;=1,VALUE(Z89)&lt;=1),"オフショア候補",IF(AND(VALUE(Y89)&lt;=1,VALUE(Z89)&lt;=1),"ニアショア候補","社内で手順化→再評価")))))</f>
        <v/>
      </c>
      <c r="AK89">
        <f>IF(AB89&lt;&gt;"OK","",14-SUMPRODUCT(--T89:Z89))</f>
        <v/>
      </c>
      <c r="AL89" s="33">
        <f>IF(AB89&lt;&gt;"OK","",AS89*AT89/60)</f>
        <v/>
      </c>
      <c r="AM89" s="34">
        <f>IF(A89="","",UPPER(TRIM(ASC(A89&amp;""))))</f>
        <v/>
      </c>
      <c r="AN89" s="34">
        <f>IF(AM89="","",AM89&amp;"-"&amp;B89)</f>
        <v/>
      </c>
      <c r="AO89" s="34">
        <f>IF(C89="","",IFERROR(VALUE(ASC(SUBSTITUTE(C89&amp;"","観点",""))),""))</f>
        <v/>
      </c>
      <c r="AP89" s="34">
        <f>IF(D89="","",IFERROR(VALUE(LEFT(TRIM(ASC(D89&amp;"")),1)),IFERROR(MATCH(TRIM(D89&amp;""),'M2_区分マスタ'!$I$5:$I$10,0),"")))</f>
        <v/>
      </c>
      <c r="AQ89" s="34">
        <f>IF(H89="","",UPPER(LEFT(TRIM(ASC(H89&amp;"")),3)))</f>
        <v/>
      </c>
      <c r="AR89" s="34">
        <f>IF(N89="","",IFERROR(VALUE(SUBSTITUTE(SUBSTITUTE(SUBSTITUTE(SUBSTITUTE(SUBSTITUTE(SUBSTITUTE(SUBSTITUTE(SUBSTITUTE(SUBSTITUTE(SUBSTITUTE(SUBSTITUTE(SUBSTITUTE(ASC(N89&amp;""),"約",""),"程度",""),"ほど",""),"回",""),"毎",""),"週",""),"月",""),"年",""),"日",""),"に",""),"/","")," ","")),""))</f>
        <v/>
      </c>
      <c r="AS89" s="34">
        <f>IF(N89="","",IF(ISNUMBER(N89),N89,IFERROR(VALUE(ASC(N89&amp;"")),IF(AR89&lt;&gt;"",AR89*IF(ISNUMBER(SEARCH("週",N89)),4.3,IF(ISNUMBER(SEARCH("年",N89)),1/12,IF(ISNUMBER(SEARCH("日",N89)),20,1))),IF(ISNUMBER(SEARCH("日",N89)),20,IF(ISNUMBER(SEARCH("週",N89)),4.3,IF(ISNUMBER(SEARCH("月",N89)),1,"")))))))</f>
        <v/>
      </c>
      <c r="AT89" s="34">
        <f>IF(O89="","",IF(ISNUMBER(O89),O89,IFERROR(VALUE(ASC(O89&amp;"")),IF(ISNUMBER(SEARCH("時間",O89)),IFERROR(VALUE(SUBSTITUTE(SUBSTITUTE(SUBSTITUTE(SUBSTITUTE(SUBSTITUTE(ASC(O89&amp;""),"約",""),"程度",""),"ほど",""),"時間","")," ",""))*60,""),IFERROR(VALUE(SUBSTITUTE(SUBSTITUTE(SUBSTITUTE(SUBSTITUTE(SUBSTITUTE(ASC(O89&amp;""),"約",""),"程度",""),"ほど",""),"分","")," ","")),"")))))</f>
        <v/>
      </c>
      <c r="AU89" s="34">
        <f>IF(P89="","",IF(ISNUMBER(P89),P89,IFERROR(VALUE(SUBSTITUTE(SUBSTITUTE(SUBSTITUTE(ASC(P89&amp;""),"約",""),"件","")," ","")),"")))</f>
        <v/>
      </c>
      <c r="AV89" s="34">
        <f>IF(AB89&lt;&gt;"OK","",IF(COUNTIFS($G$5:$G$404,G89&amp;"",$F$5:$F$404,F89&amp;"",$BE$5:$BE$404,BE89&amp;"",$AB$5:$AB$404,"OK")&gt;1,"同名あり",""))</f>
        <v/>
      </c>
      <c r="AW89" s="35">
        <f>IF(Q89="","",IF(ISNUMBER(Q89),Q89,IFERROR(DATEVALUE(SUBSTITUTE(SUBSTITUTE(ASC(Q89&amp;""),"-","/"),".","/")&amp;"/01"),"")))</f>
        <v/>
      </c>
      <c r="AX89" s="35">
        <f>IF(R89="","",IF(ISNUMBER(R89),R89,IFERROR(DATEVALUE(SUBSTITUTE(SUBSTITUTE(ASC(R89&amp;""),"-","/"),".","/")&amp;"/01"),"")))</f>
        <v/>
      </c>
      <c r="AY89" s="34">
        <f>IF(OR(AB89&lt;&gt;"OK",AW89=""),"",IF(AW89&gt;='01_設定'!$C$26,1,0))</f>
        <v/>
      </c>
      <c r="AZ89" s="34">
        <f>IF(AND(AB89="OK",AD89&lt;&gt;"除外"),COUNTIFS($AB$5:AB89,"OK",$AD$5:AD89,"&lt;&gt;除外"),"")</f>
        <v/>
      </c>
      <c r="BA89" s="34">
        <f>IF(OR(AZ89="",AI89=""),"",AI89+ROW()/1000000000)</f>
        <v/>
      </c>
      <c r="BB89" s="34">
        <f>IF(E89="","",IF(OR(TRIM(E89&amp;"")="-",TRIM(E89&amp;"")="－",TRIM(E89&amp;"")="ー"),"",TRIM(E89&amp;"")))</f>
        <v/>
      </c>
      <c r="BC89" s="34">
        <f>IF(AND(AB89="OK",BB89&lt;&gt;""),IF(COUNTIFS($BB$5:BB89,BB89,$AB$5:AB89,"OK")=1,1,""),"")</f>
        <v/>
      </c>
      <c r="BD89" s="34">
        <f>IF(BC89=1,COUNTIF($BC$5:BC89,1),"")</f>
        <v/>
      </c>
      <c r="BE89" s="34">
        <f>IF(BB89="","",IFERROR(INDEX('06_顧客別集計'!$G$5:$G$104,MATCH(BB89,'06_顧客別集計'!$C$5:$C$104,0)),BB89))</f>
        <v/>
      </c>
      <c r="BF89" s="34">
        <f>IF(AND(AZ89&lt;&gt;"",BE89&lt;&gt;""),IF(COUNTIFS($BE$5:BE89,BE89,$AZ$5:AZ89,"&gt;0")=1,1,""),"")</f>
        <v/>
      </c>
      <c r="BG89" s="34">
        <f>IF(BF89=1,COUNTIF($BF$5:BF89,1),"")</f>
        <v/>
      </c>
    </row>
    <row r="90">
      <c r="AB90">
        <f>IF(AND(A90="",G90=""),"",IF(ISNUMBER(SEARCH("##END",AM90)),"（終わりの印）",IF(ISNUMBER(SEARCH("##続き",AM90)),"（続きありの印）",IF(AM90="調査ID","（見出し行）",IF(AND(AM90&lt;&gt;"R1",AM90&lt;&gt;"R2"),"×表以外の行（集計されない）",IF(COUNTIF($AN$5:AN90,AN90)&gt;1,"△重複（集計されない）",IF(G90="","△タスク名なし",IF(ISNA(MATCH(AQ90,'M1_類型マスタ'!$A$5:$A$19,0)),"△類型が不正",IF(OR(AP90="",N(AP90)&lt;1,N(AP90)&gt;6),"△業務区分が不正",IF(OR(AS90="",AT90=""),"△回数・分が読めない",IF(SUMPRODUCT(--ISNUMBER(--T90:Z90))&lt;7,"△採点が足りない",IF(SUMPRODUCT((--T90:Z90&gt;2)+(--T90:Z90&lt;0))&gt;0,"△採点が範囲外","OK"))))))))))))</f>
        <v/>
      </c>
      <c r="AC90">
        <f>IF(AB90&lt;&gt;"OK","",TRIM(IF(AND(AU90&lt;&gt;"",N(AU90)&lt;=1),"根拠1件 ","")&amp;IF(AV90&lt;&gt;"","同名あり ","")&amp;IF(AND(NOT(ISNUMBER(N90)),N90&lt;&gt;""),"回数を換算 ","")&amp;IF(J90="","詳細なし ","")&amp;IF(AND(N(AP90)=1,BB90=""),"顧客名なし ","")))</f>
        <v/>
      </c>
      <c r="AD90" s="31" t="n"/>
      <c r="AE90" s="32" t="n"/>
      <c r="AF90" s="32" t="n"/>
      <c r="AG90" s="31" t="n"/>
      <c r="AH90">
        <f>IF(AB90&lt;&gt;"OK","",IF(AG90&lt;&gt;"",AG90,AJ90))</f>
        <v/>
      </c>
      <c r="AI90" s="33">
        <f>IF(AB90&lt;&gt;"OK","",IFERROR(IF(AE90&lt;&gt;"",AE90,AS90)*IF(AF90&lt;&gt;"",AF90,AT90)/60,""))</f>
        <v/>
      </c>
      <c r="AJ90">
        <f>IF(AB90&lt;&gt;"OK","",IF(OR(VALUE(T90)=2,VALUE(U90)=2,VALUE(V90)=2),"社内残置",IF(AND(VALUE(T90)=0,VALUE(W90)=0,VALUE(Y90)=0),"自動化候補",IF(AND(VALUE(U90)=0,VALUE(W90)&lt;=1,VALUE(X90)&lt;=1,VALUE(Y90)&lt;=1,VALUE(Z90)&lt;=1),"オフショア候補",IF(AND(VALUE(Y90)&lt;=1,VALUE(Z90)&lt;=1),"ニアショア候補","社内で手順化→再評価")))))</f>
        <v/>
      </c>
      <c r="AK90">
        <f>IF(AB90&lt;&gt;"OK","",14-SUMPRODUCT(--T90:Z90))</f>
        <v/>
      </c>
      <c r="AL90" s="33">
        <f>IF(AB90&lt;&gt;"OK","",AS90*AT90/60)</f>
        <v/>
      </c>
      <c r="AM90" s="34">
        <f>IF(A90="","",UPPER(TRIM(ASC(A90&amp;""))))</f>
        <v/>
      </c>
      <c r="AN90" s="34">
        <f>IF(AM90="","",AM90&amp;"-"&amp;B90)</f>
        <v/>
      </c>
      <c r="AO90" s="34">
        <f>IF(C90="","",IFERROR(VALUE(ASC(SUBSTITUTE(C90&amp;"","観点",""))),""))</f>
        <v/>
      </c>
      <c r="AP90" s="34">
        <f>IF(D90="","",IFERROR(VALUE(LEFT(TRIM(ASC(D90&amp;"")),1)),IFERROR(MATCH(TRIM(D90&amp;""),'M2_区分マスタ'!$I$5:$I$10,0),"")))</f>
        <v/>
      </c>
      <c r="AQ90" s="34">
        <f>IF(H90="","",UPPER(LEFT(TRIM(ASC(H90&amp;"")),3)))</f>
        <v/>
      </c>
      <c r="AR90" s="34">
        <f>IF(N90="","",IFERROR(VALUE(SUBSTITUTE(SUBSTITUTE(SUBSTITUTE(SUBSTITUTE(SUBSTITUTE(SUBSTITUTE(SUBSTITUTE(SUBSTITUTE(SUBSTITUTE(SUBSTITUTE(SUBSTITUTE(SUBSTITUTE(ASC(N90&amp;""),"約",""),"程度",""),"ほど",""),"回",""),"毎",""),"週",""),"月",""),"年",""),"日",""),"に",""),"/","")," ","")),""))</f>
        <v/>
      </c>
      <c r="AS90" s="34">
        <f>IF(N90="","",IF(ISNUMBER(N90),N90,IFERROR(VALUE(ASC(N90&amp;"")),IF(AR90&lt;&gt;"",AR90*IF(ISNUMBER(SEARCH("週",N90)),4.3,IF(ISNUMBER(SEARCH("年",N90)),1/12,IF(ISNUMBER(SEARCH("日",N90)),20,1))),IF(ISNUMBER(SEARCH("日",N90)),20,IF(ISNUMBER(SEARCH("週",N90)),4.3,IF(ISNUMBER(SEARCH("月",N90)),1,"")))))))</f>
        <v/>
      </c>
      <c r="AT90" s="34">
        <f>IF(O90="","",IF(ISNUMBER(O90),O90,IFERROR(VALUE(ASC(O90&amp;"")),IF(ISNUMBER(SEARCH("時間",O90)),IFERROR(VALUE(SUBSTITUTE(SUBSTITUTE(SUBSTITUTE(SUBSTITUTE(SUBSTITUTE(ASC(O90&amp;""),"約",""),"程度",""),"ほど",""),"時間","")," ",""))*60,""),IFERROR(VALUE(SUBSTITUTE(SUBSTITUTE(SUBSTITUTE(SUBSTITUTE(SUBSTITUTE(ASC(O90&amp;""),"約",""),"程度",""),"ほど",""),"分","")," ","")),"")))))</f>
        <v/>
      </c>
      <c r="AU90" s="34">
        <f>IF(P90="","",IF(ISNUMBER(P90),P90,IFERROR(VALUE(SUBSTITUTE(SUBSTITUTE(SUBSTITUTE(ASC(P90&amp;""),"約",""),"件","")," ","")),"")))</f>
        <v/>
      </c>
      <c r="AV90" s="34">
        <f>IF(AB90&lt;&gt;"OK","",IF(COUNTIFS($G$5:$G$404,G90&amp;"",$F$5:$F$404,F90&amp;"",$BE$5:$BE$404,BE90&amp;"",$AB$5:$AB$404,"OK")&gt;1,"同名あり",""))</f>
        <v/>
      </c>
      <c r="AW90" s="35">
        <f>IF(Q90="","",IF(ISNUMBER(Q90),Q90,IFERROR(DATEVALUE(SUBSTITUTE(SUBSTITUTE(ASC(Q90&amp;""),"-","/"),".","/")&amp;"/01"),"")))</f>
        <v/>
      </c>
      <c r="AX90" s="35">
        <f>IF(R90="","",IF(ISNUMBER(R90),R90,IFERROR(DATEVALUE(SUBSTITUTE(SUBSTITUTE(ASC(R90&amp;""),"-","/"),".","/")&amp;"/01"),"")))</f>
        <v/>
      </c>
      <c r="AY90" s="34">
        <f>IF(OR(AB90&lt;&gt;"OK",AW90=""),"",IF(AW90&gt;='01_設定'!$C$26,1,0))</f>
        <v/>
      </c>
      <c r="AZ90" s="34">
        <f>IF(AND(AB90="OK",AD90&lt;&gt;"除外"),COUNTIFS($AB$5:AB90,"OK",$AD$5:AD90,"&lt;&gt;除外"),"")</f>
        <v/>
      </c>
      <c r="BA90" s="34">
        <f>IF(OR(AZ90="",AI90=""),"",AI90+ROW()/1000000000)</f>
        <v/>
      </c>
      <c r="BB90" s="34">
        <f>IF(E90="","",IF(OR(TRIM(E90&amp;"")="-",TRIM(E90&amp;"")="－",TRIM(E90&amp;"")="ー"),"",TRIM(E90&amp;"")))</f>
        <v/>
      </c>
      <c r="BC90" s="34">
        <f>IF(AND(AB90="OK",BB90&lt;&gt;""),IF(COUNTIFS($BB$5:BB90,BB90,$AB$5:AB90,"OK")=1,1,""),"")</f>
        <v/>
      </c>
      <c r="BD90" s="34">
        <f>IF(BC90=1,COUNTIF($BC$5:BC90,1),"")</f>
        <v/>
      </c>
      <c r="BE90" s="34">
        <f>IF(BB90="","",IFERROR(INDEX('06_顧客別集計'!$G$5:$G$104,MATCH(BB90,'06_顧客別集計'!$C$5:$C$104,0)),BB90))</f>
        <v/>
      </c>
      <c r="BF90" s="34">
        <f>IF(AND(AZ90&lt;&gt;"",BE90&lt;&gt;""),IF(COUNTIFS($BE$5:BE90,BE90,$AZ$5:AZ90,"&gt;0")=1,1,""),"")</f>
        <v/>
      </c>
      <c r="BG90" s="34">
        <f>IF(BF90=1,COUNTIF($BF$5:BF90,1),"")</f>
        <v/>
      </c>
    </row>
    <row r="91">
      <c r="AB91">
        <f>IF(AND(A91="",G91=""),"",IF(ISNUMBER(SEARCH("##END",AM91)),"（終わりの印）",IF(ISNUMBER(SEARCH("##続き",AM91)),"（続きありの印）",IF(AM91="調査ID","（見出し行）",IF(AND(AM91&lt;&gt;"R1",AM91&lt;&gt;"R2"),"×表以外の行（集計されない）",IF(COUNTIF($AN$5:AN91,AN91)&gt;1,"△重複（集計されない）",IF(G91="","△タスク名なし",IF(ISNA(MATCH(AQ91,'M1_類型マスタ'!$A$5:$A$19,0)),"△類型が不正",IF(OR(AP91="",N(AP91)&lt;1,N(AP91)&gt;6),"△業務区分が不正",IF(OR(AS91="",AT91=""),"△回数・分が読めない",IF(SUMPRODUCT(--ISNUMBER(--T91:Z91))&lt;7,"△採点が足りない",IF(SUMPRODUCT((--T91:Z91&gt;2)+(--T91:Z91&lt;0))&gt;0,"△採点が範囲外","OK"))))))))))))</f>
        <v/>
      </c>
      <c r="AC91">
        <f>IF(AB91&lt;&gt;"OK","",TRIM(IF(AND(AU91&lt;&gt;"",N(AU91)&lt;=1),"根拠1件 ","")&amp;IF(AV91&lt;&gt;"","同名あり ","")&amp;IF(AND(NOT(ISNUMBER(N91)),N91&lt;&gt;""),"回数を換算 ","")&amp;IF(J91="","詳細なし ","")&amp;IF(AND(N(AP91)=1,BB91=""),"顧客名なし ","")))</f>
        <v/>
      </c>
      <c r="AD91" s="31" t="n"/>
      <c r="AE91" s="32" t="n"/>
      <c r="AF91" s="32" t="n"/>
      <c r="AG91" s="31" t="n"/>
      <c r="AH91">
        <f>IF(AB91&lt;&gt;"OK","",IF(AG91&lt;&gt;"",AG91,AJ91))</f>
        <v/>
      </c>
      <c r="AI91" s="33">
        <f>IF(AB91&lt;&gt;"OK","",IFERROR(IF(AE91&lt;&gt;"",AE91,AS91)*IF(AF91&lt;&gt;"",AF91,AT91)/60,""))</f>
        <v/>
      </c>
      <c r="AJ91">
        <f>IF(AB91&lt;&gt;"OK","",IF(OR(VALUE(T91)=2,VALUE(U91)=2,VALUE(V91)=2),"社内残置",IF(AND(VALUE(T91)=0,VALUE(W91)=0,VALUE(Y91)=0),"自動化候補",IF(AND(VALUE(U91)=0,VALUE(W91)&lt;=1,VALUE(X91)&lt;=1,VALUE(Y91)&lt;=1,VALUE(Z91)&lt;=1),"オフショア候補",IF(AND(VALUE(Y91)&lt;=1,VALUE(Z91)&lt;=1),"ニアショア候補","社内で手順化→再評価")))))</f>
        <v/>
      </c>
      <c r="AK91">
        <f>IF(AB91&lt;&gt;"OK","",14-SUMPRODUCT(--T91:Z91))</f>
        <v/>
      </c>
      <c r="AL91" s="33">
        <f>IF(AB91&lt;&gt;"OK","",AS91*AT91/60)</f>
        <v/>
      </c>
      <c r="AM91" s="34">
        <f>IF(A91="","",UPPER(TRIM(ASC(A91&amp;""))))</f>
        <v/>
      </c>
      <c r="AN91" s="34">
        <f>IF(AM91="","",AM91&amp;"-"&amp;B91)</f>
        <v/>
      </c>
      <c r="AO91" s="34">
        <f>IF(C91="","",IFERROR(VALUE(ASC(SUBSTITUTE(C91&amp;"","観点",""))),""))</f>
        <v/>
      </c>
      <c r="AP91" s="34">
        <f>IF(D91="","",IFERROR(VALUE(LEFT(TRIM(ASC(D91&amp;"")),1)),IFERROR(MATCH(TRIM(D91&amp;""),'M2_区分マスタ'!$I$5:$I$10,0),"")))</f>
        <v/>
      </c>
      <c r="AQ91" s="34">
        <f>IF(H91="","",UPPER(LEFT(TRIM(ASC(H91&amp;"")),3)))</f>
        <v/>
      </c>
      <c r="AR91" s="34">
        <f>IF(N91="","",IFERROR(VALUE(SUBSTITUTE(SUBSTITUTE(SUBSTITUTE(SUBSTITUTE(SUBSTITUTE(SUBSTITUTE(SUBSTITUTE(SUBSTITUTE(SUBSTITUTE(SUBSTITUTE(SUBSTITUTE(SUBSTITUTE(ASC(N91&amp;""),"約",""),"程度",""),"ほど",""),"回",""),"毎",""),"週",""),"月",""),"年",""),"日",""),"に",""),"/","")," ","")),""))</f>
        <v/>
      </c>
      <c r="AS91" s="34">
        <f>IF(N91="","",IF(ISNUMBER(N91),N91,IFERROR(VALUE(ASC(N91&amp;"")),IF(AR91&lt;&gt;"",AR91*IF(ISNUMBER(SEARCH("週",N91)),4.3,IF(ISNUMBER(SEARCH("年",N91)),1/12,IF(ISNUMBER(SEARCH("日",N91)),20,1))),IF(ISNUMBER(SEARCH("日",N91)),20,IF(ISNUMBER(SEARCH("週",N91)),4.3,IF(ISNUMBER(SEARCH("月",N91)),1,"")))))))</f>
        <v/>
      </c>
      <c r="AT91" s="34">
        <f>IF(O91="","",IF(ISNUMBER(O91),O91,IFERROR(VALUE(ASC(O91&amp;"")),IF(ISNUMBER(SEARCH("時間",O91)),IFERROR(VALUE(SUBSTITUTE(SUBSTITUTE(SUBSTITUTE(SUBSTITUTE(SUBSTITUTE(ASC(O91&amp;""),"約",""),"程度",""),"ほど",""),"時間","")," ",""))*60,""),IFERROR(VALUE(SUBSTITUTE(SUBSTITUTE(SUBSTITUTE(SUBSTITUTE(SUBSTITUTE(ASC(O91&amp;""),"約",""),"程度",""),"ほど",""),"分","")," ","")),"")))))</f>
        <v/>
      </c>
      <c r="AU91" s="34">
        <f>IF(P91="","",IF(ISNUMBER(P91),P91,IFERROR(VALUE(SUBSTITUTE(SUBSTITUTE(SUBSTITUTE(ASC(P91&amp;""),"約",""),"件","")," ","")),"")))</f>
        <v/>
      </c>
      <c r="AV91" s="34">
        <f>IF(AB91&lt;&gt;"OK","",IF(COUNTIFS($G$5:$G$404,G91&amp;"",$F$5:$F$404,F91&amp;"",$BE$5:$BE$404,BE91&amp;"",$AB$5:$AB$404,"OK")&gt;1,"同名あり",""))</f>
        <v/>
      </c>
      <c r="AW91" s="35">
        <f>IF(Q91="","",IF(ISNUMBER(Q91),Q91,IFERROR(DATEVALUE(SUBSTITUTE(SUBSTITUTE(ASC(Q91&amp;""),"-","/"),".","/")&amp;"/01"),"")))</f>
        <v/>
      </c>
      <c r="AX91" s="35">
        <f>IF(R91="","",IF(ISNUMBER(R91),R91,IFERROR(DATEVALUE(SUBSTITUTE(SUBSTITUTE(ASC(R91&amp;""),"-","/"),".","/")&amp;"/01"),"")))</f>
        <v/>
      </c>
      <c r="AY91" s="34">
        <f>IF(OR(AB91&lt;&gt;"OK",AW91=""),"",IF(AW91&gt;='01_設定'!$C$26,1,0))</f>
        <v/>
      </c>
      <c r="AZ91" s="34">
        <f>IF(AND(AB91="OK",AD91&lt;&gt;"除外"),COUNTIFS($AB$5:AB91,"OK",$AD$5:AD91,"&lt;&gt;除外"),"")</f>
        <v/>
      </c>
      <c r="BA91" s="34">
        <f>IF(OR(AZ91="",AI91=""),"",AI91+ROW()/1000000000)</f>
        <v/>
      </c>
      <c r="BB91" s="34">
        <f>IF(E91="","",IF(OR(TRIM(E91&amp;"")="-",TRIM(E91&amp;"")="－",TRIM(E91&amp;"")="ー"),"",TRIM(E91&amp;"")))</f>
        <v/>
      </c>
      <c r="BC91" s="34">
        <f>IF(AND(AB91="OK",BB91&lt;&gt;""),IF(COUNTIFS($BB$5:BB91,BB91,$AB$5:AB91,"OK")=1,1,""),"")</f>
        <v/>
      </c>
      <c r="BD91" s="34">
        <f>IF(BC91=1,COUNTIF($BC$5:BC91,1),"")</f>
        <v/>
      </c>
      <c r="BE91" s="34">
        <f>IF(BB91="","",IFERROR(INDEX('06_顧客別集計'!$G$5:$G$104,MATCH(BB91,'06_顧客別集計'!$C$5:$C$104,0)),BB91))</f>
        <v/>
      </c>
      <c r="BF91" s="34">
        <f>IF(AND(AZ91&lt;&gt;"",BE91&lt;&gt;""),IF(COUNTIFS($BE$5:BE91,BE91,$AZ$5:AZ91,"&gt;0")=1,1,""),"")</f>
        <v/>
      </c>
      <c r="BG91" s="34">
        <f>IF(BF91=1,COUNTIF($BF$5:BF91,1),"")</f>
        <v/>
      </c>
    </row>
    <row r="92">
      <c r="AB92">
        <f>IF(AND(A92="",G92=""),"",IF(ISNUMBER(SEARCH("##END",AM92)),"（終わりの印）",IF(ISNUMBER(SEARCH("##続き",AM92)),"（続きありの印）",IF(AM92="調査ID","（見出し行）",IF(AND(AM92&lt;&gt;"R1",AM92&lt;&gt;"R2"),"×表以外の行（集計されない）",IF(COUNTIF($AN$5:AN92,AN92)&gt;1,"△重複（集計されない）",IF(G92="","△タスク名なし",IF(ISNA(MATCH(AQ92,'M1_類型マスタ'!$A$5:$A$19,0)),"△類型が不正",IF(OR(AP92="",N(AP92)&lt;1,N(AP92)&gt;6),"△業務区分が不正",IF(OR(AS92="",AT92=""),"△回数・分が読めない",IF(SUMPRODUCT(--ISNUMBER(--T92:Z92))&lt;7,"△採点が足りない",IF(SUMPRODUCT((--T92:Z92&gt;2)+(--T92:Z92&lt;0))&gt;0,"△採点が範囲外","OK"))))))))))))</f>
        <v/>
      </c>
      <c r="AC92">
        <f>IF(AB92&lt;&gt;"OK","",TRIM(IF(AND(AU92&lt;&gt;"",N(AU92)&lt;=1),"根拠1件 ","")&amp;IF(AV92&lt;&gt;"","同名あり ","")&amp;IF(AND(NOT(ISNUMBER(N92)),N92&lt;&gt;""),"回数を換算 ","")&amp;IF(J92="","詳細なし ","")&amp;IF(AND(N(AP92)=1,BB92=""),"顧客名なし ","")))</f>
        <v/>
      </c>
      <c r="AD92" s="31" t="n"/>
      <c r="AE92" s="32" t="n"/>
      <c r="AF92" s="32" t="n"/>
      <c r="AG92" s="31" t="n"/>
      <c r="AH92">
        <f>IF(AB92&lt;&gt;"OK","",IF(AG92&lt;&gt;"",AG92,AJ92))</f>
        <v/>
      </c>
      <c r="AI92" s="33">
        <f>IF(AB92&lt;&gt;"OK","",IFERROR(IF(AE92&lt;&gt;"",AE92,AS92)*IF(AF92&lt;&gt;"",AF92,AT92)/60,""))</f>
        <v/>
      </c>
      <c r="AJ92">
        <f>IF(AB92&lt;&gt;"OK","",IF(OR(VALUE(T92)=2,VALUE(U92)=2,VALUE(V92)=2),"社内残置",IF(AND(VALUE(T92)=0,VALUE(W92)=0,VALUE(Y92)=0),"自動化候補",IF(AND(VALUE(U92)=0,VALUE(W92)&lt;=1,VALUE(X92)&lt;=1,VALUE(Y92)&lt;=1,VALUE(Z92)&lt;=1),"オフショア候補",IF(AND(VALUE(Y92)&lt;=1,VALUE(Z92)&lt;=1),"ニアショア候補","社内で手順化→再評価")))))</f>
        <v/>
      </c>
      <c r="AK92">
        <f>IF(AB92&lt;&gt;"OK","",14-SUMPRODUCT(--T92:Z92))</f>
        <v/>
      </c>
      <c r="AL92" s="33">
        <f>IF(AB92&lt;&gt;"OK","",AS92*AT92/60)</f>
        <v/>
      </c>
      <c r="AM92" s="34">
        <f>IF(A92="","",UPPER(TRIM(ASC(A92&amp;""))))</f>
        <v/>
      </c>
      <c r="AN92" s="34">
        <f>IF(AM92="","",AM92&amp;"-"&amp;B92)</f>
        <v/>
      </c>
      <c r="AO92" s="34">
        <f>IF(C92="","",IFERROR(VALUE(ASC(SUBSTITUTE(C92&amp;"","観点",""))),""))</f>
        <v/>
      </c>
      <c r="AP92" s="34">
        <f>IF(D92="","",IFERROR(VALUE(LEFT(TRIM(ASC(D92&amp;"")),1)),IFERROR(MATCH(TRIM(D92&amp;""),'M2_区分マスタ'!$I$5:$I$10,0),"")))</f>
        <v/>
      </c>
      <c r="AQ92" s="34">
        <f>IF(H92="","",UPPER(LEFT(TRIM(ASC(H92&amp;"")),3)))</f>
        <v/>
      </c>
      <c r="AR92" s="34">
        <f>IF(N92="","",IFERROR(VALUE(SUBSTITUTE(SUBSTITUTE(SUBSTITUTE(SUBSTITUTE(SUBSTITUTE(SUBSTITUTE(SUBSTITUTE(SUBSTITUTE(SUBSTITUTE(SUBSTITUTE(SUBSTITUTE(SUBSTITUTE(ASC(N92&amp;""),"約",""),"程度",""),"ほど",""),"回",""),"毎",""),"週",""),"月",""),"年",""),"日",""),"に",""),"/","")," ","")),""))</f>
        <v/>
      </c>
      <c r="AS92" s="34">
        <f>IF(N92="","",IF(ISNUMBER(N92),N92,IFERROR(VALUE(ASC(N92&amp;"")),IF(AR92&lt;&gt;"",AR92*IF(ISNUMBER(SEARCH("週",N92)),4.3,IF(ISNUMBER(SEARCH("年",N92)),1/12,IF(ISNUMBER(SEARCH("日",N92)),20,1))),IF(ISNUMBER(SEARCH("日",N92)),20,IF(ISNUMBER(SEARCH("週",N92)),4.3,IF(ISNUMBER(SEARCH("月",N92)),1,"")))))))</f>
        <v/>
      </c>
      <c r="AT92" s="34">
        <f>IF(O92="","",IF(ISNUMBER(O92),O92,IFERROR(VALUE(ASC(O92&amp;"")),IF(ISNUMBER(SEARCH("時間",O92)),IFERROR(VALUE(SUBSTITUTE(SUBSTITUTE(SUBSTITUTE(SUBSTITUTE(SUBSTITUTE(ASC(O92&amp;""),"約",""),"程度",""),"ほど",""),"時間","")," ",""))*60,""),IFERROR(VALUE(SUBSTITUTE(SUBSTITUTE(SUBSTITUTE(SUBSTITUTE(SUBSTITUTE(ASC(O92&amp;""),"約",""),"程度",""),"ほど",""),"分","")," ","")),"")))))</f>
        <v/>
      </c>
      <c r="AU92" s="34">
        <f>IF(P92="","",IF(ISNUMBER(P92),P92,IFERROR(VALUE(SUBSTITUTE(SUBSTITUTE(SUBSTITUTE(ASC(P92&amp;""),"約",""),"件","")," ","")),"")))</f>
        <v/>
      </c>
      <c r="AV92" s="34">
        <f>IF(AB92&lt;&gt;"OK","",IF(COUNTIFS($G$5:$G$404,G92&amp;"",$F$5:$F$404,F92&amp;"",$BE$5:$BE$404,BE92&amp;"",$AB$5:$AB$404,"OK")&gt;1,"同名あり",""))</f>
        <v/>
      </c>
      <c r="AW92" s="35">
        <f>IF(Q92="","",IF(ISNUMBER(Q92),Q92,IFERROR(DATEVALUE(SUBSTITUTE(SUBSTITUTE(ASC(Q92&amp;""),"-","/"),".","/")&amp;"/01"),"")))</f>
        <v/>
      </c>
      <c r="AX92" s="35">
        <f>IF(R92="","",IF(ISNUMBER(R92),R92,IFERROR(DATEVALUE(SUBSTITUTE(SUBSTITUTE(ASC(R92&amp;""),"-","/"),".","/")&amp;"/01"),"")))</f>
        <v/>
      </c>
      <c r="AY92" s="34">
        <f>IF(OR(AB92&lt;&gt;"OK",AW92=""),"",IF(AW92&gt;='01_設定'!$C$26,1,0))</f>
        <v/>
      </c>
      <c r="AZ92" s="34">
        <f>IF(AND(AB92="OK",AD92&lt;&gt;"除外"),COUNTIFS($AB$5:AB92,"OK",$AD$5:AD92,"&lt;&gt;除外"),"")</f>
        <v/>
      </c>
      <c r="BA92" s="34">
        <f>IF(OR(AZ92="",AI92=""),"",AI92+ROW()/1000000000)</f>
        <v/>
      </c>
      <c r="BB92" s="34">
        <f>IF(E92="","",IF(OR(TRIM(E92&amp;"")="-",TRIM(E92&amp;"")="－",TRIM(E92&amp;"")="ー"),"",TRIM(E92&amp;"")))</f>
        <v/>
      </c>
      <c r="BC92" s="34">
        <f>IF(AND(AB92="OK",BB92&lt;&gt;""),IF(COUNTIFS($BB$5:BB92,BB92,$AB$5:AB92,"OK")=1,1,""),"")</f>
        <v/>
      </c>
      <c r="BD92" s="34">
        <f>IF(BC92=1,COUNTIF($BC$5:BC92,1),"")</f>
        <v/>
      </c>
      <c r="BE92" s="34">
        <f>IF(BB92="","",IFERROR(INDEX('06_顧客別集計'!$G$5:$G$104,MATCH(BB92,'06_顧客別集計'!$C$5:$C$104,0)),BB92))</f>
        <v/>
      </c>
      <c r="BF92" s="34">
        <f>IF(AND(AZ92&lt;&gt;"",BE92&lt;&gt;""),IF(COUNTIFS($BE$5:BE92,BE92,$AZ$5:AZ92,"&gt;0")=1,1,""),"")</f>
        <v/>
      </c>
      <c r="BG92" s="34">
        <f>IF(BF92=1,COUNTIF($BF$5:BF92,1),"")</f>
        <v/>
      </c>
    </row>
    <row r="93">
      <c r="AB93">
        <f>IF(AND(A93="",G93=""),"",IF(ISNUMBER(SEARCH("##END",AM93)),"（終わりの印）",IF(ISNUMBER(SEARCH("##続き",AM93)),"（続きありの印）",IF(AM93="調査ID","（見出し行）",IF(AND(AM93&lt;&gt;"R1",AM93&lt;&gt;"R2"),"×表以外の行（集計されない）",IF(COUNTIF($AN$5:AN93,AN93)&gt;1,"△重複（集計されない）",IF(G93="","△タスク名なし",IF(ISNA(MATCH(AQ93,'M1_類型マスタ'!$A$5:$A$19,0)),"△類型が不正",IF(OR(AP93="",N(AP93)&lt;1,N(AP93)&gt;6),"△業務区分が不正",IF(OR(AS93="",AT93=""),"△回数・分が読めない",IF(SUMPRODUCT(--ISNUMBER(--T93:Z93))&lt;7,"△採点が足りない",IF(SUMPRODUCT((--T93:Z93&gt;2)+(--T93:Z93&lt;0))&gt;0,"△採点が範囲外","OK"))))))))))))</f>
        <v/>
      </c>
      <c r="AC93">
        <f>IF(AB93&lt;&gt;"OK","",TRIM(IF(AND(AU93&lt;&gt;"",N(AU93)&lt;=1),"根拠1件 ","")&amp;IF(AV93&lt;&gt;"","同名あり ","")&amp;IF(AND(NOT(ISNUMBER(N93)),N93&lt;&gt;""),"回数を換算 ","")&amp;IF(J93="","詳細なし ","")&amp;IF(AND(N(AP93)=1,BB93=""),"顧客名なし ","")))</f>
        <v/>
      </c>
      <c r="AD93" s="31" t="n"/>
      <c r="AE93" s="32" t="n"/>
      <c r="AF93" s="32" t="n"/>
      <c r="AG93" s="31" t="n"/>
      <c r="AH93">
        <f>IF(AB93&lt;&gt;"OK","",IF(AG93&lt;&gt;"",AG93,AJ93))</f>
        <v/>
      </c>
      <c r="AI93" s="33">
        <f>IF(AB93&lt;&gt;"OK","",IFERROR(IF(AE93&lt;&gt;"",AE93,AS93)*IF(AF93&lt;&gt;"",AF93,AT93)/60,""))</f>
        <v/>
      </c>
      <c r="AJ93">
        <f>IF(AB93&lt;&gt;"OK","",IF(OR(VALUE(T93)=2,VALUE(U93)=2,VALUE(V93)=2),"社内残置",IF(AND(VALUE(T93)=0,VALUE(W93)=0,VALUE(Y93)=0),"自動化候補",IF(AND(VALUE(U93)=0,VALUE(W93)&lt;=1,VALUE(X93)&lt;=1,VALUE(Y93)&lt;=1,VALUE(Z93)&lt;=1),"オフショア候補",IF(AND(VALUE(Y93)&lt;=1,VALUE(Z93)&lt;=1),"ニアショア候補","社内で手順化→再評価")))))</f>
        <v/>
      </c>
      <c r="AK93">
        <f>IF(AB93&lt;&gt;"OK","",14-SUMPRODUCT(--T93:Z93))</f>
        <v/>
      </c>
      <c r="AL93" s="33">
        <f>IF(AB93&lt;&gt;"OK","",AS93*AT93/60)</f>
        <v/>
      </c>
      <c r="AM93" s="34">
        <f>IF(A93="","",UPPER(TRIM(ASC(A93&amp;""))))</f>
        <v/>
      </c>
      <c r="AN93" s="34">
        <f>IF(AM93="","",AM93&amp;"-"&amp;B93)</f>
        <v/>
      </c>
      <c r="AO93" s="34">
        <f>IF(C93="","",IFERROR(VALUE(ASC(SUBSTITUTE(C93&amp;"","観点",""))),""))</f>
        <v/>
      </c>
      <c r="AP93" s="34">
        <f>IF(D93="","",IFERROR(VALUE(LEFT(TRIM(ASC(D93&amp;"")),1)),IFERROR(MATCH(TRIM(D93&amp;""),'M2_区分マスタ'!$I$5:$I$10,0),"")))</f>
        <v/>
      </c>
      <c r="AQ93" s="34">
        <f>IF(H93="","",UPPER(LEFT(TRIM(ASC(H93&amp;"")),3)))</f>
        <v/>
      </c>
      <c r="AR93" s="34">
        <f>IF(N93="","",IFERROR(VALUE(SUBSTITUTE(SUBSTITUTE(SUBSTITUTE(SUBSTITUTE(SUBSTITUTE(SUBSTITUTE(SUBSTITUTE(SUBSTITUTE(SUBSTITUTE(SUBSTITUTE(SUBSTITUTE(SUBSTITUTE(ASC(N93&amp;""),"約",""),"程度",""),"ほど",""),"回",""),"毎",""),"週",""),"月",""),"年",""),"日",""),"に",""),"/","")," ","")),""))</f>
        <v/>
      </c>
      <c r="AS93" s="34">
        <f>IF(N93="","",IF(ISNUMBER(N93),N93,IFERROR(VALUE(ASC(N93&amp;"")),IF(AR93&lt;&gt;"",AR93*IF(ISNUMBER(SEARCH("週",N93)),4.3,IF(ISNUMBER(SEARCH("年",N93)),1/12,IF(ISNUMBER(SEARCH("日",N93)),20,1))),IF(ISNUMBER(SEARCH("日",N93)),20,IF(ISNUMBER(SEARCH("週",N93)),4.3,IF(ISNUMBER(SEARCH("月",N93)),1,"")))))))</f>
        <v/>
      </c>
      <c r="AT93" s="34">
        <f>IF(O93="","",IF(ISNUMBER(O93),O93,IFERROR(VALUE(ASC(O93&amp;"")),IF(ISNUMBER(SEARCH("時間",O93)),IFERROR(VALUE(SUBSTITUTE(SUBSTITUTE(SUBSTITUTE(SUBSTITUTE(SUBSTITUTE(ASC(O93&amp;""),"約",""),"程度",""),"ほど",""),"時間","")," ",""))*60,""),IFERROR(VALUE(SUBSTITUTE(SUBSTITUTE(SUBSTITUTE(SUBSTITUTE(SUBSTITUTE(ASC(O93&amp;""),"約",""),"程度",""),"ほど",""),"分","")," ","")),"")))))</f>
        <v/>
      </c>
      <c r="AU93" s="34">
        <f>IF(P93="","",IF(ISNUMBER(P93),P93,IFERROR(VALUE(SUBSTITUTE(SUBSTITUTE(SUBSTITUTE(ASC(P93&amp;""),"約",""),"件","")," ","")),"")))</f>
        <v/>
      </c>
      <c r="AV93" s="34">
        <f>IF(AB93&lt;&gt;"OK","",IF(COUNTIFS($G$5:$G$404,G93&amp;"",$F$5:$F$404,F93&amp;"",$BE$5:$BE$404,BE93&amp;"",$AB$5:$AB$404,"OK")&gt;1,"同名あり",""))</f>
        <v/>
      </c>
      <c r="AW93" s="35">
        <f>IF(Q93="","",IF(ISNUMBER(Q93),Q93,IFERROR(DATEVALUE(SUBSTITUTE(SUBSTITUTE(ASC(Q93&amp;""),"-","/"),".","/")&amp;"/01"),"")))</f>
        <v/>
      </c>
      <c r="AX93" s="35">
        <f>IF(R93="","",IF(ISNUMBER(R93),R93,IFERROR(DATEVALUE(SUBSTITUTE(SUBSTITUTE(ASC(R93&amp;""),"-","/"),".","/")&amp;"/01"),"")))</f>
        <v/>
      </c>
      <c r="AY93" s="34">
        <f>IF(OR(AB93&lt;&gt;"OK",AW93=""),"",IF(AW93&gt;='01_設定'!$C$26,1,0))</f>
        <v/>
      </c>
      <c r="AZ93" s="34">
        <f>IF(AND(AB93="OK",AD93&lt;&gt;"除外"),COUNTIFS($AB$5:AB93,"OK",$AD$5:AD93,"&lt;&gt;除外"),"")</f>
        <v/>
      </c>
      <c r="BA93" s="34">
        <f>IF(OR(AZ93="",AI93=""),"",AI93+ROW()/1000000000)</f>
        <v/>
      </c>
      <c r="BB93" s="34">
        <f>IF(E93="","",IF(OR(TRIM(E93&amp;"")="-",TRIM(E93&amp;"")="－",TRIM(E93&amp;"")="ー"),"",TRIM(E93&amp;"")))</f>
        <v/>
      </c>
      <c r="BC93" s="34">
        <f>IF(AND(AB93="OK",BB93&lt;&gt;""),IF(COUNTIFS($BB$5:BB93,BB93,$AB$5:AB93,"OK")=1,1,""),"")</f>
        <v/>
      </c>
      <c r="BD93" s="34">
        <f>IF(BC93=1,COUNTIF($BC$5:BC93,1),"")</f>
        <v/>
      </c>
      <c r="BE93" s="34">
        <f>IF(BB93="","",IFERROR(INDEX('06_顧客別集計'!$G$5:$G$104,MATCH(BB93,'06_顧客別集計'!$C$5:$C$104,0)),BB93))</f>
        <v/>
      </c>
      <c r="BF93" s="34">
        <f>IF(AND(AZ93&lt;&gt;"",BE93&lt;&gt;""),IF(COUNTIFS($BE$5:BE93,BE93,$AZ$5:AZ93,"&gt;0")=1,1,""),"")</f>
        <v/>
      </c>
      <c r="BG93" s="34">
        <f>IF(BF93=1,COUNTIF($BF$5:BF93,1),"")</f>
        <v/>
      </c>
    </row>
    <row r="94">
      <c r="AB94">
        <f>IF(AND(A94="",G94=""),"",IF(ISNUMBER(SEARCH("##END",AM94)),"（終わりの印）",IF(ISNUMBER(SEARCH("##続き",AM94)),"（続きありの印）",IF(AM94="調査ID","（見出し行）",IF(AND(AM94&lt;&gt;"R1",AM94&lt;&gt;"R2"),"×表以外の行（集計されない）",IF(COUNTIF($AN$5:AN94,AN94)&gt;1,"△重複（集計されない）",IF(G94="","△タスク名なし",IF(ISNA(MATCH(AQ94,'M1_類型マスタ'!$A$5:$A$19,0)),"△類型が不正",IF(OR(AP94="",N(AP94)&lt;1,N(AP94)&gt;6),"△業務区分が不正",IF(OR(AS94="",AT94=""),"△回数・分が読めない",IF(SUMPRODUCT(--ISNUMBER(--T94:Z94))&lt;7,"△採点が足りない",IF(SUMPRODUCT((--T94:Z94&gt;2)+(--T94:Z94&lt;0))&gt;0,"△採点が範囲外","OK"))))))))))))</f>
        <v/>
      </c>
      <c r="AC94">
        <f>IF(AB94&lt;&gt;"OK","",TRIM(IF(AND(AU94&lt;&gt;"",N(AU94)&lt;=1),"根拠1件 ","")&amp;IF(AV94&lt;&gt;"","同名あり ","")&amp;IF(AND(NOT(ISNUMBER(N94)),N94&lt;&gt;""),"回数を換算 ","")&amp;IF(J94="","詳細なし ","")&amp;IF(AND(N(AP94)=1,BB94=""),"顧客名なし ","")))</f>
        <v/>
      </c>
      <c r="AD94" s="31" t="n"/>
      <c r="AE94" s="32" t="n"/>
      <c r="AF94" s="32" t="n"/>
      <c r="AG94" s="31" t="n"/>
      <c r="AH94">
        <f>IF(AB94&lt;&gt;"OK","",IF(AG94&lt;&gt;"",AG94,AJ94))</f>
        <v/>
      </c>
      <c r="AI94" s="33">
        <f>IF(AB94&lt;&gt;"OK","",IFERROR(IF(AE94&lt;&gt;"",AE94,AS94)*IF(AF94&lt;&gt;"",AF94,AT94)/60,""))</f>
        <v/>
      </c>
      <c r="AJ94">
        <f>IF(AB94&lt;&gt;"OK","",IF(OR(VALUE(T94)=2,VALUE(U94)=2,VALUE(V94)=2),"社内残置",IF(AND(VALUE(T94)=0,VALUE(W94)=0,VALUE(Y94)=0),"自動化候補",IF(AND(VALUE(U94)=0,VALUE(W94)&lt;=1,VALUE(X94)&lt;=1,VALUE(Y94)&lt;=1,VALUE(Z94)&lt;=1),"オフショア候補",IF(AND(VALUE(Y94)&lt;=1,VALUE(Z94)&lt;=1),"ニアショア候補","社内で手順化→再評価")))))</f>
        <v/>
      </c>
      <c r="AK94">
        <f>IF(AB94&lt;&gt;"OK","",14-SUMPRODUCT(--T94:Z94))</f>
        <v/>
      </c>
      <c r="AL94" s="33">
        <f>IF(AB94&lt;&gt;"OK","",AS94*AT94/60)</f>
        <v/>
      </c>
      <c r="AM94" s="34">
        <f>IF(A94="","",UPPER(TRIM(ASC(A94&amp;""))))</f>
        <v/>
      </c>
      <c r="AN94" s="34">
        <f>IF(AM94="","",AM94&amp;"-"&amp;B94)</f>
        <v/>
      </c>
      <c r="AO94" s="34">
        <f>IF(C94="","",IFERROR(VALUE(ASC(SUBSTITUTE(C94&amp;"","観点",""))),""))</f>
        <v/>
      </c>
      <c r="AP94" s="34">
        <f>IF(D94="","",IFERROR(VALUE(LEFT(TRIM(ASC(D94&amp;"")),1)),IFERROR(MATCH(TRIM(D94&amp;""),'M2_区分マスタ'!$I$5:$I$10,0),"")))</f>
        <v/>
      </c>
      <c r="AQ94" s="34">
        <f>IF(H94="","",UPPER(LEFT(TRIM(ASC(H94&amp;"")),3)))</f>
        <v/>
      </c>
      <c r="AR94" s="34">
        <f>IF(N94="","",IFERROR(VALUE(SUBSTITUTE(SUBSTITUTE(SUBSTITUTE(SUBSTITUTE(SUBSTITUTE(SUBSTITUTE(SUBSTITUTE(SUBSTITUTE(SUBSTITUTE(SUBSTITUTE(SUBSTITUTE(SUBSTITUTE(ASC(N94&amp;""),"約",""),"程度",""),"ほど",""),"回",""),"毎",""),"週",""),"月",""),"年",""),"日",""),"に",""),"/","")," ","")),""))</f>
        <v/>
      </c>
      <c r="AS94" s="34">
        <f>IF(N94="","",IF(ISNUMBER(N94),N94,IFERROR(VALUE(ASC(N94&amp;"")),IF(AR94&lt;&gt;"",AR94*IF(ISNUMBER(SEARCH("週",N94)),4.3,IF(ISNUMBER(SEARCH("年",N94)),1/12,IF(ISNUMBER(SEARCH("日",N94)),20,1))),IF(ISNUMBER(SEARCH("日",N94)),20,IF(ISNUMBER(SEARCH("週",N94)),4.3,IF(ISNUMBER(SEARCH("月",N94)),1,"")))))))</f>
        <v/>
      </c>
      <c r="AT94" s="34">
        <f>IF(O94="","",IF(ISNUMBER(O94),O94,IFERROR(VALUE(ASC(O94&amp;"")),IF(ISNUMBER(SEARCH("時間",O94)),IFERROR(VALUE(SUBSTITUTE(SUBSTITUTE(SUBSTITUTE(SUBSTITUTE(SUBSTITUTE(ASC(O94&amp;""),"約",""),"程度",""),"ほど",""),"時間","")," ",""))*60,""),IFERROR(VALUE(SUBSTITUTE(SUBSTITUTE(SUBSTITUTE(SUBSTITUTE(SUBSTITUTE(ASC(O94&amp;""),"約",""),"程度",""),"ほど",""),"分","")," ","")),"")))))</f>
        <v/>
      </c>
      <c r="AU94" s="34">
        <f>IF(P94="","",IF(ISNUMBER(P94),P94,IFERROR(VALUE(SUBSTITUTE(SUBSTITUTE(SUBSTITUTE(ASC(P94&amp;""),"約",""),"件","")," ","")),"")))</f>
        <v/>
      </c>
      <c r="AV94" s="34">
        <f>IF(AB94&lt;&gt;"OK","",IF(COUNTIFS($G$5:$G$404,G94&amp;"",$F$5:$F$404,F94&amp;"",$BE$5:$BE$404,BE94&amp;"",$AB$5:$AB$404,"OK")&gt;1,"同名あり",""))</f>
        <v/>
      </c>
      <c r="AW94" s="35">
        <f>IF(Q94="","",IF(ISNUMBER(Q94),Q94,IFERROR(DATEVALUE(SUBSTITUTE(SUBSTITUTE(ASC(Q94&amp;""),"-","/"),".","/")&amp;"/01"),"")))</f>
        <v/>
      </c>
      <c r="AX94" s="35">
        <f>IF(R94="","",IF(ISNUMBER(R94),R94,IFERROR(DATEVALUE(SUBSTITUTE(SUBSTITUTE(ASC(R94&amp;""),"-","/"),".","/")&amp;"/01"),"")))</f>
        <v/>
      </c>
      <c r="AY94" s="34">
        <f>IF(OR(AB94&lt;&gt;"OK",AW94=""),"",IF(AW94&gt;='01_設定'!$C$26,1,0))</f>
        <v/>
      </c>
      <c r="AZ94" s="34">
        <f>IF(AND(AB94="OK",AD94&lt;&gt;"除外"),COUNTIFS($AB$5:AB94,"OK",$AD$5:AD94,"&lt;&gt;除外"),"")</f>
        <v/>
      </c>
      <c r="BA94" s="34">
        <f>IF(OR(AZ94="",AI94=""),"",AI94+ROW()/1000000000)</f>
        <v/>
      </c>
      <c r="BB94" s="34">
        <f>IF(E94="","",IF(OR(TRIM(E94&amp;"")="-",TRIM(E94&amp;"")="－",TRIM(E94&amp;"")="ー"),"",TRIM(E94&amp;"")))</f>
        <v/>
      </c>
      <c r="BC94" s="34">
        <f>IF(AND(AB94="OK",BB94&lt;&gt;""),IF(COUNTIFS($BB$5:BB94,BB94,$AB$5:AB94,"OK")=1,1,""),"")</f>
        <v/>
      </c>
      <c r="BD94" s="34">
        <f>IF(BC94=1,COUNTIF($BC$5:BC94,1),"")</f>
        <v/>
      </c>
      <c r="BE94" s="34">
        <f>IF(BB94="","",IFERROR(INDEX('06_顧客別集計'!$G$5:$G$104,MATCH(BB94,'06_顧客別集計'!$C$5:$C$104,0)),BB94))</f>
        <v/>
      </c>
      <c r="BF94" s="34">
        <f>IF(AND(AZ94&lt;&gt;"",BE94&lt;&gt;""),IF(COUNTIFS($BE$5:BE94,BE94,$AZ$5:AZ94,"&gt;0")=1,1,""),"")</f>
        <v/>
      </c>
      <c r="BG94" s="34">
        <f>IF(BF94=1,COUNTIF($BF$5:BF94,1),"")</f>
        <v/>
      </c>
    </row>
    <row r="95">
      <c r="AB95">
        <f>IF(AND(A95="",G95=""),"",IF(ISNUMBER(SEARCH("##END",AM95)),"（終わりの印）",IF(ISNUMBER(SEARCH("##続き",AM95)),"（続きありの印）",IF(AM95="調査ID","（見出し行）",IF(AND(AM95&lt;&gt;"R1",AM95&lt;&gt;"R2"),"×表以外の行（集計されない）",IF(COUNTIF($AN$5:AN95,AN95)&gt;1,"△重複（集計されない）",IF(G95="","△タスク名なし",IF(ISNA(MATCH(AQ95,'M1_類型マスタ'!$A$5:$A$19,0)),"△類型が不正",IF(OR(AP95="",N(AP95)&lt;1,N(AP95)&gt;6),"△業務区分が不正",IF(OR(AS95="",AT95=""),"△回数・分が読めない",IF(SUMPRODUCT(--ISNUMBER(--T95:Z95))&lt;7,"△採点が足りない",IF(SUMPRODUCT((--T95:Z95&gt;2)+(--T95:Z95&lt;0))&gt;0,"△採点が範囲外","OK"))))))))))))</f>
        <v/>
      </c>
      <c r="AC95">
        <f>IF(AB95&lt;&gt;"OK","",TRIM(IF(AND(AU95&lt;&gt;"",N(AU95)&lt;=1),"根拠1件 ","")&amp;IF(AV95&lt;&gt;"","同名あり ","")&amp;IF(AND(NOT(ISNUMBER(N95)),N95&lt;&gt;""),"回数を換算 ","")&amp;IF(J95="","詳細なし ","")&amp;IF(AND(N(AP95)=1,BB95=""),"顧客名なし ","")))</f>
        <v/>
      </c>
      <c r="AD95" s="31" t="n"/>
      <c r="AE95" s="32" t="n"/>
      <c r="AF95" s="32" t="n"/>
      <c r="AG95" s="31" t="n"/>
      <c r="AH95">
        <f>IF(AB95&lt;&gt;"OK","",IF(AG95&lt;&gt;"",AG95,AJ95))</f>
        <v/>
      </c>
      <c r="AI95" s="33">
        <f>IF(AB95&lt;&gt;"OK","",IFERROR(IF(AE95&lt;&gt;"",AE95,AS95)*IF(AF95&lt;&gt;"",AF95,AT95)/60,""))</f>
        <v/>
      </c>
      <c r="AJ95">
        <f>IF(AB95&lt;&gt;"OK","",IF(OR(VALUE(T95)=2,VALUE(U95)=2,VALUE(V95)=2),"社内残置",IF(AND(VALUE(T95)=0,VALUE(W95)=0,VALUE(Y95)=0),"自動化候補",IF(AND(VALUE(U95)=0,VALUE(W95)&lt;=1,VALUE(X95)&lt;=1,VALUE(Y95)&lt;=1,VALUE(Z95)&lt;=1),"オフショア候補",IF(AND(VALUE(Y95)&lt;=1,VALUE(Z95)&lt;=1),"ニアショア候補","社内で手順化→再評価")))))</f>
        <v/>
      </c>
      <c r="AK95">
        <f>IF(AB95&lt;&gt;"OK","",14-SUMPRODUCT(--T95:Z95))</f>
        <v/>
      </c>
      <c r="AL95" s="33">
        <f>IF(AB95&lt;&gt;"OK","",AS95*AT95/60)</f>
        <v/>
      </c>
      <c r="AM95" s="34">
        <f>IF(A95="","",UPPER(TRIM(ASC(A95&amp;""))))</f>
        <v/>
      </c>
      <c r="AN95" s="34">
        <f>IF(AM95="","",AM95&amp;"-"&amp;B95)</f>
        <v/>
      </c>
      <c r="AO95" s="34">
        <f>IF(C95="","",IFERROR(VALUE(ASC(SUBSTITUTE(C95&amp;"","観点",""))),""))</f>
        <v/>
      </c>
      <c r="AP95" s="34">
        <f>IF(D95="","",IFERROR(VALUE(LEFT(TRIM(ASC(D95&amp;"")),1)),IFERROR(MATCH(TRIM(D95&amp;""),'M2_区分マスタ'!$I$5:$I$10,0),"")))</f>
        <v/>
      </c>
      <c r="AQ95" s="34">
        <f>IF(H95="","",UPPER(LEFT(TRIM(ASC(H95&amp;"")),3)))</f>
        <v/>
      </c>
      <c r="AR95" s="34">
        <f>IF(N95="","",IFERROR(VALUE(SUBSTITUTE(SUBSTITUTE(SUBSTITUTE(SUBSTITUTE(SUBSTITUTE(SUBSTITUTE(SUBSTITUTE(SUBSTITUTE(SUBSTITUTE(SUBSTITUTE(SUBSTITUTE(SUBSTITUTE(ASC(N95&amp;""),"約",""),"程度",""),"ほど",""),"回",""),"毎",""),"週",""),"月",""),"年",""),"日",""),"に",""),"/","")," ","")),""))</f>
        <v/>
      </c>
      <c r="AS95" s="34">
        <f>IF(N95="","",IF(ISNUMBER(N95),N95,IFERROR(VALUE(ASC(N95&amp;"")),IF(AR95&lt;&gt;"",AR95*IF(ISNUMBER(SEARCH("週",N95)),4.3,IF(ISNUMBER(SEARCH("年",N95)),1/12,IF(ISNUMBER(SEARCH("日",N95)),20,1))),IF(ISNUMBER(SEARCH("日",N95)),20,IF(ISNUMBER(SEARCH("週",N95)),4.3,IF(ISNUMBER(SEARCH("月",N95)),1,"")))))))</f>
        <v/>
      </c>
      <c r="AT95" s="34">
        <f>IF(O95="","",IF(ISNUMBER(O95),O95,IFERROR(VALUE(ASC(O95&amp;"")),IF(ISNUMBER(SEARCH("時間",O95)),IFERROR(VALUE(SUBSTITUTE(SUBSTITUTE(SUBSTITUTE(SUBSTITUTE(SUBSTITUTE(ASC(O95&amp;""),"約",""),"程度",""),"ほど",""),"時間","")," ",""))*60,""),IFERROR(VALUE(SUBSTITUTE(SUBSTITUTE(SUBSTITUTE(SUBSTITUTE(SUBSTITUTE(ASC(O95&amp;""),"約",""),"程度",""),"ほど",""),"分","")," ","")),"")))))</f>
        <v/>
      </c>
      <c r="AU95" s="34">
        <f>IF(P95="","",IF(ISNUMBER(P95),P95,IFERROR(VALUE(SUBSTITUTE(SUBSTITUTE(SUBSTITUTE(ASC(P95&amp;""),"約",""),"件","")," ","")),"")))</f>
        <v/>
      </c>
      <c r="AV95" s="34">
        <f>IF(AB95&lt;&gt;"OK","",IF(COUNTIFS($G$5:$G$404,G95&amp;"",$F$5:$F$404,F95&amp;"",$BE$5:$BE$404,BE95&amp;"",$AB$5:$AB$404,"OK")&gt;1,"同名あり",""))</f>
        <v/>
      </c>
      <c r="AW95" s="35">
        <f>IF(Q95="","",IF(ISNUMBER(Q95),Q95,IFERROR(DATEVALUE(SUBSTITUTE(SUBSTITUTE(ASC(Q95&amp;""),"-","/"),".","/")&amp;"/01"),"")))</f>
        <v/>
      </c>
      <c r="AX95" s="35">
        <f>IF(R95="","",IF(ISNUMBER(R95),R95,IFERROR(DATEVALUE(SUBSTITUTE(SUBSTITUTE(ASC(R95&amp;""),"-","/"),".","/")&amp;"/01"),"")))</f>
        <v/>
      </c>
      <c r="AY95" s="34">
        <f>IF(OR(AB95&lt;&gt;"OK",AW95=""),"",IF(AW95&gt;='01_設定'!$C$26,1,0))</f>
        <v/>
      </c>
      <c r="AZ95" s="34">
        <f>IF(AND(AB95="OK",AD95&lt;&gt;"除外"),COUNTIFS($AB$5:AB95,"OK",$AD$5:AD95,"&lt;&gt;除外"),"")</f>
        <v/>
      </c>
      <c r="BA95" s="34">
        <f>IF(OR(AZ95="",AI95=""),"",AI95+ROW()/1000000000)</f>
        <v/>
      </c>
      <c r="BB95" s="34">
        <f>IF(E95="","",IF(OR(TRIM(E95&amp;"")="-",TRIM(E95&amp;"")="－",TRIM(E95&amp;"")="ー"),"",TRIM(E95&amp;"")))</f>
        <v/>
      </c>
      <c r="BC95" s="34">
        <f>IF(AND(AB95="OK",BB95&lt;&gt;""),IF(COUNTIFS($BB$5:BB95,BB95,$AB$5:AB95,"OK")=1,1,""),"")</f>
        <v/>
      </c>
      <c r="BD95" s="34">
        <f>IF(BC95=1,COUNTIF($BC$5:BC95,1),"")</f>
        <v/>
      </c>
      <c r="BE95" s="34">
        <f>IF(BB95="","",IFERROR(INDEX('06_顧客別集計'!$G$5:$G$104,MATCH(BB95,'06_顧客別集計'!$C$5:$C$104,0)),BB95))</f>
        <v/>
      </c>
      <c r="BF95" s="34">
        <f>IF(AND(AZ95&lt;&gt;"",BE95&lt;&gt;""),IF(COUNTIFS($BE$5:BE95,BE95,$AZ$5:AZ95,"&gt;0")=1,1,""),"")</f>
        <v/>
      </c>
      <c r="BG95" s="34">
        <f>IF(BF95=1,COUNTIF($BF$5:BF95,1),"")</f>
        <v/>
      </c>
    </row>
    <row r="96">
      <c r="AB96">
        <f>IF(AND(A96="",G96=""),"",IF(ISNUMBER(SEARCH("##END",AM96)),"（終わりの印）",IF(ISNUMBER(SEARCH("##続き",AM96)),"（続きありの印）",IF(AM96="調査ID","（見出し行）",IF(AND(AM96&lt;&gt;"R1",AM96&lt;&gt;"R2"),"×表以外の行（集計されない）",IF(COUNTIF($AN$5:AN96,AN96)&gt;1,"△重複（集計されない）",IF(G96="","△タスク名なし",IF(ISNA(MATCH(AQ96,'M1_類型マスタ'!$A$5:$A$19,0)),"△類型が不正",IF(OR(AP96="",N(AP96)&lt;1,N(AP96)&gt;6),"△業務区分が不正",IF(OR(AS96="",AT96=""),"△回数・分が読めない",IF(SUMPRODUCT(--ISNUMBER(--T96:Z96))&lt;7,"△採点が足りない",IF(SUMPRODUCT((--T96:Z96&gt;2)+(--T96:Z96&lt;0))&gt;0,"△採点が範囲外","OK"))))))))))))</f>
        <v/>
      </c>
      <c r="AC96">
        <f>IF(AB96&lt;&gt;"OK","",TRIM(IF(AND(AU96&lt;&gt;"",N(AU96)&lt;=1),"根拠1件 ","")&amp;IF(AV96&lt;&gt;"","同名あり ","")&amp;IF(AND(NOT(ISNUMBER(N96)),N96&lt;&gt;""),"回数を換算 ","")&amp;IF(J96="","詳細なし ","")&amp;IF(AND(N(AP96)=1,BB96=""),"顧客名なし ","")))</f>
        <v/>
      </c>
      <c r="AD96" s="31" t="n"/>
      <c r="AE96" s="32" t="n"/>
      <c r="AF96" s="32" t="n"/>
      <c r="AG96" s="31" t="n"/>
      <c r="AH96">
        <f>IF(AB96&lt;&gt;"OK","",IF(AG96&lt;&gt;"",AG96,AJ96))</f>
        <v/>
      </c>
      <c r="AI96" s="33">
        <f>IF(AB96&lt;&gt;"OK","",IFERROR(IF(AE96&lt;&gt;"",AE96,AS96)*IF(AF96&lt;&gt;"",AF96,AT96)/60,""))</f>
        <v/>
      </c>
      <c r="AJ96">
        <f>IF(AB96&lt;&gt;"OK","",IF(OR(VALUE(T96)=2,VALUE(U96)=2,VALUE(V96)=2),"社内残置",IF(AND(VALUE(T96)=0,VALUE(W96)=0,VALUE(Y96)=0),"自動化候補",IF(AND(VALUE(U96)=0,VALUE(W96)&lt;=1,VALUE(X96)&lt;=1,VALUE(Y96)&lt;=1,VALUE(Z96)&lt;=1),"オフショア候補",IF(AND(VALUE(Y96)&lt;=1,VALUE(Z96)&lt;=1),"ニアショア候補","社内で手順化→再評価")))))</f>
        <v/>
      </c>
      <c r="AK96">
        <f>IF(AB96&lt;&gt;"OK","",14-SUMPRODUCT(--T96:Z96))</f>
        <v/>
      </c>
      <c r="AL96" s="33">
        <f>IF(AB96&lt;&gt;"OK","",AS96*AT96/60)</f>
        <v/>
      </c>
      <c r="AM96" s="34">
        <f>IF(A96="","",UPPER(TRIM(ASC(A96&amp;""))))</f>
        <v/>
      </c>
      <c r="AN96" s="34">
        <f>IF(AM96="","",AM96&amp;"-"&amp;B96)</f>
        <v/>
      </c>
      <c r="AO96" s="34">
        <f>IF(C96="","",IFERROR(VALUE(ASC(SUBSTITUTE(C96&amp;"","観点",""))),""))</f>
        <v/>
      </c>
      <c r="AP96" s="34">
        <f>IF(D96="","",IFERROR(VALUE(LEFT(TRIM(ASC(D96&amp;"")),1)),IFERROR(MATCH(TRIM(D96&amp;""),'M2_区分マスタ'!$I$5:$I$10,0),"")))</f>
        <v/>
      </c>
      <c r="AQ96" s="34">
        <f>IF(H96="","",UPPER(LEFT(TRIM(ASC(H96&amp;"")),3)))</f>
        <v/>
      </c>
      <c r="AR96" s="34">
        <f>IF(N96="","",IFERROR(VALUE(SUBSTITUTE(SUBSTITUTE(SUBSTITUTE(SUBSTITUTE(SUBSTITUTE(SUBSTITUTE(SUBSTITUTE(SUBSTITUTE(SUBSTITUTE(SUBSTITUTE(SUBSTITUTE(SUBSTITUTE(ASC(N96&amp;""),"約",""),"程度",""),"ほど",""),"回",""),"毎",""),"週",""),"月",""),"年",""),"日",""),"に",""),"/","")," ","")),""))</f>
        <v/>
      </c>
      <c r="AS96" s="34">
        <f>IF(N96="","",IF(ISNUMBER(N96),N96,IFERROR(VALUE(ASC(N96&amp;"")),IF(AR96&lt;&gt;"",AR96*IF(ISNUMBER(SEARCH("週",N96)),4.3,IF(ISNUMBER(SEARCH("年",N96)),1/12,IF(ISNUMBER(SEARCH("日",N96)),20,1))),IF(ISNUMBER(SEARCH("日",N96)),20,IF(ISNUMBER(SEARCH("週",N96)),4.3,IF(ISNUMBER(SEARCH("月",N96)),1,"")))))))</f>
        <v/>
      </c>
      <c r="AT96" s="34">
        <f>IF(O96="","",IF(ISNUMBER(O96),O96,IFERROR(VALUE(ASC(O96&amp;"")),IF(ISNUMBER(SEARCH("時間",O96)),IFERROR(VALUE(SUBSTITUTE(SUBSTITUTE(SUBSTITUTE(SUBSTITUTE(SUBSTITUTE(ASC(O96&amp;""),"約",""),"程度",""),"ほど",""),"時間","")," ",""))*60,""),IFERROR(VALUE(SUBSTITUTE(SUBSTITUTE(SUBSTITUTE(SUBSTITUTE(SUBSTITUTE(ASC(O96&amp;""),"約",""),"程度",""),"ほど",""),"分","")," ","")),"")))))</f>
        <v/>
      </c>
      <c r="AU96" s="34">
        <f>IF(P96="","",IF(ISNUMBER(P96),P96,IFERROR(VALUE(SUBSTITUTE(SUBSTITUTE(SUBSTITUTE(ASC(P96&amp;""),"約",""),"件","")," ","")),"")))</f>
        <v/>
      </c>
      <c r="AV96" s="34">
        <f>IF(AB96&lt;&gt;"OK","",IF(COUNTIFS($G$5:$G$404,G96&amp;"",$F$5:$F$404,F96&amp;"",$BE$5:$BE$404,BE96&amp;"",$AB$5:$AB$404,"OK")&gt;1,"同名あり",""))</f>
        <v/>
      </c>
      <c r="AW96" s="35">
        <f>IF(Q96="","",IF(ISNUMBER(Q96),Q96,IFERROR(DATEVALUE(SUBSTITUTE(SUBSTITUTE(ASC(Q96&amp;""),"-","/"),".","/")&amp;"/01"),"")))</f>
        <v/>
      </c>
      <c r="AX96" s="35">
        <f>IF(R96="","",IF(ISNUMBER(R96),R96,IFERROR(DATEVALUE(SUBSTITUTE(SUBSTITUTE(ASC(R96&amp;""),"-","/"),".","/")&amp;"/01"),"")))</f>
        <v/>
      </c>
      <c r="AY96" s="34">
        <f>IF(OR(AB96&lt;&gt;"OK",AW96=""),"",IF(AW96&gt;='01_設定'!$C$26,1,0))</f>
        <v/>
      </c>
      <c r="AZ96" s="34">
        <f>IF(AND(AB96="OK",AD96&lt;&gt;"除外"),COUNTIFS($AB$5:AB96,"OK",$AD$5:AD96,"&lt;&gt;除外"),"")</f>
        <v/>
      </c>
      <c r="BA96" s="34">
        <f>IF(OR(AZ96="",AI96=""),"",AI96+ROW()/1000000000)</f>
        <v/>
      </c>
      <c r="BB96" s="34">
        <f>IF(E96="","",IF(OR(TRIM(E96&amp;"")="-",TRIM(E96&amp;"")="－",TRIM(E96&amp;"")="ー"),"",TRIM(E96&amp;"")))</f>
        <v/>
      </c>
      <c r="BC96" s="34">
        <f>IF(AND(AB96="OK",BB96&lt;&gt;""),IF(COUNTIFS($BB$5:BB96,BB96,$AB$5:AB96,"OK")=1,1,""),"")</f>
        <v/>
      </c>
      <c r="BD96" s="34">
        <f>IF(BC96=1,COUNTIF($BC$5:BC96,1),"")</f>
        <v/>
      </c>
      <c r="BE96" s="34">
        <f>IF(BB96="","",IFERROR(INDEX('06_顧客別集計'!$G$5:$G$104,MATCH(BB96,'06_顧客別集計'!$C$5:$C$104,0)),BB96))</f>
        <v/>
      </c>
      <c r="BF96" s="34">
        <f>IF(AND(AZ96&lt;&gt;"",BE96&lt;&gt;""),IF(COUNTIFS($BE$5:BE96,BE96,$AZ$5:AZ96,"&gt;0")=1,1,""),"")</f>
        <v/>
      </c>
      <c r="BG96" s="34">
        <f>IF(BF96=1,COUNTIF($BF$5:BF96,1),"")</f>
        <v/>
      </c>
    </row>
    <row r="97">
      <c r="AB97">
        <f>IF(AND(A97="",G97=""),"",IF(ISNUMBER(SEARCH("##END",AM97)),"（終わりの印）",IF(ISNUMBER(SEARCH("##続き",AM97)),"（続きありの印）",IF(AM97="調査ID","（見出し行）",IF(AND(AM97&lt;&gt;"R1",AM97&lt;&gt;"R2"),"×表以外の行（集計されない）",IF(COUNTIF($AN$5:AN97,AN97)&gt;1,"△重複（集計されない）",IF(G97="","△タスク名なし",IF(ISNA(MATCH(AQ97,'M1_類型マスタ'!$A$5:$A$19,0)),"△類型が不正",IF(OR(AP97="",N(AP97)&lt;1,N(AP97)&gt;6),"△業務区分が不正",IF(OR(AS97="",AT97=""),"△回数・分が読めない",IF(SUMPRODUCT(--ISNUMBER(--T97:Z97))&lt;7,"△採点が足りない",IF(SUMPRODUCT((--T97:Z97&gt;2)+(--T97:Z97&lt;0))&gt;0,"△採点が範囲外","OK"))))))))))))</f>
        <v/>
      </c>
      <c r="AC97">
        <f>IF(AB97&lt;&gt;"OK","",TRIM(IF(AND(AU97&lt;&gt;"",N(AU97)&lt;=1),"根拠1件 ","")&amp;IF(AV97&lt;&gt;"","同名あり ","")&amp;IF(AND(NOT(ISNUMBER(N97)),N97&lt;&gt;""),"回数を換算 ","")&amp;IF(J97="","詳細なし ","")&amp;IF(AND(N(AP97)=1,BB97=""),"顧客名なし ","")))</f>
        <v/>
      </c>
      <c r="AD97" s="31" t="n"/>
      <c r="AE97" s="32" t="n"/>
      <c r="AF97" s="32" t="n"/>
      <c r="AG97" s="31" t="n"/>
      <c r="AH97">
        <f>IF(AB97&lt;&gt;"OK","",IF(AG97&lt;&gt;"",AG97,AJ97))</f>
        <v/>
      </c>
      <c r="AI97" s="33">
        <f>IF(AB97&lt;&gt;"OK","",IFERROR(IF(AE97&lt;&gt;"",AE97,AS97)*IF(AF97&lt;&gt;"",AF97,AT97)/60,""))</f>
        <v/>
      </c>
      <c r="AJ97">
        <f>IF(AB97&lt;&gt;"OK","",IF(OR(VALUE(T97)=2,VALUE(U97)=2,VALUE(V97)=2),"社内残置",IF(AND(VALUE(T97)=0,VALUE(W97)=0,VALUE(Y97)=0),"自動化候補",IF(AND(VALUE(U97)=0,VALUE(W97)&lt;=1,VALUE(X97)&lt;=1,VALUE(Y97)&lt;=1,VALUE(Z97)&lt;=1),"オフショア候補",IF(AND(VALUE(Y97)&lt;=1,VALUE(Z97)&lt;=1),"ニアショア候補","社内で手順化→再評価")))))</f>
        <v/>
      </c>
      <c r="AK97">
        <f>IF(AB97&lt;&gt;"OK","",14-SUMPRODUCT(--T97:Z97))</f>
        <v/>
      </c>
      <c r="AL97" s="33">
        <f>IF(AB97&lt;&gt;"OK","",AS97*AT97/60)</f>
        <v/>
      </c>
      <c r="AM97" s="34">
        <f>IF(A97="","",UPPER(TRIM(ASC(A97&amp;""))))</f>
        <v/>
      </c>
      <c r="AN97" s="34">
        <f>IF(AM97="","",AM97&amp;"-"&amp;B97)</f>
        <v/>
      </c>
      <c r="AO97" s="34">
        <f>IF(C97="","",IFERROR(VALUE(ASC(SUBSTITUTE(C97&amp;"","観点",""))),""))</f>
        <v/>
      </c>
      <c r="AP97" s="34">
        <f>IF(D97="","",IFERROR(VALUE(LEFT(TRIM(ASC(D97&amp;"")),1)),IFERROR(MATCH(TRIM(D97&amp;""),'M2_区分マスタ'!$I$5:$I$10,0),"")))</f>
        <v/>
      </c>
      <c r="AQ97" s="34">
        <f>IF(H97="","",UPPER(LEFT(TRIM(ASC(H97&amp;"")),3)))</f>
        <v/>
      </c>
      <c r="AR97" s="34">
        <f>IF(N97="","",IFERROR(VALUE(SUBSTITUTE(SUBSTITUTE(SUBSTITUTE(SUBSTITUTE(SUBSTITUTE(SUBSTITUTE(SUBSTITUTE(SUBSTITUTE(SUBSTITUTE(SUBSTITUTE(SUBSTITUTE(SUBSTITUTE(ASC(N97&amp;""),"約",""),"程度",""),"ほど",""),"回",""),"毎",""),"週",""),"月",""),"年",""),"日",""),"に",""),"/","")," ","")),""))</f>
        <v/>
      </c>
      <c r="AS97" s="34">
        <f>IF(N97="","",IF(ISNUMBER(N97),N97,IFERROR(VALUE(ASC(N97&amp;"")),IF(AR97&lt;&gt;"",AR97*IF(ISNUMBER(SEARCH("週",N97)),4.3,IF(ISNUMBER(SEARCH("年",N97)),1/12,IF(ISNUMBER(SEARCH("日",N97)),20,1))),IF(ISNUMBER(SEARCH("日",N97)),20,IF(ISNUMBER(SEARCH("週",N97)),4.3,IF(ISNUMBER(SEARCH("月",N97)),1,"")))))))</f>
        <v/>
      </c>
      <c r="AT97" s="34">
        <f>IF(O97="","",IF(ISNUMBER(O97),O97,IFERROR(VALUE(ASC(O97&amp;"")),IF(ISNUMBER(SEARCH("時間",O97)),IFERROR(VALUE(SUBSTITUTE(SUBSTITUTE(SUBSTITUTE(SUBSTITUTE(SUBSTITUTE(ASC(O97&amp;""),"約",""),"程度",""),"ほど",""),"時間","")," ",""))*60,""),IFERROR(VALUE(SUBSTITUTE(SUBSTITUTE(SUBSTITUTE(SUBSTITUTE(SUBSTITUTE(ASC(O97&amp;""),"約",""),"程度",""),"ほど",""),"分","")," ","")),"")))))</f>
        <v/>
      </c>
      <c r="AU97" s="34">
        <f>IF(P97="","",IF(ISNUMBER(P97),P97,IFERROR(VALUE(SUBSTITUTE(SUBSTITUTE(SUBSTITUTE(ASC(P97&amp;""),"約",""),"件","")," ","")),"")))</f>
        <v/>
      </c>
      <c r="AV97" s="34">
        <f>IF(AB97&lt;&gt;"OK","",IF(COUNTIFS($G$5:$G$404,G97&amp;"",$F$5:$F$404,F97&amp;"",$BE$5:$BE$404,BE97&amp;"",$AB$5:$AB$404,"OK")&gt;1,"同名あり",""))</f>
        <v/>
      </c>
      <c r="AW97" s="35">
        <f>IF(Q97="","",IF(ISNUMBER(Q97),Q97,IFERROR(DATEVALUE(SUBSTITUTE(SUBSTITUTE(ASC(Q97&amp;""),"-","/"),".","/")&amp;"/01"),"")))</f>
        <v/>
      </c>
      <c r="AX97" s="35">
        <f>IF(R97="","",IF(ISNUMBER(R97),R97,IFERROR(DATEVALUE(SUBSTITUTE(SUBSTITUTE(ASC(R97&amp;""),"-","/"),".","/")&amp;"/01"),"")))</f>
        <v/>
      </c>
      <c r="AY97" s="34">
        <f>IF(OR(AB97&lt;&gt;"OK",AW97=""),"",IF(AW97&gt;='01_設定'!$C$26,1,0))</f>
        <v/>
      </c>
      <c r="AZ97" s="34">
        <f>IF(AND(AB97="OK",AD97&lt;&gt;"除外"),COUNTIFS($AB$5:AB97,"OK",$AD$5:AD97,"&lt;&gt;除外"),"")</f>
        <v/>
      </c>
      <c r="BA97" s="34">
        <f>IF(OR(AZ97="",AI97=""),"",AI97+ROW()/1000000000)</f>
        <v/>
      </c>
      <c r="BB97" s="34">
        <f>IF(E97="","",IF(OR(TRIM(E97&amp;"")="-",TRIM(E97&amp;"")="－",TRIM(E97&amp;"")="ー"),"",TRIM(E97&amp;"")))</f>
        <v/>
      </c>
      <c r="BC97" s="34">
        <f>IF(AND(AB97="OK",BB97&lt;&gt;""),IF(COUNTIFS($BB$5:BB97,BB97,$AB$5:AB97,"OK")=1,1,""),"")</f>
        <v/>
      </c>
      <c r="BD97" s="34">
        <f>IF(BC97=1,COUNTIF($BC$5:BC97,1),"")</f>
        <v/>
      </c>
      <c r="BE97" s="34">
        <f>IF(BB97="","",IFERROR(INDEX('06_顧客別集計'!$G$5:$G$104,MATCH(BB97,'06_顧客別集計'!$C$5:$C$104,0)),BB97))</f>
        <v/>
      </c>
      <c r="BF97" s="34">
        <f>IF(AND(AZ97&lt;&gt;"",BE97&lt;&gt;""),IF(COUNTIFS($BE$5:BE97,BE97,$AZ$5:AZ97,"&gt;0")=1,1,""),"")</f>
        <v/>
      </c>
      <c r="BG97" s="34">
        <f>IF(BF97=1,COUNTIF($BF$5:BF97,1),"")</f>
        <v/>
      </c>
    </row>
    <row r="98">
      <c r="AB98">
        <f>IF(AND(A98="",G98=""),"",IF(ISNUMBER(SEARCH("##END",AM98)),"（終わりの印）",IF(ISNUMBER(SEARCH("##続き",AM98)),"（続きありの印）",IF(AM98="調査ID","（見出し行）",IF(AND(AM98&lt;&gt;"R1",AM98&lt;&gt;"R2"),"×表以外の行（集計されない）",IF(COUNTIF($AN$5:AN98,AN98)&gt;1,"△重複（集計されない）",IF(G98="","△タスク名なし",IF(ISNA(MATCH(AQ98,'M1_類型マスタ'!$A$5:$A$19,0)),"△類型が不正",IF(OR(AP98="",N(AP98)&lt;1,N(AP98)&gt;6),"△業務区分が不正",IF(OR(AS98="",AT98=""),"△回数・分が読めない",IF(SUMPRODUCT(--ISNUMBER(--T98:Z98))&lt;7,"△採点が足りない",IF(SUMPRODUCT((--T98:Z98&gt;2)+(--T98:Z98&lt;0))&gt;0,"△採点が範囲外","OK"))))))))))))</f>
        <v/>
      </c>
      <c r="AC98">
        <f>IF(AB98&lt;&gt;"OK","",TRIM(IF(AND(AU98&lt;&gt;"",N(AU98)&lt;=1),"根拠1件 ","")&amp;IF(AV98&lt;&gt;"","同名あり ","")&amp;IF(AND(NOT(ISNUMBER(N98)),N98&lt;&gt;""),"回数を換算 ","")&amp;IF(J98="","詳細なし ","")&amp;IF(AND(N(AP98)=1,BB98=""),"顧客名なし ","")))</f>
        <v/>
      </c>
      <c r="AD98" s="31" t="n"/>
      <c r="AE98" s="32" t="n"/>
      <c r="AF98" s="32" t="n"/>
      <c r="AG98" s="31" t="n"/>
      <c r="AH98">
        <f>IF(AB98&lt;&gt;"OK","",IF(AG98&lt;&gt;"",AG98,AJ98))</f>
        <v/>
      </c>
      <c r="AI98" s="33">
        <f>IF(AB98&lt;&gt;"OK","",IFERROR(IF(AE98&lt;&gt;"",AE98,AS98)*IF(AF98&lt;&gt;"",AF98,AT98)/60,""))</f>
        <v/>
      </c>
      <c r="AJ98">
        <f>IF(AB98&lt;&gt;"OK","",IF(OR(VALUE(T98)=2,VALUE(U98)=2,VALUE(V98)=2),"社内残置",IF(AND(VALUE(T98)=0,VALUE(W98)=0,VALUE(Y98)=0),"自動化候補",IF(AND(VALUE(U98)=0,VALUE(W98)&lt;=1,VALUE(X98)&lt;=1,VALUE(Y98)&lt;=1,VALUE(Z98)&lt;=1),"オフショア候補",IF(AND(VALUE(Y98)&lt;=1,VALUE(Z98)&lt;=1),"ニアショア候補","社内で手順化→再評価")))))</f>
        <v/>
      </c>
      <c r="AK98">
        <f>IF(AB98&lt;&gt;"OK","",14-SUMPRODUCT(--T98:Z98))</f>
        <v/>
      </c>
      <c r="AL98" s="33">
        <f>IF(AB98&lt;&gt;"OK","",AS98*AT98/60)</f>
        <v/>
      </c>
      <c r="AM98" s="34">
        <f>IF(A98="","",UPPER(TRIM(ASC(A98&amp;""))))</f>
        <v/>
      </c>
      <c r="AN98" s="34">
        <f>IF(AM98="","",AM98&amp;"-"&amp;B98)</f>
        <v/>
      </c>
      <c r="AO98" s="34">
        <f>IF(C98="","",IFERROR(VALUE(ASC(SUBSTITUTE(C98&amp;"","観点",""))),""))</f>
        <v/>
      </c>
      <c r="AP98" s="34">
        <f>IF(D98="","",IFERROR(VALUE(LEFT(TRIM(ASC(D98&amp;"")),1)),IFERROR(MATCH(TRIM(D98&amp;""),'M2_区分マスタ'!$I$5:$I$10,0),"")))</f>
        <v/>
      </c>
      <c r="AQ98" s="34">
        <f>IF(H98="","",UPPER(LEFT(TRIM(ASC(H98&amp;"")),3)))</f>
        <v/>
      </c>
      <c r="AR98" s="34">
        <f>IF(N98="","",IFERROR(VALUE(SUBSTITUTE(SUBSTITUTE(SUBSTITUTE(SUBSTITUTE(SUBSTITUTE(SUBSTITUTE(SUBSTITUTE(SUBSTITUTE(SUBSTITUTE(SUBSTITUTE(SUBSTITUTE(SUBSTITUTE(ASC(N98&amp;""),"約",""),"程度",""),"ほど",""),"回",""),"毎",""),"週",""),"月",""),"年",""),"日",""),"に",""),"/","")," ","")),""))</f>
        <v/>
      </c>
      <c r="AS98" s="34">
        <f>IF(N98="","",IF(ISNUMBER(N98),N98,IFERROR(VALUE(ASC(N98&amp;"")),IF(AR98&lt;&gt;"",AR98*IF(ISNUMBER(SEARCH("週",N98)),4.3,IF(ISNUMBER(SEARCH("年",N98)),1/12,IF(ISNUMBER(SEARCH("日",N98)),20,1))),IF(ISNUMBER(SEARCH("日",N98)),20,IF(ISNUMBER(SEARCH("週",N98)),4.3,IF(ISNUMBER(SEARCH("月",N98)),1,"")))))))</f>
        <v/>
      </c>
      <c r="AT98" s="34">
        <f>IF(O98="","",IF(ISNUMBER(O98),O98,IFERROR(VALUE(ASC(O98&amp;"")),IF(ISNUMBER(SEARCH("時間",O98)),IFERROR(VALUE(SUBSTITUTE(SUBSTITUTE(SUBSTITUTE(SUBSTITUTE(SUBSTITUTE(ASC(O98&amp;""),"約",""),"程度",""),"ほど",""),"時間","")," ",""))*60,""),IFERROR(VALUE(SUBSTITUTE(SUBSTITUTE(SUBSTITUTE(SUBSTITUTE(SUBSTITUTE(ASC(O98&amp;""),"約",""),"程度",""),"ほど",""),"分","")," ","")),"")))))</f>
        <v/>
      </c>
      <c r="AU98" s="34">
        <f>IF(P98="","",IF(ISNUMBER(P98),P98,IFERROR(VALUE(SUBSTITUTE(SUBSTITUTE(SUBSTITUTE(ASC(P98&amp;""),"約",""),"件","")," ","")),"")))</f>
        <v/>
      </c>
      <c r="AV98" s="34">
        <f>IF(AB98&lt;&gt;"OK","",IF(COUNTIFS($G$5:$G$404,G98&amp;"",$F$5:$F$404,F98&amp;"",$BE$5:$BE$404,BE98&amp;"",$AB$5:$AB$404,"OK")&gt;1,"同名あり",""))</f>
        <v/>
      </c>
      <c r="AW98" s="35">
        <f>IF(Q98="","",IF(ISNUMBER(Q98),Q98,IFERROR(DATEVALUE(SUBSTITUTE(SUBSTITUTE(ASC(Q98&amp;""),"-","/"),".","/")&amp;"/01"),"")))</f>
        <v/>
      </c>
      <c r="AX98" s="35">
        <f>IF(R98="","",IF(ISNUMBER(R98),R98,IFERROR(DATEVALUE(SUBSTITUTE(SUBSTITUTE(ASC(R98&amp;""),"-","/"),".","/")&amp;"/01"),"")))</f>
        <v/>
      </c>
      <c r="AY98" s="34">
        <f>IF(OR(AB98&lt;&gt;"OK",AW98=""),"",IF(AW98&gt;='01_設定'!$C$26,1,0))</f>
        <v/>
      </c>
      <c r="AZ98" s="34">
        <f>IF(AND(AB98="OK",AD98&lt;&gt;"除外"),COUNTIFS($AB$5:AB98,"OK",$AD$5:AD98,"&lt;&gt;除外"),"")</f>
        <v/>
      </c>
      <c r="BA98" s="34">
        <f>IF(OR(AZ98="",AI98=""),"",AI98+ROW()/1000000000)</f>
        <v/>
      </c>
      <c r="BB98" s="34">
        <f>IF(E98="","",IF(OR(TRIM(E98&amp;"")="-",TRIM(E98&amp;"")="－",TRIM(E98&amp;"")="ー"),"",TRIM(E98&amp;"")))</f>
        <v/>
      </c>
      <c r="BC98" s="34">
        <f>IF(AND(AB98="OK",BB98&lt;&gt;""),IF(COUNTIFS($BB$5:BB98,BB98,$AB$5:AB98,"OK")=1,1,""),"")</f>
        <v/>
      </c>
      <c r="BD98" s="34">
        <f>IF(BC98=1,COUNTIF($BC$5:BC98,1),"")</f>
        <v/>
      </c>
      <c r="BE98" s="34">
        <f>IF(BB98="","",IFERROR(INDEX('06_顧客別集計'!$G$5:$G$104,MATCH(BB98,'06_顧客別集計'!$C$5:$C$104,0)),BB98))</f>
        <v/>
      </c>
      <c r="BF98" s="34">
        <f>IF(AND(AZ98&lt;&gt;"",BE98&lt;&gt;""),IF(COUNTIFS($BE$5:BE98,BE98,$AZ$5:AZ98,"&gt;0")=1,1,""),"")</f>
        <v/>
      </c>
      <c r="BG98" s="34">
        <f>IF(BF98=1,COUNTIF($BF$5:BF98,1),"")</f>
        <v/>
      </c>
    </row>
    <row r="99">
      <c r="AB99">
        <f>IF(AND(A99="",G99=""),"",IF(ISNUMBER(SEARCH("##END",AM99)),"（終わりの印）",IF(ISNUMBER(SEARCH("##続き",AM99)),"（続きありの印）",IF(AM99="調査ID","（見出し行）",IF(AND(AM99&lt;&gt;"R1",AM99&lt;&gt;"R2"),"×表以外の行（集計されない）",IF(COUNTIF($AN$5:AN99,AN99)&gt;1,"△重複（集計されない）",IF(G99="","△タスク名なし",IF(ISNA(MATCH(AQ99,'M1_類型マスタ'!$A$5:$A$19,0)),"△類型が不正",IF(OR(AP99="",N(AP99)&lt;1,N(AP99)&gt;6),"△業務区分が不正",IF(OR(AS99="",AT99=""),"△回数・分が読めない",IF(SUMPRODUCT(--ISNUMBER(--T99:Z99))&lt;7,"△採点が足りない",IF(SUMPRODUCT((--T99:Z99&gt;2)+(--T99:Z99&lt;0))&gt;0,"△採点が範囲外","OK"))))))))))))</f>
        <v/>
      </c>
      <c r="AC99">
        <f>IF(AB99&lt;&gt;"OK","",TRIM(IF(AND(AU99&lt;&gt;"",N(AU99)&lt;=1),"根拠1件 ","")&amp;IF(AV99&lt;&gt;"","同名あり ","")&amp;IF(AND(NOT(ISNUMBER(N99)),N99&lt;&gt;""),"回数を換算 ","")&amp;IF(J99="","詳細なし ","")&amp;IF(AND(N(AP99)=1,BB99=""),"顧客名なし ","")))</f>
        <v/>
      </c>
      <c r="AD99" s="31" t="n"/>
      <c r="AE99" s="32" t="n"/>
      <c r="AF99" s="32" t="n"/>
      <c r="AG99" s="31" t="n"/>
      <c r="AH99">
        <f>IF(AB99&lt;&gt;"OK","",IF(AG99&lt;&gt;"",AG99,AJ99))</f>
        <v/>
      </c>
      <c r="AI99" s="33">
        <f>IF(AB99&lt;&gt;"OK","",IFERROR(IF(AE99&lt;&gt;"",AE99,AS99)*IF(AF99&lt;&gt;"",AF99,AT99)/60,""))</f>
        <v/>
      </c>
      <c r="AJ99">
        <f>IF(AB99&lt;&gt;"OK","",IF(OR(VALUE(T99)=2,VALUE(U99)=2,VALUE(V99)=2),"社内残置",IF(AND(VALUE(T99)=0,VALUE(W99)=0,VALUE(Y99)=0),"自動化候補",IF(AND(VALUE(U99)=0,VALUE(W99)&lt;=1,VALUE(X99)&lt;=1,VALUE(Y99)&lt;=1,VALUE(Z99)&lt;=1),"オフショア候補",IF(AND(VALUE(Y99)&lt;=1,VALUE(Z99)&lt;=1),"ニアショア候補","社内で手順化→再評価")))))</f>
        <v/>
      </c>
      <c r="AK99">
        <f>IF(AB99&lt;&gt;"OK","",14-SUMPRODUCT(--T99:Z99))</f>
        <v/>
      </c>
      <c r="AL99" s="33">
        <f>IF(AB99&lt;&gt;"OK","",AS99*AT99/60)</f>
        <v/>
      </c>
      <c r="AM99" s="34">
        <f>IF(A99="","",UPPER(TRIM(ASC(A99&amp;""))))</f>
        <v/>
      </c>
      <c r="AN99" s="34">
        <f>IF(AM99="","",AM99&amp;"-"&amp;B99)</f>
        <v/>
      </c>
      <c r="AO99" s="34">
        <f>IF(C99="","",IFERROR(VALUE(ASC(SUBSTITUTE(C99&amp;"","観点",""))),""))</f>
        <v/>
      </c>
      <c r="AP99" s="34">
        <f>IF(D99="","",IFERROR(VALUE(LEFT(TRIM(ASC(D99&amp;"")),1)),IFERROR(MATCH(TRIM(D99&amp;""),'M2_区分マスタ'!$I$5:$I$10,0),"")))</f>
        <v/>
      </c>
      <c r="AQ99" s="34">
        <f>IF(H99="","",UPPER(LEFT(TRIM(ASC(H99&amp;"")),3)))</f>
        <v/>
      </c>
      <c r="AR99" s="34">
        <f>IF(N99="","",IFERROR(VALUE(SUBSTITUTE(SUBSTITUTE(SUBSTITUTE(SUBSTITUTE(SUBSTITUTE(SUBSTITUTE(SUBSTITUTE(SUBSTITUTE(SUBSTITUTE(SUBSTITUTE(SUBSTITUTE(SUBSTITUTE(ASC(N99&amp;""),"約",""),"程度",""),"ほど",""),"回",""),"毎",""),"週",""),"月",""),"年",""),"日",""),"に",""),"/","")," ","")),""))</f>
        <v/>
      </c>
      <c r="AS99" s="34">
        <f>IF(N99="","",IF(ISNUMBER(N99),N99,IFERROR(VALUE(ASC(N99&amp;"")),IF(AR99&lt;&gt;"",AR99*IF(ISNUMBER(SEARCH("週",N99)),4.3,IF(ISNUMBER(SEARCH("年",N99)),1/12,IF(ISNUMBER(SEARCH("日",N99)),20,1))),IF(ISNUMBER(SEARCH("日",N99)),20,IF(ISNUMBER(SEARCH("週",N99)),4.3,IF(ISNUMBER(SEARCH("月",N99)),1,"")))))))</f>
        <v/>
      </c>
      <c r="AT99" s="34">
        <f>IF(O99="","",IF(ISNUMBER(O99),O99,IFERROR(VALUE(ASC(O99&amp;"")),IF(ISNUMBER(SEARCH("時間",O99)),IFERROR(VALUE(SUBSTITUTE(SUBSTITUTE(SUBSTITUTE(SUBSTITUTE(SUBSTITUTE(ASC(O99&amp;""),"約",""),"程度",""),"ほど",""),"時間","")," ",""))*60,""),IFERROR(VALUE(SUBSTITUTE(SUBSTITUTE(SUBSTITUTE(SUBSTITUTE(SUBSTITUTE(ASC(O99&amp;""),"約",""),"程度",""),"ほど",""),"分","")," ","")),"")))))</f>
        <v/>
      </c>
      <c r="AU99" s="34">
        <f>IF(P99="","",IF(ISNUMBER(P99),P99,IFERROR(VALUE(SUBSTITUTE(SUBSTITUTE(SUBSTITUTE(ASC(P99&amp;""),"約",""),"件","")," ","")),"")))</f>
        <v/>
      </c>
      <c r="AV99" s="34">
        <f>IF(AB99&lt;&gt;"OK","",IF(COUNTIFS($G$5:$G$404,G99&amp;"",$F$5:$F$404,F99&amp;"",$BE$5:$BE$404,BE99&amp;"",$AB$5:$AB$404,"OK")&gt;1,"同名あり",""))</f>
        <v/>
      </c>
      <c r="AW99" s="35">
        <f>IF(Q99="","",IF(ISNUMBER(Q99),Q99,IFERROR(DATEVALUE(SUBSTITUTE(SUBSTITUTE(ASC(Q99&amp;""),"-","/"),".","/")&amp;"/01"),"")))</f>
        <v/>
      </c>
      <c r="AX99" s="35">
        <f>IF(R99="","",IF(ISNUMBER(R99),R99,IFERROR(DATEVALUE(SUBSTITUTE(SUBSTITUTE(ASC(R99&amp;""),"-","/"),".","/")&amp;"/01"),"")))</f>
        <v/>
      </c>
      <c r="AY99" s="34">
        <f>IF(OR(AB99&lt;&gt;"OK",AW99=""),"",IF(AW99&gt;='01_設定'!$C$26,1,0))</f>
        <v/>
      </c>
      <c r="AZ99" s="34">
        <f>IF(AND(AB99="OK",AD99&lt;&gt;"除外"),COUNTIFS($AB$5:AB99,"OK",$AD$5:AD99,"&lt;&gt;除外"),"")</f>
        <v/>
      </c>
      <c r="BA99" s="34">
        <f>IF(OR(AZ99="",AI99=""),"",AI99+ROW()/1000000000)</f>
        <v/>
      </c>
      <c r="BB99" s="34">
        <f>IF(E99="","",IF(OR(TRIM(E99&amp;"")="-",TRIM(E99&amp;"")="－",TRIM(E99&amp;"")="ー"),"",TRIM(E99&amp;"")))</f>
        <v/>
      </c>
      <c r="BC99" s="34">
        <f>IF(AND(AB99="OK",BB99&lt;&gt;""),IF(COUNTIFS($BB$5:BB99,BB99,$AB$5:AB99,"OK")=1,1,""),"")</f>
        <v/>
      </c>
      <c r="BD99" s="34">
        <f>IF(BC99=1,COUNTIF($BC$5:BC99,1),"")</f>
        <v/>
      </c>
      <c r="BE99" s="34">
        <f>IF(BB99="","",IFERROR(INDEX('06_顧客別集計'!$G$5:$G$104,MATCH(BB99,'06_顧客別集計'!$C$5:$C$104,0)),BB99))</f>
        <v/>
      </c>
      <c r="BF99" s="34">
        <f>IF(AND(AZ99&lt;&gt;"",BE99&lt;&gt;""),IF(COUNTIFS($BE$5:BE99,BE99,$AZ$5:AZ99,"&gt;0")=1,1,""),"")</f>
        <v/>
      </c>
      <c r="BG99" s="34">
        <f>IF(BF99=1,COUNTIF($BF$5:BF99,1),"")</f>
        <v/>
      </c>
    </row>
    <row r="100">
      <c r="AB100">
        <f>IF(AND(A100="",G100=""),"",IF(ISNUMBER(SEARCH("##END",AM100)),"（終わりの印）",IF(ISNUMBER(SEARCH("##続き",AM100)),"（続きありの印）",IF(AM100="調査ID","（見出し行）",IF(AND(AM100&lt;&gt;"R1",AM100&lt;&gt;"R2"),"×表以外の行（集計されない）",IF(COUNTIF($AN$5:AN100,AN100)&gt;1,"△重複（集計されない）",IF(G100="","△タスク名なし",IF(ISNA(MATCH(AQ100,'M1_類型マスタ'!$A$5:$A$19,0)),"△類型が不正",IF(OR(AP100="",N(AP100)&lt;1,N(AP100)&gt;6),"△業務区分が不正",IF(OR(AS100="",AT100=""),"△回数・分が読めない",IF(SUMPRODUCT(--ISNUMBER(--T100:Z100))&lt;7,"△採点が足りない",IF(SUMPRODUCT((--T100:Z100&gt;2)+(--T100:Z100&lt;0))&gt;0,"△採点が範囲外","OK"))))))))))))</f>
        <v/>
      </c>
      <c r="AC100">
        <f>IF(AB100&lt;&gt;"OK","",TRIM(IF(AND(AU100&lt;&gt;"",N(AU100)&lt;=1),"根拠1件 ","")&amp;IF(AV100&lt;&gt;"","同名あり ","")&amp;IF(AND(NOT(ISNUMBER(N100)),N100&lt;&gt;""),"回数を換算 ","")&amp;IF(J100="","詳細なし ","")&amp;IF(AND(N(AP100)=1,BB100=""),"顧客名なし ","")))</f>
        <v/>
      </c>
      <c r="AD100" s="31" t="n"/>
      <c r="AE100" s="32" t="n"/>
      <c r="AF100" s="32" t="n"/>
      <c r="AG100" s="31" t="n"/>
      <c r="AH100">
        <f>IF(AB100&lt;&gt;"OK","",IF(AG100&lt;&gt;"",AG100,AJ100))</f>
        <v/>
      </c>
      <c r="AI100" s="33">
        <f>IF(AB100&lt;&gt;"OK","",IFERROR(IF(AE100&lt;&gt;"",AE100,AS100)*IF(AF100&lt;&gt;"",AF100,AT100)/60,""))</f>
        <v/>
      </c>
      <c r="AJ100">
        <f>IF(AB100&lt;&gt;"OK","",IF(OR(VALUE(T100)=2,VALUE(U100)=2,VALUE(V100)=2),"社内残置",IF(AND(VALUE(T100)=0,VALUE(W100)=0,VALUE(Y100)=0),"自動化候補",IF(AND(VALUE(U100)=0,VALUE(W100)&lt;=1,VALUE(X100)&lt;=1,VALUE(Y100)&lt;=1,VALUE(Z100)&lt;=1),"オフショア候補",IF(AND(VALUE(Y100)&lt;=1,VALUE(Z100)&lt;=1),"ニアショア候補","社内で手順化→再評価")))))</f>
        <v/>
      </c>
      <c r="AK100">
        <f>IF(AB100&lt;&gt;"OK","",14-SUMPRODUCT(--T100:Z100))</f>
        <v/>
      </c>
      <c r="AL100" s="33">
        <f>IF(AB100&lt;&gt;"OK","",AS100*AT100/60)</f>
        <v/>
      </c>
      <c r="AM100" s="34">
        <f>IF(A100="","",UPPER(TRIM(ASC(A100&amp;""))))</f>
        <v/>
      </c>
      <c r="AN100" s="34">
        <f>IF(AM100="","",AM100&amp;"-"&amp;B100)</f>
        <v/>
      </c>
      <c r="AO100" s="34">
        <f>IF(C100="","",IFERROR(VALUE(ASC(SUBSTITUTE(C100&amp;"","観点",""))),""))</f>
        <v/>
      </c>
      <c r="AP100" s="34">
        <f>IF(D100="","",IFERROR(VALUE(LEFT(TRIM(ASC(D100&amp;"")),1)),IFERROR(MATCH(TRIM(D100&amp;""),'M2_区分マスタ'!$I$5:$I$10,0),"")))</f>
        <v/>
      </c>
      <c r="AQ100" s="34">
        <f>IF(H100="","",UPPER(LEFT(TRIM(ASC(H100&amp;"")),3)))</f>
        <v/>
      </c>
      <c r="AR100" s="34">
        <f>IF(N100="","",IFERROR(VALUE(SUBSTITUTE(SUBSTITUTE(SUBSTITUTE(SUBSTITUTE(SUBSTITUTE(SUBSTITUTE(SUBSTITUTE(SUBSTITUTE(SUBSTITUTE(SUBSTITUTE(SUBSTITUTE(SUBSTITUTE(ASC(N100&amp;""),"約",""),"程度",""),"ほど",""),"回",""),"毎",""),"週",""),"月",""),"年",""),"日",""),"に",""),"/","")," ","")),""))</f>
        <v/>
      </c>
      <c r="AS100" s="34">
        <f>IF(N100="","",IF(ISNUMBER(N100),N100,IFERROR(VALUE(ASC(N100&amp;"")),IF(AR100&lt;&gt;"",AR100*IF(ISNUMBER(SEARCH("週",N100)),4.3,IF(ISNUMBER(SEARCH("年",N100)),1/12,IF(ISNUMBER(SEARCH("日",N100)),20,1))),IF(ISNUMBER(SEARCH("日",N100)),20,IF(ISNUMBER(SEARCH("週",N100)),4.3,IF(ISNUMBER(SEARCH("月",N100)),1,"")))))))</f>
        <v/>
      </c>
      <c r="AT100" s="34">
        <f>IF(O100="","",IF(ISNUMBER(O100),O100,IFERROR(VALUE(ASC(O100&amp;"")),IF(ISNUMBER(SEARCH("時間",O100)),IFERROR(VALUE(SUBSTITUTE(SUBSTITUTE(SUBSTITUTE(SUBSTITUTE(SUBSTITUTE(ASC(O100&amp;""),"約",""),"程度",""),"ほど",""),"時間","")," ",""))*60,""),IFERROR(VALUE(SUBSTITUTE(SUBSTITUTE(SUBSTITUTE(SUBSTITUTE(SUBSTITUTE(ASC(O100&amp;""),"約",""),"程度",""),"ほど",""),"分","")," ","")),"")))))</f>
        <v/>
      </c>
      <c r="AU100" s="34">
        <f>IF(P100="","",IF(ISNUMBER(P100),P100,IFERROR(VALUE(SUBSTITUTE(SUBSTITUTE(SUBSTITUTE(ASC(P100&amp;""),"約",""),"件","")," ","")),"")))</f>
        <v/>
      </c>
      <c r="AV100" s="34">
        <f>IF(AB100&lt;&gt;"OK","",IF(COUNTIFS($G$5:$G$404,G100&amp;"",$F$5:$F$404,F100&amp;"",$BE$5:$BE$404,BE100&amp;"",$AB$5:$AB$404,"OK")&gt;1,"同名あり",""))</f>
        <v/>
      </c>
      <c r="AW100" s="35">
        <f>IF(Q100="","",IF(ISNUMBER(Q100),Q100,IFERROR(DATEVALUE(SUBSTITUTE(SUBSTITUTE(ASC(Q100&amp;""),"-","/"),".","/")&amp;"/01"),"")))</f>
        <v/>
      </c>
      <c r="AX100" s="35">
        <f>IF(R100="","",IF(ISNUMBER(R100),R100,IFERROR(DATEVALUE(SUBSTITUTE(SUBSTITUTE(ASC(R100&amp;""),"-","/"),".","/")&amp;"/01"),"")))</f>
        <v/>
      </c>
      <c r="AY100" s="34">
        <f>IF(OR(AB100&lt;&gt;"OK",AW100=""),"",IF(AW100&gt;='01_設定'!$C$26,1,0))</f>
        <v/>
      </c>
      <c r="AZ100" s="34">
        <f>IF(AND(AB100="OK",AD100&lt;&gt;"除外"),COUNTIFS($AB$5:AB100,"OK",$AD$5:AD100,"&lt;&gt;除外"),"")</f>
        <v/>
      </c>
      <c r="BA100" s="34">
        <f>IF(OR(AZ100="",AI100=""),"",AI100+ROW()/1000000000)</f>
        <v/>
      </c>
      <c r="BB100" s="34">
        <f>IF(E100="","",IF(OR(TRIM(E100&amp;"")="-",TRIM(E100&amp;"")="－",TRIM(E100&amp;"")="ー"),"",TRIM(E100&amp;"")))</f>
        <v/>
      </c>
      <c r="BC100" s="34">
        <f>IF(AND(AB100="OK",BB100&lt;&gt;""),IF(COUNTIFS($BB$5:BB100,BB100,$AB$5:AB100,"OK")=1,1,""),"")</f>
        <v/>
      </c>
      <c r="BD100" s="34">
        <f>IF(BC100=1,COUNTIF($BC$5:BC100,1),"")</f>
        <v/>
      </c>
      <c r="BE100" s="34">
        <f>IF(BB100="","",IFERROR(INDEX('06_顧客別集計'!$G$5:$G$104,MATCH(BB100,'06_顧客別集計'!$C$5:$C$104,0)),BB100))</f>
        <v/>
      </c>
      <c r="BF100" s="34">
        <f>IF(AND(AZ100&lt;&gt;"",BE100&lt;&gt;""),IF(COUNTIFS($BE$5:BE100,BE100,$AZ$5:AZ100,"&gt;0")=1,1,""),"")</f>
        <v/>
      </c>
      <c r="BG100" s="34">
        <f>IF(BF100=1,COUNTIF($BF$5:BF100,1),"")</f>
        <v/>
      </c>
    </row>
    <row r="101">
      <c r="AB101">
        <f>IF(AND(A101="",G101=""),"",IF(ISNUMBER(SEARCH("##END",AM101)),"（終わりの印）",IF(ISNUMBER(SEARCH("##続き",AM101)),"（続きありの印）",IF(AM101="調査ID","（見出し行）",IF(AND(AM101&lt;&gt;"R1",AM101&lt;&gt;"R2"),"×表以外の行（集計されない）",IF(COUNTIF($AN$5:AN101,AN101)&gt;1,"△重複（集計されない）",IF(G101="","△タスク名なし",IF(ISNA(MATCH(AQ101,'M1_類型マスタ'!$A$5:$A$19,0)),"△類型が不正",IF(OR(AP101="",N(AP101)&lt;1,N(AP101)&gt;6),"△業務区分が不正",IF(OR(AS101="",AT101=""),"△回数・分が読めない",IF(SUMPRODUCT(--ISNUMBER(--T101:Z101))&lt;7,"△採点が足りない",IF(SUMPRODUCT((--T101:Z101&gt;2)+(--T101:Z101&lt;0))&gt;0,"△採点が範囲外","OK"))))))))))))</f>
        <v/>
      </c>
      <c r="AC101">
        <f>IF(AB101&lt;&gt;"OK","",TRIM(IF(AND(AU101&lt;&gt;"",N(AU101)&lt;=1),"根拠1件 ","")&amp;IF(AV101&lt;&gt;"","同名あり ","")&amp;IF(AND(NOT(ISNUMBER(N101)),N101&lt;&gt;""),"回数を換算 ","")&amp;IF(J101="","詳細なし ","")&amp;IF(AND(N(AP101)=1,BB101=""),"顧客名なし ","")))</f>
        <v/>
      </c>
      <c r="AD101" s="31" t="n"/>
      <c r="AE101" s="32" t="n"/>
      <c r="AF101" s="32" t="n"/>
      <c r="AG101" s="31" t="n"/>
      <c r="AH101">
        <f>IF(AB101&lt;&gt;"OK","",IF(AG101&lt;&gt;"",AG101,AJ101))</f>
        <v/>
      </c>
      <c r="AI101" s="33">
        <f>IF(AB101&lt;&gt;"OK","",IFERROR(IF(AE101&lt;&gt;"",AE101,AS101)*IF(AF101&lt;&gt;"",AF101,AT101)/60,""))</f>
        <v/>
      </c>
      <c r="AJ101">
        <f>IF(AB101&lt;&gt;"OK","",IF(OR(VALUE(T101)=2,VALUE(U101)=2,VALUE(V101)=2),"社内残置",IF(AND(VALUE(T101)=0,VALUE(W101)=0,VALUE(Y101)=0),"自動化候補",IF(AND(VALUE(U101)=0,VALUE(W101)&lt;=1,VALUE(X101)&lt;=1,VALUE(Y101)&lt;=1,VALUE(Z101)&lt;=1),"オフショア候補",IF(AND(VALUE(Y101)&lt;=1,VALUE(Z101)&lt;=1),"ニアショア候補","社内で手順化→再評価")))))</f>
        <v/>
      </c>
      <c r="AK101">
        <f>IF(AB101&lt;&gt;"OK","",14-SUMPRODUCT(--T101:Z101))</f>
        <v/>
      </c>
      <c r="AL101" s="33">
        <f>IF(AB101&lt;&gt;"OK","",AS101*AT101/60)</f>
        <v/>
      </c>
      <c r="AM101" s="34">
        <f>IF(A101="","",UPPER(TRIM(ASC(A101&amp;""))))</f>
        <v/>
      </c>
      <c r="AN101" s="34">
        <f>IF(AM101="","",AM101&amp;"-"&amp;B101)</f>
        <v/>
      </c>
      <c r="AO101" s="34">
        <f>IF(C101="","",IFERROR(VALUE(ASC(SUBSTITUTE(C101&amp;"","観点",""))),""))</f>
        <v/>
      </c>
      <c r="AP101" s="34">
        <f>IF(D101="","",IFERROR(VALUE(LEFT(TRIM(ASC(D101&amp;"")),1)),IFERROR(MATCH(TRIM(D101&amp;""),'M2_区分マスタ'!$I$5:$I$10,0),"")))</f>
        <v/>
      </c>
      <c r="AQ101" s="34">
        <f>IF(H101="","",UPPER(LEFT(TRIM(ASC(H101&amp;"")),3)))</f>
        <v/>
      </c>
      <c r="AR101" s="34">
        <f>IF(N101="","",IFERROR(VALUE(SUBSTITUTE(SUBSTITUTE(SUBSTITUTE(SUBSTITUTE(SUBSTITUTE(SUBSTITUTE(SUBSTITUTE(SUBSTITUTE(SUBSTITUTE(SUBSTITUTE(SUBSTITUTE(SUBSTITUTE(ASC(N101&amp;""),"約",""),"程度",""),"ほど",""),"回",""),"毎",""),"週",""),"月",""),"年",""),"日",""),"に",""),"/","")," ","")),""))</f>
        <v/>
      </c>
      <c r="AS101" s="34">
        <f>IF(N101="","",IF(ISNUMBER(N101),N101,IFERROR(VALUE(ASC(N101&amp;"")),IF(AR101&lt;&gt;"",AR101*IF(ISNUMBER(SEARCH("週",N101)),4.3,IF(ISNUMBER(SEARCH("年",N101)),1/12,IF(ISNUMBER(SEARCH("日",N101)),20,1))),IF(ISNUMBER(SEARCH("日",N101)),20,IF(ISNUMBER(SEARCH("週",N101)),4.3,IF(ISNUMBER(SEARCH("月",N101)),1,"")))))))</f>
        <v/>
      </c>
      <c r="AT101" s="34">
        <f>IF(O101="","",IF(ISNUMBER(O101),O101,IFERROR(VALUE(ASC(O101&amp;"")),IF(ISNUMBER(SEARCH("時間",O101)),IFERROR(VALUE(SUBSTITUTE(SUBSTITUTE(SUBSTITUTE(SUBSTITUTE(SUBSTITUTE(ASC(O101&amp;""),"約",""),"程度",""),"ほど",""),"時間","")," ",""))*60,""),IFERROR(VALUE(SUBSTITUTE(SUBSTITUTE(SUBSTITUTE(SUBSTITUTE(SUBSTITUTE(ASC(O101&amp;""),"約",""),"程度",""),"ほど",""),"分","")," ","")),"")))))</f>
        <v/>
      </c>
      <c r="AU101" s="34">
        <f>IF(P101="","",IF(ISNUMBER(P101),P101,IFERROR(VALUE(SUBSTITUTE(SUBSTITUTE(SUBSTITUTE(ASC(P101&amp;""),"約",""),"件","")," ","")),"")))</f>
        <v/>
      </c>
      <c r="AV101" s="34">
        <f>IF(AB101&lt;&gt;"OK","",IF(COUNTIFS($G$5:$G$404,G101&amp;"",$F$5:$F$404,F101&amp;"",$BE$5:$BE$404,BE101&amp;"",$AB$5:$AB$404,"OK")&gt;1,"同名あり",""))</f>
        <v/>
      </c>
      <c r="AW101" s="35">
        <f>IF(Q101="","",IF(ISNUMBER(Q101),Q101,IFERROR(DATEVALUE(SUBSTITUTE(SUBSTITUTE(ASC(Q101&amp;""),"-","/"),".","/")&amp;"/01"),"")))</f>
        <v/>
      </c>
      <c r="AX101" s="35">
        <f>IF(R101="","",IF(ISNUMBER(R101),R101,IFERROR(DATEVALUE(SUBSTITUTE(SUBSTITUTE(ASC(R101&amp;""),"-","/"),".","/")&amp;"/01"),"")))</f>
        <v/>
      </c>
      <c r="AY101" s="34">
        <f>IF(OR(AB101&lt;&gt;"OK",AW101=""),"",IF(AW101&gt;='01_設定'!$C$26,1,0))</f>
        <v/>
      </c>
      <c r="AZ101" s="34">
        <f>IF(AND(AB101="OK",AD101&lt;&gt;"除外"),COUNTIFS($AB$5:AB101,"OK",$AD$5:AD101,"&lt;&gt;除外"),"")</f>
        <v/>
      </c>
      <c r="BA101" s="34">
        <f>IF(OR(AZ101="",AI101=""),"",AI101+ROW()/1000000000)</f>
        <v/>
      </c>
      <c r="BB101" s="34">
        <f>IF(E101="","",IF(OR(TRIM(E101&amp;"")="-",TRIM(E101&amp;"")="－",TRIM(E101&amp;"")="ー"),"",TRIM(E101&amp;"")))</f>
        <v/>
      </c>
      <c r="BC101" s="34">
        <f>IF(AND(AB101="OK",BB101&lt;&gt;""),IF(COUNTIFS($BB$5:BB101,BB101,$AB$5:AB101,"OK")=1,1,""),"")</f>
        <v/>
      </c>
      <c r="BD101" s="34">
        <f>IF(BC101=1,COUNTIF($BC$5:BC101,1),"")</f>
        <v/>
      </c>
      <c r="BE101" s="34">
        <f>IF(BB101="","",IFERROR(INDEX('06_顧客別集計'!$G$5:$G$104,MATCH(BB101,'06_顧客別集計'!$C$5:$C$104,0)),BB101))</f>
        <v/>
      </c>
      <c r="BF101" s="34">
        <f>IF(AND(AZ101&lt;&gt;"",BE101&lt;&gt;""),IF(COUNTIFS($BE$5:BE101,BE101,$AZ$5:AZ101,"&gt;0")=1,1,""),"")</f>
        <v/>
      </c>
      <c r="BG101" s="34">
        <f>IF(BF101=1,COUNTIF($BF$5:BF101,1),"")</f>
        <v/>
      </c>
    </row>
    <row r="102">
      <c r="AB102">
        <f>IF(AND(A102="",G102=""),"",IF(ISNUMBER(SEARCH("##END",AM102)),"（終わりの印）",IF(ISNUMBER(SEARCH("##続き",AM102)),"（続きありの印）",IF(AM102="調査ID","（見出し行）",IF(AND(AM102&lt;&gt;"R1",AM102&lt;&gt;"R2"),"×表以外の行（集計されない）",IF(COUNTIF($AN$5:AN102,AN102)&gt;1,"△重複（集計されない）",IF(G102="","△タスク名なし",IF(ISNA(MATCH(AQ102,'M1_類型マスタ'!$A$5:$A$19,0)),"△類型が不正",IF(OR(AP102="",N(AP102)&lt;1,N(AP102)&gt;6),"△業務区分が不正",IF(OR(AS102="",AT102=""),"△回数・分が読めない",IF(SUMPRODUCT(--ISNUMBER(--T102:Z102))&lt;7,"△採点が足りない",IF(SUMPRODUCT((--T102:Z102&gt;2)+(--T102:Z102&lt;0))&gt;0,"△採点が範囲外","OK"))))))))))))</f>
        <v/>
      </c>
      <c r="AC102">
        <f>IF(AB102&lt;&gt;"OK","",TRIM(IF(AND(AU102&lt;&gt;"",N(AU102)&lt;=1),"根拠1件 ","")&amp;IF(AV102&lt;&gt;"","同名あり ","")&amp;IF(AND(NOT(ISNUMBER(N102)),N102&lt;&gt;""),"回数を換算 ","")&amp;IF(J102="","詳細なし ","")&amp;IF(AND(N(AP102)=1,BB102=""),"顧客名なし ","")))</f>
        <v/>
      </c>
      <c r="AD102" s="31" t="n"/>
      <c r="AE102" s="32" t="n"/>
      <c r="AF102" s="32" t="n"/>
      <c r="AG102" s="31" t="n"/>
      <c r="AH102">
        <f>IF(AB102&lt;&gt;"OK","",IF(AG102&lt;&gt;"",AG102,AJ102))</f>
        <v/>
      </c>
      <c r="AI102" s="33">
        <f>IF(AB102&lt;&gt;"OK","",IFERROR(IF(AE102&lt;&gt;"",AE102,AS102)*IF(AF102&lt;&gt;"",AF102,AT102)/60,""))</f>
        <v/>
      </c>
      <c r="AJ102">
        <f>IF(AB102&lt;&gt;"OK","",IF(OR(VALUE(T102)=2,VALUE(U102)=2,VALUE(V102)=2),"社内残置",IF(AND(VALUE(T102)=0,VALUE(W102)=0,VALUE(Y102)=0),"自動化候補",IF(AND(VALUE(U102)=0,VALUE(W102)&lt;=1,VALUE(X102)&lt;=1,VALUE(Y102)&lt;=1,VALUE(Z102)&lt;=1),"オフショア候補",IF(AND(VALUE(Y102)&lt;=1,VALUE(Z102)&lt;=1),"ニアショア候補","社内で手順化→再評価")))))</f>
        <v/>
      </c>
      <c r="AK102">
        <f>IF(AB102&lt;&gt;"OK","",14-SUMPRODUCT(--T102:Z102))</f>
        <v/>
      </c>
      <c r="AL102" s="33">
        <f>IF(AB102&lt;&gt;"OK","",AS102*AT102/60)</f>
        <v/>
      </c>
      <c r="AM102" s="34">
        <f>IF(A102="","",UPPER(TRIM(ASC(A102&amp;""))))</f>
        <v/>
      </c>
      <c r="AN102" s="34">
        <f>IF(AM102="","",AM102&amp;"-"&amp;B102)</f>
        <v/>
      </c>
      <c r="AO102" s="34">
        <f>IF(C102="","",IFERROR(VALUE(ASC(SUBSTITUTE(C102&amp;"","観点",""))),""))</f>
        <v/>
      </c>
      <c r="AP102" s="34">
        <f>IF(D102="","",IFERROR(VALUE(LEFT(TRIM(ASC(D102&amp;"")),1)),IFERROR(MATCH(TRIM(D102&amp;""),'M2_区分マスタ'!$I$5:$I$10,0),"")))</f>
        <v/>
      </c>
      <c r="AQ102" s="34">
        <f>IF(H102="","",UPPER(LEFT(TRIM(ASC(H102&amp;"")),3)))</f>
        <v/>
      </c>
      <c r="AR102" s="34">
        <f>IF(N102="","",IFERROR(VALUE(SUBSTITUTE(SUBSTITUTE(SUBSTITUTE(SUBSTITUTE(SUBSTITUTE(SUBSTITUTE(SUBSTITUTE(SUBSTITUTE(SUBSTITUTE(SUBSTITUTE(SUBSTITUTE(SUBSTITUTE(ASC(N102&amp;""),"約",""),"程度",""),"ほど",""),"回",""),"毎",""),"週",""),"月",""),"年",""),"日",""),"に",""),"/","")," ","")),""))</f>
        <v/>
      </c>
      <c r="AS102" s="34">
        <f>IF(N102="","",IF(ISNUMBER(N102),N102,IFERROR(VALUE(ASC(N102&amp;"")),IF(AR102&lt;&gt;"",AR102*IF(ISNUMBER(SEARCH("週",N102)),4.3,IF(ISNUMBER(SEARCH("年",N102)),1/12,IF(ISNUMBER(SEARCH("日",N102)),20,1))),IF(ISNUMBER(SEARCH("日",N102)),20,IF(ISNUMBER(SEARCH("週",N102)),4.3,IF(ISNUMBER(SEARCH("月",N102)),1,"")))))))</f>
        <v/>
      </c>
      <c r="AT102" s="34">
        <f>IF(O102="","",IF(ISNUMBER(O102),O102,IFERROR(VALUE(ASC(O102&amp;"")),IF(ISNUMBER(SEARCH("時間",O102)),IFERROR(VALUE(SUBSTITUTE(SUBSTITUTE(SUBSTITUTE(SUBSTITUTE(SUBSTITUTE(ASC(O102&amp;""),"約",""),"程度",""),"ほど",""),"時間","")," ",""))*60,""),IFERROR(VALUE(SUBSTITUTE(SUBSTITUTE(SUBSTITUTE(SUBSTITUTE(SUBSTITUTE(ASC(O102&amp;""),"約",""),"程度",""),"ほど",""),"分","")," ","")),"")))))</f>
        <v/>
      </c>
      <c r="AU102" s="34">
        <f>IF(P102="","",IF(ISNUMBER(P102),P102,IFERROR(VALUE(SUBSTITUTE(SUBSTITUTE(SUBSTITUTE(ASC(P102&amp;""),"約",""),"件","")," ","")),"")))</f>
        <v/>
      </c>
      <c r="AV102" s="34">
        <f>IF(AB102&lt;&gt;"OK","",IF(COUNTIFS($G$5:$G$404,G102&amp;"",$F$5:$F$404,F102&amp;"",$BE$5:$BE$404,BE102&amp;"",$AB$5:$AB$404,"OK")&gt;1,"同名あり",""))</f>
        <v/>
      </c>
      <c r="AW102" s="35">
        <f>IF(Q102="","",IF(ISNUMBER(Q102),Q102,IFERROR(DATEVALUE(SUBSTITUTE(SUBSTITUTE(ASC(Q102&amp;""),"-","/"),".","/")&amp;"/01"),"")))</f>
        <v/>
      </c>
      <c r="AX102" s="35">
        <f>IF(R102="","",IF(ISNUMBER(R102),R102,IFERROR(DATEVALUE(SUBSTITUTE(SUBSTITUTE(ASC(R102&amp;""),"-","/"),".","/")&amp;"/01"),"")))</f>
        <v/>
      </c>
      <c r="AY102" s="34">
        <f>IF(OR(AB102&lt;&gt;"OK",AW102=""),"",IF(AW102&gt;='01_設定'!$C$26,1,0))</f>
        <v/>
      </c>
      <c r="AZ102" s="34">
        <f>IF(AND(AB102="OK",AD102&lt;&gt;"除外"),COUNTIFS($AB$5:AB102,"OK",$AD$5:AD102,"&lt;&gt;除外"),"")</f>
        <v/>
      </c>
      <c r="BA102" s="34">
        <f>IF(OR(AZ102="",AI102=""),"",AI102+ROW()/1000000000)</f>
        <v/>
      </c>
      <c r="BB102" s="34">
        <f>IF(E102="","",IF(OR(TRIM(E102&amp;"")="-",TRIM(E102&amp;"")="－",TRIM(E102&amp;"")="ー"),"",TRIM(E102&amp;"")))</f>
        <v/>
      </c>
      <c r="BC102" s="34">
        <f>IF(AND(AB102="OK",BB102&lt;&gt;""),IF(COUNTIFS($BB$5:BB102,BB102,$AB$5:AB102,"OK")=1,1,""),"")</f>
        <v/>
      </c>
      <c r="BD102" s="34">
        <f>IF(BC102=1,COUNTIF($BC$5:BC102,1),"")</f>
        <v/>
      </c>
      <c r="BE102" s="34">
        <f>IF(BB102="","",IFERROR(INDEX('06_顧客別集計'!$G$5:$G$104,MATCH(BB102,'06_顧客別集計'!$C$5:$C$104,0)),BB102))</f>
        <v/>
      </c>
      <c r="BF102" s="34">
        <f>IF(AND(AZ102&lt;&gt;"",BE102&lt;&gt;""),IF(COUNTIFS($BE$5:BE102,BE102,$AZ$5:AZ102,"&gt;0")=1,1,""),"")</f>
        <v/>
      </c>
      <c r="BG102" s="34">
        <f>IF(BF102=1,COUNTIF($BF$5:BF102,1),"")</f>
        <v/>
      </c>
    </row>
    <row r="103">
      <c r="AB103">
        <f>IF(AND(A103="",G103=""),"",IF(ISNUMBER(SEARCH("##END",AM103)),"（終わりの印）",IF(ISNUMBER(SEARCH("##続き",AM103)),"（続きありの印）",IF(AM103="調査ID","（見出し行）",IF(AND(AM103&lt;&gt;"R1",AM103&lt;&gt;"R2"),"×表以外の行（集計されない）",IF(COUNTIF($AN$5:AN103,AN103)&gt;1,"△重複（集計されない）",IF(G103="","△タスク名なし",IF(ISNA(MATCH(AQ103,'M1_類型マスタ'!$A$5:$A$19,0)),"△類型が不正",IF(OR(AP103="",N(AP103)&lt;1,N(AP103)&gt;6),"△業務区分が不正",IF(OR(AS103="",AT103=""),"△回数・分が読めない",IF(SUMPRODUCT(--ISNUMBER(--T103:Z103))&lt;7,"△採点が足りない",IF(SUMPRODUCT((--T103:Z103&gt;2)+(--T103:Z103&lt;0))&gt;0,"△採点が範囲外","OK"))))))))))))</f>
        <v/>
      </c>
      <c r="AC103">
        <f>IF(AB103&lt;&gt;"OK","",TRIM(IF(AND(AU103&lt;&gt;"",N(AU103)&lt;=1),"根拠1件 ","")&amp;IF(AV103&lt;&gt;"","同名あり ","")&amp;IF(AND(NOT(ISNUMBER(N103)),N103&lt;&gt;""),"回数を換算 ","")&amp;IF(J103="","詳細なし ","")&amp;IF(AND(N(AP103)=1,BB103=""),"顧客名なし ","")))</f>
        <v/>
      </c>
      <c r="AD103" s="31" t="n"/>
      <c r="AE103" s="32" t="n"/>
      <c r="AF103" s="32" t="n"/>
      <c r="AG103" s="31" t="n"/>
      <c r="AH103">
        <f>IF(AB103&lt;&gt;"OK","",IF(AG103&lt;&gt;"",AG103,AJ103))</f>
        <v/>
      </c>
      <c r="AI103" s="33">
        <f>IF(AB103&lt;&gt;"OK","",IFERROR(IF(AE103&lt;&gt;"",AE103,AS103)*IF(AF103&lt;&gt;"",AF103,AT103)/60,""))</f>
        <v/>
      </c>
      <c r="AJ103">
        <f>IF(AB103&lt;&gt;"OK","",IF(OR(VALUE(T103)=2,VALUE(U103)=2,VALUE(V103)=2),"社内残置",IF(AND(VALUE(T103)=0,VALUE(W103)=0,VALUE(Y103)=0),"自動化候補",IF(AND(VALUE(U103)=0,VALUE(W103)&lt;=1,VALUE(X103)&lt;=1,VALUE(Y103)&lt;=1,VALUE(Z103)&lt;=1),"オフショア候補",IF(AND(VALUE(Y103)&lt;=1,VALUE(Z103)&lt;=1),"ニアショア候補","社内で手順化→再評価")))))</f>
        <v/>
      </c>
      <c r="AK103">
        <f>IF(AB103&lt;&gt;"OK","",14-SUMPRODUCT(--T103:Z103))</f>
        <v/>
      </c>
      <c r="AL103" s="33">
        <f>IF(AB103&lt;&gt;"OK","",AS103*AT103/60)</f>
        <v/>
      </c>
      <c r="AM103" s="34">
        <f>IF(A103="","",UPPER(TRIM(ASC(A103&amp;""))))</f>
        <v/>
      </c>
      <c r="AN103" s="34">
        <f>IF(AM103="","",AM103&amp;"-"&amp;B103)</f>
        <v/>
      </c>
      <c r="AO103" s="34">
        <f>IF(C103="","",IFERROR(VALUE(ASC(SUBSTITUTE(C103&amp;"","観点",""))),""))</f>
        <v/>
      </c>
      <c r="AP103" s="34">
        <f>IF(D103="","",IFERROR(VALUE(LEFT(TRIM(ASC(D103&amp;"")),1)),IFERROR(MATCH(TRIM(D103&amp;""),'M2_区分マスタ'!$I$5:$I$10,0),"")))</f>
        <v/>
      </c>
      <c r="AQ103" s="34">
        <f>IF(H103="","",UPPER(LEFT(TRIM(ASC(H103&amp;"")),3)))</f>
        <v/>
      </c>
      <c r="AR103" s="34">
        <f>IF(N103="","",IFERROR(VALUE(SUBSTITUTE(SUBSTITUTE(SUBSTITUTE(SUBSTITUTE(SUBSTITUTE(SUBSTITUTE(SUBSTITUTE(SUBSTITUTE(SUBSTITUTE(SUBSTITUTE(SUBSTITUTE(SUBSTITUTE(ASC(N103&amp;""),"約",""),"程度",""),"ほど",""),"回",""),"毎",""),"週",""),"月",""),"年",""),"日",""),"に",""),"/","")," ","")),""))</f>
        <v/>
      </c>
      <c r="AS103" s="34">
        <f>IF(N103="","",IF(ISNUMBER(N103),N103,IFERROR(VALUE(ASC(N103&amp;"")),IF(AR103&lt;&gt;"",AR103*IF(ISNUMBER(SEARCH("週",N103)),4.3,IF(ISNUMBER(SEARCH("年",N103)),1/12,IF(ISNUMBER(SEARCH("日",N103)),20,1))),IF(ISNUMBER(SEARCH("日",N103)),20,IF(ISNUMBER(SEARCH("週",N103)),4.3,IF(ISNUMBER(SEARCH("月",N103)),1,"")))))))</f>
        <v/>
      </c>
      <c r="AT103" s="34">
        <f>IF(O103="","",IF(ISNUMBER(O103),O103,IFERROR(VALUE(ASC(O103&amp;"")),IF(ISNUMBER(SEARCH("時間",O103)),IFERROR(VALUE(SUBSTITUTE(SUBSTITUTE(SUBSTITUTE(SUBSTITUTE(SUBSTITUTE(ASC(O103&amp;""),"約",""),"程度",""),"ほど",""),"時間","")," ",""))*60,""),IFERROR(VALUE(SUBSTITUTE(SUBSTITUTE(SUBSTITUTE(SUBSTITUTE(SUBSTITUTE(ASC(O103&amp;""),"約",""),"程度",""),"ほど",""),"分","")," ","")),"")))))</f>
        <v/>
      </c>
      <c r="AU103" s="34">
        <f>IF(P103="","",IF(ISNUMBER(P103),P103,IFERROR(VALUE(SUBSTITUTE(SUBSTITUTE(SUBSTITUTE(ASC(P103&amp;""),"約",""),"件","")," ","")),"")))</f>
        <v/>
      </c>
      <c r="AV103" s="34">
        <f>IF(AB103&lt;&gt;"OK","",IF(COUNTIFS($G$5:$G$404,G103&amp;"",$F$5:$F$404,F103&amp;"",$BE$5:$BE$404,BE103&amp;"",$AB$5:$AB$404,"OK")&gt;1,"同名あり",""))</f>
        <v/>
      </c>
      <c r="AW103" s="35">
        <f>IF(Q103="","",IF(ISNUMBER(Q103),Q103,IFERROR(DATEVALUE(SUBSTITUTE(SUBSTITUTE(ASC(Q103&amp;""),"-","/"),".","/")&amp;"/01"),"")))</f>
        <v/>
      </c>
      <c r="AX103" s="35">
        <f>IF(R103="","",IF(ISNUMBER(R103),R103,IFERROR(DATEVALUE(SUBSTITUTE(SUBSTITUTE(ASC(R103&amp;""),"-","/"),".","/")&amp;"/01"),"")))</f>
        <v/>
      </c>
      <c r="AY103" s="34">
        <f>IF(OR(AB103&lt;&gt;"OK",AW103=""),"",IF(AW103&gt;='01_設定'!$C$26,1,0))</f>
        <v/>
      </c>
      <c r="AZ103" s="34">
        <f>IF(AND(AB103="OK",AD103&lt;&gt;"除外"),COUNTIFS($AB$5:AB103,"OK",$AD$5:AD103,"&lt;&gt;除外"),"")</f>
        <v/>
      </c>
      <c r="BA103" s="34">
        <f>IF(OR(AZ103="",AI103=""),"",AI103+ROW()/1000000000)</f>
        <v/>
      </c>
      <c r="BB103" s="34">
        <f>IF(E103="","",IF(OR(TRIM(E103&amp;"")="-",TRIM(E103&amp;"")="－",TRIM(E103&amp;"")="ー"),"",TRIM(E103&amp;"")))</f>
        <v/>
      </c>
      <c r="BC103" s="34">
        <f>IF(AND(AB103="OK",BB103&lt;&gt;""),IF(COUNTIFS($BB$5:BB103,BB103,$AB$5:AB103,"OK")=1,1,""),"")</f>
        <v/>
      </c>
      <c r="BD103" s="34">
        <f>IF(BC103=1,COUNTIF($BC$5:BC103,1),"")</f>
        <v/>
      </c>
      <c r="BE103" s="34">
        <f>IF(BB103="","",IFERROR(INDEX('06_顧客別集計'!$G$5:$G$104,MATCH(BB103,'06_顧客別集計'!$C$5:$C$104,0)),BB103))</f>
        <v/>
      </c>
      <c r="BF103" s="34">
        <f>IF(AND(AZ103&lt;&gt;"",BE103&lt;&gt;""),IF(COUNTIFS($BE$5:BE103,BE103,$AZ$5:AZ103,"&gt;0")=1,1,""),"")</f>
        <v/>
      </c>
      <c r="BG103" s="34">
        <f>IF(BF103=1,COUNTIF($BF$5:BF103,1),"")</f>
        <v/>
      </c>
    </row>
    <row r="104">
      <c r="AB104">
        <f>IF(AND(A104="",G104=""),"",IF(ISNUMBER(SEARCH("##END",AM104)),"（終わりの印）",IF(ISNUMBER(SEARCH("##続き",AM104)),"（続きありの印）",IF(AM104="調査ID","（見出し行）",IF(AND(AM104&lt;&gt;"R1",AM104&lt;&gt;"R2"),"×表以外の行（集計されない）",IF(COUNTIF($AN$5:AN104,AN104)&gt;1,"△重複（集計されない）",IF(G104="","△タスク名なし",IF(ISNA(MATCH(AQ104,'M1_類型マスタ'!$A$5:$A$19,0)),"△類型が不正",IF(OR(AP104="",N(AP104)&lt;1,N(AP104)&gt;6),"△業務区分が不正",IF(OR(AS104="",AT104=""),"△回数・分が読めない",IF(SUMPRODUCT(--ISNUMBER(--T104:Z104))&lt;7,"△採点が足りない",IF(SUMPRODUCT((--T104:Z104&gt;2)+(--T104:Z104&lt;0))&gt;0,"△採点が範囲外","OK"))))))))))))</f>
        <v/>
      </c>
      <c r="AC104">
        <f>IF(AB104&lt;&gt;"OK","",TRIM(IF(AND(AU104&lt;&gt;"",N(AU104)&lt;=1),"根拠1件 ","")&amp;IF(AV104&lt;&gt;"","同名あり ","")&amp;IF(AND(NOT(ISNUMBER(N104)),N104&lt;&gt;""),"回数を換算 ","")&amp;IF(J104="","詳細なし ","")&amp;IF(AND(N(AP104)=1,BB104=""),"顧客名なし ","")))</f>
        <v/>
      </c>
      <c r="AD104" s="31" t="n"/>
      <c r="AE104" s="32" t="n"/>
      <c r="AF104" s="32" t="n"/>
      <c r="AG104" s="31" t="n"/>
      <c r="AH104">
        <f>IF(AB104&lt;&gt;"OK","",IF(AG104&lt;&gt;"",AG104,AJ104))</f>
        <v/>
      </c>
      <c r="AI104" s="33">
        <f>IF(AB104&lt;&gt;"OK","",IFERROR(IF(AE104&lt;&gt;"",AE104,AS104)*IF(AF104&lt;&gt;"",AF104,AT104)/60,""))</f>
        <v/>
      </c>
      <c r="AJ104">
        <f>IF(AB104&lt;&gt;"OK","",IF(OR(VALUE(T104)=2,VALUE(U104)=2,VALUE(V104)=2),"社内残置",IF(AND(VALUE(T104)=0,VALUE(W104)=0,VALUE(Y104)=0),"自動化候補",IF(AND(VALUE(U104)=0,VALUE(W104)&lt;=1,VALUE(X104)&lt;=1,VALUE(Y104)&lt;=1,VALUE(Z104)&lt;=1),"オフショア候補",IF(AND(VALUE(Y104)&lt;=1,VALUE(Z104)&lt;=1),"ニアショア候補","社内で手順化→再評価")))))</f>
        <v/>
      </c>
      <c r="AK104">
        <f>IF(AB104&lt;&gt;"OK","",14-SUMPRODUCT(--T104:Z104))</f>
        <v/>
      </c>
      <c r="AL104" s="33">
        <f>IF(AB104&lt;&gt;"OK","",AS104*AT104/60)</f>
        <v/>
      </c>
      <c r="AM104" s="34">
        <f>IF(A104="","",UPPER(TRIM(ASC(A104&amp;""))))</f>
        <v/>
      </c>
      <c r="AN104" s="34">
        <f>IF(AM104="","",AM104&amp;"-"&amp;B104)</f>
        <v/>
      </c>
      <c r="AO104" s="34">
        <f>IF(C104="","",IFERROR(VALUE(ASC(SUBSTITUTE(C104&amp;"","観点",""))),""))</f>
        <v/>
      </c>
      <c r="AP104" s="34">
        <f>IF(D104="","",IFERROR(VALUE(LEFT(TRIM(ASC(D104&amp;"")),1)),IFERROR(MATCH(TRIM(D104&amp;""),'M2_区分マスタ'!$I$5:$I$10,0),"")))</f>
        <v/>
      </c>
      <c r="AQ104" s="34">
        <f>IF(H104="","",UPPER(LEFT(TRIM(ASC(H104&amp;"")),3)))</f>
        <v/>
      </c>
      <c r="AR104" s="34">
        <f>IF(N104="","",IFERROR(VALUE(SUBSTITUTE(SUBSTITUTE(SUBSTITUTE(SUBSTITUTE(SUBSTITUTE(SUBSTITUTE(SUBSTITUTE(SUBSTITUTE(SUBSTITUTE(SUBSTITUTE(SUBSTITUTE(SUBSTITUTE(ASC(N104&amp;""),"約",""),"程度",""),"ほど",""),"回",""),"毎",""),"週",""),"月",""),"年",""),"日",""),"に",""),"/","")," ","")),""))</f>
        <v/>
      </c>
      <c r="AS104" s="34">
        <f>IF(N104="","",IF(ISNUMBER(N104),N104,IFERROR(VALUE(ASC(N104&amp;"")),IF(AR104&lt;&gt;"",AR104*IF(ISNUMBER(SEARCH("週",N104)),4.3,IF(ISNUMBER(SEARCH("年",N104)),1/12,IF(ISNUMBER(SEARCH("日",N104)),20,1))),IF(ISNUMBER(SEARCH("日",N104)),20,IF(ISNUMBER(SEARCH("週",N104)),4.3,IF(ISNUMBER(SEARCH("月",N104)),1,"")))))))</f>
        <v/>
      </c>
      <c r="AT104" s="34">
        <f>IF(O104="","",IF(ISNUMBER(O104),O104,IFERROR(VALUE(ASC(O104&amp;"")),IF(ISNUMBER(SEARCH("時間",O104)),IFERROR(VALUE(SUBSTITUTE(SUBSTITUTE(SUBSTITUTE(SUBSTITUTE(SUBSTITUTE(ASC(O104&amp;""),"約",""),"程度",""),"ほど",""),"時間","")," ",""))*60,""),IFERROR(VALUE(SUBSTITUTE(SUBSTITUTE(SUBSTITUTE(SUBSTITUTE(SUBSTITUTE(ASC(O104&amp;""),"約",""),"程度",""),"ほど",""),"分","")," ","")),"")))))</f>
        <v/>
      </c>
      <c r="AU104" s="34">
        <f>IF(P104="","",IF(ISNUMBER(P104),P104,IFERROR(VALUE(SUBSTITUTE(SUBSTITUTE(SUBSTITUTE(ASC(P104&amp;""),"約",""),"件","")," ","")),"")))</f>
        <v/>
      </c>
      <c r="AV104" s="34">
        <f>IF(AB104&lt;&gt;"OK","",IF(COUNTIFS($G$5:$G$404,G104&amp;"",$F$5:$F$404,F104&amp;"",$BE$5:$BE$404,BE104&amp;"",$AB$5:$AB$404,"OK")&gt;1,"同名あり",""))</f>
        <v/>
      </c>
      <c r="AW104" s="35">
        <f>IF(Q104="","",IF(ISNUMBER(Q104),Q104,IFERROR(DATEVALUE(SUBSTITUTE(SUBSTITUTE(ASC(Q104&amp;""),"-","/"),".","/")&amp;"/01"),"")))</f>
        <v/>
      </c>
      <c r="AX104" s="35">
        <f>IF(R104="","",IF(ISNUMBER(R104),R104,IFERROR(DATEVALUE(SUBSTITUTE(SUBSTITUTE(ASC(R104&amp;""),"-","/"),".","/")&amp;"/01"),"")))</f>
        <v/>
      </c>
      <c r="AY104" s="34">
        <f>IF(OR(AB104&lt;&gt;"OK",AW104=""),"",IF(AW104&gt;='01_設定'!$C$26,1,0))</f>
        <v/>
      </c>
      <c r="AZ104" s="34">
        <f>IF(AND(AB104="OK",AD104&lt;&gt;"除外"),COUNTIFS($AB$5:AB104,"OK",$AD$5:AD104,"&lt;&gt;除外"),"")</f>
        <v/>
      </c>
      <c r="BA104" s="34">
        <f>IF(OR(AZ104="",AI104=""),"",AI104+ROW()/1000000000)</f>
        <v/>
      </c>
      <c r="BB104" s="34">
        <f>IF(E104="","",IF(OR(TRIM(E104&amp;"")="-",TRIM(E104&amp;"")="－",TRIM(E104&amp;"")="ー"),"",TRIM(E104&amp;"")))</f>
        <v/>
      </c>
      <c r="BC104" s="34">
        <f>IF(AND(AB104="OK",BB104&lt;&gt;""),IF(COUNTIFS($BB$5:BB104,BB104,$AB$5:AB104,"OK")=1,1,""),"")</f>
        <v/>
      </c>
      <c r="BD104" s="34">
        <f>IF(BC104=1,COUNTIF($BC$5:BC104,1),"")</f>
        <v/>
      </c>
      <c r="BE104" s="34">
        <f>IF(BB104="","",IFERROR(INDEX('06_顧客別集計'!$G$5:$G$104,MATCH(BB104,'06_顧客別集計'!$C$5:$C$104,0)),BB104))</f>
        <v/>
      </c>
      <c r="BF104" s="34">
        <f>IF(AND(AZ104&lt;&gt;"",BE104&lt;&gt;""),IF(COUNTIFS($BE$5:BE104,BE104,$AZ$5:AZ104,"&gt;0")=1,1,""),"")</f>
        <v/>
      </c>
      <c r="BG104" s="34">
        <f>IF(BF104=1,COUNTIF($BF$5:BF104,1),"")</f>
        <v/>
      </c>
    </row>
    <row r="105">
      <c r="AB105">
        <f>IF(AND(A105="",G105=""),"",IF(ISNUMBER(SEARCH("##END",AM105)),"（終わりの印）",IF(ISNUMBER(SEARCH("##続き",AM105)),"（続きありの印）",IF(AM105="調査ID","（見出し行）",IF(AND(AM105&lt;&gt;"R1",AM105&lt;&gt;"R2"),"×表以外の行（集計されない）",IF(COUNTIF($AN$5:AN105,AN105)&gt;1,"△重複（集計されない）",IF(G105="","△タスク名なし",IF(ISNA(MATCH(AQ105,'M1_類型マスタ'!$A$5:$A$19,0)),"△類型が不正",IF(OR(AP105="",N(AP105)&lt;1,N(AP105)&gt;6),"△業務区分が不正",IF(OR(AS105="",AT105=""),"△回数・分が読めない",IF(SUMPRODUCT(--ISNUMBER(--T105:Z105))&lt;7,"△採点が足りない",IF(SUMPRODUCT((--T105:Z105&gt;2)+(--T105:Z105&lt;0))&gt;0,"△採点が範囲外","OK"))))))))))))</f>
        <v/>
      </c>
      <c r="AC105">
        <f>IF(AB105&lt;&gt;"OK","",TRIM(IF(AND(AU105&lt;&gt;"",N(AU105)&lt;=1),"根拠1件 ","")&amp;IF(AV105&lt;&gt;"","同名あり ","")&amp;IF(AND(NOT(ISNUMBER(N105)),N105&lt;&gt;""),"回数を換算 ","")&amp;IF(J105="","詳細なし ","")&amp;IF(AND(N(AP105)=1,BB105=""),"顧客名なし ","")))</f>
        <v/>
      </c>
      <c r="AD105" s="31" t="n"/>
      <c r="AE105" s="32" t="n"/>
      <c r="AF105" s="32" t="n"/>
      <c r="AG105" s="31" t="n"/>
      <c r="AH105">
        <f>IF(AB105&lt;&gt;"OK","",IF(AG105&lt;&gt;"",AG105,AJ105))</f>
        <v/>
      </c>
      <c r="AI105" s="33">
        <f>IF(AB105&lt;&gt;"OK","",IFERROR(IF(AE105&lt;&gt;"",AE105,AS105)*IF(AF105&lt;&gt;"",AF105,AT105)/60,""))</f>
        <v/>
      </c>
      <c r="AJ105">
        <f>IF(AB105&lt;&gt;"OK","",IF(OR(VALUE(T105)=2,VALUE(U105)=2,VALUE(V105)=2),"社内残置",IF(AND(VALUE(T105)=0,VALUE(W105)=0,VALUE(Y105)=0),"自動化候補",IF(AND(VALUE(U105)=0,VALUE(W105)&lt;=1,VALUE(X105)&lt;=1,VALUE(Y105)&lt;=1,VALUE(Z105)&lt;=1),"オフショア候補",IF(AND(VALUE(Y105)&lt;=1,VALUE(Z105)&lt;=1),"ニアショア候補","社内で手順化→再評価")))))</f>
        <v/>
      </c>
      <c r="AK105">
        <f>IF(AB105&lt;&gt;"OK","",14-SUMPRODUCT(--T105:Z105))</f>
        <v/>
      </c>
      <c r="AL105" s="33">
        <f>IF(AB105&lt;&gt;"OK","",AS105*AT105/60)</f>
        <v/>
      </c>
      <c r="AM105" s="34">
        <f>IF(A105="","",UPPER(TRIM(ASC(A105&amp;""))))</f>
        <v/>
      </c>
      <c r="AN105" s="34">
        <f>IF(AM105="","",AM105&amp;"-"&amp;B105)</f>
        <v/>
      </c>
      <c r="AO105" s="34">
        <f>IF(C105="","",IFERROR(VALUE(ASC(SUBSTITUTE(C105&amp;"","観点",""))),""))</f>
        <v/>
      </c>
      <c r="AP105" s="34">
        <f>IF(D105="","",IFERROR(VALUE(LEFT(TRIM(ASC(D105&amp;"")),1)),IFERROR(MATCH(TRIM(D105&amp;""),'M2_区分マスタ'!$I$5:$I$10,0),"")))</f>
        <v/>
      </c>
      <c r="AQ105" s="34">
        <f>IF(H105="","",UPPER(LEFT(TRIM(ASC(H105&amp;"")),3)))</f>
        <v/>
      </c>
      <c r="AR105" s="34">
        <f>IF(N105="","",IFERROR(VALUE(SUBSTITUTE(SUBSTITUTE(SUBSTITUTE(SUBSTITUTE(SUBSTITUTE(SUBSTITUTE(SUBSTITUTE(SUBSTITUTE(SUBSTITUTE(SUBSTITUTE(SUBSTITUTE(SUBSTITUTE(ASC(N105&amp;""),"約",""),"程度",""),"ほど",""),"回",""),"毎",""),"週",""),"月",""),"年",""),"日",""),"に",""),"/","")," ","")),""))</f>
        <v/>
      </c>
      <c r="AS105" s="34">
        <f>IF(N105="","",IF(ISNUMBER(N105),N105,IFERROR(VALUE(ASC(N105&amp;"")),IF(AR105&lt;&gt;"",AR105*IF(ISNUMBER(SEARCH("週",N105)),4.3,IF(ISNUMBER(SEARCH("年",N105)),1/12,IF(ISNUMBER(SEARCH("日",N105)),20,1))),IF(ISNUMBER(SEARCH("日",N105)),20,IF(ISNUMBER(SEARCH("週",N105)),4.3,IF(ISNUMBER(SEARCH("月",N105)),1,"")))))))</f>
        <v/>
      </c>
      <c r="AT105" s="34">
        <f>IF(O105="","",IF(ISNUMBER(O105),O105,IFERROR(VALUE(ASC(O105&amp;"")),IF(ISNUMBER(SEARCH("時間",O105)),IFERROR(VALUE(SUBSTITUTE(SUBSTITUTE(SUBSTITUTE(SUBSTITUTE(SUBSTITUTE(ASC(O105&amp;""),"約",""),"程度",""),"ほど",""),"時間","")," ",""))*60,""),IFERROR(VALUE(SUBSTITUTE(SUBSTITUTE(SUBSTITUTE(SUBSTITUTE(SUBSTITUTE(ASC(O105&amp;""),"約",""),"程度",""),"ほど",""),"分","")," ","")),"")))))</f>
        <v/>
      </c>
      <c r="AU105" s="34">
        <f>IF(P105="","",IF(ISNUMBER(P105),P105,IFERROR(VALUE(SUBSTITUTE(SUBSTITUTE(SUBSTITUTE(ASC(P105&amp;""),"約",""),"件","")," ","")),"")))</f>
        <v/>
      </c>
      <c r="AV105" s="34">
        <f>IF(AB105&lt;&gt;"OK","",IF(COUNTIFS($G$5:$G$404,G105&amp;"",$F$5:$F$404,F105&amp;"",$BE$5:$BE$404,BE105&amp;"",$AB$5:$AB$404,"OK")&gt;1,"同名あり",""))</f>
        <v/>
      </c>
      <c r="AW105" s="35">
        <f>IF(Q105="","",IF(ISNUMBER(Q105),Q105,IFERROR(DATEVALUE(SUBSTITUTE(SUBSTITUTE(ASC(Q105&amp;""),"-","/"),".","/")&amp;"/01"),"")))</f>
        <v/>
      </c>
      <c r="AX105" s="35">
        <f>IF(R105="","",IF(ISNUMBER(R105),R105,IFERROR(DATEVALUE(SUBSTITUTE(SUBSTITUTE(ASC(R105&amp;""),"-","/"),".","/")&amp;"/01"),"")))</f>
        <v/>
      </c>
      <c r="AY105" s="34">
        <f>IF(OR(AB105&lt;&gt;"OK",AW105=""),"",IF(AW105&gt;='01_設定'!$C$26,1,0))</f>
        <v/>
      </c>
      <c r="AZ105" s="34">
        <f>IF(AND(AB105="OK",AD105&lt;&gt;"除外"),COUNTIFS($AB$5:AB105,"OK",$AD$5:AD105,"&lt;&gt;除外"),"")</f>
        <v/>
      </c>
      <c r="BA105" s="34">
        <f>IF(OR(AZ105="",AI105=""),"",AI105+ROW()/1000000000)</f>
        <v/>
      </c>
      <c r="BB105" s="34">
        <f>IF(E105="","",IF(OR(TRIM(E105&amp;"")="-",TRIM(E105&amp;"")="－",TRIM(E105&amp;"")="ー"),"",TRIM(E105&amp;"")))</f>
        <v/>
      </c>
      <c r="BC105" s="34">
        <f>IF(AND(AB105="OK",BB105&lt;&gt;""),IF(COUNTIFS($BB$5:BB105,BB105,$AB$5:AB105,"OK")=1,1,""),"")</f>
        <v/>
      </c>
      <c r="BD105" s="34">
        <f>IF(BC105=1,COUNTIF($BC$5:BC105,1),"")</f>
        <v/>
      </c>
      <c r="BE105" s="34">
        <f>IF(BB105="","",IFERROR(INDEX('06_顧客別集計'!$G$5:$G$104,MATCH(BB105,'06_顧客別集計'!$C$5:$C$104,0)),BB105))</f>
        <v/>
      </c>
      <c r="BF105" s="34">
        <f>IF(AND(AZ105&lt;&gt;"",BE105&lt;&gt;""),IF(COUNTIFS($BE$5:BE105,BE105,$AZ$5:AZ105,"&gt;0")=1,1,""),"")</f>
        <v/>
      </c>
      <c r="BG105" s="34">
        <f>IF(BF105=1,COUNTIF($BF$5:BF105,1),"")</f>
        <v/>
      </c>
    </row>
    <row r="106">
      <c r="AB106">
        <f>IF(AND(A106="",G106=""),"",IF(ISNUMBER(SEARCH("##END",AM106)),"（終わりの印）",IF(ISNUMBER(SEARCH("##続き",AM106)),"（続きありの印）",IF(AM106="調査ID","（見出し行）",IF(AND(AM106&lt;&gt;"R1",AM106&lt;&gt;"R2"),"×表以外の行（集計されない）",IF(COUNTIF($AN$5:AN106,AN106)&gt;1,"△重複（集計されない）",IF(G106="","△タスク名なし",IF(ISNA(MATCH(AQ106,'M1_類型マスタ'!$A$5:$A$19,0)),"△類型が不正",IF(OR(AP106="",N(AP106)&lt;1,N(AP106)&gt;6),"△業務区分が不正",IF(OR(AS106="",AT106=""),"△回数・分が読めない",IF(SUMPRODUCT(--ISNUMBER(--T106:Z106))&lt;7,"△採点が足りない",IF(SUMPRODUCT((--T106:Z106&gt;2)+(--T106:Z106&lt;0))&gt;0,"△採点が範囲外","OK"))))))))))))</f>
        <v/>
      </c>
      <c r="AC106">
        <f>IF(AB106&lt;&gt;"OK","",TRIM(IF(AND(AU106&lt;&gt;"",N(AU106)&lt;=1),"根拠1件 ","")&amp;IF(AV106&lt;&gt;"","同名あり ","")&amp;IF(AND(NOT(ISNUMBER(N106)),N106&lt;&gt;""),"回数を換算 ","")&amp;IF(J106="","詳細なし ","")&amp;IF(AND(N(AP106)=1,BB106=""),"顧客名なし ","")))</f>
        <v/>
      </c>
      <c r="AD106" s="31" t="n"/>
      <c r="AE106" s="32" t="n"/>
      <c r="AF106" s="32" t="n"/>
      <c r="AG106" s="31" t="n"/>
      <c r="AH106">
        <f>IF(AB106&lt;&gt;"OK","",IF(AG106&lt;&gt;"",AG106,AJ106))</f>
        <v/>
      </c>
      <c r="AI106" s="33">
        <f>IF(AB106&lt;&gt;"OK","",IFERROR(IF(AE106&lt;&gt;"",AE106,AS106)*IF(AF106&lt;&gt;"",AF106,AT106)/60,""))</f>
        <v/>
      </c>
      <c r="AJ106">
        <f>IF(AB106&lt;&gt;"OK","",IF(OR(VALUE(T106)=2,VALUE(U106)=2,VALUE(V106)=2),"社内残置",IF(AND(VALUE(T106)=0,VALUE(W106)=0,VALUE(Y106)=0),"自動化候補",IF(AND(VALUE(U106)=0,VALUE(W106)&lt;=1,VALUE(X106)&lt;=1,VALUE(Y106)&lt;=1,VALUE(Z106)&lt;=1),"オフショア候補",IF(AND(VALUE(Y106)&lt;=1,VALUE(Z106)&lt;=1),"ニアショア候補","社内で手順化→再評価")))))</f>
        <v/>
      </c>
      <c r="AK106">
        <f>IF(AB106&lt;&gt;"OK","",14-SUMPRODUCT(--T106:Z106))</f>
        <v/>
      </c>
      <c r="AL106" s="33">
        <f>IF(AB106&lt;&gt;"OK","",AS106*AT106/60)</f>
        <v/>
      </c>
      <c r="AM106" s="34">
        <f>IF(A106="","",UPPER(TRIM(ASC(A106&amp;""))))</f>
        <v/>
      </c>
      <c r="AN106" s="34">
        <f>IF(AM106="","",AM106&amp;"-"&amp;B106)</f>
        <v/>
      </c>
      <c r="AO106" s="34">
        <f>IF(C106="","",IFERROR(VALUE(ASC(SUBSTITUTE(C106&amp;"","観点",""))),""))</f>
        <v/>
      </c>
      <c r="AP106" s="34">
        <f>IF(D106="","",IFERROR(VALUE(LEFT(TRIM(ASC(D106&amp;"")),1)),IFERROR(MATCH(TRIM(D106&amp;""),'M2_区分マスタ'!$I$5:$I$10,0),"")))</f>
        <v/>
      </c>
      <c r="AQ106" s="34">
        <f>IF(H106="","",UPPER(LEFT(TRIM(ASC(H106&amp;"")),3)))</f>
        <v/>
      </c>
      <c r="AR106" s="34">
        <f>IF(N106="","",IFERROR(VALUE(SUBSTITUTE(SUBSTITUTE(SUBSTITUTE(SUBSTITUTE(SUBSTITUTE(SUBSTITUTE(SUBSTITUTE(SUBSTITUTE(SUBSTITUTE(SUBSTITUTE(SUBSTITUTE(SUBSTITUTE(ASC(N106&amp;""),"約",""),"程度",""),"ほど",""),"回",""),"毎",""),"週",""),"月",""),"年",""),"日",""),"に",""),"/","")," ","")),""))</f>
        <v/>
      </c>
      <c r="AS106" s="34">
        <f>IF(N106="","",IF(ISNUMBER(N106),N106,IFERROR(VALUE(ASC(N106&amp;"")),IF(AR106&lt;&gt;"",AR106*IF(ISNUMBER(SEARCH("週",N106)),4.3,IF(ISNUMBER(SEARCH("年",N106)),1/12,IF(ISNUMBER(SEARCH("日",N106)),20,1))),IF(ISNUMBER(SEARCH("日",N106)),20,IF(ISNUMBER(SEARCH("週",N106)),4.3,IF(ISNUMBER(SEARCH("月",N106)),1,"")))))))</f>
        <v/>
      </c>
      <c r="AT106" s="34">
        <f>IF(O106="","",IF(ISNUMBER(O106),O106,IFERROR(VALUE(ASC(O106&amp;"")),IF(ISNUMBER(SEARCH("時間",O106)),IFERROR(VALUE(SUBSTITUTE(SUBSTITUTE(SUBSTITUTE(SUBSTITUTE(SUBSTITUTE(ASC(O106&amp;""),"約",""),"程度",""),"ほど",""),"時間","")," ",""))*60,""),IFERROR(VALUE(SUBSTITUTE(SUBSTITUTE(SUBSTITUTE(SUBSTITUTE(SUBSTITUTE(ASC(O106&amp;""),"約",""),"程度",""),"ほど",""),"分","")," ","")),"")))))</f>
        <v/>
      </c>
      <c r="AU106" s="34">
        <f>IF(P106="","",IF(ISNUMBER(P106),P106,IFERROR(VALUE(SUBSTITUTE(SUBSTITUTE(SUBSTITUTE(ASC(P106&amp;""),"約",""),"件","")," ","")),"")))</f>
        <v/>
      </c>
      <c r="AV106" s="34">
        <f>IF(AB106&lt;&gt;"OK","",IF(COUNTIFS($G$5:$G$404,G106&amp;"",$F$5:$F$404,F106&amp;"",$BE$5:$BE$404,BE106&amp;"",$AB$5:$AB$404,"OK")&gt;1,"同名あり",""))</f>
        <v/>
      </c>
      <c r="AW106" s="35">
        <f>IF(Q106="","",IF(ISNUMBER(Q106),Q106,IFERROR(DATEVALUE(SUBSTITUTE(SUBSTITUTE(ASC(Q106&amp;""),"-","/"),".","/")&amp;"/01"),"")))</f>
        <v/>
      </c>
      <c r="AX106" s="35">
        <f>IF(R106="","",IF(ISNUMBER(R106),R106,IFERROR(DATEVALUE(SUBSTITUTE(SUBSTITUTE(ASC(R106&amp;""),"-","/"),".","/")&amp;"/01"),"")))</f>
        <v/>
      </c>
      <c r="AY106" s="34">
        <f>IF(OR(AB106&lt;&gt;"OK",AW106=""),"",IF(AW106&gt;='01_設定'!$C$26,1,0))</f>
        <v/>
      </c>
      <c r="AZ106" s="34">
        <f>IF(AND(AB106="OK",AD106&lt;&gt;"除外"),COUNTIFS($AB$5:AB106,"OK",$AD$5:AD106,"&lt;&gt;除外"),"")</f>
        <v/>
      </c>
      <c r="BA106" s="34">
        <f>IF(OR(AZ106="",AI106=""),"",AI106+ROW()/1000000000)</f>
        <v/>
      </c>
      <c r="BB106" s="34">
        <f>IF(E106="","",IF(OR(TRIM(E106&amp;"")="-",TRIM(E106&amp;"")="－",TRIM(E106&amp;"")="ー"),"",TRIM(E106&amp;"")))</f>
        <v/>
      </c>
      <c r="BC106" s="34">
        <f>IF(AND(AB106="OK",BB106&lt;&gt;""),IF(COUNTIFS($BB$5:BB106,BB106,$AB$5:AB106,"OK")=1,1,""),"")</f>
        <v/>
      </c>
      <c r="BD106" s="34">
        <f>IF(BC106=1,COUNTIF($BC$5:BC106,1),"")</f>
        <v/>
      </c>
      <c r="BE106" s="34">
        <f>IF(BB106="","",IFERROR(INDEX('06_顧客別集計'!$G$5:$G$104,MATCH(BB106,'06_顧客別集計'!$C$5:$C$104,0)),BB106))</f>
        <v/>
      </c>
      <c r="BF106" s="34">
        <f>IF(AND(AZ106&lt;&gt;"",BE106&lt;&gt;""),IF(COUNTIFS($BE$5:BE106,BE106,$AZ$5:AZ106,"&gt;0")=1,1,""),"")</f>
        <v/>
      </c>
      <c r="BG106" s="34">
        <f>IF(BF106=1,COUNTIF($BF$5:BF106,1),"")</f>
        <v/>
      </c>
    </row>
    <row r="107">
      <c r="AB107">
        <f>IF(AND(A107="",G107=""),"",IF(ISNUMBER(SEARCH("##END",AM107)),"（終わりの印）",IF(ISNUMBER(SEARCH("##続き",AM107)),"（続きありの印）",IF(AM107="調査ID","（見出し行）",IF(AND(AM107&lt;&gt;"R1",AM107&lt;&gt;"R2"),"×表以外の行（集計されない）",IF(COUNTIF($AN$5:AN107,AN107)&gt;1,"△重複（集計されない）",IF(G107="","△タスク名なし",IF(ISNA(MATCH(AQ107,'M1_類型マスタ'!$A$5:$A$19,0)),"△類型が不正",IF(OR(AP107="",N(AP107)&lt;1,N(AP107)&gt;6),"△業務区分が不正",IF(OR(AS107="",AT107=""),"△回数・分が読めない",IF(SUMPRODUCT(--ISNUMBER(--T107:Z107))&lt;7,"△採点が足りない",IF(SUMPRODUCT((--T107:Z107&gt;2)+(--T107:Z107&lt;0))&gt;0,"△採点が範囲外","OK"))))))))))))</f>
        <v/>
      </c>
      <c r="AC107">
        <f>IF(AB107&lt;&gt;"OK","",TRIM(IF(AND(AU107&lt;&gt;"",N(AU107)&lt;=1),"根拠1件 ","")&amp;IF(AV107&lt;&gt;"","同名あり ","")&amp;IF(AND(NOT(ISNUMBER(N107)),N107&lt;&gt;""),"回数を換算 ","")&amp;IF(J107="","詳細なし ","")&amp;IF(AND(N(AP107)=1,BB107=""),"顧客名なし ","")))</f>
        <v/>
      </c>
      <c r="AD107" s="31" t="n"/>
      <c r="AE107" s="32" t="n"/>
      <c r="AF107" s="32" t="n"/>
      <c r="AG107" s="31" t="n"/>
      <c r="AH107">
        <f>IF(AB107&lt;&gt;"OK","",IF(AG107&lt;&gt;"",AG107,AJ107))</f>
        <v/>
      </c>
      <c r="AI107" s="33">
        <f>IF(AB107&lt;&gt;"OK","",IFERROR(IF(AE107&lt;&gt;"",AE107,AS107)*IF(AF107&lt;&gt;"",AF107,AT107)/60,""))</f>
        <v/>
      </c>
      <c r="AJ107">
        <f>IF(AB107&lt;&gt;"OK","",IF(OR(VALUE(T107)=2,VALUE(U107)=2,VALUE(V107)=2),"社内残置",IF(AND(VALUE(T107)=0,VALUE(W107)=0,VALUE(Y107)=0),"自動化候補",IF(AND(VALUE(U107)=0,VALUE(W107)&lt;=1,VALUE(X107)&lt;=1,VALUE(Y107)&lt;=1,VALUE(Z107)&lt;=1),"オフショア候補",IF(AND(VALUE(Y107)&lt;=1,VALUE(Z107)&lt;=1),"ニアショア候補","社内で手順化→再評価")))))</f>
        <v/>
      </c>
      <c r="AK107">
        <f>IF(AB107&lt;&gt;"OK","",14-SUMPRODUCT(--T107:Z107))</f>
        <v/>
      </c>
      <c r="AL107" s="33">
        <f>IF(AB107&lt;&gt;"OK","",AS107*AT107/60)</f>
        <v/>
      </c>
      <c r="AM107" s="34">
        <f>IF(A107="","",UPPER(TRIM(ASC(A107&amp;""))))</f>
        <v/>
      </c>
      <c r="AN107" s="34">
        <f>IF(AM107="","",AM107&amp;"-"&amp;B107)</f>
        <v/>
      </c>
      <c r="AO107" s="34">
        <f>IF(C107="","",IFERROR(VALUE(ASC(SUBSTITUTE(C107&amp;"","観点",""))),""))</f>
        <v/>
      </c>
      <c r="AP107" s="34">
        <f>IF(D107="","",IFERROR(VALUE(LEFT(TRIM(ASC(D107&amp;"")),1)),IFERROR(MATCH(TRIM(D107&amp;""),'M2_区分マスタ'!$I$5:$I$10,0),"")))</f>
        <v/>
      </c>
      <c r="AQ107" s="34">
        <f>IF(H107="","",UPPER(LEFT(TRIM(ASC(H107&amp;"")),3)))</f>
        <v/>
      </c>
      <c r="AR107" s="34">
        <f>IF(N107="","",IFERROR(VALUE(SUBSTITUTE(SUBSTITUTE(SUBSTITUTE(SUBSTITUTE(SUBSTITUTE(SUBSTITUTE(SUBSTITUTE(SUBSTITUTE(SUBSTITUTE(SUBSTITUTE(SUBSTITUTE(SUBSTITUTE(ASC(N107&amp;""),"約",""),"程度",""),"ほど",""),"回",""),"毎",""),"週",""),"月",""),"年",""),"日",""),"に",""),"/","")," ","")),""))</f>
        <v/>
      </c>
      <c r="AS107" s="34">
        <f>IF(N107="","",IF(ISNUMBER(N107),N107,IFERROR(VALUE(ASC(N107&amp;"")),IF(AR107&lt;&gt;"",AR107*IF(ISNUMBER(SEARCH("週",N107)),4.3,IF(ISNUMBER(SEARCH("年",N107)),1/12,IF(ISNUMBER(SEARCH("日",N107)),20,1))),IF(ISNUMBER(SEARCH("日",N107)),20,IF(ISNUMBER(SEARCH("週",N107)),4.3,IF(ISNUMBER(SEARCH("月",N107)),1,"")))))))</f>
        <v/>
      </c>
      <c r="AT107" s="34">
        <f>IF(O107="","",IF(ISNUMBER(O107),O107,IFERROR(VALUE(ASC(O107&amp;"")),IF(ISNUMBER(SEARCH("時間",O107)),IFERROR(VALUE(SUBSTITUTE(SUBSTITUTE(SUBSTITUTE(SUBSTITUTE(SUBSTITUTE(ASC(O107&amp;""),"約",""),"程度",""),"ほど",""),"時間","")," ",""))*60,""),IFERROR(VALUE(SUBSTITUTE(SUBSTITUTE(SUBSTITUTE(SUBSTITUTE(SUBSTITUTE(ASC(O107&amp;""),"約",""),"程度",""),"ほど",""),"分","")," ","")),"")))))</f>
        <v/>
      </c>
      <c r="AU107" s="34">
        <f>IF(P107="","",IF(ISNUMBER(P107),P107,IFERROR(VALUE(SUBSTITUTE(SUBSTITUTE(SUBSTITUTE(ASC(P107&amp;""),"約",""),"件","")," ","")),"")))</f>
        <v/>
      </c>
      <c r="AV107" s="34">
        <f>IF(AB107&lt;&gt;"OK","",IF(COUNTIFS($G$5:$G$404,G107&amp;"",$F$5:$F$404,F107&amp;"",$BE$5:$BE$404,BE107&amp;"",$AB$5:$AB$404,"OK")&gt;1,"同名あり",""))</f>
        <v/>
      </c>
      <c r="AW107" s="35">
        <f>IF(Q107="","",IF(ISNUMBER(Q107),Q107,IFERROR(DATEVALUE(SUBSTITUTE(SUBSTITUTE(ASC(Q107&amp;""),"-","/"),".","/")&amp;"/01"),"")))</f>
        <v/>
      </c>
      <c r="AX107" s="35">
        <f>IF(R107="","",IF(ISNUMBER(R107),R107,IFERROR(DATEVALUE(SUBSTITUTE(SUBSTITUTE(ASC(R107&amp;""),"-","/"),".","/")&amp;"/01"),"")))</f>
        <v/>
      </c>
      <c r="AY107" s="34">
        <f>IF(OR(AB107&lt;&gt;"OK",AW107=""),"",IF(AW107&gt;='01_設定'!$C$26,1,0))</f>
        <v/>
      </c>
      <c r="AZ107" s="34">
        <f>IF(AND(AB107="OK",AD107&lt;&gt;"除外"),COUNTIFS($AB$5:AB107,"OK",$AD$5:AD107,"&lt;&gt;除外"),"")</f>
        <v/>
      </c>
      <c r="BA107" s="34">
        <f>IF(OR(AZ107="",AI107=""),"",AI107+ROW()/1000000000)</f>
        <v/>
      </c>
      <c r="BB107" s="34">
        <f>IF(E107="","",IF(OR(TRIM(E107&amp;"")="-",TRIM(E107&amp;"")="－",TRIM(E107&amp;"")="ー"),"",TRIM(E107&amp;"")))</f>
        <v/>
      </c>
      <c r="BC107" s="34">
        <f>IF(AND(AB107="OK",BB107&lt;&gt;""),IF(COUNTIFS($BB$5:BB107,BB107,$AB$5:AB107,"OK")=1,1,""),"")</f>
        <v/>
      </c>
      <c r="BD107" s="34">
        <f>IF(BC107=1,COUNTIF($BC$5:BC107,1),"")</f>
        <v/>
      </c>
      <c r="BE107" s="34">
        <f>IF(BB107="","",IFERROR(INDEX('06_顧客別集計'!$G$5:$G$104,MATCH(BB107,'06_顧客別集計'!$C$5:$C$104,0)),BB107))</f>
        <v/>
      </c>
      <c r="BF107" s="34">
        <f>IF(AND(AZ107&lt;&gt;"",BE107&lt;&gt;""),IF(COUNTIFS($BE$5:BE107,BE107,$AZ$5:AZ107,"&gt;0")=1,1,""),"")</f>
        <v/>
      </c>
      <c r="BG107" s="34">
        <f>IF(BF107=1,COUNTIF($BF$5:BF107,1),"")</f>
        <v/>
      </c>
    </row>
    <row r="108">
      <c r="AB108">
        <f>IF(AND(A108="",G108=""),"",IF(ISNUMBER(SEARCH("##END",AM108)),"（終わりの印）",IF(ISNUMBER(SEARCH("##続き",AM108)),"（続きありの印）",IF(AM108="調査ID","（見出し行）",IF(AND(AM108&lt;&gt;"R1",AM108&lt;&gt;"R2"),"×表以外の行（集計されない）",IF(COUNTIF($AN$5:AN108,AN108)&gt;1,"△重複（集計されない）",IF(G108="","△タスク名なし",IF(ISNA(MATCH(AQ108,'M1_類型マスタ'!$A$5:$A$19,0)),"△類型が不正",IF(OR(AP108="",N(AP108)&lt;1,N(AP108)&gt;6),"△業務区分が不正",IF(OR(AS108="",AT108=""),"△回数・分が読めない",IF(SUMPRODUCT(--ISNUMBER(--T108:Z108))&lt;7,"△採点が足りない",IF(SUMPRODUCT((--T108:Z108&gt;2)+(--T108:Z108&lt;0))&gt;0,"△採点が範囲外","OK"))))))))))))</f>
        <v/>
      </c>
      <c r="AC108">
        <f>IF(AB108&lt;&gt;"OK","",TRIM(IF(AND(AU108&lt;&gt;"",N(AU108)&lt;=1),"根拠1件 ","")&amp;IF(AV108&lt;&gt;"","同名あり ","")&amp;IF(AND(NOT(ISNUMBER(N108)),N108&lt;&gt;""),"回数を換算 ","")&amp;IF(J108="","詳細なし ","")&amp;IF(AND(N(AP108)=1,BB108=""),"顧客名なし ","")))</f>
        <v/>
      </c>
      <c r="AD108" s="31" t="n"/>
      <c r="AE108" s="32" t="n"/>
      <c r="AF108" s="32" t="n"/>
      <c r="AG108" s="31" t="n"/>
      <c r="AH108">
        <f>IF(AB108&lt;&gt;"OK","",IF(AG108&lt;&gt;"",AG108,AJ108))</f>
        <v/>
      </c>
      <c r="AI108" s="33">
        <f>IF(AB108&lt;&gt;"OK","",IFERROR(IF(AE108&lt;&gt;"",AE108,AS108)*IF(AF108&lt;&gt;"",AF108,AT108)/60,""))</f>
        <v/>
      </c>
      <c r="AJ108">
        <f>IF(AB108&lt;&gt;"OK","",IF(OR(VALUE(T108)=2,VALUE(U108)=2,VALUE(V108)=2),"社内残置",IF(AND(VALUE(T108)=0,VALUE(W108)=0,VALUE(Y108)=0),"自動化候補",IF(AND(VALUE(U108)=0,VALUE(W108)&lt;=1,VALUE(X108)&lt;=1,VALUE(Y108)&lt;=1,VALUE(Z108)&lt;=1),"オフショア候補",IF(AND(VALUE(Y108)&lt;=1,VALUE(Z108)&lt;=1),"ニアショア候補","社内で手順化→再評価")))))</f>
        <v/>
      </c>
      <c r="AK108">
        <f>IF(AB108&lt;&gt;"OK","",14-SUMPRODUCT(--T108:Z108))</f>
        <v/>
      </c>
      <c r="AL108" s="33">
        <f>IF(AB108&lt;&gt;"OK","",AS108*AT108/60)</f>
        <v/>
      </c>
      <c r="AM108" s="34">
        <f>IF(A108="","",UPPER(TRIM(ASC(A108&amp;""))))</f>
        <v/>
      </c>
      <c r="AN108" s="34">
        <f>IF(AM108="","",AM108&amp;"-"&amp;B108)</f>
        <v/>
      </c>
      <c r="AO108" s="34">
        <f>IF(C108="","",IFERROR(VALUE(ASC(SUBSTITUTE(C108&amp;"","観点",""))),""))</f>
        <v/>
      </c>
      <c r="AP108" s="34">
        <f>IF(D108="","",IFERROR(VALUE(LEFT(TRIM(ASC(D108&amp;"")),1)),IFERROR(MATCH(TRIM(D108&amp;""),'M2_区分マスタ'!$I$5:$I$10,0),"")))</f>
        <v/>
      </c>
      <c r="AQ108" s="34">
        <f>IF(H108="","",UPPER(LEFT(TRIM(ASC(H108&amp;"")),3)))</f>
        <v/>
      </c>
      <c r="AR108" s="34">
        <f>IF(N108="","",IFERROR(VALUE(SUBSTITUTE(SUBSTITUTE(SUBSTITUTE(SUBSTITUTE(SUBSTITUTE(SUBSTITUTE(SUBSTITUTE(SUBSTITUTE(SUBSTITUTE(SUBSTITUTE(SUBSTITUTE(SUBSTITUTE(ASC(N108&amp;""),"約",""),"程度",""),"ほど",""),"回",""),"毎",""),"週",""),"月",""),"年",""),"日",""),"に",""),"/","")," ","")),""))</f>
        <v/>
      </c>
      <c r="AS108" s="34">
        <f>IF(N108="","",IF(ISNUMBER(N108),N108,IFERROR(VALUE(ASC(N108&amp;"")),IF(AR108&lt;&gt;"",AR108*IF(ISNUMBER(SEARCH("週",N108)),4.3,IF(ISNUMBER(SEARCH("年",N108)),1/12,IF(ISNUMBER(SEARCH("日",N108)),20,1))),IF(ISNUMBER(SEARCH("日",N108)),20,IF(ISNUMBER(SEARCH("週",N108)),4.3,IF(ISNUMBER(SEARCH("月",N108)),1,"")))))))</f>
        <v/>
      </c>
      <c r="AT108" s="34">
        <f>IF(O108="","",IF(ISNUMBER(O108),O108,IFERROR(VALUE(ASC(O108&amp;"")),IF(ISNUMBER(SEARCH("時間",O108)),IFERROR(VALUE(SUBSTITUTE(SUBSTITUTE(SUBSTITUTE(SUBSTITUTE(SUBSTITUTE(ASC(O108&amp;""),"約",""),"程度",""),"ほど",""),"時間","")," ",""))*60,""),IFERROR(VALUE(SUBSTITUTE(SUBSTITUTE(SUBSTITUTE(SUBSTITUTE(SUBSTITUTE(ASC(O108&amp;""),"約",""),"程度",""),"ほど",""),"分","")," ","")),"")))))</f>
        <v/>
      </c>
      <c r="AU108" s="34">
        <f>IF(P108="","",IF(ISNUMBER(P108),P108,IFERROR(VALUE(SUBSTITUTE(SUBSTITUTE(SUBSTITUTE(ASC(P108&amp;""),"約",""),"件","")," ","")),"")))</f>
        <v/>
      </c>
      <c r="AV108" s="34">
        <f>IF(AB108&lt;&gt;"OK","",IF(COUNTIFS($G$5:$G$404,G108&amp;"",$F$5:$F$404,F108&amp;"",$BE$5:$BE$404,BE108&amp;"",$AB$5:$AB$404,"OK")&gt;1,"同名あり",""))</f>
        <v/>
      </c>
      <c r="AW108" s="35">
        <f>IF(Q108="","",IF(ISNUMBER(Q108),Q108,IFERROR(DATEVALUE(SUBSTITUTE(SUBSTITUTE(ASC(Q108&amp;""),"-","/"),".","/")&amp;"/01"),"")))</f>
        <v/>
      </c>
      <c r="AX108" s="35">
        <f>IF(R108="","",IF(ISNUMBER(R108),R108,IFERROR(DATEVALUE(SUBSTITUTE(SUBSTITUTE(ASC(R108&amp;""),"-","/"),".","/")&amp;"/01"),"")))</f>
        <v/>
      </c>
      <c r="AY108" s="34">
        <f>IF(OR(AB108&lt;&gt;"OK",AW108=""),"",IF(AW108&gt;='01_設定'!$C$26,1,0))</f>
        <v/>
      </c>
      <c r="AZ108" s="34">
        <f>IF(AND(AB108="OK",AD108&lt;&gt;"除外"),COUNTIFS($AB$5:AB108,"OK",$AD$5:AD108,"&lt;&gt;除外"),"")</f>
        <v/>
      </c>
      <c r="BA108" s="34">
        <f>IF(OR(AZ108="",AI108=""),"",AI108+ROW()/1000000000)</f>
        <v/>
      </c>
      <c r="BB108" s="34">
        <f>IF(E108="","",IF(OR(TRIM(E108&amp;"")="-",TRIM(E108&amp;"")="－",TRIM(E108&amp;"")="ー"),"",TRIM(E108&amp;"")))</f>
        <v/>
      </c>
      <c r="BC108" s="34">
        <f>IF(AND(AB108="OK",BB108&lt;&gt;""),IF(COUNTIFS($BB$5:BB108,BB108,$AB$5:AB108,"OK")=1,1,""),"")</f>
        <v/>
      </c>
      <c r="BD108" s="34">
        <f>IF(BC108=1,COUNTIF($BC$5:BC108,1),"")</f>
        <v/>
      </c>
      <c r="BE108" s="34">
        <f>IF(BB108="","",IFERROR(INDEX('06_顧客別集計'!$G$5:$G$104,MATCH(BB108,'06_顧客別集計'!$C$5:$C$104,0)),BB108))</f>
        <v/>
      </c>
      <c r="BF108" s="34">
        <f>IF(AND(AZ108&lt;&gt;"",BE108&lt;&gt;""),IF(COUNTIFS($BE$5:BE108,BE108,$AZ$5:AZ108,"&gt;0")=1,1,""),"")</f>
        <v/>
      </c>
      <c r="BG108" s="34">
        <f>IF(BF108=1,COUNTIF($BF$5:BF108,1),"")</f>
        <v/>
      </c>
    </row>
    <row r="109">
      <c r="AB109">
        <f>IF(AND(A109="",G109=""),"",IF(ISNUMBER(SEARCH("##END",AM109)),"（終わりの印）",IF(ISNUMBER(SEARCH("##続き",AM109)),"（続きありの印）",IF(AM109="調査ID","（見出し行）",IF(AND(AM109&lt;&gt;"R1",AM109&lt;&gt;"R2"),"×表以外の行（集計されない）",IF(COUNTIF($AN$5:AN109,AN109)&gt;1,"△重複（集計されない）",IF(G109="","△タスク名なし",IF(ISNA(MATCH(AQ109,'M1_類型マスタ'!$A$5:$A$19,0)),"△類型が不正",IF(OR(AP109="",N(AP109)&lt;1,N(AP109)&gt;6),"△業務区分が不正",IF(OR(AS109="",AT109=""),"△回数・分が読めない",IF(SUMPRODUCT(--ISNUMBER(--T109:Z109))&lt;7,"△採点が足りない",IF(SUMPRODUCT((--T109:Z109&gt;2)+(--T109:Z109&lt;0))&gt;0,"△採点が範囲外","OK"))))))))))))</f>
        <v/>
      </c>
      <c r="AC109">
        <f>IF(AB109&lt;&gt;"OK","",TRIM(IF(AND(AU109&lt;&gt;"",N(AU109)&lt;=1),"根拠1件 ","")&amp;IF(AV109&lt;&gt;"","同名あり ","")&amp;IF(AND(NOT(ISNUMBER(N109)),N109&lt;&gt;""),"回数を換算 ","")&amp;IF(J109="","詳細なし ","")&amp;IF(AND(N(AP109)=1,BB109=""),"顧客名なし ","")))</f>
        <v/>
      </c>
      <c r="AD109" s="31" t="n"/>
      <c r="AE109" s="32" t="n"/>
      <c r="AF109" s="32" t="n"/>
      <c r="AG109" s="31" t="n"/>
      <c r="AH109">
        <f>IF(AB109&lt;&gt;"OK","",IF(AG109&lt;&gt;"",AG109,AJ109))</f>
        <v/>
      </c>
      <c r="AI109" s="33">
        <f>IF(AB109&lt;&gt;"OK","",IFERROR(IF(AE109&lt;&gt;"",AE109,AS109)*IF(AF109&lt;&gt;"",AF109,AT109)/60,""))</f>
        <v/>
      </c>
      <c r="AJ109">
        <f>IF(AB109&lt;&gt;"OK","",IF(OR(VALUE(T109)=2,VALUE(U109)=2,VALUE(V109)=2),"社内残置",IF(AND(VALUE(T109)=0,VALUE(W109)=0,VALUE(Y109)=0),"自動化候補",IF(AND(VALUE(U109)=0,VALUE(W109)&lt;=1,VALUE(X109)&lt;=1,VALUE(Y109)&lt;=1,VALUE(Z109)&lt;=1),"オフショア候補",IF(AND(VALUE(Y109)&lt;=1,VALUE(Z109)&lt;=1),"ニアショア候補","社内で手順化→再評価")))))</f>
        <v/>
      </c>
      <c r="AK109">
        <f>IF(AB109&lt;&gt;"OK","",14-SUMPRODUCT(--T109:Z109))</f>
        <v/>
      </c>
      <c r="AL109" s="33">
        <f>IF(AB109&lt;&gt;"OK","",AS109*AT109/60)</f>
        <v/>
      </c>
      <c r="AM109" s="34">
        <f>IF(A109="","",UPPER(TRIM(ASC(A109&amp;""))))</f>
        <v/>
      </c>
      <c r="AN109" s="34">
        <f>IF(AM109="","",AM109&amp;"-"&amp;B109)</f>
        <v/>
      </c>
      <c r="AO109" s="34">
        <f>IF(C109="","",IFERROR(VALUE(ASC(SUBSTITUTE(C109&amp;"","観点",""))),""))</f>
        <v/>
      </c>
      <c r="AP109" s="34">
        <f>IF(D109="","",IFERROR(VALUE(LEFT(TRIM(ASC(D109&amp;"")),1)),IFERROR(MATCH(TRIM(D109&amp;""),'M2_区分マスタ'!$I$5:$I$10,0),"")))</f>
        <v/>
      </c>
      <c r="AQ109" s="34">
        <f>IF(H109="","",UPPER(LEFT(TRIM(ASC(H109&amp;"")),3)))</f>
        <v/>
      </c>
      <c r="AR109" s="34">
        <f>IF(N109="","",IFERROR(VALUE(SUBSTITUTE(SUBSTITUTE(SUBSTITUTE(SUBSTITUTE(SUBSTITUTE(SUBSTITUTE(SUBSTITUTE(SUBSTITUTE(SUBSTITUTE(SUBSTITUTE(SUBSTITUTE(SUBSTITUTE(ASC(N109&amp;""),"約",""),"程度",""),"ほど",""),"回",""),"毎",""),"週",""),"月",""),"年",""),"日",""),"に",""),"/","")," ","")),""))</f>
        <v/>
      </c>
      <c r="AS109" s="34">
        <f>IF(N109="","",IF(ISNUMBER(N109),N109,IFERROR(VALUE(ASC(N109&amp;"")),IF(AR109&lt;&gt;"",AR109*IF(ISNUMBER(SEARCH("週",N109)),4.3,IF(ISNUMBER(SEARCH("年",N109)),1/12,IF(ISNUMBER(SEARCH("日",N109)),20,1))),IF(ISNUMBER(SEARCH("日",N109)),20,IF(ISNUMBER(SEARCH("週",N109)),4.3,IF(ISNUMBER(SEARCH("月",N109)),1,"")))))))</f>
        <v/>
      </c>
      <c r="AT109" s="34">
        <f>IF(O109="","",IF(ISNUMBER(O109),O109,IFERROR(VALUE(ASC(O109&amp;"")),IF(ISNUMBER(SEARCH("時間",O109)),IFERROR(VALUE(SUBSTITUTE(SUBSTITUTE(SUBSTITUTE(SUBSTITUTE(SUBSTITUTE(ASC(O109&amp;""),"約",""),"程度",""),"ほど",""),"時間","")," ",""))*60,""),IFERROR(VALUE(SUBSTITUTE(SUBSTITUTE(SUBSTITUTE(SUBSTITUTE(SUBSTITUTE(ASC(O109&amp;""),"約",""),"程度",""),"ほど",""),"分","")," ","")),"")))))</f>
        <v/>
      </c>
      <c r="AU109" s="34">
        <f>IF(P109="","",IF(ISNUMBER(P109),P109,IFERROR(VALUE(SUBSTITUTE(SUBSTITUTE(SUBSTITUTE(ASC(P109&amp;""),"約",""),"件","")," ","")),"")))</f>
        <v/>
      </c>
      <c r="AV109" s="34">
        <f>IF(AB109&lt;&gt;"OK","",IF(COUNTIFS($G$5:$G$404,G109&amp;"",$F$5:$F$404,F109&amp;"",$BE$5:$BE$404,BE109&amp;"",$AB$5:$AB$404,"OK")&gt;1,"同名あり",""))</f>
        <v/>
      </c>
      <c r="AW109" s="35">
        <f>IF(Q109="","",IF(ISNUMBER(Q109),Q109,IFERROR(DATEVALUE(SUBSTITUTE(SUBSTITUTE(ASC(Q109&amp;""),"-","/"),".","/")&amp;"/01"),"")))</f>
        <v/>
      </c>
      <c r="AX109" s="35">
        <f>IF(R109="","",IF(ISNUMBER(R109),R109,IFERROR(DATEVALUE(SUBSTITUTE(SUBSTITUTE(ASC(R109&amp;""),"-","/"),".","/")&amp;"/01"),"")))</f>
        <v/>
      </c>
      <c r="AY109" s="34">
        <f>IF(OR(AB109&lt;&gt;"OK",AW109=""),"",IF(AW109&gt;='01_設定'!$C$26,1,0))</f>
        <v/>
      </c>
      <c r="AZ109" s="34">
        <f>IF(AND(AB109="OK",AD109&lt;&gt;"除外"),COUNTIFS($AB$5:AB109,"OK",$AD$5:AD109,"&lt;&gt;除外"),"")</f>
        <v/>
      </c>
      <c r="BA109" s="34">
        <f>IF(OR(AZ109="",AI109=""),"",AI109+ROW()/1000000000)</f>
        <v/>
      </c>
      <c r="BB109" s="34">
        <f>IF(E109="","",IF(OR(TRIM(E109&amp;"")="-",TRIM(E109&amp;"")="－",TRIM(E109&amp;"")="ー"),"",TRIM(E109&amp;"")))</f>
        <v/>
      </c>
      <c r="BC109" s="34">
        <f>IF(AND(AB109="OK",BB109&lt;&gt;""),IF(COUNTIFS($BB$5:BB109,BB109,$AB$5:AB109,"OK")=1,1,""),"")</f>
        <v/>
      </c>
      <c r="BD109" s="34">
        <f>IF(BC109=1,COUNTIF($BC$5:BC109,1),"")</f>
        <v/>
      </c>
      <c r="BE109" s="34">
        <f>IF(BB109="","",IFERROR(INDEX('06_顧客別集計'!$G$5:$G$104,MATCH(BB109,'06_顧客別集計'!$C$5:$C$104,0)),BB109))</f>
        <v/>
      </c>
      <c r="BF109" s="34">
        <f>IF(AND(AZ109&lt;&gt;"",BE109&lt;&gt;""),IF(COUNTIFS($BE$5:BE109,BE109,$AZ$5:AZ109,"&gt;0")=1,1,""),"")</f>
        <v/>
      </c>
      <c r="BG109" s="34">
        <f>IF(BF109=1,COUNTIF($BF$5:BF109,1),"")</f>
        <v/>
      </c>
    </row>
    <row r="110">
      <c r="AB110">
        <f>IF(AND(A110="",G110=""),"",IF(ISNUMBER(SEARCH("##END",AM110)),"（終わりの印）",IF(ISNUMBER(SEARCH("##続き",AM110)),"（続きありの印）",IF(AM110="調査ID","（見出し行）",IF(AND(AM110&lt;&gt;"R1",AM110&lt;&gt;"R2"),"×表以外の行（集計されない）",IF(COUNTIF($AN$5:AN110,AN110)&gt;1,"△重複（集計されない）",IF(G110="","△タスク名なし",IF(ISNA(MATCH(AQ110,'M1_類型マスタ'!$A$5:$A$19,0)),"△類型が不正",IF(OR(AP110="",N(AP110)&lt;1,N(AP110)&gt;6),"△業務区分が不正",IF(OR(AS110="",AT110=""),"△回数・分が読めない",IF(SUMPRODUCT(--ISNUMBER(--T110:Z110))&lt;7,"△採点が足りない",IF(SUMPRODUCT((--T110:Z110&gt;2)+(--T110:Z110&lt;0))&gt;0,"△採点が範囲外","OK"))))))))))))</f>
        <v/>
      </c>
      <c r="AC110">
        <f>IF(AB110&lt;&gt;"OK","",TRIM(IF(AND(AU110&lt;&gt;"",N(AU110)&lt;=1),"根拠1件 ","")&amp;IF(AV110&lt;&gt;"","同名あり ","")&amp;IF(AND(NOT(ISNUMBER(N110)),N110&lt;&gt;""),"回数を換算 ","")&amp;IF(J110="","詳細なし ","")&amp;IF(AND(N(AP110)=1,BB110=""),"顧客名なし ","")))</f>
        <v/>
      </c>
      <c r="AD110" s="31" t="n"/>
      <c r="AE110" s="32" t="n"/>
      <c r="AF110" s="32" t="n"/>
      <c r="AG110" s="31" t="n"/>
      <c r="AH110">
        <f>IF(AB110&lt;&gt;"OK","",IF(AG110&lt;&gt;"",AG110,AJ110))</f>
        <v/>
      </c>
      <c r="AI110" s="33">
        <f>IF(AB110&lt;&gt;"OK","",IFERROR(IF(AE110&lt;&gt;"",AE110,AS110)*IF(AF110&lt;&gt;"",AF110,AT110)/60,""))</f>
        <v/>
      </c>
      <c r="AJ110">
        <f>IF(AB110&lt;&gt;"OK","",IF(OR(VALUE(T110)=2,VALUE(U110)=2,VALUE(V110)=2),"社内残置",IF(AND(VALUE(T110)=0,VALUE(W110)=0,VALUE(Y110)=0),"自動化候補",IF(AND(VALUE(U110)=0,VALUE(W110)&lt;=1,VALUE(X110)&lt;=1,VALUE(Y110)&lt;=1,VALUE(Z110)&lt;=1),"オフショア候補",IF(AND(VALUE(Y110)&lt;=1,VALUE(Z110)&lt;=1),"ニアショア候補","社内で手順化→再評価")))))</f>
        <v/>
      </c>
      <c r="AK110">
        <f>IF(AB110&lt;&gt;"OK","",14-SUMPRODUCT(--T110:Z110))</f>
        <v/>
      </c>
      <c r="AL110" s="33">
        <f>IF(AB110&lt;&gt;"OK","",AS110*AT110/60)</f>
        <v/>
      </c>
      <c r="AM110" s="34">
        <f>IF(A110="","",UPPER(TRIM(ASC(A110&amp;""))))</f>
        <v/>
      </c>
      <c r="AN110" s="34">
        <f>IF(AM110="","",AM110&amp;"-"&amp;B110)</f>
        <v/>
      </c>
      <c r="AO110" s="34">
        <f>IF(C110="","",IFERROR(VALUE(ASC(SUBSTITUTE(C110&amp;"","観点",""))),""))</f>
        <v/>
      </c>
      <c r="AP110" s="34">
        <f>IF(D110="","",IFERROR(VALUE(LEFT(TRIM(ASC(D110&amp;"")),1)),IFERROR(MATCH(TRIM(D110&amp;""),'M2_区分マスタ'!$I$5:$I$10,0),"")))</f>
        <v/>
      </c>
      <c r="AQ110" s="34">
        <f>IF(H110="","",UPPER(LEFT(TRIM(ASC(H110&amp;"")),3)))</f>
        <v/>
      </c>
      <c r="AR110" s="34">
        <f>IF(N110="","",IFERROR(VALUE(SUBSTITUTE(SUBSTITUTE(SUBSTITUTE(SUBSTITUTE(SUBSTITUTE(SUBSTITUTE(SUBSTITUTE(SUBSTITUTE(SUBSTITUTE(SUBSTITUTE(SUBSTITUTE(SUBSTITUTE(ASC(N110&amp;""),"約",""),"程度",""),"ほど",""),"回",""),"毎",""),"週",""),"月",""),"年",""),"日",""),"に",""),"/","")," ","")),""))</f>
        <v/>
      </c>
      <c r="AS110" s="34">
        <f>IF(N110="","",IF(ISNUMBER(N110),N110,IFERROR(VALUE(ASC(N110&amp;"")),IF(AR110&lt;&gt;"",AR110*IF(ISNUMBER(SEARCH("週",N110)),4.3,IF(ISNUMBER(SEARCH("年",N110)),1/12,IF(ISNUMBER(SEARCH("日",N110)),20,1))),IF(ISNUMBER(SEARCH("日",N110)),20,IF(ISNUMBER(SEARCH("週",N110)),4.3,IF(ISNUMBER(SEARCH("月",N110)),1,"")))))))</f>
        <v/>
      </c>
      <c r="AT110" s="34">
        <f>IF(O110="","",IF(ISNUMBER(O110),O110,IFERROR(VALUE(ASC(O110&amp;"")),IF(ISNUMBER(SEARCH("時間",O110)),IFERROR(VALUE(SUBSTITUTE(SUBSTITUTE(SUBSTITUTE(SUBSTITUTE(SUBSTITUTE(ASC(O110&amp;""),"約",""),"程度",""),"ほど",""),"時間","")," ",""))*60,""),IFERROR(VALUE(SUBSTITUTE(SUBSTITUTE(SUBSTITUTE(SUBSTITUTE(SUBSTITUTE(ASC(O110&amp;""),"約",""),"程度",""),"ほど",""),"分","")," ","")),"")))))</f>
        <v/>
      </c>
      <c r="AU110" s="34">
        <f>IF(P110="","",IF(ISNUMBER(P110),P110,IFERROR(VALUE(SUBSTITUTE(SUBSTITUTE(SUBSTITUTE(ASC(P110&amp;""),"約",""),"件","")," ","")),"")))</f>
        <v/>
      </c>
      <c r="AV110" s="34">
        <f>IF(AB110&lt;&gt;"OK","",IF(COUNTIFS($G$5:$G$404,G110&amp;"",$F$5:$F$404,F110&amp;"",$BE$5:$BE$404,BE110&amp;"",$AB$5:$AB$404,"OK")&gt;1,"同名あり",""))</f>
        <v/>
      </c>
      <c r="AW110" s="35">
        <f>IF(Q110="","",IF(ISNUMBER(Q110),Q110,IFERROR(DATEVALUE(SUBSTITUTE(SUBSTITUTE(ASC(Q110&amp;""),"-","/"),".","/")&amp;"/01"),"")))</f>
        <v/>
      </c>
      <c r="AX110" s="35">
        <f>IF(R110="","",IF(ISNUMBER(R110),R110,IFERROR(DATEVALUE(SUBSTITUTE(SUBSTITUTE(ASC(R110&amp;""),"-","/"),".","/")&amp;"/01"),"")))</f>
        <v/>
      </c>
      <c r="AY110" s="34">
        <f>IF(OR(AB110&lt;&gt;"OK",AW110=""),"",IF(AW110&gt;='01_設定'!$C$26,1,0))</f>
        <v/>
      </c>
      <c r="AZ110" s="34">
        <f>IF(AND(AB110="OK",AD110&lt;&gt;"除外"),COUNTIFS($AB$5:AB110,"OK",$AD$5:AD110,"&lt;&gt;除外"),"")</f>
        <v/>
      </c>
      <c r="BA110" s="34">
        <f>IF(OR(AZ110="",AI110=""),"",AI110+ROW()/1000000000)</f>
        <v/>
      </c>
      <c r="BB110" s="34">
        <f>IF(E110="","",IF(OR(TRIM(E110&amp;"")="-",TRIM(E110&amp;"")="－",TRIM(E110&amp;"")="ー"),"",TRIM(E110&amp;"")))</f>
        <v/>
      </c>
      <c r="BC110" s="34">
        <f>IF(AND(AB110="OK",BB110&lt;&gt;""),IF(COUNTIFS($BB$5:BB110,BB110,$AB$5:AB110,"OK")=1,1,""),"")</f>
        <v/>
      </c>
      <c r="BD110" s="34">
        <f>IF(BC110=1,COUNTIF($BC$5:BC110,1),"")</f>
        <v/>
      </c>
      <c r="BE110" s="34">
        <f>IF(BB110="","",IFERROR(INDEX('06_顧客別集計'!$G$5:$G$104,MATCH(BB110,'06_顧客別集計'!$C$5:$C$104,0)),BB110))</f>
        <v/>
      </c>
      <c r="BF110" s="34">
        <f>IF(AND(AZ110&lt;&gt;"",BE110&lt;&gt;""),IF(COUNTIFS($BE$5:BE110,BE110,$AZ$5:AZ110,"&gt;0")=1,1,""),"")</f>
        <v/>
      </c>
      <c r="BG110" s="34">
        <f>IF(BF110=1,COUNTIF($BF$5:BF110,1),"")</f>
        <v/>
      </c>
    </row>
    <row r="111">
      <c r="AB111">
        <f>IF(AND(A111="",G111=""),"",IF(ISNUMBER(SEARCH("##END",AM111)),"（終わりの印）",IF(ISNUMBER(SEARCH("##続き",AM111)),"（続きありの印）",IF(AM111="調査ID","（見出し行）",IF(AND(AM111&lt;&gt;"R1",AM111&lt;&gt;"R2"),"×表以外の行（集計されない）",IF(COUNTIF($AN$5:AN111,AN111)&gt;1,"△重複（集計されない）",IF(G111="","△タスク名なし",IF(ISNA(MATCH(AQ111,'M1_類型マスタ'!$A$5:$A$19,0)),"△類型が不正",IF(OR(AP111="",N(AP111)&lt;1,N(AP111)&gt;6),"△業務区分が不正",IF(OR(AS111="",AT111=""),"△回数・分が読めない",IF(SUMPRODUCT(--ISNUMBER(--T111:Z111))&lt;7,"△採点が足りない",IF(SUMPRODUCT((--T111:Z111&gt;2)+(--T111:Z111&lt;0))&gt;0,"△採点が範囲外","OK"))))))))))))</f>
        <v/>
      </c>
      <c r="AC111">
        <f>IF(AB111&lt;&gt;"OK","",TRIM(IF(AND(AU111&lt;&gt;"",N(AU111)&lt;=1),"根拠1件 ","")&amp;IF(AV111&lt;&gt;"","同名あり ","")&amp;IF(AND(NOT(ISNUMBER(N111)),N111&lt;&gt;""),"回数を換算 ","")&amp;IF(J111="","詳細なし ","")&amp;IF(AND(N(AP111)=1,BB111=""),"顧客名なし ","")))</f>
        <v/>
      </c>
      <c r="AD111" s="31" t="n"/>
      <c r="AE111" s="32" t="n"/>
      <c r="AF111" s="32" t="n"/>
      <c r="AG111" s="31" t="n"/>
      <c r="AH111">
        <f>IF(AB111&lt;&gt;"OK","",IF(AG111&lt;&gt;"",AG111,AJ111))</f>
        <v/>
      </c>
      <c r="AI111" s="33">
        <f>IF(AB111&lt;&gt;"OK","",IFERROR(IF(AE111&lt;&gt;"",AE111,AS111)*IF(AF111&lt;&gt;"",AF111,AT111)/60,""))</f>
        <v/>
      </c>
      <c r="AJ111">
        <f>IF(AB111&lt;&gt;"OK","",IF(OR(VALUE(T111)=2,VALUE(U111)=2,VALUE(V111)=2),"社内残置",IF(AND(VALUE(T111)=0,VALUE(W111)=0,VALUE(Y111)=0),"自動化候補",IF(AND(VALUE(U111)=0,VALUE(W111)&lt;=1,VALUE(X111)&lt;=1,VALUE(Y111)&lt;=1,VALUE(Z111)&lt;=1),"オフショア候補",IF(AND(VALUE(Y111)&lt;=1,VALUE(Z111)&lt;=1),"ニアショア候補","社内で手順化→再評価")))))</f>
        <v/>
      </c>
      <c r="AK111">
        <f>IF(AB111&lt;&gt;"OK","",14-SUMPRODUCT(--T111:Z111))</f>
        <v/>
      </c>
      <c r="AL111" s="33">
        <f>IF(AB111&lt;&gt;"OK","",AS111*AT111/60)</f>
        <v/>
      </c>
      <c r="AM111" s="34">
        <f>IF(A111="","",UPPER(TRIM(ASC(A111&amp;""))))</f>
        <v/>
      </c>
      <c r="AN111" s="34">
        <f>IF(AM111="","",AM111&amp;"-"&amp;B111)</f>
        <v/>
      </c>
      <c r="AO111" s="34">
        <f>IF(C111="","",IFERROR(VALUE(ASC(SUBSTITUTE(C111&amp;"","観点",""))),""))</f>
        <v/>
      </c>
      <c r="AP111" s="34">
        <f>IF(D111="","",IFERROR(VALUE(LEFT(TRIM(ASC(D111&amp;"")),1)),IFERROR(MATCH(TRIM(D111&amp;""),'M2_区分マスタ'!$I$5:$I$10,0),"")))</f>
        <v/>
      </c>
      <c r="AQ111" s="34">
        <f>IF(H111="","",UPPER(LEFT(TRIM(ASC(H111&amp;"")),3)))</f>
        <v/>
      </c>
      <c r="AR111" s="34">
        <f>IF(N111="","",IFERROR(VALUE(SUBSTITUTE(SUBSTITUTE(SUBSTITUTE(SUBSTITUTE(SUBSTITUTE(SUBSTITUTE(SUBSTITUTE(SUBSTITUTE(SUBSTITUTE(SUBSTITUTE(SUBSTITUTE(SUBSTITUTE(ASC(N111&amp;""),"約",""),"程度",""),"ほど",""),"回",""),"毎",""),"週",""),"月",""),"年",""),"日",""),"に",""),"/","")," ","")),""))</f>
        <v/>
      </c>
      <c r="AS111" s="34">
        <f>IF(N111="","",IF(ISNUMBER(N111),N111,IFERROR(VALUE(ASC(N111&amp;"")),IF(AR111&lt;&gt;"",AR111*IF(ISNUMBER(SEARCH("週",N111)),4.3,IF(ISNUMBER(SEARCH("年",N111)),1/12,IF(ISNUMBER(SEARCH("日",N111)),20,1))),IF(ISNUMBER(SEARCH("日",N111)),20,IF(ISNUMBER(SEARCH("週",N111)),4.3,IF(ISNUMBER(SEARCH("月",N111)),1,"")))))))</f>
        <v/>
      </c>
      <c r="AT111" s="34">
        <f>IF(O111="","",IF(ISNUMBER(O111),O111,IFERROR(VALUE(ASC(O111&amp;"")),IF(ISNUMBER(SEARCH("時間",O111)),IFERROR(VALUE(SUBSTITUTE(SUBSTITUTE(SUBSTITUTE(SUBSTITUTE(SUBSTITUTE(ASC(O111&amp;""),"約",""),"程度",""),"ほど",""),"時間","")," ",""))*60,""),IFERROR(VALUE(SUBSTITUTE(SUBSTITUTE(SUBSTITUTE(SUBSTITUTE(SUBSTITUTE(ASC(O111&amp;""),"約",""),"程度",""),"ほど",""),"分","")," ","")),"")))))</f>
        <v/>
      </c>
      <c r="AU111" s="34">
        <f>IF(P111="","",IF(ISNUMBER(P111),P111,IFERROR(VALUE(SUBSTITUTE(SUBSTITUTE(SUBSTITUTE(ASC(P111&amp;""),"約",""),"件","")," ","")),"")))</f>
        <v/>
      </c>
      <c r="AV111" s="34">
        <f>IF(AB111&lt;&gt;"OK","",IF(COUNTIFS($G$5:$G$404,G111&amp;"",$F$5:$F$404,F111&amp;"",$BE$5:$BE$404,BE111&amp;"",$AB$5:$AB$404,"OK")&gt;1,"同名あり",""))</f>
        <v/>
      </c>
      <c r="AW111" s="35">
        <f>IF(Q111="","",IF(ISNUMBER(Q111),Q111,IFERROR(DATEVALUE(SUBSTITUTE(SUBSTITUTE(ASC(Q111&amp;""),"-","/"),".","/")&amp;"/01"),"")))</f>
        <v/>
      </c>
      <c r="AX111" s="35">
        <f>IF(R111="","",IF(ISNUMBER(R111),R111,IFERROR(DATEVALUE(SUBSTITUTE(SUBSTITUTE(ASC(R111&amp;""),"-","/"),".","/")&amp;"/01"),"")))</f>
        <v/>
      </c>
      <c r="AY111" s="34">
        <f>IF(OR(AB111&lt;&gt;"OK",AW111=""),"",IF(AW111&gt;='01_設定'!$C$26,1,0))</f>
        <v/>
      </c>
      <c r="AZ111" s="34">
        <f>IF(AND(AB111="OK",AD111&lt;&gt;"除外"),COUNTIFS($AB$5:AB111,"OK",$AD$5:AD111,"&lt;&gt;除外"),"")</f>
        <v/>
      </c>
      <c r="BA111" s="34">
        <f>IF(OR(AZ111="",AI111=""),"",AI111+ROW()/1000000000)</f>
        <v/>
      </c>
      <c r="BB111" s="34">
        <f>IF(E111="","",IF(OR(TRIM(E111&amp;"")="-",TRIM(E111&amp;"")="－",TRIM(E111&amp;"")="ー"),"",TRIM(E111&amp;"")))</f>
        <v/>
      </c>
      <c r="BC111" s="34">
        <f>IF(AND(AB111="OK",BB111&lt;&gt;""),IF(COUNTIFS($BB$5:BB111,BB111,$AB$5:AB111,"OK")=1,1,""),"")</f>
        <v/>
      </c>
      <c r="BD111" s="34">
        <f>IF(BC111=1,COUNTIF($BC$5:BC111,1),"")</f>
        <v/>
      </c>
      <c r="BE111" s="34">
        <f>IF(BB111="","",IFERROR(INDEX('06_顧客別集計'!$G$5:$G$104,MATCH(BB111,'06_顧客別集計'!$C$5:$C$104,0)),BB111))</f>
        <v/>
      </c>
      <c r="BF111" s="34">
        <f>IF(AND(AZ111&lt;&gt;"",BE111&lt;&gt;""),IF(COUNTIFS($BE$5:BE111,BE111,$AZ$5:AZ111,"&gt;0")=1,1,""),"")</f>
        <v/>
      </c>
      <c r="BG111" s="34">
        <f>IF(BF111=1,COUNTIF($BF$5:BF111,1),"")</f>
        <v/>
      </c>
    </row>
    <row r="112">
      <c r="AB112">
        <f>IF(AND(A112="",G112=""),"",IF(ISNUMBER(SEARCH("##END",AM112)),"（終わりの印）",IF(ISNUMBER(SEARCH("##続き",AM112)),"（続きありの印）",IF(AM112="調査ID","（見出し行）",IF(AND(AM112&lt;&gt;"R1",AM112&lt;&gt;"R2"),"×表以外の行（集計されない）",IF(COUNTIF($AN$5:AN112,AN112)&gt;1,"△重複（集計されない）",IF(G112="","△タスク名なし",IF(ISNA(MATCH(AQ112,'M1_類型マスタ'!$A$5:$A$19,0)),"△類型が不正",IF(OR(AP112="",N(AP112)&lt;1,N(AP112)&gt;6),"△業務区分が不正",IF(OR(AS112="",AT112=""),"△回数・分が読めない",IF(SUMPRODUCT(--ISNUMBER(--T112:Z112))&lt;7,"△採点が足りない",IF(SUMPRODUCT((--T112:Z112&gt;2)+(--T112:Z112&lt;0))&gt;0,"△採点が範囲外","OK"))))))))))))</f>
        <v/>
      </c>
      <c r="AC112">
        <f>IF(AB112&lt;&gt;"OK","",TRIM(IF(AND(AU112&lt;&gt;"",N(AU112)&lt;=1),"根拠1件 ","")&amp;IF(AV112&lt;&gt;"","同名あり ","")&amp;IF(AND(NOT(ISNUMBER(N112)),N112&lt;&gt;""),"回数を換算 ","")&amp;IF(J112="","詳細なし ","")&amp;IF(AND(N(AP112)=1,BB112=""),"顧客名なし ","")))</f>
        <v/>
      </c>
      <c r="AD112" s="31" t="n"/>
      <c r="AE112" s="32" t="n"/>
      <c r="AF112" s="32" t="n"/>
      <c r="AG112" s="31" t="n"/>
      <c r="AH112">
        <f>IF(AB112&lt;&gt;"OK","",IF(AG112&lt;&gt;"",AG112,AJ112))</f>
        <v/>
      </c>
      <c r="AI112" s="33">
        <f>IF(AB112&lt;&gt;"OK","",IFERROR(IF(AE112&lt;&gt;"",AE112,AS112)*IF(AF112&lt;&gt;"",AF112,AT112)/60,""))</f>
        <v/>
      </c>
      <c r="AJ112">
        <f>IF(AB112&lt;&gt;"OK","",IF(OR(VALUE(T112)=2,VALUE(U112)=2,VALUE(V112)=2),"社内残置",IF(AND(VALUE(T112)=0,VALUE(W112)=0,VALUE(Y112)=0),"自動化候補",IF(AND(VALUE(U112)=0,VALUE(W112)&lt;=1,VALUE(X112)&lt;=1,VALUE(Y112)&lt;=1,VALUE(Z112)&lt;=1),"オフショア候補",IF(AND(VALUE(Y112)&lt;=1,VALUE(Z112)&lt;=1),"ニアショア候補","社内で手順化→再評価")))))</f>
        <v/>
      </c>
      <c r="AK112">
        <f>IF(AB112&lt;&gt;"OK","",14-SUMPRODUCT(--T112:Z112))</f>
        <v/>
      </c>
      <c r="AL112" s="33">
        <f>IF(AB112&lt;&gt;"OK","",AS112*AT112/60)</f>
        <v/>
      </c>
      <c r="AM112" s="34">
        <f>IF(A112="","",UPPER(TRIM(ASC(A112&amp;""))))</f>
        <v/>
      </c>
      <c r="AN112" s="34">
        <f>IF(AM112="","",AM112&amp;"-"&amp;B112)</f>
        <v/>
      </c>
      <c r="AO112" s="34">
        <f>IF(C112="","",IFERROR(VALUE(ASC(SUBSTITUTE(C112&amp;"","観点",""))),""))</f>
        <v/>
      </c>
      <c r="AP112" s="34">
        <f>IF(D112="","",IFERROR(VALUE(LEFT(TRIM(ASC(D112&amp;"")),1)),IFERROR(MATCH(TRIM(D112&amp;""),'M2_区分マスタ'!$I$5:$I$10,0),"")))</f>
        <v/>
      </c>
      <c r="AQ112" s="34">
        <f>IF(H112="","",UPPER(LEFT(TRIM(ASC(H112&amp;"")),3)))</f>
        <v/>
      </c>
      <c r="AR112" s="34">
        <f>IF(N112="","",IFERROR(VALUE(SUBSTITUTE(SUBSTITUTE(SUBSTITUTE(SUBSTITUTE(SUBSTITUTE(SUBSTITUTE(SUBSTITUTE(SUBSTITUTE(SUBSTITUTE(SUBSTITUTE(SUBSTITUTE(SUBSTITUTE(ASC(N112&amp;""),"約",""),"程度",""),"ほど",""),"回",""),"毎",""),"週",""),"月",""),"年",""),"日",""),"に",""),"/","")," ","")),""))</f>
        <v/>
      </c>
      <c r="AS112" s="34">
        <f>IF(N112="","",IF(ISNUMBER(N112),N112,IFERROR(VALUE(ASC(N112&amp;"")),IF(AR112&lt;&gt;"",AR112*IF(ISNUMBER(SEARCH("週",N112)),4.3,IF(ISNUMBER(SEARCH("年",N112)),1/12,IF(ISNUMBER(SEARCH("日",N112)),20,1))),IF(ISNUMBER(SEARCH("日",N112)),20,IF(ISNUMBER(SEARCH("週",N112)),4.3,IF(ISNUMBER(SEARCH("月",N112)),1,"")))))))</f>
        <v/>
      </c>
      <c r="AT112" s="34">
        <f>IF(O112="","",IF(ISNUMBER(O112),O112,IFERROR(VALUE(ASC(O112&amp;"")),IF(ISNUMBER(SEARCH("時間",O112)),IFERROR(VALUE(SUBSTITUTE(SUBSTITUTE(SUBSTITUTE(SUBSTITUTE(SUBSTITUTE(ASC(O112&amp;""),"約",""),"程度",""),"ほど",""),"時間","")," ",""))*60,""),IFERROR(VALUE(SUBSTITUTE(SUBSTITUTE(SUBSTITUTE(SUBSTITUTE(SUBSTITUTE(ASC(O112&amp;""),"約",""),"程度",""),"ほど",""),"分","")," ","")),"")))))</f>
        <v/>
      </c>
      <c r="AU112" s="34">
        <f>IF(P112="","",IF(ISNUMBER(P112),P112,IFERROR(VALUE(SUBSTITUTE(SUBSTITUTE(SUBSTITUTE(ASC(P112&amp;""),"約",""),"件","")," ","")),"")))</f>
        <v/>
      </c>
      <c r="AV112" s="34">
        <f>IF(AB112&lt;&gt;"OK","",IF(COUNTIFS($G$5:$G$404,G112&amp;"",$F$5:$F$404,F112&amp;"",$BE$5:$BE$404,BE112&amp;"",$AB$5:$AB$404,"OK")&gt;1,"同名あり",""))</f>
        <v/>
      </c>
      <c r="AW112" s="35">
        <f>IF(Q112="","",IF(ISNUMBER(Q112),Q112,IFERROR(DATEVALUE(SUBSTITUTE(SUBSTITUTE(ASC(Q112&amp;""),"-","/"),".","/")&amp;"/01"),"")))</f>
        <v/>
      </c>
      <c r="AX112" s="35">
        <f>IF(R112="","",IF(ISNUMBER(R112),R112,IFERROR(DATEVALUE(SUBSTITUTE(SUBSTITUTE(ASC(R112&amp;""),"-","/"),".","/")&amp;"/01"),"")))</f>
        <v/>
      </c>
      <c r="AY112" s="34">
        <f>IF(OR(AB112&lt;&gt;"OK",AW112=""),"",IF(AW112&gt;='01_設定'!$C$26,1,0))</f>
        <v/>
      </c>
      <c r="AZ112" s="34">
        <f>IF(AND(AB112="OK",AD112&lt;&gt;"除外"),COUNTIFS($AB$5:AB112,"OK",$AD$5:AD112,"&lt;&gt;除外"),"")</f>
        <v/>
      </c>
      <c r="BA112" s="34">
        <f>IF(OR(AZ112="",AI112=""),"",AI112+ROW()/1000000000)</f>
        <v/>
      </c>
      <c r="BB112" s="34">
        <f>IF(E112="","",IF(OR(TRIM(E112&amp;"")="-",TRIM(E112&amp;"")="－",TRIM(E112&amp;"")="ー"),"",TRIM(E112&amp;"")))</f>
        <v/>
      </c>
      <c r="BC112" s="34">
        <f>IF(AND(AB112="OK",BB112&lt;&gt;""),IF(COUNTIFS($BB$5:BB112,BB112,$AB$5:AB112,"OK")=1,1,""),"")</f>
        <v/>
      </c>
      <c r="BD112" s="34">
        <f>IF(BC112=1,COUNTIF($BC$5:BC112,1),"")</f>
        <v/>
      </c>
      <c r="BE112" s="34">
        <f>IF(BB112="","",IFERROR(INDEX('06_顧客別集計'!$G$5:$G$104,MATCH(BB112,'06_顧客別集計'!$C$5:$C$104,0)),BB112))</f>
        <v/>
      </c>
      <c r="BF112" s="34">
        <f>IF(AND(AZ112&lt;&gt;"",BE112&lt;&gt;""),IF(COUNTIFS($BE$5:BE112,BE112,$AZ$5:AZ112,"&gt;0")=1,1,""),"")</f>
        <v/>
      </c>
      <c r="BG112" s="34">
        <f>IF(BF112=1,COUNTIF($BF$5:BF112,1),"")</f>
        <v/>
      </c>
    </row>
    <row r="113">
      <c r="AB113">
        <f>IF(AND(A113="",G113=""),"",IF(ISNUMBER(SEARCH("##END",AM113)),"（終わりの印）",IF(ISNUMBER(SEARCH("##続き",AM113)),"（続きありの印）",IF(AM113="調査ID","（見出し行）",IF(AND(AM113&lt;&gt;"R1",AM113&lt;&gt;"R2"),"×表以外の行（集計されない）",IF(COUNTIF($AN$5:AN113,AN113)&gt;1,"△重複（集計されない）",IF(G113="","△タスク名なし",IF(ISNA(MATCH(AQ113,'M1_類型マスタ'!$A$5:$A$19,0)),"△類型が不正",IF(OR(AP113="",N(AP113)&lt;1,N(AP113)&gt;6),"△業務区分が不正",IF(OR(AS113="",AT113=""),"△回数・分が読めない",IF(SUMPRODUCT(--ISNUMBER(--T113:Z113))&lt;7,"△採点が足りない",IF(SUMPRODUCT((--T113:Z113&gt;2)+(--T113:Z113&lt;0))&gt;0,"△採点が範囲外","OK"))))))))))))</f>
        <v/>
      </c>
      <c r="AC113">
        <f>IF(AB113&lt;&gt;"OK","",TRIM(IF(AND(AU113&lt;&gt;"",N(AU113)&lt;=1),"根拠1件 ","")&amp;IF(AV113&lt;&gt;"","同名あり ","")&amp;IF(AND(NOT(ISNUMBER(N113)),N113&lt;&gt;""),"回数を換算 ","")&amp;IF(J113="","詳細なし ","")&amp;IF(AND(N(AP113)=1,BB113=""),"顧客名なし ","")))</f>
        <v/>
      </c>
      <c r="AD113" s="31" t="n"/>
      <c r="AE113" s="32" t="n"/>
      <c r="AF113" s="32" t="n"/>
      <c r="AG113" s="31" t="n"/>
      <c r="AH113">
        <f>IF(AB113&lt;&gt;"OK","",IF(AG113&lt;&gt;"",AG113,AJ113))</f>
        <v/>
      </c>
      <c r="AI113" s="33">
        <f>IF(AB113&lt;&gt;"OK","",IFERROR(IF(AE113&lt;&gt;"",AE113,AS113)*IF(AF113&lt;&gt;"",AF113,AT113)/60,""))</f>
        <v/>
      </c>
      <c r="AJ113">
        <f>IF(AB113&lt;&gt;"OK","",IF(OR(VALUE(T113)=2,VALUE(U113)=2,VALUE(V113)=2),"社内残置",IF(AND(VALUE(T113)=0,VALUE(W113)=0,VALUE(Y113)=0),"自動化候補",IF(AND(VALUE(U113)=0,VALUE(W113)&lt;=1,VALUE(X113)&lt;=1,VALUE(Y113)&lt;=1,VALUE(Z113)&lt;=1),"オフショア候補",IF(AND(VALUE(Y113)&lt;=1,VALUE(Z113)&lt;=1),"ニアショア候補","社内で手順化→再評価")))))</f>
        <v/>
      </c>
      <c r="AK113">
        <f>IF(AB113&lt;&gt;"OK","",14-SUMPRODUCT(--T113:Z113))</f>
        <v/>
      </c>
      <c r="AL113" s="33">
        <f>IF(AB113&lt;&gt;"OK","",AS113*AT113/60)</f>
        <v/>
      </c>
      <c r="AM113" s="34">
        <f>IF(A113="","",UPPER(TRIM(ASC(A113&amp;""))))</f>
        <v/>
      </c>
      <c r="AN113" s="34">
        <f>IF(AM113="","",AM113&amp;"-"&amp;B113)</f>
        <v/>
      </c>
      <c r="AO113" s="34">
        <f>IF(C113="","",IFERROR(VALUE(ASC(SUBSTITUTE(C113&amp;"","観点",""))),""))</f>
        <v/>
      </c>
      <c r="AP113" s="34">
        <f>IF(D113="","",IFERROR(VALUE(LEFT(TRIM(ASC(D113&amp;"")),1)),IFERROR(MATCH(TRIM(D113&amp;""),'M2_区分マスタ'!$I$5:$I$10,0),"")))</f>
        <v/>
      </c>
      <c r="AQ113" s="34">
        <f>IF(H113="","",UPPER(LEFT(TRIM(ASC(H113&amp;"")),3)))</f>
        <v/>
      </c>
      <c r="AR113" s="34">
        <f>IF(N113="","",IFERROR(VALUE(SUBSTITUTE(SUBSTITUTE(SUBSTITUTE(SUBSTITUTE(SUBSTITUTE(SUBSTITUTE(SUBSTITUTE(SUBSTITUTE(SUBSTITUTE(SUBSTITUTE(SUBSTITUTE(SUBSTITUTE(ASC(N113&amp;""),"約",""),"程度",""),"ほど",""),"回",""),"毎",""),"週",""),"月",""),"年",""),"日",""),"に",""),"/","")," ","")),""))</f>
        <v/>
      </c>
      <c r="AS113" s="34">
        <f>IF(N113="","",IF(ISNUMBER(N113),N113,IFERROR(VALUE(ASC(N113&amp;"")),IF(AR113&lt;&gt;"",AR113*IF(ISNUMBER(SEARCH("週",N113)),4.3,IF(ISNUMBER(SEARCH("年",N113)),1/12,IF(ISNUMBER(SEARCH("日",N113)),20,1))),IF(ISNUMBER(SEARCH("日",N113)),20,IF(ISNUMBER(SEARCH("週",N113)),4.3,IF(ISNUMBER(SEARCH("月",N113)),1,"")))))))</f>
        <v/>
      </c>
      <c r="AT113" s="34">
        <f>IF(O113="","",IF(ISNUMBER(O113),O113,IFERROR(VALUE(ASC(O113&amp;"")),IF(ISNUMBER(SEARCH("時間",O113)),IFERROR(VALUE(SUBSTITUTE(SUBSTITUTE(SUBSTITUTE(SUBSTITUTE(SUBSTITUTE(ASC(O113&amp;""),"約",""),"程度",""),"ほど",""),"時間","")," ",""))*60,""),IFERROR(VALUE(SUBSTITUTE(SUBSTITUTE(SUBSTITUTE(SUBSTITUTE(SUBSTITUTE(ASC(O113&amp;""),"約",""),"程度",""),"ほど",""),"分","")," ","")),"")))))</f>
        <v/>
      </c>
      <c r="AU113" s="34">
        <f>IF(P113="","",IF(ISNUMBER(P113),P113,IFERROR(VALUE(SUBSTITUTE(SUBSTITUTE(SUBSTITUTE(ASC(P113&amp;""),"約",""),"件","")," ","")),"")))</f>
        <v/>
      </c>
      <c r="AV113" s="34">
        <f>IF(AB113&lt;&gt;"OK","",IF(COUNTIFS($G$5:$G$404,G113&amp;"",$F$5:$F$404,F113&amp;"",$BE$5:$BE$404,BE113&amp;"",$AB$5:$AB$404,"OK")&gt;1,"同名あり",""))</f>
        <v/>
      </c>
      <c r="AW113" s="35">
        <f>IF(Q113="","",IF(ISNUMBER(Q113),Q113,IFERROR(DATEVALUE(SUBSTITUTE(SUBSTITUTE(ASC(Q113&amp;""),"-","/"),".","/")&amp;"/01"),"")))</f>
        <v/>
      </c>
      <c r="AX113" s="35">
        <f>IF(R113="","",IF(ISNUMBER(R113),R113,IFERROR(DATEVALUE(SUBSTITUTE(SUBSTITUTE(ASC(R113&amp;""),"-","/"),".","/")&amp;"/01"),"")))</f>
        <v/>
      </c>
      <c r="AY113" s="34">
        <f>IF(OR(AB113&lt;&gt;"OK",AW113=""),"",IF(AW113&gt;='01_設定'!$C$26,1,0))</f>
        <v/>
      </c>
      <c r="AZ113" s="34">
        <f>IF(AND(AB113="OK",AD113&lt;&gt;"除外"),COUNTIFS($AB$5:AB113,"OK",$AD$5:AD113,"&lt;&gt;除外"),"")</f>
        <v/>
      </c>
      <c r="BA113" s="34">
        <f>IF(OR(AZ113="",AI113=""),"",AI113+ROW()/1000000000)</f>
        <v/>
      </c>
      <c r="BB113" s="34">
        <f>IF(E113="","",IF(OR(TRIM(E113&amp;"")="-",TRIM(E113&amp;"")="－",TRIM(E113&amp;"")="ー"),"",TRIM(E113&amp;"")))</f>
        <v/>
      </c>
      <c r="BC113" s="34">
        <f>IF(AND(AB113="OK",BB113&lt;&gt;""),IF(COUNTIFS($BB$5:BB113,BB113,$AB$5:AB113,"OK")=1,1,""),"")</f>
        <v/>
      </c>
      <c r="BD113" s="34">
        <f>IF(BC113=1,COUNTIF($BC$5:BC113,1),"")</f>
        <v/>
      </c>
      <c r="BE113" s="34">
        <f>IF(BB113="","",IFERROR(INDEX('06_顧客別集計'!$G$5:$G$104,MATCH(BB113,'06_顧客別集計'!$C$5:$C$104,0)),BB113))</f>
        <v/>
      </c>
      <c r="BF113" s="34">
        <f>IF(AND(AZ113&lt;&gt;"",BE113&lt;&gt;""),IF(COUNTIFS($BE$5:BE113,BE113,$AZ$5:AZ113,"&gt;0")=1,1,""),"")</f>
        <v/>
      </c>
      <c r="BG113" s="34">
        <f>IF(BF113=1,COUNTIF($BF$5:BF113,1),"")</f>
        <v/>
      </c>
    </row>
    <row r="114">
      <c r="AB114">
        <f>IF(AND(A114="",G114=""),"",IF(ISNUMBER(SEARCH("##END",AM114)),"（終わりの印）",IF(ISNUMBER(SEARCH("##続き",AM114)),"（続きありの印）",IF(AM114="調査ID","（見出し行）",IF(AND(AM114&lt;&gt;"R1",AM114&lt;&gt;"R2"),"×表以外の行（集計されない）",IF(COUNTIF($AN$5:AN114,AN114)&gt;1,"△重複（集計されない）",IF(G114="","△タスク名なし",IF(ISNA(MATCH(AQ114,'M1_類型マスタ'!$A$5:$A$19,0)),"△類型が不正",IF(OR(AP114="",N(AP114)&lt;1,N(AP114)&gt;6),"△業務区分が不正",IF(OR(AS114="",AT114=""),"△回数・分が読めない",IF(SUMPRODUCT(--ISNUMBER(--T114:Z114))&lt;7,"△採点が足りない",IF(SUMPRODUCT((--T114:Z114&gt;2)+(--T114:Z114&lt;0))&gt;0,"△採点が範囲外","OK"))))))))))))</f>
        <v/>
      </c>
      <c r="AC114">
        <f>IF(AB114&lt;&gt;"OK","",TRIM(IF(AND(AU114&lt;&gt;"",N(AU114)&lt;=1),"根拠1件 ","")&amp;IF(AV114&lt;&gt;"","同名あり ","")&amp;IF(AND(NOT(ISNUMBER(N114)),N114&lt;&gt;""),"回数を換算 ","")&amp;IF(J114="","詳細なし ","")&amp;IF(AND(N(AP114)=1,BB114=""),"顧客名なし ","")))</f>
        <v/>
      </c>
      <c r="AD114" s="31" t="n"/>
      <c r="AE114" s="32" t="n"/>
      <c r="AF114" s="32" t="n"/>
      <c r="AG114" s="31" t="n"/>
      <c r="AH114">
        <f>IF(AB114&lt;&gt;"OK","",IF(AG114&lt;&gt;"",AG114,AJ114))</f>
        <v/>
      </c>
      <c r="AI114" s="33">
        <f>IF(AB114&lt;&gt;"OK","",IFERROR(IF(AE114&lt;&gt;"",AE114,AS114)*IF(AF114&lt;&gt;"",AF114,AT114)/60,""))</f>
        <v/>
      </c>
      <c r="AJ114">
        <f>IF(AB114&lt;&gt;"OK","",IF(OR(VALUE(T114)=2,VALUE(U114)=2,VALUE(V114)=2),"社内残置",IF(AND(VALUE(T114)=0,VALUE(W114)=0,VALUE(Y114)=0),"自動化候補",IF(AND(VALUE(U114)=0,VALUE(W114)&lt;=1,VALUE(X114)&lt;=1,VALUE(Y114)&lt;=1,VALUE(Z114)&lt;=1),"オフショア候補",IF(AND(VALUE(Y114)&lt;=1,VALUE(Z114)&lt;=1),"ニアショア候補","社内で手順化→再評価")))))</f>
        <v/>
      </c>
      <c r="AK114">
        <f>IF(AB114&lt;&gt;"OK","",14-SUMPRODUCT(--T114:Z114))</f>
        <v/>
      </c>
      <c r="AL114" s="33">
        <f>IF(AB114&lt;&gt;"OK","",AS114*AT114/60)</f>
        <v/>
      </c>
      <c r="AM114" s="34">
        <f>IF(A114="","",UPPER(TRIM(ASC(A114&amp;""))))</f>
        <v/>
      </c>
      <c r="AN114" s="34">
        <f>IF(AM114="","",AM114&amp;"-"&amp;B114)</f>
        <v/>
      </c>
      <c r="AO114" s="34">
        <f>IF(C114="","",IFERROR(VALUE(ASC(SUBSTITUTE(C114&amp;"","観点",""))),""))</f>
        <v/>
      </c>
      <c r="AP114" s="34">
        <f>IF(D114="","",IFERROR(VALUE(LEFT(TRIM(ASC(D114&amp;"")),1)),IFERROR(MATCH(TRIM(D114&amp;""),'M2_区分マスタ'!$I$5:$I$10,0),"")))</f>
        <v/>
      </c>
      <c r="AQ114" s="34">
        <f>IF(H114="","",UPPER(LEFT(TRIM(ASC(H114&amp;"")),3)))</f>
        <v/>
      </c>
      <c r="AR114" s="34">
        <f>IF(N114="","",IFERROR(VALUE(SUBSTITUTE(SUBSTITUTE(SUBSTITUTE(SUBSTITUTE(SUBSTITUTE(SUBSTITUTE(SUBSTITUTE(SUBSTITUTE(SUBSTITUTE(SUBSTITUTE(SUBSTITUTE(SUBSTITUTE(ASC(N114&amp;""),"約",""),"程度",""),"ほど",""),"回",""),"毎",""),"週",""),"月",""),"年",""),"日",""),"に",""),"/","")," ","")),""))</f>
        <v/>
      </c>
      <c r="AS114" s="34">
        <f>IF(N114="","",IF(ISNUMBER(N114),N114,IFERROR(VALUE(ASC(N114&amp;"")),IF(AR114&lt;&gt;"",AR114*IF(ISNUMBER(SEARCH("週",N114)),4.3,IF(ISNUMBER(SEARCH("年",N114)),1/12,IF(ISNUMBER(SEARCH("日",N114)),20,1))),IF(ISNUMBER(SEARCH("日",N114)),20,IF(ISNUMBER(SEARCH("週",N114)),4.3,IF(ISNUMBER(SEARCH("月",N114)),1,"")))))))</f>
        <v/>
      </c>
      <c r="AT114" s="34">
        <f>IF(O114="","",IF(ISNUMBER(O114),O114,IFERROR(VALUE(ASC(O114&amp;"")),IF(ISNUMBER(SEARCH("時間",O114)),IFERROR(VALUE(SUBSTITUTE(SUBSTITUTE(SUBSTITUTE(SUBSTITUTE(SUBSTITUTE(ASC(O114&amp;""),"約",""),"程度",""),"ほど",""),"時間","")," ",""))*60,""),IFERROR(VALUE(SUBSTITUTE(SUBSTITUTE(SUBSTITUTE(SUBSTITUTE(SUBSTITUTE(ASC(O114&amp;""),"約",""),"程度",""),"ほど",""),"分","")," ","")),"")))))</f>
        <v/>
      </c>
      <c r="AU114" s="34">
        <f>IF(P114="","",IF(ISNUMBER(P114),P114,IFERROR(VALUE(SUBSTITUTE(SUBSTITUTE(SUBSTITUTE(ASC(P114&amp;""),"約",""),"件","")," ","")),"")))</f>
        <v/>
      </c>
      <c r="AV114" s="34">
        <f>IF(AB114&lt;&gt;"OK","",IF(COUNTIFS($G$5:$G$404,G114&amp;"",$F$5:$F$404,F114&amp;"",$BE$5:$BE$404,BE114&amp;"",$AB$5:$AB$404,"OK")&gt;1,"同名あり",""))</f>
        <v/>
      </c>
      <c r="AW114" s="35">
        <f>IF(Q114="","",IF(ISNUMBER(Q114),Q114,IFERROR(DATEVALUE(SUBSTITUTE(SUBSTITUTE(ASC(Q114&amp;""),"-","/"),".","/")&amp;"/01"),"")))</f>
        <v/>
      </c>
      <c r="AX114" s="35">
        <f>IF(R114="","",IF(ISNUMBER(R114),R114,IFERROR(DATEVALUE(SUBSTITUTE(SUBSTITUTE(ASC(R114&amp;""),"-","/"),".","/")&amp;"/01"),"")))</f>
        <v/>
      </c>
      <c r="AY114" s="34">
        <f>IF(OR(AB114&lt;&gt;"OK",AW114=""),"",IF(AW114&gt;='01_設定'!$C$26,1,0))</f>
        <v/>
      </c>
      <c r="AZ114" s="34">
        <f>IF(AND(AB114="OK",AD114&lt;&gt;"除外"),COUNTIFS($AB$5:AB114,"OK",$AD$5:AD114,"&lt;&gt;除外"),"")</f>
        <v/>
      </c>
      <c r="BA114" s="34">
        <f>IF(OR(AZ114="",AI114=""),"",AI114+ROW()/1000000000)</f>
        <v/>
      </c>
      <c r="BB114" s="34">
        <f>IF(E114="","",IF(OR(TRIM(E114&amp;"")="-",TRIM(E114&amp;"")="－",TRIM(E114&amp;"")="ー"),"",TRIM(E114&amp;"")))</f>
        <v/>
      </c>
      <c r="BC114" s="34">
        <f>IF(AND(AB114="OK",BB114&lt;&gt;""),IF(COUNTIFS($BB$5:BB114,BB114,$AB$5:AB114,"OK")=1,1,""),"")</f>
        <v/>
      </c>
      <c r="BD114" s="34">
        <f>IF(BC114=1,COUNTIF($BC$5:BC114,1),"")</f>
        <v/>
      </c>
      <c r="BE114" s="34">
        <f>IF(BB114="","",IFERROR(INDEX('06_顧客別集計'!$G$5:$G$104,MATCH(BB114,'06_顧客別集計'!$C$5:$C$104,0)),BB114))</f>
        <v/>
      </c>
      <c r="BF114" s="34">
        <f>IF(AND(AZ114&lt;&gt;"",BE114&lt;&gt;""),IF(COUNTIFS($BE$5:BE114,BE114,$AZ$5:AZ114,"&gt;0")=1,1,""),"")</f>
        <v/>
      </c>
      <c r="BG114" s="34">
        <f>IF(BF114=1,COUNTIF($BF$5:BF114,1),"")</f>
        <v/>
      </c>
    </row>
    <row r="115">
      <c r="AB115">
        <f>IF(AND(A115="",G115=""),"",IF(ISNUMBER(SEARCH("##END",AM115)),"（終わりの印）",IF(ISNUMBER(SEARCH("##続き",AM115)),"（続きありの印）",IF(AM115="調査ID","（見出し行）",IF(AND(AM115&lt;&gt;"R1",AM115&lt;&gt;"R2"),"×表以外の行（集計されない）",IF(COUNTIF($AN$5:AN115,AN115)&gt;1,"△重複（集計されない）",IF(G115="","△タスク名なし",IF(ISNA(MATCH(AQ115,'M1_類型マスタ'!$A$5:$A$19,0)),"△類型が不正",IF(OR(AP115="",N(AP115)&lt;1,N(AP115)&gt;6),"△業務区分が不正",IF(OR(AS115="",AT115=""),"△回数・分が読めない",IF(SUMPRODUCT(--ISNUMBER(--T115:Z115))&lt;7,"△採点が足りない",IF(SUMPRODUCT((--T115:Z115&gt;2)+(--T115:Z115&lt;0))&gt;0,"△採点が範囲外","OK"))))))))))))</f>
        <v/>
      </c>
      <c r="AC115">
        <f>IF(AB115&lt;&gt;"OK","",TRIM(IF(AND(AU115&lt;&gt;"",N(AU115)&lt;=1),"根拠1件 ","")&amp;IF(AV115&lt;&gt;"","同名あり ","")&amp;IF(AND(NOT(ISNUMBER(N115)),N115&lt;&gt;""),"回数を換算 ","")&amp;IF(J115="","詳細なし ","")&amp;IF(AND(N(AP115)=1,BB115=""),"顧客名なし ","")))</f>
        <v/>
      </c>
      <c r="AD115" s="31" t="n"/>
      <c r="AE115" s="32" t="n"/>
      <c r="AF115" s="32" t="n"/>
      <c r="AG115" s="31" t="n"/>
      <c r="AH115">
        <f>IF(AB115&lt;&gt;"OK","",IF(AG115&lt;&gt;"",AG115,AJ115))</f>
        <v/>
      </c>
      <c r="AI115" s="33">
        <f>IF(AB115&lt;&gt;"OK","",IFERROR(IF(AE115&lt;&gt;"",AE115,AS115)*IF(AF115&lt;&gt;"",AF115,AT115)/60,""))</f>
        <v/>
      </c>
      <c r="AJ115">
        <f>IF(AB115&lt;&gt;"OK","",IF(OR(VALUE(T115)=2,VALUE(U115)=2,VALUE(V115)=2),"社内残置",IF(AND(VALUE(T115)=0,VALUE(W115)=0,VALUE(Y115)=0),"自動化候補",IF(AND(VALUE(U115)=0,VALUE(W115)&lt;=1,VALUE(X115)&lt;=1,VALUE(Y115)&lt;=1,VALUE(Z115)&lt;=1),"オフショア候補",IF(AND(VALUE(Y115)&lt;=1,VALUE(Z115)&lt;=1),"ニアショア候補","社内で手順化→再評価")))))</f>
        <v/>
      </c>
      <c r="AK115">
        <f>IF(AB115&lt;&gt;"OK","",14-SUMPRODUCT(--T115:Z115))</f>
        <v/>
      </c>
      <c r="AL115" s="33">
        <f>IF(AB115&lt;&gt;"OK","",AS115*AT115/60)</f>
        <v/>
      </c>
      <c r="AM115" s="34">
        <f>IF(A115="","",UPPER(TRIM(ASC(A115&amp;""))))</f>
        <v/>
      </c>
      <c r="AN115" s="34">
        <f>IF(AM115="","",AM115&amp;"-"&amp;B115)</f>
        <v/>
      </c>
      <c r="AO115" s="34">
        <f>IF(C115="","",IFERROR(VALUE(ASC(SUBSTITUTE(C115&amp;"","観点",""))),""))</f>
        <v/>
      </c>
      <c r="AP115" s="34">
        <f>IF(D115="","",IFERROR(VALUE(LEFT(TRIM(ASC(D115&amp;"")),1)),IFERROR(MATCH(TRIM(D115&amp;""),'M2_区分マスタ'!$I$5:$I$10,0),"")))</f>
        <v/>
      </c>
      <c r="AQ115" s="34">
        <f>IF(H115="","",UPPER(LEFT(TRIM(ASC(H115&amp;"")),3)))</f>
        <v/>
      </c>
      <c r="AR115" s="34">
        <f>IF(N115="","",IFERROR(VALUE(SUBSTITUTE(SUBSTITUTE(SUBSTITUTE(SUBSTITUTE(SUBSTITUTE(SUBSTITUTE(SUBSTITUTE(SUBSTITUTE(SUBSTITUTE(SUBSTITUTE(SUBSTITUTE(SUBSTITUTE(ASC(N115&amp;""),"約",""),"程度",""),"ほど",""),"回",""),"毎",""),"週",""),"月",""),"年",""),"日",""),"に",""),"/","")," ","")),""))</f>
        <v/>
      </c>
      <c r="AS115" s="34">
        <f>IF(N115="","",IF(ISNUMBER(N115),N115,IFERROR(VALUE(ASC(N115&amp;"")),IF(AR115&lt;&gt;"",AR115*IF(ISNUMBER(SEARCH("週",N115)),4.3,IF(ISNUMBER(SEARCH("年",N115)),1/12,IF(ISNUMBER(SEARCH("日",N115)),20,1))),IF(ISNUMBER(SEARCH("日",N115)),20,IF(ISNUMBER(SEARCH("週",N115)),4.3,IF(ISNUMBER(SEARCH("月",N115)),1,"")))))))</f>
        <v/>
      </c>
      <c r="AT115" s="34">
        <f>IF(O115="","",IF(ISNUMBER(O115),O115,IFERROR(VALUE(ASC(O115&amp;"")),IF(ISNUMBER(SEARCH("時間",O115)),IFERROR(VALUE(SUBSTITUTE(SUBSTITUTE(SUBSTITUTE(SUBSTITUTE(SUBSTITUTE(ASC(O115&amp;""),"約",""),"程度",""),"ほど",""),"時間","")," ",""))*60,""),IFERROR(VALUE(SUBSTITUTE(SUBSTITUTE(SUBSTITUTE(SUBSTITUTE(SUBSTITUTE(ASC(O115&amp;""),"約",""),"程度",""),"ほど",""),"分","")," ","")),"")))))</f>
        <v/>
      </c>
      <c r="AU115" s="34">
        <f>IF(P115="","",IF(ISNUMBER(P115),P115,IFERROR(VALUE(SUBSTITUTE(SUBSTITUTE(SUBSTITUTE(ASC(P115&amp;""),"約",""),"件","")," ","")),"")))</f>
        <v/>
      </c>
      <c r="AV115" s="34">
        <f>IF(AB115&lt;&gt;"OK","",IF(COUNTIFS($G$5:$G$404,G115&amp;"",$F$5:$F$404,F115&amp;"",$BE$5:$BE$404,BE115&amp;"",$AB$5:$AB$404,"OK")&gt;1,"同名あり",""))</f>
        <v/>
      </c>
      <c r="AW115" s="35">
        <f>IF(Q115="","",IF(ISNUMBER(Q115),Q115,IFERROR(DATEVALUE(SUBSTITUTE(SUBSTITUTE(ASC(Q115&amp;""),"-","/"),".","/")&amp;"/01"),"")))</f>
        <v/>
      </c>
      <c r="AX115" s="35">
        <f>IF(R115="","",IF(ISNUMBER(R115),R115,IFERROR(DATEVALUE(SUBSTITUTE(SUBSTITUTE(ASC(R115&amp;""),"-","/"),".","/")&amp;"/01"),"")))</f>
        <v/>
      </c>
      <c r="AY115" s="34">
        <f>IF(OR(AB115&lt;&gt;"OK",AW115=""),"",IF(AW115&gt;='01_設定'!$C$26,1,0))</f>
        <v/>
      </c>
      <c r="AZ115" s="34">
        <f>IF(AND(AB115="OK",AD115&lt;&gt;"除外"),COUNTIFS($AB$5:AB115,"OK",$AD$5:AD115,"&lt;&gt;除外"),"")</f>
        <v/>
      </c>
      <c r="BA115" s="34">
        <f>IF(OR(AZ115="",AI115=""),"",AI115+ROW()/1000000000)</f>
        <v/>
      </c>
      <c r="BB115" s="34">
        <f>IF(E115="","",IF(OR(TRIM(E115&amp;"")="-",TRIM(E115&amp;"")="－",TRIM(E115&amp;"")="ー"),"",TRIM(E115&amp;"")))</f>
        <v/>
      </c>
      <c r="BC115" s="34">
        <f>IF(AND(AB115="OK",BB115&lt;&gt;""),IF(COUNTIFS($BB$5:BB115,BB115,$AB$5:AB115,"OK")=1,1,""),"")</f>
        <v/>
      </c>
      <c r="BD115" s="34">
        <f>IF(BC115=1,COUNTIF($BC$5:BC115,1),"")</f>
        <v/>
      </c>
      <c r="BE115" s="34">
        <f>IF(BB115="","",IFERROR(INDEX('06_顧客別集計'!$G$5:$G$104,MATCH(BB115,'06_顧客別集計'!$C$5:$C$104,0)),BB115))</f>
        <v/>
      </c>
      <c r="BF115" s="34">
        <f>IF(AND(AZ115&lt;&gt;"",BE115&lt;&gt;""),IF(COUNTIFS($BE$5:BE115,BE115,$AZ$5:AZ115,"&gt;0")=1,1,""),"")</f>
        <v/>
      </c>
      <c r="BG115" s="34">
        <f>IF(BF115=1,COUNTIF($BF$5:BF115,1),"")</f>
        <v/>
      </c>
    </row>
    <row r="116">
      <c r="AB116">
        <f>IF(AND(A116="",G116=""),"",IF(ISNUMBER(SEARCH("##END",AM116)),"（終わりの印）",IF(ISNUMBER(SEARCH("##続き",AM116)),"（続きありの印）",IF(AM116="調査ID","（見出し行）",IF(AND(AM116&lt;&gt;"R1",AM116&lt;&gt;"R2"),"×表以外の行（集計されない）",IF(COUNTIF($AN$5:AN116,AN116)&gt;1,"△重複（集計されない）",IF(G116="","△タスク名なし",IF(ISNA(MATCH(AQ116,'M1_類型マスタ'!$A$5:$A$19,0)),"△類型が不正",IF(OR(AP116="",N(AP116)&lt;1,N(AP116)&gt;6),"△業務区分が不正",IF(OR(AS116="",AT116=""),"△回数・分が読めない",IF(SUMPRODUCT(--ISNUMBER(--T116:Z116))&lt;7,"△採点が足りない",IF(SUMPRODUCT((--T116:Z116&gt;2)+(--T116:Z116&lt;0))&gt;0,"△採点が範囲外","OK"))))))))))))</f>
        <v/>
      </c>
      <c r="AC116">
        <f>IF(AB116&lt;&gt;"OK","",TRIM(IF(AND(AU116&lt;&gt;"",N(AU116)&lt;=1),"根拠1件 ","")&amp;IF(AV116&lt;&gt;"","同名あり ","")&amp;IF(AND(NOT(ISNUMBER(N116)),N116&lt;&gt;""),"回数を換算 ","")&amp;IF(J116="","詳細なし ","")&amp;IF(AND(N(AP116)=1,BB116=""),"顧客名なし ","")))</f>
        <v/>
      </c>
      <c r="AD116" s="31" t="n"/>
      <c r="AE116" s="32" t="n"/>
      <c r="AF116" s="32" t="n"/>
      <c r="AG116" s="31" t="n"/>
      <c r="AH116">
        <f>IF(AB116&lt;&gt;"OK","",IF(AG116&lt;&gt;"",AG116,AJ116))</f>
        <v/>
      </c>
      <c r="AI116" s="33">
        <f>IF(AB116&lt;&gt;"OK","",IFERROR(IF(AE116&lt;&gt;"",AE116,AS116)*IF(AF116&lt;&gt;"",AF116,AT116)/60,""))</f>
        <v/>
      </c>
      <c r="AJ116">
        <f>IF(AB116&lt;&gt;"OK","",IF(OR(VALUE(T116)=2,VALUE(U116)=2,VALUE(V116)=2),"社内残置",IF(AND(VALUE(T116)=0,VALUE(W116)=0,VALUE(Y116)=0),"自動化候補",IF(AND(VALUE(U116)=0,VALUE(W116)&lt;=1,VALUE(X116)&lt;=1,VALUE(Y116)&lt;=1,VALUE(Z116)&lt;=1),"オフショア候補",IF(AND(VALUE(Y116)&lt;=1,VALUE(Z116)&lt;=1),"ニアショア候補","社内で手順化→再評価")))))</f>
        <v/>
      </c>
      <c r="AK116">
        <f>IF(AB116&lt;&gt;"OK","",14-SUMPRODUCT(--T116:Z116))</f>
        <v/>
      </c>
      <c r="AL116" s="33">
        <f>IF(AB116&lt;&gt;"OK","",AS116*AT116/60)</f>
        <v/>
      </c>
      <c r="AM116" s="34">
        <f>IF(A116="","",UPPER(TRIM(ASC(A116&amp;""))))</f>
        <v/>
      </c>
      <c r="AN116" s="34">
        <f>IF(AM116="","",AM116&amp;"-"&amp;B116)</f>
        <v/>
      </c>
      <c r="AO116" s="34">
        <f>IF(C116="","",IFERROR(VALUE(ASC(SUBSTITUTE(C116&amp;"","観点",""))),""))</f>
        <v/>
      </c>
      <c r="AP116" s="34">
        <f>IF(D116="","",IFERROR(VALUE(LEFT(TRIM(ASC(D116&amp;"")),1)),IFERROR(MATCH(TRIM(D116&amp;""),'M2_区分マスタ'!$I$5:$I$10,0),"")))</f>
        <v/>
      </c>
      <c r="AQ116" s="34">
        <f>IF(H116="","",UPPER(LEFT(TRIM(ASC(H116&amp;"")),3)))</f>
        <v/>
      </c>
      <c r="AR116" s="34">
        <f>IF(N116="","",IFERROR(VALUE(SUBSTITUTE(SUBSTITUTE(SUBSTITUTE(SUBSTITUTE(SUBSTITUTE(SUBSTITUTE(SUBSTITUTE(SUBSTITUTE(SUBSTITUTE(SUBSTITUTE(SUBSTITUTE(SUBSTITUTE(ASC(N116&amp;""),"約",""),"程度",""),"ほど",""),"回",""),"毎",""),"週",""),"月",""),"年",""),"日",""),"に",""),"/","")," ","")),""))</f>
        <v/>
      </c>
      <c r="AS116" s="34">
        <f>IF(N116="","",IF(ISNUMBER(N116),N116,IFERROR(VALUE(ASC(N116&amp;"")),IF(AR116&lt;&gt;"",AR116*IF(ISNUMBER(SEARCH("週",N116)),4.3,IF(ISNUMBER(SEARCH("年",N116)),1/12,IF(ISNUMBER(SEARCH("日",N116)),20,1))),IF(ISNUMBER(SEARCH("日",N116)),20,IF(ISNUMBER(SEARCH("週",N116)),4.3,IF(ISNUMBER(SEARCH("月",N116)),1,"")))))))</f>
        <v/>
      </c>
      <c r="AT116" s="34">
        <f>IF(O116="","",IF(ISNUMBER(O116),O116,IFERROR(VALUE(ASC(O116&amp;"")),IF(ISNUMBER(SEARCH("時間",O116)),IFERROR(VALUE(SUBSTITUTE(SUBSTITUTE(SUBSTITUTE(SUBSTITUTE(SUBSTITUTE(ASC(O116&amp;""),"約",""),"程度",""),"ほど",""),"時間","")," ",""))*60,""),IFERROR(VALUE(SUBSTITUTE(SUBSTITUTE(SUBSTITUTE(SUBSTITUTE(SUBSTITUTE(ASC(O116&amp;""),"約",""),"程度",""),"ほど",""),"分","")," ","")),"")))))</f>
        <v/>
      </c>
      <c r="AU116" s="34">
        <f>IF(P116="","",IF(ISNUMBER(P116),P116,IFERROR(VALUE(SUBSTITUTE(SUBSTITUTE(SUBSTITUTE(ASC(P116&amp;""),"約",""),"件","")," ","")),"")))</f>
        <v/>
      </c>
      <c r="AV116" s="34">
        <f>IF(AB116&lt;&gt;"OK","",IF(COUNTIFS($G$5:$G$404,G116&amp;"",$F$5:$F$404,F116&amp;"",$BE$5:$BE$404,BE116&amp;"",$AB$5:$AB$404,"OK")&gt;1,"同名あり",""))</f>
        <v/>
      </c>
      <c r="AW116" s="35">
        <f>IF(Q116="","",IF(ISNUMBER(Q116),Q116,IFERROR(DATEVALUE(SUBSTITUTE(SUBSTITUTE(ASC(Q116&amp;""),"-","/"),".","/")&amp;"/01"),"")))</f>
        <v/>
      </c>
      <c r="AX116" s="35">
        <f>IF(R116="","",IF(ISNUMBER(R116),R116,IFERROR(DATEVALUE(SUBSTITUTE(SUBSTITUTE(ASC(R116&amp;""),"-","/"),".","/")&amp;"/01"),"")))</f>
        <v/>
      </c>
      <c r="AY116" s="34">
        <f>IF(OR(AB116&lt;&gt;"OK",AW116=""),"",IF(AW116&gt;='01_設定'!$C$26,1,0))</f>
        <v/>
      </c>
      <c r="AZ116" s="34">
        <f>IF(AND(AB116="OK",AD116&lt;&gt;"除外"),COUNTIFS($AB$5:AB116,"OK",$AD$5:AD116,"&lt;&gt;除外"),"")</f>
        <v/>
      </c>
      <c r="BA116" s="34">
        <f>IF(OR(AZ116="",AI116=""),"",AI116+ROW()/1000000000)</f>
        <v/>
      </c>
      <c r="BB116" s="34">
        <f>IF(E116="","",IF(OR(TRIM(E116&amp;"")="-",TRIM(E116&amp;"")="－",TRIM(E116&amp;"")="ー"),"",TRIM(E116&amp;"")))</f>
        <v/>
      </c>
      <c r="BC116" s="34">
        <f>IF(AND(AB116="OK",BB116&lt;&gt;""),IF(COUNTIFS($BB$5:BB116,BB116,$AB$5:AB116,"OK")=1,1,""),"")</f>
        <v/>
      </c>
      <c r="BD116" s="34">
        <f>IF(BC116=1,COUNTIF($BC$5:BC116,1),"")</f>
        <v/>
      </c>
      <c r="BE116" s="34">
        <f>IF(BB116="","",IFERROR(INDEX('06_顧客別集計'!$G$5:$G$104,MATCH(BB116,'06_顧客別集計'!$C$5:$C$104,0)),BB116))</f>
        <v/>
      </c>
      <c r="BF116" s="34">
        <f>IF(AND(AZ116&lt;&gt;"",BE116&lt;&gt;""),IF(COUNTIFS($BE$5:BE116,BE116,$AZ$5:AZ116,"&gt;0")=1,1,""),"")</f>
        <v/>
      </c>
      <c r="BG116" s="34">
        <f>IF(BF116=1,COUNTIF($BF$5:BF116,1),"")</f>
        <v/>
      </c>
    </row>
    <row r="117">
      <c r="AB117">
        <f>IF(AND(A117="",G117=""),"",IF(ISNUMBER(SEARCH("##END",AM117)),"（終わりの印）",IF(ISNUMBER(SEARCH("##続き",AM117)),"（続きありの印）",IF(AM117="調査ID","（見出し行）",IF(AND(AM117&lt;&gt;"R1",AM117&lt;&gt;"R2"),"×表以外の行（集計されない）",IF(COUNTIF($AN$5:AN117,AN117)&gt;1,"△重複（集計されない）",IF(G117="","△タスク名なし",IF(ISNA(MATCH(AQ117,'M1_類型マスタ'!$A$5:$A$19,0)),"△類型が不正",IF(OR(AP117="",N(AP117)&lt;1,N(AP117)&gt;6),"△業務区分が不正",IF(OR(AS117="",AT117=""),"△回数・分が読めない",IF(SUMPRODUCT(--ISNUMBER(--T117:Z117))&lt;7,"△採点が足りない",IF(SUMPRODUCT((--T117:Z117&gt;2)+(--T117:Z117&lt;0))&gt;0,"△採点が範囲外","OK"))))))))))))</f>
        <v/>
      </c>
      <c r="AC117">
        <f>IF(AB117&lt;&gt;"OK","",TRIM(IF(AND(AU117&lt;&gt;"",N(AU117)&lt;=1),"根拠1件 ","")&amp;IF(AV117&lt;&gt;"","同名あり ","")&amp;IF(AND(NOT(ISNUMBER(N117)),N117&lt;&gt;""),"回数を換算 ","")&amp;IF(J117="","詳細なし ","")&amp;IF(AND(N(AP117)=1,BB117=""),"顧客名なし ","")))</f>
        <v/>
      </c>
      <c r="AD117" s="31" t="n"/>
      <c r="AE117" s="32" t="n"/>
      <c r="AF117" s="32" t="n"/>
      <c r="AG117" s="31" t="n"/>
      <c r="AH117">
        <f>IF(AB117&lt;&gt;"OK","",IF(AG117&lt;&gt;"",AG117,AJ117))</f>
        <v/>
      </c>
      <c r="AI117" s="33">
        <f>IF(AB117&lt;&gt;"OK","",IFERROR(IF(AE117&lt;&gt;"",AE117,AS117)*IF(AF117&lt;&gt;"",AF117,AT117)/60,""))</f>
        <v/>
      </c>
      <c r="AJ117">
        <f>IF(AB117&lt;&gt;"OK","",IF(OR(VALUE(T117)=2,VALUE(U117)=2,VALUE(V117)=2),"社内残置",IF(AND(VALUE(T117)=0,VALUE(W117)=0,VALUE(Y117)=0),"自動化候補",IF(AND(VALUE(U117)=0,VALUE(W117)&lt;=1,VALUE(X117)&lt;=1,VALUE(Y117)&lt;=1,VALUE(Z117)&lt;=1),"オフショア候補",IF(AND(VALUE(Y117)&lt;=1,VALUE(Z117)&lt;=1),"ニアショア候補","社内で手順化→再評価")))))</f>
        <v/>
      </c>
      <c r="AK117">
        <f>IF(AB117&lt;&gt;"OK","",14-SUMPRODUCT(--T117:Z117))</f>
        <v/>
      </c>
      <c r="AL117" s="33">
        <f>IF(AB117&lt;&gt;"OK","",AS117*AT117/60)</f>
        <v/>
      </c>
      <c r="AM117" s="34">
        <f>IF(A117="","",UPPER(TRIM(ASC(A117&amp;""))))</f>
        <v/>
      </c>
      <c r="AN117" s="34">
        <f>IF(AM117="","",AM117&amp;"-"&amp;B117)</f>
        <v/>
      </c>
      <c r="AO117" s="34">
        <f>IF(C117="","",IFERROR(VALUE(ASC(SUBSTITUTE(C117&amp;"","観点",""))),""))</f>
        <v/>
      </c>
      <c r="AP117" s="34">
        <f>IF(D117="","",IFERROR(VALUE(LEFT(TRIM(ASC(D117&amp;"")),1)),IFERROR(MATCH(TRIM(D117&amp;""),'M2_区分マスタ'!$I$5:$I$10,0),"")))</f>
        <v/>
      </c>
      <c r="AQ117" s="34">
        <f>IF(H117="","",UPPER(LEFT(TRIM(ASC(H117&amp;"")),3)))</f>
        <v/>
      </c>
      <c r="AR117" s="34">
        <f>IF(N117="","",IFERROR(VALUE(SUBSTITUTE(SUBSTITUTE(SUBSTITUTE(SUBSTITUTE(SUBSTITUTE(SUBSTITUTE(SUBSTITUTE(SUBSTITUTE(SUBSTITUTE(SUBSTITUTE(SUBSTITUTE(SUBSTITUTE(ASC(N117&amp;""),"約",""),"程度",""),"ほど",""),"回",""),"毎",""),"週",""),"月",""),"年",""),"日",""),"に",""),"/","")," ","")),""))</f>
        <v/>
      </c>
      <c r="AS117" s="34">
        <f>IF(N117="","",IF(ISNUMBER(N117),N117,IFERROR(VALUE(ASC(N117&amp;"")),IF(AR117&lt;&gt;"",AR117*IF(ISNUMBER(SEARCH("週",N117)),4.3,IF(ISNUMBER(SEARCH("年",N117)),1/12,IF(ISNUMBER(SEARCH("日",N117)),20,1))),IF(ISNUMBER(SEARCH("日",N117)),20,IF(ISNUMBER(SEARCH("週",N117)),4.3,IF(ISNUMBER(SEARCH("月",N117)),1,"")))))))</f>
        <v/>
      </c>
      <c r="AT117" s="34">
        <f>IF(O117="","",IF(ISNUMBER(O117),O117,IFERROR(VALUE(ASC(O117&amp;"")),IF(ISNUMBER(SEARCH("時間",O117)),IFERROR(VALUE(SUBSTITUTE(SUBSTITUTE(SUBSTITUTE(SUBSTITUTE(SUBSTITUTE(ASC(O117&amp;""),"約",""),"程度",""),"ほど",""),"時間","")," ",""))*60,""),IFERROR(VALUE(SUBSTITUTE(SUBSTITUTE(SUBSTITUTE(SUBSTITUTE(SUBSTITUTE(ASC(O117&amp;""),"約",""),"程度",""),"ほど",""),"分","")," ","")),"")))))</f>
        <v/>
      </c>
      <c r="AU117" s="34">
        <f>IF(P117="","",IF(ISNUMBER(P117),P117,IFERROR(VALUE(SUBSTITUTE(SUBSTITUTE(SUBSTITUTE(ASC(P117&amp;""),"約",""),"件","")," ","")),"")))</f>
        <v/>
      </c>
      <c r="AV117" s="34">
        <f>IF(AB117&lt;&gt;"OK","",IF(COUNTIFS($G$5:$G$404,G117&amp;"",$F$5:$F$404,F117&amp;"",$BE$5:$BE$404,BE117&amp;"",$AB$5:$AB$404,"OK")&gt;1,"同名あり",""))</f>
        <v/>
      </c>
      <c r="AW117" s="35">
        <f>IF(Q117="","",IF(ISNUMBER(Q117),Q117,IFERROR(DATEVALUE(SUBSTITUTE(SUBSTITUTE(ASC(Q117&amp;""),"-","/"),".","/")&amp;"/01"),"")))</f>
        <v/>
      </c>
      <c r="AX117" s="35">
        <f>IF(R117="","",IF(ISNUMBER(R117),R117,IFERROR(DATEVALUE(SUBSTITUTE(SUBSTITUTE(ASC(R117&amp;""),"-","/"),".","/")&amp;"/01"),"")))</f>
        <v/>
      </c>
      <c r="AY117" s="34">
        <f>IF(OR(AB117&lt;&gt;"OK",AW117=""),"",IF(AW117&gt;='01_設定'!$C$26,1,0))</f>
        <v/>
      </c>
      <c r="AZ117" s="34">
        <f>IF(AND(AB117="OK",AD117&lt;&gt;"除外"),COUNTIFS($AB$5:AB117,"OK",$AD$5:AD117,"&lt;&gt;除外"),"")</f>
        <v/>
      </c>
      <c r="BA117" s="34">
        <f>IF(OR(AZ117="",AI117=""),"",AI117+ROW()/1000000000)</f>
        <v/>
      </c>
      <c r="BB117" s="34">
        <f>IF(E117="","",IF(OR(TRIM(E117&amp;"")="-",TRIM(E117&amp;"")="－",TRIM(E117&amp;"")="ー"),"",TRIM(E117&amp;"")))</f>
        <v/>
      </c>
      <c r="BC117" s="34">
        <f>IF(AND(AB117="OK",BB117&lt;&gt;""),IF(COUNTIFS($BB$5:BB117,BB117,$AB$5:AB117,"OK")=1,1,""),"")</f>
        <v/>
      </c>
      <c r="BD117" s="34">
        <f>IF(BC117=1,COUNTIF($BC$5:BC117,1),"")</f>
        <v/>
      </c>
      <c r="BE117" s="34">
        <f>IF(BB117="","",IFERROR(INDEX('06_顧客別集計'!$G$5:$G$104,MATCH(BB117,'06_顧客別集計'!$C$5:$C$104,0)),BB117))</f>
        <v/>
      </c>
      <c r="BF117" s="34">
        <f>IF(AND(AZ117&lt;&gt;"",BE117&lt;&gt;""),IF(COUNTIFS($BE$5:BE117,BE117,$AZ$5:AZ117,"&gt;0")=1,1,""),"")</f>
        <v/>
      </c>
      <c r="BG117" s="34">
        <f>IF(BF117=1,COUNTIF($BF$5:BF117,1),"")</f>
        <v/>
      </c>
    </row>
    <row r="118">
      <c r="AB118">
        <f>IF(AND(A118="",G118=""),"",IF(ISNUMBER(SEARCH("##END",AM118)),"（終わりの印）",IF(ISNUMBER(SEARCH("##続き",AM118)),"（続きありの印）",IF(AM118="調査ID","（見出し行）",IF(AND(AM118&lt;&gt;"R1",AM118&lt;&gt;"R2"),"×表以外の行（集計されない）",IF(COUNTIF($AN$5:AN118,AN118)&gt;1,"△重複（集計されない）",IF(G118="","△タスク名なし",IF(ISNA(MATCH(AQ118,'M1_類型マスタ'!$A$5:$A$19,0)),"△類型が不正",IF(OR(AP118="",N(AP118)&lt;1,N(AP118)&gt;6),"△業務区分が不正",IF(OR(AS118="",AT118=""),"△回数・分が読めない",IF(SUMPRODUCT(--ISNUMBER(--T118:Z118))&lt;7,"△採点が足りない",IF(SUMPRODUCT((--T118:Z118&gt;2)+(--T118:Z118&lt;0))&gt;0,"△採点が範囲外","OK"))))))))))))</f>
        <v/>
      </c>
      <c r="AC118">
        <f>IF(AB118&lt;&gt;"OK","",TRIM(IF(AND(AU118&lt;&gt;"",N(AU118)&lt;=1),"根拠1件 ","")&amp;IF(AV118&lt;&gt;"","同名あり ","")&amp;IF(AND(NOT(ISNUMBER(N118)),N118&lt;&gt;""),"回数を換算 ","")&amp;IF(J118="","詳細なし ","")&amp;IF(AND(N(AP118)=1,BB118=""),"顧客名なし ","")))</f>
        <v/>
      </c>
      <c r="AD118" s="31" t="n"/>
      <c r="AE118" s="32" t="n"/>
      <c r="AF118" s="32" t="n"/>
      <c r="AG118" s="31" t="n"/>
      <c r="AH118">
        <f>IF(AB118&lt;&gt;"OK","",IF(AG118&lt;&gt;"",AG118,AJ118))</f>
        <v/>
      </c>
      <c r="AI118" s="33">
        <f>IF(AB118&lt;&gt;"OK","",IFERROR(IF(AE118&lt;&gt;"",AE118,AS118)*IF(AF118&lt;&gt;"",AF118,AT118)/60,""))</f>
        <v/>
      </c>
      <c r="AJ118">
        <f>IF(AB118&lt;&gt;"OK","",IF(OR(VALUE(T118)=2,VALUE(U118)=2,VALUE(V118)=2),"社内残置",IF(AND(VALUE(T118)=0,VALUE(W118)=0,VALUE(Y118)=0),"自動化候補",IF(AND(VALUE(U118)=0,VALUE(W118)&lt;=1,VALUE(X118)&lt;=1,VALUE(Y118)&lt;=1,VALUE(Z118)&lt;=1),"オフショア候補",IF(AND(VALUE(Y118)&lt;=1,VALUE(Z118)&lt;=1),"ニアショア候補","社内で手順化→再評価")))))</f>
        <v/>
      </c>
      <c r="AK118">
        <f>IF(AB118&lt;&gt;"OK","",14-SUMPRODUCT(--T118:Z118))</f>
        <v/>
      </c>
      <c r="AL118" s="33">
        <f>IF(AB118&lt;&gt;"OK","",AS118*AT118/60)</f>
        <v/>
      </c>
      <c r="AM118" s="34">
        <f>IF(A118="","",UPPER(TRIM(ASC(A118&amp;""))))</f>
        <v/>
      </c>
      <c r="AN118" s="34">
        <f>IF(AM118="","",AM118&amp;"-"&amp;B118)</f>
        <v/>
      </c>
      <c r="AO118" s="34">
        <f>IF(C118="","",IFERROR(VALUE(ASC(SUBSTITUTE(C118&amp;"","観点",""))),""))</f>
        <v/>
      </c>
      <c r="AP118" s="34">
        <f>IF(D118="","",IFERROR(VALUE(LEFT(TRIM(ASC(D118&amp;"")),1)),IFERROR(MATCH(TRIM(D118&amp;""),'M2_区分マスタ'!$I$5:$I$10,0),"")))</f>
        <v/>
      </c>
      <c r="AQ118" s="34">
        <f>IF(H118="","",UPPER(LEFT(TRIM(ASC(H118&amp;"")),3)))</f>
        <v/>
      </c>
      <c r="AR118" s="34">
        <f>IF(N118="","",IFERROR(VALUE(SUBSTITUTE(SUBSTITUTE(SUBSTITUTE(SUBSTITUTE(SUBSTITUTE(SUBSTITUTE(SUBSTITUTE(SUBSTITUTE(SUBSTITUTE(SUBSTITUTE(SUBSTITUTE(SUBSTITUTE(ASC(N118&amp;""),"約",""),"程度",""),"ほど",""),"回",""),"毎",""),"週",""),"月",""),"年",""),"日",""),"に",""),"/","")," ","")),""))</f>
        <v/>
      </c>
      <c r="AS118" s="34">
        <f>IF(N118="","",IF(ISNUMBER(N118),N118,IFERROR(VALUE(ASC(N118&amp;"")),IF(AR118&lt;&gt;"",AR118*IF(ISNUMBER(SEARCH("週",N118)),4.3,IF(ISNUMBER(SEARCH("年",N118)),1/12,IF(ISNUMBER(SEARCH("日",N118)),20,1))),IF(ISNUMBER(SEARCH("日",N118)),20,IF(ISNUMBER(SEARCH("週",N118)),4.3,IF(ISNUMBER(SEARCH("月",N118)),1,"")))))))</f>
        <v/>
      </c>
      <c r="AT118" s="34">
        <f>IF(O118="","",IF(ISNUMBER(O118),O118,IFERROR(VALUE(ASC(O118&amp;"")),IF(ISNUMBER(SEARCH("時間",O118)),IFERROR(VALUE(SUBSTITUTE(SUBSTITUTE(SUBSTITUTE(SUBSTITUTE(SUBSTITUTE(ASC(O118&amp;""),"約",""),"程度",""),"ほど",""),"時間","")," ",""))*60,""),IFERROR(VALUE(SUBSTITUTE(SUBSTITUTE(SUBSTITUTE(SUBSTITUTE(SUBSTITUTE(ASC(O118&amp;""),"約",""),"程度",""),"ほど",""),"分","")," ","")),"")))))</f>
        <v/>
      </c>
      <c r="AU118" s="34">
        <f>IF(P118="","",IF(ISNUMBER(P118),P118,IFERROR(VALUE(SUBSTITUTE(SUBSTITUTE(SUBSTITUTE(ASC(P118&amp;""),"約",""),"件","")," ","")),"")))</f>
        <v/>
      </c>
      <c r="AV118" s="34">
        <f>IF(AB118&lt;&gt;"OK","",IF(COUNTIFS($G$5:$G$404,G118&amp;"",$F$5:$F$404,F118&amp;"",$BE$5:$BE$404,BE118&amp;"",$AB$5:$AB$404,"OK")&gt;1,"同名あり",""))</f>
        <v/>
      </c>
      <c r="AW118" s="35">
        <f>IF(Q118="","",IF(ISNUMBER(Q118),Q118,IFERROR(DATEVALUE(SUBSTITUTE(SUBSTITUTE(ASC(Q118&amp;""),"-","/"),".","/")&amp;"/01"),"")))</f>
        <v/>
      </c>
      <c r="AX118" s="35">
        <f>IF(R118="","",IF(ISNUMBER(R118),R118,IFERROR(DATEVALUE(SUBSTITUTE(SUBSTITUTE(ASC(R118&amp;""),"-","/"),".","/")&amp;"/01"),"")))</f>
        <v/>
      </c>
      <c r="AY118" s="34">
        <f>IF(OR(AB118&lt;&gt;"OK",AW118=""),"",IF(AW118&gt;='01_設定'!$C$26,1,0))</f>
        <v/>
      </c>
      <c r="AZ118" s="34">
        <f>IF(AND(AB118="OK",AD118&lt;&gt;"除外"),COUNTIFS($AB$5:AB118,"OK",$AD$5:AD118,"&lt;&gt;除外"),"")</f>
        <v/>
      </c>
      <c r="BA118" s="34">
        <f>IF(OR(AZ118="",AI118=""),"",AI118+ROW()/1000000000)</f>
        <v/>
      </c>
      <c r="BB118" s="34">
        <f>IF(E118="","",IF(OR(TRIM(E118&amp;"")="-",TRIM(E118&amp;"")="－",TRIM(E118&amp;"")="ー"),"",TRIM(E118&amp;"")))</f>
        <v/>
      </c>
      <c r="BC118" s="34">
        <f>IF(AND(AB118="OK",BB118&lt;&gt;""),IF(COUNTIFS($BB$5:BB118,BB118,$AB$5:AB118,"OK")=1,1,""),"")</f>
        <v/>
      </c>
      <c r="BD118" s="34">
        <f>IF(BC118=1,COUNTIF($BC$5:BC118,1),"")</f>
        <v/>
      </c>
      <c r="BE118" s="34">
        <f>IF(BB118="","",IFERROR(INDEX('06_顧客別集計'!$G$5:$G$104,MATCH(BB118,'06_顧客別集計'!$C$5:$C$104,0)),BB118))</f>
        <v/>
      </c>
      <c r="BF118" s="34">
        <f>IF(AND(AZ118&lt;&gt;"",BE118&lt;&gt;""),IF(COUNTIFS($BE$5:BE118,BE118,$AZ$5:AZ118,"&gt;0")=1,1,""),"")</f>
        <v/>
      </c>
      <c r="BG118" s="34">
        <f>IF(BF118=1,COUNTIF($BF$5:BF118,1),"")</f>
        <v/>
      </c>
    </row>
    <row r="119">
      <c r="AB119">
        <f>IF(AND(A119="",G119=""),"",IF(ISNUMBER(SEARCH("##END",AM119)),"（終わりの印）",IF(ISNUMBER(SEARCH("##続き",AM119)),"（続きありの印）",IF(AM119="調査ID","（見出し行）",IF(AND(AM119&lt;&gt;"R1",AM119&lt;&gt;"R2"),"×表以外の行（集計されない）",IF(COUNTIF($AN$5:AN119,AN119)&gt;1,"△重複（集計されない）",IF(G119="","△タスク名なし",IF(ISNA(MATCH(AQ119,'M1_類型マスタ'!$A$5:$A$19,0)),"△類型が不正",IF(OR(AP119="",N(AP119)&lt;1,N(AP119)&gt;6),"△業務区分が不正",IF(OR(AS119="",AT119=""),"△回数・分が読めない",IF(SUMPRODUCT(--ISNUMBER(--T119:Z119))&lt;7,"△採点が足りない",IF(SUMPRODUCT((--T119:Z119&gt;2)+(--T119:Z119&lt;0))&gt;0,"△採点が範囲外","OK"))))))))))))</f>
        <v/>
      </c>
      <c r="AC119">
        <f>IF(AB119&lt;&gt;"OK","",TRIM(IF(AND(AU119&lt;&gt;"",N(AU119)&lt;=1),"根拠1件 ","")&amp;IF(AV119&lt;&gt;"","同名あり ","")&amp;IF(AND(NOT(ISNUMBER(N119)),N119&lt;&gt;""),"回数を換算 ","")&amp;IF(J119="","詳細なし ","")&amp;IF(AND(N(AP119)=1,BB119=""),"顧客名なし ","")))</f>
        <v/>
      </c>
      <c r="AD119" s="31" t="n"/>
      <c r="AE119" s="32" t="n"/>
      <c r="AF119" s="32" t="n"/>
      <c r="AG119" s="31" t="n"/>
      <c r="AH119">
        <f>IF(AB119&lt;&gt;"OK","",IF(AG119&lt;&gt;"",AG119,AJ119))</f>
        <v/>
      </c>
      <c r="AI119" s="33">
        <f>IF(AB119&lt;&gt;"OK","",IFERROR(IF(AE119&lt;&gt;"",AE119,AS119)*IF(AF119&lt;&gt;"",AF119,AT119)/60,""))</f>
        <v/>
      </c>
      <c r="AJ119">
        <f>IF(AB119&lt;&gt;"OK","",IF(OR(VALUE(T119)=2,VALUE(U119)=2,VALUE(V119)=2),"社内残置",IF(AND(VALUE(T119)=0,VALUE(W119)=0,VALUE(Y119)=0),"自動化候補",IF(AND(VALUE(U119)=0,VALUE(W119)&lt;=1,VALUE(X119)&lt;=1,VALUE(Y119)&lt;=1,VALUE(Z119)&lt;=1),"オフショア候補",IF(AND(VALUE(Y119)&lt;=1,VALUE(Z119)&lt;=1),"ニアショア候補","社内で手順化→再評価")))))</f>
        <v/>
      </c>
      <c r="AK119">
        <f>IF(AB119&lt;&gt;"OK","",14-SUMPRODUCT(--T119:Z119))</f>
        <v/>
      </c>
      <c r="AL119" s="33">
        <f>IF(AB119&lt;&gt;"OK","",AS119*AT119/60)</f>
        <v/>
      </c>
      <c r="AM119" s="34">
        <f>IF(A119="","",UPPER(TRIM(ASC(A119&amp;""))))</f>
        <v/>
      </c>
      <c r="AN119" s="34">
        <f>IF(AM119="","",AM119&amp;"-"&amp;B119)</f>
        <v/>
      </c>
      <c r="AO119" s="34">
        <f>IF(C119="","",IFERROR(VALUE(ASC(SUBSTITUTE(C119&amp;"","観点",""))),""))</f>
        <v/>
      </c>
      <c r="AP119" s="34">
        <f>IF(D119="","",IFERROR(VALUE(LEFT(TRIM(ASC(D119&amp;"")),1)),IFERROR(MATCH(TRIM(D119&amp;""),'M2_区分マスタ'!$I$5:$I$10,0),"")))</f>
        <v/>
      </c>
      <c r="AQ119" s="34">
        <f>IF(H119="","",UPPER(LEFT(TRIM(ASC(H119&amp;"")),3)))</f>
        <v/>
      </c>
      <c r="AR119" s="34">
        <f>IF(N119="","",IFERROR(VALUE(SUBSTITUTE(SUBSTITUTE(SUBSTITUTE(SUBSTITUTE(SUBSTITUTE(SUBSTITUTE(SUBSTITUTE(SUBSTITUTE(SUBSTITUTE(SUBSTITUTE(SUBSTITUTE(SUBSTITUTE(ASC(N119&amp;""),"約",""),"程度",""),"ほど",""),"回",""),"毎",""),"週",""),"月",""),"年",""),"日",""),"に",""),"/","")," ","")),""))</f>
        <v/>
      </c>
      <c r="AS119" s="34">
        <f>IF(N119="","",IF(ISNUMBER(N119),N119,IFERROR(VALUE(ASC(N119&amp;"")),IF(AR119&lt;&gt;"",AR119*IF(ISNUMBER(SEARCH("週",N119)),4.3,IF(ISNUMBER(SEARCH("年",N119)),1/12,IF(ISNUMBER(SEARCH("日",N119)),20,1))),IF(ISNUMBER(SEARCH("日",N119)),20,IF(ISNUMBER(SEARCH("週",N119)),4.3,IF(ISNUMBER(SEARCH("月",N119)),1,"")))))))</f>
        <v/>
      </c>
      <c r="AT119" s="34">
        <f>IF(O119="","",IF(ISNUMBER(O119),O119,IFERROR(VALUE(ASC(O119&amp;"")),IF(ISNUMBER(SEARCH("時間",O119)),IFERROR(VALUE(SUBSTITUTE(SUBSTITUTE(SUBSTITUTE(SUBSTITUTE(SUBSTITUTE(ASC(O119&amp;""),"約",""),"程度",""),"ほど",""),"時間","")," ",""))*60,""),IFERROR(VALUE(SUBSTITUTE(SUBSTITUTE(SUBSTITUTE(SUBSTITUTE(SUBSTITUTE(ASC(O119&amp;""),"約",""),"程度",""),"ほど",""),"分","")," ","")),"")))))</f>
        <v/>
      </c>
      <c r="AU119" s="34">
        <f>IF(P119="","",IF(ISNUMBER(P119),P119,IFERROR(VALUE(SUBSTITUTE(SUBSTITUTE(SUBSTITUTE(ASC(P119&amp;""),"約",""),"件","")," ","")),"")))</f>
        <v/>
      </c>
      <c r="AV119" s="34">
        <f>IF(AB119&lt;&gt;"OK","",IF(COUNTIFS($G$5:$G$404,G119&amp;"",$F$5:$F$404,F119&amp;"",$BE$5:$BE$404,BE119&amp;"",$AB$5:$AB$404,"OK")&gt;1,"同名あり",""))</f>
        <v/>
      </c>
      <c r="AW119" s="35">
        <f>IF(Q119="","",IF(ISNUMBER(Q119),Q119,IFERROR(DATEVALUE(SUBSTITUTE(SUBSTITUTE(ASC(Q119&amp;""),"-","/"),".","/")&amp;"/01"),"")))</f>
        <v/>
      </c>
      <c r="AX119" s="35">
        <f>IF(R119="","",IF(ISNUMBER(R119),R119,IFERROR(DATEVALUE(SUBSTITUTE(SUBSTITUTE(ASC(R119&amp;""),"-","/"),".","/")&amp;"/01"),"")))</f>
        <v/>
      </c>
      <c r="AY119" s="34">
        <f>IF(OR(AB119&lt;&gt;"OK",AW119=""),"",IF(AW119&gt;='01_設定'!$C$26,1,0))</f>
        <v/>
      </c>
      <c r="AZ119" s="34">
        <f>IF(AND(AB119="OK",AD119&lt;&gt;"除外"),COUNTIFS($AB$5:AB119,"OK",$AD$5:AD119,"&lt;&gt;除外"),"")</f>
        <v/>
      </c>
      <c r="BA119" s="34">
        <f>IF(OR(AZ119="",AI119=""),"",AI119+ROW()/1000000000)</f>
        <v/>
      </c>
      <c r="BB119" s="34">
        <f>IF(E119="","",IF(OR(TRIM(E119&amp;"")="-",TRIM(E119&amp;"")="－",TRIM(E119&amp;"")="ー"),"",TRIM(E119&amp;"")))</f>
        <v/>
      </c>
      <c r="BC119" s="34">
        <f>IF(AND(AB119="OK",BB119&lt;&gt;""),IF(COUNTIFS($BB$5:BB119,BB119,$AB$5:AB119,"OK")=1,1,""),"")</f>
        <v/>
      </c>
      <c r="BD119" s="34">
        <f>IF(BC119=1,COUNTIF($BC$5:BC119,1),"")</f>
        <v/>
      </c>
      <c r="BE119" s="34">
        <f>IF(BB119="","",IFERROR(INDEX('06_顧客別集計'!$G$5:$G$104,MATCH(BB119,'06_顧客別集計'!$C$5:$C$104,0)),BB119))</f>
        <v/>
      </c>
      <c r="BF119" s="34">
        <f>IF(AND(AZ119&lt;&gt;"",BE119&lt;&gt;""),IF(COUNTIFS($BE$5:BE119,BE119,$AZ$5:AZ119,"&gt;0")=1,1,""),"")</f>
        <v/>
      </c>
      <c r="BG119" s="34">
        <f>IF(BF119=1,COUNTIF($BF$5:BF119,1),"")</f>
        <v/>
      </c>
    </row>
    <row r="120">
      <c r="AB120">
        <f>IF(AND(A120="",G120=""),"",IF(ISNUMBER(SEARCH("##END",AM120)),"（終わりの印）",IF(ISNUMBER(SEARCH("##続き",AM120)),"（続きありの印）",IF(AM120="調査ID","（見出し行）",IF(AND(AM120&lt;&gt;"R1",AM120&lt;&gt;"R2"),"×表以外の行（集計されない）",IF(COUNTIF($AN$5:AN120,AN120)&gt;1,"△重複（集計されない）",IF(G120="","△タスク名なし",IF(ISNA(MATCH(AQ120,'M1_類型マスタ'!$A$5:$A$19,0)),"△類型が不正",IF(OR(AP120="",N(AP120)&lt;1,N(AP120)&gt;6),"△業務区分が不正",IF(OR(AS120="",AT120=""),"△回数・分が読めない",IF(SUMPRODUCT(--ISNUMBER(--T120:Z120))&lt;7,"△採点が足りない",IF(SUMPRODUCT((--T120:Z120&gt;2)+(--T120:Z120&lt;0))&gt;0,"△採点が範囲外","OK"))))))))))))</f>
        <v/>
      </c>
      <c r="AC120">
        <f>IF(AB120&lt;&gt;"OK","",TRIM(IF(AND(AU120&lt;&gt;"",N(AU120)&lt;=1),"根拠1件 ","")&amp;IF(AV120&lt;&gt;"","同名あり ","")&amp;IF(AND(NOT(ISNUMBER(N120)),N120&lt;&gt;""),"回数を換算 ","")&amp;IF(J120="","詳細なし ","")&amp;IF(AND(N(AP120)=1,BB120=""),"顧客名なし ","")))</f>
        <v/>
      </c>
      <c r="AD120" s="31" t="n"/>
      <c r="AE120" s="32" t="n"/>
      <c r="AF120" s="32" t="n"/>
      <c r="AG120" s="31" t="n"/>
      <c r="AH120">
        <f>IF(AB120&lt;&gt;"OK","",IF(AG120&lt;&gt;"",AG120,AJ120))</f>
        <v/>
      </c>
      <c r="AI120" s="33">
        <f>IF(AB120&lt;&gt;"OK","",IFERROR(IF(AE120&lt;&gt;"",AE120,AS120)*IF(AF120&lt;&gt;"",AF120,AT120)/60,""))</f>
        <v/>
      </c>
      <c r="AJ120">
        <f>IF(AB120&lt;&gt;"OK","",IF(OR(VALUE(T120)=2,VALUE(U120)=2,VALUE(V120)=2),"社内残置",IF(AND(VALUE(T120)=0,VALUE(W120)=0,VALUE(Y120)=0),"自動化候補",IF(AND(VALUE(U120)=0,VALUE(W120)&lt;=1,VALUE(X120)&lt;=1,VALUE(Y120)&lt;=1,VALUE(Z120)&lt;=1),"オフショア候補",IF(AND(VALUE(Y120)&lt;=1,VALUE(Z120)&lt;=1),"ニアショア候補","社内で手順化→再評価")))))</f>
        <v/>
      </c>
      <c r="AK120">
        <f>IF(AB120&lt;&gt;"OK","",14-SUMPRODUCT(--T120:Z120))</f>
        <v/>
      </c>
      <c r="AL120" s="33">
        <f>IF(AB120&lt;&gt;"OK","",AS120*AT120/60)</f>
        <v/>
      </c>
      <c r="AM120" s="34">
        <f>IF(A120="","",UPPER(TRIM(ASC(A120&amp;""))))</f>
        <v/>
      </c>
      <c r="AN120" s="34">
        <f>IF(AM120="","",AM120&amp;"-"&amp;B120)</f>
        <v/>
      </c>
      <c r="AO120" s="34">
        <f>IF(C120="","",IFERROR(VALUE(ASC(SUBSTITUTE(C120&amp;"","観点",""))),""))</f>
        <v/>
      </c>
      <c r="AP120" s="34">
        <f>IF(D120="","",IFERROR(VALUE(LEFT(TRIM(ASC(D120&amp;"")),1)),IFERROR(MATCH(TRIM(D120&amp;""),'M2_区分マスタ'!$I$5:$I$10,0),"")))</f>
        <v/>
      </c>
      <c r="AQ120" s="34">
        <f>IF(H120="","",UPPER(LEFT(TRIM(ASC(H120&amp;"")),3)))</f>
        <v/>
      </c>
      <c r="AR120" s="34">
        <f>IF(N120="","",IFERROR(VALUE(SUBSTITUTE(SUBSTITUTE(SUBSTITUTE(SUBSTITUTE(SUBSTITUTE(SUBSTITUTE(SUBSTITUTE(SUBSTITUTE(SUBSTITUTE(SUBSTITUTE(SUBSTITUTE(SUBSTITUTE(ASC(N120&amp;""),"約",""),"程度",""),"ほど",""),"回",""),"毎",""),"週",""),"月",""),"年",""),"日",""),"に",""),"/","")," ","")),""))</f>
        <v/>
      </c>
      <c r="AS120" s="34">
        <f>IF(N120="","",IF(ISNUMBER(N120),N120,IFERROR(VALUE(ASC(N120&amp;"")),IF(AR120&lt;&gt;"",AR120*IF(ISNUMBER(SEARCH("週",N120)),4.3,IF(ISNUMBER(SEARCH("年",N120)),1/12,IF(ISNUMBER(SEARCH("日",N120)),20,1))),IF(ISNUMBER(SEARCH("日",N120)),20,IF(ISNUMBER(SEARCH("週",N120)),4.3,IF(ISNUMBER(SEARCH("月",N120)),1,"")))))))</f>
        <v/>
      </c>
      <c r="AT120" s="34">
        <f>IF(O120="","",IF(ISNUMBER(O120),O120,IFERROR(VALUE(ASC(O120&amp;"")),IF(ISNUMBER(SEARCH("時間",O120)),IFERROR(VALUE(SUBSTITUTE(SUBSTITUTE(SUBSTITUTE(SUBSTITUTE(SUBSTITUTE(ASC(O120&amp;""),"約",""),"程度",""),"ほど",""),"時間","")," ",""))*60,""),IFERROR(VALUE(SUBSTITUTE(SUBSTITUTE(SUBSTITUTE(SUBSTITUTE(SUBSTITUTE(ASC(O120&amp;""),"約",""),"程度",""),"ほど",""),"分","")," ","")),"")))))</f>
        <v/>
      </c>
      <c r="AU120" s="34">
        <f>IF(P120="","",IF(ISNUMBER(P120),P120,IFERROR(VALUE(SUBSTITUTE(SUBSTITUTE(SUBSTITUTE(ASC(P120&amp;""),"約",""),"件","")," ","")),"")))</f>
        <v/>
      </c>
      <c r="AV120" s="34">
        <f>IF(AB120&lt;&gt;"OK","",IF(COUNTIFS($G$5:$G$404,G120&amp;"",$F$5:$F$404,F120&amp;"",$BE$5:$BE$404,BE120&amp;"",$AB$5:$AB$404,"OK")&gt;1,"同名あり",""))</f>
        <v/>
      </c>
      <c r="AW120" s="35">
        <f>IF(Q120="","",IF(ISNUMBER(Q120),Q120,IFERROR(DATEVALUE(SUBSTITUTE(SUBSTITUTE(ASC(Q120&amp;""),"-","/"),".","/")&amp;"/01"),"")))</f>
        <v/>
      </c>
      <c r="AX120" s="35">
        <f>IF(R120="","",IF(ISNUMBER(R120),R120,IFERROR(DATEVALUE(SUBSTITUTE(SUBSTITUTE(ASC(R120&amp;""),"-","/"),".","/")&amp;"/01"),"")))</f>
        <v/>
      </c>
      <c r="AY120" s="34">
        <f>IF(OR(AB120&lt;&gt;"OK",AW120=""),"",IF(AW120&gt;='01_設定'!$C$26,1,0))</f>
        <v/>
      </c>
      <c r="AZ120" s="34">
        <f>IF(AND(AB120="OK",AD120&lt;&gt;"除外"),COUNTIFS($AB$5:AB120,"OK",$AD$5:AD120,"&lt;&gt;除外"),"")</f>
        <v/>
      </c>
      <c r="BA120" s="34">
        <f>IF(OR(AZ120="",AI120=""),"",AI120+ROW()/1000000000)</f>
        <v/>
      </c>
      <c r="BB120" s="34">
        <f>IF(E120="","",IF(OR(TRIM(E120&amp;"")="-",TRIM(E120&amp;"")="－",TRIM(E120&amp;"")="ー"),"",TRIM(E120&amp;"")))</f>
        <v/>
      </c>
      <c r="BC120" s="34">
        <f>IF(AND(AB120="OK",BB120&lt;&gt;""),IF(COUNTIFS($BB$5:BB120,BB120,$AB$5:AB120,"OK")=1,1,""),"")</f>
        <v/>
      </c>
      <c r="BD120" s="34">
        <f>IF(BC120=1,COUNTIF($BC$5:BC120,1),"")</f>
        <v/>
      </c>
      <c r="BE120" s="34">
        <f>IF(BB120="","",IFERROR(INDEX('06_顧客別集計'!$G$5:$G$104,MATCH(BB120,'06_顧客別集計'!$C$5:$C$104,0)),BB120))</f>
        <v/>
      </c>
      <c r="BF120" s="34">
        <f>IF(AND(AZ120&lt;&gt;"",BE120&lt;&gt;""),IF(COUNTIFS($BE$5:BE120,BE120,$AZ$5:AZ120,"&gt;0")=1,1,""),"")</f>
        <v/>
      </c>
      <c r="BG120" s="34">
        <f>IF(BF120=1,COUNTIF($BF$5:BF120,1),"")</f>
        <v/>
      </c>
    </row>
    <row r="121">
      <c r="AB121">
        <f>IF(AND(A121="",G121=""),"",IF(ISNUMBER(SEARCH("##END",AM121)),"（終わりの印）",IF(ISNUMBER(SEARCH("##続き",AM121)),"（続きありの印）",IF(AM121="調査ID","（見出し行）",IF(AND(AM121&lt;&gt;"R1",AM121&lt;&gt;"R2"),"×表以外の行（集計されない）",IF(COUNTIF($AN$5:AN121,AN121)&gt;1,"△重複（集計されない）",IF(G121="","△タスク名なし",IF(ISNA(MATCH(AQ121,'M1_類型マスタ'!$A$5:$A$19,0)),"△類型が不正",IF(OR(AP121="",N(AP121)&lt;1,N(AP121)&gt;6),"△業務区分が不正",IF(OR(AS121="",AT121=""),"△回数・分が読めない",IF(SUMPRODUCT(--ISNUMBER(--T121:Z121))&lt;7,"△採点が足りない",IF(SUMPRODUCT((--T121:Z121&gt;2)+(--T121:Z121&lt;0))&gt;0,"△採点が範囲外","OK"))))))))))))</f>
        <v/>
      </c>
      <c r="AC121">
        <f>IF(AB121&lt;&gt;"OK","",TRIM(IF(AND(AU121&lt;&gt;"",N(AU121)&lt;=1),"根拠1件 ","")&amp;IF(AV121&lt;&gt;"","同名あり ","")&amp;IF(AND(NOT(ISNUMBER(N121)),N121&lt;&gt;""),"回数を換算 ","")&amp;IF(J121="","詳細なし ","")&amp;IF(AND(N(AP121)=1,BB121=""),"顧客名なし ","")))</f>
        <v/>
      </c>
      <c r="AD121" s="31" t="n"/>
      <c r="AE121" s="32" t="n"/>
      <c r="AF121" s="32" t="n"/>
      <c r="AG121" s="31" t="n"/>
      <c r="AH121">
        <f>IF(AB121&lt;&gt;"OK","",IF(AG121&lt;&gt;"",AG121,AJ121))</f>
        <v/>
      </c>
      <c r="AI121" s="33">
        <f>IF(AB121&lt;&gt;"OK","",IFERROR(IF(AE121&lt;&gt;"",AE121,AS121)*IF(AF121&lt;&gt;"",AF121,AT121)/60,""))</f>
        <v/>
      </c>
      <c r="AJ121">
        <f>IF(AB121&lt;&gt;"OK","",IF(OR(VALUE(T121)=2,VALUE(U121)=2,VALUE(V121)=2),"社内残置",IF(AND(VALUE(T121)=0,VALUE(W121)=0,VALUE(Y121)=0),"自動化候補",IF(AND(VALUE(U121)=0,VALUE(W121)&lt;=1,VALUE(X121)&lt;=1,VALUE(Y121)&lt;=1,VALUE(Z121)&lt;=1),"オフショア候補",IF(AND(VALUE(Y121)&lt;=1,VALUE(Z121)&lt;=1),"ニアショア候補","社内で手順化→再評価")))))</f>
        <v/>
      </c>
      <c r="AK121">
        <f>IF(AB121&lt;&gt;"OK","",14-SUMPRODUCT(--T121:Z121))</f>
        <v/>
      </c>
      <c r="AL121" s="33">
        <f>IF(AB121&lt;&gt;"OK","",AS121*AT121/60)</f>
        <v/>
      </c>
      <c r="AM121" s="34">
        <f>IF(A121="","",UPPER(TRIM(ASC(A121&amp;""))))</f>
        <v/>
      </c>
      <c r="AN121" s="34">
        <f>IF(AM121="","",AM121&amp;"-"&amp;B121)</f>
        <v/>
      </c>
      <c r="AO121" s="34">
        <f>IF(C121="","",IFERROR(VALUE(ASC(SUBSTITUTE(C121&amp;"","観点",""))),""))</f>
        <v/>
      </c>
      <c r="AP121" s="34">
        <f>IF(D121="","",IFERROR(VALUE(LEFT(TRIM(ASC(D121&amp;"")),1)),IFERROR(MATCH(TRIM(D121&amp;""),'M2_区分マスタ'!$I$5:$I$10,0),"")))</f>
        <v/>
      </c>
      <c r="AQ121" s="34">
        <f>IF(H121="","",UPPER(LEFT(TRIM(ASC(H121&amp;"")),3)))</f>
        <v/>
      </c>
      <c r="AR121" s="34">
        <f>IF(N121="","",IFERROR(VALUE(SUBSTITUTE(SUBSTITUTE(SUBSTITUTE(SUBSTITUTE(SUBSTITUTE(SUBSTITUTE(SUBSTITUTE(SUBSTITUTE(SUBSTITUTE(SUBSTITUTE(SUBSTITUTE(SUBSTITUTE(ASC(N121&amp;""),"約",""),"程度",""),"ほど",""),"回",""),"毎",""),"週",""),"月",""),"年",""),"日",""),"に",""),"/","")," ","")),""))</f>
        <v/>
      </c>
      <c r="AS121" s="34">
        <f>IF(N121="","",IF(ISNUMBER(N121),N121,IFERROR(VALUE(ASC(N121&amp;"")),IF(AR121&lt;&gt;"",AR121*IF(ISNUMBER(SEARCH("週",N121)),4.3,IF(ISNUMBER(SEARCH("年",N121)),1/12,IF(ISNUMBER(SEARCH("日",N121)),20,1))),IF(ISNUMBER(SEARCH("日",N121)),20,IF(ISNUMBER(SEARCH("週",N121)),4.3,IF(ISNUMBER(SEARCH("月",N121)),1,"")))))))</f>
        <v/>
      </c>
      <c r="AT121" s="34">
        <f>IF(O121="","",IF(ISNUMBER(O121),O121,IFERROR(VALUE(ASC(O121&amp;"")),IF(ISNUMBER(SEARCH("時間",O121)),IFERROR(VALUE(SUBSTITUTE(SUBSTITUTE(SUBSTITUTE(SUBSTITUTE(SUBSTITUTE(ASC(O121&amp;""),"約",""),"程度",""),"ほど",""),"時間","")," ",""))*60,""),IFERROR(VALUE(SUBSTITUTE(SUBSTITUTE(SUBSTITUTE(SUBSTITUTE(SUBSTITUTE(ASC(O121&amp;""),"約",""),"程度",""),"ほど",""),"分","")," ","")),"")))))</f>
        <v/>
      </c>
      <c r="AU121" s="34">
        <f>IF(P121="","",IF(ISNUMBER(P121),P121,IFERROR(VALUE(SUBSTITUTE(SUBSTITUTE(SUBSTITUTE(ASC(P121&amp;""),"約",""),"件","")," ","")),"")))</f>
        <v/>
      </c>
      <c r="AV121" s="34">
        <f>IF(AB121&lt;&gt;"OK","",IF(COUNTIFS($G$5:$G$404,G121&amp;"",$F$5:$F$404,F121&amp;"",$BE$5:$BE$404,BE121&amp;"",$AB$5:$AB$404,"OK")&gt;1,"同名あり",""))</f>
        <v/>
      </c>
      <c r="AW121" s="35">
        <f>IF(Q121="","",IF(ISNUMBER(Q121),Q121,IFERROR(DATEVALUE(SUBSTITUTE(SUBSTITUTE(ASC(Q121&amp;""),"-","/"),".","/")&amp;"/01"),"")))</f>
        <v/>
      </c>
      <c r="AX121" s="35">
        <f>IF(R121="","",IF(ISNUMBER(R121),R121,IFERROR(DATEVALUE(SUBSTITUTE(SUBSTITUTE(ASC(R121&amp;""),"-","/"),".","/")&amp;"/01"),"")))</f>
        <v/>
      </c>
      <c r="AY121" s="34">
        <f>IF(OR(AB121&lt;&gt;"OK",AW121=""),"",IF(AW121&gt;='01_設定'!$C$26,1,0))</f>
        <v/>
      </c>
      <c r="AZ121" s="34">
        <f>IF(AND(AB121="OK",AD121&lt;&gt;"除外"),COUNTIFS($AB$5:AB121,"OK",$AD$5:AD121,"&lt;&gt;除外"),"")</f>
        <v/>
      </c>
      <c r="BA121" s="34">
        <f>IF(OR(AZ121="",AI121=""),"",AI121+ROW()/1000000000)</f>
        <v/>
      </c>
      <c r="BB121" s="34">
        <f>IF(E121="","",IF(OR(TRIM(E121&amp;"")="-",TRIM(E121&amp;"")="－",TRIM(E121&amp;"")="ー"),"",TRIM(E121&amp;"")))</f>
        <v/>
      </c>
      <c r="BC121" s="34">
        <f>IF(AND(AB121="OK",BB121&lt;&gt;""),IF(COUNTIFS($BB$5:BB121,BB121,$AB$5:AB121,"OK")=1,1,""),"")</f>
        <v/>
      </c>
      <c r="BD121" s="34">
        <f>IF(BC121=1,COUNTIF($BC$5:BC121,1),"")</f>
        <v/>
      </c>
      <c r="BE121" s="34">
        <f>IF(BB121="","",IFERROR(INDEX('06_顧客別集計'!$G$5:$G$104,MATCH(BB121,'06_顧客別集計'!$C$5:$C$104,0)),BB121))</f>
        <v/>
      </c>
      <c r="BF121" s="34">
        <f>IF(AND(AZ121&lt;&gt;"",BE121&lt;&gt;""),IF(COUNTIFS($BE$5:BE121,BE121,$AZ$5:AZ121,"&gt;0")=1,1,""),"")</f>
        <v/>
      </c>
      <c r="BG121" s="34">
        <f>IF(BF121=1,COUNTIF($BF$5:BF121,1),"")</f>
        <v/>
      </c>
    </row>
    <row r="122">
      <c r="AB122">
        <f>IF(AND(A122="",G122=""),"",IF(ISNUMBER(SEARCH("##END",AM122)),"（終わりの印）",IF(ISNUMBER(SEARCH("##続き",AM122)),"（続きありの印）",IF(AM122="調査ID","（見出し行）",IF(AND(AM122&lt;&gt;"R1",AM122&lt;&gt;"R2"),"×表以外の行（集計されない）",IF(COUNTIF($AN$5:AN122,AN122)&gt;1,"△重複（集計されない）",IF(G122="","△タスク名なし",IF(ISNA(MATCH(AQ122,'M1_類型マスタ'!$A$5:$A$19,0)),"△類型が不正",IF(OR(AP122="",N(AP122)&lt;1,N(AP122)&gt;6),"△業務区分が不正",IF(OR(AS122="",AT122=""),"△回数・分が読めない",IF(SUMPRODUCT(--ISNUMBER(--T122:Z122))&lt;7,"△採点が足りない",IF(SUMPRODUCT((--T122:Z122&gt;2)+(--T122:Z122&lt;0))&gt;0,"△採点が範囲外","OK"))))))))))))</f>
        <v/>
      </c>
      <c r="AC122">
        <f>IF(AB122&lt;&gt;"OK","",TRIM(IF(AND(AU122&lt;&gt;"",N(AU122)&lt;=1),"根拠1件 ","")&amp;IF(AV122&lt;&gt;"","同名あり ","")&amp;IF(AND(NOT(ISNUMBER(N122)),N122&lt;&gt;""),"回数を換算 ","")&amp;IF(J122="","詳細なし ","")&amp;IF(AND(N(AP122)=1,BB122=""),"顧客名なし ","")))</f>
        <v/>
      </c>
      <c r="AD122" s="31" t="n"/>
      <c r="AE122" s="32" t="n"/>
      <c r="AF122" s="32" t="n"/>
      <c r="AG122" s="31" t="n"/>
      <c r="AH122">
        <f>IF(AB122&lt;&gt;"OK","",IF(AG122&lt;&gt;"",AG122,AJ122))</f>
        <v/>
      </c>
      <c r="AI122" s="33">
        <f>IF(AB122&lt;&gt;"OK","",IFERROR(IF(AE122&lt;&gt;"",AE122,AS122)*IF(AF122&lt;&gt;"",AF122,AT122)/60,""))</f>
        <v/>
      </c>
      <c r="AJ122">
        <f>IF(AB122&lt;&gt;"OK","",IF(OR(VALUE(T122)=2,VALUE(U122)=2,VALUE(V122)=2),"社内残置",IF(AND(VALUE(T122)=0,VALUE(W122)=0,VALUE(Y122)=0),"自動化候補",IF(AND(VALUE(U122)=0,VALUE(W122)&lt;=1,VALUE(X122)&lt;=1,VALUE(Y122)&lt;=1,VALUE(Z122)&lt;=1),"オフショア候補",IF(AND(VALUE(Y122)&lt;=1,VALUE(Z122)&lt;=1),"ニアショア候補","社内で手順化→再評価")))))</f>
        <v/>
      </c>
      <c r="AK122">
        <f>IF(AB122&lt;&gt;"OK","",14-SUMPRODUCT(--T122:Z122))</f>
        <v/>
      </c>
      <c r="AL122" s="33">
        <f>IF(AB122&lt;&gt;"OK","",AS122*AT122/60)</f>
        <v/>
      </c>
      <c r="AM122" s="34">
        <f>IF(A122="","",UPPER(TRIM(ASC(A122&amp;""))))</f>
        <v/>
      </c>
      <c r="AN122" s="34">
        <f>IF(AM122="","",AM122&amp;"-"&amp;B122)</f>
        <v/>
      </c>
      <c r="AO122" s="34">
        <f>IF(C122="","",IFERROR(VALUE(ASC(SUBSTITUTE(C122&amp;"","観点",""))),""))</f>
        <v/>
      </c>
      <c r="AP122" s="34">
        <f>IF(D122="","",IFERROR(VALUE(LEFT(TRIM(ASC(D122&amp;"")),1)),IFERROR(MATCH(TRIM(D122&amp;""),'M2_区分マスタ'!$I$5:$I$10,0),"")))</f>
        <v/>
      </c>
      <c r="AQ122" s="34">
        <f>IF(H122="","",UPPER(LEFT(TRIM(ASC(H122&amp;"")),3)))</f>
        <v/>
      </c>
      <c r="AR122" s="34">
        <f>IF(N122="","",IFERROR(VALUE(SUBSTITUTE(SUBSTITUTE(SUBSTITUTE(SUBSTITUTE(SUBSTITUTE(SUBSTITUTE(SUBSTITUTE(SUBSTITUTE(SUBSTITUTE(SUBSTITUTE(SUBSTITUTE(SUBSTITUTE(ASC(N122&amp;""),"約",""),"程度",""),"ほど",""),"回",""),"毎",""),"週",""),"月",""),"年",""),"日",""),"に",""),"/","")," ","")),""))</f>
        <v/>
      </c>
      <c r="AS122" s="34">
        <f>IF(N122="","",IF(ISNUMBER(N122),N122,IFERROR(VALUE(ASC(N122&amp;"")),IF(AR122&lt;&gt;"",AR122*IF(ISNUMBER(SEARCH("週",N122)),4.3,IF(ISNUMBER(SEARCH("年",N122)),1/12,IF(ISNUMBER(SEARCH("日",N122)),20,1))),IF(ISNUMBER(SEARCH("日",N122)),20,IF(ISNUMBER(SEARCH("週",N122)),4.3,IF(ISNUMBER(SEARCH("月",N122)),1,"")))))))</f>
        <v/>
      </c>
      <c r="AT122" s="34">
        <f>IF(O122="","",IF(ISNUMBER(O122),O122,IFERROR(VALUE(ASC(O122&amp;"")),IF(ISNUMBER(SEARCH("時間",O122)),IFERROR(VALUE(SUBSTITUTE(SUBSTITUTE(SUBSTITUTE(SUBSTITUTE(SUBSTITUTE(ASC(O122&amp;""),"約",""),"程度",""),"ほど",""),"時間","")," ",""))*60,""),IFERROR(VALUE(SUBSTITUTE(SUBSTITUTE(SUBSTITUTE(SUBSTITUTE(SUBSTITUTE(ASC(O122&amp;""),"約",""),"程度",""),"ほど",""),"分","")," ","")),"")))))</f>
        <v/>
      </c>
      <c r="AU122" s="34">
        <f>IF(P122="","",IF(ISNUMBER(P122),P122,IFERROR(VALUE(SUBSTITUTE(SUBSTITUTE(SUBSTITUTE(ASC(P122&amp;""),"約",""),"件","")," ","")),"")))</f>
        <v/>
      </c>
      <c r="AV122" s="34">
        <f>IF(AB122&lt;&gt;"OK","",IF(COUNTIFS($G$5:$G$404,G122&amp;"",$F$5:$F$404,F122&amp;"",$BE$5:$BE$404,BE122&amp;"",$AB$5:$AB$404,"OK")&gt;1,"同名あり",""))</f>
        <v/>
      </c>
      <c r="AW122" s="35">
        <f>IF(Q122="","",IF(ISNUMBER(Q122),Q122,IFERROR(DATEVALUE(SUBSTITUTE(SUBSTITUTE(ASC(Q122&amp;""),"-","/"),".","/")&amp;"/01"),"")))</f>
        <v/>
      </c>
      <c r="AX122" s="35">
        <f>IF(R122="","",IF(ISNUMBER(R122),R122,IFERROR(DATEVALUE(SUBSTITUTE(SUBSTITUTE(ASC(R122&amp;""),"-","/"),".","/")&amp;"/01"),"")))</f>
        <v/>
      </c>
      <c r="AY122" s="34">
        <f>IF(OR(AB122&lt;&gt;"OK",AW122=""),"",IF(AW122&gt;='01_設定'!$C$26,1,0))</f>
        <v/>
      </c>
      <c r="AZ122" s="34">
        <f>IF(AND(AB122="OK",AD122&lt;&gt;"除外"),COUNTIFS($AB$5:AB122,"OK",$AD$5:AD122,"&lt;&gt;除外"),"")</f>
        <v/>
      </c>
      <c r="BA122" s="34">
        <f>IF(OR(AZ122="",AI122=""),"",AI122+ROW()/1000000000)</f>
        <v/>
      </c>
      <c r="BB122" s="34">
        <f>IF(E122="","",IF(OR(TRIM(E122&amp;"")="-",TRIM(E122&amp;"")="－",TRIM(E122&amp;"")="ー"),"",TRIM(E122&amp;"")))</f>
        <v/>
      </c>
      <c r="BC122" s="34">
        <f>IF(AND(AB122="OK",BB122&lt;&gt;""),IF(COUNTIFS($BB$5:BB122,BB122,$AB$5:AB122,"OK")=1,1,""),"")</f>
        <v/>
      </c>
      <c r="BD122" s="34">
        <f>IF(BC122=1,COUNTIF($BC$5:BC122,1),"")</f>
        <v/>
      </c>
      <c r="BE122" s="34">
        <f>IF(BB122="","",IFERROR(INDEX('06_顧客別集計'!$G$5:$G$104,MATCH(BB122,'06_顧客別集計'!$C$5:$C$104,0)),BB122))</f>
        <v/>
      </c>
      <c r="BF122" s="34">
        <f>IF(AND(AZ122&lt;&gt;"",BE122&lt;&gt;""),IF(COUNTIFS($BE$5:BE122,BE122,$AZ$5:AZ122,"&gt;0")=1,1,""),"")</f>
        <v/>
      </c>
      <c r="BG122" s="34">
        <f>IF(BF122=1,COUNTIF($BF$5:BF122,1),"")</f>
        <v/>
      </c>
    </row>
    <row r="123">
      <c r="AB123">
        <f>IF(AND(A123="",G123=""),"",IF(ISNUMBER(SEARCH("##END",AM123)),"（終わりの印）",IF(ISNUMBER(SEARCH("##続き",AM123)),"（続きありの印）",IF(AM123="調査ID","（見出し行）",IF(AND(AM123&lt;&gt;"R1",AM123&lt;&gt;"R2"),"×表以外の行（集計されない）",IF(COUNTIF($AN$5:AN123,AN123)&gt;1,"△重複（集計されない）",IF(G123="","△タスク名なし",IF(ISNA(MATCH(AQ123,'M1_類型マスタ'!$A$5:$A$19,0)),"△類型が不正",IF(OR(AP123="",N(AP123)&lt;1,N(AP123)&gt;6),"△業務区分が不正",IF(OR(AS123="",AT123=""),"△回数・分が読めない",IF(SUMPRODUCT(--ISNUMBER(--T123:Z123))&lt;7,"△採点が足りない",IF(SUMPRODUCT((--T123:Z123&gt;2)+(--T123:Z123&lt;0))&gt;0,"△採点が範囲外","OK"))))))))))))</f>
        <v/>
      </c>
      <c r="AC123">
        <f>IF(AB123&lt;&gt;"OK","",TRIM(IF(AND(AU123&lt;&gt;"",N(AU123)&lt;=1),"根拠1件 ","")&amp;IF(AV123&lt;&gt;"","同名あり ","")&amp;IF(AND(NOT(ISNUMBER(N123)),N123&lt;&gt;""),"回数を換算 ","")&amp;IF(J123="","詳細なし ","")&amp;IF(AND(N(AP123)=1,BB123=""),"顧客名なし ","")))</f>
        <v/>
      </c>
      <c r="AD123" s="31" t="n"/>
      <c r="AE123" s="32" t="n"/>
      <c r="AF123" s="32" t="n"/>
      <c r="AG123" s="31" t="n"/>
      <c r="AH123">
        <f>IF(AB123&lt;&gt;"OK","",IF(AG123&lt;&gt;"",AG123,AJ123))</f>
        <v/>
      </c>
      <c r="AI123" s="33">
        <f>IF(AB123&lt;&gt;"OK","",IFERROR(IF(AE123&lt;&gt;"",AE123,AS123)*IF(AF123&lt;&gt;"",AF123,AT123)/60,""))</f>
        <v/>
      </c>
      <c r="AJ123">
        <f>IF(AB123&lt;&gt;"OK","",IF(OR(VALUE(T123)=2,VALUE(U123)=2,VALUE(V123)=2),"社内残置",IF(AND(VALUE(T123)=0,VALUE(W123)=0,VALUE(Y123)=0),"自動化候補",IF(AND(VALUE(U123)=0,VALUE(W123)&lt;=1,VALUE(X123)&lt;=1,VALUE(Y123)&lt;=1,VALUE(Z123)&lt;=1),"オフショア候補",IF(AND(VALUE(Y123)&lt;=1,VALUE(Z123)&lt;=1),"ニアショア候補","社内で手順化→再評価")))))</f>
        <v/>
      </c>
      <c r="AK123">
        <f>IF(AB123&lt;&gt;"OK","",14-SUMPRODUCT(--T123:Z123))</f>
        <v/>
      </c>
      <c r="AL123" s="33">
        <f>IF(AB123&lt;&gt;"OK","",AS123*AT123/60)</f>
        <v/>
      </c>
      <c r="AM123" s="34">
        <f>IF(A123="","",UPPER(TRIM(ASC(A123&amp;""))))</f>
        <v/>
      </c>
      <c r="AN123" s="34">
        <f>IF(AM123="","",AM123&amp;"-"&amp;B123)</f>
        <v/>
      </c>
      <c r="AO123" s="34">
        <f>IF(C123="","",IFERROR(VALUE(ASC(SUBSTITUTE(C123&amp;"","観点",""))),""))</f>
        <v/>
      </c>
      <c r="AP123" s="34">
        <f>IF(D123="","",IFERROR(VALUE(LEFT(TRIM(ASC(D123&amp;"")),1)),IFERROR(MATCH(TRIM(D123&amp;""),'M2_区分マスタ'!$I$5:$I$10,0),"")))</f>
        <v/>
      </c>
      <c r="AQ123" s="34">
        <f>IF(H123="","",UPPER(LEFT(TRIM(ASC(H123&amp;"")),3)))</f>
        <v/>
      </c>
      <c r="AR123" s="34">
        <f>IF(N123="","",IFERROR(VALUE(SUBSTITUTE(SUBSTITUTE(SUBSTITUTE(SUBSTITUTE(SUBSTITUTE(SUBSTITUTE(SUBSTITUTE(SUBSTITUTE(SUBSTITUTE(SUBSTITUTE(SUBSTITUTE(SUBSTITUTE(ASC(N123&amp;""),"約",""),"程度",""),"ほど",""),"回",""),"毎",""),"週",""),"月",""),"年",""),"日",""),"に",""),"/","")," ","")),""))</f>
        <v/>
      </c>
      <c r="AS123" s="34">
        <f>IF(N123="","",IF(ISNUMBER(N123),N123,IFERROR(VALUE(ASC(N123&amp;"")),IF(AR123&lt;&gt;"",AR123*IF(ISNUMBER(SEARCH("週",N123)),4.3,IF(ISNUMBER(SEARCH("年",N123)),1/12,IF(ISNUMBER(SEARCH("日",N123)),20,1))),IF(ISNUMBER(SEARCH("日",N123)),20,IF(ISNUMBER(SEARCH("週",N123)),4.3,IF(ISNUMBER(SEARCH("月",N123)),1,"")))))))</f>
        <v/>
      </c>
      <c r="AT123" s="34">
        <f>IF(O123="","",IF(ISNUMBER(O123),O123,IFERROR(VALUE(ASC(O123&amp;"")),IF(ISNUMBER(SEARCH("時間",O123)),IFERROR(VALUE(SUBSTITUTE(SUBSTITUTE(SUBSTITUTE(SUBSTITUTE(SUBSTITUTE(ASC(O123&amp;""),"約",""),"程度",""),"ほど",""),"時間","")," ",""))*60,""),IFERROR(VALUE(SUBSTITUTE(SUBSTITUTE(SUBSTITUTE(SUBSTITUTE(SUBSTITUTE(ASC(O123&amp;""),"約",""),"程度",""),"ほど",""),"分","")," ","")),"")))))</f>
        <v/>
      </c>
      <c r="AU123" s="34">
        <f>IF(P123="","",IF(ISNUMBER(P123),P123,IFERROR(VALUE(SUBSTITUTE(SUBSTITUTE(SUBSTITUTE(ASC(P123&amp;""),"約",""),"件","")," ","")),"")))</f>
        <v/>
      </c>
      <c r="AV123" s="34">
        <f>IF(AB123&lt;&gt;"OK","",IF(COUNTIFS($G$5:$G$404,G123&amp;"",$F$5:$F$404,F123&amp;"",$BE$5:$BE$404,BE123&amp;"",$AB$5:$AB$404,"OK")&gt;1,"同名あり",""))</f>
        <v/>
      </c>
      <c r="AW123" s="35">
        <f>IF(Q123="","",IF(ISNUMBER(Q123),Q123,IFERROR(DATEVALUE(SUBSTITUTE(SUBSTITUTE(ASC(Q123&amp;""),"-","/"),".","/")&amp;"/01"),"")))</f>
        <v/>
      </c>
      <c r="AX123" s="35">
        <f>IF(R123="","",IF(ISNUMBER(R123),R123,IFERROR(DATEVALUE(SUBSTITUTE(SUBSTITUTE(ASC(R123&amp;""),"-","/"),".","/")&amp;"/01"),"")))</f>
        <v/>
      </c>
      <c r="AY123" s="34">
        <f>IF(OR(AB123&lt;&gt;"OK",AW123=""),"",IF(AW123&gt;='01_設定'!$C$26,1,0))</f>
        <v/>
      </c>
      <c r="AZ123" s="34">
        <f>IF(AND(AB123="OK",AD123&lt;&gt;"除外"),COUNTIFS($AB$5:AB123,"OK",$AD$5:AD123,"&lt;&gt;除外"),"")</f>
        <v/>
      </c>
      <c r="BA123" s="34">
        <f>IF(OR(AZ123="",AI123=""),"",AI123+ROW()/1000000000)</f>
        <v/>
      </c>
      <c r="BB123" s="34">
        <f>IF(E123="","",IF(OR(TRIM(E123&amp;"")="-",TRIM(E123&amp;"")="－",TRIM(E123&amp;"")="ー"),"",TRIM(E123&amp;"")))</f>
        <v/>
      </c>
      <c r="BC123" s="34">
        <f>IF(AND(AB123="OK",BB123&lt;&gt;""),IF(COUNTIFS($BB$5:BB123,BB123,$AB$5:AB123,"OK")=1,1,""),"")</f>
        <v/>
      </c>
      <c r="BD123" s="34">
        <f>IF(BC123=1,COUNTIF($BC$5:BC123,1),"")</f>
        <v/>
      </c>
      <c r="BE123" s="34">
        <f>IF(BB123="","",IFERROR(INDEX('06_顧客別集計'!$G$5:$G$104,MATCH(BB123,'06_顧客別集計'!$C$5:$C$104,0)),BB123))</f>
        <v/>
      </c>
      <c r="BF123" s="34">
        <f>IF(AND(AZ123&lt;&gt;"",BE123&lt;&gt;""),IF(COUNTIFS($BE$5:BE123,BE123,$AZ$5:AZ123,"&gt;0")=1,1,""),"")</f>
        <v/>
      </c>
      <c r="BG123" s="34">
        <f>IF(BF123=1,COUNTIF($BF$5:BF123,1),"")</f>
        <v/>
      </c>
    </row>
    <row r="124">
      <c r="AB124">
        <f>IF(AND(A124="",G124=""),"",IF(ISNUMBER(SEARCH("##END",AM124)),"（終わりの印）",IF(ISNUMBER(SEARCH("##続き",AM124)),"（続きありの印）",IF(AM124="調査ID","（見出し行）",IF(AND(AM124&lt;&gt;"R1",AM124&lt;&gt;"R2"),"×表以外の行（集計されない）",IF(COUNTIF($AN$5:AN124,AN124)&gt;1,"△重複（集計されない）",IF(G124="","△タスク名なし",IF(ISNA(MATCH(AQ124,'M1_類型マスタ'!$A$5:$A$19,0)),"△類型が不正",IF(OR(AP124="",N(AP124)&lt;1,N(AP124)&gt;6),"△業務区分が不正",IF(OR(AS124="",AT124=""),"△回数・分が読めない",IF(SUMPRODUCT(--ISNUMBER(--T124:Z124))&lt;7,"△採点が足りない",IF(SUMPRODUCT((--T124:Z124&gt;2)+(--T124:Z124&lt;0))&gt;0,"△採点が範囲外","OK"))))))))))))</f>
        <v/>
      </c>
      <c r="AC124">
        <f>IF(AB124&lt;&gt;"OK","",TRIM(IF(AND(AU124&lt;&gt;"",N(AU124)&lt;=1),"根拠1件 ","")&amp;IF(AV124&lt;&gt;"","同名あり ","")&amp;IF(AND(NOT(ISNUMBER(N124)),N124&lt;&gt;""),"回数を換算 ","")&amp;IF(J124="","詳細なし ","")&amp;IF(AND(N(AP124)=1,BB124=""),"顧客名なし ","")))</f>
        <v/>
      </c>
      <c r="AD124" s="31" t="n"/>
      <c r="AE124" s="32" t="n"/>
      <c r="AF124" s="32" t="n"/>
      <c r="AG124" s="31" t="n"/>
      <c r="AH124">
        <f>IF(AB124&lt;&gt;"OK","",IF(AG124&lt;&gt;"",AG124,AJ124))</f>
        <v/>
      </c>
      <c r="AI124" s="33">
        <f>IF(AB124&lt;&gt;"OK","",IFERROR(IF(AE124&lt;&gt;"",AE124,AS124)*IF(AF124&lt;&gt;"",AF124,AT124)/60,""))</f>
        <v/>
      </c>
      <c r="AJ124">
        <f>IF(AB124&lt;&gt;"OK","",IF(OR(VALUE(T124)=2,VALUE(U124)=2,VALUE(V124)=2),"社内残置",IF(AND(VALUE(T124)=0,VALUE(W124)=0,VALUE(Y124)=0),"自動化候補",IF(AND(VALUE(U124)=0,VALUE(W124)&lt;=1,VALUE(X124)&lt;=1,VALUE(Y124)&lt;=1,VALUE(Z124)&lt;=1),"オフショア候補",IF(AND(VALUE(Y124)&lt;=1,VALUE(Z124)&lt;=1),"ニアショア候補","社内で手順化→再評価")))))</f>
        <v/>
      </c>
      <c r="AK124">
        <f>IF(AB124&lt;&gt;"OK","",14-SUMPRODUCT(--T124:Z124))</f>
        <v/>
      </c>
      <c r="AL124" s="33">
        <f>IF(AB124&lt;&gt;"OK","",AS124*AT124/60)</f>
        <v/>
      </c>
      <c r="AM124" s="34">
        <f>IF(A124="","",UPPER(TRIM(ASC(A124&amp;""))))</f>
        <v/>
      </c>
      <c r="AN124" s="34">
        <f>IF(AM124="","",AM124&amp;"-"&amp;B124)</f>
        <v/>
      </c>
      <c r="AO124" s="34">
        <f>IF(C124="","",IFERROR(VALUE(ASC(SUBSTITUTE(C124&amp;"","観点",""))),""))</f>
        <v/>
      </c>
      <c r="AP124" s="34">
        <f>IF(D124="","",IFERROR(VALUE(LEFT(TRIM(ASC(D124&amp;"")),1)),IFERROR(MATCH(TRIM(D124&amp;""),'M2_区分マスタ'!$I$5:$I$10,0),"")))</f>
        <v/>
      </c>
      <c r="AQ124" s="34">
        <f>IF(H124="","",UPPER(LEFT(TRIM(ASC(H124&amp;"")),3)))</f>
        <v/>
      </c>
      <c r="AR124" s="34">
        <f>IF(N124="","",IFERROR(VALUE(SUBSTITUTE(SUBSTITUTE(SUBSTITUTE(SUBSTITUTE(SUBSTITUTE(SUBSTITUTE(SUBSTITUTE(SUBSTITUTE(SUBSTITUTE(SUBSTITUTE(SUBSTITUTE(SUBSTITUTE(ASC(N124&amp;""),"約",""),"程度",""),"ほど",""),"回",""),"毎",""),"週",""),"月",""),"年",""),"日",""),"に",""),"/","")," ","")),""))</f>
        <v/>
      </c>
      <c r="AS124" s="34">
        <f>IF(N124="","",IF(ISNUMBER(N124),N124,IFERROR(VALUE(ASC(N124&amp;"")),IF(AR124&lt;&gt;"",AR124*IF(ISNUMBER(SEARCH("週",N124)),4.3,IF(ISNUMBER(SEARCH("年",N124)),1/12,IF(ISNUMBER(SEARCH("日",N124)),20,1))),IF(ISNUMBER(SEARCH("日",N124)),20,IF(ISNUMBER(SEARCH("週",N124)),4.3,IF(ISNUMBER(SEARCH("月",N124)),1,"")))))))</f>
        <v/>
      </c>
      <c r="AT124" s="34">
        <f>IF(O124="","",IF(ISNUMBER(O124),O124,IFERROR(VALUE(ASC(O124&amp;"")),IF(ISNUMBER(SEARCH("時間",O124)),IFERROR(VALUE(SUBSTITUTE(SUBSTITUTE(SUBSTITUTE(SUBSTITUTE(SUBSTITUTE(ASC(O124&amp;""),"約",""),"程度",""),"ほど",""),"時間","")," ",""))*60,""),IFERROR(VALUE(SUBSTITUTE(SUBSTITUTE(SUBSTITUTE(SUBSTITUTE(SUBSTITUTE(ASC(O124&amp;""),"約",""),"程度",""),"ほど",""),"分","")," ","")),"")))))</f>
        <v/>
      </c>
      <c r="AU124" s="34">
        <f>IF(P124="","",IF(ISNUMBER(P124),P124,IFERROR(VALUE(SUBSTITUTE(SUBSTITUTE(SUBSTITUTE(ASC(P124&amp;""),"約",""),"件","")," ","")),"")))</f>
        <v/>
      </c>
      <c r="AV124" s="34">
        <f>IF(AB124&lt;&gt;"OK","",IF(COUNTIFS($G$5:$G$404,G124&amp;"",$F$5:$F$404,F124&amp;"",$BE$5:$BE$404,BE124&amp;"",$AB$5:$AB$404,"OK")&gt;1,"同名あり",""))</f>
        <v/>
      </c>
      <c r="AW124" s="35">
        <f>IF(Q124="","",IF(ISNUMBER(Q124),Q124,IFERROR(DATEVALUE(SUBSTITUTE(SUBSTITUTE(ASC(Q124&amp;""),"-","/"),".","/")&amp;"/01"),"")))</f>
        <v/>
      </c>
      <c r="AX124" s="35">
        <f>IF(R124="","",IF(ISNUMBER(R124),R124,IFERROR(DATEVALUE(SUBSTITUTE(SUBSTITUTE(ASC(R124&amp;""),"-","/"),".","/")&amp;"/01"),"")))</f>
        <v/>
      </c>
      <c r="AY124" s="34">
        <f>IF(OR(AB124&lt;&gt;"OK",AW124=""),"",IF(AW124&gt;='01_設定'!$C$26,1,0))</f>
        <v/>
      </c>
      <c r="AZ124" s="34">
        <f>IF(AND(AB124="OK",AD124&lt;&gt;"除外"),COUNTIFS($AB$5:AB124,"OK",$AD$5:AD124,"&lt;&gt;除外"),"")</f>
        <v/>
      </c>
      <c r="BA124" s="34">
        <f>IF(OR(AZ124="",AI124=""),"",AI124+ROW()/1000000000)</f>
        <v/>
      </c>
      <c r="BB124" s="34">
        <f>IF(E124="","",IF(OR(TRIM(E124&amp;"")="-",TRIM(E124&amp;"")="－",TRIM(E124&amp;"")="ー"),"",TRIM(E124&amp;"")))</f>
        <v/>
      </c>
      <c r="BC124" s="34">
        <f>IF(AND(AB124="OK",BB124&lt;&gt;""),IF(COUNTIFS($BB$5:BB124,BB124,$AB$5:AB124,"OK")=1,1,""),"")</f>
        <v/>
      </c>
      <c r="BD124" s="34">
        <f>IF(BC124=1,COUNTIF($BC$5:BC124,1),"")</f>
        <v/>
      </c>
      <c r="BE124" s="34">
        <f>IF(BB124="","",IFERROR(INDEX('06_顧客別集計'!$G$5:$G$104,MATCH(BB124,'06_顧客別集計'!$C$5:$C$104,0)),BB124))</f>
        <v/>
      </c>
      <c r="BF124" s="34">
        <f>IF(AND(AZ124&lt;&gt;"",BE124&lt;&gt;""),IF(COUNTIFS($BE$5:BE124,BE124,$AZ$5:AZ124,"&gt;0")=1,1,""),"")</f>
        <v/>
      </c>
      <c r="BG124" s="34">
        <f>IF(BF124=1,COUNTIF($BF$5:BF124,1),"")</f>
        <v/>
      </c>
    </row>
    <row r="125">
      <c r="AB125">
        <f>IF(AND(A125="",G125=""),"",IF(ISNUMBER(SEARCH("##END",AM125)),"（終わりの印）",IF(ISNUMBER(SEARCH("##続き",AM125)),"（続きありの印）",IF(AM125="調査ID","（見出し行）",IF(AND(AM125&lt;&gt;"R1",AM125&lt;&gt;"R2"),"×表以外の行（集計されない）",IF(COUNTIF($AN$5:AN125,AN125)&gt;1,"△重複（集計されない）",IF(G125="","△タスク名なし",IF(ISNA(MATCH(AQ125,'M1_類型マスタ'!$A$5:$A$19,0)),"△類型が不正",IF(OR(AP125="",N(AP125)&lt;1,N(AP125)&gt;6),"△業務区分が不正",IF(OR(AS125="",AT125=""),"△回数・分が読めない",IF(SUMPRODUCT(--ISNUMBER(--T125:Z125))&lt;7,"△採点が足りない",IF(SUMPRODUCT((--T125:Z125&gt;2)+(--T125:Z125&lt;0))&gt;0,"△採点が範囲外","OK"))))))))))))</f>
        <v/>
      </c>
      <c r="AC125">
        <f>IF(AB125&lt;&gt;"OK","",TRIM(IF(AND(AU125&lt;&gt;"",N(AU125)&lt;=1),"根拠1件 ","")&amp;IF(AV125&lt;&gt;"","同名あり ","")&amp;IF(AND(NOT(ISNUMBER(N125)),N125&lt;&gt;""),"回数を換算 ","")&amp;IF(J125="","詳細なし ","")&amp;IF(AND(N(AP125)=1,BB125=""),"顧客名なし ","")))</f>
        <v/>
      </c>
      <c r="AD125" s="31" t="n"/>
      <c r="AE125" s="32" t="n"/>
      <c r="AF125" s="32" t="n"/>
      <c r="AG125" s="31" t="n"/>
      <c r="AH125">
        <f>IF(AB125&lt;&gt;"OK","",IF(AG125&lt;&gt;"",AG125,AJ125))</f>
        <v/>
      </c>
      <c r="AI125" s="33">
        <f>IF(AB125&lt;&gt;"OK","",IFERROR(IF(AE125&lt;&gt;"",AE125,AS125)*IF(AF125&lt;&gt;"",AF125,AT125)/60,""))</f>
        <v/>
      </c>
      <c r="AJ125">
        <f>IF(AB125&lt;&gt;"OK","",IF(OR(VALUE(T125)=2,VALUE(U125)=2,VALUE(V125)=2),"社内残置",IF(AND(VALUE(T125)=0,VALUE(W125)=0,VALUE(Y125)=0),"自動化候補",IF(AND(VALUE(U125)=0,VALUE(W125)&lt;=1,VALUE(X125)&lt;=1,VALUE(Y125)&lt;=1,VALUE(Z125)&lt;=1),"オフショア候補",IF(AND(VALUE(Y125)&lt;=1,VALUE(Z125)&lt;=1),"ニアショア候補","社内で手順化→再評価")))))</f>
        <v/>
      </c>
      <c r="AK125">
        <f>IF(AB125&lt;&gt;"OK","",14-SUMPRODUCT(--T125:Z125))</f>
        <v/>
      </c>
      <c r="AL125" s="33">
        <f>IF(AB125&lt;&gt;"OK","",AS125*AT125/60)</f>
        <v/>
      </c>
      <c r="AM125" s="34">
        <f>IF(A125="","",UPPER(TRIM(ASC(A125&amp;""))))</f>
        <v/>
      </c>
      <c r="AN125" s="34">
        <f>IF(AM125="","",AM125&amp;"-"&amp;B125)</f>
        <v/>
      </c>
      <c r="AO125" s="34">
        <f>IF(C125="","",IFERROR(VALUE(ASC(SUBSTITUTE(C125&amp;"","観点",""))),""))</f>
        <v/>
      </c>
      <c r="AP125" s="34">
        <f>IF(D125="","",IFERROR(VALUE(LEFT(TRIM(ASC(D125&amp;"")),1)),IFERROR(MATCH(TRIM(D125&amp;""),'M2_区分マスタ'!$I$5:$I$10,0),"")))</f>
        <v/>
      </c>
      <c r="AQ125" s="34">
        <f>IF(H125="","",UPPER(LEFT(TRIM(ASC(H125&amp;"")),3)))</f>
        <v/>
      </c>
      <c r="AR125" s="34">
        <f>IF(N125="","",IFERROR(VALUE(SUBSTITUTE(SUBSTITUTE(SUBSTITUTE(SUBSTITUTE(SUBSTITUTE(SUBSTITUTE(SUBSTITUTE(SUBSTITUTE(SUBSTITUTE(SUBSTITUTE(SUBSTITUTE(SUBSTITUTE(ASC(N125&amp;""),"約",""),"程度",""),"ほど",""),"回",""),"毎",""),"週",""),"月",""),"年",""),"日",""),"に",""),"/","")," ","")),""))</f>
        <v/>
      </c>
      <c r="AS125" s="34">
        <f>IF(N125="","",IF(ISNUMBER(N125),N125,IFERROR(VALUE(ASC(N125&amp;"")),IF(AR125&lt;&gt;"",AR125*IF(ISNUMBER(SEARCH("週",N125)),4.3,IF(ISNUMBER(SEARCH("年",N125)),1/12,IF(ISNUMBER(SEARCH("日",N125)),20,1))),IF(ISNUMBER(SEARCH("日",N125)),20,IF(ISNUMBER(SEARCH("週",N125)),4.3,IF(ISNUMBER(SEARCH("月",N125)),1,"")))))))</f>
        <v/>
      </c>
      <c r="AT125" s="34">
        <f>IF(O125="","",IF(ISNUMBER(O125),O125,IFERROR(VALUE(ASC(O125&amp;"")),IF(ISNUMBER(SEARCH("時間",O125)),IFERROR(VALUE(SUBSTITUTE(SUBSTITUTE(SUBSTITUTE(SUBSTITUTE(SUBSTITUTE(ASC(O125&amp;""),"約",""),"程度",""),"ほど",""),"時間","")," ",""))*60,""),IFERROR(VALUE(SUBSTITUTE(SUBSTITUTE(SUBSTITUTE(SUBSTITUTE(SUBSTITUTE(ASC(O125&amp;""),"約",""),"程度",""),"ほど",""),"分","")," ","")),"")))))</f>
        <v/>
      </c>
      <c r="AU125" s="34">
        <f>IF(P125="","",IF(ISNUMBER(P125),P125,IFERROR(VALUE(SUBSTITUTE(SUBSTITUTE(SUBSTITUTE(ASC(P125&amp;""),"約",""),"件","")," ","")),"")))</f>
        <v/>
      </c>
      <c r="AV125" s="34">
        <f>IF(AB125&lt;&gt;"OK","",IF(COUNTIFS($G$5:$G$404,G125&amp;"",$F$5:$F$404,F125&amp;"",$BE$5:$BE$404,BE125&amp;"",$AB$5:$AB$404,"OK")&gt;1,"同名あり",""))</f>
        <v/>
      </c>
      <c r="AW125" s="35">
        <f>IF(Q125="","",IF(ISNUMBER(Q125),Q125,IFERROR(DATEVALUE(SUBSTITUTE(SUBSTITUTE(ASC(Q125&amp;""),"-","/"),".","/")&amp;"/01"),"")))</f>
        <v/>
      </c>
      <c r="AX125" s="35">
        <f>IF(R125="","",IF(ISNUMBER(R125),R125,IFERROR(DATEVALUE(SUBSTITUTE(SUBSTITUTE(ASC(R125&amp;""),"-","/"),".","/")&amp;"/01"),"")))</f>
        <v/>
      </c>
      <c r="AY125" s="34">
        <f>IF(OR(AB125&lt;&gt;"OK",AW125=""),"",IF(AW125&gt;='01_設定'!$C$26,1,0))</f>
        <v/>
      </c>
      <c r="AZ125" s="34">
        <f>IF(AND(AB125="OK",AD125&lt;&gt;"除外"),COUNTIFS($AB$5:AB125,"OK",$AD$5:AD125,"&lt;&gt;除外"),"")</f>
        <v/>
      </c>
      <c r="BA125" s="34">
        <f>IF(OR(AZ125="",AI125=""),"",AI125+ROW()/1000000000)</f>
        <v/>
      </c>
      <c r="BB125" s="34">
        <f>IF(E125="","",IF(OR(TRIM(E125&amp;"")="-",TRIM(E125&amp;"")="－",TRIM(E125&amp;"")="ー"),"",TRIM(E125&amp;"")))</f>
        <v/>
      </c>
      <c r="BC125" s="34">
        <f>IF(AND(AB125="OK",BB125&lt;&gt;""),IF(COUNTIFS($BB$5:BB125,BB125,$AB$5:AB125,"OK")=1,1,""),"")</f>
        <v/>
      </c>
      <c r="BD125" s="34">
        <f>IF(BC125=1,COUNTIF($BC$5:BC125,1),"")</f>
        <v/>
      </c>
      <c r="BE125" s="34">
        <f>IF(BB125="","",IFERROR(INDEX('06_顧客別集計'!$G$5:$G$104,MATCH(BB125,'06_顧客別集計'!$C$5:$C$104,0)),BB125))</f>
        <v/>
      </c>
      <c r="BF125" s="34">
        <f>IF(AND(AZ125&lt;&gt;"",BE125&lt;&gt;""),IF(COUNTIFS($BE$5:BE125,BE125,$AZ$5:AZ125,"&gt;0")=1,1,""),"")</f>
        <v/>
      </c>
      <c r="BG125" s="34">
        <f>IF(BF125=1,COUNTIF($BF$5:BF125,1),"")</f>
        <v/>
      </c>
    </row>
    <row r="126">
      <c r="AB126">
        <f>IF(AND(A126="",G126=""),"",IF(ISNUMBER(SEARCH("##END",AM126)),"（終わりの印）",IF(ISNUMBER(SEARCH("##続き",AM126)),"（続きありの印）",IF(AM126="調査ID","（見出し行）",IF(AND(AM126&lt;&gt;"R1",AM126&lt;&gt;"R2"),"×表以外の行（集計されない）",IF(COUNTIF($AN$5:AN126,AN126)&gt;1,"△重複（集計されない）",IF(G126="","△タスク名なし",IF(ISNA(MATCH(AQ126,'M1_類型マスタ'!$A$5:$A$19,0)),"△類型が不正",IF(OR(AP126="",N(AP126)&lt;1,N(AP126)&gt;6),"△業務区分が不正",IF(OR(AS126="",AT126=""),"△回数・分が読めない",IF(SUMPRODUCT(--ISNUMBER(--T126:Z126))&lt;7,"△採点が足りない",IF(SUMPRODUCT((--T126:Z126&gt;2)+(--T126:Z126&lt;0))&gt;0,"△採点が範囲外","OK"))))))))))))</f>
        <v/>
      </c>
      <c r="AC126">
        <f>IF(AB126&lt;&gt;"OK","",TRIM(IF(AND(AU126&lt;&gt;"",N(AU126)&lt;=1),"根拠1件 ","")&amp;IF(AV126&lt;&gt;"","同名あり ","")&amp;IF(AND(NOT(ISNUMBER(N126)),N126&lt;&gt;""),"回数を換算 ","")&amp;IF(J126="","詳細なし ","")&amp;IF(AND(N(AP126)=1,BB126=""),"顧客名なし ","")))</f>
        <v/>
      </c>
      <c r="AD126" s="31" t="n"/>
      <c r="AE126" s="32" t="n"/>
      <c r="AF126" s="32" t="n"/>
      <c r="AG126" s="31" t="n"/>
      <c r="AH126">
        <f>IF(AB126&lt;&gt;"OK","",IF(AG126&lt;&gt;"",AG126,AJ126))</f>
        <v/>
      </c>
      <c r="AI126" s="33">
        <f>IF(AB126&lt;&gt;"OK","",IFERROR(IF(AE126&lt;&gt;"",AE126,AS126)*IF(AF126&lt;&gt;"",AF126,AT126)/60,""))</f>
        <v/>
      </c>
      <c r="AJ126">
        <f>IF(AB126&lt;&gt;"OK","",IF(OR(VALUE(T126)=2,VALUE(U126)=2,VALUE(V126)=2),"社内残置",IF(AND(VALUE(T126)=0,VALUE(W126)=0,VALUE(Y126)=0),"自動化候補",IF(AND(VALUE(U126)=0,VALUE(W126)&lt;=1,VALUE(X126)&lt;=1,VALUE(Y126)&lt;=1,VALUE(Z126)&lt;=1),"オフショア候補",IF(AND(VALUE(Y126)&lt;=1,VALUE(Z126)&lt;=1),"ニアショア候補","社内で手順化→再評価")))))</f>
        <v/>
      </c>
      <c r="AK126">
        <f>IF(AB126&lt;&gt;"OK","",14-SUMPRODUCT(--T126:Z126))</f>
        <v/>
      </c>
      <c r="AL126" s="33">
        <f>IF(AB126&lt;&gt;"OK","",AS126*AT126/60)</f>
        <v/>
      </c>
      <c r="AM126" s="34">
        <f>IF(A126="","",UPPER(TRIM(ASC(A126&amp;""))))</f>
        <v/>
      </c>
      <c r="AN126" s="34">
        <f>IF(AM126="","",AM126&amp;"-"&amp;B126)</f>
        <v/>
      </c>
      <c r="AO126" s="34">
        <f>IF(C126="","",IFERROR(VALUE(ASC(SUBSTITUTE(C126&amp;"","観点",""))),""))</f>
        <v/>
      </c>
      <c r="AP126" s="34">
        <f>IF(D126="","",IFERROR(VALUE(LEFT(TRIM(ASC(D126&amp;"")),1)),IFERROR(MATCH(TRIM(D126&amp;""),'M2_区分マスタ'!$I$5:$I$10,0),"")))</f>
        <v/>
      </c>
      <c r="AQ126" s="34">
        <f>IF(H126="","",UPPER(LEFT(TRIM(ASC(H126&amp;"")),3)))</f>
        <v/>
      </c>
      <c r="AR126" s="34">
        <f>IF(N126="","",IFERROR(VALUE(SUBSTITUTE(SUBSTITUTE(SUBSTITUTE(SUBSTITUTE(SUBSTITUTE(SUBSTITUTE(SUBSTITUTE(SUBSTITUTE(SUBSTITUTE(SUBSTITUTE(SUBSTITUTE(SUBSTITUTE(ASC(N126&amp;""),"約",""),"程度",""),"ほど",""),"回",""),"毎",""),"週",""),"月",""),"年",""),"日",""),"に",""),"/","")," ","")),""))</f>
        <v/>
      </c>
      <c r="AS126" s="34">
        <f>IF(N126="","",IF(ISNUMBER(N126),N126,IFERROR(VALUE(ASC(N126&amp;"")),IF(AR126&lt;&gt;"",AR126*IF(ISNUMBER(SEARCH("週",N126)),4.3,IF(ISNUMBER(SEARCH("年",N126)),1/12,IF(ISNUMBER(SEARCH("日",N126)),20,1))),IF(ISNUMBER(SEARCH("日",N126)),20,IF(ISNUMBER(SEARCH("週",N126)),4.3,IF(ISNUMBER(SEARCH("月",N126)),1,"")))))))</f>
        <v/>
      </c>
      <c r="AT126" s="34">
        <f>IF(O126="","",IF(ISNUMBER(O126),O126,IFERROR(VALUE(ASC(O126&amp;"")),IF(ISNUMBER(SEARCH("時間",O126)),IFERROR(VALUE(SUBSTITUTE(SUBSTITUTE(SUBSTITUTE(SUBSTITUTE(SUBSTITUTE(ASC(O126&amp;""),"約",""),"程度",""),"ほど",""),"時間","")," ",""))*60,""),IFERROR(VALUE(SUBSTITUTE(SUBSTITUTE(SUBSTITUTE(SUBSTITUTE(SUBSTITUTE(ASC(O126&amp;""),"約",""),"程度",""),"ほど",""),"分","")," ","")),"")))))</f>
        <v/>
      </c>
      <c r="AU126" s="34">
        <f>IF(P126="","",IF(ISNUMBER(P126),P126,IFERROR(VALUE(SUBSTITUTE(SUBSTITUTE(SUBSTITUTE(ASC(P126&amp;""),"約",""),"件","")," ","")),"")))</f>
        <v/>
      </c>
      <c r="AV126" s="34">
        <f>IF(AB126&lt;&gt;"OK","",IF(COUNTIFS($G$5:$G$404,G126&amp;"",$F$5:$F$404,F126&amp;"",$BE$5:$BE$404,BE126&amp;"",$AB$5:$AB$404,"OK")&gt;1,"同名あり",""))</f>
        <v/>
      </c>
      <c r="AW126" s="35">
        <f>IF(Q126="","",IF(ISNUMBER(Q126),Q126,IFERROR(DATEVALUE(SUBSTITUTE(SUBSTITUTE(ASC(Q126&amp;""),"-","/"),".","/")&amp;"/01"),"")))</f>
        <v/>
      </c>
      <c r="AX126" s="35">
        <f>IF(R126="","",IF(ISNUMBER(R126),R126,IFERROR(DATEVALUE(SUBSTITUTE(SUBSTITUTE(ASC(R126&amp;""),"-","/"),".","/")&amp;"/01"),"")))</f>
        <v/>
      </c>
      <c r="AY126" s="34">
        <f>IF(OR(AB126&lt;&gt;"OK",AW126=""),"",IF(AW126&gt;='01_設定'!$C$26,1,0))</f>
        <v/>
      </c>
      <c r="AZ126" s="34">
        <f>IF(AND(AB126="OK",AD126&lt;&gt;"除外"),COUNTIFS($AB$5:AB126,"OK",$AD$5:AD126,"&lt;&gt;除外"),"")</f>
        <v/>
      </c>
      <c r="BA126" s="34">
        <f>IF(OR(AZ126="",AI126=""),"",AI126+ROW()/1000000000)</f>
        <v/>
      </c>
      <c r="BB126" s="34">
        <f>IF(E126="","",IF(OR(TRIM(E126&amp;"")="-",TRIM(E126&amp;"")="－",TRIM(E126&amp;"")="ー"),"",TRIM(E126&amp;"")))</f>
        <v/>
      </c>
      <c r="BC126" s="34">
        <f>IF(AND(AB126="OK",BB126&lt;&gt;""),IF(COUNTIFS($BB$5:BB126,BB126,$AB$5:AB126,"OK")=1,1,""),"")</f>
        <v/>
      </c>
      <c r="BD126" s="34">
        <f>IF(BC126=1,COUNTIF($BC$5:BC126,1),"")</f>
        <v/>
      </c>
      <c r="BE126" s="34">
        <f>IF(BB126="","",IFERROR(INDEX('06_顧客別集計'!$G$5:$G$104,MATCH(BB126,'06_顧客別集計'!$C$5:$C$104,0)),BB126))</f>
        <v/>
      </c>
      <c r="BF126" s="34">
        <f>IF(AND(AZ126&lt;&gt;"",BE126&lt;&gt;""),IF(COUNTIFS($BE$5:BE126,BE126,$AZ$5:AZ126,"&gt;0")=1,1,""),"")</f>
        <v/>
      </c>
      <c r="BG126" s="34">
        <f>IF(BF126=1,COUNTIF($BF$5:BF126,1),"")</f>
        <v/>
      </c>
    </row>
    <row r="127">
      <c r="AB127">
        <f>IF(AND(A127="",G127=""),"",IF(ISNUMBER(SEARCH("##END",AM127)),"（終わりの印）",IF(ISNUMBER(SEARCH("##続き",AM127)),"（続きありの印）",IF(AM127="調査ID","（見出し行）",IF(AND(AM127&lt;&gt;"R1",AM127&lt;&gt;"R2"),"×表以外の行（集計されない）",IF(COUNTIF($AN$5:AN127,AN127)&gt;1,"△重複（集計されない）",IF(G127="","△タスク名なし",IF(ISNA(MATCH(AQ127,'M1_類型マスタ'!$A$5:$A$19,0)),"△類型が不正",IF(OR(AP127="",N(AP127)&lt;1,N(AP127)&gt;6),"△業務区分が不正",IF(OR(AS127="",AT127=""),"△回数・分が読めない",IF(SUMPRODUCT(--ISNUMBER(--T127:Z127))&lt;7,"△採点が足りない",IF(SUMPRODUCT((--T127:Z127&gt;2)+(--T127:Z127&lt;0))&gt;0,"△採点が範囲外","OK"))))))))))))</f>
        <v/>
      </c>
      <c r="AC127">
        <f>IF(AB127&lt;&gt;"OK","",TRIM(IF(AND(AU127&lt;&gt;"",N(AU127)&lt;=1),"根拠1件 ","")&amp;IF(AV127&lt;&gt;"","同名あり ","")&amp;IF(AND(NOT(ISNUMBER(N127)),N127&lt;&gt;""),"回数を換算 ","")&amp;IF(J127="","詳細なし ","")&amp;IF(AND(N(AP127)=1,BB127=""),"顧客名なし ","")))</f>
        <v/>
      </c>
      <c r="AD127" s="31" t="n"/>
      <c r="AE127" s="32" t="n"/>
      <c r="AF127" s="32" t="n"/>
      <c r="AG127" s="31" t="n"/>
      <c r="AH127">
        <f>IF(AB127&lt;&gt;"OK","",IF(AG127&lt;&gt;"",AG127,AJ127))</f>
        <v/>
      </c>
      <c r="AI127" s="33">
        <f>IF(AB127&lt;&gt;"OK","",IFERROR(IF(AE127&lt;&gt;"",AE127,AS127)*IF(AF127&lt;&gt;"",AF127,AT127)/60,""))</f>
        <v/>
      </c>
      <c r="AJ127">
        <f>IF(AB127&lt;&gt;"OK","",IF(OR(VALUE(T127)=2,VALUE(U127)=2,VALUE(V127)=2),"社内残置",IF(AND(VALUE(T127)=0,VALUE(W127)=0,VALUE(Y127)=0),"自動化候補",IF(AND(VALUE(U127)=0,VALUE(W127)&lt;=1,VALUE(X127)&lt;=1,VALUE(Y127)&lt;=1,VALUE(Z127)&lt;=1),"オフショア候補",IF(AND(VALUE(Y127)&lt;=1,VALUE(Z127)&lt;=1),"ニアショア候補","社内で手順化→再評価")))))</f>
        <v/>
      </c>
      <c r="AK127">
        <f>IF(AB127&lt;&gt;"OK","",14-SUMPRODUCT(--T127:Z127))</f>
        <v/>
      </c>
      <c r="AL127" s="33">
        <f>IF(AB127&lt;&gt;"OK","",AS127*AT127/60)</f>
        <v/>
      </c>
      <c r="AM127" s="34">
        <f>IF(A127="","",UPPER(TRIM(ASC(A127&amp;""))))</f>
        <v/>
      </c>
      <c r="AN127" s="34">
        <f>IF(AM127="","",AM127&amp;"-"&amp;B127)</f>
        <v/>
      </c>
      <c r="AO127" s="34">
        <f>IF(C127="","",IFERROR(VALUE(ASC(SUBSTITUTE(C127&amp;"","観点",""))),""))</f>
        <v/>
      </c>
      <c r="AP127" s="34">
        <f>IF(D127="","",IFERROR(VALUE(LEFT(TRIM(ASC(D127&amp;"")),1)),IFERROR(MATCH(TRIM(D127&amp;""),'M2_区分マスタ'!$I$5:$I$10,0),"")))</f>
        <v/>
      </c>
      <c r="AQ127" s="34">
        <f>IF(H127="","",UPPER(LEFT(TRIM(ASC(H127&amp;"")),3)))</f>
        <v/>
      </c>
      <c r="AR127" s="34">
        <f>IF(N127="","",IFERROR(VALUE(SUBSTITUTE(SUBSTITUTE(SUBSTITUTE(SUBSTITUTE(SUBSTITUTE(SUBSTITUTE(SUBSTITUTE(SUBSTITUTE(SUBSTITUTE(SUBSTITUTE(SUBSTITUTE(SUBSTITUTE(ASC(N127&amp;""),"約",""),"程度",""),"ほど",""),"回",""),"毎",""),"週",""),"月",""),"年",""),"日",""),"に",""),"/","")," ","")),""))</f>
        <v/>
      </c>
      <c r="AS127" s="34">
        <f>IF(N127="","",IF(ISNUMBER(N127),N127,IFERROR(VALUE(ASC(N127&amp;"")),IF(AR127&lt;&gt;"",AR127*IF(ISNUMBER(SEARCH("週",N127)),4.3,IF(ISNUMBER(SEARCH("年",N127)),1/12,IF(ISNUMBER(SEARCH("日",N127)),20,1))),IF(ISNUMBER(SEARCH("日",N127)),20,IF(ISNUMBER(SEARCH("週",N127)),4.3,IF(ISNUMBER(SEARCH("月",N127)),1,"")))))))</f>
        <v/>
      </c>
      <c r="AT127" s="34">
        <f>IF(O127="","",IF(ISNUMBER(O127),O127,IFERROR(VALUE(ASC(O127&amp;"")),IF(ISNUMBER(SEARCH("時間",O127)),IFERROR(VALUE(SUBSTITUTE(SUBSTITUTE(SUBSTITUTE(SUBSTITUTE(SUBSTITUTE(ASC(O127&amp;""),"約",""),"程度",""),"ほど",""),"時間","")," ",""))*60,""),IFERROR(VALUE(SUBSTITUTE(SUBSTITUTE(SUBSTITUTE(SUBSTITUTE(SUBSTITUTE(ASC(O127&amp;""),"約",""),"程度",""),"ほど",""),"分","")," ","")),"")))))</f>
        <v/>
      </c>
      <c r="AU127" s="34">
        <f>IF(P127="","",IF(ISNUMBER(P127),P127,IFERROR(VALUE(SUBSTITUTE(SUBSTITUTE(SUBSTITUTE(ASC(P127&amp;""),"約",""),"件","")," ","")),"")))</f>
        <v/>
      </c>
      <c r="AV127" s="34">
        <f>IF(AB127&lt;&gt;"OK","",IF(COUNTIFS($G$5:$G$404,G127&amp;"",$F$5:$F$404,F127&amp;"",$BE$5:$BE$404,BE127&amp;"",$AB$5:$AB$404,"OK")&gt;1,"同名あり",""))</f>
        <v/>
      </c>
      <c r="AW127" s="35">
        <f>IF(Q127="","",IF(ISNUMBER(Q127),Q127,IFERROR(DATEVALUE(SUBSTITUTE(SUBSTITUTE(ASC(Q127&amp;""),"-","/"),".","/")&amp;"/01"),"")))</f>
        <v/>
      </c>
      <c r="AX127" s="35">
        <f>IF(R127="","",IF(ISNUMBER(R127),R127,IFERROR(DATEVALUE(SUBSTITUTE(SUBSTITUTE(ASC(R127&amp;""),"-","/"),".","/")&amp;"/01"),"")))</f>
        <v/>
      </c>
      <c r="AY127" s="34">
        <f>IF(OR(AB127&lt;&gt;"OK",AW127=""),"",IF(AW127&gt;='01_設定'!$C$26,1,0))</f>
        <v/>
      </c>
      <c r="AZ127" s="34">
        <f>IF(AND(AB127="OK",AD127&lt;&gt;"除外"),COUNTIFS($AB$5:AB127,"OK",$AD$5:AD127,"&lt;&gt;除外"),"")</f>
        <v/>
      </c>
      <c r="BA127" s="34">
        <f>IF(OR(AZ127="",AI127=""),"",AI127+ROW()/1000000000)</f>
        <v/>
      </c>
      <c r="BB127" s="34">
        <f>IF(E127="","",IF(OR(TRIM(E127&amp;"")="-",TRIM(E127&amp;"")="－",TRIM(E127&amp;"")="ー"),"",TRIM(E127&amp;"")))</f>
        <v/>
      </c>
      <c r="BC127" s="34">
        <f>IF(AND(AB127="OK",BB127&lt;&gt;""),IF(COUNTIFS($BB$5:BB127,BB127,$AB$5:AB127,"OK")=1,1,""),"")</f>
        <v/>
      </c>
      <c r="BD127" s="34">
        <f>IF(BC127=1,COUNTIF($BC$5:BC127,1),"")</f>
        <v/>
      </c>
      <c r="BE127" s="34">
        <f>IF(BB127="","",IFERROR(INDEX('06_顧客別集計'!$G$5:$G$104,MATCH(BB127,'06_顧客別集計'!$C$5:$C$104,0)),BB127))</f>
        <v/>
      </c>
      <c r="BF127" s="34">
        <f>IF(AND(AZ127&lt;&gt;"",BE127&lt;&gt;""),IF(COUNTIFS($BE$5:BE127,BE127,$AZ$5:AZ127,"&gt;0")=1,1,""),"")</f>
        <v/>
      </c>
      <c r="BG127" s="34">
        <f>IF(BF127=1,COUNTIF($BF$5:BF127,1),"")</f>
        <v/>
      </c>
    </row>
    <row r="128">
      <c r="AB128">
        <f>IF(AND(A128="",G128=""),"",IF(ISNUMBER(SEARCH("##END",AM128)),"（終わりの印）",IF(ISNUMBER(SEARCH("##続き",AM128)),"（続きありの印）",IF(AM128="調査ID","（見出し行）",IF(AND(AM128&lt;&gt;"R1",AM128&lt;&gt;"R2"),"×表以外の行（集計されない）",IF(COUNTIF($AN$5:AN128,AN128)&gt;1,"△重複（集計されない）",IF(G128="","△タスク名なし",IF(ISNA(MATCH(AQ128,'M1_類型マスタ'!$A$5:$A$19,0)),"△類型が不正",IF(OR(AP128="",N(AP128)&lt;1,N(AP128)&gt;6),"△業務区分が不正",IF(OR(AS128="",AT128=""),"△回数・分が読めない",IF(SUMPRODUCT(--ISNUMBER(--T128:Z128))&lt;7,"△採点が足りない",IF(SUMPRODUCT((--T128:Z128&gt;2)+(--T128:Z128&lt;0))&gt;0,"△採点が範囲外","OK"))))))))))))</f>
        <v/>
      </c>
      <c r="AC128">
        <f>IF(AB128&lt;&gt;"OK","",TRIM(IF(AND(AU128&lt;&gt;"",N(AU128)&lt;=1),"根拠1件 ","")&amp;IF(AV128&lt;&gt;"","同名あり ","")&amp;IF(AND(NOT(ISNUMBER(N128)),N128&lt;&gt;""),"回数を換算 ","")&amp;IF(J128="","詳細なし ","")&amp;IF(AND(N(AP128)=1,BB128=""),"顧客名なし ","")))</f>
        <v/>
      </c>
      <c r="AD128" s="31" t="n"/>
      <c r="AE128" s="32" t="n"/>
      <c r="AF128" s="32" t="n"/>
      <c r="AG128" s="31" t="n"/>
      <c r="AH128">
        <f>IF(AB128&lt;&gt;"OK","",IF(AG128&lt;&gt;"",AG128,AJ128))</f>
        <v/>
      </c>
      <c r="AI128" s="33">
        <f>IF(AB128&lt;&gt;"OK","",IFERROR(IF(AE128&lt;&gt;"",AE128,AS128)*IF(AF128&lt;&gt;"",AF128,AT128)/60,""))</f>
        <v/>
      </c>
      <c r="AJ128">
        <f>IF(AB128&lt;&gt;"OK","",IF(OR(VALUE(T128)=2,VALUE(U128)=2,VALUE(V128)=2),"社内残置",IF(AND(VALUE(T128)=0,VALUE(W128)=0,VALUE(Y128)=0),"自動化候補",IF(AND(VALUE(U128)=0,VALUE(W128)&lt;=1,VALUE(X128)&lt;=1,VALUE(Y128)&lt;=1,VALUE(Z128)&lt;=1),"オフショア候補",IF(AND(VALUE(Y128)&lt;=1,VALUE(Z128)&lt;=1),"ニアショア候補","社内で手順化→再評価")))))</f>
        <v/>
      </c>
      <c r="AK128">
        <f>IF(AB128&lt;&gt;"OK","",14-SUMPRODUCT(--T128:Z128))</f>
        <v/>
      </c>
      <c r="AL128" s="33">
        <f>IF(AB128&lt;&gt;"OK","",AS128*AT128/60)</f>
        <v/>
      </c>
      <c r="AM128" s="34">
        <f>IF(A128="","",UPPER(TRIM(ASC(A128&amp;""))))</f>
        <v/>
      </c>
      <c r="AN128" s="34">
        <f>IF(AM128="","",AM128&amp;"-"&amp;B128)</f>
        <v/>
      </c>
      <c r="AO128" s="34">
        <f>IF(C128="","",IFERROR(VALUE(ASC(SUBSTITUTE(C128&amp;"","観点",""))),""))</f>
        <v/>
      </c>
      <c r="AP128" s="34">
        <f>IF(D128="","",IFERROR(VALUE(LEFT(TRIM(ASC(D128&amp;"")),1)),IFERROR(MATCH(TRIM(D128&amp;""),'M2_区分マスタ'!$I$5:$I$10,0),"")))</f>
        <v/>
      </c>
      <c r="AQ128" s="34">
        <f>IF(H128="","",UPPER(LEFT(TRIM(ASC(H128&amp;"")),3)))</f>
        <v/>
      </c>
      <c r="AR128" s="34">
        <f>IF(N128="","",IFERROR(VALUE(SUBSTITUTE(SUBSTITUTE(SUBSTITUTE(SUBSTITUTE(SUBSTITUTE(SUBSTITUTE(SUBSTITUTE(SUBSTITUTE(SUBSTITUTE(SUBSTITUTE(SUBSTITUTE(SUBSTITUTE(ASC(N128&amp;""),"約",""),"程度",""),"ほど",""),"回",""),"毎",""),"週",""),"月",""),"年",""),"日",""),"に",""),"/","")," ","")),""))</f>
        <v/>
      </c>
      <c r="AS128" s="34">
        <f>IF(N128="","",IF(ISNUMBER(N128),N128,IFERROR(VALUE(ASC(N128&amp;"")),IF(AR128&lt;&gt;"",AR128*IF(ISNUMBER(SEARCH("週",N128)),4.3,IF(ISNUMBER(SEARCH("年",N128)),1/12,IF(ISNUMBER(SEARCH("日",N128)),20,1))),IF(ISNUMBER(SEARCH("日",N128)),20,IF(ISNUMBER(SEARCH("週",N128)),4.3,IF(ISNUMBER(SEARCH("月",N128)),1,"")))))))</f>
        <v/>
      </c>
      <c r="AT128" s="34">
        <f>IF(O128="","",IF(ISNUMBER(O128),O128,IFERROR(VALUE(ASC(O128&amp;"")),IF(ISNUMBER(SEARCH("時間",O128)),IFERROR(VALUE(SUBSTITUTE(SUBSTITUTE(SUBSTITUTE(SUBSTITUTE(SUBSTITUTE(ASC(O128&amp;""),"約",""),"程度",""),"ほど",""),"時間","")," ",""))*60,""),IFERROR(VALUE(SUBSTITUTE(SUBSTITUTE(SUBSTITUTE(SUBSTITUTE(SUBSTITUTE(ASC(O128&amp;""),"約",""),"程度",""),"ほど",""),"分","")," ","")),"")))))</f>
        <v/>
      </c>
      <c r="AU128" s="34">
        <f>IF(P128="","",IF(ISNUMBER(P128),P128,IFERROR(VALUE(SUBSTITUTE(SUBSTITUTE(SUBSTITUTE(ASC(P128&amp;""),"約",""),"件","")," ","")),"")))</f>
        <v/>
      </c>
      <c r="AV128" s="34">
        <f>IF(AB128&lt;&gt;"OK","",IF(COUNTIFS($G$5:$G$404,G128&amp;"",$F$5:$F$404,F128&amp;"",$BE$5:$BE$404,BE128&amp;"",$AB$5:$AB$404,"OK")&gt;1,"同名あり",""))</f>
        <v/>
      </c>
      <c r="AW128" s="35">
        <f>IF(Q128="","",IF(ISNUMBER(Q128),Q128,IFERROR(DATEVALUE(SUBSTITUTE(SUBSTITUTE(ASC(Q128&amp;""),"-","/"),".","/")&amp;"/01"),"")))</f>
        <v/>
      </c>
      <c r="AX128" s="35">
        <f>IF(R128="","",IF(ISNUMBER(R128),R128,IFERROR(DATEVALUE(SUBSTITUTE(SUBSTITUTE(ASC(R128&amp;""),"-","/"),".","/")&amp;"/01"),"")))</f>
        <v/>
      </c>
      <c r="AY128" s="34">
        <f>IF(OR(AB128&lt;&gt;"OK",AW128=""),"",IF(AW128&gt;='01_設定'!$C$26,1,0))</f>
        <v/>
      </c>
      <c r="AZ128" s="34">
        <f>IF(AND(AB128="OK",AD128&lt;&gt;"除外"),COUNTIFS($AB$5:AB128,"OK",$AD$5:AD128,"&lt;&gt;除外"),"")</f>
        <v/>
      </c>
      <c r="BA128" s="34">
        <f>IF(OR(AZ128="",AI128=""),"",AI128+ROW()/1000000000)</f>
        <v/>
      </c>
      <c r="BB128" s="34">
        <f>IF(E128="","",IF(OR(TRIM(E128&amp;"")="-",TRIM(E128&amp;"")="－",TRIM(E128&amp;"")="ー"),"",TRIM(E128&amp;"")))</f>
        <v/>
      </c>
      <c r="BC128" s="34">
        <f>IF(AND(AB128="OK",BB128&lt;&gt;""),IF(COUNTIFS($BB$5:BB128,BB128,$AB$5:AB128,"OK")=1,1,""),"")</f>
        <v/>
      </c>
      <c r="BD128" s="34">
        <f>IF(BC128=1,COUNTIF($BC$5:BC128,1),"")</f>
        <v/>
      </c>
      <c r="BE128" s="34">
        <f>IF(BB128="","",IFERROR(INDEX('06_顧客別集計'!$G$5:$G$104,MATCH(BB128,'06_顧客別集計'!$C$5:$C$104,0)),BB128))</f>
        <v/>
      </c>
      <c r="BF128" s="34">
        <f>IF(AND(AZ128&lt;&gt;"",BE128&lt;&gt;""),IF(COUNTIFS($BE$5:BE128,BE128,$AZ$5:AZ128,"&gt;0")=1,1,""),"")</f>
        <v/>
      </c>
      <c r="BG128" s="34">
        <f>IF(BF128=1,COUNTIF($BF$5:BF128,1),"")</f>
        <v/>
      </c>
    </row>
    <row r="129">
      <c r="AB129">
        <f>IF(AND(A129="",G129=""),"",IF(ISNUMBER(SEARCH("##END",AM129)),"（終わりの印）",IF(ISNUMBER(SEARCH("##続き",AM129)),"（続きありの印）",IF(AM129="調査ID","（見出し行）",IF(AND(AM129&lt;&gt;"R1",AM129&lt;&gt;"R2"),"×表以外の行（集計されない）",IF(COUNTIF($AN$5:AN129,AN129)&gt;1,"△重複（集計されない）",IF(G129="","△タスク名なし",IF(ISNA(MATCH(AQ129,'M1_類型マスタ'!$A$5:$A$19,0)),"△類型が不正",IF(OR(AP129="",N(AP129)&lt;1,N(AP129)&gt;6),"△業務区分が不正",IF(OR(AS129="",AT129=""),"△回数・分が読めない",IF(SUMPRODUCT(--ISNUMBER(--T129:Z129))&lt;7,"△採点が足りない",IF(SUMPRODUCT((--T129:Z129&gt;2)+(--T129:Z129&lt;0))&gt;0,"△採点が範囲外","OK"))))))))))))</f>
        <v/>
      </c>
      <c r="AC129">
        <f>IF(AB129&lt;&gt;"OK","",TRIM(IF(AND(AU129&lt;&gt;"",N(AU129)&lt;=1),"根拠1件 ","")&amp;IF(AV129&lt;&gt;"","同名あり ","")&amp;IF(AND(NOT(ISNUMBER(N129)),N129&lt;&gt;""),"回数を換算 ","")&amp;IF(J129="","詳細なし ","")&amp;IF(AND(N(AP129)=1,BB129=""),"顧客名なし ","")))</f>
        <v/>
      </c>
      <c r="AD129" s="31" t="n"/>
      <c r="AE129" s="32" t="n"/>
      <c r="AF129" s="32" t="n"/>
      <c r="AG129" s="31" t="n"/>
      <c r="AH129">
        <f>IF(AB129&lt;&gt;"OK","",IF(AG129&lt;&gt;"",AG129,AJ129))</f>
        <v/>
      </c>
      <c r="AI129" s="33">
        <f>IF(AB129&lt;&gt;"OK","",IFERROR(IF(AE129&lt;&gt;"",AE129,AS129)*IF(AF129&lt;&gt;"",AF129,AT129)/60,""))</f>
        <v/>
      </c>
      <c r="AJ129">
        <f>IF(AB129&lt;&gt;"OK","",IF(OR(VALUE(T129)=2,VALUE(U129)=2,VALUE(V129)=2),"社内残置",IF(AND(VALUE(T129)=0,VALUE(W129)=0,VALUE(Y129)=0),"自動化候補",IF(AND(VALUE(U129)=0,VALUE(W129)&lt;=1,VALUE(X129)&lt;=1,VALUE(Y129)&lt;=1,VALUE(Z129)&lt;=1),"オフショア候補",IF(AND(VALUE(Y129)&lt;=1,VALUE(Z129)&lt;=1),"ニアショア候補","社内で手順化→再評価")))))</f>
        <v/>
      </c>
      <c r="AK129">
        <f>IF(AB129&lt;&gt;"OK","",14-SUMPRODUCT(--T129:Z129))</f>
        <v/>
      </c>
      <c r="AL129" s="33">
        <f>IF(AB129&lt;&gt;"OK","",AS129*AT129/60)</f>
        <v/>
      </c>
      <c r="AM129" s="34">
        <f>IF(A129="","",UPPER(TRIM(ASC(A129&amp;""))))</f>
        <v/>
      </c>
      <c r="AN129" s="34">
        <f>IF(AM129="","",AM129&amp;"-"&amp;B129)</f>
        <v/>
      </c>
      <c r="AO129" s="34">
        <f>IF(C129="","",IFERROR(VALUE(ASC(SUBSTITUTE(C129&amp;"","観点",""))),""))</f>
        <v/>
      </c>
      <c r="AP129" s="34">
        <f>IF(D129="","",IFERROR(VALUE(LEFT(TRIM(ASC(D129&amp;"")),1)),IFERROR(MATCH(TRIM(D129&amp;""),'M2_区分マスタ'!$I$5:$I$10,0),"")))</f>
        <v/>
      </c>
      <c r="AQ129" s="34">
        <f>IF(H129="","",UPPER(LEFT(TRIM(ASC(H129&amp;"")),3)))</f>
        <v/>
      </c>
      <c r="AR129" s="34">
        <f>IF(N129="","",IFERROR(VALUE(SUBSTITUTE(SUBSTITUTE(SUBSTITUTE(SUBSTITUTE(SUBSTITUTE(SUBSTITUTE(SUBSTITUTE(SUBSTITUTE(SUBSTITUTE(SUBSTITUTE(SUBSTITUTE(SUBSTITUTE(ASC(N129&amp;""),"約",""),"程度",""),"ほど",""),"回",""),"毎",""),"週",""),"月",""),"年",""),"日",""),"に",""),"/","")," ","")),""))</f>
        <v/>
      </c>
      <c r="AS129" s="34">
        <f>IF(N129="","",IF(ISNUMBER(N129),N129,IFERROR(VALUE(ASC(N129&amp;"")),IF(AR129&lt;&gt;"",AR129*IF(ISNUMBER(SEARCH("週",N129)),4.3,IF(ISNUMBER(SEARCH("年",N129)),1/12,IF(ISNUMBER(SEARCH("日",N129)),20,1))),IF(ISNUMBER(SEARCH("日",N129)),20,IF(ISNUMBER(SEARCH("週",N129)),4.3,IF(ISNUMBER(SEARCH("月",N129)),1,"")))))))</f>
        <v/>
      </c>
      <c r="AT129" s="34">
        <f>IF(O129="","",IF(ISNUMBER(O129),O129,IFERROR(VALUE(ASC(O129&amp;"")),IF(ISNUMBER(SEARCH("時間",O129)),IFERROR(VALUE(SUBSTITUTE(SUBSTITUTE(SUBSTITUTE(SUBSTITUTE(SUBSTITUTE(ASC(O129&amp;""),"約",""),"程度",""),"ほど",""),"時間","")," ",""))*60,""),IFERROR(VALUE(SUBSTITUTE(SUBSTITUTE(SUBSTITUTE(SUBSTITUTE(SUBSTITUTE(ASC(O129&amp;""),"約",""),"程度",""),"ほど",""),"分","")," ","")),"")))))</f>
        <v/>
      </c>
      <c r="AU129" s="34">
        <f>IF(P129="","",IF(ISNUMBER(P129),P129,IFERROR(VALUE(SUBSTITUTE(SUBSTITUTE(SUBSTITUTE(ASC(P129&amp;""),"約",""),"件","")," ","")),"")))</f>
        <v/>
      </c>
      <c r="AV129" s="34">
        <f>IF(AB129&lt;&gt;"OK","",IF(COUNTIFS($G$5:$G$404,G129&amp;"",$F$5:$F$404,F129&amp;"",$BE$5:$BE$404,BE129&amp;"",$AB$5:$AB$404,"OK")&gt;1,"同名あり",""))</f>
        <v/>
      </c>
      <c r="AW129" s="35">
        <f>IF(Q129="","",IF(ISNUMBER(Q129),Q129,IFERROR(DATEVALUE(SUBSTITUTE(SUBSTITUTE(ASC(Q129&amp;""),"-","/"),".","/")&amp;"/01"),"")))</f>
        <v/>
      </c>
      <c r="AX129" s="35">
        <f>IF(R129="","",IF(ISNUMBER(R129),R129,IFERROR(DATEVALUE(SUBSTITUTE(SUBSTITUTE(ASC(R129&amp;""),"-","/"),".","/")&amp;"/01"),"")))</f>
        <v/>
      </c>
      <c r="AY129" s="34">
        <f>IF(OR(AB129&lt;&gt;"OK",AW129=""),"",IF(AW129&gt;='01_設定'!$C$26,1,0))</f>
        <v/>
      </c>
      <c r="AZ129" s="34">
        <f>IF(AND(AB129="OK",AD129&lt;&gt;"除外"),COUNTIFS($AB$5:AB129,"OK",$AD$5:AD129,"&lt;&gt;除外"),"")</f>
        <v/>
      </c>
      <c r="BA129" s="34">
        <f>IF(OR(AZ129="",AI129=""),"",AI129+ROW()/1000000000)</f>
        <v/>
      </c>
      <c r="BB129" s="34">
        <f>IF(E129="","",IF(OR(TRIM(E129&amp;"")="-",TRIM(E129&amp;"")="－",TRIM(E129&amp;"")="ー"),"",TRIM(E129&amp;"")))</f>
        <v/>
      </c>
      <c r="BC129" s="34">
        <f>IF(AND(AB129="OK",BB129&lt;&gt;""),IF(COUNTIFS($BB$5:BB129,BB129,$AB$5:AB129,"OK")=1,1,""),"")</f>
        <v/>
      </c>
      <c r="BD129" s="34">
        <f>IF(BC129=1,COUNTIF($BC$5:BC129,1),"")</f>
        <v/>
      </c>
      <c r="BE129" s="34">
        <f>IF(BB129="","",IFERROR(INDEX('06_顧客別集計'!$G$5:$G$104,MATCH(BB129,'06_顧客別集計'!$C$5:$C$104,0)),BB129))</f>
        <v/>
      </c>
      <c r="BF129" s="34">
        <f>IF(AND(AZ129&lt;&gt;"",BE129&lt;&gt;""),IF(COUNTIFS($BE$5:BE129,BE129,$AZ$5:AZ129,"&gt;0")=1,1,""),"")</f>
        <v/>
      </c>
      <c r="BG129" s="34">
        <f>IF(BF129=1,COUNTIF($BF$5:BF129,1),"")</f>
        <v/>
      </c>
    </row>
    <row r="130">
      <c r="AB130">
        <f>IF(AND(A130="",G130=""),"",IF(ISNUMBER(SEARCH("##END",AM130)),"（終わりの印）",IF(ISNUMBER(SEARCH("##続き",AM130)),"（続きありの印）",IF(AM130="調査ID","（見出し行）",IF(AND(AM130&lt;&gt;"R1",AM130&lt;&gt;"R2"),"×表以外の行（集計されない）",IF(COUNTIF($AN$5:AN130,AN130)&gt;1,"△重複（集計されない）",IF(G130="","△タスク名なし",IF(ISNA(MATCH(AQ130,'M1_類型マスタ'!$A$5:$A$19,0)),"△類型が不正",IF(OR(AP130="",N(AP130)&lt;1,N(AP130)&gt;6),"△業務区分が不正",IF(OR(AS130="",AT130=""),"△回数・分が読めない",IF(SUMPRODUCT(--ISNUMBER(--T130:Z130))&lt;7,"△採点が足りない",IF(SUMPRODUCT((--T130:Z130&gt;2)+(--T130:Z130&lt;0))&gt;0,"△採点が範囲外","OK"))))))))))))</f>
        <v/>
      </c>
      <c r="AC130">
        <f>IF(AB130&lt;&gt;"OK","",TRIM(IF(AND(AU130&lt;&gt;"",N(AU130)&lt;=1),"根拠1件 ","")&amp;IF(AV130&lt;&gt;"","同名あり ","")&amp;IF(AND(NOT(ISNUMBER(N130)),N130&lt;&gt;""),"回数を換算 ","")&amp;IF(J130="","詳細なし ","")&amp;IF(AND(N(AP130)=1,BB130=""),"顧客名なし ","")))</f>
        <v/>
      </c>
      <c r="AD130" s="31" t="n"/>
      <c r="AE130" s="32" t="n"/>
      <c r="AF130" s="32" t="n"/>
      <c r="AG130" s="31" t="n"/>
      <c r="AH130">
        <f>IF(AB130&lt;&gt;"OK","",IF(AG130&lt;&gt;"",AG130,AJ130))</f>
        <v/>
      </c>
      <c r="AI130" s="33">
        <f>IF(AB130&lt;&gt;"OK","",IFERROR(IF(AE130&lt;&gt;"",AE130,AS130)*IF(AF130&lt;&gt;"",AF130,AT130)/60,""))</f>
        <v/>
      </c>
      <c r="AJ130">
        <f>IF(AB130&lt;&gt;"OK","",IF(OR(VALUE(T130)=2,VALUE(U130)=2,VALUE(V130)=2),"社内残置",IF(AND(VALUE(T130)=0,VALUE(W130)=0,VALUE(Y130)=0),"自動化候補",IF(AND(VALUE(U130)=0,VALUE(W130)&lt;=1,VALUE(X130)&lt;=1,VALUE(Y130)&lt;=1,VALUE(Z130)&lt;=1),"オフショア候補",IF(AND(VALUE(Y130)&lt;=1,VALUE(Z130)&lt;=1),"ニアショア候補","社内で手順化→再評価")))))</f>
        <v/>
      </c>
      <c r="AK130">
        <f>IF(AB130&lt;&gt;"OK","",14-SUMPRODUCT(--T130:Z130))</f>
        <v/>
      </c>
      <c r="AL130" s="33">
        <f>IF(AB130&lt;&gt;"OK","",AS130*AT130/60)</f>
        <v/>
      </c>
      <c r="AM130" s="34">
        <f>IF(A130="","",UPPER(TRIM(ASC(A130&amp;""))))</f>
        <v/>
      </c>
      <c r="AN130" s="34">
        <f>IF(AM130="","",AM130&amp;"-"&amp;B130)</f>
        <v/>
      </c>
      <c r="AO130" s="34">
        <f>IF(C130="","",IFERROR(VALUE(ASC(SUBSTITUTE(C130&amp;"","観点",""))),""))</f>
        <v/>
      </c>
      <c r="AP130" s="34">
        <f>IF(D130="","",IFERROR(VALUE(LEFT(TRIM(ASC(D130&amp;"")),1)),IFERROR(MATCH(TRIM(D130&amp;""),'M2_区分マスタ'!$I$5:$I$10,0),"")))</f>
        <v/>
      </c>
      <c r="AQ130" s="34">
        <f>IF(H130="","",UPPER(LEFT(TRIM(ASC(H130&amp;"")),3)))</f>
        <v/>
      </c>
      <c r="AR130" s="34">
        <f>IF(N130="","",IFERROR(VALUE(SUBSTITUTE(SUBSTITUTE(SUBSTITUTE(SUBSTITUTE(SUBSTITUTE(SUBSTITUTE(SUBSTITUTE(SUBSTITUTE(SUBSTITUTE(SUBSTITUTE(SUBSTITUTE(SUBSTITUTE(ASC(N130&amp;""),"約",""),"程度",""),"ほど",""),"回",""),"毎",""),"週",""),"月",""),"年",""),"日",""),"に",""),"/","")," ","")),""))</f>
        <v/>
      </c>
      <c r="AS130" s="34">
        <f>IF(N130="","",IF(ISNUMBER(N130),N130,IFERROR(VALUE(ASC(N130&amp;"")),IF(AR130&lt;&gt;"",AR130*IF(ISNUMBER(SEARCH("週",N130)),4.3,IF(ISNUMBER(SEARCH("年",N130)),1/12,IF(ISNUMBER(SEARCH("日",N130)),20,1))),IF(ISNUMBER(SEARCH("日",N130)),20,IF(ISNUMBER(SEARCH("週",N130)),4.3,IF(ISNUMBER(SEARCH("月",N130)),1,"")))))))</f>
        <v/>
      </c>
      <c r="AT130" s="34">
        <f>IF(O130="","",IF(ISNUMBER(O130),O130,IFERROR(VALUE(ASC(O130&amp;"")),IF(ISNUMBER(SEARCH("時間",O130)),IFERROR(VALUE(SUBSTITUTE(SUBSTITUTE(SUBSTITUTE(SUBSTITUTE(SUBSTITUTE(ASC(O130&amp;""),"約",""),"程度",""),"ほど",""),"時間","")," ",""))*60,""),IFERROR(VALUE(SUBSTITUTE(SUBSTITUTE(SUBSTITUTE(SUBSTITUTE(SUBSTITUTE(ASC(O130&amp;""),"約",""),"程度",""),"ほど",""),"分","")," ","")),"")))))</f>
        <v/>
      </c>
      <c r="AU130" s="34">
        <f>IF(P130="","",IF(ISNUMBER(P130),P130,IFERROR(VALUE(SUBSTITUTE(SUBSTITUTE(SUBSTITUTE(ASC(P130&amp;""),"約",""),"件","")," ","")),"")))</f>
        <v/>
      </c>
      <c r="AV130" s="34">
        <f>IF(AB130&lt;&gt;"OK","",IF(COUNTIFS($G$5:$G$404,G130&amp;"",$F$5:$F$404,F130&amp;"",$BE$5:$BE$404,BE130&amp;"",$AB$5:$AB$404,"OK")&gt;1,"同名あり",""))</f>
        <v/>
      </c>
      <c r="AW130" s="35">
        <f>IF(Q130="","",IF(ISNUMBER(Q130),Q130,IFERROR(DATEVALUE(SUBSTITUTE(SUBSTITUTE(ASC(Q130&amp;""),"-","/"),".","/")&amp;"/01"),"")))</f>
        <v/>
      </c>
      <c r="AX130" s="35">
        <f>IF(R130="","",IF(ISNUMBER(R130),R130,IFERROR(DATEVALUE(SUBSTITUTE(SUBSTITUTE(ASC(R130&amp;""),"-","/"),".","/")&amp;"/01"),"")))</f>
        <v/>
      </c>
      <c r="AY130" s="34">
        <f>IF(OR(AB130&lt;&gt;"OK",AW130=""),"",IF(AW130&gt;='01_設定'!$C$26,1,0))</f>
        <v/>
      </c>
      <c r="AZ130" s="34">
        <f>IF(AND(AB130="OK",AD130&lt;&gt;"除外"),COUNTIFS($AB$5:AB130,"OK",$AD$5:AD130,"&lt;&gt;除外"),"")</f>
        <v/>
      </c>
      <c r="BA130" s="34">
        <f>IF(OR(AZ130="",AI130=""),"",AI130+ROW()/1000000000)</f>
        <v/>
      </c>
      <c r="BB130" s="34">
        <f>IF(E130="","",IF(OR(TRIM(E130&amp;"")="-",TRIM(E130&amp;"")="－",TRIM(E130&amp;"")="ー"),"",TRIM(E130&amp;"")))</f>
        <v/>
      </c>
      <c r="BC130" s="34">
        <f>IF(AND(AB130="OK",BB130&lt;&gt;""),IF(COUNTIFS($BB$5:BB130,BB130,$AB$5:AB130,"OK")=1,1,""),"")</f>
        <v/>
      </c>
      <c r="BD130" s="34">
        <f>IF(BC130=1,COUNTIF($BC$5:BC130,1),"")</f>
        <v/>
      </c>
      <c r="BE130" s="34">
        <f>IF(BB130="","",IFERROR(INDEX('06_顧客別集計'!$G$5:$G$104,MATCH(BB130,'06_顧客別集計'!$C$5:$C$104,0)),BB130))</f>
        <v/>
      </c>
      <c r="BF130" s="34">
        <f>IF(AND(AZ130&lt;&gt;"",BE130&lt;&gt;""),IF(COUNTIFS($BE$5:BE130,BE130,$AZ$5:AZ130,"&gt;0")=1,1,""),"")</f>
        <v/>
      </c>
      <c r="BG130" s="34">
        <f>IF(BF130=1,COUNTIF($BF$5:BF130,1),"")</f>
        <v/>
      </c>
    </row>
    <row r="131">
      <c r="AB131">
        <f>IF(AND(A131="",G131=""),"",IF(ISNUMBER(SEARCH("##END",AM131)),"（終わりの印）",IF(ISNUMBER(SEARCH("##続き",AM131)),"（続きありの印）",IF(AM131="調査ID","（見出し行）",IF(AND(AM131&lt;&gt;"R1",AM131&lt;&gt;"R2"),"×表以外の行（集計されない）",IF(COUNTIF($AN$5:AN131,AN131)&gt;1,"△重複（集計されない）",IF(G131="","△タスク名なし",IF(ISNA(MATCH(AQ131,'M1_類型マスタ'!$A$5:$A$19,0)),"△類型が不正",IF(OR(AP131="",N(AP131)&lt;1,N(AP131)&gt;6),"△業務区分が不正",IF(OR(AS131="",AT131=""),"△回数・分が読めない",IF(SUMPRODUCT(--ISNUMBER(--T131:Z131))&lt;7,"△採点が足りない",IF(SUMPRODUCT((--T131:Z131&gt;2)+(--T131:Z131&lt;0))&gt;0,"△採点が範囲外","OK"))))))))))))</f>
        <v/>
      </c>
      <c r="AC131">
        <f>IF(AB131&lt;&gt;"OK","",TRIM(IF(AND(AU131&lt;&gt;"",N(AU131)&lt;=1),"根拠1件 ","")&amp;IF(AV131&lt;&gt;"","同名あり ","")&amp;IF(AND(NOT(ISNUMBER(N131)),N131&lt;&gt;""),"回数を換算 ","")&amp;IF(J131="","詳細なし ","")&amp;IF(AND(N(AP131)=1,BB131=""),"顧客名なし ","")))</f>
        <v/>
      </c>
      <c r="AD131" s="31" t="n"/>
      <c r="AE131" s="32" t="n"/>
      <c r="AF131" s="32" t="n"/>
      <c r="AG131" s="31" t="n"/>
      <c r="AH131">
        <f>IF(AB131&lt;&gt;"OK","",IF(AG131&lt;&gt;"",AG131,AJ131))</f>
        <v/>
      </c>
      <c r="AI131" s="33">
        <f>IF(AB131&lt;&gt;"OK","",IFERROR(IF(AE131&lt;&gt;"",AE131,AS131)*IF(AF131&lt;&gt;"",AF131,AT131)/60,""))</f>
        <v/>
      </c>
      <c r="AJ131">
        <f>IF(AB131&lt;&gt;"OK","",IF(OR(VALUE(T131)=2,VALUE(U131)=2,VALUE(V131)=2),"社内残置",IF(AND(VALUE(T131)=0,VALUE(W131)=0,VALUE(Y131)=0),"自動化候補",IF(AND(VALUE(U131)=0,VALUE(W131)&lt;=1,VALUE(X131)&lt;=1,VALUE(Y131)&lt;=1,VALUE(Z131)&lt;=1),"オフショア候補",IF(AND(VALUE(Y131)&lt;=1,VALUE(Z131)&lt;=1),"ニアショア候補","社内で手順化→再評価")))))</f>
        <v/>
      </c>
      <c r="AK131">
        <f>IF(AB131&lt;&gt;"OK","",14-SUMPRODUCT(--T131:Z131))</f>
        <v/>
      </c>
      <c r="AL131" s="33">
        <f>IF(AB131&lt;&gt;"OK","",AS131*AT131/60)</f>
        <v/>
      </c>
      <c r="AM131" s="34">
        <f>IF(A131="","",UPPER(TRIM(ASC(A131&amp;""))))</f>
        <v/>
      </c>
      <c r="AN131" s="34">
        <f>IF(AM131="","",AM131&amp;"-"&amp;B131)</f>
        <v/>
      </c>
      <c r="AO131" s="34">
        <f>IF(C131="","",IFERROR(VALUE(ASC(SUBSTITUTE(C131&amp;"","観点",""))),""))</f>
        <v/>
      </c>
      <c r="AP131" s="34">
        <f>IF(D131="","",IFERROR(VALUE(LEFT(TRIM(ASC(D131&amp;"")),1)),IFERROR(MATCH(TRIM(D131&amp;""),'M2_区分マスタ'!$I$5:$I$10,0),"")))</f>
        <v/>
      </c>
      <c r="AQ131" s="34">
        <f>IF(H131="","",UPPER(LEFT(TRIM(ASC(H131&amp;"")),3)))</f>
        <v/>
      </c>
      <c r="AR131" s="34">
        <f>IF(N131="","",IFERROR(VALUE(SUBSTITUTE(SUBSTITUTE(SUBSTITUTE(SUBSTITUTE(SUBSTITUTE(SUBSTITUTE(SUBSTITUTE(SUBSTITUTE(SUBSTITUTE(SUBSTITUTE(SUBSTITUTE(SUBSTITUTE(ASC(N131&amp;""),"約",""),"程度",""),"ほど",""),"回",""),"毎",""),"週",""),"月",""),"年",""),"日",""),"に",""),"/","")," ","")),""))</f>
        <v/>
      </c>
      <c r="AS131" s="34">
        <f>IF(N131="","",IF(ISNUMBER(N131),N131,IFERROR(VALUE(ASC(N131&amp;"")),IF(AR131&lt;&gt;"",AR131*IF(ISNUMBER(SEARCH("週",N131)),4.3,IF(ISNUMBER(SEARCH("年",N131)),1/12,IF(ISNUMBER(SEARCH("日",N131)),20,1))),IF(ISNUMBER(SEARCH("日",N131)),20,IF(ISNUMBER(SEARCH("週",N131)),4.3,IF(ISNUMBER(SEARCH("月",N131)),1,"")))))))</f>
        <v/>
      </c>
      <c r="AT131" s="34">
        <f>IF(O131="","",IF(ISNUMBER(O131),O131,IFERROR(VALUE(ASC(O131&amp;"")),IF(ISNUMBER(SEARCH("時間",O131)),IFERROR(VALUE(SUBSTITUTE(SUBSTITUTE(SUBSTITUTE(SUBSTITUTE(SUBSTITUTE(ASC(O131&amp;""),"約",""),"程度",""),"ほど",""),"時間","")," ",""))*60,""),IFERROR(VALUE(SUBSTITUTE(SUBSTITUTE(SUBSTITUTE(SUBSTITUTE(SUBSTITUTE(ASC(O131&amp;""),"約",""),"程度",""),"ほど",""),"分","")," ","")),"")))))</f>
        <v/>
      </c>
      <c r="AU131" s="34">
        <f>IF(P131="","",IF(ISNUMBER(P131),P131,IFERROR(VALUE(SUBSTITUTE(SUBSTITUTE(SUBSTITUTE(ASC(P131&amp;""),"約",""),"件","")," ","")),"")))</f>
        <v/>
      </c>
      <c r="AV131" s="34">
        <f>IF(AB131&lt;&gt;"OK","",IF(COUNTIFS($G$5:$G$404,G131&amp;"",$F$5:$F$404,F131&amp;"",$BE$5:$BE$404,BE131&amp;"",$AB$5:$AB$404,"OK")&gt;1,"同名あり",""))</f>
        <v/>
      </c>
      <c r="AW131" s="35">
        <f>IF(Q131="","",IF(ISNUMBER(Q131),Q131,IFERROR(DATEVALUE(SUBSTITUTE(SUBSTITUTE(ASC(Q131&amp;""),"-","/"),".","/")&amp;"/01"),"")))</f>
        <v/>
      </c>
      <c r="AX131" s="35">
        <f>IF(R131="","",IF(ISNUMBER(R131),R131,IFERROR(DATEVALUE(SUBSTITUTE(SUBSTITUTE(ASC(R131&amp;""),"-","/"),".","/")&amp;"/01"),"")))</f>
        <v/>
      </c>
      <c r="AY131" s="34">
        <f>IF(OR(AB131&lt;&gt;"OK",AW131=""),"",IF(AW131&gt;='01_設定'!$C$26,1,0))</f>
        <v/>
      </c>
      <c r="AZ131" s="34">
        <f>IF(AND(AB131="OK",AD131&lt;&gt;"除外"),COUNTIFS($AB$5:AB131,"OK",$AD$5:AD131,"&lt;&gt;除外"),"")</f>
        <v/>
      </c>
      <c r="BA131" s="34">
        <f>IF(OR(AZ131="",AI131=""),"",AI131+ROW()/1000000000)</f>
        <v/>
      </c>
      <c r="BB131" s="34">
        <f>IF(E131="","",IF(OR(TRIM(E131&amp;"")="-",TRIM(E131&amp;"")="－",TRIM(E131&amp;"")="ー"),"",TRIM(E131&amp;"")))</f>
        <v/>
      </c>
      <c r="BC131" s="34">
        <f>IF(AND(AB131="OK",BB131&lt;&gt;""),IF(COUNTIFS($BB$5:BB131,BB131,$AB$5:AB131,"OK")=1,1,""),"")</f>
        <v/>
      </c>
      <c r="BD131" s="34">
        <f>IF(BC131=1,COUNTIF($BC$5:BC131,1),"")</f>
        <v/>
      </c>
      <c r="BE131" s="34">
        <f>IF(BB131="","",IFERROR(INDEX('06_顧客別集計'!$G$5:$G$104,MATCH(BB131,'06_顧客別集計'!$C$5:$C$104,0)),BB131))</f>
        <v/>
      </c>
      <c r="BF131" s="34">
        <f>IF(AND(AZ131&lt;&gt;"",BE131&lt;&gt;""),IF(COUNTIFS($BE$5:BE131,BE131,$AZ$5:AZ131,"&gt;0")=1,1,""),"")</f>
        <v/>
      </c>
      <c r="BG131" s="34">
        <f>IF(BF131=1,COUNTIF($BF$5:BF131,1),"")</f>
        <v/>
      </c>
    </row>
    <row r="132">
      <c r="AB132">
        <f>IF(AND(A132="",G132=""),"",IF(ISNUMBER(SEARCH("##END",AM132)),"（終わりの印）",IF(ISNUMBER(SEARCH("##続き",AM132)),"（続きありの印）",IF(AM132="調査ID","（見出し行）",IF(AND(AM132&lt;&gt;"R1",AM132&lt;&gt;"R2"),"×表以外の行（集計されない）",IF(COUNTIF($AN$5:AN132,AN132)&gt;1,"△重複（集計されない）",IF(G132="","△タスク名なし",IF(ISNA(MATCH(AQ132,'M1_類型マスタ'!$A$5:$A$19,0)),"△類型が不正",IF(OR(AP132="",N(AP132)&lt;1,N(AP132)&gt;6),"△業務区分が不正",IF(OR(AS132="",AT132=""),"△回数・分が読めない",IF(SUMPRODUCT(--ISNUMBER(--T132:Z132))&lt;7,"△採点が足りない",IF(SUMPRODUCT((--T132:Z132&gt;2)+(--T132:Z132&lt;0))&gt;0,"△採点が範囲外","OK"))))))))))))</f>
        <v/>
      </c>
      <c r="AC132">
        <f>IF(AB132&lt;&gt;"OK","",TRIM(IF(AND(AU132&lt;&gt;"",N(AU132)&lt;=1),"根拠1件 ","")&amp;IF(AV132&lt;&gt;"","同名あり ","")&amp;IF(AND(NOT(ISNUMBER(N132)),N132&lt;&gt;""),"回数を換算 ","")&amp;IF(J132="","詳細なし ","")&amp;IF(AND(N(AP132)=1,BB132=""),"顧客名なし ","")))</f>
        <v/>
      </c>
      <c r="AD132" s="31" t="n"/>
      <c r="AE132" s="32" t="n"/>
      <c r="AF132" s="32" t="n"/>
      <c r="AG132" s="31" t="n"/>
      <c r="AH132">
        <f>IF(AB132&lt;&gt;"OK","",IF(AG132&lt;&gt;"",AG132,AJ132))</f>
        <v/>
      </c>
      <c r="AI132" s="33">
        <f>IF(AB132&lt;&gt;"OK","",IFERROR(IF(AE132&lt;&gt;"",AE132,AS132)*IF(AF132&lt;&gt;"",AF132,AT132)/60,""))</f>
        <v/>
      </c>
      <c r="AJ132">
        <f>IF(AB132&lt;&gt;"OK","",IF(OR(VALUE(T132)=2,VALUE(U132)=2,VALUE(V132)=2),"社内残置",IF(AND(VALUE(T132)=0,VALUE(W132)=0,VALUE(Y132)=0),"自動化候補",IF(AND(VALUE(U132)=0,VALUE(W132)&lt;=1,VALUE(X132)&lt;=1,VALUE(Y132)&lt;=1,VALUE(Z132)&lt;=1),"オフショア候補",IF(AND(VALUE(Y132)&lt;=1,VALUE(Z132)&lt;=1),"ニアショア候補","社内で手順化→再評価")))))</f>
        <v/>
      </c>
      <c r="AK132">
        <f>IF(AB132&lt;&gt;"OK","",14-SUMPRODUCT(--T132:Z132))</f>
        <v/>
      </c>
      <c r="AL132" s="33">
        <f>IF(AB132&lt;&gt;"OK","",AS132*AT132/60)</f>
        <v/>
      </c>
      <c r="AM132" s="34">
        <f>IF(A132="","",UPPER(TRIM(ASC(A132&amp;""))))</f>
        <v/>
      </c>
      <c r="AN132" s="34">
        <f>IF(AM132="","",AM132&amp;"-"&amp;B132)</f>
        <v/>
      </c>
      <c r="AO132" s="34">
        <f>IF(C132="","",IFERROR(VALUE(ASC(SUBSTITUTE(C132&amp;"","観点",""))),""))</f>
        <v/>
      </c>
      <c r="AP132" s="34">
        <f>IF(D132="","",IFERROR(VALUE(LEFT(TRIM(ASC(D132&amp;"")),1)),IFERROR(MATCH(TRIM(D132&amp;""),'M2_区分マスタ'!$I$5:$I$10,0),"")))</f>
        <v/>
      </c>
      <c r="AQ132" s="34">
        <f>IF(H132="","",UPPER(LEFT(TRIM(ASC(H132&amp;"")),3)))</f>
        <v/>
      </c>
      <c r="AR132" s="34">
        <f>IF(N132="","",IFERROR(VALUE(SUBSTITUTE(SUBSTITUTE(SUBSTITUTE(SUBSTITUTE(SUBSTITUTE(SUBSTITUTE(SUBSTITUTE(SUBSTITUTE(SUBSTITUTE(SUBSTITUTE(SUBSTITUTE(SUBSTITUTE(ASC(N132&amp;""),"約",""),"程度",""),"ほど",""),"回",""),"毎",""),"週",""),"月",""),"年",""),"日",""),"に",""),"/","")," ","")),""))</f>
        <v/>
      </c>
      <c r="AS132" s="34">
        <f>IF(N132="","",IF(ISNUMBER(N132),N132,IFERROR(VALUE(ASC(N132&amp;"")),IF(AR132&lt;&gt;"",AR132*IF(ISNUMBER(SEARCH("週",N132)),4.3,IF(ISNUMBER(SEARCH("年",N132)),1/12,IF(ISNUMBER(SEARCH("日",N132)),20,1))),IF(ISNUMBER(SEARCH("日",N132)),20,IF(ISNUMBER(SEARCH("週",N132)),4.3,IF(ISNUMBER(SEARCH("月",N132)),1,"")))))))</f>
        <v/>
      </c>
      <c r="AT132" s="34">
        <f>IF(O132="","",IF(ISNUMBER(O132),O132,IFERROR(VALUE(ASC(O132&amp;"")),IF(ISNUMBER(SEARCH("時間",O132)),IFERROR(VALUE(SUBSTITUTE(SUBSTITUTE(SUBSTITUTE(SUBSTITUTE(SUBSTITUTE(ASC(O132&amp;""),"約",""),"程度",""),"ほど",""),"時間","")," ",""))*60,""),IFERROR(VALUE(SUBSTITUTE(SUBSTITUTE(SUBSTITUTE(SUBSTITUTE(SUBSTITUTE(ASC(O132&amp;""),"約",""),"程度",""),"ほど",""),"分","")," ","")),"")))))</f>
        <v/>
      </c>
      <c r="AU132" s="34">
        <f>IF(P132="","",IF(ISNUMBER(P132),P132,IFERROR(VALUE(SUBSTITUTE(SUBSTITUTE(SUBSTITUTE(ASC(P132&amp;""),"約",""),"件","")," ","")),"")))</f>
        <v/>
      </c>
      <c r="AV132" s="34">
        <f>IF(AB132&lt;&gt;"OK","",IF(COUNTIFS($G$5:$G$404,G132&amp;"",$F$5:$F$404,F132&amp;"",$BE$5:$BE$404,BE132&amp;"",$AB$5:$AB$404,"OK")&gt;1,"同名あり",""))</f>
        <v/>
      </c>
      <c r="AW132" s="35">
        <f>IF(Q132="","",IF(ISNUMBER(Q132),Q132,IFERROR(DATEVALUE(SUBSTITUTE(SUBSTITUTE(ASC(Q132&amp;""),"-","/"),".","/")&amp;"/01"),"")))</f>
        <v/>
      </c>
      <c r="AX132" s="35">
        <f>IF(R132="","",IF(ISNUMBER(R132),R132,IFERROR(DATEVALUE(SUBSTITUTE(SUBSTITUTE(ASC(R132&amp;""),"-","/"),".","/")&amp;"/01"),"")))</f>
        <v/>
      </c>
      <c r="AY132" s="34">
        <f>IF(OR(AB132&lt;&gt;"OK",AW132=""),"",IF(AW132&gt;='01_設定'!$C$26,1,0))</f>
        <v/>
      </c>
      <c r="AZ132" s="34">
        <f>IF(AND(AB132="OK",AD132&lt;&gt;"除外"),COUNTIFS($AB$5:AB132,"OK",$AD$5:AD132,"&lt;&gt;除外"),"")</f>
        <v/>
      </c>
      <c r="BA132" s="34">
        <f>IF(OR(AZ132="",AI132=""),"",AI132+ROW()/1000000000)</f>
        <v/>
      </c>
      <c r="BB132" s="34">
        <f>IF(E132="","",IF(OR(TRIM(E132&amp;"")="-",TRIM(E132&amp;"")="－",TRIM(E132&amp;"")="ー"),"",TRIM(E132&amp;"")))</f>
        <v/>
      </c>
      <c r="BC132" s="34">
        <f>IF(AND(AB132="OK",BB132&lt;&gt;""),IF(COUNTIFS($BB$5:BB132,BB132,$AB$5:AB132,"OK")=1,1,""),"")</f>
        <v/>
      </c>
      <c r="BD132" s="34">
        <f>IF(BC132=1,COUNTIF($BC$5:BC132,1),"")</f>
        <v/>
      </c>
      <c r="BE132" s="34">
        <f>IF(BB132="","",IFERROR(INDEX('06_顧客別集計'!$G$5:$G$104,MATCH(BB132,'06_顧客別集計'!$C$5:$C$104,0)),BB132))</f>
        <v/>
      </c>
      <c r="BF132" s="34">
        <f>IF(AND(AZ132&lt;&gt;"",BE132&lt;&gt;""),IF(COUNTIFS($BE$5:BE132,BE132,$AZ$5:AZ132,"&gt;0")=1,1,""),"")</f>
        <v/>
      </c>
      <c r="BG132" s="34">
        <f>IF(BF132=1,COUNTIF($BF$5:BF132,1),"")</f>
        <v/>
      </c>
    </row>
    <row r="133">
      <c r="AB133">
        <f>IF(AND(A133="",G133=""),"",IF(ISNUMBER(SEARCH("##END",AM133)),"（終わりの印）",IF(ISNUMBER(SEARCH("##続き",AM133)),"（続きありの印）",IF(AM133="調査ID","（見出し行）",IF(AND(AM133&lt;&gt;"R1",AM133&lt;&gt;"R2"),"×表以外の行（集計されない）",IF(COUNTIF($AN$5:AN133,AN133)&gt;1,"△重複（集計されない）",IF(G133="","△タスク名なし",IF(ISNA(MATCH(AQ133,'M1_類型マスタ'!$A$5:$A$19,0)),"△類型が不正",IF(OR(AP133="",N(AP133)&lt;1,N(AP133)&gt;6),"△業務区分が不正",IF(OR(AS133="",AT133=""),"△回数・分が読めない",IF(SUMPRODUCT(--ISNUMBER(--T133:Z133))&lt;7,"△採点が足りない",IF(SUMPRODUCT((--T133:Z133&gt;2)+(--T133:Z133&lt;0))&gt;0,"△採点が範囲外","OK"))))))))))))</f>
        <v/>
      </c>
      <c r="AC133">
        <f>IF(AB133&lt;&gt;"OK","",TRIM(IF(AND(AU133&lt;&gt;"",N(AU133)&lt;=1),"根拠1件 ","")&amp;IF(AV133&lt;&gt;"","同名あり ","")&amp;IF(AND(NOT(ISNUMBER(N133)),N133&lt;&gt;""),"回数を換算 ","")&amp;IF(J133="","詳細なし ","")&amp;IF(AND(N(AP133)=1,BB133=""),"顧客名なし ","")))</f>
        <v/>
      </c>
      <c r="AD133" s="31" t="n"/>
      <c r="AE133" s="32" t="n"/>
      <c r="AF133" s="32" t="n"/>
      <c r="AG133" s="31" t="n"/>
      <c r="AH133">
        <f>IF(AB133&lt;&gt;"OK","",IF(AG133&lt;&gt;"",AG133,AJ133))</f>
        <v/>
      </c>
      <c r="AI133" s="33">
        <f>IF(AB133&lt;&gt;"OK","",IFERROR(IF(AE133&lt;&gt;"",AE133,AS133)*IF(AF133&lt;&gt;"",AF133,AT133)/60,""))</f>
        <v/>
      </c>
      <c r="AJ133">
        <f>IF(AB133&lt;&gt;"OK","",IF(OR(VALUE(T133)=2,VALUE(U133)=2,VALUE(V133)=2),"社内残置",IF(AND(VALUE(T133)=0,VALUE(W133)=0,VALUE(Y133)=0),"自動化候補",IF(AND(VALUE(U133)=0,VALUE(W133)&lt;=1,VALUE(X133)&lt;=1,VALUE(Y133)&lt;=1,VALUE(Z133)&lt;=1),"オフショア候補",IF(AND(VALUE(Y133)&lt;=1,VALUE(Z133)&lt;=1),"ニアショア候補","社内で手順化→再評価")))))</f>
        <v/>
      </c>
      <c r="AK133">
        <f>IF(AB133&lt;&gt;"OK","",14-SUMPRODUCT(--T133:Z133))</f>
        <v/>
      </c>
      <c r="AL133" s="33">
        <f>IF(AB133&lt;&gt;"OK","",AS133*AT133/60)</f>
        <v/>
      </c>
      <c r="AM133" s="34">
        <f>IF(A133="","",UPPER(TRIM(ASC(A133&amp;""))))</f>
        <v/>
      </c>
      <c r="AN133" s="34">
        <f>IF(AM133="","",AM133&amp;"-"&amp;B133)</f>
        <v/>
      </c>
      <c r="AO133" s="34">
        <f>IF(C133="","",IFERROR(VALUE(ASC(SUBSTITUTE(C133&amp;"","観点",""))),""))</f>
        <v/>
      </c>
      <c r="AP133" s="34">
        <f>IF(D133="","",IFERROR(VALUE(LEFT(TRIM(ASC(D133&amp;"")),1)),IFERROR(MATCH(TRIM(D133&amp;""),'M2_区分マスタ'!$I$5:$I$10,0),"")))</f>
        <v/>
      </c>
      <c r="AQ133" s="34">
        <f>IF(H133="","",UPPER(LEFT(TRIM(ASC(H133&amp;"")),3)))</f>
        <v/>
      </c>
      <c r="AR133" s="34">
        <f>IF(N133="","",IFERROR(VALUE(SUBSTITUTE(SUBSTITUTE(SUBSTITUTE(SUBSTITUTE(SUBSTITUTE(SUBSTITUTE(SUBSTITUTE(SUBSTITUTE(SUBSTITUTE(SUBSTITUTE(SUBSTITUTE(SUBSTITUTE(ASC(N133&amp;""),"約",""),"程度",""),"ほど",""),"回",""),"毎",""),"週",""),"月",""),"年",""),"日",""),"に",""),"/","")," ","")),""))</f>
        <v/>
      </c>
      <c r="AS133" s="34">
        <f>IF(N133="","",IF(ISNUMBER(N133),N133,IFERROR(VALUE(ASC(N133&amp;"")),IF(AR133&lt;&gt;"",AR133*IF(ISNUMBER(SEARCH("週",N133)),4.3,IF(ISNUMBER(SEARCH("年",N133)),1/12,IF(ISNUMBER(SEARCH("日",N133)),20,1))),IF(ISNUMBER(SEARCH("日",N133)),20,IF(ISNUMBER(SEARCH("週",N133)),4.3,IF(ISNUMBER(SEARCH("月",N133)),1,"")))))))</f>
        <v/>
      </c>
      <c r="AT133" s="34">
        <f>IF(O133="","",IF(ISNUMBER(O133),O133,IFERROR(VALUE(ASC(O133&amp;"")),IF(ISNUMBER(SEARCH("時間",O133)),IFERROR(VALUE(SUBSTITUTE(SUBSTITUTE(SUBSTITUTE(SUBSTITUTE(SUBSTITUTE(ASC(O133&amp;""),"約",""),"程度",""),"ほど",""),"時間","")," ",""))*60,""),IFERROR(VALUE(SUBSTITUTE(SUBSTITUTE(SUBSTITUTE(SUBSTITUTE(SUBSTITUTE(ASC(O133&amp;""),"約",""),"程度",""),"ほど",""),"分","")," ","")),"")))))</f>
        <v/>
      </c>
      <c r="AU133" s="34">
        <f>IF(P133="","",IF(ISNUMBER(P133),P133,IFERROR(VALUE(SUBSTITUTE(SUBSTITUTE(SUBSTITUTE(ASC(P133&amp;""),"約",""),"件","")," ","")),"")))</f>
        <v/>
      </c>
      <c r="AV133" s="34">
        <f>IF(AB133&lt;&gt;"OK","",IF(COUNTIFS($G$5:$G$404,G133&amp;"",$F$5:$F$404,F133&amp;"",$BE$5:$BE$404,BE133&amp;"",$AB$5:$AB$404,"OK")&gt;1,"同名あり",""))</f>
        <v/>
      </c>
      <c r="AW133" s="35">
        <f>IF(Q133="","",IF(ISNUMBER(Q133),Q133,IFERROR(DATEVALUE(SUBSTITUTE(SUBSTITUTE(ASC(Q133&amp;""),"-","/"),".","/")&amp;"/01"),"")))</f>
        <v/>
      </c>
      <c r="AX133" s="35">
        <f>IF(R133="","",IF(ISNUMBER(R133),R133,IFERROR(DATEVALUE(SUBSTITUTE(SUBSTITUTE(ASC(R133&amp;""),"-","/"),".","/")&amp;"/01"),"")))</f>
        <v/>
      </c>
      <c r="AY133" s="34">
        <f>IF(OR(AB133&lt;&gt;"OK",AW133=""),"",IF(AW133&gt;='01_設定'!$C$26,1,0))</f>
        <v/>
      </c>
      <c r="AZ133" s="34">
        <f>IF(AND(AB133="OK",AD133&lt;&gt;"除外"),COUNTIFS($AB$5:AB133,"OK",$AD$5:AD133,"&lt;&gt;除外"),"")</f>
        <v/>
      </c>
      <c r="BA133" s="34">
        <f>IF(OR(AZ133="",AI133=""),"",AI133+ROW()/1000000000)</f>
        <v/>
      </c>
      <c r="BB133" s="34">
        <f>IF(E133="","",IF(OR(TRIM(E133&amp;"")="-",TRIM(E133&amp;"")="－",TRIM(E133&amp;"")="ー"),"",TRIM(E133&amp;"")))</f>
        <v/>
      </c>
      <c r="BC133" s="34">
        <f>IF(AND(AB133="OK",BB133&lt;&gt;""),IF(COUNTIFS($BB$5:BB133,BB133,$AB$5:AB133,"OK")=1,1,""),"")</f>
        <v/>
      </c>
      <c r="BD133" s="34">
        <f>IF(BC133=1,COUNTIF($BC$5:BC133,1),"")</f>
        <v/>
      </c>
      <c r="BE133" s="34">
        <f>IF(BB133="","",IFERROR(INDEX('06_顧客別集計'!$G$5:$G$104,MATCH(BB133,'06_顧客別集計'!$C$5:$C$104,0)),BB133))</f>
        <v/>
      </c>
      <c r="BF133" s="34">
        <f>IF(AND(AZ133&lt;&gt;"",BE133&lt;&gt;""),IF(COUNTIFS($BE$5:BE133,BE133,$AZ$5:AZ133,"&gt;0")=1,1,""),"")</f>
        <v/>
      </c>
      <c r="BG133" s="34">
        <f>IF(BF133=1,COUNTIF($BF$5:BF133,1),"")</f>
        <v/>
      </c>
    </row>
    <row r="134">
      <c r="AB134">
        <f>IF(AND(A134="",G134=""),"",IF(ISNUMBER(SEARCH("##END",AM134)),"（終わりの印）",IF(ISNUMBER(SEARCH("##続き",AM134)),"（続きありの印）",IF(AM134="調査ID","（見出し行）",IF(AND(AM134&lt;&gt;"R1",AM134&lt;&gt;"R2"),"×表以外の行（集計されない）",IF(COUNTIF($AN$5:AN134,AN134)&gt;1,"△重複（集計されない）",IF(G134="","△タスク名なし",IF(ISNA(MATCH(AQ134,'M1_類型マスタ'!$A$5:$A$19,0)),"△類型が不正",IF(OR(AP134="",N(AP134)&lt;1,N(AP134)&gt;6),"△業務区分が不正",IF(OR(AS134="",AT134=""),"△回数・分が読めない",IF(SUMPRODUCT(--ISNUMBER(--T134:Z134))&lt;7,"△採点が足りない",IF(SUMPRODUCT((--T134:Z134&gt;2)+(--T134:Z134&lt;0))&gt;0,"△採点が範囲外","OK"))))))))))))</f>
        <v/>
      </c>
      <c r="AC134">
        <f>IF(AB134&lt;&gt;"OK","",TRIM(IF(AND(AU134&lt;&gt;"",N(AU134)&lt;=1),"根拠1件 ","")&amp;IF(AV134&lt;&gt;"","同名あり ","")&amp;IF(AND(NOT(ISNUMBER(N134)),N134&lt;&gt;""),"回数を換算 ","")&amp;IF(J134="","詳細なし ","")&amp;IF(AND(N(AP134)=1,BB134=""),"顧客名なし ","")))</f>
        <v/>
      </c>
      <c r="AD134" s="31" t="n"/>
      <c r="AE134" s="32" t="n"/>
      <c r="AF134" s="32" t="n"/>
      <c r="AG134" s="31" t="n"/>
      <c r="AH134">
        <f>IF(AB134&lt;&gt;"OK","",IF(AG134&lt;&gt;"",AG134,AJ134))</f>
        <v/>
      </c>
      <c r="AI134" s="33">
        <f>IF(AB134&lt;&gt;"OK","",IFERROR(IF(AE134&lt;&gt;"",AE134,AS134)*IF(AF134&lt;&gt;"",AF134,AT134)/60,""))</f>
        <v/>
      </c>
      <c r="AJ134">
        <f>IF(AB134&lt;&gt;"OK","",IF(OR(VALUE(T134)=2,VALUE(U134)=2,VALUE(V134)=2),"社内残置",IF(AND(VALUE(T134)=0,VALUE(W134)=0,VALUE(Y134)=0),"自動化候補",IF(AND(VALUE(U134)=0,VALUE(W134)&lt;=1,VALUE(X134)&lt;=1,VALUE(Y134)&lt;=1,VALUE(Z134)&lt;=1),"オフショア候補",IF(AND(VALUE(Y134)&lt;=1,VALUE(Z134)&lt;=1),"ニアショア候補","社内で手順化→再評価")))))</f>
        <v/>
      </c>
      <c r="AK134">
        <f>IF(AB134&lt;&gt;"OK","",14-SUMPRODUCT(--T134:Z134))</f>
        <v/>
      </c>
      <c r="AL134" s="33">
        <f>IF(AB134&lt;&gt;"OK","",AS134*AT134/60)</f>
        <v/>
      </c>
      <c r="AM134" s="34">
        <f>IF(A134="","",UPPER(TRIM(ASC(A134&amp;""))))</f>
        <v/>
      </c>
      <c r="AN134" s="34">
        <f>IF(AM134="","",AM134&amp;"-"&amp;B134)</f>
        <v/>
      </c>
      <c r="AO134" s="34">
        <f>IF(C134="","",IFERROR(VALUE(ASC(SUBSTITUTE(C134&amp;"","観点",""))),""))</f>
        <v/>
      </c>
      <c r="AP134" s="34">
        <f>IF(D134="","",IFERROR(VALUE(LEFT(TRIM(ASC(D134&amp;"")),1)),IFERROR(MATCH(TRIM(D134&amp;""),'M2_区分マスタ'!$I$5:$I$10,0),"")))</f>
        <v/>
      </c>
      <c r="AQ134" s="34">
        <f>IF(H134="","",UPPER(LEFT(TRIM(ASC(H134&amp;"")),3)))</f>
        <v/>
      </c>
      <c r="AR134" s="34">
        <f>IF(N134="","",IFERROR(VALUE(SUBSTITUTE(SUBSTITUTE(SUBSTITUTE(SUBSTITUTE(SUBSTITUTE(SUBSTITUTE(SUBSTITUTE(SUBSTITUTE(SUBSTITUTE(SUBSTITUTE(SUBSTITUTE(SUBSTITUTE(ASC(N134&amp;""),"約",""),"程度",""),"ほど",""),"回",""),"毎",""),"週",""),"月",""),"年",""),"日",""),"に",""),"/","")," ","")),""))</f>
        <v/>
      </c>
      <c r="AS134" s="34">
        <f>IF(N134="","",IF(ISNUMBER(N134),N134,IFERROR(VALUE(ASC(N134&amp;"")),IF(AR134&lt;&gt;"",AR134*IF(ISNUMBER(SEARCH("週",N134)),4.3,IF(ISNUMBER(SEARCH("年",N134)),1/12,IF(ISNUMBER(SEARCH("日",N134)),20,1))),IF(ISNUMBER(SEARCH("日",N134)),20,IF(ISNUMBER(SEARCH("週",N134)),4.3,IF(ISNUMBER(SEARCH("月",N134)),1,"")))))))</f>
        <v/>
      </c>
      <c r="AT134" s="34">
        <f>IF(O134="","",IF(ISNUMBER(O134),O134,IFERROR(VALUE(ASC(O134&amp;"")),IF(ISNUMBER(SEARCH("時間",O134)),IFERROR(VALUE(SUBSTITUTE(SUBSTITUTE(SUBSTITUTE(SUBSTITUTE(SUBSTITUTE(ASC(O134&amp;""),"約",""),"程度",""),"ほど",""),"時間","")," ",""))*60,""),IFERROR(VALUE(SUBSTITUTE(SUBSTITUTE(SUBSTITUTE(SUBSTITUTE(SUBSTITUTE(ASC(O134&amp;""),"約",""),"程度",""),"ほど",""),"分","")," ","")),"")))))</f>
        <v/>
      </c>
      <c r="AU134" s="34">
        <f>IF(P134="","",IF(ISNUMBER(P134),P134,IFERROR(VALUE(SUBSTITUTE(SUBSTITUTE(SUBSTITUTE(ASC(P134&amp;""),"約",""),"件","")," ","")),"")))</f>
        <v/>
      </c>
      <c r="AV134" s="34">
        <f>IF(AB134&lt;&gt;"OK","",IF(COUNTIFS($G$5:$G$404,G134&amp;"",$F$5:$F$404,F134&amp;"",$BE$5:$BE$404,BE134&amp;"",$AB$5:$AB$404,"OK")&gt;1,"同名あり",""))</f>
        <v/>
      </c>
      <c r="AW134" s="35">
        <f>IF(Q134="","",IF(ISNUMBER(Q134),Q134,IFERROR(DATEVALUE(SUBSTITUTE(SUBSTITUTE(ASC(Q134&amp;""),"-","/"),".","/")&amp;"/01"),"")))</f>
        <v/>
      </c>
      <c r="AX134" s="35">
        <f>IF(R134="","",IF(ISNUMBER(R134),R134,IFERROR(DATEVALUE(SUBSTITUTE(SUBSTITUTE(ASC(R134&amp;""),"-","/"),".","/")&amp;"/01"),"")))</f>
        <v/>
      </c>
      <c r="AY134" s="34">
        <f>IF(OR(AB134&lt;&gt;"OK",AW134=""),"",IF(AW134&gt;='01_設定'!$C$26,1,0))</f>
        <v/>
      </c>
      <c r="AZ134" s="34">
        <f>IF(AND(AB134="OK",AD134&lt;&gt;"除外"),COUNTIFS($AB$5:AB134,"OK",$AD$5:AD134,"&lt;&gt;除外"),"")</f>
        <v/>
      </c>
      <c r="BA134" s="34">
        <f>IF(OR(AZ134="",AI134=""),"",AI134+ROW()/1000000000)</f>
        <v/>
      </c>
      <c r="BB134" s="34">
        <f>IF(E134="","",IF(OR(TRIM(E134&amp;"")="-",TRIM(E134&amp;"")="－",TRIM(E134&amp;"")="ー"),"",TRIM(E134&amp;"")))</f>
        <v/>
      </c>
      <c r="BC134" s="34">
        <f>IF(AND(AB134="OK",BB134&lt;&gt;""),IF(COUNTIFS($BB$5:BB134,BB134,$AB$5:AB134,"OK")=1,1,""),"")</f>
        <v/>
      </c>
      <c r="BD134" s="34">
        <f>IF(BC134=1,COUNTIF($BC$5:BC134,1),"")</f>
        <v/>
      </c>
      <c r="BE134" s="34">
        <f>IF(BB134="","",IFERROR(INDEX('06_顧客別集計'!$G$5:$G$104,MATCH(BB134,'06_顧客別集計'!$C$5:$C$104,0)),BB134))</f>
        <v/>
      </c>
      <c r="BF134" s="34">
        <f>IF(AND(AZ134&lt;&gt;"",BE134&lt;&gt;""),IF(COUNTIFS($BE$5:BE134,BE134,$AZ$5:AZ134,"&gt;0")=1,1,""),"")</f>
        <v/>
      </c>
      <c r="BG134" s="34">
        <f>IF(BF134=1,COUNTIF($BF$5:BF134,1),"")</f>
        <v/>
      </c>
    </row>
    <row r="135">
      <c r="AB135">
        <f>IF(AND(A135="",G135=""),"",IF(ISNUMBER(SEARCH("##END",AM135)),"（終わりの印）",IF(ISNUMBER(SEARCH("##続き",AM135)),"（続きありの印）",IF(AM135="調査ID","（見出し行）",IF(AND(AM135&lt;&gt;"R1",AM135&lt;&gt;"R2"),"×表以外の行（集計されない）",IF(COUNTIF($AN$5:AN135,AN135)&gt;1,"△重複（集計されない）",IF(G135="","△タスク名なし",IF(ISNA(MATCH(AQ135,'M1_類型マスタ'!$A$5:$A$19,0)),"△類型が不正",IF(OR(AP135="",N(AP135)&lt;1,N(AP135)&gt;6),"△業務区分が不正",IF(OR(AS135="",AT135=""),"△回数・分が読めない",IF(SUMPRODUCT(--ISNUMBER(--T135:Z135))&lt;7,"△採点が足りない",IF(SUMPRODUCT((--T135:Z135&gt;2)+(--T135:Z135&lt;0))&gt;0,"△採点が範囲外","OK"))))))))))))</f>
        <v/>
      </c>
      <c r="AC135">
        <f>IF(AB135&lt;&gt;"OK","",TRIM(IF(AND(AU135&lt;&gt;"",N(AU135)&lt;=1),"根拠1件 ","")&amp;IF(AV135&lt;&gt;"","同名あり ","")&amp;IF(AND(NOT(ISNUMBER(N135)),N135&lt;&gt;""),"回数を換算 ","")&amp;IF(J135="","詳細なし ","")&amp;IF(AND(N(AP135)=1,BB135=""),"顧客名なし ","")))</f>
        <v/>
      </c>
      <c r="AD135" s="31" t="n"/>
      <c r="AE135" s="32" t="n"/>
      <c r="AF135" s="32" t="n"/>
      <c r="AG135" s="31" t="n"/>
      <c r="AH135">
        <f>IF(AB135&lt;&gt;"OK","",IF(AG135&lt;&gt;"",AG135,AJ135))</f>
        <v/>
      </c>
      <c r="AI135" s="33">
        <f>IF(AB135&lt;&gt;"OK","",IFERROR(IF(AE135&lt;&gt;"",AE135,AS135)*IF(AF135&lt;&gt;"",AF135,AT135)/60,""))</f>
        <v/>
      </c>
      <c r="AJ135">
        <f>IF(AB135&lt;&gt;"OK","",IF(OR(VALUE(T135)=2,VALUE(U135)=2,VALUE(V135)=2),"社内残置",IF(AND(VALUE(T135)=0,VALUE(W135)=0,VALUE(Y135)=0),"自動化候補",IF(AND(VALUE(U135)=0,VALUE(W135)&lt;=1,VALUE(X135)&lt;=1,VALUE(Y135)&lt;=1,VALUE(Z135)&lt;=1),"オフショア候補",IF(AND(VALUE(Y135)&lt;=1,VALUE(Z135)&lt;=1),"ニアショア候補","社内で手順化→再評価")))))</f>
        <v/>
      </c>
      <c r="AK135">
        <f>IF(AB135&lt;&gt;"OK","",14-SUMPRODUCT(--T135:Z135))</f>
        <v/>
      </c>
      <c r="AL135" s="33">
        <f>IF(AB135&lt;&gt;"OK","",AS135*AT135/60)</f>
        <v/>
      </c>
      <c r="AM135" s="34">
        <f>IF(A135="","",UPPER(TRIM(ASC(A135&amp;""))))</f>
        <v/>
      </c>
      <c r="AN135" s="34">
        <f>IF(AM135="","",AM135&amp;"-"&amp;B135)</f>
        <v/>
      </c>
      <c r="AO135" s="34">
        <f>IF(C135="","",IFERROR(VALUE(ASC(SUBSTITUTE(C135&amp;"","観点",""))),""))</f>
        <v/>
      </c>
      <c r="AP135" s="34">
        <f>IF(D135="","",IFERROR(VALUE(LEFT(TRIM(ASC(D135&amp;"")),1)),IFERROR(MATCH(TRIM(D135&amp;""),'M2_区分マスタ'!$I$5:$I$10,0),"")))</f>
        <v/>
      </c>
      <c r="AQ135" s="34">
        <f>IF(H135="","",UPPER(LEFT(TRIM(ASC(H135&amp;"")),3)))</f>
        <v/>
      </c>
      <c r="AR135" s="34">
        <f>IF(N135="","",IFERROR(VALUE(SUBSTITUTE(SUBSTITUTE(SUBSTITUTE(SUBSTITUTE(SUBSTITUTE(SUBSTITUTE(SUBSTITUTE(SUBSTITUTE(SUBSTITUTE(SUBSTITUTE(SUBSTITUTE(SUBSTITUTE(ASC(N135&amp;""),"約",""),"程度",""),"ほど",""),"回",""),"毎",""),"週",""),"月",""),"年",""),"日",""),"に",""),"/","")," ","")),""))</f>
        <v/>
      </c>
      <c r="AS135" s="34">
        <f>IF(N135="","",IF(ISNUMBER(N135),N135,IFERROR(VALUE(ASC(N135&amp;"")),IF(AR135&lt;&gt;"",AR135*IF(ISNUMBER(SEARCH("週",N135)),4.3,IF(ISNUMBER(SEARCH("年",N135)),1/12,IF(ISNUMBER(SEARCH("日",N135)),20,1))),IF(ISNUMBER(SEARCH("日",N135)),20,IF(ISNUMBER(SEARCH("週",N135)),4.3,IF(ISNUMBER(SEARCH("月",N135)),1,"")))))))</f>
        <v/>
      </c>
      <c r="AT135" s="34">
        <f>IF(O135="","",IF(ISNUMBER(O135),O135,IFERROR(VALUE(ASC(O135&amp;"")),IF(ISNUMBER(SEARCH("時間",O135)),IFERROR(VALUE(SUBSTITUTE(SUBSTITUTE(SUBSTITUTE(SUBSTITUTE(SUBSTITUTE(ASC(O135&amp;""),"約",""),"程度",""),"ほど",""),"時間","")," ",""))*60,""),IFERROR(VALUE(SUBSTITUTE(SUBSTITUTE(SUBSTITUTE(SUBSTITUTE(SUBSTITUTE(ASC(O135&amp;""),"約",""),"程度",""),"ほど",""),"分","")," ","")),"")))))</f>
        <v/>
      </c>
      <c r="AU135" s="34">
        <f>IF(P135="","",IF(ISNUMBER(P135),P135,IFERROR(VALUE(SUBSTITUTE(SUBSTITUTE(SUBSTITUTE(ASC(P135&amp;""),"約",""),"件","")," ","")),"")))</f>
        <v/>
      </c>
      <c r="AV135" s="34">
        <f>IF(AB135&lt;&gt;"OK","",IF(COUNTIFS($G$5:$G$404,G135&amp;"",$F$5:$F$404,F135&amp;"",$BE$5:$BE$404,BE135&amp;"",$AB$5:$AB$404,"OK")&gt;1,"同名あり",""))</f>
        <v/>
      </c>
      <c r="AW135" s="35">
        <f>IF(Q135="","",IF(ISNUMBER(Q135),Q135,IFERROR(DATEVALUE(SUBSTITUTE(SUBSTITUTE(ASC(Q135&amp;""),"-","/"),".","/")&amp;"/01"),"")))</f>
        <v/>
      </c>
      <c r="AX135" s="35">
        <f>IF(R135="","",IF(ISNUMBER(R135),R135,IFERROR(DATEVALUE(SUBSTITUTE(SUBSTITUTE(ASC(R135&amp;""),"-","/"),".","/")&amp;"/01"),"")))</f>
        <v/>
      </c>
      <c r="AY135" s="34">
        <f>IF(OR(AB135&lt;&gt;"OK",AW135=""),"",IF(AW135&gt;='01_設定'!$C$26,1,0))</f>
        <v/>
      </c>
      <c r="AZ135" s="34">
        <f>IF(AND(AB135="OK",AD135&lt;&gt;"除外"),COUNTIFS($AB$5:AB135,"OK",$AD$5:AD135,"&lt;&gt;除外"),"")</f>
        <v/>
      </c>
      <c r="BA135" s="34">
        <f>IF(OR(AZ135="",AI135=""),"",AI135+ROW()/1000000000)</f>
        <v/>
      </c>
      <c r="BB135" s="34">
        <f>IF(E135="","",IF(OR(TRIM(E135&amp;"")="-",TRIM(E135&amp;"")="－",TRIM(E135&amp;"")="ー"),"",TRIM(E135&amp;"")))</f>
        <v/>
      </c>
      <c r="BC135" s="34">
        <f>IF(AND(AB135="OK",BB135&lt;&gt;""),IF(COUNTIFS($BB$5:BB135,BB135,$AB$5:AB135,"OK")=1,1,""),"")</f>
        <v/>
      </c>
      <c r="BD135" s="34">
        <f>IF(BC135=1,COUNTIF($BC$5:BC135,1),"")</f>
        <v/>
      </c>
      <c r="BE135" s="34">
        <f>IF(BB135="","",IFERROR(INDEX('06_顧客別集計'!$G$5:$G$104,MATCH(BB135,'06_顧客別集計'!$C$5:$C$104,0)),BB135))</f>
        <v/>
      </c>
      <c r="BF135" s="34">
        <f>IF(AND(AZ135&lt;&gt;"",BE135&lt;&gt;""),IF(COUNTIFS($BE$5:BE135,BE135,$AZ$5:AZ135,"&gt;0")=1,1,""),"")</f>
        <v/>
      </c>
      <c r="BG135" s="34">
        <f>IF(BF135=1,COUNTIF($BF$5:BF135,1),"")</f>
        <v/>
      </c>
    </row>
    <row r="136">
      <c r="AB136">
        <f>IF(AND(A136="",G136=""),"",IF(ISNUMBER(SEARCH("##END",AM136)),"（終わりの印）",IF(ISNUMBER(SEARCH("##続き",AM136)),"（続きありの印）",IF(AM136="調査ID","（見出し行）",IF(AND(AM136&lt;&gt;"R1",AM136&lt;&gt;"R2"),"×表以外の行（集計されない）",IF(COUNTIF($AN$5:AN136,AN136)&gt;1,"△重複（集計されない）",IF(G136="","△タスク名なし",IF(ISNA(MATCH(AQ136,'M1_類型マスタ'!$A$5:$A$19,0)),"△類型が不正",IF(OR(AP136="",N(AP136)&lt;1,N(AP136)&gt;6),"△業務区分が不正",IF(OR(AS136="",AT136=""),"△回数・分が読めない",IF(SUMPRODUCT(--ISNUMBER(--T136:Z136))&lt;7,"△採点が足りない",IF(SUMPRODUCT((--T136:Z136&gt;2)+(--T136:Z136&lt;0))&gt;0,"△採点が範囲外","OK"))))))))))))</f>
        <v/>
      </c>
      <c r="AC136">
        <f>IF(AB136&lt;&gt;"OK","",TRIM(IF(AND(AU136&lt;&gt;"",N(AU136)&lt;=1),"根拠1件 ","")&amp;IF(AV136&lt;&gt;"","同名あり ","")&amp;IF(AND(NOT(ISNUMBER(N136)),N136&lt;&gt;""),"回数を換算 ","")&amp;IF(J136="","詳細なし ","")&amp;IF(AND(N(AP136)=1,BB136=""),"顧客名なし ","")))</f>
        <v/>
      </c>
      <c r="AD136" s="31" t="n"/>
      <c r="AE136" s="32" t="n"/>
      <c r="AF136" s="32" t="n"/>
      <c r="AG136" s="31" t="n"/>
      <c r="AH136">
        <f>IF(AB136&lt;&gt;"OK","",IF(AG136&lt;&gt;"",AG136,AJ136))</f>
        <v/>
      </c>
      <c r="AI136" s="33">
        <f>IF(AB136&lt;&gt;"OK","",IFERROR(IF(AE136&lt;&gt;"",AE136,AS136)*IF(AF136&lt;&gt;"",AF136,AT136)/60,""))</f>
        <v/>
      </c>
      <c r="AJ136">
        <f>IF(AB136&lt;&gt;"OK","",IF(OR(VALUE(T136)=2,VALUE(U136)=2,VALUE(V136)=2),"社内残置",IF(AND(VALUE(T136)=0,VALUE(W136)=0,VALUE(Y136)=0),"自動化候補",IF(AND(VALUE(U136)=0,VALUE(W136)&lt;=1,VALUE(X136)&lt;=1,VALUE(Y136)&lt;=1,VALUE(Z136)&lt;=1),"オフショア候補",IF(AND(VALUE(Y136)&lt;=1,VALUE(Z136)&lt;=1),"ニアショア候補","社内で手順化→再評価")))))</f>
        <v/>
      </c>
      <c r="AK136">
        <f>IF(AB136&lt;&gt;"OK","",14-SUMPRODUCT(--T136:Z136))</f>
        <v/>
      </c>
      <c r="AL136" s="33">
        <f>IF(AB136&lt;&gt;"OK","",AS136*AT136/60)</f>
        <v/>
      </c>
      <c r="AM136" s="34">
        <f>IF(A136="","",UPPER(TRIM(ASC(A136&amp;""))))</f>
        <v/>
      </c>
      <c r="AN136" s="34">
        <f>IF(AM136="","",AM136&amp;"-"&amp;B136)</f>
        <v/>
      </c>
      <c r="AO136" s="34">
        <f>IF(C136="","",IFERROR(VALUE(ASC(SUBSTITUTE(C136&amp;"","観点",""))),""))</f>
        <v/>
      </c>
      <c r="AP136" s="34">
        <f>IF(D136="","",IFERROR(VALUE(LEFT(TRIM(ASC(D136&amp;"")),1)),IFERROR(MATCH(TRIM(D136&amp;""),'M2_区分マスタ'!$I$5:$I$10,0),"")))</f>
        <v/>
      </c>
      <c r="AQ136" s="34">
        <f>IF(H136="","",UPPER(LEFT(TRIM(ASC(H136&amp;"")),3)))</f>
        <v/>
      </c>
      <c r="AR136" s="34">
        <f>IF(N136="","",IFERROR(VALUE(SUBSTITUTE(SUBSTITUTE(SUBSTITUTE(SUBSTITUTE(SUBSTITUTE(SUBSTITUTE(SUBSTITUTE(SUBSTITUTE(SUBSTITUTE(SUBSTITUTE(SUBSTITUTE(SUBSTITUTE(ASC(N136&amp;""),"約",""),"程度",""),"ほど",""),"回",""),"毎",""),"週",""),"月",""),"年",""),"日",""),"に",""),"/","")," ","")),""))</f>
        <v/>
      </c>
      <c r="AS136" s="34">
        <f>IF(N136="","",IF(ISNUMBER(N136),N136,IFERROR(VALUE(ASC(N136&amp;"")),IF(AR136&lt;&gt;"",AR136*IF(ISNUMBER(SEARCH("週",N136)),4.3,IF(ISNUMBER(SEARCH("年",N136)),1/12,IF(ISNUMBER(SEARCH("日",N136)),20,1))),IF(ISNUMBER(SEARCH("日",N136)),20,IF(ISNUMBER(SEARCH("週",N136)),4.3,IF(ISNUMBER(SEARCH("月",N136)),1,"")))))))</f>
        <v/>
      </c>
      <c r="AT136" s="34">
        <f>IF(O136="","",IF(ISNUMBER(O136),O136,IFERROR(VALUE(ASC(O136&amp;"")),IF(ISNUMBER(SEARCH("時間",O136)),IFERROR(VALUE(SUBSTITUTE(SUBSTITUTE(SUBSTITUTE(SUBSTITUTE(SUBSTITUTE(ASC(O136&amp;""),"約",""),"程度",""),"ほど",""),"時間","")," ",""))*60,""),IFERROR(VALUE(SUBSTITUTE(SUBSTITUTE(SUBSTITUTE(SUBSTITUTE(SUBSTITUTE(ASC(O136&amp;""),"約",""),"程度",""),"ほど",""),"分","")," ","")),"")))))</f>
        <v/>
      </c>
      <c r="AU136" s="34">
        <f>IF(P136="","",IF(ISNUMBER(P136),P136,IFERROR(VALUE(SUBSTITUTE(SUBSTITUTE(SUBSTITUTE(ASC(P136&amp;""),"約",""),"件","")," ","")),"")))</f>
        <v/>
      </c>
      <c r="AV136" s="34">
        <f>IF(AB136&lt;&gt;"OK","",IF(COUNTIFS($G$5:$G$404,G136&amp;"",$F$5:$F$404,F136&amp;"",$BE$5:$BE$404,BE136&amp;"",$AB$5:$AB$404,"OK")&gt;1,"同名あり",""))</f>
        <v/>
      </c>
      <c r="AW136" s="35">
        <f>IF(Q136="","",IF(ISNUMBER(Q136),Q136,IFERROR(DATEVALUE(SUBSTITUTE(SUBSTITUTE(ASC(Q136&amp;""),"-","/"),".","/")&amp;"/01"),"")))</f>
        <v/>
      </c>
      <c r="AX136" s="35">
        <f>IF(R136="","",IF(ISNUMBER(R136),R136,IFERROR(DATEVALUE(SUBSTITUTE(SUBSTITUTE(ASC(R136&amp;""),"-","/"),".","/")&amp;"/01"),"")))</f>
        <v/>
      </c>
      <c r="AY136" s="34">
        <f>IF(OR(AB136&lt;&gt;"OK",AW136=""),"",IF(AW136&gt;='01_設定'!$C$26,1,0))</f>
        <v/>
      </c>
      <c r="AZ136" s="34">
        <f>IF(AND(AB136="OK",AD136&lt;&gt;"除外"),COUNTIFS($AB$5:AB136,"OK",$AD$5:AD136,"&lt;&gt;除外"),"")</f>
        <v/>
      </c>
      <c r="BA136" s="34">
        <f>IF(OR(AZ136="",AI136=""),"",AI136+ROW()/1000000000)</f>
        <v/>
      </c>
      <c r="BB136" s="34">
        <f>IF(E136="","",IF(OR(TRIM(E136&amp;"")="-",TRIM(E136&amp;"")="－",TRIM(E136&amp;"")="ー"),"",TRIM(E136&amp;"")))</f>
        <v/>
      </c>
      <c r="BC136" s="34">
        <f>IF(AND(AB136="OK",BB136&lt;&gt;""),IF(COUNTIFS($BB$5:BB136,BB136,$AB$5:AB136,"OK")=1,1,""),"")</f>
        <v/>
      </c>
      <c r="BD136" s="34">
        <f>IF(BC136=1,COUNTIF($BC$5:BC136,1),"")</f>
        <v/>
      </c>
      <c r="BE136" s="34">
        <f>IF(BB136="","",IFERROR(INDEX('06_顧客別集計'!$G$5:$G$104,MATCH(BB136,'06_顧客別集計'!$C$5:$C$104,0)),BB136))</f>
        <v/>
      </c>
      <c r="BF136" s="34">
        <f>IF(AND(AZ136&lt;&gt;"",BE136&lt;&gt;""),IF(COUNTIFS($BE$5:BE136,BE136,$AZ$5:AZ136,"&gt;0")=1,1,""),"")</f>
        <v/>
      </c>
      <c r="BG136" s="34">
        <f>IF(BF136=1,COUNTIF($BF$5:BF136,1),"")</f>
        <v/>
      </c>
    </row>
    <row r="137">
      <c r="AB137">
        <f>IF(AND(A137="",G137=""),"",IF(ISNUMBER(SEARCH("##END",AM137)),"（終わりの印）",IF(ISNUMBER(SEARCH("##続き",AM137)),"（続きありの印）",IF(AM137="調査ID","（見出し行）",IF(AND(AM137&lt;&gt;"R1",AM137&lt;&gt;"R2"),"×表以外の行（集計されない）",IF(COUNTIF($AN$5:AN137,AN137)&gt;1,"△重複（集計されない）",IF(G137="","△タスク名なし",IF(ISNA(MATCH(AQ137,'M1_類型マスタ'!$A$5:$A$19,0)),"△類型が不正",IF(OR(AP137="",N(AP137)&lt;1,N(AP137)&gt;6),"△業務区分が不正",IF(OR(AS137="",AT137=""),"△回数・分が読めない",IF(SUMPRODUCT(--ISNUMBER(--T137:Z137))&lt;7,"△採点が足りない",IF(SUMPRODUCT((--T137:Z137&gt;2)+(--T137:Z137&lt;0))&gt;0,"△採点が範囲外","OK"))))))))))))</f>
        <v/>
      </c>
      <c r="AC137">
        <f>IF(AB137&lt;&gt;"OK","",TRIM(IF(AND(AU137&lt;&gt;"",N(AU137)&lt;=1),"根拠1件 ","")&amp;IF(AV137&lt;&gt;"","同名あり ","")&amp;IF(AND(NOT(ISNUMBER(N137)),N137&lt;&gt;""),"回数を換算 ","")&amp;IF(J137="","詳細なし ","")&amp;IF(AND(N(AP137)=1,BB137=""),"顧客名なし ","")))</f>
        <v/>
      </c>
      <c r="AD137" s="31" t="n"/>
      <c r="AE137" s="32" t="n"/>
      <c r="AF137" s="32" t="n"/>
      <c r="AG137" s="31" t="n"/>
      <c r="AH137">
        <f>IF(AB137&lt;&gt;"OK","",IF(AG137&lt;&gt;"",AG137,AJ137))</f>
        <v/>
      </c>
      <c r="AI137" s="33">
        <f>IF(AB137&lt;&gt;"OK","",IFERROR(IF(AE137&lt;&gt;"",AE137,AS137)*IF(AF137&lt;&gt;"",AF137,AT137)/60,""))</f>
        <v/>
      </c>
      <c r="AJ137">
        <f>IF(AB137&lt;&gt;"OK","",IF(OR(VALUE(T137)=2,VALUE(U137)=2,VALUE(V137)=2),"社内残置",IF(AND(VALUE(T137)=0,VALUE(W137)=0,VALUE(Y137)=0),"自動化候補",IF(AND(VALUE(U137)=0,VALUE(W137)&lt;=1,VALUE(X137)&lt;=1,VALUE(Y137)&lt;=1,VALUE(Z137)&lt;=1),"オフショア候補",IF(AND(VALUE(Y137)&lt;=1,VALUE(Z137)&lt;=1),"ニアショア候補","社内で手順化→再評価")))))</f>
        <v/>
      </c>
      <c r="AK137">
        <f>IF(AB137&lt;&gt;"OK","",14-SUMPRODUCT(--T137:Z137))</f>
        <v/>
      </c>
      <c r="AL137" s="33">
        <f>IF(AB137&lt;&gt;"OK","",AS137*AT137/60)</f>
        <v/>
      </c>
      <c r="AM137" s="34">
        <f>IF(A137="","",UPPER(TRIM(ASC(A137&amp;""))))</f>
        <v/>
      </c>
      <c r="AN137" s="34">
        <f>IF(AM137="","",AM137&amp;"-"&amp;B137)</f>
        <v/>
      </c>
      <c r="AO137" s="34">
        <f>IF(C137="","",IFERROR(VALUE(ASC(SUBSTITUTE(C137&amp;"","観点",""))),""))</f>
        <v/>
      </c>
      <c r="AP137" s="34">
        <f>IF(D137="","",IFERROR(VALUE(LEFT(TRIM(ASC(D137&amp;"")),1)),IFERROR(MATCH(TRIM(D137&amp;""),'M2_区分マスタ'!$I$5:$I$10,0),"")))</f>
        <v/>
      </c>
      <c r="AQ137" s="34">
        <f>IF(H137="","",UPPER(LEFT(TRIM(ASC(H137&amp;"")),3)))</f>
        <v/>
      </c>
      <c r="AR137" s="34">
        <f>IF(N137="","",IFERROR(VALUE(SUBSTITUTE(SUBSTITUTE(SUBSTITUTE(SUBSTITUTE(SUBSTITUTE(SUBSTITUTE(SUBSTITUTE(SUBSTITUTE(SUBSTITUTE(SUBSTITUTE(SUBSTITUTE(SUBSTITUTE(ASC(N137&amp;""),"約",""),"程度",""),"ほど",""),"回",""),"毎",""),"週",""),"月",""),"年",""),"日",""),"に",""),"/","")," ","")),""))</f>
        <v/>
      </c>
      <c r="AS137" s="34">
        <f>IF(N137="","",IF(ISNUMBER(N137),N137,IFERROR(VALUE(ASC(N137&amp;"")),IF(AR137&lt;&gt;"",AR137*IF(ISNUMBER(SEARCH("週",N137)),4.3,IF(ISNUMBER(SEARCH("年",N137)),1/12,IF(ISNUMBER(SEARCH("日",N137)),20,1))),IF(ISNUMBER(SEARCH("日",N137)),20,IF(ISNUMBER(SEARCH("週",N137)),4.3,IF(ISNUMBER(SEARCH("月",N137)),1,"")))))))</f>
        <v/>
      </c>
      <c r="AT137" s="34">
        <f>IF(O137="","",IF(ISNUMBER(O137),O137,IFERROR(VALUE(ASC(O137&amp;"")),IF(ISNUMBER(SEARCH("時間",O137)),IFERROR(VALUE(SUBSTITUTE(SUBSTITUTE(SUBSTITUTE(SUBSTITUTE(SUBSTITUTE(ASC(O137&amp;""),"約",""),"程度",""),"ほど",""),"時間","")," ",""))*60,""),IFERROR(VALUE(SUBSTITUTE(SUBSTITUTE(SUBSTITUTE(SUBSTITUTE(SUBSTITUTE(ASC(O137&amp;""),"約",""),"程度",""),"ほど",""),"分","")," ","")),"")))))</f>
        <v/>
      </c>
      <c r="AU137" s="34">
        <f>IF(P137="","",IF(ISNUMBER(P137),P137,IFERROR(VALUE(SUBSTITUTE(SUBSTITUTE(SUBSTITUTE(ASC(P137&amp;""),"約",""),"件","")," ","")),"")))</f>
        <v/>
      </c>
      <c r="AV137" s="34">
        <f>IF(AB137&lt;&gt;"OK","",IF(COUNTIFS($G$5:$G$404,G137&amp;"",$F$5:$F$404,F137&amp;"",$BE$5:$BE$404,BE137&amp;"",$AB$5:$AB$404,"OK")&gt;1,"同名あり",""))</f>
        <v/>
      </c>
      <c r="AW137" s="35">
        <f>IF(Q137="","",IF(ISNUMBER(Q137),Q137,IFERROR(DATEVALUE(SUBSTITUTE(SUBSTITUTE(ASC(Q137&amp;""),"-","/"),".","/")&amp;"/01"),"")))</f>
        <v/>
      </c>
      <c r="AX137" s="35">
        <f>IF(R137="","",IF(ISNUMBER(R137),R137,IFERROR(DATEVALUE(SUBSTITUTE(SUBSTITUTE(ASC(R137&amp;""),"-","/"),".","/")&amp;"/01"),"")))</f>
        <v/>
      </c>
      <c r="AY137" s="34">
        <f>IF(OR(AB137&lt;&gt;"OK",AW137=""),"",IF(AW137&gt;='01_設定'!$C$26,1,0))</f>
        <v/>
      </c>
      <c r="AZ137" s="34">
        <f>IF(AND(AB137="OK",AD137&lt;&gt;"除外"),COUNTIFS($AB$5:AB137,"OK",$AD$5:AD137,"&lt;&gt;除外"),"")</f>
        <v/>
      </c>
      <c r="BA137" s="34">
        <f>IF(OR(AZ137="",AI137=""),"",AI137+ROW()/1000000000)</f>
        <v/>
      </c>
      <c r="BB137" s="34">
        <f>IF(E137="","",IF(OR(TRIM(E137&amp;"")="-",TRIM(E137&amp;"")="－",TRIM(E137&amp;"")="ー"),"",TRIM(E137&amp;"")))</f>
        <v/>
      </c>
      <c r="BC137" s="34">
        <f>IF(AND(AB137="OK",BB137&lt;&gt;""),IF(COUNTIFS($BB$5:BB137,BB137,$AB$5:AB137,"OK")=1,1,""),"")</f>
        <v/>
      </c>
      <c r="BD137" s="34">
        <f>IF(BC137=1,COUNTIF($BC$5:BC137,1),"")</f>
        <v/>
      </c>
      <c r="BE137" s="34">
        <f>IF(BB137="","",IFERROR(INDEX('06_顧客別集計'!$G$5:$G$104,MATCH(BB137,'06_顧客別集計'!$C$5:$C$104,0)),BB137))</f>
        <v/>
      </c>
      <c r="BF137" s="34">
        <f>IF(AND(AZ137&lt;&gt;"",BE137&lt;&gt;""),IF(COUNTIFS($BE$5:BE137,BE137,$AZ$5:AZ137,"&gt;0")=1,1,""),"")</f>
        <v/>
      </c>
      <c r="BG137" s="34">
        <f>IF(BF137=1,COUNTIF($BF$5:BF137,1),"")</f>
        <v/>
      </c>
    </row>
    <row r="138">
      <c r="AB138">
        <f>IF(AND(A138="",G138=""),"",IF(ISNUMBER(SEARCH("##END",AM138)),"（終わりの印）",IF(ISNUMBER(SEARCH("##続き",AM138)),"（続きありの印）",IF(AM138="調査ID","（見出し行）",IF(AND(AM138&lt;&gt;"R1",AM138&lt;&gt;"R2"),"×表以外の行（集計されない）",IF(COUNTIF($AN$5:AN138,AN138)&gt;1,"△重複（集計されない）",IF(G138="","△タスク名なし",IF(ISNA(MATCH(AQ138,'M1_類型マスタ'!$A$5:$A$19,0)),"△類型が不正",IF(OR(AP138="",N(AP138)&lt;1,N(AP138)&gt;6),"△業務区分が不正",IF(OR(AS138="",AT138=""),"△回数・分が読めない",IF(SUMPRODUCT(--ISNUMBER(--T138:Z138))&lt;7,"△採点が足りない",IF(SUMPRODUCT((--T138:Z138&gt;2)+(--T138:Z138&lt;0))&gt;0,"△採点が範囲外","OK"))))))))))))</f>
        <v/>
      </c>
      <c r="AC138">
        <f>IF(AB138&lt;&gt;"OK","",TRIM(IF(AND(AU138&lt;&gt;"",N(AU138)&lt;=1),"根拠1件 ","")&amp;IF(AV138&lt;&gt;"","同名あり ","")&amp;IF(AND(NOT(ISNUMBER(N138)),N138&lt;&gt;""),"回数を換算 ","")&amp;IF(J138="","詳細なし ","")&amp;IF(AND(N(AP138)=1,BB138=""),"顧客名なし ","")))</f>
        <v/>
      </c>
      <c r="AD138" s="31" t="n"/>
      <c r="AE138" s="32" t="n"/>
      <c r="AF138" s="32" t="n"/>
      <c r="AG138" s="31" t="n"/>
      <c r="AH138">
        <f>IF(AB138&lt;&gt;"OK","",IF(AG138&lt;&gt;"",AG138,AJ138))</f>
        <v/>
      </c>
      <c r="AI138" s="33">
        <f>IF(AB138&lt;&gt;"OK","",IFERROR(IF(AE138&lt;&gt;"",AE138,AS138)*IF(AF138&lt;&gt;"",AF138,AT138)/60,""))</f>
        <v/>
      </c>
      <c r="AJ138">
        <f>IF(AB138&lt;&gt;"OK","",IF(OR(VALUE(T138)=2,VALUE(U138)=2,VALUE(V138)=2),"社内残置",IF(AND(VALUE(T138)=0,VALUE(W138)=0,VALUE(Y138)=0),"自動化候補",IF(AND(VALUE(U138)=0,VALUE(W138)&lt;=1,VALUE(X138)&lt;=1,VALUE(Y138)&lt;=1,VALUE(Z138)&lt;=1),"オフショア候補",IF(AND(VALUE(Y138)&lt;=1,VALUE(Z138)&lt;=1),"ニアショア候補","社内で手順化→再評価")))))</f>
        <v/>
      </c>
      <c r="AK138">
        <f>IF(AB138&lt;&gt;"OK","",14-SUMPRODUCT(--T138:Z138))</f>
        <v/>
      </c>
      <c r="AL138" s="33">
        <f>IF(AB138&lt;&gt;"OK","",AS138*AT138/60)</f>
        <v/>
      </c>
      <c r="AM138" s="34">
        <f>IF(A138="","",UPPER(TRIM(ASC(A138&amp;""))))</f>
        <v/>
      </c>
      <c r="AN138" s="34">
        <f>IF(AM138="","",AM138&amp;"-"&amp;B138)</f>
        <v/>
      </c>
      <c r="AO138" s="34">
        <f>IF(C138="","",IFERROR(VALUE(ASC(SUBSTITUTE(C138&amp;"","観点",""))),""))</f>
        <v/>
      </c>
      <c r="AP138" s="34">
        <f>IF(D138="","",IFERROR(VALUE(LEFT(TRIM(ASC(D138&amp;"")),1)),IFERROR(MATCH(TRIM(D138&amp;""),'M2_区分マスタ'!$I$5:$I$10,0),"")))</f>
        <v/>
      </c>
      <c r="AQ138" s="34">
        <f>IF(H138="","",UPPER(LEFT(TRIM(ASC(H138&amp;"")),3)))</f>
        <v/>
      </c>
      <c r="AR138" s="34">
        <f>IF(N138="","",IFERROR(VALUE(SUBSTITUTE(SUBSTITUTE(SUBSTITUTE(SUBSTITUTE(SUBSTITUTE(SUBSTITUTE(SUBSTITUTE(SUBSTITUTE(SUBSTITUTE(SUBSTITUTE(SUBSTITUTE(SUBSTITUTE(ASC(N138&amp;""),"約",""),"程度",""),"ほど",""),"回",""),"毎",""),"週",""),"月",""),"年",""),"日",""),"に",""),"/","")," ","")),""))</f>
        <v/>
      </c>
      <c r="AS138" s="34">
        <f>IF(N138="","",IF(ISNUMBER(N138),N138,IFERROR(VALUE(ASC(N138&amp;"")),IF(AR138&lt;&gt;"",AR138*IF(ISNUMBER(SEARCH("週",N138)),4.3,IF(ISNUMBER(SEARCH("年",N138)),1/12,IF(ISNUMBER(SEARCH("日",N138)),20,1))),IF(ISNUMBER(SEARCH("日",N138)),20,IF(ISNUMBER(SEARCH("週",N138)),4.3,IF(ISNUMBER(SEARCH("月",N138)),1,"")))))))</f>
        <v/>
      </c>
      <c r="AT138" s="34">
        <f>IF(O138="","",IF(ISNUMBER(O138),O138,IFERROR(VALUE(ASC(O138&amp;"")),IF(ISNUMBER(SEARCH("時間",O138)),IFERROR(VALUE(SUBSTITUTE(SUBSTITUTE(SUBSTITUTE(SUBSTITUTE(SUBSTITUTE(ASC(O138&amp;""),"約",""),"程度",""),"ほど",""),"時間","")," ",""))*60,""),IFERROR(VALUE(SUBSTITUTE(SUBSTITUTE(SUBSTITUTE(SUBSTITUTE(SUBSTITUTE(ASC(O138&amp;""),"約",""),"程度",""),"ほど",""),"分","")," ","")),"")))))</f>
        <v/>
      </c>
      <c r="AU138" s="34">
        <f>IF(P138="","",IF(ISNUMBER(P138),P138,IFERROR(VALUE(SUBSTITUTE(SUBSTITUTE(SUBSTITUTE(ASC(P138&amp;""),"約",""),"件","")," ","")),"")))</f>
        <v/>
      </c>
      <c r="AV138" s="34">
        <f>IF(AB138&lt;&gt;"OK","",IF(COUNTIFS($G$5:$G$404,G138&amp;"",$F$5:$F$404,F138&amp;"",$BE$5:$BE$404,BE138&amp;"",$AB$5:$AB$404,"OK")&gt;1,"同名あり",""))</f>
        <v/>
      </c>
      <c r="AW138" s="35">
        <f>IF(Q138="","",IF(ISNUMBER(Q138),Q138,IFERROR(DATEVALUE(SUBSTITUTE(SUBSTITUTE(ASC(Q138&amp;""),"-","/"),".","/")&amp;"/01"),"")))</f>
        <v/>
      </c>
      <c r="AX138" s="35">
        <f>IF(R138="","",IF(ISNUMBER(R138),R138,IFERROR(DATEVALUE(SUBSTITUTE(SUBSTITUTE(ASC(R138&amp;""),"-","/"),".","/")&amp;"/01"),"")))</f>
        <v/>
      </c>
      <c r="AY138" s="34">
        <f>IF(OR(AB138&lt;&gt;"OK",AW138=""),"",IF(AW138&gt;='01_設定'!$C$26,1,0))</f>
        <v/>
      </c>
      <c r="AZ138" s="34">
        <f>IF(AND(AB138="OK",AD138&lt;&gt;"除外"),COUNTIFS($AB$5:AB138,"OK",$AD$5:AD138,"&lt;&gt;除外"),"")</f>
        <v/>
      </c>
      <c r="BA138" s="34">
        <f>IF(OR(AZ138="",AI138=""),"",AI138+ROW()/1000000000)</f>
        <v/>
      </c>
      <c r="BB138" s="34">
        <f>IF(E138="","",IF(OR(TRIM(E138&amp;"")="-",TRIM(E138&amp;"")="－",TRIM(E138&amp;"")="ー"),"",TRIM(E138&amp;"")))</f>
        <v/>
      </c>
      <c r="BC138" s="34">
        <f>IF(AND(AB138="OK",BB138&lt;&gt;""),IF(COUNTIFS($BB$5:BB138,BB138,$AB$5:AB138,"OK")=1,1,""),"")</f>
        <v/>
      </c>
      <c r="BD138" s="34">
        <f>IF(BC138=1,COUNTIF($BC$5:BC138,1),"")</f>
        <v/>
      </c>
      <c r="BE138" s="34">
        <f>IF(BB138="","",IFERROR(INDEX('06_顧客別集計'!$G$5:$G$104,MATCH(BB138,'06_顧客別集計'!$C$5:$C$104,0)),BB138))</f>
        <v/>
      </c>
      <c r="BF138" s="34">
        <f>IF(AND(AZ138&lt;&gt;"",BE138&lt;&gt;""),IF(COUNTIFS($BE$5:BE138,BE138,$AZ$5:AZ138,"&gt;0")=1,1,""),"")</f>
        <v/>
      </c>
      <c r="BG138" s="34">
        <f>IF(BF138=1,COUNTIF($BF$5:BF138,1),"")</f>
        <v/>
      </c>
    </row>
    <row r="139">
      <c r="AB139">
        <f>IF(AND(A139="",G139=""),"",IF(ISNUMBER(SEARCH("##END",AM139)),"（終わりの印）",IF(ISNUMBER(SEARCH("##続き",AM139)),"（続きありの印）",IF(AM139="調査ID","（見出し行）",IF(AND(AM139&lt;&gt;"R1",AM139&lt;&gt;"R2"),"×表以外の行（集計されない）",IF(COUNTIF($AN$5:AN139,AN139)&gt;1,"△重複（集計されない）",IF(G139="","△タスク名なし",IF(ISNA(MATCH(AQ139,'M1_類型マスタ'!$A$5:$A$19,0)),"△類型が不正",IF(OR(AP139="",N(AP139)&lt;1,N(AP139)&gt;6),"△業務区分が不正",IF(OR(AS139="",AT139=""),"△回数・分が読めない",IF(SUMPRODUCT(--ISNUMBER(--T139:Z139))&lt;7,"△採点が足りない",IF(SUMPRODUCT((--T139:Z139&gt;2)+(--T139:Z139&lt;0))&gt;0,"△採点が範囲外","OK"))))))))))))</f>
        <v/>
      </c>
      <c r="AC139">
        <f>IF(AB139&lt;&gt;"OK","",TRIM(IF(AND(AU139&lt;&gt;"",N(AU139)&lt;=1),"根拠1件 ","")&amp;IF(AV139&lt;&gt;"","同名あり ","")&amp;IF(AND(NOT(ISNUMBER(N139)),N139&lt;&gt;""),"回数を換算 ","")&amp;IF(J139="","詳細なし ","")&amp;IF(AND(N(AP139)=1,BB139=""),"顧客名なし ","")))</f>
        <v/>
      </c>
      <c r="AD139" s="31" t="n"/>
      <c r="AE139" s="32" t="n"/>
      <c r="AF139" s="32" t="n"/>
      <c r="AG139" s="31" t="n"/>
      <c r="AH139">
        <f>IF(AB139&lt;&gt;"OK","",IF(AG139&lt;&gt;"",AG139,AJ139))</f>
        <v/>
      </c>
      <c r="AI139" s="33">
        <f>IF(AB139&lt;&gt;"OK","",IFERROR(IF(AE139&lt;&gt;"",AE139,AS139)*IF(AF139&lt;&gt;"",AF139,AT139)/60,""))</f>
        <v/>
      </c>
      <c r="AJ139">
        <f>IF(AB139&lt;&gt;"OK","",IF(OR(VALUE(T139)=2,VALUE(U139)=2,VALUE(V139)=2),"社内残置",IF(AND(VALUE(T139)=0,VALUE(W139)=0,VALUE(Y139)=0),"自動化候補",IF(AND(VALUE(U139)=0,VALUE(W139)&lt;=1,VALUE(X139)&lt;=1,VALUE(Y139)&lt;=1,VALUE(Z139)&lt;=1),"オフショア候補",IF(AND(VALUE(Y139)&lt;=1,VALUE(Z139)&lt;=1),"ニアショア候補","社内で手順化→再評価")))))</f>
        <v/>
      </c>
      <c r="AK139">
        <f>IF(AB139&lt;&gt;"OK","",14-SUMPRODUCT(--T139:Z139))</f>
        <v/>
      </c>
      <c r="AL139" s="33">
        <f>IF(AB139&lt;&gt;"OK","",AS139*AT139/60)</f>
        <v/>
      </c>
      <c r="AM139" s="34">
        <f>IF(A139="","",UPPER(TRIM(ASC(A139&amp;""))))</f>
        <v/>
      </c>
      <c r="AN139" s="34">
        <f>IF(AM139="","",AM139&amp;"-"&amp;B139)</f>
        <v/>
      </c>
      <c r="AO139" s="34">
        <f>IF(C139="","",IFERROR(VALUE(ASC(SUBSTITUTE(C139&amp;"","観点",""))),""))</f>
        <v/>
      </c>
      <c r="AP139" s="34">
        <f>IF(D139="","",IFERROR(VALUE(LEFT(TRIM(ASC(D139&amp;"")),1)),IFERROR(MATCH(TRIM(D139&amp;""),'M2_区分マスタ'!$I$5:$I$10,0),"")))</f>
        <v/>
      </c>
      <c r="AQ139" s="34">
        <f>IF(H139="","",UPPER(LEFT(TRIM(ASC(H139&amp;"")),3)))</f>
        <v/>
      </c>
      <c r="AR139" s="34">
        <f>IF(N139="","",IFERROR(VALUE(SUBSTITUTE(SUBSTITUTE(SUBSTITUTE(SUBSTITUTE(SUBSTITUTE(SUBSTITUTE(SUBSTITUTE(SUBSTITUTE(SUBSTITUTE(SUBSTITUTE(SUBSTITUTE(SUBSTITUTE(ASC(N139&amp;""),"約",""),"程度",""),"ほど",""),"回",""),"毎",""),"週",""),"月",""),"年",""),"日",""),"に",""),"/","")," ","")),""))</f>
        <v/>
      </c>
      <c r="AS139" s="34">
        <f>IF(N139="","",IF(ISNUMBER(N139),N139,IFERROR(VALUE(ASC(N139&amp;"")),IF(AR139&lt;&gt;"",AR139*IF(ISNUMBER(SEARCH("週",N139)),4.3,IF(ISNUMBER(SEARCH("年",N139)),1/12,IF(ISNUMBER(SEARCH("日",N139)),20,1))),IF(ISNUMBER(SEARCH("日",N139)),20,IF(ISNUMBER(SEARCH("週",N139)),4.3,IF(ISNUMBER(SEARCH("月",N139)),1,"")))))))</f>
        <v/>
      </c>
      <c r="AT139" s="34">
        <f>IF(O139="","",IF(ISNUMBER(O139),O139,IFERROR(VALUE(ASC(O139&amp;"")),IF(ISNUMBER(SEARCH("時間",O139)),IFERROR(VALUE(SUBSTITUTE(SUBSTITUTE(SUBSTITUTE(SUBSTITUTE(SUBSTITUTE(ASC(O139&amp;""),"約",""),"程度",""),"ほど",""),"時間","")," ",""))*60,""),IFERROR(VALUE(SUBSTITUTE(SUBSTITUTE(SUBSTITUTE(SUBSTITUTE(SUBSTITUTE(ASC(O139&amp;""),"約",""),"程度",""),"ほど",""),"分","")," ","")),"")))))</f>
        <v/>
      </c>
      <c r="AU139" s="34">
        <f>IF(P139="","",IF(ISNUMBER(P139),P139,IFERROR(VALUE(SUBSTITUTE(SUBSTITUTE(SUBSTITUTE(ASC(P139&amp;""),"約",""),"件","")," ","")),"")))</f>
        <v/>
      </c>
      <c r="AV139" s="34">
        <f>IF(AB139&lt;&gt;"OK","",IF(COUNTIFS($G$5:$G$404,G139&amp;"",$F$5:$F$404,F139&amp;"",$BE$5:$BE$404,BE139&amp;"",$AB$5:$AB$404,"OK")&gt;1,"同名あり",""))</f>
        <v/>
      </c>
      <c r="AW139" s="35">
        <f>IF(Q139="","",IF(ISNUMBER(Q139),Q139,IFERROR(DATEVALUE(SUBSTITUTE(SUBSTITUTE(ASC(Q139&amp;""),"-","/"),".","/")&amp;"/01"),"")))</f>
        <v/>
      </c>
      <c r="AX139" s="35">
        <f>IF(R139="","",IF(ISNUMBER(R139),R139,IFERROR(DATEVALUE(SUBSTITUTE(SUBSTITUTE(ASC(R139&amp;""),"-","/"),".","/")&amp;"/01"),"")))</f>
        <v/>
      </c>
      <c r="AY139" s="34">
        <f>IF(OR(AB139&lt;&gt;"OK",AW139=""),"",IF(AW139&gt;='01_設定'!$C$26,1,0))</f>
        <v/>
      </c>
      <c r="AZ139" s="34">
        <f>IF(AND(AB139="OK",AD139&lt;&gt;"除外"),COUNTIFS($AB$5:AB139,"OK",$AD$5:AD139,"&lt;&gt;除外"),"")</f>
        <v/>
      </c>
      <c r="BA139" s="34">
        <f>IF(OR(AZ139="",AI139=""),"",AI139+ROW()/1000000000)</f>
        <v/>
      </c>
      <c r="BB139" s="34">
        <f>IF(E139="","",IF(OR(TRIM(E139&amp;"")="-",TRIM(E139&amp;"")="－",TRIM(E139&amp;"")="ー"),"",TRIM(E139&amp;"")))</f>
        <v/>
      </c>
      <c r="BC139" s="34">
        <f>IF(AND(AB139="OK",BB139&lt;&gt;""),IF(COUNTIFS($BB$5:BB139,BB139,$AB$5:AB139,"OK")=1,1,""),"")</f>
        <v/>
      </c>
      <c r="BD139" s="34">
        <f>IF(BC139=1,COUNTIF($BC$5:BC139,1),"")</f>
        <v/>
      </c>
      <c r="BE139" s="34">
        <f>IF(BB139="","",IFERROR(INDEX('06_顧客別集計'!$G$5:$G$104,MATCH(BB139,'06_顧客別集計'!$C$5:$C$104,0)),BB139))</f>
        <v/>
      </c>
      <c r="BF139" s="34">
        <f>IF(AND(AZ139&lt;&gt;"",BE139&lt;&gt;""),IF(COUNTIFS($BE$5:BE139,BE139,$AZ$5:AZ139,"&gt;0")=1,1,""),"")</f>
        <v/>
      </c>
      <c r="BG139" s="34">
        <f>IF(BF139=1,COUNTIF($BF$5:BF139,1),"")</f>
        <v/>
      </c>
    </row>
    <row r="140">
      <c r="AB140">
        <f>IF(AND(A140="",G140=""),"",IF(ISNUMBER(SEARCH("##END",AM140)),"（終わりの印）",IF(ISNUMBER(SEARCH("##続き",AM140)),"（続きありの印）",IF(AM140="調査ID","（見出し行）",IF(AND(AM140&lt;&gt;"R1",AM140&lt;&gt;"R2"),"×表以外の行（集計されない）",IF(COUNTIF($AN$5:AN140,AN140)&gt;1,"△重複（集計されない）",IF(G140="","△タスク名なし",IF(ISNA(MATCH(AQ140,'M1_類型マスタ'!$A$5:$A$19,0)),"△類型が不正",IF(OR(AP140="",N(AP140)&lt;1,N(AP140)&gt;6),"△業務区分が不正",IF(OR(AS140="",AT140=""),"△回数・分が読めない",IF(SUMPRODUCT(--ISNUMBER(--T140:Z140))&lt;7,"△採点が足りない",IF(SUMPRODUCT((--T140:Z140&gt;2)+(--T140:Z140&lt;0))&gt;0,"△採点が範囲外","OK"))))))))))))</f>
        <v/>
      </c>
      <c r="AC140">
        <f>IF(AB140&lt;&gt;"OK","",TRIM(IF(AND(AU140&lt;&gt;"",N(AU140)&lt;=1),"根拠1件 ","")&amp;IF(AV140&lt;&gt;"","同名あり ","")&amp;IF(AND(NOT(ISNUMBER(N140)),N140&lt;&gt;""),"回数を換算 ","")&amp;IF(J140="","詳細なし ","")&amp;IF(AND(N(AP140)=1,BB140=""),"顧客名なし ","")))</f>
        <v/>
      </c>
      <c r="AD140" s="31" t="n"/>
      <c r="AE140" s="32" t="n"/>
      <c r="AF140" s="32" t="n"/>
      <c r="AG140" s="31" t="n"/>
      <c r="AH140">
        <f>IF(AB140&lt;&gt;"OK","",IF(AG140&lt;&gt;"",AG140,AJ140))</f>
        <v/>
      </c>
      <c r="AI140" s="33">
        <f>IF(AB140&lt;&gt;"OK","",IFERROR(IF(AE140&lt;&gt;"",AE140,AS140)*IF(AF140&lt;&gt;"",AF140,AT140)/60,""))</f>
        <v/>
      </c>
      <c r="AJ140">
        <f>IF(AB140&lt;&gt;"OK","",IF(OR(VALUE(T140)=2,VALUE(U140)=2,VALUE(V140)=2),"社内残置",IF(AND(VALUE(T140)=0,VALUE(W140)=0,VALUE(Y140)=0),"自動化候補",IF(AND(VALUE(U140)=0,VALUE(W140)&lt;=1,VALUE(X140)&lt;=1,VALUE(Y140)&lt;=1,VALUE(Z140)&lt;=1),"オフショア候補",IF(AND(VALUE(Y140)&lt;=1,VALUE(Z140)&lt;=1),"ニアショア候補","社内で手順化→再評価")))))</f>
        <v/>
      </c>
      <c r="AK140">
        <f>IF(AB140&lt;&gt;"OK","",14-SUMPRODUCT(--T140:Z140))</f>
        <v/>
      </c>
      <c r="AL140" s="33">
        <f>IF(AB140&lt;&gt;"OK","",AS140*AT140/60)</f>
        <v/>
      </c>
      <c r="AM140" s="34">
        <f>IF(A140="","",UPPER(TRIM(ASC(A140&amp;""))))</f>
        <v/>
      </c>
      <c r="AN140" s="34">
        <f>IF(AM140="","",AM140&amp;"-"&amp;B140)</f>
        <v/>
      </c>
      <c r="AO140" s="34">
        <f>IF(C140="","",IFERROR(VALUE(ASC(SUBSTITUTE(C140&amp;"","観点",""))),""))</f>
        <v/>
      </c>
      <c r="AP140" s="34">
        <f>IF(D140="","",IFERROR(VALUE(LEFT(TRIM(ASC(D140&amp;"")),1)),IFERROR(MATCH(TRIM(D140&amp;""),'M2_区分マスタ'!$I$5:$I$10,0),"")))</f>
        <v/>
      </c>
      <c r="AQ140" s="34">
        <f>IF(H140="","",UPPER(LEFT(TRIM(ASC(H140&amp;"")),3)))</f>
        <v/>
      </c>
      <c r="AR140" s="34">
        <f>IF(N140="","",IFERROR(VALUE(SUBSTITUTE(SUBSTITUTE(SUBSTITUTE(SUBSTITUTE(SUBSTITUTE(SUBSTITUTE(SUBSTITUTE(SUBSTITUTE(SUBSTITUTE(SUBSTITUTE(SUBSTITUTE(SUBSTITUTE(ASC(N140&amp;""),"約",""),"程度",""),"ほど",""),"回",""),"毎",""),"週",""),"月",""),"年",""),"日",""),"に",""),"/","")," ","")),""))</f>
        <v/>
      </c>
      <c r="AS140" s="34">
        <f>IF(N140="","",IF(ISNUMBER(N140),N140,IFERROR(VALUE(ASC(N140&amp;"")),IF(AR140&lt;&gt;"",AR140*IF(ISNUMBER(SEARCH("週",N140)),4.3,IF(ISNUMBER(SEARCH("年",N140)),1/12,IF(ISNUMBER(SEARCH("日",N140)),20,1))),IF(ISNUMBER(SEARCH("日",N140)),20,IF(ISNUMBER(SEARCH("週",N140)),4.3,IF(ISNUMBER(SEARCH("月",N140)),1,"")))))))</f>
        <v/>
      </c>
      <c r="AT140" s="34">
        <f>IF(O140="","",IF(ISNUMBER(O140),O140,IFERROR(VALUE(ASC(O140&amp;"")),IF(ISNUMBER(SEARCH("時間",O140)),IFERROR(VALUE(SUBSTITUTE(SUBSTITUTE(SUBSTITUTE(SUBSTITUTE(SUBSTITUTE(ASC(O140&amp;""),"約",""),"程度",""),"ほど",""),"時間","")," ",""))*60,""),IFERROR(VALUE(SUBSTITUTE(SUBSTITUTE(SUBSTITUTE(SUBSTITUTE(SUBSTITUTE(ASC(O140&amp;""),"約",""),"程度",""),"ほど",""),"分","")," ","")),"")))))</f>
        <v/>
      </c>
      <c r="AU140" s="34">
        <f>IF(P140="","",IF(ISNUMBER(P140),P140,IFERROR(VALUE(SUBSTITUTE(SUBSTITUTE(SUBSTITUTE(ASC(P140&amp;""),"約",""),"件","")," ","")),"")))</f>
        <v/>
      </c>
      <c r="AV140" s="34">
        <f>IF(AB140&lt;&gt;"OK","",IF(COUNTIFS($G$5:$G$404,G140&amp;"",$F$5:$F$404,F140&amp;"",$BE$5:$BE$404,BE140&amp;"",$AB$5:$AB$404,"OK")&gt;1,"同名あり",""))</f>
        <v/>
      </c>
      <c r="AW140" s="35">
        <f>IF(Q140="","",IF(ISNUMBER(Q140),Q140,IFERROR(DATEVALUE(SUBSTITUTE(SUBSTITUTE(ASC(Q140&amp;""),"-","/"),".","/")&amp;"/01"),"")))</f>
        <v/>
      </c>
      <c r="AX140" s="35">
        <f>IF(R140="","",IF(ISNUMBER(R140),R140,IFERROR(DATEVALUE(SUBSTITUTE(SUBSTITUTE(ASC(R140&amp;""),"-","/"),".","/")&amp;"/01"),"")))</f>
        <v/>
      </c>
      <c r="AY140" s="34">
        <f>IF(OR(AB140&lt;&gt;"OK",AW140=""),"",IF(AW140&gt;='01_設定'!$C$26,1,0))</f>
        <v/>
      </c>
      <c r="AZ140" s="34">
        <f>IF(AND(AB140="OK",AD140&lt;&gt;"除外"),COUNTIFS($AB$5:AB140,"OK",$AD$5:AD140,"&lt;&gt;除外"),"")</f>
        <v/>
      </c>
      <c r="BA140" s="34">
        <f>IF(OR(AZ140="",AI140=""),"",AI140+ROW()/1000000000)</f>
        <v/>
      </c>
      <c r="BB140" s="34">
        <f>IF(E140="","",IF(OR(TRIM(E140&amp;"")="-",TRIM(E140&amp;"")="－",TRIM(E140&amp;"")="ー"),"",TRIM(E140&amp;"")))</f>
        <v/>
      </c>
      <c r="BC140" s="34">
        <f>IF(AND(AB140="OK",BB140&lt;&gt;""),IF(COUNTIFS($BB$5:BB140,BB140,$AB$5:AB140,"OK")=1,1,""),"")</f>
        <v/>
      </c>
      <c r="BD140" s="34">
        <f>IF(BC140=1,COUNTIF($BC$5:BC140,1),"")</f>
        <v/>
      </c>
      <c r="BE140" s="34">
        <f>IF(BB140="","",IFERROR(INDEX('06_顧客別集計'!$G$5:$G$104,MATCH(BB140,'06_顧客別集計'!$C$5:$C$104,0)),BB140))</f>
        <v/>
      </c>
      <c r="BF140" s="34">
        <f>IF(AND(AZ140&lt;&gt;"",BE140&lt;&gt;""),IF(COUNTIFS($BE$5:BE140,BE140,$AZ$5:AZ140,"&gt;0")=1,1,""),"")</f>
        <v/>
      </c>
      <c r="BG140" s="34">
        <f>IF(BF140=1,COUNTIF($BF$5:BF140,1),"")</f>
        <v/>
      </c>
    </row>
    <row r="141">
      <c r="AB141">
        <f>IF(AND(A141="",G141=""),"",IF(ISNUMBER(SEARCH("##END",AM141)),"（終わりの印）",IF(ISNUMBER(SEARCH("##続き",AM141)),"（続きありの印）",IF(AM141="調査ID","（見出し行）",IF(AND(AM141&lt;&gt;"R1",AM141&lt;&gt;"R2"),"×表以外の行（集計されない）",IF(COUNTIF($AN$5:AN141,AN141)&gt;1,"△重複（集計されない）",IF(G141="","△タスク名なし",IF(ISNA(MATCH(AQ141,'M1_類型マスタ'!$A$5:$A$19,0)),"△類型が不正",IF(OR(AP141="",N(AP141)&lt;1,N(AP141)&gt;6),"△業務区分が不正",IF(OR(AS141="",AT141=""),"△回数・分が読めない",IF(SUMPRODUCT(--ISNUMBER(--T141:Z141))&lt;7,"△採点が足りない",IF(SUMPRODUCT((--T141:Z141&gt;2)+(--T141:Z141&lt;0))&gt;0,"△採点が範囲外","OK"))))))))))))</f>
        <v/>
      </c>
      <c r="AC141">
        <f>IF(AB141&lt;&gt;"OK","",TRIM(IF(AND(AU141&lt;&gt;"",N(AU141)&lt;=1),"根拠1件 ","")&amp;IF(AV141&lt;&gt;"","同名あり ","")&amp;IF(AND(NOT(ISNUMBER(N141)),N141&lt;&gt;""),"回数を換算 ","")&amp;IF(J141="","詳細なし ","")&amp;IF(AND(N(AP141)=1,BB141=""),"顧客名なし ","")))</f>
        <v/>
      </c>
      <c r="AD141" s="31" t="n"/>
      <c r="AE141" s="32" t="n"/>
      <c r="AF141" s="32" t="n"/>
      <c r="AG141" s="31" t="n"/>
      <c r="AH141">
        <f>IF(AB141&lt;&gt;"OK","",IF(AG141&lt;&gt;"",AG141,AJ141))</f>
        <v/>
      </c>
      <c r="AI141" s="33">
        <f>IF(AB141&lt;&gt;"OK","",IFERROR(IF(AE141&lt;&gt;"",AE141,AS141)*IF(AF141&lt;&gt;"",AF141,AT141)/60,""))</f>
        <v/>
      </c>
      <c r="AJ141">
        <f>IF(AB141&lt;&gt;"OK","",IF(OR(VALUE(T141)=2,VALUE(U141)=2,VALUE(V141)=2),"社内残置",IF(AND(VALUE(T141)=0,VALUE(W141)=0,VALUE(Y141)=0),"自動化候補",IF(AND(VALUE(U141)=0,VALUE(W141)&lt;=1,VALUE(X141)&lt;=1,VALUE(Y141)&lt;=1,VALUE(Z141)&lt;=1),"オフショア候補",IF(AND(VALUE(Y141)&lt;=1,VALUE(Z141)&lt;=1),"ニアショア候補","社内で手順化→再評価")))))</f>
        <v/>
      </c>
      <c r="AK141">
        <f>IF(AB141&lt;&gt;"OK","",14-SUMPRODUCT(--T141:Z141))</f>
        <v/>
      </c>
      <c r="AL141" s="33">
        <f>IF(AB141&lt;&gt;"OK","",AS141*AT141/60)</f>
        <v/>
      </c>
      <c r="AM141" s="34">
        <f>IF(A141="","",UPPER(TRIM(ASC(A141&amp;""))))</f>
        <v/>
      </c>
      <c r="AN141" s="34">
        <f>IF(AM141="","",AM141&amp;"-"&amp;B141)</f>
        <v/>
      </c>
      <c r="AO141" s="34">
        <f>IF(C141="","",IFERROR(VALUE(ASC(SUBSTITUTE(C141&amp;"","観点",""))),""))</f>
        <v/>
      </c>
      <c r="AP141" s="34">
        <f>IF(D141="","",IFERROR(VALUE(LEFT(TRIM(ASC(D141&amp;"")),1)),IFERROR(MATCH(TRIM(D141&amp;""),'M2_区分マスタ'!$I$5:$I$10,0),"")))</f>
        <v/>
      </c>
      <c r="AQ141" s="34">
        <f>IF(H141="","",UPPER(LEFT(TRIM(ASC(H141&amp;"")),3)))</f>
        <v/>
      </c>
      <c r="AR141" s="34">
        <f>IF(N141="","",IFERROR(VALUE(SUBSTITUTE(SUBSTITUTE(SUBSTITUTE(SUBSTITUTE(SUBSTITUTE(SUBSTITUTE(SUBSTITUTE(SUBSTITUTE(SUBSTITUTE(SUBSTITUTE(SUBSTITUTE(SUBSTITUTE(ASC(N141&amp;""),"約",""),"程度",""),"ほど",""),"回",""),"毎",""),"週",""),"月",""),"年",""),"日",""),"に",""),"/","")," ","")),""))</f>
        <v/>
      </c>
      <c r="AS141" s="34">
        <f>IF(N141="","",IF(ISNUMBER(N141),N141,IFERROR(VALUE(ASC(N141&amp;"")),IF(AR141&lt;&gt;"",AR141*IF(ISNUMBER(SEARCH("週",N141)),4.3,IF(ISNUMBER(SEARCH("年",N141)),1/12,IF(ISNUMBER(SEARCH("日",N141)),20,1))),IF(ISNUMBER(SEARCH("日",N141)),20,IF(ISNUMBER(SEARCH("週",N141)),4.3,IF(ISNUMBER(SEARCH("月",N141)),1,"")))))))</f>
        <v/>
      </c>
      <c r="AT141" s="34">
        <f>IF(O141="","",IF(ISNUMBER(O141),O141,IFERROR(VALUE(ASC(O141&amp;"")),IF(ISNUMBER(SEARCH("時間",O141)),IFERROR(VALUE(SUBSTITUTE(SUBSTITUTE(SUBSTITUTE(SUBSTITUTE(SUBSTITUTE(ASC(O141&amp;""),"約",""),"程度",""),"ほど",""),"時間","")," ",""))*60,""),IFERROR(VALUE(SUBSTITUTE(SUBSTITUTE(SUBSTITUTE(SUBSTITUTE(SUBSTITUTE(ASC(O141&amp;""),"約",""),"程度",""),"ほど",""),"分","")," ","")),"")))))</f>
        <v/>
      </c>
      <c r="AU141" s="34">
        <f>IF(P141="","",IF(ISNUMBER(P141),P141,IFERROR(VALUE(SUBSTITUTE(SUBSTITUTE(SUBSTITUTE(ASC(P141&amp;""),"約",""),"件","")," ","")),"")))</f>
        <v/>
      </c>
      <c r="AV141" s="34">
        <f>IF(AB141&lt;&gt;"OK","",IF(COUNTIFS($G$5:$G$404,G141&amp;"",$F$5:$F$404,F141&amp;"",$BE$5:$BE$404,BE141&amp;"",$AB$5:$AB$404,"OK")&gt;1,"同名あり",""))</f>
        <v/>
      </c>
      <c r="AW141" s="35">
        <f>IF(Q141="","",IF(ISNUMBER(Q141),Q141,IFERROR(DATEVALUE(SUBSTITUTE(SUBSTITUTE(ASC(Q141&amp;""),"-","/"),".","/")&amp;"/01"),"")))</f>
        <v/>
      </c>
      <c r="AX141" s="35">
        <f>IF(R141="","",IF(ISNUMBER(R141),R141,IFERROR(DATEVALUE(SUBSTITUTE(SUBSTITUTE(ASC(R141&amp;""),"-","/"),".","/")&amp;"/01"),"")))</f>
        <v/>
      </c>
      <c r="AY141" s="34">
        <f>IF(OR(AB141&lt;&gt;"OK",AW141=""),"",IF(AW141&gt;='01_設定'!$C$26,1,0))</f>
        <v/>
      </c>
      <c r="AZ141" s="34">
        <f>IF(AND(AB141="OK",AD141&lt;&gt;"除外"),COUNTIFS($AB$5:AB141,"OK",$AD$5:AD141,"&lt;&gt;除外"),"")</f>
        <v/>
      </c>
      <c r="BA141" s="34">
        <f>IF(OR(AZ141="",AI141=""),"",AI141+ROW()/1000000000)</f>
        <v/>
      </c>
      <c r="BB141" s="34">
        <f>IF(E141="","",IF(OR(TRIM(E141&amp;"")="-",TRIM(E141&amp;"")="－",TRIM(E141&amp;"")="ー"),"",TRIM(E141&amp;"")))</f>
        <v/>
      </c>
      <c r="BC141" s="34">
        <f>IF(AND(AB141="OK",BB141&lt;&gt;""),IF(COUNTIFS($BB$5:BB141,BB141,$AB$5:AB141,"OK")=1,1,""),"")</f>
        <v/>
      </c>
      <c r="BD141" s="34">
        <f>IF(BC141=1,COUNTIF($BC$5:BC141,1),"")</f>
        <v/>
      </c>
      <c r="BE141" s="34">
        <f>IF(BB141="","",IFERROR(INDEX('06_顧客別集計'!$G$5:$G$104,MATCH(BB141,'06_顧客別集計'!$C$5:$C$104,0)),BB141))</f>
        <v/>
      </c>
      <c r="BF141" s="34">
        <f>IF(AND(AZ141&lt;&gt;"",BE141&lt;&gt;""),IF(COUNTIFS($BE$5:BE141,BE141,$AZ$5:AZ141,"&gt;0")=1,1,""),"")</f>
        <v/>
      </c>
      <c r="BG141" s="34">
        <f>IF(BF141=1,COUNTIF($BF$5:BF141,1),"")</f>
        <v/>
      </c>
    </row>
    <row r="142">
      <c r="AB142">
        <f>IF(AND(A142="",G142=""),"",IF(ISNUMBER(SEARCH("##END",AM142)),"（終わりの印）",IF(ISNUMBER(SEARCH("##続き",AM142)),"（続きありの印）",IF(AM142="調査ID","（見出し行）",IF(AND(AM142&lt;&gt;"R1",AM142&lt;&gt;"R2"),"×表以外の行（集計されない）",IF(COUNTIF($AN$5:AN142,AN142)&gt;1,"△重複（集計されない）",IF(G142="","△タスク名なし",IF(ISNA(MATCH(AQ142,'M1_類型マスタ'!$A$5:$A$19,0)),"△類型が不正",IF(OR(AP142="",N(AP142)&lt;1,N(AP142)&gt;6),"△業務区分が不正",IF(OR(AS142="",AT142=""),"△回数・分が読めない",IF(SUMPRODUCT(--ISNUMBER(--T142:Z142))&lt;7,"△採点が足りない",IF(SUMPRODUCT((--T142:Z142&gt;2)+(--T142:Z142&lt;0))&gt;0,"△採点が範囲外","OK"))))))))))))</f>
        <v/>
      </c>
      <c r="AC142">
        <f>IF(AB142&lt;&gt;"OK","",TRIM(IF(AND(AU142&lt;&gt;"",N(AU142)&lt;=1),"根拠1件 ","")&amp;IF(AV142&lt;&gt;"","同名あり ","")&amp;IF(AND(NOT(ISNUMBER(N142)),N142&lt;&gt;""),"回数を換算 ","")&amp;IF(J142="","詳細なし ","")&amp;IF(AND(N(AP142)=1,BB142=""),"顧客名なし ","")))</f>
        <v/>
      </c>
      <c r="AD142" s="31" t="n"/>
      <c r="AE142" s="32" t="n"/>
      <c r="AF142" s="32" t="n"/>
      <c r="AG142" s="31" t="n"/>
      <c r="AH142">
        <f>IF(AB142&lt;&gt;"OK","",IF(AG142&lt;&gt;"",AG142,AJ142))</f>
        <v/>
      </c>
      <c r="AI142" s="33">
        <f>IF(AB142&lt;&gt;"OK","",IFERROR(IF(AE142&lt;&gt;"",AE142,AS142)*IF(AF142&lt;&gt;"",AF142,AT142)/60,""))</f>
        <v/>
      </c>
      <c r="AJ142">
        <f>IF(AB142&lt;&gt;"OK","",IF(OR(VALUE(T142)=2,VALUE(U142)=2,VALUE(V142)=2),"社内残置",IF(AND(VALUE(T142)=0,VALUE(W142)=0,VALUE(Y142)=0),"自動化候補",IF(AND(VALUE(U142)=0,VALUE(W142)&lt;=1,VALUE(X142)&lt;=1,VALUE(Y142)&lt;=1,VALUE(Z142)&lt;=1),"オフショア候補",IF(AND(VALUE(Y142)&lt;=1,VALUE(Z142)&lt;=1),"ニアショア候補","社内で手順化→再評価")))))</f>
        <v/>
      </c>
      <c r="AK142">
        <f>IF(AB142&lt;&gt;"OK","",14-SUMPRODUCT(--T142:Z142))</f>
        <v/>
      </c>
      <c r="AL142" s="33">
        <f>IF(AB142&lt;&gt;"OK","",AS142*AT142/60)</f>
        <v/>
      </c>
      <c r="AM142" s="34">
        <f>IF(A142="","",UPPER(TRIM(ASC(A142&amp;""))))</f>
        <v/>
      </c>
      <c r="AN142" s="34">
        <f>IF(AM142="","",AM142&amp;"-"&amp;B142)</f>
        <v/>
      </c>
      <c r="AO142" s="34">
        <f>IF(C142="","",IFERROR(VALUE(ASC(SUBSTITUTE(C142&amp;"","観点",""))),""))</f>
        <v/>
      </c>
      <c r="AP142" s="34">
        <f>IF(D142="","",IFERROR(VALUE(LEFT(TRIM(ASC(D142&amp;"")),1)),IFERROR(MATCH(TRIM(D142&amp;""),'M2_区分マスタ'!$I$5:$I$10,0),"")))</f>
        <v/>
      </c>
      <c r="AQ142" s="34">
        <f>IF(H142="","",UPPER(LEFT(TRIM(ASC(H142&amp;"")),3)))</f>
        <v/>
      </c>
      <c r="AR142" s="34">
        <f>IF(N142="","",IFERROR(VALUE(SUBSTITUTE(SUBSTITUTE(SUBSTITUTE(SUBSTITUTE(SUBSTITUTE(SUBSTITUTE(SUBSTITUTE(SUBSTITUTE(SUBSTITUTE(SUBSTITUTE(SUBSTITUTE(SUBSTITUTE(ASC(N142&amp;""),"約",""),"程度",""),"ほど",""),"回",""),"毎",""),"週",""),"月",""),"年",""),"日",""),"に",""),"/","")," ","")),""))</f>
        <v/>
      </c>
      <c r="AS142" s="34">
        <f>IF(N142="","",IF(ISNUMBER(N142),N142,IFERROR(VALUE(ASC(N142&amp;"")),IF(AR142&lt;&gt;"",AR142*IF(ISNUMBER(SEARCH("週",N142)),4.3,IF(ISNUMBER(SEARCH("年",N142)),1/12,IF(ISNUMBER(SEARCH("日",N142)),20,1))),IF(ISNUMBER(SEARCH("日",N142)),20,IF(ISNUMBER(SEARCH("週",N142)),4.3,IF(ISNUMBER(SEARCH("月",N142)),1,"")))))))</f>
        <v/>
      </c>
      <c r="AT142" s="34">
        <f>IF(O142="","",IF(ISNUMBER(O142),O142,IFERROR(VALUE(ASC(O142&amp;"")),IF(ISNUMBER(SEARCH("時間",O142)),IFERROR(VALUE(SUBSTITUTE(SUBSTITUTE(SUBSTITUTE(SUBSTITUTE(SUBSTITUTE(ASC(O142&amp;""),"約",""),"程度",""),"ほど",""),"時間","")," ",""))*60,""),IFERROR(VALUE(SUBSTITUTE(SUBSTITUTE(SUBSTITUTE(SUBSTITUTE(SUBSTITUTE(ASC(O142&amp;""),"約",""),"程度",""),"ほど",""),"分","")," ","")),"")))))</f>
        <v/>
      </c>
      <c r="AU142" s="34">
        <f>IF(P142="","",IF(ISNUMBER(P142),P142,IFERROR(VALUE(SUBSTITUTE(SUBSTITUTE(SUBSTITUTE(ASC(P142&amp;""),"約",""),"件","")," ","")),"")))</f>
        <v/>
      </c>
      <c r="AV142" s="34">
        <f>IF(AB142&lt;&gt;"OK","",IF(COUNTIFS($G$5:$G$404,G142&amp;"",$F$5:$F$404,F142&amp;"",$BE$5:$BE$404,BE142&amp;"",$AB$5:$AB$404,"OK")&gt;1,"同名あり",""))</f>
        <v/>
      </c>
      <c r="AW142" s="35">
        <f>IF(Q142="","",IF(ISNUMBER(Q142),Q142,IFERROR(DATEVALUE(SUBSTITUTE(SUBSTITUTE(ASC(Q142&amp;""),"-","/"),".","/")&amp;"/01"),"")))</f>
        <v/>
      </c>
      <c r="AX142" s="35">
        <f>IF(R142="","",IF(ISNUMBER(R142),R142,IFERROR(DATEVALUE(SUBSTITUTE(SUBSTITUTE(ASC(R142&amp;""),"-","/"),".","/")&amp;"/01"),"")))</f>
        <v/>
      </c>
      <c r="AY142" s="34">
        <f>IF(OR(AB142&lt;&gt;"OK",AW142=""),"",IF(AW142&gt;='01_設定'!$C$26,1,0))</f>
        <v/>
      </c>
      <c r="AZ142" s="34">
        <f>IF(AND(AB142="OK",AD142&lt;&gt;"除外"),COUNTIFS($AB$5:AB142,"OK",$AD$5:AD142,"&lt;&gt;除外"),"")</f>
        <v/>
      </c>
      <c r="BA142" s="34">
        <f>IF(OR(AZ142="",AI142=""),"",AI142+ROW()/1000000000)</f>
        <v/>
      </c>
      <c r="BB142" s="34">
        <f>IF(E142="","",IF(OR(TRIM(E142&amp;"")="-",TRIM(E142&amp;"")="－",TRIM(E142&amp;"")="ー"),"",TRIM(E142&amp;"")))</f>
        <v/>
      </c>
      <c r="BC142" s="34">
        <f>IF(AND(AB142="OK",BB142&lt;&gt;""),IF(COUNTIFS($BB$5:BB142,BB142,$AB$5:AB142,"OK")=1,1,""),"")</f>
        <v/>
      </c>
      <c r="BD142" s="34">
        <f>IF(BC142=1,COUNTIF($BC$5:BC142,1),"")</f>
        <v/>
      </c>
      <c r="BE142" s="34">
        <f>IF(BB142="","",IFERROR(INDEX('06_顧客別集計'!$G$5:$G$104,MATCH(BB142,'06_顧客別集計'!$C$5:$C$104,0)),BB142))</f>
        <v/>
      </c>
      <c r="BF142" s="34">
        <f>IF(AND(AZ142&lt;&gt;"",BE142&lt;&gt;""),IF(COUNTIFS($BE$5:BE142,BE142,$AZ$5:AZ142,"&gt;0")=1,1,""),"")</f>
        <v/>
      </c>
      <c r="BG142" s="34">
        <f>IF(BF142=1,COUNTIF($BF$5:BF142,1),"")</f>
        <v/>
      </c>
    </row>
    <row r="143">
      <c r="AB143">
        <f>IF(AND(A143="",G143=""),"",IF(ISNUMBER(SEARCH("##END",AM143)),"（終わりの印）",IF(ISNUMBER(SEARCH("##続き",AM143)),"（続きありの印）",IF(AM143="調査ID","（見出し行）",IF(AND(AM143&lt;&gt;"R1",AM143&lt;&gt;"R2"),"×表以外の行（集計されない）",IF(COUNTIF($AN$5:AN143,AN143)&gt;1,"△重複（集計されない）",IF(G143="","△タスク名なし",IF(ISNA(MATCH(AQ143,'M1_類型マスタ'!$A$5:$A$19,0)),"△類型が不正",IF(OR(AP143="",N(AP143)&lt;1,N(AP143)&gt;6),"△業務区分が不正",IF(OR(AS143="",AT143=""),"△回数・分が読めない",IF(SUMPRODUCT(--ISNUMBER(--T143:Z143))&lt;7,"△採点が足りない",IF(SUMPRODUCT((--T143:Z143&gt;2)+(--T143:Z143&lt;0))&gt;0,"△採点が範囲外","OK"))))))))))))</f>
        <v/>
      </c>
      <c r="AC143">
        <f>IF(AB143&lt;&gt;"OK","",TRIM(IF(AND(AU143&lt;&gt;"",N(AU143)&lt;=1),"根拠1件 ","")&amp;IF(AV143&lt;&gt;"","同名あり ","")&amp;IF(AND(NOT(ISNUMBER(N143)),N143&lt;&gt;""),"回数を換算 ","")&amp;IF(J143="","詳細なし ","")&amp;IF(AND(N(AP143)=1,BB143=""),"顧客名なし ","")))</f>
        <v/>
      </c>
      <c r="AD143" s="31" t="n"/>
      <c r="AE143" s="32" t="n"/>
      <c r="AF143" s="32" t="n"/>
      <c r="AG143" s="31" t="n"/>
      <c r="AH143">
        <f>IF(AB143&lt;&gt;"OK","",IF(AG143&lt;&gt;"",AG143,AJ143))</f>
        <v/>
      </c>
      <c r="AI143" s="33">
        <f>IF(AB143&lt;&gt;"OK","",IFERROR(IF(AE143&lt;&gt;"",AE143,AS143)*IF(AF143&lt;&gt;"",AF143,AT143)/60,""))</f>
        <v/>
      </c>
      <c r="AJ143">
        <f>IF(AB143&lt;&gt;"OK","",IF(OR(VALUE(T143)=2,VALUE(U143)=2,VALUE(V143)=2),"社内残置",IF(AND(VALUE(T143)=0,VALUE(W143)=0,VALUE(Y143)=0),"自動化候補",IF(AND(VALUE(U143)=0,VALUE(W143)&lt;=1,VALUE(X143)&lt;=1,VALUE(Y143)&lt;=1,VALUE(Z143)&lt;=1),"オフショア候補",IF(AND(VALUE(Y143)&lt;=1,VALUE(Z143)&lt;=1),"ニアショア候補","社内で手順化→再評価")))))</f>
        <v/>
      </c>
      <c r="AK143">
        <f>IF(AB143&lt;&gt;"OK","",14-SUMPRODUCT(--T143:Z143))</f>
        <v/>
      </c>
      <c r="AL143" s="33">
        <f>IF(AB143&lt;&gt;"OK","",AS143*AT143/60)</f>
        <v/>
      </c>
      <c r="AM143" s="34">
        <f>IF(A143="","",UPPER(TRIM(ASC(A143&amp;""))))</f>
        <v/>
      </c>
      <c r="AN143" s="34">
        <f>IF(AM143="","",AM143&amp;"-"&amp;B143)</f>
        <v/>
      </c>
      <c r="AO143" s="34">
        <f>IF(C143="","",IFERROR(VALUE(ASC(SUBSTITUTE(C143&amp;"","観点",""))),""))</f>
        <v/>
      </c>
      <c r="AP143" s="34">
        <f>IF(D143="","",IFERROR(VALUE(LEFT(TRIM(ASC(D143&amp;"")),1)),IFERROR(MATCH(TRIM(D143&amp;""),'M2_区分マスタ'!$I$5:$I$10,0),"")))</f>
        <v/>
      </c>
      <c r="AQ143" s="34">
        <f>IF(H143="","",UPPER(LEFT(TRIM(ASC(H143&amp;"")),3)))</f>
        <v/>
      </c>
      <c r="AR143" s="34">
        <f>IF(N143="","",IFERROR(VALUE(SUBSTITUTE(SUBSTITUTE(SUBSTITUTE(SUBSTITUTE(SUBSTITUTE(SUBSTITUTE(SUBSTITUTE(SUBSTITUTE(SUBSTITUTE(SUBSTITUTE(SUBSTITUTE(SUBSTITUTE(ASC(N143&amp;""),"約",""),"程度",""),"ほど",""),"回",""),"毎",""),"週",""),"月",""),"年",""),"日",""),"に",""),"/","")," ","")),""))</f>
        <v/>
      </c>
      <c r="AS143" s="34">
        <f>IF(N143="","",IF(ISNUMBER(N143),N143,IFERROR(VALUE(ASC(N143&amp;"")),IF(AR143&lt;&gt;"",AR143*IF(ISNUMBER(SEARCH("週",N143)),4.3,IF(ISNUMBER(SEARCH("年",N143)),1/12,IF(ISNUMBER(SEARCH("日",N143)),20,1))),IF(ISNUMBER(SEARCH("日",N143)),20,IF(ISNUMBER(SEARCH("週",N143)),4.3,IF(ISNUMBER(SEARCH("月",N143)),1,"")))))))</f>
        <v/>
      </c>
      <c r="AT143" s="34">
        <f>IF(O143="","",IF(ISNUMBER(O143),O143,IFERROR(VALUE(ASC(O143&amp;"")),IF(ISNUMBER(SEARCH("時間",O143)),IFERROR(VALUE(SUBSTITUTE(SUBSTITUTE(SUBSTITUTE(SUBSTITUTE(SUBSTITUTE(ASC(O143&amp;""),"約",""),"程度",""),"ほど",""),"時間","")," ",""))*60,""),IFERROR(VALUE(SUBSTITUTE(SUBSTITUTE(SUBSTITUTE(SUBSTITUTE(SUBSTITUTE(ASC(O143&amp;""),"約",""),"程度",""),"ほど",""),"分","")," ","")),"")))))</f>
        <v/>
      </c>
      <c r="AU143" s="34">
        <f>IF(P143="","",IF(ISNUMBER(P143),P143,IFERROR(VALUE(SUBSTITUTE(SUBSTITUTE(SUBSTITUTE(ASC(P143&amp;""),"約",""),"件","")," ","")),"")))</f>
        <v/>
      </c>
      <c r="AV143" s="34">
        <f>IF(AB143&lt;&gt;"OK","",IF(COUNTIFS($G$5:$G$404,G143&amp;"",$F$5:$F$404,F143&amp;"",$BE$5:$BE$404,BE143&amp;"",$AB$5:$AB$404,"OK")&gt;1,"同名あり",""))</f>
        <v/>
      </c>
      <c r="AW143" s="35">
        <f>IF(Q143="","",IF(ISNUMBER(Q143),Q143,IFERROR(DATEVALUE(SUBSTITUTE(SUBSTITUTE(ASC(Q143&amp;""),"-","/"),".","/")&amp;"/01"),"")))</f>
        <v/>
      </c>
      <c r="AX143" s="35">
        <f>IF(R143="","",IF(ISNUMBER(R143),R143,IFERROR(DATEVALUE(SUBSTITUTE(SUBSTITUTE(ASC(R143&amp;""),"-","/"),".","/")&amp;"/01"),"")))</f>
        <v/>
      </c>
      <c r="AY143" s="34">
        <f>IF(OR(AB143&lt;&gt;"OK",AW143=""),"",IF(AW143&gt;='01_設定'!$C$26,1,0))</f>
        <v/>
      </c>
      <c r="AZ143" s="34">
        <f>IF(AND(AB143="OK",AD143&lt;&gt;"除外"),COUNTIFS($AB$5:AB143,"OK",$AD$5:AD143,"&lt;&gt;除外"),"")</f>
        <v/>
      </c>
      <c r="BA143" s="34">
        <f>IF(OR(AZ143="",AI143=""),"",AI143+ROW()/1000000000)</f>
        <v/>
      </c>
      <c r="BB143" s="34">
        <f>IF(E143="","",IF(OR(TRIM(E143&amp;"")="-",TRIM(E143&amp;"")="－",TRIM(E143&amp;"")="ー"),"",TRIM(E143&amp;"")))</f>
        <v/>
      </c>
      <c r="BC143" s="34">
        <f>IF(AND(AB143="OK",BB143&lt;&gt;""),IF(COUNTIFS($BB$5:BB143,BB143,$AB$5:AB143,"OK")=1,1,""),"")</f>
        <v/>
      </c>
      <c r="BD143" s="34">
        <f>IF(BC143=1,COUNTIF($BC$5:BC143,1),"")</f>
        <v/>
      </c>
      <c r="BE143" s="34">
        <f>IF(BB143="","",IFERROR(INDEX('06_顧客別集計'!$G$5:$G$104,MATCH(BB143,'06_顧客別集計'!$C$5:$C$104,0)),BB143))</f>
        <v/>
      </c>
      <c r="BF143" s="34">
        <f>IF(AND(AZ143&lt;&gt;"",BE143&lt;&gt;""),IF(COUNTIFS($BE$5:BE143,BE143,$AZ$5:AZ143,"&gt;0")=1,1,""),"")</f>
        <v/>
      </c>
      <c r="BG143" s="34">
        <f>IF(BF143=1,COUNTIF($BF$5:BF143,1),"")</f>
        <v/>
      </c>
    </row>
    <row r="144">
      <c r="AB144">
        <f>IF(AND(A144="",G144=""),"",IF(ISNUMBER(SEARCH("##END",AM144)),"（終わりの印）",IF(ISNUMBER(SEARCH("##続き",AM144)),"（続きありの印）",IF(AM144="調査ID","（見出し行）",IF(AND(AM144&lt;&gt;"R1",AM144&lt;&gt;"R2"),"×表以外の行（集計されない）",IF(COUNTIF($AN$5:AN144,AN144)&gt;1,"△重複（集計されない）",IF(G144="","△タスク名なし",IF(ISNA(MATCH(AQ144,'M1_類型マスタ'!$A$5:$A$19,0)),"△類型が不正",IF(OR(AP144="",N(AP144)&lt;1,N(AP144)&gt;6),"△業務区分が不正",IF(OR(AS144="",AT144=""),"△回数・分が読めない",IF(SUMPRODUCT(--ISNUMBER(--T144:Z144))&lt;7,"△採点が足りない",IF(SUMPRODUCT((--T144:Z144&gt;2)+(--T144:Z144&lt;0))&gt;0,"△採点が範囲外","OK"))))))))))))</f>
        <v/>
      </c>
      <c r="AC144">
        <f>IF(AB144&lt;&gt;"OK","",TRIM(IF(AND(AU144&lt;&gt;"",N(AU144)&lt;=1),"根拠1件 ","")&amp;IF(AV144&lt;&gt;"","同名あり ","")&amp;IF(AND(NOT(ISNUMBER(N144)),N144&lt;&gt;""),"回数を換算 ","")&amp;IF(J144="","詳細なし ","")&amp;IF(AND(N(AP144)=1,BB144=""),"顧客名なし ","")))</f>
        <v/>
      </c>
      <c r="AD144" s="31" t="n"/>
      <c r="AE144" s="32" t="n"/>
      <c r="AF144" s="32" t="n"/>
      <c r="AG144" s="31" t="n"/>
      <c r="AH144">
        <f>IF(AB144&lt;&gt;"OK","",IF(AG144&lt;&gt;"",AG144,AJ144))</f>
        <v/>
      </c>
      <c r="AI144" s="33">
        <f>IF(AB144&lt;&gt;"OK","",IFERROR(IF(AE144&lt;&gt;"",AE144,AS144)*IF(AF144&lt;&gt;"",AF144,AT144)/60,""))</f>
        <v/>
      </c>
      <c r="AJ144">
        <f>IF(AB144&lt;&gt;"OK","",IF(OR(VALUE(T144)=2,VALUE(U144)=2,VALUE(V144)=2),"社内残置",IF(AND(VALUE(T144)=0,VALUE(W144)=0,VALUE(Y144)=0),"自動化候補",IF(AND(VALUE(U144)=0,VALUE(W144)&lt;=1,VALUE(X144)&lt;=1,VALUE(Y144)&lt;=1,VALUE(Z144)&lt;=1),"オフショア候補",IF(AND(VALUE(Y144)&lt;=1,VALUE(Z144)&lt;=1),"ニアショア候補","社内で手順化→再評価")))))</f>
        <v/>
      </c>
      <c r="AK144">
        <f>IF(AB144&lt;&gt;"OK","",14-SUMPRODUCT(--T144:Z144))</f>
        <v/>
      </c>
      <c r="AL144" s="33">
        <f>IF(AB144&lt;&gt;"OK","",AS144*AT144/60)</f>
        <v/>
      </c>
      <c r="AM144" s="34">
        <f>IF(A144="","",UPPER(TRIM(ASC(A144&amp;""))))</f>
        <v/>
      </c>
      <c r="AN144" s="34">
        <f>IF(AM144="","",AM144&amp;"-"&amp;B144)</f>
        <v/>
      </c>
      <c r="AO144" s="34">
        <f>IF(C144="","",IFERROR(VALUE(ASC(SUBSTITUTE(C144&amp;"","観点",""))),""))</f>
        <v/>
      </c>
      <c r="AP144" s="34">
        <f>IF(D144="","",IFERROR(VALUE(LEFT(TRIM(ASC(D144&amp;"")),1)),IFERROR(MATCH(TRIM(D144&amp;""),'M2_区分マスタ'!$I$5:$I$10,0),"")))</f>
        <v/>
      </c>
      <c r="AQ144" s="34">
        <f>IF(H144="","",UPPER(LEFT(TRIM(ASC(H144&amp;"")),3)))</f>
        <v/>
      </c>
      <c r="AR144" s="34">
        <f>IF(N144="","",IFERROR(VALUE(SUBSTITUTE(SUBSTITUTE(SUBSTITUTE(SUBSTITUTE(SUBSTITUTE(SUBSTITUTE(SUBSTITUTE(SUBSTITUTE(SUBSTITUTE(SUBSTITUTE(SUBSTITUTE(SUBSTITUTE(ASC(N144&amp;""),"約",""),"程度",""),"ほど",""),"回",""),"毎",""),"週",""),"月",""),"年",""),"日",""),"に",""),"/","")," ","")),""))</f>
        <v/>
      </c>
      <c r="AS144" s="34">
        <f>IF(N144="","",IF(ISNUMBER(N144),N144,IFERROR(VALUE(ASC(N144&amp;"")),IF(AR144&lt;&gt;"",AR144*IF(ISNUMBER(SEARCH("週",N144)),4.3,IF(ISNUMBER(SEARCH("年",N144)),1/12,IF(ISNUMBER(SEARCH("日",N144)),20,1))),IF(ISNUMBER(SEARCH("日",N144)),20,IF(ISNUMBER(SEARCH("週",N144)),4.3,IF(ISNUMBER(SEARCH("月",N144)),1,"")))))))</f>
        <v/>
      </c>
      <c r="AT144" s="34">
        <f>IF(O144="","",IF(ISNUMBER(O144),O144,IFERROR(VALUE(ASC(O144&amp;"")),IF(ISNUMBER(SEARCH("時間",O144)),IFERROR(VALUE(SUBSTITUTE(SUBSTITUTE(SUBSTITUTE(SUBSTITUTE(SUBSTITUTE(ASC(O144&amp;""),"約",""),"程度",""),"ほど",""),"時間","")," ",""))*60,""),IFERROR(VALUE(SUBSTITUTE(SUBSTITUTE(SUBSTITUTE(SUBSTITUTE(SUBSTITUTE(ASC(O144&amp;""),"約",""),"程度",""),"ほど",""),"分","")," ","")),"")))))</f>
        <v/>
      </c>
      <c r="AU144" s="34">
        <f>IF(P144="","",IF(ISNUMBER(P144),P144,IFERROR(VALUE(SUBSTITUTE(SUBSTITUTE(SUBSTITUTE(ASC(P144&amp;""),"約",""),"件","")," ","")),"")))</f>
        <v/>
      </c>
      <c r="AV144" s="34">
        <f>IF(AB144&lt;&gt;"OK","",IF(COUNTIFS($G$5:$G$404,G144&amp;"",$F$5:$F$404,F144&amp;"",$BE$5:$BE$404,BE144&amp;"",$AB$5:$AB$404,"OK")&gt;1,"同名あり",""))</f>
        <v/>
      </c>
      <c r="AW144" s="35">
        <f>IF(Q144="","",IF(ISNUMBER(Q144),Q144,IFERROR(DATEVALUE(SUBSTITUTE(SUBSTITUTE(ASC(Q144&amp;""),"-","/"),".","/")&amp;"/01"),"")))</f>
        <v/>
      </c>
      <c r="AX144" s="35">
        <f>IF(R144="","",IF(ISNUMBER(R144),R144,IFERROR(DATEVALUE(SUBSTITUTE(SUBSTITUTE(ASC(R144&amp;""),"-","/"),".","/")&amp;"/01"),"")))</f>
        <v/>
      </c>
      <c r="AY144" s="34">
        <f>IF(OR(AB144&lt;&gt;"OK",AW144=""),"",IF(AW144&gt;='01_設定'!$C$26,1,0))</f>
        <v/>
      </c>
      <c r="AZ144" s="34">
        <f>IF(AND(AB144="OK",AD144&lt;&gt;"除外"),COUNTIFS($AB$5:AB144,"OK",$AD$5:AD144,"&lt;&gt;除外"),"")</f>
        <v/>
      </c>
      <c r="BA144" s="34">
        <f>IF(OR(AZ144="",AI144=""),"",AI144+ROW()/1000000000)</f>
        <v/>
      </c>
      <c r="BB144" s="34">
        <f>IF(E144="","",IF(OR(TRIM(E144&amp;"")="-",TRIM(E144&amp;"")="－",TRIM(E144&amp;"")="ー"),"",TRIM(E144&amp;"")))</f>
        <v/>
      </c>
      <c r="BC144" s="34">
        <f>IF(AND(AB144="OK",BB144&lt;&gt;""),IF(COUNTIFS($BB$5:BB144,BB144,$AB$5:AB144,"OK")=1,1,""),"")</f>
        <v/>
      </c>
      <c r="BD144" s="34">
        <f>IF(BC144=1,COUNTIF($BC$5:BC144,1),"")</f>
        <v/>
      </c>
      <c r="BE144" s="34">
        <f>IF(BB144="","",IFERROR(INDEX('06_顧客別集計'!$G$5:$G$104,MATCH(BB144,'06_顧客別集計'!$C$5:$C$104,0)),BB144))</f>
        <v/>
      </c>
      <c r="BF144" s="34">
        <f>IF(AND(AZ144&lt;&gt;"",BE144&lt;&gt;""),IF(COUNTIFS($BE$5:BE144,BE144,$AZ$5:AZ144,"&gt;0")=1,1,""),"")</f>
        <v/>
      </c>
      <c r="BG144" s="34">
        <f>IF(BF144=1,COUNTIF($BF$5:BF144,1),"")</f>
        <v/>
      </c>
    </row>
    <row r="145">
      <c r="AB145">
        <f>IF(AND(A145="",G145=""),"",IF(ISNUMBER(SEARCH("##END",AM145)),"（終わりの印）",IF(ISNUMBER(SEARCH("##続き",AM145)),"（続きありの印）",IF(AM145="調査ID","（見出し行）",IF(AND(AM145&lt;&gt;"R1",AM145&lt;&gt;"R2"),"×表以外の行（集計されない）",IF(COUNTIF($AN$5:AN145,AN145)&gt;1,"△重複（集計されない）",IF(G145="","△タスク名なし",IF(ISNA(MATCH(AQ145,'M1_類型マスタ'!$A$5:$A$19,0)),"△類型が不正",IF(OR(AP145="",N(AP145)&lt;1,N(AP145)&gt;6),"△業務区分が不正",IF(OR(AS145="",AT145=""),"△回数・分が読めない",IF(SUMPRODUCT(--ISNUMBER(--T145:Z145))&lt;7,"△採点が足りない",IF(SUMPRODUCT((--T145:Z145&gt;2)+(--T145:Z145&lt;0))&gt;0,"△採点が範囲外","OK"))))))))))))</f>
        <v/>
      </c>
      <c r="AC145">
        <f>IF(AB145&lt;&gt;"OK","",TRIM(IF(AND(AU145&lt;&gt;"",N(AU145)&lt;=1),"根拠1件 ","")&amp;IF(AV145&lt;&gt;"","同名あり ","")&amp;IF(AND(NOT(ISNUMBER(N145)),N145&lt;&gt;""),"回数を換算 ","")&amp;IF(J145="","詳細なし ","")&amp;IF(AND(N(AP145)=1,BB145=""),"顧客名なし ","")))</f>
        <v/>
      </c>
      <c r="AD145" s="31" t="n"/>
      <c r="AE145" s="32" t="n"/>
      <c r="AF145" s="32" t="n"/>
      <c r="AG145" s="31" t="n"/>
      <c r="AH145">
        <f>IF(AB145&lt;&gt;"OK","",IF(AG145&lt;&gt;"",AG145,AJ145))</f>
        <v/>
      </c>
      <c r="AI145" s="33">
        <f>IF(AB145&lt;&gt;"OK","",IFERROR(IF(AE145&lt;&gt;"",AE145,AS145)*IF(AF145&lt;&gt;"",AF145,AT145)/60,""))</f>
        <v/>
      </c>
      <c r="AJ145">
        <f>IF(AB145&lt;&gt;"OK","",IF(OR(VALUE(T145)=2,VALUE(U145)=2,VALUE(V145)=2),"社内残置",IF(AND(VALUE(T145)=0,VALUE(W145)=0,VALUE(Y145)=0),"自動化候補",IF(AND(VALUE(U145)=0,VALUE(W145)&lt;=1,VALUE(X145)&lt;=1,VALUE(Y145)&lt;=1,VALUE(Z145)&lt;=1),"オフショア候補",IF(AND(VALUE(Y145)&lt;=1,VALUE(Z145)&lt;=1),"ニアショア候補","社内で手順化→再評価")))))</f>
        <v/>
      </c>
      <c r="AK145">
        <f>IF(AB145&lt;&gt;"OK","",14-SUMPRODUCT(--T145:Z145))</f>
        <v/>
      </c>
      <c r="AL145" s="33">
        <f>IF(AB145&lt;&gt;"OK","",AS145*AT145/60)</f>
        <v/>
      </c>
      <c r="AM145" s="34">
        <f>IF(A145="","",UPPER(TRIM(ASC(A145&amp;""))))</f>
        <v/>
      </c>
      <c r="AN145" s="34">
        <f>IF(AM145="","",AM145&amp;"-"&amp;B145)</f>
        <v/>
      </c>
      <c r="AO145" s="34">
        <f>IF(C145="","",IFERROR(VALUE(ASC(SUBSTITUTE(C145&amp;"","観点",""))),""))</f>
        <v/>
      </c>
      <c r="AP145" s="34">
        <f>IF(D145="","",IFERROR(VALUE(LEFT(TRIM(ASC(D145&amp;"")),1)),IFERROR(MATCH(TRIM(D145&amp;""),'M2_区分マスタ'!$I$5:$I$10,0),"")))</f>
        <v/>
      </c>
      <c r="AQ145" s="34">
        <f>IF(H145="","",UPPER(LEFT(TRIM(ASC(H145&amp;"")),3)))</f>
        <v/>
      </c>
      <c r="AR145" s="34">
        <f>IF(N145="","",IFERROR(VALUE(SUBSTITUTE(SUBSTITUTE(SUBSTITUTE(SUBSTITUTE(SUBSTITUTE(SUBSTITUTE(SUBSTITUTE(SUBSTITUTE(SUBSTITUTE(SUBSTITUTE(SUBSTITUTE(SUBSTITUTE(ASC(N145&amp;""),"約",""),"程度",""),"ほど",""),"回",""),"毎",""),"週",""),"月",""),"年",""),"日",""),"に",""),"/","")," ","")),""))</f>
        <v/>
      </c>
      <c r="AS145" s="34">
        <f>IF(N145="","",IF(ISNUMBER(N145),N145,IFERROR(VALUE(ASC(N145&amp;"")),IF(AR145&lt;&gt;"",AR145*IF(ISNUMBER(SEARCH("週",N145)),4.3,IF(ISNUMBER(SEARCH("年",N145)),1/12,IF(ISNUMBER(SEARCH("日",N145)),20,1))),IF(ISNUMBER(SEARCH("日",N145)),20,IF(ISNUMBER(SEARCH("週",N145)),4.3,IF(ISNUMBER(SEARCH("月",N145)),1,"")))))))</f>
        <v/>
      </c>
      <c r="AT145" s="34">
        <f>IF(O145="","",IF(ISNUMBER(O145),O145,IFERROR(VALUE(ASC(O145&amp;"")),IF(ISNUMBER(SEARCH("時間",O145)),IFERROR(VALUE(SUBSTITUTE(SUBSTITUTE(SUBSTITUTE(SUBSTITUTE(SUBSTITUTE(ASC(O145&amp;""),"約",""),"程度",""),"ほど",""),"時間","")," ",""))*60,""),IFERROR(VALUE(SUBSTITUTE(SUBSTITUTE(SUBSTITUTE(SUBSTITUTE(SUBSTITUTE(ASC(O145&amp;""),"約",""),"程度",""),"ほど",""),"分","")," ","")),"")))))</f>
        <v/>
      </c>
      <c r="AU145" s="34">
        <f>IF(P145="","",IF(ISNUMBER(P145),P145,IFERROR(VALUE(SUBSTITUTE(SUBSTITUTE(SUBSTITUTE(ASC(P145&amp;""),"約",""),"件","")," ","")),"")))</f>
        <v/>
      </c>
      <c r="AV145" s="34">
        <f>IF(AB145&lt;&gt;"OK","",IF(COUNTIFS($G$5:$G$404,G145&amp;"",$F$5:$F$404,F145&amp;"",$BE$5:$BE$404,BE145&amp;"",$AB$5:$AB$404,"OK")&gt;1,"同名あり",""))</f>
        <v/>
      </c>
      <c r="AW145" s="35">
        <f>IF(Q145="","",IF(ISNUMBER(Q145),Q145,IFERROR(DATEVALUE(SUBSTITUTE(SUBSTITUTE(ASC(Q145&amp;""),"-","/"),".","/")&amp;"/01"),"")))</f>
        <v/>
      </c>
      <c r="AX145" s="35">
        <f>IF(R145="","",IF(ISNUMBER(R145),R145,IFERROR(DATEVALUE(SUBSTITUTE(SUBSTITUTE(ASC(R145&amp;""),"-","/"),".","/")&amp;"/01"),"")))</f>
        <v/>
      </c>
      <c r="AY145" s="34">
        <f>IF(OR(AB145&lt;&gt;"OK",AW145=""),"",IF(AW145&gt;='01_設定'!$C$26,1,0))</f>
        <v/>
      </c>
      <c r="AZ145" s="34">
        <f>IF(AND(AB145="OK",AD145&lt;&gt;"除外"),COUNTIFS($AB$5:AB145,"OK",$AD$5:AD145,"&lt;&gt;除外"),"")</f>
        <v/>
      </c>
      <c r="BA145" s="34">
        <f>IF(OR(AZ145="",AI145=""),"",AI145+ROW()/1000000000)</f>
        <v/>
      </c>
      <c r="BB145" s="34">
        <f>IF(E145="","",IF(OR(TRIM(E145&amp;"")="-",TRIM(E145&amp;"")="－",TRIM(E145&amp;"")="ー"),"",TRIM(E145&amp;"")))</f>
        <v/>
      </c>
      <c r="BC145" s="34">
        <f>IF(AND(AB145="OK",BB145&lt;&gt;""),IF(COUNTIFS($BB$5:BB145,BB145,$AB$5:AB145,"OK")=1,1,""),"")</f>
        <v/>
      </c>
      <c r="BD145" s="34">
        <f>IF(BC145=1,COUNTIF($BC$5:BC145,1),"")</f>
        <v/>
      </c>
      <c r="BE145" s="34">
        <f>IF(BB145="","",IFERROR(INDEX('06_顧客別集計'!$G$5:$G$104,MATCH(BB145,'06_顧客別集計'!$C$5:$C$104,0)),BB145))</f>
        <v/>
      </c>
      <c r="BF145" s="34">
        <f>IF(AND(AZ145&lt;&gt;"",BE145&lt;&gt;""),IF(COUNTIFS($BE$5:BE145,BE145,$AZ$5:AZ145,"&gt;0")=1,1,""),"")</f>
        <v/>
      </c>
      <c r="BG145" s="34">
        <f>IF(BF145=1,COUNTIF($BF$5:BF145,1),"")</f>
        <v/>
      </c>
    </row>
    <row r="146">
      <c r="AB146">
        <f>IF(AND(A146="",G146=""),"",IF(ISNUMBER(SEARCH("##END",AM146)),"（終わりの印）",IF(ISNUMBER(SEARCH("##続き",AM146)),"（続きありの印）",IF(AM146="調査ID","（見出し行）",IF(AND(AM146&lt;&gt;"R1",AM146&lt;&gt;"R2"),"×表以外の行（集計されない）",IF(COUNTIF($AN$5:AN146,AN146)&gt;1,"△重複（集計されない）",IF(G146="","△タスク名なし",IF(ISNA(MATCH(AQ146,'M1_類型マスタ'!$A$5:$A$19,0)),"△類型が不正",IF(OR(AP146="",N(AP146)&lt;1,N(AP146)&gt;6),"△業務区分が不正",IF(OR(AS146="",AT146=""),"△回数・分が読めない",IF(SUMPRODUCT(--ISNUMBER(--T146:Z146))&lt;7,"△採点が足りない",IF(SUMPRODUCT((--T146:Z146&gt;2)+(--T146:Z146&lt;0))&gt;0,"△採点が範囲外","OK"))))))))))))</f>
        <v/>
      </c>
      <c r="AC146">
        <f>IF(AB146&lt;&gt;"OK","",TRIM(IF(AND(AU146&lt;&gt;"",N(AU146)&lt;=1),"根拠1件 ","")&amp;IF(AV146&lt;&gt;"","同名あり ","")&amp;IF(AND(NOT(ISNUMBER(N146)),N146&lt;&gt;""),"回数を換算 ","")&amp;IF(J146="","詳細なし ","")&amp;IF(AND(N(AP146)=1,BB146=""),"顧客名なし ","")))</f>
        <v/>
      </c>
      <c r="AD146" s="31" t="n"/>
      <c r="AE146" s="32" t="n"/>
      <c r="AF146" s="32" t="n"/>
      <c r="AG146" s="31" t="n"/>
      <c r="AH146">
        <f>IF(AB146&lt;&gt;"OK","",IF(AG146&lt;&gt;"",AG146,AJ146))</f>
        <v/>
      </c>
      <c r="AI146" s="33">
        <f>IF(AB146&lt;&gt;"OK","",IFERROR(IF(AE146&lt;&gt;"",AE146,AS146)*IF(AF146&lt;&gt;"",AF146,AT146)/60,""))</f>
        <v/>
      </c>
      <c r="AJ146">
        <f>IF(AB146&lt;&gt;"OK","",IF(OR(VALUE(T146)=2,VALUE(U146)=2,VALUE(V146)=2),"社内残置",IF(AND(VALUE(T146)=0,VALUE(W146)=0,VALUE(Y146)=0),"自動化候補",IF(AND(VALUE(U146)=0,VALUE(W146)&lt;=1,VALUE(X146)&lt;=1,VALUE(Y146)&lt;=1,VALUE(Z146)&lt;=1),"オフショア候補",IF(AND(VALUE(Y146)&lt;=1,VALUE(Z146)&lt;=1),"ニアショア候補","社内で手順化→再評価")))))</f>
        <v/>
      </c>
      <c r="AK146">
        <f>IF(AB146&lt;&gt;"OK","",14-SUMPRODUCT(--T146:Z146))</f>
        <v/>
      </c>
      <c r="AL146" s="33">
        <f>IF(AB146&lt;&gt;"OK","",AS146*AT146/60)</f>
        <v/>
      </c>
      <c r="AM146" s="34">
        <f>IF(A146="","",UPPER(TRIM(ASC(A146&amp;""))))</f>
        <v/>
      </c>
      <c r="AN146" s="34">
        <f>IF(AM146="","",AM146&amp;"-"&amp;B146)</f>
        <v/>
      </c>
      <c r="AO146" s="34">
        <f>IF(C146="","",IFERROR(VALUE(ASC(SUBSTITUTE(C146&amp;"","観点",""))),""))</f>
        <v/>
      </c>
      <c r="AP146" s="34">
        <f>IF(D146="","",IFERROR(VALUE(LEFT(TRIM(ASC(D146&amp;"")),1)),IFERROR(MATCH(TRIM(D146&amp;""),'M2_区分マスタ'!$I$5:$I$10,0),"")))</f>
        <v/>
      </c>
      <c r="AQ146" s="34">
        <f>IF(H146="","",UPPER(LEFT(TRIM(ASC(H146&amp;"")),3)))</f>
        <v/>
      </c>
      <c r="AR146" s="34">
        <f>IF(N146="","",IFERROR(VALUE(SUBSTITUTE(SUBSTITUTE(SUBSTITUTE(SUBSTITUTE(SUBSTITUTE(SUBSTITUTE(SUBSTITUTE(SUBSTITUTE(SUBSTITUTE(SUBSTITUTE(SUBSTITUTE(SUBSTITUTE(ASC(N146&amp;""),"約",""),"程度",""),"ほど",""),"回",""),"毎",""),"週",""),"月",""),"年",""),"日",""),"に",""),"/","")," ","")),""))</f>
        <v/>
      </c>
      <c r="AS146" s="34">
        <f>IF(N146="","",IF(ISNUMBER(N146),N146,IFERROR(VALUE(ASC(N146&amp;"")),IF(AR146&lt;&gt;"",AR146*IF(ISNUMBER(SEARCH("週",N146)),4.3,IF(ISNUMBER(SEARCH("年",N146)),1/12,IF(ISNUMBER(SEARCH("日",N146)),20,1))),IF(ISNUMBER(SEARCH("日",N146)),20,IF(ISNUMBER(SEARCH("週",N146)),4.3,IF(ISNUMBER(SEARCH("月",N146)),1,"")))))))</f>
        <v/>
      </c>
      <c r="AT146" s="34">
        <f>IF(O146="","",IF(ISNUMBER(O146),O146,IFERROR(VALUE(ASC(O146&amp;"")),IF(ISNUMBER(SEARCH("時間",O146)),IFERROR(VALUE(SUBSTITUTE(SUBSTITUTE(SUBSTITUTE(SUBSTITUTE(SUBSTITUTE(ASC(O146&amp;""),"約",""),"程度",""),"ほど",""),"時間","")," ",""))*60,""),IFERROR(VALUE(SUBSTITUTE(SUBSTITUTE(SUBSTITUTE(SUBSTITUTE(SUBSTITUTE(ASC(O146&amp;""),"約",""),"程度",""),"ほど",""),"分","")," ","")),"")))))</f>
        <v/>
      </c>
      <c r="AU146" s="34">
        <f>IF(P146="","",IF(ISNUMBER(P146),P146,IFERROR(VALUE(SUBSTITUTE(SUBSTITUTE(SUBSTITUTE(ASC(P146&amp;""),"約",""),"件","")," ","")),"")))</f>
        <v/>
      </c>
      <c r="AV146" s="34">
        <f>IF(AB146&lt;&gt;"OK","",IF(COUNTIFS($G$5:$G$404,G146&amp;"",$F$5:$F$404,F146&amp;"",$BE$5:$BE$404,BE146&amp;"",$AB$5:$AB$404,"OK")&gt;1,"同名あり",""))</f>
        <v/>
      </c>
      <c r="AW146" s="35">
        <f>IF(Q146="","",IF(ISNUMBER(Q146),Q146,IFERROR(DATEVALUE(SUBSTITUTE(SUBSTITUTE(ASC(Q146&amp;""),"-","/"),".","/")&amp;"/01"),"")))</f>
        <v/>
      </c>
      <c r="AX146" s="35">
        <f>IF(R146="","",IF(ISNUMBER(R146),R146,IFERROR(DATEVALUE(SUBSTITUTE(SUBSTITUTE(ASC(R146&amp;""),"-","/"),".","/")&amp;"/01"),"")))</f>
        <v/>
      </c>
      <c r="AY146" s="34">
        <f>IF(OR(AB146&lt;&gt;"OK",AW146=""),"",IF(AW146&gt;='01_設定'!$C$26,1,0))</f>
        <v/>
      </c>
      <c r="AZ146" s="34">
        <f>IF(AND(AB146="OK",AD146&lt;&gt;"除外"),COUNTIFS($AB$5:AB146,"OK",$AD$5:AD146,"&lt;&gt;除外"),"")</f>
        <v/>
      </c>
      <c r="BA146" s="34">
        <f>IF(OR(AZ146="",AI146=""),"",AI146+ROW()/1000000000)</f>
        <v/>
      </c>
      <c r="BB146" s="34">
        <f>IF(E146="","",IF(OR(TRIM(E146&amp;"")="-",TRIM(E146&amp;"")="－",TRIM(E146&amp;"")="ー"),"",TRIM(E146&amp;"")))</f>
        <v/>
      </c>
      <c r="BC146" s="34">
        <f>IF(AND(AB146="OK",BB146&lt;&gt;""),IF(COUNTIFS($BB$5:BB146,BB146,$AB$5:AB146,"OK")=1,1,""),"")</f>
        <v/>
      </c>
      <c r="BD146" s="34">
        <f>IF(BC146=1,COUNTIF($BC$5:BC146,1),"")</f>
        <v/>
      </c>
      <c r="BE146" s="34">
        <f>IF(BB146="","",IFERROR(INDEX('06_顧客別集計'!$G$5:$G$104,MATCH(BB146,'06_顧客別集計'!$C$5:$C$104,0)),BB146))</f>
        <v/>
      </c>
      <c r="BF146" s="34">
        <f>IF(AND(AZ146&lt;&gt;"",BE146&lt;&gt;""),IF(COUNTIFS($BE$5:BE146,BE146,$AZ$5:AZ146,"&gt;0")=1,1,""),"")</f>
        <v/>
      </c>
      <c r="BG146" s="34">
        <f>IF(BF146=1,COUNTIF($BF$5:BF146,1),"")</f>
        <v/>
      </c>
    </row>
    <row r="147">
      <c r="AB147">
        <f>IF(AND(A147="",G147=""),"",IF(ISNUMBER(SEARCH("##END",AM147)),"（終わりの印）",IF(ISNUMBER(SEARCH("##続き",AM147)),"（続きありの印）",IF(AM147="調査ID","（見出し行）",IF(AND(AM147&lt;&gt;"R1",AM147&lt;&gt;"R2"),"×表以外の行（集計されない）",IF(COUNTIF($AN$5:AN147,AN147)&gt;1,"△重複（集計されない）",IF(G147="","△タスク名なし",IF(ISNA(MATCH(AQ147,'M1_類型マスタ'!$A$5:$A$19,0)),"△類型が不正",IF(OR(AP147="",N(AP147)&lt;1,N(AP147)&gt;6),"△業務区分が不正",IF(OR(AS147="",AT147=""),"△回数・分が読めない",IF(SUMPRODUCT(--ISNUMBER(--T147:Z147))&lt;7,"△採点が足りない",IF(SUMPRODUCT((--T147:Z147&gt;2)+(--T147:Z147&lt;0))&gt;0,"△採点が範囲外","OK"))))))))))))</f>
        <v/>
      </c>
      <c r="AC147">
        <f>IF(AB147&lt;&gt;"OK","",TRIM(IF(AND(AU147&lt;&gt;"",N(AU147)&lt;=1),"根拠1件 ","")&amp;IF(AV147&lt;&gt;"","同名あり ","")&amp;IF(AND(NOT(ISNUMBER(N147)),N147&lt;&gt;""),"回数を換算 ","")&amp;IF(J147="","詳細なし ","")&amp;IF(AND(N(AP147)=1,BB147=""),"顧客名なし ","")))</f>
        <v/>
      </c>
      <c r="AD147" s="31" t="n"/>
      <c r="AE147" s="32" t="n"/>
      <c r="AF147" s="32" t="n"/>
      <c r="AG147" s="31" t="n"/>
      <c r="AH147">
        <f>IF(AB147&lt;&gt;"OK","",IF(AG147&lt;&gt;"",AG147,AJ147))</f>
        <v/>
      </c>
      <c r="AI147" s="33">
        <f>IF(AB147&lt;&gt;"OK","",IFERROR(IF(AE147&lt;&gt;"",AE147,AS147)*IF(AF147&lt;&gt;"",AF147,AT147)/60,""))</f>
        <v/>
      </c>
      <c r="AJ147">
        <f>IF(AB147&lt;&gt;"OK","",IF(OR(VALUE(T147)=2,VALUE(U147)=2,VALUE(V147)=2),"社内残置",IF(AND(VALUE(T147)=0,VALUE(W147)=0,VALUE(Y147)=0),"自動化候補",IF(AND(VALUE(U147)=0,VALUE(W147)&lt;=1,VALUE(X147)&lt;=1,VALUE(Y147)&lt;=1,VALUE(Z147)&lt;=1),"オフショア候補",IF(AND(VALUE(Y147)&lt;=1,VALUE(Z147)&lt;=1),"ニアショア候補","社内で手順化→再評価")))))</f>
        <v/>
      </c>
      <c r="AK147">
        <f>IF(AB147&lt;&gt;"OK","",14-SUMPRODUCT(--T147:Z147))</f>
        <v/>
      </c>
      <c r="AL147" s="33">
        <f>IF(AB147&lt;&gt;"OK","",AS147*AT147/60)</f>
        <v/>
      </c>
      <c r="AM147" s="34">
        <f>IF(A147="","",UPPER(TRIM(ASC(A147&amp;""))))</f>
        <v/>
      </c>
      <c r="AN147" s="34">
        <f>IF(AM147="","",AM147&amp;"-"&amp;B147)</f>
        <v/>
      </c>
      <c r="AO147" s="34">
        <f>IF(C147="","",IFERROR(VALUE(ASC(SUBSTITUTE(C147&amp;"","観点",""))),""))</f>
        <v/>
      </c>
      <c r="AP147" s="34">
        <f>IF(D147="","",IFERROR(VALUE(LEFT(TRIM(ASC(D147&amp;"")),1)),IFERROR(MATCH(TRIM(D147&amp;""),'M2_区分マスタ'!$I$5:$I$10,0),"")))</f>
        <v/>
      </c>
      <c r="AQ147" s="34">
        <f>IF(H147="","",UPPER(LEFT(TRIM(ASC(H147&amp;"")),3)))</f>
        <v/>
      </c>
      <c r="AR147" s="34">
        <f>IF(N147="","",IFERROR(VALUE(SUBSTITUTE(SUBSTITUTE(SUBSTITUTE(SUBSTITUTE(SUBSTITUTE(SUBSTITUTE(SUBSTITUTE(SUBSTITUTE(SUBSTITUTE(SUBSTITUTE(SUBSTITUTE(SUBSTITUTE(ASC(N147&amp;""),"約",""),"程度",""),"ほど",""),"回",""),"毎",""),"週",""),"月",""),"年",""),"日",""),"に",""),"/","")," ","")),""))</f>
        <v/>
      </c>
      <c r="AS147" s="34">
        <f>IF(N147="","",IF(ISNUMBER(N147),N147,IFERROR(VALUE(ASC(N147&amp;"")),IF(AR147&lt;&gt;"",AR147*IF(ISNUMBER(SEARCH("週",N147)),4.3,IF(ISNUMBER(SEARCH("年",N147)),1/12,IF(ISNUMBER(SEARCH("日",N147)),20,1))),IF(ISNUMBER(SEARCH("日",N147)),20,IF(ISNUMBER(SEARCH("週",N147)),4.3,IF(ISNUMBER(SEARCH("月",N147)),1,"")))))))</f>
        <v/>
      </c>
      <c r="AT147" s="34">
        <f>IF(O147="","",IF(ISNUMBER(O147),O147,IFERROR(VALUE(ASC(O147&amp;"")),IF(ISNUMBER(SEARCH("時間",O147)),IFERROR(VALUE(SUBSTITUTE(SUBSTITUTE(SUBSTITUTE(SUBSTITUTE(SUBSTITUTE(ASC(O147&amp;""),"約",""),"程度",""),"ほど",""),"時間","")," ",""))*60,""),IFERROR(VALUE(SUBSTITUTE(SUBSTITUTE(SUBSTITUTE(SUBSTITUTE(SUBSTITUTE(ASC(O147&amp;""),"約",""),"程度",""),"ほど",""),"分","")," ","")),"")))))</f>
        <v/>
      </c>
      <c r="AU147" s="34">
        <f>IF(P147="","",IF(ISNUMBER(P147),P147,IFERROR(VALUE(SUBSTITUTE(SUBSTITUTE(SUBSTITUTE(ASC(P147&amp;""),"約",""),"件","")," ","")),"")))</f>
        <v/>
      </c>
      <c r="AV147" s="34">
        <f>IF(AB147&lt;&gt;"OK","",IF(COUNTIFS($G$5:$G$404,G147&amp;"",$F$5:$F$404,F147&amp;"",$BE$5:$BE$404,BE147&amp;"",$AB$5:$AB$404,"OK")&gt;1,"同名あり",""))</f>
        <v/>
      </c>
      <c r="AW147" s="35">
        <f>IF(Q147="","",IF(ISNUMBER(Q147),Q147,IFERROR(DATEVALUE(SUBSTITUTE(SUBSTITUTE(ASC(Q147&amp;""),"-","/"),".","/")&amp;"/01"),"")))</f>
        <v/>
      </c>
      <c r="AX147" s="35">
        <f>IF(R147="","",IF(ISNUMBER(R147),R147,IFERROR(DATEVALUE(SUBSTITUTE(SUBSTITUTE(ASC(R147&amp;""),"-","/"),".","/")&amp;"/01"),"")))</f>
        <v/>
      </c>
      <c r="AY147" s="34">
        <f>IF(OR(AB147&lt;&gt;"OK",AW147=""),"",IF(AW147&gt;='01_設定'!$C$26,1,0))</f>
        <v/>
      </c>
      <c r="AZ147" s="34">
        <f>IF(AND(AB147="OK",AD147&lt;&gt;"除外"),COUNTIFS($AB$5:AB147,"OK",$AD$5:AD147,"&lt;&gt;除外"),"")</f>
        <v/>
      </c>
      <c r="BA147" s="34">
        <f>IF(OR(AZ147="",AI147=""),"",AI147+ROW()/1000000000)</f>
        <v/>
      </c>
      <c r="BB147" s="34">
        <f>IF(E147="","",IF(OR(TRIM(E147&amp;"")="-",TRIM(E147&amp;"")="－",TRIM(E147&amp;"")="ー"),"",TRIM(E147&amp;"")))</f>
        <v/>
      </c>
      <c r="BC147" s="34">
        <f>IF(AND(AB147="OK",BB147&lt;&gt;""),IF(COUNTIFS($BB$5:BB147,BB147,$AB$5:AB147,"OK")=1,1,""),"")</f>
        <v/>
      </c>
      <c r="BD147" s="34">
        <f>IF(BC147=1,COUNTIF($BC$5:BC147,1),"")</f>
        <v/>
      </c>
      <c r="BE147" s="34">
        <f>IF(BB147="","",IFERROR(INDEX('06_顧客別集計'!$G$5:$G$104,MATCH(BB147,'06_顧客別集計'!$C$5:$C$104,0)),BB147))</f>
        <v/>
      </c>
      <c r="BF147" s="34">
        <f>IF(AND(AZ147&lt;&gt;"",BE147&lt;&gt;""),IF(COUNTIFS($BE$5:BE147,BE147,$AZ$5:AZ147,"&gt;0")=1,1,""),"")</f>
        <v/>
      </c>
      <c r="BG147" s="34">
        <f>IF(BF147=1,COUNTIF($BF$5:BF147,1),"")</f>
        <v/>
      </c>
    </row>
    <row r="148">
      <c r="AB148">
        <f>IF(AND(A148="",G148=""),"",IF(ISNUMBER(SEARCH("##END",AM148)),"（終わりの印）",IF(ISNUMBER(SEARCH("##続き",AM148)),"（続きありの印）",IF(AM148="調査ID","（見出し行）",IF(AND(AM148&lt;&gt;"R1",AM148&lt;&gt;"R2"),"×表以外の行（集計されない）",IF(COUNTIF($AN$5:AN148,AN148)&gt;1,"△重複（集計されない）",IF(G148="","△タスク名なし",IF(ISNA(MATCH(AQ148,'M1_類型マスタ'!$A$5:$A$19,0)),"△類型が不正",IF(OR(AP148="",N(AP148)&lt;1,N(AP148)&gt;6),"△業務区分が不正",IF(OR(AS148="",AT148=""),"△回数・分が読めない",IF(SUMPRODUCT(--ISNUMBER(--T148:Z148))&lt;7,"△採点が足りない",IF(SUMPRODUCT((--T148:Z148&gt;2)+(--T148:Z148&lt;0))&gt;0,"△採点が範囲外","OK"))))))))))))</f>
        <v/>
      </c>
      <c r="AC148">
        <f>IF(AB148&lt;&gt;"OK","",TRIM(IF(AND(AU148&lt;&gt;"",N(AU148)&lt;=1),"根拠1件 ","")&amp;IF(AV148&lt;&gt;"","同名あり ","")&amp;IF(AND(NOT(ISNUMBER(N148)),N148&lt;&gt;""),"回数を換算 ","")&amp;IF(J148="","詳細なし ","")&amp;IF(AND(N(AP148)=1,BB148=""),"顧客名なし ","")))</f>
        <v/>
      </c>
      <c r="AD148" s="31" t="n"/>
      <c r="AE148" s="32" t="n"/>
      <c r="AF148" s="32" t="n"/>
      <c r="AG148" s="31" t="n"/>
      <c r="AH148">
        <f>IF(AB148&lt;&gt;"OK","",IF(AG148&lt;&gt;"",AG148,AJ148))</f>
        <v/>
      </c>
      <c r="AI148" s="33">
        <f>IF(AB148&lt;&gt;"OK","",IFERROR(IF(AE148&lt;&gt;"",AE148,AS148)*IF(AF148&lt;&gt;"",AF148,AT148)/60,""))</f>
        <v/>
      </c>
      <c r="AJ148">
        <f>IF(AB148&lt;&gt;"OK","",IF(OR(VALUE(T148)=2,VALUE(U148)=2,VALUE(V148)=2),"社内残置",IF(AND(VALUE(T148)=0,VALUE(W148)=0,VALUE(Y148)=0),"自動化候補",IF(AND(VALUE(U148)=0,VALUE(W148)&lt;=1,VALUE(X148)&lt;=1,VALUE(Y148)&lt;=1,VALUE(Z148)&lt;=1),"オフショア候補",IF(AND(VALUE(Y148)&lt;=1,VALUE(Z148)&lt;=1),"ニアショア候補","社内で手順化→再評価")))))</f>
        <v/>
      </c>
      <c r="AK148">
        <f>IF(AB148&lt;&gt;"OK","",14-SUMPRODUCT(--T148:Z148))</f>
        <v/>
      </c>
      <c r="AL148" s="33">
        <f>IF(AB148&lt;&gt;"OK","",AS148*AT148/60)</f>
        <v/>
      </c>
      <c r="AM148" s="34">
        <f>IF(A148="","",UPPER(TRIM(ASC(A148&amp;""))))</f>
        <v/>
      </c>
      <c r="AN148" s="34">
        <f>IF(AM148="","",AM148&amp;"-"&amp;B148)</f>
        <v/>
      </c>
      <c r="AO148" s="34">
        <f>IF(C148="","",IFERROR(VALUE(ASC(SUBSTITUTE(C148&amp;"","観点",""))),""))</f>
        <v/>
      </c>
      <c r="AP148" s="34">
        <f>IF(D148="","",IFERROR(VALUE(LEFT(TRIM(ASC(D148&amp;"")),1)),IFERROR(MATCH(TRIM(D148&amp;""),'M2_区分マスタ'!$I$5:$I$10,0),"")))</f>
        <v/>
      </c>
      <c r="AQ148" s="34">
        <f>IF(H148="","",UPPER(LEFT(TRIM(ASC(H148&amp;"")),3)))</f>
        <v/>
      </c>
      <c r="AR148" s="34">
        <f>IF(N148="","",IFERROR(VALUE(SUBSTITUTE(SUBSTITUTE(SUBSTITUTE(SUBSTITUTE(SUBSTITUTE(SUBSTITUTE(SUBSTITUTE(SUBSTITUTE(SUBSTITUTE(SUBSTITUTE(SUBSTITUTE(SUBSTITUTE(ASC(N148&amp;""),"約",""),"程度",""),"ほど",""),"回",""),"毎",""),"週",""),"月",""),"年",""),"日",""),"に",""),"/","")," ","")),""))</f>
        <v/>
      </c>
      <c r="AS148" s="34">
        <f>IF(N148="","",IF(ISNUMBER(N148),N148,IFERROR(VALUE(ASC(N148&amp;"")),IF(AR148&lt;&gt;"",AR148*IF(ISNUMBER(SEARCH("週",N148)),4.3,IF(ISNUMBER(SEARCH("年",N148)),1/12,IF(ISNUMBER(SEARCH("日",N148)),20,1))),IF(ISNUMBER(SEARCH("日",N148)),20,IF(ISNUMBER(SEARCH("週",N148)),4.3,IF(ISNUMBER(SEARCH("月",N148)),1,"")))))))</f>
        <v/>
      </c>
      <c r="AT148" s="34">
        <f>IF(O148="","",IF(ISNUMBER(O148),O148,IFERROR(VALUE(ASC(O148&amp;"")),IF(ISNUMBER(SEARCH("時間",O148)),IFERROR(VALUE(SUBSTITUTE(SUBSTITUTE(SUBSTITUTE(SUBSTITUTE(SUBSTITUTE(ASC(O148&amp;""),"約",""),"程度",""),"ほど",""),"時間","")," ",""))*60,""),IFERROR(VALUE(SUBSTITUTE(SUBSTITUTE(SUBSTITUTE(SUBSTITUTE(SUBSTITUTE(ASC(O148&amp;""),"約",""),"程度",""),"ほど",""),"分","")," ","")),"")))))</f>
        <v/>
      </c>
      <c r="AU148" s="34">
        <f>IF(P148="","",IF(ISNUMBER(P148),P148,IFERROR(VALUE(SUBSTITUTE(SUBSTITUTE(SUBSTITUTE(ASC(P148&amp;""),"約",""),"件","")," ","")),"")))</f>
        <v/>
      </c>
      <c r="AV148" s="34">
        <f>IF(AB148&lt;&gt;"OK","",IF(COUNTIFS($G$5:$G$404,G148&amp;"",$F$5:$F$404,F148&amp;"",$BE$5:$BE$404,BE148&amp;"",$AB$5:$AB$404,"OK")&gt;1,"同名あり",""))</f>
        <v/>
      </c>
      <c r="AW148" s="35">
        <f>IF(Q148="","",IF(ISNUMBER(Q148),Q148,IFERROR(DATEVALUE(SUBSTITUTE(SUBSTITUTE(ASC(Q148&amp;""),"-","/"),".","/")&amp;"/01"),"")))</f>
        <v/>
      </c>
      <c r="AX148" s="35">
        <f>IF(R148="","",IF(ISNUMBER(R148),R148,IFERROR(DATEVALUE(SUBSTITUTE(SUBSTITUTE(ASC(R148&amp;""),"-","/"),".","/")&amp;"/01"),"")))</f>
        <v/>
      </c>
      <c r="AY148" s="34">
        <f>IF(OR(AB148&lt;&gt;"OK",AW148=""),"",IF(AW148&gt;='01_設定'!$C$26,1,0))</f>
        <v/>
      </c>
      <c r="AZ148" s="34">
        <f>IF(AND(AB148="OK",AD148&lt;&gt;"除外"),COUNTIFS($AB$5:AB148,"OK",$AD$5:AD148,"&lt;&gt;除外"),"")</f>
        <v/>
      </c>
      <c r="BA148" s="34">
        <f>IF(OR(AZ148="",AI148=""),"",AI148+ROW()/1000000000)</f>
        <v/>
      </c>
      <c r="BB148" s="34">
        <f>IF(E148="","",IF(OR(TRIM(E148&amp;"")="-",TRIM(E148&amp;"")="－",TRIM(E148&amp;"")="ー"),"",TRIM(E148&amp;"")))</f>
        <v/>
      </c>
      <c r="BC148" s="34">
        <f>IF(AND(AB148="OK",BB148&lt;&gt;""),IF(COUNTIFS($BB$5:BB148,BB148,$AB$5:AB148,"OK")=1,1,""),"")</f>
        <v/>
      </c>
      <c r="BD148" s="34">
        <f>IF(BC148=1,COUNTIF($BC$5:BC148,1),"")</f>
        <v/>
      </c>
      <c r="BE148" s="34">
        <f>IF(BB148="","",IFERROR(INDEX('06_顧客別集計'!$G$5:$G$104,MATCH(BB148,'06_顧客別集計'!$C$5:$C$104,0)),BB148))</f>
        <v/>
      </c>
      <c r="BF148" s="34">
        <f>IF(AND(AZ148&lt;&gt;"",BE148&lt;&gt;""),IF(COUNTIFS($BE$5:BE148,BE148,$AZ$5:AZ148,"&gt;0")=1,1,""),"")</f>
        <v/>
      </c>
      <c r="BG148" s="34">
        <f>IF(BF148=1,COUNTIF($BF$5:BF148,1),"")</f>
        <v/>
      </c>
    </row>
    <row r="149">
      <c r="AB149">
        <f>IF(AND(A149="",G149=""),"",IF(ISNUMBER(SEARCH("##END",AM149)),"（終わりの印）",IF(ISNUMBER(SEARCH("##続き",AM149)),"（続きありの印）",IF(AM149="調査ID","（見出し行）",IF(AND(AM149&lt;&gt;"R1",AM149&lt;&gt;"R2"),"×表以外の行（集計されない）",IF(COUNTIF($AN$5:AN149,AN149)&gt;1,"△重複（集計されない）",IF(G149="","△タスク名なし",IF(ISNA(MATCH(AQ149,'M1_類型マスタ'!$A$5:$A$19,0)),"△類型が不正",IF(OR(AP149="",N(AP149)&lt;1,N(AP149)&gt;6),"△業務区分が不正",IF(OR(AS149="",AT149=""),"△回数・分が読めない",IF(SUMPRODUCT(--ISNUMBER(--T149:Z149))&lt;7,"△採点が足りない",IF(SUMPRODUCT((--T149:Z149&gt;2)+(--T149:Z149&lt;0))&gt;0,"△採点が範囲外","OK"))))))))))))</f>
        <v/>
      </c>
      <c r="AC149">
        <f>IF(AB149&lt;&gt;"OK","",TRIM(IF(AND(AU149&lt;&gt;"",N(AU149)&lt;=1),"根拠1件 ","")&amp;IF(AV149&lt;&gt;"","同名あり ","")&amp;IF(AND(NOT(ISNUMBER(N149)),N149&lt;&gt;""),"回数を換算 ","")&amp;IF(J149="","詳細なし ","")&amp;IF(AND(N(AP149)=1,BB149=""),"顧客名なし ","")))</f>
        <v/>
      </c>
      <c r="AD149" s="31" t="n"/>
      <c r="AE149" s="32" t="n"/>
      <c r="AF149" s="32" t="n"/>
      <c r="AG149" s="31" t="n"/>
      <c r="AH149">
        <f>IF(AB149&lt;&gt;"OK","",IF(AG149&lt;&gt;"",AG149,AJ149))</f>
        <v/>
      </c>
      <c r="AI149" s="33">
        <f>IF(AB149&lt;&gt;"OK","",IFERROR(IF(AE149&lt;&gt;"",AE149,AS149)*IF(AF149&lt;&gt;"",AF149,AT149)/60,""))</f>
        <v/>
      </c>
      <c r="AJ149">
        <f>IF(AB149&lt;&gt;"OK","",IF(OR(VALUE(T149)=2,VALUE(U149)=2,VALUE(V149)=2),"社内残置",IF(AND(VALUE(T149)=0,VALUE(W149)=0,VALUE(Y149)=0),"自動化候補",IF(AND(VALUE(U149)=0,VALUE(W149)&lt;=1,VALUE(X149)&lt;=1,VALUE(Y149)&lt;=1,VALUE(Z149)&lt;=1),"オフショア候補",IF(AND(VALUE(Y149)&lt;=1,VALUE(Z149)&lt;=1),"ニアショア候補","社内で手順化→再評価")))))</f>
        <v/>
      </c>
      <c r="AK149">
        <f>IF(AB149&lt;&gt;"OK","",14-SUMPRODUCT(--T149:Z149))</f>
        <v/>
      </c>
      <c r="AL149" s="33">
        <f>IF(AB149&lt;&gt;"OK","",AS149*AT149/60)</f>
        <v/>
      </c>
      <c r="AM149" s="34">
        <f>IF(A149="","",UPPER(TRIM(ASC(A149&amp;""))))</f>
        <v/>
      </c>
      <c r="AN149" s="34">
        <f>IF(AM149="","",AM149&amp;"-"&amp;B149)</f>
        <v/>
      </c>
      <c r="AO149" s="34">
        <f>IF(C149="","",IFERROR(VALUE(ASC(SUBSTITUTE(C149&amp;"","観点",""))),""))</f>
        <v/>
      </c>
      <c r="AP149" s="34">
        <f>IF(D149="","",IFERROR(VALUE(LEFT(TRIM(ASC(D149&amp;"")),1)),IFERROR(MATCH(TRIM(D149&amp;""),'M2_区分マスタ'!$I$5:$I$10,0),"")))</f>
        <v/>
      </c>
      <c r="AQ149" s="34">
        <f>IF(H149="","",UPPER(LEFT(TRIM(ASC(H149&amp;"")),3)))</f>
        <v/>
      </c>
      <c r="AR149" s="34">
        <f>IF(N149="","",IFERROR(VALUE(SUBSTITUTE(SUBSTITUTE(SUBSTITUTE(SUBSTITUTE(SUBSTITUTE(SUBSTITUTE(SUBSTITUTE(SUBSTITUTE(SUBSTITUTE(SUBSTITUTE(SUBSTITUTE(SUBSTITUTE(ASC(N149&amp;""),"約",""),"程度",""),"ほど",""),"回",""),"毎",""),"週",""),"月",""),"年",""),"日",""),"に",""),"/","")," ","")),""))</f>
        <v/>
      </c>
      <c r="AS149" s="34">
        <f>IF(N149="","",IF(ISNUMBER(N149),N149,IFERROR(VALUE(ASC(N149&amp;"")),IF(AR149&lt;&gt;"",AR149*IF(ISNUMBER(SEARCH("週",N149)),4.3,IF(ISNUMBER(SEARCH("年",N149)),1/12,IF(ISNUMBER(SEARCH("日",N149)),20,1))),IF(ISNUMBER(SEARCH("日",N149)),20,IF(ISNUMBER(SEARCH("週",N149)),4.3,IF(ISNUMBER(SEARCH("月",N149)),1,"")))))))</f>
        <v/>
      </c>
      <c r="AT149" s="34">
        <f>IF(O149="","",IF(ISNUMBER(O149),O149,IFERROR(VALUE(ASC(O149&amp;"")),IF(ISNUMBER(SEARCH("時間",O149)),IFERROR(VALUE(SUBSTITUTE(SUBSTITUTE(SUBSTITUTE(SUBSTITUTE(SUBSTITUTE(ASC(O149&amp;""),"約",""),"程度",""),"ほど",""),"時間","")," ",""))*60,""),IFERROR(VALUE(SUBSTITUTE(SUBSTITUTE(SUBSTITUTE(SUBSTITUTE(SUBSTITUTE(ASC(O149&amp;""),"約",""),"程度",""),"ほど",""),"分","")," ","")),"")))))</f>
        <v/>
      </c>
      <c r="AU149" s="34">
        <f>IF(P149="","",IF(ISNUMBER(P149),P149,IFERROR(VALUE(SUBSTITUTE(SUBSTITUTE(SUBSTITUTE(ASC(P149&amp;""),"約",""),"件","")," ","")),"")))</f>
        <v/>
      </c>
      <c r="AV149" s="34">
        <f>IF(AB149&lt;&gt;"OK","",IF(COUNTIFS($G$5:$G$404,G149&amp;"",$F$5:$F$404,F149&amp;"",$BE$5:$BE$404,BE149&amp;"",$AB$5:$AB$404,"OK")&gt;1,"同名あり",""))</f>
        <v/>
      </c>
      <c r="AW149" s="35">
        <f>IF(Q149="","",IF(ISNUMBER(Q149),Q149,IFERROR(DATEVALUE(SUBSTITUTE(SUBSTITUTE(ASC(Q149&amp;""),"-","/"),".","/")&amp;"/01"),"")))</f>
        <v/>
      </c>
      <c r="AX149" s="35">
        <f>IF(R149="","",IF(ISNUMBER(R149),R149,IFERROR(DATEVALUE(SUBSTITUTE(SUBSTITUTE(ASC(R149&amp;""),"-","/"),".","/")&amp;"/01"),"")))</f>
        <v/>
      </c>
      <c r="AY149" s="34">
        <f>IF(OR(AB149&lt;&gt;"OK",AW149=""),"",IF(AW149&gt;='01_設定'!$C$26,1,0))</f>
        <v/>
      </c>
      <c r="AZ149" s="34">
        <f>IF(AND(AB149="OK",AD149&lt;&gt;"除外"),COUNTIFS($AB$5:AB149,"OK",$AD$5:AD149,"&lt;&gt;除外"),"")</f>
        <v/>
      </c>
      <c r="BA149" s="34">
        <f>IF(OR(AZ149="",AI149=""),"",AI149+ROW()/1000000000)</f>
        <v/>
      </c>
      <c r="BB149" s="34">
        <f>IF(E149="","",IF(OR(TRIM(E149&amp;"")="-",TRIM(E149&amp;"")="－",TRIM(E149&amp;"")="ー"),"",TRIM(E149&amp;"")))</f>
        <v/>
      </c>
      <c r="BC149" s="34">
        <f>IF(AND(AB149="OK",BB149&lt;&gt;""),IF(COUNTIFS($BB$5:BB149,BB149,$AB$5:AB149,"OK")=1,1,""),"")</f>
        <v/>
      </c>
      <c r="BD149" s="34">
        <f>IF(BC149=1,COUNTIF($BC$5:BC149,1),"")</f>
        <v/>
      </c>
      <c r="BE149" s="34">
        <f>IF(BB149="","",IFERROR(INDEX('06_顧客別集計'!$G$5:$G$104,MATCH(BB149,'06_顧客別集計'!$C$5:$C$104,0)),BB149))</f>
        <v/>
      </c>
      <c r="BF149" s="34">
        <f>IF(AND(AZ149&lt;&gt;"",BE149&lt;&gt;""),IF(COUNTIFS($BE$5:BE149,BE149,$AZ$5:AZ149,"&gt;0")=1,1,""),"")</f>
        <v/>
      </c>
      <c r="BG149" s="34">
        <f>IF(BF149=1,COUNTIF($BF$5:BF149,1),"")</f>
        <v/>
      </c>
    </row>
    <row r="150">
      <c r="AB150">
        <f>IF(AND(A150="",G150=""),"",IF(ISNUMBER(SEARCH("##END",AM150)),"（終わりの印）",IF(ISNUMBER(SEARCH("##続き",AM150)),"（続きありの印）",IF(AM150="調査ID","（見出し行）",IF(AND(AM150&lt;&gt;"R1",AM150&lt;&gt;"R2"),"×表以外の行（集計されない）",IF(COUNTIF($AN$5:AN150,AN150)&gt;1,"△重複（集計されない）",IF(G150="","△タスク名なし",IF(ISNA(MATCH(AQ150,'M1_類型マスタ'!$A$5:$A$19,0)),"△類型が不正",IF(OR(AP150="",N(AP150)&lt;1,N(AP150)&gt;6),"△業務区分が不正",IF(OR(AS150="",AT150=""),"△回数・分が読めない",IF(SUMPRODUCT(--ISNUMBER(--T150:Z150))&lt;7,"△採点が足りない",IF(SUMPRODUCT((--T150:Z150&gt;2)+(--T150:Z150&lt;0))&gt;0,"△採点が範囲外","OK"))))))))))))</f>
        <v/>
      </c>
      <c r="AC150">
        <f>IF(AB150&lt;&gt;"OK","",TRIM(IF(AND(AU150&lt;&gt;"",N(AU150)&lt;=1),"根拠1件 ","")&amp;IF(AV150&lt;&gt;"","同名あり ","")&amp;IF(AND(NOT(ISNUMBER(N150)),N150&lt;&gt;""),"回数を換算 ","")&amp;IF(J150="","詳細なし ","")&amp;IF(AND(N(AP150)=1,BB150=""),"顧客名なし ","")))</f>
        <v/>
      </c>
      <c r="AD150" s="31" t="n"/>
      <c r="AE150" s="32" t="n"/>
      <c r="AF150" s="32" t="n"/>
      <c r="AG150" s="31" t="n"/>
      <c r="AH150">
        <f>IF(AB150&lt;&gt;"OK","",IF(AG150&lt;&gt;"",AG150,AJ150))</f>
        <v/>
      </c>
      <c r="AI150" s="33">
        <f>IF(AB150&lt;&gt;"OK","",IFERROR(IF(AE150&lt;&gt;"",AE150,AS150)*IF(AF150&lt;&gt;"",AF150,AT150)/60,""))</f>
        <v/>
      </c>
      <c r="AJ150">
        <f>IF(AB150&lt;&gt;"OK","",IF(OR(VALUE(T150)=2,VALUE(U150)=2,VALUE(V150)=2),"社内残置",IF(AND(VALUE(T150)=0,VALUE(W150)=0,VALUE(Y150)=0),"自動化候補",IF(AND(VALUE(U150)=0,VALUE(W150)&lt;=1,VALUE(X150)&lt;=1,VALUE(Y150)&lt;=1,VALUE(Z150)&lt;=1),"オフショア候補",IF(AND(VALUE(Y150)&lt;=1,VALUE(Z150)&lt;=1),"ニアショア候補","社内で手順化→再評価")))))</f>
        <v/>
      </c>
      <c r="AK150">
        <f>IF(AB150&lt;&gt;"OK","",14-SUMPRODUCT(--T150:Z150))</f>
        <v/>
      </c>
      <c r="AL150" s="33">
        <f>IF(AB150&lt;&gt;"OK","",AS150*AT150/60)</f>
        <v/>
      </c>
      <c r="AM150" s="34">
        <f>IF(A150="","",UPPER(TRIM(ASC(A150&amp;""))))</f>
        <v/>
      </c>
      <c r="AN150" s="34">
        <f>IF(AM150="","",AM150&amp;"-"&amp;B150)</f>
        <v/>
      </c>
      <c r="AO150" s="34">
        <f>IF(C150="","",IFERROR(VALUE(ASC(SUBSTITUTE(C150&amp;"","観点",""))),""))</f>
        <v/>
      </c>
      <c r="AP150" s="34">
        <f>IF(D150="","",IFERROR(VALUE(LEFT(TRIM(ASC(D150&amp;"")),1)),IFERROR(MATCH(TRIM(D150&amp;""),'M2_区分マスタ'!$I$5:$I$10,0),"")))</f>
        <v/>
      </c>
      <c r="AQ150" s="34">
        <f>IF(H150="","",UPPER(LEFT(TRIM(ASC(H150&amp;"")),3)))</f>
        <v/>
      </c>
      <c r="AR150" s="34">
        <f>IF(N150="","",IFERROR(VALUE(SUBSTITUTE(SUBSTITUTE(SUBSTITUTE(SUBSTITUTE(SUBSTITUTE(SUBSTITUTE(SUBSTITUTE(SUBSTITUTE(SUBSTITUTE(SUBSTITUTE(SUBSTITUTE(SUBSTITUTE(ASC(N150&amp;""),"約",""),"程度",""),"ほど",""),"回",""),"毎",""),"週",""),"月",""),"年",""),"日",""),"に",""),"/","")," ","")),""))</f>
        <v/>
      </c>
      <c r="AS150" s="34">
        <f>IF(N150="","",IF(ISNUMBER(N150),N150,IFERROR(VALUE(ASC(N150&amp;"")),IF(AR150&lt;&gt;"",AR150*IF(ISNUMBER(SEARCH("週",N150)),4.3,IF(ISNUMBER(SEARCH("年",N150)),1/12,IF(ISNUMBER(SEARCH("日",N150)),20,1))),IF(ISNUMBER(SEARCH("日",N150)),20,IF(ISNUMBER(SEARCH("週",N150)),4.3,IF(ISNUMBER(SEARCH("月",N150)),1,"")))))))</f>
        <v/>
      </c>
      <c r="AT150" s="34">
        <f>IF(O150="","",IF(ISNUMBER(O150),O150,IFERROR(VALUE(ASC(O150&amp;"")),IF(ISNUMBER(SEARCH("時間",O150)),IFERROR(VALUE(SUBSTITUTE(SUBSTITUTE(SUBSTITUTE(SUBSTITUTE(SUBSTITUTE(ASC(O150&amp;""),"約",""),"程度",""),"ほど",""),"時間","")," ",""))*60,""),IFERROR(VALUE(SUBSTITUTE(SUBSTITUTE(SUBSTITUTE(SUBSTITUTE(SUBSTITUTE(ASC(O150&amp;""),"約",""),"程度",""),"ほど",""),"分","")," ","")),"")))))</f>
        <v/>
      </c>
      <c r="AU150" s="34">
        <f>IF(P150="","",IF(ISNUMBER(P150),P150,IFERROR(VALUE(SUBSTITUTE(SUBSTITUTE(SUBSTITUTE(ASC(P150&amp;""),"約",""),"件","")," ","")),"")))</f>
        <v/>
      </c>
      <c r="AV150" s="34">
        <f>IF(AB150&lt;&gt;"OK","",IF(COUNTIFS($G$5:$G$404,G150&amp;"",$F$5:$F$404,F150&amp;"",$BE$5:$BE$404,BE150&amp;"",$AB$5:$AB$404,"OK")&gt;1,"同名あり",""))</f>
        <v/>
      </c>
      <c r="AW150" s="35">
        <f>IF(Q150="","",IF(ISNUMBER(Q150),Q150,IFERROR(DATEVALUE(SUBSTITUTE(SUBSTITUTE(ASC(Q150&amp;""),"-","/"),".","/")&amp;"/01"),"")))</f>
        <v/>
      </c>
      <c r="AX150" s="35">
        <f>IF(R150="","",IF(ISNUMBER(R150),R150,IFERROR(DATEVALUE(SUBSTITUTE(SUBSTITUTE(ASC(R150&amp;""),"-","/"),".","/")&amp;"/01"),"")))</f>
        <v/>
      </c>
      <c r="AY150" s="34">
        <f>IF(OR(AB150&lt;&gt;"OK",AW150=""),"",IF(AW150&gt;='01_設定'!$C$26,1,0))</f>
        <v/>
      </c>
      <c r="AZ150" s="34">
        <f>IF(AND(AB150="OK",AD150&lt;&gt;"除外"),COUNTIFS($AB$5:AB150,"OK",$AD$5:AD150,"&lt;&gt;除外"),"")</f>
        <v/>
      </c>
      <c r="BA150" s="34">
        <f>IF(OR(AZ150="",AI150=""),"",AI150+ROW()/1000000000)</f>
        <v/>
      </c>
      <c r="BB150" s="34">
        <f>IF(E150="","",IF(OR(TRIM(E150&amp;"")="-",TRIM(E150&amp;"")="－",TRIM(E150&amp;"")="ー"),"",TRIM(E150&amp;"")))</f>
        <v/>
      </c>
      <c r="BC150" s="34">
        <f>IF(AND(AB150="OK",BB150&lt;&gt;""),IF(COUNTIFS($BB$5:BB150,BB150,$AB$5:AB150,"OK")=1,1,""),"")</f>
        <v/>
      </c>
      <c r="BD150" s="34">
        <f>IF(BC150=1,COUNTIF($BC$5:BC150,1),"")</f>
        <v/>
      </c>
      <c r="BE150" s="34">
        <f>IF(BB150="","",IFERROR(INDEX('06_顧客別集計'!$G$5:$G$104,MATCH(BB150,'06_顧客別集計'!$C$5:$C$104,0)),BB150))</f>
        <v/>
      </c>
      <c r="BF150" s="34">
        <f>IF(AND(AZ150&lt;&gt;"",BE150&lt;&gt;""),IF(COUNTIFS($BE$5:BE150,BE150,$AZ$5:AZ150,"&gt;0")=1,1,""),"")</f>
        <v/>
      </c>
      <c r="BG150" s="34">
        <f>IF(BF150=1,COUNTIF($BF$5:BF150,1),"")</f>
        <v/>
      </c>
    </row>
    <row r="151">
      <c r="AB151">
        <f>IF(AND(A151="",G151=""),"",IF(ISNUMBER(SEARCH("##END",AM151)),"（終わりの印）",IF(ISNUMBER(SEARCH("##続き",AM151)),"（続きありの印）",IF(AM151="調査ID","（見出し行）",IF(AND(AM151&lt;&gt;"R1",AM151&lt;&gt;"R2"),"×表以外の行（集計されない）",IF(COUNTIF($AN$5:AN151,AN151)&gt;1,"△重複（集計されない）",IF(G151="","△タスク名なし",IF(ISNA(MATCH(AQ151,'M1_類型マスタ'!$A$5:$A$19,0)),"△類型が不正",IF(OR(AP151="",N(AP151)&lt;1,N(AP151)&gt;6),"△業務区分が不正",IF(OR(AS151="",AT151=""),"△回数・分が読めない",IF(SUMPRODUCT(--ISNUMBER(--T151:Z151))&lt;7,"△採点が足りない",IF(SUMPRODUCT((--T151:Z151&gt;2)+(--T151:Z151&lt;0))&gt;0,"△採点が範囲外","OK"))))))))))))</f>
        <v/>
      </c>
      <c r="AC151">
        <f>IF(AB151&lt;&gt;"OK","",TRIM(IF(AND(AU151&lt;&gt;"",N(AU151)&lt;=1),"根拠1件 ","")&amp;IF(AV151&lt;&gt;"","同名あり ","")&amp;IF(AND(NOT(ISNUMBER(N151)),N151&lt;&gt;""),"回数を換算 ","")&amp;IF(J151="","詳細なし ","")&amp;IF(AND(N(AP151)=1,BB151=""),"顧客名なし ","")))</f>
        <v/>
      </c>
      <c r="AD151" s="31" t="n"/>
      <c r="AE151" s="32" t="n"/>
      <c r="AF151" s="32" t="n"/>
      <c r="AG151" s="31" t="n"/>
      <c r="AH151">
        <f>IF(AB151&lt;&gt;"OK","",IF(AG151&lt;&gt;"",AG151,AJ151))</f>
        <v/>
      </c>
      <c r="AI151" s="33">
        <f>IF(AB151&lt;&gt;"OK","",IFERROR(IF(AE151&lt;&gt;"",AE151,AS151)*IF(AF151&lt;&gt;"",AF151,AT151)/60,""))</f>
        <v/>
      </c>
      <c r="AJ151">
        <f>IF(AB151&lt;&gt;"OK","",IF(OR(VALUE(T151)=2,VALUE(U151)=2,VALUE(V151)=2),"社内残置",IF(AND(VALUE(T151)=0,VALUE(W151)=0,VALUE(Y151)=0),"自動化候補",IF(AND(VALUE(U151)=0,VALUE(W151)&lt;=1,VALUE(X151)&lt;=1,VALUE(Y151)&lt;=1,VALUE(Z151)&lt;=1),"オフショア候補",IF(AND(VALUE(Y151)&lt;=1,VALUE(Z151)&lt;=1),"ニアショア候補","社内で手順化→再評価")))))</f>
        <v/>
      </c>
      <c r="AK151">
        <f>IF(AB151&lt;&gt;"OK","",14-SUMPRODUCT(--T151:Z151))</f>
        <v/>
      </c>
      <c r="AL151" s="33">
        <f>IF(AB151&lt;&gt;"OK","",AS151*AT151/60)</f>
        <v/>
      </c>
      <c r="AM151" s="34">
        <f>IF(A151="","",UPPER(TRIM(ASC(A151&amp;""))))</f>
        <v/>
      </c>
      <c r="AN151" s="34">
        <f>IF(AM151="","",AM151&amp;"-"&amp;B151)</f>
        <v/>
      </c>
      <c r="AO151" s="34">
        <f>IF(C151="","",IFERROR(VALUE(ASC(SUBSTITUTE(C151&amp;"","観点",""))),""))</f>
        <v/>
      </c>
      <c r="AP151" s="34">
        <f>IF(D151="","",IFERROR(VALUE(LEFT(TRIM(ASC(D151&amp;"")),1)),IFERROR(MATCH(TRIM(D151&amp;""),'M2_区分マスタ'!$I$5:$I$10,0),"")))</f>
        <v/>
      </c>
      <c r="AQ151" s="34">
        <f>IF(H151="","",UPPER(LEFT(TRIM(ASC(H151&amp;"")),3)))</f>
        <v/>
      </c>
      <c r="AR151" s="34">
        <f>IF(N151="","",IFERROR(VALUE(SUBSTITUTE(SUBSTITUTE(SUBSTITUTE(SUBSTITUTE(SUBSTITUTE(SUBSTITUTE(SUBSTITUTE(SUBSTITUTE(SUBSTITUTE(SUBSTITUTE(SUBSTITUTE(SUBSTITUTE(ASC(N151&amp;""),"約",""),"程度",""),"ほど",""),"回",""),"毎",""),"週",""),"月",""),"年",""),"日",""),"に",""),"/","")," ","")),""))</f>
        <v/>
      </c>
      <c r="AS151" s="34">
        <f>IF(N151="","",IF(ISNUMBER(N151),N151,IFERROR(VALUE(ASC(N151&amp;"")),IF(AR151&lt;&gt;"",AR151*IF(ISNUMBER(SEARCH("週",N151)),4.3,IF(ISNUMBER(SEARCH("年",N151)),1/12,IF(ISNUMBER(SEARCH("日",N151)),20,1))),IF(ISNUMBER(SEARCH("日",N151)),20,IF(ISNUMBER(SEARCH("週",N151)),4.3,IF(ISNUMBER(SEARCH("月",N151)),1,"")))))))</f>
        <v/>
      </c>
      <c r="AT151" s="34">
        <f>IF(O151="","",IF(ISNUMBER(O151),O151,IFERROR(VALUE(ASC(O151&amp;"")),IF(ISNUMBER(SEARCH("時間",O151)),IFERROR(VALUE(SUBSTITUTE(SUBSTITUTE(SUBSTITUTE(SUBSTITUTE(SUBSTITUTE(ASC(O151&amp;""),"約",""),"程度",""),"ほど",""),"時間","")," ",""))*60,""),IFERROR(VALUE(SUBSTITUTE(SUBSTITUTE(SUBSTITUTE(SUBSTITUTE(SUBSTITUTE(ASC(O151&amp;""),"約",""),"程度",""),"ほど",""),"分","")," ","")),"")))))</f>
        <v/>
      </c>
      <c r="AU151" s="34">
        <f>IF(P151="","",IF(ISNUMBER(P151),P151,IFERROR(VALUE(SUBSTITUTE(SUBSTITUTE(SUBSTITUTE(ASC(P151&amp;""),"約",""),"件","")," ","")),"")))</f>
        <v/>
      </c>
      <c r="AV151" s="34">
        <f>IF(AB151&lt;&gt;"OK","",IF(COUNTIFS($G$5:$G$404,G151&amp;"",$F$5:$F$404,F151&amp;"",$BE$5:$BE$404,BE151&amp;"",$AB$5:$AB$404,"OK")&gt;1,"同名あり",""))</f>
        <v/>
      </c>
      <c r="AW151" s="35">
        <f>IF(Q151="","",IF(ISNUMBER(Q151),Q151,IFERROR(DATEVALUE(SUBSTITUTE(SUBSTITUTE(ASC(Q151&amp;""),"-","/"),".","/")&amp;"/01"),"")))</f>
        <v/>
      </c>
      <c r="AX151" s="35">
        <f>IF(R151="","",IF(ISNUMBER(R151),R151,IFERROR(DATEVALUE(SUBSTITUTE(SUBSTITUTE(ASC(R151&amp;""),"-","/"),".","/")&amp;"/01"),"")))</f>
        <v/>
      </c>
      <c r="AY151" s="34">
        <f>IF(OR(AB151&lt;&gt;"OK",AW151=""),"",IF(AW151&gt;='01_設定'!$C$26,1,0))</f>
        <v/>
      </c>
      <c r="AZ151" s="34">
        <f>IF(AND(AB151="OK",AD151&lt;&gt;"除外"),COUNTIFS($AB$5:AB151,"OK",$AD$5:AD151,"&lt;&gt;除外"),"")</f>
        <v/>
      </c>
      <c r="BA151" s="34">
        <f>IF(OR(AZ151="",AI151=""),"",AI151+ROW()/1000000000)</f>
        <v/>
      </c>
      <c r="BB151" s="34">
        <f>IF(E151="","",IF(OR(TRIM(E151&amp;"")="-",TRIM(E151&amp;"")="－",TRIM(E151&amp;"")="ー"),"",TRIM(E151&amp;"")))</f>
        <v/>
      </c>
      <c r="BC151" s="34">
        <f>IF(AND(AB151="OK",BB151&lt;&gt;""),IF(COUNTIFS($BB$5:BB151,BB151,$AB$5:AB151,"OK")=1,1,""),"")</f>
        <v/>
      </c>
      <c r="BD151" s="34">
        <f>IF(BC151=1,COUNTIF($BC$5:BC151,1),"")</f>
        <v/>
      </c>
      <c r="BE151" s="34">
        <f>IF(BB151="","",IFERROR(INDEX('06_顧客別集計'!$G$5:$G$104,MATCH(BB151,'06_顧客別集計'!$C$5:$C$104,0)),BB151))</f>
        <v/>
      </c>
      <c r="BF151" s="34">
        <f>IF(AND(AZ151&lt;&gt;"",BE151&lt;&gt;""),IF(COUNTIFS($BE$5:BE151,BE151,$AZ$5:AZ151,"&gt;0")=1,1,""),"")</f>
        <v/>
      </c>
      <c r="BG151" s="34">
        <f>IF(BF151=1,COUNTIF($BF$5:BF151,1),"")</f>
        <v/>
      </c>
    </row>
    <row r="152">
      <c r="AB152">
        <f>IF(AND(A152="",G152=""),"",IF(ISNUMBER(SEARCH("##END",AM152)),"（終わりの印）",IF(ISNUMBER(SEARCH("##続き",AM152)),"（続きありの印）",IF(AM152="調査ID","（見出し行）",IF(AND(AM152&lt;&gt;"R1",AM152&lt;&gt;"R2"),"×表以外の行（集計されない）",IF(COUNTIF($AN$5:AN152,AN152)&gt;1,"△重複（集計されない）",IF(G152="","△タスク名なし",IF(ISNA(MATCH(AQ152,'M1_類型マスタ'!$A$5:$A$19,0)),"△類型が不正",IF(OR(AP152="",N(AP152)&lt;1,N(AP152)&gt;6),"△業務区分が不正",IF(OR(AS152="",AT152=""),"△回数・分が読めない",IF(SUMPRODUCT(--ISNUMBER(--T152:Z152))&lt;7,"△採点が足りない",IF(SUMPRODUCT((--T152:Z152&gt;2)+(--T152:Z152&lt;0))&gt;0,"△採点が範囲外","OK"))))))))))))</f>
        <v/>
      </c>
      <c r="AC152">
        <f>IF(AB152&lt;&gt;"OK","",TRIM(IF(AND(AU152&lt;&gt;"",N(AU152)&lt;=1),"根拠1件 ","")&amp;IF(AV152&lt;&gt;"","同名あり ","")&amp;IF(AND(NOT(ISNUMBER(N152)),N152&lt;&gt;""),"回数を換算 ","")&amp;IF(J152="","詳細なし ","")&amp;IF(AND(N(AP152)=1,BB152=""),"顧客名なし ","")))</f>
        <v/>
      </c>
      <c r="AD152" s="31" t="n"/>
      <c r="AE152" s="32" t="n"/>
      <c r="AF152" s="32" t="n"/>
      <c r="AG152" s="31" t="n"/>
      <c r="AH152">
        <f>IF(AB152&lt;&gt;"OK","",IF(AG152&lt;&gt;"",AG152,AJ152))</f>
        <v/>
      </c>
      <c r="AI152" s="33">
        <f>IF(AB152&lt;&gt;"OK","",IFERROR(IF(AE152&lt;&gt;"",AE152,AS152)*IF(AF152&lt;&gt;"",AF152,AT152)/60,""))</f>
        <v/>
      </c>
      <c r="AJ152">
        <f>IF(AB152&lt;&gt;"OK","",IF(OR(VALUE(T152)=2,VALUE(U152)=2,VALUE(V152)=2),"社内残置",IF(AND(VALUE(T152)=0,VALUE(W152)=0,VALUE(Y152)=0),"自動化候補",IF(AND(VALUE(U152)=0,VALUE(W152)&lt;=1,VALUE(X152)&lt;=1,VALUE(Y152)&lt;=1,VALUE(Z152)&lt;=1),"オフショア候補",IF(AND(VALUE(Y152)&lt;=1,VALUE(Z152)&lt;=1),"ニアショア候補","社内で手順化→再評価")))))</f>
        <v/>
      </c>
      <c r="AK152">
        <f>IF(AB152&lt;&gt;"OK","",14-SUMPRODUCT(--T152:Z152))</f>
        <v/>
      </c>
      <c r="AL152" s="33">
        <f>IF(AB152&lt;&gt;"OK","",AS152*AT152/60)</f>
        <v/>
      </c>
      <c r="AM152" s="34">
        <f>IF(A152="","",UPPER(TRIM(ASC(A152&amp;""))))</f>
        <v/>
      </c>
      <c r="AN152" s="34">
        <f>IF(AM152="","",AM152&amp;"-"&amp;B152)</f>
        <v/>
      </c>
      <c r="AO152" s="34">
        <f>IF(C152="","",IFERROR(VALUE(ASC(SUBSTITUTE(C152&amp;"","観点",""))),""))</f>
        <v/>
      </c>
      <c r="AP152" s="34">
        <f>IF(D152="","",IFERROR(VALUE(LEFT(TRIM(ASC(D152&amp;"")),1)),IFERROR(MATCH(TRIM(D152&amp;""),'M2_区分マスタ'!$I$5:$I$10,0),"")))</f>
        <v/>
      </c>
      <c r="AQ152" s="34">
        <f>IF(H152="","",UPPER(LEFT(TRIM(ASC(H152&amp;"")),3)))</f>
        <v/>
      </c>
      <c r="AR152" s="34">
        <f>IF(N152="","",IFERROR(VALUE(SUBSTITUTE(SUBSTITUTE(SUBSTITUTE(SUBSTITUTE(SUBSTITUTE(SUBSTITUTE(SUBSTITUTE(SUBSTITUTE(SUBSTITUTE(SUBSTITUTE(SUBSTITUTE(SUBSTITUTE(ASC(N152&amp;""),"約",""),"程度",""),"ほど",""),"回",""),"毎",""),"週",""),"月",""),"年",""),"日",""),"に",""),"/","")," ","")),""))</f>
        <v/>
      </c>
      <c r="AS152" s="34">
        <f>IF(N152="","",IF(ISNUMBER(N152),N152,IFERROR(VALUE(ASC(N152&amp;"")),IF(AR152&lt;&gt;"",AR152*IF(ISNUMBER(SEARCH("週",N152)),4.3,IF(ISNUMBER(SEARCH("年",N152)),1/12,IF(ISNUMBER(SEARCH("日",N152)),20,1))),IF(ISNUMBER(SEARCH("日",N152)),20,IF(ISNUMBER(SEARCH("週",N152)),4.3,IF(ISNUMBER(SEARCH("月",N152)),1,"")))))))</f>
        <v/>
      </c>
      <c r="AT152" s="34">
        <f>IF(O152="","",IF(ISNUMBER(O152),O152,IFERROR(VALUE(ASC(O152&amp;"")),IF(ISNUMBER(SEARCH("時間",O152)),IFERROR(VALUE(SUBSTITUTE(SUBSTITUTE(SUBSTITUTE(SUBSTITUTE(SUBSTITUTE(ASC(O152&amp;""),"約",""),"程度",""),"ほど",""),"時間","")," ",""))*60,""),IFERROR(VALUE(SUBSTITUTE(SUBSTITUTE(SUBSTITUTE(SUBSTITUTE(SUBSTITUTE(ASC(O152&amp;""),"約",""),"程度",""),"ほど",""),"分","")," ","")),"")))))</f>
        <v/>
      </c>
      <c r="AU152" s="34">
        <f>IF(P152="","",IF(ISNUMBER(P152),P152,IFERROR(VALUE(SUBSTITUTE(SUBSTITUTE(SUBSTITUTE(ASC(P152&amp;""),"約",""),"件","")," ","")),"")))</f>
        <v/>
      </c>
      <c r="AV152" s="34">
        <f>IF(AB152&lt;&gt;"OK","",IF(COUNTIFS($G$5:$G$404,G152&amp;"",$F$5:$F$404,F152&amp;"",$BE$5:$BE$404,BE152&amp;"",$AB$5:$AB$404,"OK")&gt;1,"同名あり",""))</f>
        <v/>
      </c>
      <c r="AW152" s="35">
        <f>IF(Q152="","",IF(ISNUMBER(Q152),Q152,IFERROR(DATEVALUE(SUBSTITUTE(SUBSTITUTE(ASC(Q152&amp;""),"-","/"),".","/")&amp;"/01"),"")))</f>
        <v/>
      </c>
      <c r="AX152" s="35">
        <f>IF(R152="","",IF(ISNUMBER(R152),R152,IFERROR(DATEVALUE(SUBSTITUTE(SUBSTITUTE(ASC(R152&amp;""),"-","/"),".","/")&amp;"/01"),"")))</f>
        <v/>
      </c>
      <c r="AY152" s="34">
        <f>IF(OR(AB152&lt;&gt;"OK",AW152=""),"",IF(AW152&gt;='01_設定'!$C$26,1,0))</f>
        <v/>
      </c>
      <c r="AZ152" s="34">
        <f>IF(AND(AB152="OK",AD152&lt;&gt;"除外"),COUNTIFS($AB$5:AB152,"OK",$AD$5:AD152,"&lt;&gt;除外"),"")</f>
        <v/>
      </c>
      <c r="BA152" s="34">
        <f>IF(OR(AZ152="",AI152=""),"",AI152+ROW()/1000000000)</f>
        <v/>
      </c>
      <c r="BB152" s="34">
        <f>IF(E152="","",IF(OR(TRIM(E152&amp;"")="-",TRIM(E152&amp;"")="－",TRIM(E152&amp;"")="ー"),"",TRIM(E152&amp;"")))</f>
        <v/>
      </c>
      <c r="BC152" s="34">
        <f>IF(AND(AB152="OK",BB152&lt;&gt;""),IF(COUNTIFS($BB$5:BB152,BB152,$AB$5:AB152,"OK")=1,1,""),"")</f>
        <v/>
      </c>
      <c r="BD152" s="34">
        <f>IF(BC152=1,COUNTIF($BC$5:BC152,1),"")</f>
        <v/>
      </c>
      <c r="BE152" s="34">
        <f>IF(BB152="","",IFERROR(INDEX('06_顧客別集計'!$G$5:$G$104,MATCH(BB152,'06_顧客別集計'!$C$5:$C$104,0)),BB152))</f>
        <v/>
      </c>
      <c r="BF152" s="34">
        <f>IF(AND(AZ152&lt;&gt;"",BE152&lt;&gt;""),IF(COUNTIFS($BE$5:BE152,BE152,$AZ$5:AZ152,"&gt;0")=1,1,""),"")</f>
        <v/>
      </c>
      <c r="BG152" s="34">
        <f>IF(BF152=1,COUNTIF($BF$5:BF152,1),"")</f>
        <v/>
      </c>
    </row>
    <row r="153">
      <c r="AB153">
        <f>IF(AND(A153="",G153=""),"",IF(ISNUMBER(SEARCH("##END",AM153)),"（終わりの印）",IF(ISNUMBER(SEARCH("##続き",AM153)),"（続きありの印）",IF(AM153="調査ID","（見出し行）",IF(AND(AM153&lt;&gt;"R1",AM153&lt;&gt;"R2"),"×表以外の行（集計されない）",IF(COUNTIF($AN$5:AN153,AN153)&gt;1,"△重複（集計されない）",IF(G153="","△タスク名なし",IF(ISNA(MATCH(AQ153,'M1_類型マスタ'!$A$5:$A$19,0)),"△類型が不正",IF(OR(AP153="",N(AP153)&lt;1,N(AP153)&gt;6),"△業務区分が不正",IF(OR(AS153="",AT153=""),"△回数・分が読めない",IF(SUMPRODUCT(--ISNUMBER(--T153:Z153))&lt;7,"△採点が足りない",IF(SUMPRODUCT((--T153:Z153&gt;2)+(--T153:Z153&lt;0))&gt;0,"△採点が範囲外","OK"))))))))))))</f>
        <v/>
      </c>
      <c r="AC153">
        <f>IF(AB153&lt;&gt;"OK","",TRIM(IF(AND(AU153&lt;&gt;"",N(AU153)&lt;=1),"根拠1件 ","")&amp;IF(AV153&lt;&gt;"","同名あり ","")&amp;IF(AND(NOT(ISNUMBER(N153)),N153&lt;&gt;""),"回数を換算 ","")&amp;IF(J153="","詳細なし ","")&amp;IF(AND(N(AP153)=1,BB153=""),"顧客名なし ","")))</f>
        <v/>
      </c>
      <c r="AD153" s="31" t="n"/>
      <c r="AE153" s="32" t="n"/>
      <c r="AF153" s="32" t="n"/>
      <c r="AG153" s="31" t="n"/>
      <c r="AH153">
        <f>IF(AB153&lt;&gt;"OK","",IF(AG153&lt;&gt;"",AG153,AJ153))</f>
        <v/>
      </c>
      <c r="AI153" s="33">
        <f>IF(AB153&lt;&gt;"OK","",IFERROR(IF(AE153&lt;&gt;"",AE153,AS153)*IF(AF153&lt;&gt;"",AF153,AT153)/60,""))</f>
        <v/>
      </c>
      <c r="AJ153">
        <f>IF(AB153&lt;&gt;"OK","",IF(OR(VALUE(T153)=2,VALUE(U153)=2,VALUE(V153)=2),"社内残置",IF(AND(VALUE(T153)=0,VALUE(W153)=0,VALUE(Y153)=0),"自動化候補",IF(AND(VALUE(U153)=0,VALUE(W153)&lt;=1,VALUE(X153)&lt;=1,VALUE(Y153)&lt;=1,VALUE(Z153)&lt;=1),"オフショア候補",IF(AND(VALUE(Y153)&lt;=1,VALUE(Z153)&lt;=1),"ニアショア候補","社内で手順化→再評価")))))</f>
        <v/>
      </c>
      <c r="AK153">
        <f>IF(AB153&lt;&gt;"OK","",14-SUMPRODUCT(--T153:Z153))</f>
        <v/>
      </c>
      <c r="AL153" s="33">
        <f>IF(AB153&lt;&gt;"OK","",AS153*AT153/60)</f>
        <v/>
      </c>
      <c r="AM153" s="34">
        <f>IF(A153="","",UPPER(TRIM(ASC(A153&amp;""))))</f>
        <v/>
      </c>
      <c r="AN153" s="34">
        <f>IF(AM153="","",AM153&amp;"-"&amp;B153)</f>
        <v/>
      </c>
      <c r="AO153" s="34">
        <f>IF(C153="","",IFERROR(VALUE(ASC(SUBSTITUTE(C153&amp;"","観点",""))),""))</f>
        <v/>
      </c>
      <c r="AP153" s="34">
        <f>IF(D153="","",IFERROR(VALUE(LEFT(TRIM(ASC(D153&amp;"")),1)),IFERROR(MATCH(TRIM(D153&amp;""),'M2_区分マスタ'!$I$5:$I$10,0),"")))</f>
        <v/>
      </c>
      <c r="AQ153" s="34">
        <f>IF(H153="","",UPPER(LEFT(TRIM(ASC(H153&amp;"")),3)))</f>
        <v/>
      </c>
      <c r="AR153" s="34">
        <f>IF(N153="","",IFERROR(VALUE(SUBSTITUTE(SUBSTITUTE(SUBSTITUTE(SUBSTITUTE(SUBSTITUTE(SUBSTITUTE(SUBSTITUTE(SUBSTITUTE(SUBSTITUTE(SUBSTITUTE(SUBSTITUTE(SUBSTITUTE(ASC(N153&amp;""),"約",""),"程度",""),"ほど",""),"回",""),"毎",""),"週",""),"月",""),"年",""),"日",""),"に",""),"/","")," ","")),""))</f>
        <v/>
      </c>
      <c r="AS153" s="34">
        <f>IF(N153="","",IF(ISNUMBER(N153),N153,IFERROR(VALUE(ASC(N153&amp;"")),IF(AR153&lt;&gt;"",AR153*IF(ISNUMBER(SEARCH("週",N153)),4.3,IF(ISNUMBER(SEARCH("年",N153)),1/12,IF(ISNUMBER(SEARCH("日",N153)),20,1))),IF(ISNUMBER(SEARCH("日",N153)),20,IF(ISNUMBER(SEARCH("週",N153)),4.3,IF(ISNUMBER(SEARCH("月",N153)),1,"")))))))</f>
        <v/>
      </c>
      <c r="AT153" s="34">
        <f>IF(O153="","",IF(ISNUMBER(O153),O153,IFERROR(VALUE(ASC(O153&amp;"")),IF(ISNUMBER(SEARCH("時間",O153)),IFERROR(VALUE(SUBSTITUTE(SUBSTITUTE(SUBSTITUTE(SUBSTITUTE(SUBSTITUTE(ASC(O153&amp;""),"約",""),"程度",""),"ほど",""),"時間","")," ",""))*60,""),IFERROR(VALUE(SUBSTITUTE(SUBSTITUTE(SUBSTITUTE(SUBSTITUTE(SUBSTITUTE(ASC(O153&amp;""),"約",""),"程度",""),"ほど",""),"分","")," ","")),"")))))</f>
        <v/>
      </c>
      <c r="AU153" s="34">
        <f>IF(P153="","",IF(ISNUMBER(P153),P153,IFERROR(VALUE(SUBSTITUTE(SUBSTITUTE(SUBSTITUTE(ASC(P153&amp;""),"約",""),"件","")," ","")),"")))</f>
        <v/>
      </c>
      <c r="AV153" s="34">
        <f>IF(AB153&lt;&gt;"OK","",IF(COUNTIFS($G$5:$G$404,G153&amp;"",$F$5:$F$404,F153&amp;"",$BE$5:$BE$404,BE153&amp;"",$AB$5:$AB$404,"OK")&gt;1,"同名あり",""))</f>
        <v/>
      </c>
      <c r="AW153" s="35">
        <f>IF(Q153="","",IF(ISNUMBER(Q153),Q153,IFERROR(DATEVALUE(SUBSTITUTE(SUBSTITUTE(ASC(Q153&amp;""),"-","/"),".","/")&amp;"/01"),"")))</f>
        <v/>
      </c>
      <c r="AX153" s="35">
        <f>IF(R153="","",IF(ISNUMBER(R153),R153,IFERROR(DATEVALUE(SUBSTITUTE(SUBSTITUTE(ASC(R153&amp;""),"-","/"),".","/")&amp;"/01"),"")))</f>
        <v/>
      </c>
      <c r="AY153" s="34">
        <f>IF(OR(AB153&lt;&gt;"OK",AW153=""),"",IF(AW153&gt;='01_設定'!$C$26,1,0))</f>
        <v/>
      </c>
      <c r="AZ153" s="34">
        <f>IF(AND(AB153="OK",AD153&lt;&gt;"除外"),COUNTIFS($AB$5:AB153,"OK",$AD$5:AD153,"&lt;&gt;除外"),"")</f>
        <v/>
      </c>
      <c r="BA153" s="34">
        <f>IF(OR(AZ153="",AI153=""),"",AI153+ROW()/1000000000)</f>
        <v/>
      </c>
      <c r="BB153" s="34">
        <f>IF(E153="","",IF(OR(TRIM(E153&amp;"")="-",TRIM(E153&amp;"")="－",TRIM(E153&amp;"")="ー"),"",TRIM(E153&amp;"")))</f>
        <v/>
      </c>
      <c r="BC153" s="34">
        <f>IF(AND(AB153="OK",BB153&lt;&gt;""),IF(COUNTIFS($BB$5:BB153,BB153,$AB$5:AB153,"OK")=1,1,""),"")</f>
        <v/>
      </c>
      <c r="BD153" s="34">
        <f>IF(BC153=1,COUNTIF($BC$5:BC153,1),"")</f>
        <v/>
      </c>
      <c r="BE153" s="34">
        <f>IF(BB153="","",IFERROR(INDEX('06_顧客別集計'!$G$5:$G$104,MATCH(BB153,'06_顧客別集計'!$C$5:$C$104,0)),BB153))</f>
        <v/>
      </c>
      <c r="BF153" s="34">
        <f>IF(AND(AZ153&lt;&gt;"",BE153&lt;&gt;""),IF(COUNTIFS($BE$5:BE153,BE153,$AZ$5:AZ153,"&gt;0")=1,1,""),"")</f>
        <v/>
      </c>
      <c r="BG153" s="34">
        <f>IF(BF153=1,COUNTIF($BF$5:BF153,1),"")</f>
        <v/>
      </c>
    </row>
    <row r="154">
      <c r="AB154">
        <f>IF(AND(A154="",G154=""),"",IF(ISNUMBER(SEARCH("##END",AM154)),"（終わりの印）",IF(ISNUMBER(SEARCH("##続き",AM154)),"（続きありの印）",IF(AM154="調査ID","（見出し行）",IF(AND(AM154&lt;&gt;"R1",AM154&lt;&gt;"R2"),"×表以外の行（集計されない）",IF(COUNTIF($AN$5:AN154,AN154)&gt;1,"△重複（集計されない）",IF(G154="","△タスク名なし",IF(ISNA(MATCH(AQ154,'M1_類型マスタ'!$A$5:$A$19,0)),"△類型が不正",IF(OR(AP154="",N(AP154)&lt;1,N(AP154)&gt;6),"△業務区分が不正",IF(OR(AS154="",AT154=""),"△回数・分が読めない",IF(SUMPRODUCT(--ISNUMBER(--T154:Z154))&lt;7,"△採点が足りない",IF(SUMPRODUCT((--T154:Z154&gt;2)+(--T154:Z154&lt;0))&gt;0,"△採点が範囲外","OK"))))))))))))</f>
        <v/>
      </c>
      <c r="AC154">
        <f>IF(AB154&lt;&gt;"OK","",TRIM(IF(AND(AU154&lt;&gt;"",N(AU154)&lt;=1),"根拠1件 ","")&amp;IF(AV154&lt;&gt;"","同名あり ","")&amp;IF(AND(NOT(ISNUMBER(N154)),N154&lt;&gt;""),"回数を換算 ","")&amp;IF(J154="","詳細なし ","")&amp;IF(AND(N(AP154)=1,BB154=""),"顧客名なし ","")))</f>
        <v/>
      </c>
      <c r="AD154" s="31" t="n"/>
      <c r="AE154" s="32" t="n"/>
      <c r="AF154" s="32" t="n"/>
      <c r="AG154" s="31" t="n"/>
      <c r="AH154">
        <f>IF(AB154&lt;&gt;"OK","",IF(AG154&lt;&gt;"",AG154,AJ154))</f>
        <v/>
      </c>
      <c r="AI154" s="33">
        <f>IF(AB154&lt;&gt;"OK","",IFERROR(IF(AE154&lt;&gt;"",AE154,AS154)*IF(AF154&lt;&gt;"",AF154,AT154)/60,""))</f>
        <v/>
      </c>
      <c r="AJ154">
        <f>IF(AB154&lt;&gt;"OK","",IF(OR(VALUE(T154)=2,VALUE(U154)=2,VALUE(V154)=2),"社内残置",IF(AND(VALUE(T154)=0,VALUE(W154)=0,VALUE(Y154)=0),"自動化候補",IF(AND(VALUE(U154)=0,VALUE(W154)&lt;=1,VALUE(X154)&lt;=1,VALUE(Y154)&lt;=1,VALUE(Z154)&lt;=1),"オフショア候補",IF(AND(VALUE(Y154)&lt;=1,VALUE(Z154)&lt;=1),"ニアショア候補","社内で手順化→再評価")))))</f>
        <v/>
      </c>
      <c r="AK154">
        <f>IF(AB154&lt;&gt;"OK","",14-SUMPRODUCT(--T154:Z154))</f>
        <v/>
      </c>
      <c r="AL154" s="33">
        <f>IF(AB154&lt;&gt;"OK","",AS154*AT154/60)</f>
        <v/>
      </c>
      <c r="AM154" s="34">
        <f>IF(A154="","",UPPER(TRIM(ASC(A154&amp;""))))</f>
        <v/>
      </c>
      <c r="AN154" s="34">
        <f>IF(AM154="","",AM154&amp;"-"&amp;B154)</f>
        <v/>
      </c>
      <c r="AO154" s="34">
        <f>IF(C154="","",IFERROR(VALUE(ASC(SUBSTITUTE(C154&amp;"","観点",""))),""))</f>
        <v/>
      </c>
      <c r="AP154" s="34">
        <f>IF(D154="","",IFERROR(VALUE(LEFT(TRIM(ASC(D154&amp;"")),1)),IFERROR(MATCH(TRIM(D154&amp;""),'M2_区分マスタ'!$I$5:$I$10,0),"")))</f>
        <v/>
      </c>
      <c r="AQ154" s="34">
        <f>IF(H154="","",UPPER(LEFT(TRIM(ASC(H154&amp;"")),3)))</f>
        <v/>
      </c>
      <c r="AR154" s="34">
        <f>IF(N154="","",IFERROR(VALUE(SUBSTITUTE(SUBSTITUTE(SUBSTITUTE(SUBSTITUTE(SUBSTITUTE(SUBSTITUTE(SUBSTITUTE(SUBSTITUTE(SUBSTITUTE(SUBSTITUTE(SUBSTITUTE(SUBSTITUTE(ASC(N154&amp;""),"約",""),"程度",""),"ほど",""),"回",""),"毎",""),"週",""),"月",""),"年",""),"日",""),"に",""),"/","")," ","")),""))</f>
        <v/>
      </c>
      <c r="AS154" s="34">
        <f>IF(N154="","",IF(ISNUMBER(N154),N154,IFERROR(VALUE(ASC(N154&amp;"")),IF(AR154&lt;&gt;"",AR154*IF(ISNUMBER(SEARCH("週",N154)),4.3,IF(ISNUMBER(SEARCH("年",N154)),1/12,IF(ISNUMBER(SEARCH("日",N154)),20,1))),IF(ISNUMBER(SEARCH("日",N154)),20,IF(ISNUMBER(SEARCH("週",N154)),4.3,IF(ISNUMBER(SEARCH("月",N154)),1,"")))))))</f>
        <v/>
      </c>
      <c r="AT154" s="34">
        <f>IF(O154="","",IF(ISNUMBER(O154),O154,IFERROR(VALUE(ASC(O154&amp;"")),IF(ISNUMBER(SEARCH("時間",O154)),IFERROR(VALUE(SUBSTITUTE(SUBSTITUTE(SUBSTITUTE(SUBSTITUTE(SUBSTITUTE(ASC(O154&amp;""),"約",""),"程度",""),"ほど",""),"時間","")," ",""))*60,""),IFERROR(VALUE(SUBSTITUTE(SUBSTITUTE(SUBSTITUTE(SUBSTITUTE(SUBSTITUTE(ASC(O154&amp;""),"約",""),"程度",""),"ほど",""),"分","")," ","")),"")))))</f>
        <v/>
      </c>
      <c r="AU154" s="34">
        <f>IF(P154="","",IF(ISNUMBER(P154),P154,IFERROR(VALUE(SUBSTITUTE(SUBSTITUTE(SUBSTITUTE(ASC(P154&amp;""),"約",""),"件","")," ","")),"")))</f>
        <v/>
      </c>
      <c r="AV154" s="34">
        <f>IF(AB154&lt;&gt;"OK","",IF(COUNTIFS($G$5:$G$404,G154&amp;"",$F$5:$F$404,F154&amp;"",$BE$5:$BE$404,BE154&amp;"",$AB$5:$AB$404,"OK")&gt;1,"同名あり",""))</f>
        <v/>
      </c>
      <c r="AW154" s="35">
        <f>IF(Q154="","",IF(ISNUMBER(Q154),Q154,IFERROR(DATEVALUE(SUBSTITUTE(SUBSTITUTE(ASC(Q154&amp;""),"-","/"),".","/")&amp;"/01"),"")))</f>
        <v/>
      </c>
      <c r="AX154" s="35">
        <f>IF(R154="","",IF(ISNUMBER(R154),R154,IFERROR(DATEVALUE(SUBSTITUTE(SUBSTITUTE(ASC(R154&amp;""),"-","/"),".","/")&amp;"/01"),"")))</f>
        <v/>
      </c>
      <c r="AY154" s="34">
        <f>IF(OR(AB154&lt;&gt;"OK",AW154=""),"",IF(AW154&gt;='01_設定'!$C$26,1,0))</f>
        <v/>
      </c>
      <c r="AZ154" s="34">
        <f>IF(AND(AB154="OK",AD154&lt;&gt;"除外"),COUNTIFS($AB$5:AB154,"OK",$AD$5:AD154,"&lt;&gt;除外"),"")</f>
        <v/>
      </c>
      <c r="BA154" s="34">
        <f>IF(OR(AZ154="",AI154=""),"",AI154+ROW()/1000000000)</f>
        <v/>
      </c>
      <c r="BB154" s="34">
        <f>IF(E154="","",IF(OR(TRIM(E154&amp;"")="-",TRIM(E154&amp;"")="－",TRIM(E154&amp;"")="ー"),"",TRIM(E154&amp;"")))</f>
        <v/>
      </c>
      <c r="BC154" s="34">
        <f>IF(AND(AB154="OK",BB154&lt;&gt;""),IF(COUNTIFS($BB$5:BB154,BB154,$AB$5:AB154,"OK")=1,1,""),"")</f>
        <v/>
      </c>
      <c r="BD154" s="34">
        <f>IF(BC154=1,COUNTIF($BC$5:BC154,1),"")</f>
        <v/>
      </c>
      <c r="BE154" s="34">
        <f>IF(BB154="","",IFERROR(INDEX('06_顧客別集計'!$G$5:$G$104,MATCH(BB154,'06_顧客別集計'!$C$5:$C$104,0)),BB154))</f>
        <v/>
      </c>
      <c r="BF154" s="34">
        <f>IF(AND(AZ154&lt;&gt;"",BE154&lt;&gt;""),IF(COUNTIFS($BE$5:BE154,BE154,$AZ$5:AZ154,"&gt;0")=1,1,""),"")</f>
        <v/>
      </c>
      <c r="BG154" s="34">
        <f>IF(BF154=1,COUNTIF($BF$5:BF154,1),"")</f>
        <v/>
      </c>
    </row>
    <row r="155">
      <c r="AB155">
        <f>IF(AND(A155="",G155=""),"",IF(ISNUMBER(SEARCH("##END",AM155)),"（終わりの印）",IF(ISNUMBER(SEARCH("##続き",AM155)),"（続きありの印）",IF(AM155="調査ID","（見出し行）",IF(AND(AM155&lt;&gt;"R1",AM155&lt;&gt;"R2"),"×表以外の行（集計されない）",IF(COUNTIF($AN$5:AN155,AN155)&gt;1,"△重複（集計されない）",IF(G155="","△タスク名なし",IF(ISNA(MATCH(AQ155,'M1_類型マスタ'!$A$5:$A$19,0)),"△類型が不正",IF(OR(AP155="",N(AP155)&lt;1,N(AP155)&gt;6),"△業務区分が不正",IF(OR(AS155="",AT155=""),"△回数・分が読めない",IF(SUMPRODUCT(--ISNUMBER(--T155:Z155))&lt;7,"△採点が足りない",IF(SUMPRODUCT((--T155:Z155&gt;2)+(--T155:Z155&lt;0))&gt;0,"△採点が範囲外","OK"))))))))))))</f>
        <v/>
      </c>
      <c r="AC155">
        <f>IF(AB155&lt;&gt;"OK","",TRIM(IF(AND(AU155&lt;&gt;"",N(AU155)&lt;=1),"根拠1件 ","")&amp;IF(AV155&lt;&gt;"","同名あり ","")&amp;IF(AND(NOT(ISNUMBER(N155)),N155&lt;&gt;""),"回数を換算 ","")&amp;IF(J155="","詳細なし ","")&amp;IF(AND(N(AP155)=1,BB155=""),"顧客名なし ","")))</f>
        <v/>
      </c>
      <c r="AD155" s="31" t="n"/>
      <c r="AE155" s="32" t="n"/>
      <c r="AF155" s="32" t="n"/>
      <c r="AG155" s="31" t="n"/>
      <c r="AH155">
        <f>IF(AB155&lt;&gt;"OK","",IF(AG155&lt;&gt;"",AG155,AJ155))</f>
        <v/>
      </c>
      <c r="AI155" s="33">
        <f>IF(AB155&lt;&gt;"OK","",IFERROR(IF(AE155&lt;&gt;"",AE155,AS155)*IF(AF155&lt;&gt;"",AF155,AT155)/60,""))</f>
        <v/>
      </c>
      <c r="AJ155">
        <f>IF(AB155&lt;&gt;"OK","",IF(OR(VALUE(T155)=2,VALUE(U155)=2,VALUE(V155)=2),"社内残置",IF(AND(VALUE(T155)=0,VALUE(W155)=0,VALUE(Y155)=0),"自動化候補",IF(AND(VALUE(U155)=0,VALUE(W155)&lt;=1,VALUE(X155)&lt;=1,VALUE(Y155)&lt;=1,VALUE(Z155)&lt;=1),"オフショア候補",IF(AND(VALUE(Y155)&lt;=1,VALUE(Z155)&lt;=1),"ニアショア候補","社内で手順化→再評価")))))</f>
        <v/>
      </c>
      <c r="AK155">
        <f>IF(AB155&lt;&gt;"OK","",14-SUMPRODUCT(--T155:Z155))</f>
        <v/>
      </c>
      <c r="AL155" s="33">
        <f>IF(AB155&lt;&gt;"OK","",AS155*AT155/60)</f>
        <v/>
      </c>
      <c r="AM155" s="34">
        <f>IF(A155="","",UPPER(TRIM(ASC(A155&amp;""))))</f>
        <v/>
      </c>
      <c r="AN155" s="34">
        <f>IF(AM155="","",AM155&amp;"-"&amp;B155)</f>
        <v/>
      </c>
      <c r="AO155" s="34">
        <f>IF(C155="","",IFERROR(VALUE(ASC(SUBSTITUTE(C155&amp;"","観点",""))),""))</f>
        <v/>
      </c>
      <c r="AP155" s="34">
        <f>IF(D155="","",IFERROR(VALUE(LEFT(TRIM(ASC(D155&amp;"")),1)),IFERROR(MATCH(TRIM(D155&amp;""),'M2_区分マスタ'!$I$5:$I$10,0),"")))</f>
        <v/>
      </c>
      <c r="AQ155" s="34">
        <f>IF(H155="","",UPPER(LEFT(TRIM(ASC(H155&amp;"")),3)))</f>
        <v/>
      </c>
      <c r="AR155" s="34">
        <f>IF(N155="","",IFERROR(VALUE(SUBSTITUTE(SUBSTITUTE(SUBSTITUTE(SUBSTITUTE(SUBSTITUTE(SUBSTITUTE(SUBSTITUTE(SUBSTITUTE(SUBSTITUTE(SUBSTITUTE(SUBSTITUTE(SUBSTITUTE(ASC(N155&amp;""),"約",""),"程度",""),"ほど",""),"回",""),"毎",""),"週",""),"月",""),"年",""),"日",""),"に",""),"/","")," ","")),""))</f>
        <v/>
      </c>
      <c r="AS155" s="34">
        <f>IF(N155="","",IF(ISNUMBER(N155),N155,IFERROR(VALUE(ASC(N155&amp;"")),IF(AR155&lt;&gt;"",AR155*IF(ISNUMBER(SEARCH("週",N155)),4.3,IF(ISNUMBER(SEARCH("年",N155)),1/12,IF(ISNUMBER(SEARCH("日",N155)),20,1))),IF(ISNUMBER(SEARCH("日",N155)),20,IF(ISNUMBER(SEARCH("週",N155)),4.3,IF(ISNUMBER(SEARCH("月",N155)),1,"")))))))</f>
        <v/>
      </c>
      <c r="AT155" s="34">
        <f>IF(O155="","",IF(ISNUMBER(O155),O155,IFERROR(VALUE(ASC(O155&amp;"")),IF(ISNUMBER(SEARCH("時間",O155)),IFERROR(VALUE(SUBSTITUTE(SUBSTITUTE(SUBSTITUTE(SUBSTITUTE(SUBSTITUTE(ASC(O155&amp;""),"約",""),"程度",""),"ほど",""),"時間","")," ",""))*60,""),IFERROR(VALUE(SUBSTITUTE(SUBSTITUTE(SUBSTITUTE(SUBSTITUTE(SUBSTITUTE(ASC(O155&amp;""),"約",""),"程度",""),"ほど",""),"分","")," ","")),"")))))</f>
        <v/>
      </c>
      <c r="AU155" s="34">
        <f>IF(P155="","",IF(ISNUMBER(P155),P155,IFERROR(VALUE(SUBSTITUTE(SUBSTITUTE(SUBSTITUTE(ASC(P155&amp;""),"約",""),"件","")," ","")),"")))</f>
        <v/>
      </c>
      <c r="AV155" s="34">
        <f>IF(AB155&lt;&gt;"OK","",IF(COUNTIFS($G$5:$G$404,G155&amp;"",$F$5:$F$404,F155&amp;"",$BE$5:$BE$404,BE155&amp;"",$AB$5:$AB$404,"OK")&gt;1,"同名あり",""))</f>
        <v/>
      </c>
      <c r="AW155" s="35">
        <f>IF(Q155="","",IF(ISNUMBER(Q155),Q155,IFERROR(DATEVALUE(SUBSTITUTE(SUBSTITUTE(ASC(Q155&amp;""),"-","/"),".","/")&amp;"/01"),"")))</f>
        <v/>
      </c>
      <c r="AX155" s="35">
        <f>IF(R155="","",IF(ISNUMBER(R155),R155,IFERROR(DATEVALUE(SUBSTITUTE(SUBSTITUTE(ASC(R155&amp;""),"-","/"),".","/")&amp;"/01"),"")))</f>
        <v/>
      </c>
      <c r="AY155" s="34">
        <f>IF(OR(AB155&lt;&gt;"OK",AW155=""),"",IF(AW155&gt;='01_設定'!$C$26,1,0))</f>
        <v/>
      </c>
      <c r="AZ155" s="34">
        <f>IF(AND(AB155="OK",AD155&lt;&gt;"除外"),COUNTIFS($AB$5:AB155,"OK",$AD$5:AD155,"&lt;&gt;除外"),"")</f>
        <v/>
      </c>
      <c r="BA155" s="34">
        <f>IF(OR(AZ155="",AI155=""),"",AI155+ROW()/1000000000)</f>
        <v/>
      </c>
      <c r="BB155" s="34">
        <f>IF(E155="","",IF(OR(TRIM(E155&amp;"")="-",TRIM(E155&amp;"")="－",TRIM(E155&amp;"")="ー"),"",TRIM(E155&amp;"")))</f>
        <v/>
      </c>
      <c r="BC155" s="34">
        <f>IF(AND(AB155="OK",BB155&lt;&gt;""),IF(COUNTIFS($BB$5:BB155,BB155,$AB$5:AB155,"OK")=1,1,""),"")</f>
        <v/>
      </c>
      <c r="BD155" s="34">
        <f>IF(BC155=1,COUNTIF($BC$5:BC155,1),"")</f>
        <v/>
      </c>
      <c r="BE155" s="34">
        <f>IF(BB155="","",IFERROR(INDEX('06_顧客別集計'!$G$5:$G$104,MATCH(BB155,'06_顧客別集計'!$C$5:$C$104,0)),BB155))</f>
        <v/>
      </c>
      <c r="BF155" s="34">
        <f>IF(AND(AZ155&lt;&gt;"",BE155&lt;&gt;""),IF(COUNTIFS($BE$5:BE155,BE155,$AZ$5:AZ155,"&gt;0")=1,1,""),"")</f>
        <v/>
      </c>
      <c r="BG155" s="34">
        <f>IF(BF155=1,COUNTIF($BF$5:BF155,1),"")</f>
        <v/>
      </c>
    </row>
    <row r="156">
      <c r="AB156">
        <f>IF(AND(A156="",G156=""),"",IF(ISNUMBER(SEARCH("##END",AM156)),"（終わりの印）",IF(ISNUMBER(SEARCH("##続き",AM156)),"（続きありの印）",IF(AM156="調査ID","（見出し行）",IF(AND(AM156&lt;&gt;"R1",AM156&lt;&gt;"R2"),"×表以外の行（集計されない）",IF(COUNTIF($AN$5:AN156,AN156)&gt;1,"△重複（集計されない）",IF(G156="","△タスク名なし",IF(ISNA(MATCH(AQ156,'M1_類型マスタ'!$A$5:$A$19,0)),"△類型が不正",IF(OR(AP156="",N(AP156)&lt;1,N(AP156)&gt;6),"△業務区分が不正",IF(OR(AS156="",AT156=""),"△回数・分が読めない",IF(SUMPRODUCT(--ISNUMBER(--T156:Z156))&lt;7,"△採点が足りない",IF(SUMPRODUCT((--T156:Z156&gt;2)+(--T156:Z156&lt;0))&gt;0,"△採点が範囲外","OK"))))))))))))</f>
        <v/>
      </c>
      <c r="AC156">
        <f>IF(AB156&lt;&gt;"OK","",TRIM(IF(AND(AU156&lt;&gt;"",N(AU156)&lt;=1),"根拠1件 ","")&amp;IF(AV156&lt;&gt;"","同名あり ","")&amp;IF(AND(NOT(ISNUMBER(N156)),N156&lt;&gt;""),"回数を換算 ","")&amp;IF(J156="","詳細なし ","")&amp;IF(AND(N(AP156)=1,BB156=""),"顧客名なし ","")))</f>
        <v/>
      </c>
      <c r="AD156" s="31" t="n"/>
      <c r="AE156" s="32" t="n"/>
      <c r="AF156" s="32" t="n"/>
      <c r="AG156" s="31" t="n"/>
      <c r="AH156">
        <f>IF(AB156&lt;&gt;"OK","",IF(AG156&lt;&gt;"",AG156,AJ156))</f>
        <v/>
      </c>
      <c r="AI156" s="33">
        <f>IF(AB156&lt;&gt;"OK","",IFERROR(IF(AE156&lt;&gt;"",AE156,AS156)*IF(AF156&lt;&gt;"",AF156,AT156)/60,""))</f>
        <v/>
      </c>
      <c r="AJ156">
        <f>IF(AB156&lt;&gt;"OK","",IF(OR(VALUE(T156)=2,VALUE(U156)=2,VALUE(V156)=2),"社内残置",IF(AND(VALUE(T156)=0,VALUE(W156)=0,VALUE(Y156)=0),"自動化候補",IF(AND(VALUE(U156)=0,VALUE(W156)&lt;=1,VALUE(X156)&lt;=1,VALUE(Y156)&lt;=1,VALUE(Z156)&lt;=1),"オフショア候補",IF(AND(VALUE(Y156)&lt;=1,VALUE(Z156)&lt;=1),"ニアショア候補","社内で手順化→再評価")))))</f>
        <v/>
      </c>
      <c r="AK156">
        <f>IF(AB156&lt;&gt;"OK","",14-SUMPRODUCT(--T156:Z156))</f>
        <v/>
      </c>
      <c r="AL156" s="33">
        <f>IF(AB156&lt;&gt;"OK","",AS156*AT156/60)</f>
        <v/>
      </c>
      <c r="AM156" s="34">
        <f>IF(A156="","",UPPER(TRIM(ASC(A156&amp;""))))</f>
        <v/>
      </c>
      <c r="AN156" s="34">
        <f>IF(AM156="","",AM156&amp;"-"&amp;B156)</f>
        <v/>
      </c>
      <c r="AO156" s="34">
        <f>IF(C156="","",IFERROR(VALUE(ASC(SUBSTITUTE(C156&amp;"","観点",""))),""))</f>
        <v/>
      </c>
      <c r="AP156" s="34">
        <f>IF(D156="","",IFERROR(VALUE(LEFT(TRIM(ASC(D156&amp;"")),1)),IFERROR(MATCH(TRIM(D156&amp;""),'M2_区分マスタ'!$I$5:$I$10,0),"")))</f>
        <v/>
      </c>
      <c r="AQ156" s="34">
        <f>IF(H156="","",UPPER(LEFT(TRIM(ASC(H156&amp;"")),3)))</f>
        <v/>
      </c>
      <c r="AR156" s="34">
        <f>IF(N156="","",IFERROR(VALUE(SUBSTITUTE(SUBSTITUTE(SUBSTITUTE(SUBSTITUTE(SUBSTITUTE(SUBSTITUTE(SUBSTITUTE(SUBSTITUTE(SUBSTITUTE(SUBSTITUTE(SUBSTITUTE(SUBSTITUTE(ASC(N156&amp;""),"約",""),"程度",""),"ほど",""),"回",""),"毎",""),"週",""),"月",""),"年",""),"日",""),"に",""),"/","")," ","")),""))</f>
        <v/>
      </c>
      <c r="AS156" s="34">
        <f>IF(N156="","",IF(ISNUMBER(N156),N156,IFERROR(VALUE(ASC(N156&amp;"")),IF(AR156&lt;&gt;"",AR156*IF(ISNUMBER(SEARCH("週",N156)),4.3,IF(ISNUMBER(SEARCH("年",N156)),1/12,IF(ISNUMBER(SEARCH("日",N156)),20,1))),IF(ISNUMBER(SEARCH("日",N156)),20,IF(ISNUMBER(SEARCH("週",N156)),4.3,IF(ISNUMBER(SEARCH("月",N156)),1,"")))))))</f>
        <v/>
      </c>
      <c r="AT156" s="34">
        <f>IF(O156="","",IF(ISNUMBER(O156),O156,IFERROR(VALUE(ASC(O156&amp;"")),IF(ISNUMBER(SEARCH("時間",O156)),IFERROR(VALUE(SUBSTITUTE(SUBSTITUTE(SUBSTITUTE(SUBSTITUTE(SUBSTITUTE(ASC(O156&amp;""),"約",""),"程度",""),"ほど",""),"時間","")," ",""))*60,""),IFERROR(VALUE(SUBSTITUTE(SUBSTITUTE(SUBSTITUTE(SUBSTITUTE(SUBSTITUTE(ASC(O156&amp;""),"約",""),"程度",""),"ほど",""),"分","")," ","")),"")))))</f>
        <v/>
      </c>
      <c r="AU156" s="34">
        <f>IF(P156="","",IF(ISNUMBER(P156),P156,IFERROR(VALUE(SUBSTITUTE(SUBSTITUTE(SUBSTITUTE(ASC(P156&amp;""),"約",""),"件","")," ","")),"")))</f>
        <v/>
      </c>
      <c r="AV156" s="34">
        <f>IF(AB156&lt;&gt;"OK","",IF(COUNTIFS($G$5:$G$404,G156&amp;"",$F$5:$F$404,F156&amp;"",$BE$5:$BE$404,BE156&amp;"",$AB$5:$AB$404,"OK")&gt;1,"同名あり",""))</f>
        <v/>
      </c>
      <c r="AW156" s="35">
        <f>IF(Q156="","",IF(ISNUMBER(Q156),Q156,IFERROR(DATEVALUE(SUBSTITUTE(SUBSTITUTE(ASC(Q156&amp;""),"-","/"),".","/")&amp;"/01"),"")))</f>
        <v/>
      </c>
      <c r="AX156" s="35">
        <f>IF(R156="","",IF(ISNUMBER(R156),R156,IFERROR(DATEVALUE(SUBSTITUTE(SUBSTITUTE(ASC(R156&amp;""),"-","/"),".","/")&amp;"/01"),"")))</f>
        <v/>
      </c>
      <c r="AY156" s="34">
        <f>IF(OR(AB156&lt;&gt;"OK",AW156=""),"",IF(AW156&gt;='01_設定'!$C$26,1,0))</f>
        <v/>
      </c>
      <c r="AZ156" s="34">
        <f>IF(AND(AB156="OK",AD156&lt;&gt;"除外"),COUNTIFS($AB$5:AB156,"OK",$AD$5:AD156,"&lt;&gt;除外"),"")</f>
        <v/>
      </c>
      <c r="BA156" s="34">
        <f>IF(OR(AZ156="",AI156=""),"",AI156+ROW()/1000000000)</f>
        <v/>
      </c>
      <c r="BB156" s="34">
        <f>IF(E156="","",IF(OR(TRIM(E156&amp;"")="-",TRIM(E156&amp;"")="－",TRIM(E156&amp;"")="ー"),"",TRIM(E156&amp;"")))</f>
        <v/>
      </c>
      <c r="BC156" s="34">
        <f>IF(AND(AB156="OK",BB156&lt;&gt;""),IF(COUNTIFS($BB$5:BB156,BB156,$AB$5:AB156,"OK")=1,1,""),"")</f>
        <v/>
      </c>
      <c r="BD156" s="34">
        <f>IF(BC156=1,COUNTIF($BC$5:BC156,1),"")</f>
        <v/>
      </c>
      <c r="BE156" s="34">
        <f>IF(BB156="","",IFERROR(INDEX('06_顧客別集計'!$G$5:$G$104,MATCH(BB156,'06_顧客別集計'!$C$5:$C$104,0)),BB156))</f>
        <v/>
      </c>
      <c r="BF156" s="34">
        <f>IF(AND(AZ156&lt;&gt;"",BE156&lt;&gt;""),IF(COUNTIFS($BE$5:BE156,BE156,$AZ$5:AZ156,"&gt;0")=1,1,""),"")</f>
        <v/>
      </c>
      <c r="BG156" s="34">
        <f>IF(BF156=1,COUNTIF($BF$5:BF156,1),"")</f>
        <v/>
      </c>
    </row>
    <row r="157">
      <c r="AB157">
        <f>IF(AND(A157="",G157=""),"",IF(ISNUMBER(SEARCH("##END",AM157)),"（終わりの印）",IF(ISNUMBER(SEARCH("##続き",AM157)),"（続きありの印）",IF(AM157="調査ID","（見出し行）",IF(AND(AM157&lt;&gt;"R1",AM157&lt;&gt;"R2"),"×表以外の行（集計されない）",IF(COUNTIF($AN$5:AN157,AN157)&gt;1,"△重複（集計されない）",IF(G157="","△タスク名なし",IF(ISNA(MATCH(AQ157,'M1_類型マスタ'!$A$5:$A$19,0)),"△類型が不正",IF(OR(AP157="",N(AP157)&lt;1,N(AP157)&gt;6),"△業務区分が不正",IF(OR(AS157="",AT157=""),"△回数・分が読めない",IF(SUMPRODUCT(--ISNUMBER(--T157:Z157))&lt;7,"△採点が足りない",IF(SUMPRODUCT((--T157:Z157&gt;2)+(--T157:Z157&lt;0))&gt;0,"△採点が範囲外","OK"))))))))))))</f>
        <v/>
      </c>
      <c r="AC157">
        <f>IF(AB157&lt;&gt;"OK","",TRIM(IF(AND(AU157&lt;&gt;"",N(AU157)&lt;=1),"根拠1件 ","")&amp;IF(AV157&lt;&gt;"","同名あり ","")&amp;IF(AND(NOT(ISNUMBER(N157)),N157&lt;&gt;""),"回数を換算 ","")&amp;IF(J157="","詳細なし ","")&amp;IF(AND(N(AP157)=1,BB157=""),"顧客名なし ","")))</f>
        <v/>
      </c>
      <c r="AD157" s="31" t="n"/>
      <c r="AE157" s="32" t="n"/>
      <c r="AF157" s="32" t="n"/>
      <c r="AG157" s="31" t="n"/>
      <c r="AH157">
        <f>IF(AB157&lt;&gt;"OK","",IF(AG157&lt;&gt;"",AG157,AJ157))</f>
        <v/>
      </c>
      <c r="AI157" s="33">
        <f>IF(AB157&lt;&gt;"OK","",IFERROR(IF(AE157&lt;&gt;"",AE157,AS157)*IF(AF157&lt;&gt;"",AF157,AT157)/60,""))</f>
        <v/>
      </c>
      <c r="AJ157">
        <f>IF(AB157&lt;&gt;"OK","",IF(OR(VALUE(T157)=2,VALUE(U157)=2,VALUE(V157)=2),"社内残置",IF(AND(VALUE(T157)=0,VALUE(W157)=0,VALUE(Y157)=0),"自動化候補",IF(AND(VALUE(U157)=0,VALUE(W157)&lt;=1,VALUE(X157)&lt;=1,VALUE(Y157)&lt;=1,VALUE(Z157)&lt;=1),"オフショア候補",IF(AND(VALUE(Y157)&lt;=1,VALUE(Z157)&lt;=1),"ニアショア候補","社内で手順化→再評価")))))</f>
        <v/>
      </c>
      <c r="AK157">
        <f>IF(AB157&lt;&gt;"OK","",14-SUMPRODUCT(--T157:Z157))</f>
        <v/>
      </c>
      <c r="AL157" s="33">
        <f>IF(AB157&lt;&gt;"OK","",AS157*AT157/60)</f>
        <v/>
      </c>
      <c r="AM157" s="34">
        <f>IF(A157="","",UPPER(TRIM(ASC(A157&amp;""))))</f>
        <v/>
      </c>
      <c r="AN157" s="34">
        <f>IF(AM157="","",AM157&amp;"-"&amp;B157)</f>
        <v/>
      </c>
      <c r="AO157" s="34">
        <f>IF(C157="","",IFERROR(VALUE(ASC(SUBSTITUTE(C157&amp;"","観点",""))),""))</f>
        <v/>
      </c>
      <c r="AP157" s="34">
        <f>IF(D157="","",IFERROR(VALUE(LEFT(TRIM(ASC(D157&amp;"")),1)),IFERROR(MATCH(TRIM(D157&amp;""),'M2_区分マスタ'!$I$5:$I$10,0),"")))</f>
        <v/>
      </c>
      <c r="AQ157" s="34">
        <f>IF(H157="","",UPPER(LEFT(TRIM(ASC(H157&amp;"")),3)))</f>
        <v/>
      </c>
      <c r="AR157" s="34">
        <f>IF(N157="","",IFERROR(VALUE(SUBSTITUTE(SUBSTITUTE(SUBSTITUTE(SUBSTITUTE(SUBSTITUTE(SUBSTITUTE(SUBSTITUTE(SUBSTITUTE(SUBSTITUTE(SUBSTITUTE(SUBSTITUTE(SUBSTITUTE(ASC(N157&amp;""),"約",""),"程度",""),"ほど",""),"回",""),"毎",""),"週",""),"月",""),"年",""),"日",""),"に",""),"/","")," ","")),""))</f>
        <v/>
      </c>
      <c r="AS157" s="34">
        <f>IF(N157="","",IF(ISNUMBER(N157),N157,IFERROR(VALUE(ASC(N157&amp;"")),IF(AR157&lt;&gt;"",AR157*IF(ISNUMBER(SEARCH("週",N157)),4.3,IF(ISNUMBER(SEARCH("年",N157)),1/12,IF(ISNUMBER(SEARCH("日",N157)),20,1))),IF(ISNUMBER(SEARCH("日",N157)),20,IF(ISNUMBER(SEARCH("週",N157)),4.3,IF(ISNUMBER(SEARCH("月",N157)),1,"")))))))</f>
        <v/>
      </c>
      <c r="AT157" s="34">
        <f>IF(O157="","",IF(ISNUMBER(O157),O157,IFERROR(VALUE(ASC(O157&amp;"")),IF(ISNUMBER(SEARCH("時間",O157)),IFERROR(VALUE(SUBSTITUTE(SUBSTITUTE(SUBSTITUTE(SUBSTITUTE(SUBSTITUTE(ASC(O157&amp;""),"約",""),"程度",""),"ほど",""),"時間","")," ",""))*60,""),IFERROR(VALUE(SUBSTITUTE(SUBSTITUTE(SUBSTITUTE(SUBSTITUTE(SUBSTITUTE(ASC(O157&amp;""),"約",""),"程度",""),"ほど",""),"分","")," ","")),"")))))</f>
        <v/>
      </c>
      <c r="AU157" s="34">
        <f>IF(P157="","",IF(ISNUMBER(P157),P157,IFERROR(VALUE(SUBSTITUTE(SUBSTITUTE(SUBSTITUTE(ASC(P157&amp;""),"約",""),"件","")," ","")),"")))</f>
        <v/>
      </c>
      <c r="AV157" s="34">
        <f>IF(AB157&lt;&gt;"OK","",IF(COUNTIFS($G$5:$G$404,G157&amp;"",$F$5:$F$404,F157&amp;"",$BE$5:$BE$404,BE157&amp;"",$AB$5:$AB$404,"OK")&gt;1,"同名あり",""))</f>
        <v/>
      </c>
      <c r="AW157" s="35">
        <f>IF(Q157="","",IF(ISNUMBER(Q157),Q157,IFERROR(DATEVALUE(SUBSTITUTE(SUBSTITUTE(ASC(Q157&amp;""),"-","/"),".","/")&amp;"/01"),"")))</f>
        <v/>
      </c>
      <c r="AX157" s="35">
        <f>IF(R157="","",IF(ISNUMBER(R157),R157,IFERROR(DATEVALUE(SUBSTITUTE(SUBSTITUTE(ASC(R157&amp;""),"-","/"),".","/")&amp;"/01"),"")))</f>
        <v/>
      </c>
      <c r="AY157" s="34">
        <f>IF(OR(AB157&lt;&gt;"OK",AW157=""),"",IF(AW157&gt;='01_設定'!$C$26,1,0))</f>
        <v/>
      </c>
      <c r="AZ157" s="34">
        <f>IF(AND(AB157="OK",AD157&lt;&gt;"除外"),COUNTIFS($AB$5:AB157,"OK",$AD$5:AD157,"&lt;&gt;除外"),"")</f>
        <v/>
      </c>
      <c r="BA157" s="34">
        <f>IF(OR(AZ157="",AI157=""),"",AI157+ROW()/1000000000)</f>
        <v/>
      </c>
      <c r="BB157" s="34">
        <f>IF(E157="","",IF(OR(TRIM(E157&amp;"")="-",TRIM(E157&amp;"")="－",TRIM(E157&amp;"")="ー"),"",TRIM(E157&amp;"")))</f>
        <v/>
      </c>
      <c r="BC157" s="34">
        <f>IF(AND(AB157="OK",BB157&lt;&gt;""),IF(COUNTIFS($BB$5:BB157,BB157,$AB$5:AB157,"OK")=1,1,""),"")</f>
        <v/>
      </c>
      <c r="BD157" s="34">
        <f>IF(BC157=1,COUNTIF($BC$5:BC157,1),"")</f>
        <v/>
      </c>
      <c r="BE157" s="34">
        <f>IF(BB157="","",IFERROR(INDEX('06_顧客別集計'!$G$5:$G$104,MATCH(BB157,'06_顧客別集計'!$C$5:$C$104,0)),BB157))</f>
        <v/>
      </c>
      <c r="BF157" s="34">
        <f>IF(AND(AZ157&lt;&gt;"",BE157&lt;&gt;""),IF(COUNTIFS($BE$5:BE157,BE157,$AZ$5:AZ157,"&gt;0")=1,1,""),"")</f>
        <v/>
      </c>
      <c r="BG157" s="34">
        <f>IF(BF157=1,COUNTIF($BF$5:BF157,1),"")</f>
        <v/>
      </c>
    </row>
    <row r="158">
      <c r="AB158">
        <f>IF(AND(A158="",G158=""),"",IF(ISNUMBER(SEARCH("##END",AM158)),"（終わりの印）",IF(ISNUMBER(SEARCH("##続き",AM158)),"（続きありの印）",IF(AM158="調査ID","（見出し行）",IF(AND(AM158&lt;&gt;"R1",AM158&lt;&gt;"R2"),"×表以外の行（集計されない）",IF(COUNTIF($AN$5:AN158,AN158)&gt;1,"△重複（集計されない）",IF(G158="","△タスク名なし",IF(ISNA(MATCH(AQ158,'M1_類型マスタ'!$A$5:$A$19,0)),"△類型が不正",IF(OR(AP158="",N(AP158)&lt;1,N(AP158)&gt;6),"△業務区分が不正",IF(OR(AS158="",AT158=""),"△回数・分が読めない",IF(SUMPRODUCT(--ISNUMBER(--T158:Z158))&lt;7,"△採点が足りない",IF(SUMPRODUCT((--T158:Z158&gt;2)+(--T158:Z158&lt;0))&gt;0,"△採点が範囲外","OK"))))))))))))</f>
        <v/>
      </c>
      <c r="AC158">
        <f>IF(AB158&lt;&gt;"OK","",TRIM(IF(AND(AU158&lt;&gt;"",N(AU158)&lt;=1),"根拠1件 ","")&amp;IF(AV158&lt;&gt;"","同名あり ","")&amp;IF(AND(NOT(ISNUMBER(N158)),N158&lt;&gt;""),"回数を換算 ","")&amp;IF(J158="","詳細なし ","")&amp;IF(AND(N(AP158)=1,BB158=""),"顧客名なし ","")))</f>
        <v/>
      </c>
      <c r="AD158" s="31" t="n"/>
      <c r="AE158" s="32" t="n"/>
      <c r="AF158" s="32" t="n"/>
      <c r="AG158" s="31" t="n"/>
      <c r="AH158">
        <f>IF(AB158&lt;&gt;"OK","",IF(AG158&lt;&gt;"",AG158,AJ158))</f>
        <v/>
      </c>
      <c r="AI158" s="33">
        <f>IF(AB158&lt;&gt;"OK","",IFERROR(IF(AE158&lt;&gt;"",AE158,AS158)*IF(AF158&lt;&gt;"",AF158,AT158)/60,""))</f>
        <v/>
      </c>
      <c r="AJ158">
        <f>IF(AB158&lt;&gt;"OK","",IF(OR(VALUE(T158)=2,VALUE(U158)=2,VALUE(V158)=2),"社内残置",IF(AND(VALUE(T158)=0,VALUE(W158)=0,VALUE(Y158)=0),"自動化候補",IF(AND(VALUE(U158)=0,VALUE(W158)&lt;=1,VALUE(X158)&lt;=1,VALUE(Y158)&lt;=1,VALUE(Z158)&lt;=1),"オフショア候補",IF(AND(VALUE(Y158)&lt;=1,VALUE(Z158)&lt;=1),"ニアショア候補","社内で手順化→再評価")))))</f>
        <v/>
      </c>
      <c r="AK158">
        <f>IF(AB158&lt;&gt;"OK","",14-SUMPRODUCT(--T158:Z158))</f>
        <v/>
      </c>
      <c r="AL158" s="33">
        <f>IF(AB158&lt;&gt;"OK","",AS158*AT158/60)</f>
        <v/>
      </c>
      <c r="AM158" s="34">
        <f>IF(A158="","",UPPER(TRIM(ASC(A158&amp;""))))</f>
        <v/>
      </c>
      <c r="AN158" s="34">
        <f>IF(AM158="","",AM158&amp;"-"&amp;B158)</f>
        <v/>
      </c>
      <c r="AO158" s="34">
        <f>IF(C158="","",IFERROR(VALUE(ASC(SUBSTITUTE(C158&amp;"","観点",""))),""))</f>
        <v/>
      </c>
      <c r="AP158" s="34">
        <f>IF(D158="","",IFERROR(VALUE(LEFT(TRIM(ASC(D158&amp;"")),1)),IFERROR(MATCH(TRIM(D158&amp;""),'M2_区分マスタ'!$I$5:$I$10,0),"")))</f>
        <v/>
      </c>
      <c r="AQ158" s="34">
        <f>IF(H158="","",UPPER(LEFT(TRIM(ASC(H158&amp;"")),3)))</f>
        <v/>
      </c>
      <c r="AR158" s="34">
        <f>IF(N158="","",IFERROR(VALUE(SUBSTITUTE(SUBSTITUTE(SUBSTITUTE(SUBSTITUTE(SUBSTITUTE(SUBSTITUTE(SUBSTITUTE(SUBSTITUTE(SUBSTITUTE(SUBSTITUTE(SUBSTITUTE(SUBSTITUTE(ASC(N158&amp;""),"約",""),"程度",""),"ほど",""),"回",""),"毎",""),"週",""),"月",""),"年",""),"日",""),"に",""),"/","")," ","")),""))</f>
        <v/>
      </c>
      <c r="AS158" s="34">
        <f>IF(N158="","",IF(ISNUMBER(N158),N158,IFERROR(VALUE(ASC(N158&amp;"")),IF(AR158&lt;&gt;"",AR158*IF(ISNUMBER(SEARCH("週",N158)),4.3,IF(ISNUMBER(SEARCH("年",N158)),1/12,IF(ISNUMBER(SEARCH("日",N158)),20,1))),IF(ISNUMBER(SEARCH("日",N158)),20,IF(ISNUMBER(SEARCH("週",N158)),4.3,IF(ISNUMBER(SEARCH("月",N158)),1,"")))))))</f>
        <v/>
      </c>
      <c r="AT158" s="34">
        <f>IF(O158="","",IF(ISNUMBER(O158),O158,IFERROR(VALUE(ASC(O158&amp;"")),IF(ISNUMBER(SEARCH("時間",O158)),IFERROR(VALUE(SUBSTITUTE(SUBSTITUTE(SUBSTITUTE(SUBSTITUTE(SUBSTITUTE(ASC(O158&amp;""),"約",""),"程度",""),"ほど",""),"時間","")," ",""))*60,""),IFERROR(VALUE(SUBSTITUTE(SUBSTITUTE(SUBSTITUTE(SUBSTITUTE(SUBSTITUTE(ASC(O158&amp;""),"約",""),"程度",""),"ほど",""),"分","")," ","")),"")))))</f>
        <v/>
      </c>
      <c r="AU158" s="34">
        <f>IF(P158="","",IF(ISNUMBER(P158),P158,IFERROR(VALUE(SUBSTITUTE(SUBSTITUTE(SUBSTITUTE(ASC(P158&amp;""),"約",""),"件","")," ","")),"")))</f>
        <v/>
      </c>
      <c r="AV158" s="34">
        <f>IF(AB158&lt;&gt;"OK","",IF(COUNTIFS($G$5:$G$404,G158&amp;"",$F$5:$F$404,F158&amp;"",$BE$5:$BE$404,BE158&amp;"",$AB$5:$AB$404,"OK")&gt;1,"同名あり",""))</f>
        <v/>
      </c>
      <c r="AW158" s="35">
        <f>IF(Q158="","",IF(ISNUMBER(Q158),Q158,IFERROR(DATEVALUE(SUBSTITUTE(SUBSTITUTE(ASC(Q158&amp;""),"-","/"),".","/")&amp;"/01"),"")))</f>
        <v/>
      </c>
      <c r="AX158" s="35">
        <f>IF(R158="","",IF(ISNUMBER(R158),R158,IFERROR(DATEVALUE(SUBSTITUTE(SUBSTITUTE(ASC(R158&amp;""),"-","/"),".","/")&amp;"/01"),"")))</f>
        <v/>
      </c>
      <c r="AY158" s="34">
        <f>IF(OR(AB158&lt;&gt;"OK",AW158=""),"",IF(AW158&gt;='01_設定'!$C$26,1,0))</f>
        <v/>
      </c>
      <c r="AZ158" s="34">
        <f>IF(AND(AB158="OK",AD158&lt;&gt;"除外"),COUNTIFS($AB$5:AB158,"OK",$AD$5:AD158,"&lt;&gt;除外"),"")</f>
        <v/>
      </c>
      <c r="BA158" s="34">
        <f>IF(OR(AZ158="",AI158=""),"",AI158+ROW()/1000000000)</f>
        <v/>
      </c>
      <c r="BB158" s="34">
        <f>IF(E158="","",IF(OR(TRIM(E158&amp;"")="-",TRIM(E158&amp;"")="－",TRIM(E158&amp;"")="ー"),"",TRIM(E158&amp;"")))</f>
        <v/>
      </c>
      <c r="BC158" s="34">
        <f>IF(AND(AB158="OK",BB158&lt;&gt;""),IF(COUNTIFS($BB$5:BB158,BB158,$AB$5:AB158,"OK")=1,1,""),"")</f>
        <v/>
      </c>
      <c r="BD158" s="34">
        <f>IF(BC158=1,COUNTIF($BC$5:BC158,1),"")</f>
        <v/>
      </c>
      <c r="BE158" s="34">
        <f>IF(BB158="","",IFERROR(INDEX('06_顧客別集計'!$G$5:$G$104,MATCH(BB158,'06_顧客別集計'!$C$5:$C$104,0)),BB158))</f>
        <v/>
      </c>
      <c r="BF158" s="34">
        <f>IF(AND(AZ158&lt;&gt;"",BE158&lt;&gt;""),IF(COUNTIFS($BE$5:BE158,BE158,$AZ$5:AZ158,"&gt;0")=1,1,""),"")</f>
        <v/>
      </c>
      <c r="BG158" s="34">
        <f>IF(BF158=1,COUNTIF($BF$5:BF158,1),"")</f>
        <v/>
      </c>
    </row>
    <row r="159">
      <c r="AB159">
        <f>IF(AND(A159="",G159=""),"",IF(ISNUMBER(SEARCH("##END",AM159)),"（終わりの印）",IF(ISNUMBER(SEARCH("##続き",AM159)),"（続きありの印）",IF(AM159="調査ID","（見出し行）",IF(AND(AM159&lt;&gt;"R1",AM159&lt;&gt;"R2"),"×表以外の行（集計されない）",IF(COUNTIF($AN$5:AN159,AN159)&gt;1,"△重複（集計されない）",IF(G159="","△タスク名なし",IF(ISNA(MATCH(AQ159,'M1_類型マスタ'!$A$5:$A$19,0)),"△類型が不正",IF(OR(AP159="",N(AP159)&lt;1,N(AP159)&gt;6),"△業務区分が不正",IF(OR(AS159="",AT159=""),"△回数・分が読めない",IF(SUMPRODUCT(--ISNUMBER(--T159:Z159))&lt;7,"△採点が足りない",IF(SUMPRODUCT((--T159:Z159&gt;2)+(--T159:Z159&lt;0))&gt;0,"△採点が範囲外","OK"))))))))))))</f>
        <v/>
      </c>
      <c r="AC159">
        <f>IF(AB159&lt;&gt;"OK","",TRIM(IF(AND(AU159&lt;&gt;"",N(AU159)&lt;=1),"根拠1件 ","")&amp;IF(AV159&lt;&gt;"","同名あり ","")&amp;IF(AND(NOT(ISNUMBER(N159)),N159&lt;&gt;""),"回数を換算 ","")&amp;IF(J159="","詳細なし ","")&amp;IF(AND(N(AP159)=1,BB159=""),"顧客名なし ","")))</f>
        <v/>
      </c>
      <c r="AD159" s="31" t="n"/>
      <c r="AE159" s="32" t="n"/>
      <c r="AF159" s="32" t="n"/>
      <c r="AG159" s="31" t="n"/>
      <c r="AH159">
        <f>IF(AB159&lt;&gt;"OK","",IF(AG159&lt;&gt;"",AG159,AJ159))</f>
        <v/>
      </c>
      <c r="AI159" s="33">
        <f>IF(AB159&lt;&gt;"OK","",IFERROR(IF(AE159&lt;&gt;"",AE159,AS159)*IF(AF159&lt;&gt;"",AF159,AT159)/60,""))</f>
        <v/>
      </c>
      <c r="AJ159">
        <f>IF(AB159&lt;&gt;"OK","",IF(OR(VALUE(T159)=2,VALUE(U159)=2,VALUE(V159)=2),"社内残置",IF(AND(VALUE(T159)=0,VALUE(W159)=0,VALUE(Y159)=0),"自動化候補",IF(AND(VALUE(U159)=0,VALUE(W159)&lt;=1,VALUE(X159)&lt;=1,VALUE(Y159)&lt;=1,VALUE(Z159)&lt;=1),"オフショア候補",IF(AND(VALUE(Y159)&lt;=1,VALUE(Z159)&lt;=1),"ニアショア候補","社内で手順化→再評価")))))</f>
        <v/>
      </c>
      <c r="AK159">
        <f>IF(AB159&lt;&gt;"OK","",14-SUMPRODUCT(--T159:Z159))</f>
        <v/>
      </c>
      <c r="AL159" s="33">
        <f>IF(AB159&lt;&gt;"OK","",AS159*AT159/60)</f>
        <v/>
      </c>
      <c r="AM159" s="34">
        <f>IF(A159="","",UPPER(TRIM(ASC(A159&amp;""))))</f>
        <v/>
      </c>
      <c r="AN159" s="34">
        <f>IF(AM159="","",AM159&amp;"-"&amp;B159)</f>
        <v/>
      </c>
      <c r="AO159" s="34">
        <f>IF(C159="","",IFERROR(VALUE(ASC(SUBSTITUTE(C159&amp;"","観点",""))),""))</f>
        <v/>
      </c>
      <c r="AP159" s="34">
        <f>IF(D159="","",IFERROR(VALUE(LEFT(TRIM(ASC(D159&amp;"")),1)),IFERROR(MATCH(TRIM(D159&amp;""),'M2_区分マスタ'!$I$5:$I$10,0),"")))</f>
        <v/>
      </c>
      <c r="AQ159" s="34">
        <f>IF(H159="","",UPPER(LEFT(TRIM(ASC(H159&amp;"")),3)))</f>
        <v/>
      </c>
      <c r="AR159" s="34">
        <f>IF(N159="","",IFERROR(VALUE(SUBSTITUTE(SUBSTITUTE(SUBSTITUTE(SUBSTITUTE(SUBSTITUTE(SUBSTITUTE(SUBSTITUTE(SUBSTITUTE(SUBSTITUTE(SUBSTITUTE(SUBSTITUTE(SUBSTITUTE(ASC(N159&amp;""),"約",""),"程度",""),"ほど",""),"回",""),"毎",""),"週",""),"月",""),"年",""),"日",""),"に",""),"/","")," ","")),""))</f>
        <v/>
      </c>
      <c r="AS159" s="34">
        <f>IF(N159="","",IF(ISNUMBER(N159),N159,IFERROR(VALUE(ASC(N159&amp;"")),IF(AR159&lt;&gt;"",AR159*IF(ISNUMBER(SEARCH("週",N159)),4.3,IF(ISNUMBER(SEARCH("年",N159)),1/12,IF(ISNUMBER(SEARCH("日",N159)),20,1))),IF(ISNUMBER(SEARCH("日",N159)),20,IF(ISNUMBER(SEARCH("週",N159)),4.3,IF(ISNUMBER(SEARCH("月",N159)),1,"")))))))</f>
        <v/>
      </c>
      <c r="AT159" s="34">
        <f>IF(O159="","",IF(ISNUMBER(O159),O159,IFERROR(VALUE(ASC(O159&amp;"")),IF(ISNUMBER(SEARCH("時間",O159)),IFERROR(VALUE(SUBSTITUTE(SUBSTITUTE(SUBSTITUTE(SUBSTITUTE(SUBSTITUTE(ASC(O159&amp;""),"約",""),"程度",""),"ほど",""),"時間","")," ",""))*60,""),IFERROR(VALUE(SUBSTITUTE(SUBSTITUTE(SUBSTITUTE(SUBSTITUTE(SUBSTITUTE(ASC(O159&amp;""),"約",""),"程度",""),"ほど",""),"分","")," ","")),"")))))</f>
        <v/>
      </c>
      <c r="AU159" s="34">
        <f>IF(P159="","",IF(ISNUMBER(P159),P159,IFERROR(VALUE(SUBSTITUTE(SUBSTITUTE(SUBSTITUTE(ASC(P159&amp;""),"約",""),"件","")," ","")),"")))</f>
        <v/>
      </c>
      <c r="AV159" s="34">
        <f>IF(AB159&lt;&gt;"OK","",IF(COUNTIFS($G$5:$G$404,G159&amp;"",$F$5:$F$404,F159&amp;"",$BE$5:$BE$404,BE159&amp;"",$AB$5:$AB$404,"OK")&gt;1,"同名あり",""))</f>
        <v/>
      </c>
      <c r="AW159" s="35">
        <f>IF(Q159="","",IF(ISNUMBER(Q159),Q159,IFERROR(DATEVALUE(SUBSTITUTE(SUBSTITUTE(ASC(Q159&amp;""),"-","/"),".","/")&amp;"/01"),"")))</f>
        <v/>
      </c>
      <c r="AX159" s="35">
        <f>IF(R159="","",IF(ISNUMBER(R159),R159,IFERROR(DATEVALUE(SUBSTITUTE(SUBSTITUTE(ASC(R159&amp;""),"-","/"),".","/")&amp;"/01"),"")))</f>
        <v/>
      </c>
      <c r="AY159" s="34">
        <f>IF(OR(AB159&lt;&gt;"OK",AW159=""),"",IF(AW159&gt;='01_設定'!$C$26,1,0))</f>
        <v/>
      </c>
      <c r="AZ159" s="34">
        <f>IF(AND(AB159="OK",AD159&lt;&gt;"除外"),COUNTIFS($AB$5:AB159,"OK",$AD$5:AD159,"&lt;&gt;除外"),"")</f>
        <v/>
      </c>
      <c r="BA159" s="34">
        <f>IF(OR(AZ159="",AI159=""),"",AI159+ROW()/1000000000)</f>
        <v/>
      </c>
      <c r="BB159" s="34">
        <f>IF(E159="","",IF(OR(TRIM(E159&amp;"")="-",TRIM(E159&amp;"")="－",TRIM(E159&amp;"")="ー"),"",TRIM(E159&amp;"")))</f>
        <v/>
      </c>
      <c r="BC159" s="34">
        <f>IF(AND(AB159="OK",BB159&lt;&gt;""),IF(COUNTIFS($BB$5:BB159,BB159,$AB$5:AB159,"OK")=1,1,""),"")</f>
        <v/>
      </c>
      <c r="BD159" s="34">
        <f>IF(BC159=1,COUNTIF($BC$5:BC159,1),"")</f>
        <v/>
      </c>
      <c r="BE159" s="34">
        <f>IF(BB159="","",IFERROR(INDEX('06_顧客別集計'!$G$5:$G$104,MATCH(BB159,'06_顧客別集計'!$C$5:$C$104,0)),BB159))</f>
        <v/>
      </c>
      <c r="BF159" s="34">
        <f>IF(AND(AZ159&lt;&gt;"",BE159&lt;&gt;""),IF(COUNTIFS($BE$5:BE159,BE159,$AZ$5:AZ159,"&gt;0")=1,1,""),"")</f>
        <v/>
      </c>
      <c r="BG159" s="34">
        <f>IF(BF159=1,COUNTIF($BF$5:BF159,1),"")</f>
        <v/>
      </c>
    </row>
    <row r="160">
      <c r="AB160">
        <f>IF(AND(A160="",G160=""),"",IF(ISNUMBER(SEARCH("##END",AM160)),"（終わりの印）",IF(ISNUMBER(SEARCH("##続き",AM160)),"（続きありの印）",IF(AM160="調査ID","（見出し行）",IF(AND(AM160&lt;&gt;"R1",AM160&lt;&gt;"R2"),"×表以外の行（集計されない）",IF(COUNTIF($AN$5:AN160,AN160)&gt;1,"△重複（集計されない）",IF(G160="","△タスク名なし",IF(ISNA(MATCH(AQ160,'M1_類型マスタ'!$A$5:$A$19,0)),"△類型が不正",IF(OR(AP160="",N(AP160)&lt;1,N(AP160)&gt;6),"△業務区分が不正",IF(OR(AS160="",AT160=""),"△回数・分が読めない",IF(SUMPRODUCT(--ISNUMBER(--T160:Z160))&lt;7,"△採点が足りない",IF(SUMPRODUCT((--T160:Z160&gt;2)+(--T160:Z160&lt;0))&gt;0,"△採点が範囲外","OK"))))))))))))</f>
        <v/>
      </c>
      <c r="AC160">
        <f>IF(AB160&lt;&gt;"OK","",TRIM(IF(AND(AU160&lt;&gt;"",N(AU160)&lt;=1),"根拠1件 ","")&amp;IF(AV160&lt;&gt;"","同名あり ","")&amp;IF(AND(NOT(ISNUMBER(N160)),N160&lt;&gt;""),"回数を換算 ","")&amp;IF(J160="","詳細なし ","")&amp;IF(AND(N(AP160)=1,BB160=""),"顧客名なし ","")))</f>
        <v/>
      </c>
      <c r="AD160" s="31" t="n"/>
      <c r="AE160" s="32" t="n"/>
      <c r="AF160" s="32" t="n"/>
      <c r="AG160" s="31" t="n"/>
      <c r="AH160">
        <f>IF(AB160&lt;&gt;"OK","",IF(AG160&lt;&gt;"",AG160,AJ160))</f>
        <v/>
      </c>
      <c r="AI160" s="33">
        <f>IF(AB160&lt;&gt;"OK","",IFERROR(IF(AE160&lt;&gt;"",AE160,AS160)*IF(AF160&lt;&gt;"",AF160,AT160)/60,""))</f>
        <v/>
      </c>
      <c r="AJ160">
        <f>IF(AB160&lt;&gt;"OK","",IF(OR(VALUE(T160)=2,VALUE(U160)=2,VALUE(V160)=2),"社内残置",IF(AND(VALUE(T160)=0,VALUE(W160)=0,VALUE(Y160)=0),"自動化候補",IF(AND(VALUE(U160)=0,VALUE(W160)&lt;=1,VALUE(X160)&lt;=1,VALUE(Y160)&lt;=1,VALUE(Z160)&lt;=1),"オフショア候補",IF(AND(VALUE(Y160)&lt;=1,VALUE(Z160)&lt;=1),"ニアショア候補","社内で手順化→再評価")))))</f>
        <v/>
      </c>
      <c r="AK160">
        <f>IF(AB160&lt;&gt;"OK","",14-SUMPRODUCT(--T160:Z160))</f>
        <v/>
      </c>
      <c r="AL160" s="33">
        <f>IF(AB160&lt;&gt;"OK","",AS160*AT160/60)</f>
        <v/>
      </c>
      <c r="AM160" s="34">
        <f>IF(A160="","",UPPER(TRIM(ASC(A160&amp;""))))</f>
        <v/>
      </c>
      <c r="AN160" s="34">
        <f>IF(AM160="","",AM160&amp;"-"&amp;B160)</f>
        <v/>
      </c>
      <c r="AO160" s="34">
        <f>IF(C160="","",IFERROR(VALUE(ASC(SUBSTITUTE(C160&amp;"","観点",""))),""))</f>
        <v/>
      </c>
      <c r="AP160" s="34">
        <f>IF(D160="","",IFERROR(VALUE(LEFT(TRIM(ASC(D160&amp;"")),1)),IFERROR(MATCH(TRIM(D160&amp;""),'M2_区分マスタ'!$I$5:$I$10,0),"")))</f>
        <v/>
      </c>
      <c r="AQ160" s="34">
        <f>IF(H160="","",UPPER(LEFT(TRIM(ASC(H160&amp;"")),3)))</f>
        <v/>
      </c>
      <c r="AR160" s="34">
        <f>IF(N160="","",IFERROR(VALUE(SUBSTITUTE(SUBSTITUTE(SUBSTITUTE(SUBSTITUTE(SUBSTITUTE(SUBSTITUTE(SUBSTITUTE(SUBSTITUTE(SUBSTITUTE(SUBSTITUTE(SUBSTITUTE(SUBSTITUTE(ASC(N160&amp;""),"約",""),"程度",""),"ほど",""),"回",""),"毎",""),"週",""),"月",""),"年",""),"日",""),"に",""),"/","")," ","")),""))</f>
        <v/>
      </c>
      <c r="AS160" s="34">
        <f>IF(N160="","",IF(ISNUMBER(N160),N160,IFERROR(VALUE(ASC(N160&amp;"")),IF(AR160&lt;&gt;"",AR160*IF(ISNUMBER(SEARCH("週",N160)),4.3,IF(ISNUMBER(SEARCH("年",N160)),1/12,IF(ISNUMBER(SEARCH("日",N160)),20,1))),IF(ISNUMBER(SEARCH("日",N160)),20,IF(ISNUMBER(SEARCH("週",N160)),4.3,IF(ISNUMBER(SEARCH("月",N160)),1,"")))))))</f>
        <v/>
      </c>
      <c r="AT160" s="34">
        <f>IF(O160="","",IF(ISNUMBER(O160),O160,IFERROR(VALUE(ASC(O160&amp;"")),IF(ISNUMBER(SEARCH("時間",O160)),IFERROR(VALUE(SUBSTITUTE(SUBSTITUTE(SUBSTITUTE(SUBSTITUTE(SUBSTITUTE(ASC(O160&amp;""),"約",""),"程度",""),"ほど",""),"時間","")," ",""))*60,""),IFERROR(VALUE(SUBSTITUTE(SUBSTITUTE(SUBSTITUTE(SUBSTITUTE(SUBSTITUTE(ASC(O160&amp;""),"約",""),"程度",""),"ほど",""),"分","")," ","")),"")))))</f>
        <v/>
      </c>
      <c r="AU160" s="34">
        <f>IF(P160="","",IF(ISNUMBER(P160),P160,IFERROR(VALUE(SUBSTITUTE(SUBSTITUTE(SUBSTITUTE(ASC(P160&amp;""),"約",""),"件","")," ","")),"")))</f>
        <v/>
      </c>
      <c r="AV160" s="34">
        <f>IF(AB160&lt;&gt;"OK","",IF(COUNTIFS($G$5:$G$404,G160&amp;"",$F$5:$F$404,F160&amp;"",$BE$5:$BE$404,BE160&amp;"",$AB$5:$AB$404,"OK")&gt;1,"同名あり",""))</f>
        <v/>
      </c>
      <c r="AW160" s="35">
        <f>IF(Q160="","",IF(ISNUMBER(Q160),Q160,IFERROR(DATEVALUE(SUBSTITUTE(SUBSTITUTE(ASC(Q160&amp;""),"-","/"),".","/")&amp;"/01"),"")))</f>
        <v/>
      </c>
      <c r="AX160" s="35">
        <f>IF(R160="","",IF(ISNUMBER(R160),R160,IFERROR(DATEVALUE(SUBSTITUTE(SUBSTITUTE(ASC(R160&amp;""),"-","/"),".","/")&amp;"/01"),"")))</f>
        <v/>
      </c>
      <c r="AY160" s="34">
        <f>IF(OR(AB160&lt;&gt;"OK",AW160=""),"",IF(AW160&gt;='01_設定'!$C$26,1,0))</f>
        <v/>
      </c>
      <c r="AZ160" s="34">
        <f>IF(AND(AB160="OK",AD160&lt;&gt;"除外"),COUNTIFS($AB$5:AB160,"OK",$AD$5:AD160,"&lt;&gt;除外"),"")</f>
        <v/>
      </c>
      <c r="BA160" s="34">
        <f>IF(OR(AZ160="",AI160=""),"",AI160+ROW()/1000000000)</f>
        <v/>
      </c>
      <c r="BB160" s="34">
        <f>IF(E160="","",IF(OR(TRIM(E160&amp;"")="-",TRIM(E160&amp;"")="－",TRIM(E160&amp;"")="ー"),"",TRIM(E160&amp;"")))</f>
        <v/>
      </c>
      <c r="BC160" s="34">
        <f>IF(AND(AB160="OK",BB160&lt;&gt;""),IF(COUNTIFS($BB$5:BB160,BB160,$AB$5:AB160,"OK")=1,1,""),"")</f>
        <v/>
      </c>
      <c r="BD160" s="34">
        <f>IF(BC160=1,COUNTIF($BC$5:BC160,1),"")</f>
        <v/>
      </c>
      <c r="BE160" s="34">
        <f>IF(BB160="","",IFERROR(INDEX('06_顧客別集計'!$G$5:$G$104,MATCH(BB160,'06_顧客別集計'!$C$5:$C$104,0)),BB160))</f>
        <v/>
      </c>
      <c r="BF160" s="34">
        <f>IF(AND(AZ160&lt;&gt;"",BE160&lt;&gt;""),IF(COUNTIFS($BE$5:BE160,BE160,$AZ$5:AZ160,"&gt;0")=1,1,""),"")</f>
        <v/>
      </c>
      <c r="BG160" s="34">
        <f>IF(BF160=1,COUNTIF($BF$5:BF160,1),"")</f>
        <v/>
      </c>
    </row>
    <row r="161">
      <c r="AB161">
        <f>IF(AND(A161="",G161=""),"",IF(ISNUMBER(SEARCH("##END",AM161)),"（終わりの印）",IF(ISNUMBER(SEARCH("##続き",AM161)),"（続きありの印）",IF(AM161="調査ID","（見出し行）",IF(AND(AM161&lt;&gt;"R1",AM161&lt;&gt;"R2"),"×表以外の行（集計されない）",IF(COUNTIF($AN$5:AN161,AN161)&gt;1,"△重複（集計されない）",IF(G161="","△タスク名なし",IF(ISNA(MATCH(AQ161,'M1_類型マスタ'!$A$5:$A$19,0)),"△類型が不正",IF(OR(AP161="",N(AP161)&lt;1,N(AP161)&gt;6),"△業務区分が不正",IF(OR(AS161="",AT161=""),"△回数・分が読めない",IF(SUMPRODUCT(--ISNUMBER(--T161:Z161))&lt;7,"△採点が足りない",IF(SUMPRODUCT((--T161:Z161&gt;2)+(--T161:Z161&lt;0))&gt;0,"△採点が範囲外","OK"))))))))))))</f>
        <v/>
      </c>
      <c r="AC161">
        <f>IF(AB161&lt;&gt;"OK","",TRIM(IF(AND(AU161&lt;&gt;"",N(AU161)&lt;=1),"根拠1件 ","")&amp;IF(AV161&lt;&gt;"","同名あり ","")&amp;IF(AND(NOT(ISNUMBER(N161)),N161&lt;&gt;""),"回数を換算 ","")&amp;IF(J161="","詳細なし ","")&amp;IF(AND(N(AP161)=1,BB161=""),"顧客名なし ","")))</f>
        <v/>
      </c>
      <c r="AD161" s="31" t="n"/>
      <c r="AE161" s="32" t="n"/>
      <c r="AF161" s="32" t="n"/>
      <c r="AG161" s="31" t="n"/>
      <c r="AH161">
        <f>IF(AB161&lt;&gt;"OK","",IF(AG161&lt;&gt;"",AG161,AJ161))</f>
        <v/>
      </c>
      <c r="AI161" s="33">
        <f>IF(AB161&lt;&gt;"OK","",IFERROR(IF(AE161&lt;&gt;"",AE161,AS161)*IF(AF161&lt;&gt;"",AF161,AT161)/60,""))</f>
        <v/>
      </c>
      <c r="AJ161">
        <f>IF(AB161&lt;&gt;"OK","",IF(OR(VALUE(T161)=2,VALUE(U161)=2,VALUE(V161)=2),"社内残置",IF(AND(VALUE(T161)=0,VALUE(W161)=0,VALUE(Y161)=0),"自動化候補",IF(AND(VALUE(U161)=0,VALUE(W161)&lt;=1,VALUE(X161)&lt;=1,VALUE(Y161)&lt;=1,VALUE(Z161)&lt;=1),"オフショア候補",IF(AND(VALUE(Y161)&lt;=1,VALUE(Z161)&lt;=1),"ニアショア候補","社内で手順化→再評価")))))</f>
        <v/>
      </c>
      <c r="AK161">
        <f>IF(AB161&lt;&gt;"OK","",14-SUMPRODUCT(--T161:Z161))</f>
        <v/>
      </c>
      <c r="AL161" s="33">
        <f>IF(AB161&lt;&gt;"OK","",AS161*AT161/60)</f>
        <v/>
      </c>
      <c r="AM161" s="34">
        <f>IF(A161="","",UPPER(TRIM(ASC(A161&amp;""))))</f>
        <v/>
      </c>
      <c r="AN161" s="34">
        <f>IF(AM161="","",AM161&amp;"-"&amp;B161)</f>
        <v/>
      </c>
      <c r="AO161" s="34">
        <f>IF(C161="","",IFERROR(VALUE(ASC(SUBSTITUTE(C161&amp;"","観点",""))),""))</f>
        <v/>
      </c>
      <c r="AP161" s="34">
        <f>IF(D161="","",IFERROR(VALUE(LEFT(TRIM(ASC(D161&amp;"")),1)),IFERROR(MATCH(TRIM(D161&amp;""),'M2_区分マスタ'!$I$5:$I$10,0),"")))</f>
        <v/>
      </c>
      <c r="AQ161" s="34">
        <f>IF(H161="","",UPPER(LEFT(TRIM(ASC(H161&amp;"")),3)))</f>
        <v/>
      </c>
      <c r="AR161" s="34">
        <f>IF(N161="","",IFERROR(VALUE(SUBSTITUTE(SUBSTITUTE(SUBSTITUTE(SUBSTITUTE(SUBSTITUTE(SUBSTITUTE(SUBSTITUTE(SUBSTITUTE(SUBSTITUTE(SUBSTITUTE(SUBSTITUTE(SUBSTITUTE(ASC(N161&amp;""),"約",""),"程度",""),"ほど",""),"回",""),"毎",""),"週",""),"月",""),"年",""),"日",""),"に",""),"/","")," ","")),""))</f>
        <v/>
      </c>
      <c r="AS161" s="34">
        <f>IF(N161="","",IF(ISNUMBER(N161),N161,IFERROR(VALUE(ASC(N161&amp;"")),IF(AR161&lt;&gt;"",AR161*IF(ISNUMBER(SEARCH("週",N161)),4.3,IF(ISNUMBER(SEARCH("年",N161)),1/12,IF(ISNUMBER(SEARCH("日",N161)),20,1))),IF(ISNUMBER(SEARCH("日",N161)),20,IF(ISNUMBER(SEARCH("週",N161)),4.3,IF(ISNUMBER(SEARCH("月",N161)),1,"")))))))</f>
        <v/>
      </c>
      <c r="AT161" s="34">
        <f>IF(O161="","",IF(ISNUMBER(O161),O161,IFERROR(VALUE(ASC(O161&amp;"")),IF(ISNUMBER(SEARCH("時間",O161)),IFERROR(VALUE(SUBSTITUTE(SUBSTITUTE(SUBSTITUTE(SUBSTITUTE(SUBSTITUTE(ASC(O161&amp;""),"約",""),"程度",""),"ほど",""),"時間","")," ",""))*60,""),IFERROR(VALUE(SUBSTITUTE(SUBSTITUTE(SUBSTITUTE(SUBSTITUTE(SUBSTITUTE(ASC(O161&amp;""),"約",""),"程度",""),"ほど",""),"分","")," ","")),"")))))</f>
        <v/>
      </c>
      <c r="AU161" s="34">
        <f>IF(P161="","",IF(ISNUMBER(P161),P161,IFERROR(VALUE(SUBSTITUTE(SUBSTITUTE(SUBSTITUTE(ASC(P161&amp;""),"約",""),"件","")," ","")),"")))</f>
        <v/>
      </c>
      <c r="AV161" s="34">
        <f>IF(AB161&lt;&gt;"OK","",IF(COUNTIFS($G$5:$G$404,G161&amp;"",$F$5:$F$404,F161&amp;"",$BE$5:$BE$404,BE161&amp;"",$AB$5:$AB$404,"OK")&gt;1,"同名あり",""))</f>
        <v/>
      </c>
      <c r="AW161" s="35">
        <f>IF(Q161="","",IF(ISNUMBER(Q161),Q161,IFERROR(DATEVALUE(SUBSTITUTE(SUBSTITUTE(ASC(Q161&amp;""),"-","/"),".","/")&amp;"/01"),"")))</f>
        <v/>
      </c>
      <c r="AX161" s="35">
        <f>IF(R161="","",IF(ISNUMBER(R161),R161,IFERROR(DATEVALUE(SUBSTITUTE(SUBSTITUTE(ASC(R161&amp;""),"-","/"),".","/")&amp;"/01"),"")))</f>
        <v/>
      </c>
      <c r="AY161" s="34">
        <f>IF(OR(AB161&lt;&gt;"OK",AW161=""),"",IF(AW161&gt;='01_設定'!$C$26,1,0))</f>
        <v/>
      </c>
      <c r="AZ161" s="34">
        <f>IF(AND(AB161="OK",AD161&lt;&gt;"除外"),COUNTIFS($AB$5:AB161,"OK",$AD$5:AD161,"&lt;&gt;除外"),"")</f>
        <v/>
      </c>
      <c r="BA161" s="34">
        <f>IF(OR(AZ161="",AI161=""),"",AI161+ROW()/1000000000)</f>
        <v/>
      </c>
      <c r="BB161" s="34">
        <f>IF(E161="","",IF(OR(TRIM(E161&amp;"")="-",TRIM(E161&amp;"")="－",TRIM(E161&amp;"")="ー"),"",TRIM(E161&amp;"")))</f>
        <v/>
      </c>
      <c r="BC161" s="34">
        <f>IF(AND(AB161="OK",BB161&lt;&gt;""),IF(COUNTIFS($BB$5:BB161,BB161,$AB$5:AB161,"OK")=1,1,""),"")</f>
        <v/>
      </c>
      <c r="BD161" s="34">
        <f>IF(BC161=1,COUNTIF($BC$5:BC161,1),"")</f>
        <v/>
      </c>
      <c r="BE161" s="34">
        <f>IF(BB161="","",IFERROR(INDEX('06_顧客別集計'!$G$5:$G$104,MATCH(BB161,'06_顧客別集計'!$C$5:$C$104,0)),BB161))</f>
        <v/>
      </c>
      <c r="BF161" s="34">
        <f>IF(AND(AZ161&lt;&gt;"",BE161&lt;&gt;""),IF(COUNTIFS($BE$5:BE161,BE161,$AZ$5:AZ161,"&gt;0")=1,1,""),"")</f>
        <v/>
      </c>
      <c r="BG161" s="34">
        <f>IF(BF161=1,COUNTIF($BF$5:BF161,1),"")</f>
        <v/>
      </c>
    </row>
    <row r="162">
      <c r="AB162">
        <f>IF(AND(A162="",G162=""),"",IF(ISNUMBER(SEARCH("##END",AM162)),"（終わりの印）",IF(ISNUMBER(SEARCH("##続き",AM162)),"（続きありの印）",IF(AM162="調査ID","（見出し行）",IF(AND(AM162&lt;&gt;"R1",AM162&lt;&gt;"R2"),"×表以外の行（集計されない）",IF(COUNTIF($AN$5:AN162,AN162)&gt;1,"△重複（集計されない）",IF(G162="","△タスク名なし",IF(ISNA(MATCH(AQ162,'M1_類型マスタ'!$A$5:$A$19,0)),"△類型が不正",IF(OR(AP162="",N(AP162)&lt;1,N(AP162)&gt;6),"△業務区分が不正",IF(OR(AS162="",AT162=""),"△回数・分が読めない",IF(SUMPRODUCT(--ISNUMBER(--T162:Z162))&lt;7,"△採点が足りない",IF(SUMPRODUCT((--T162:Z162&gt;2)+(--T162:Z162&lt;0))&gt;0,"△採点が範囲外","OK"))))))))))))</f>
        <v/>
      </c>
      <c r="AC162">
        <f>IF(AB162&lt;&gt;"OK","",TRIM(IF(AND(AU162&lt;&gt;"",N(AU162)&lt;=1),"根拠1件 ","")&amp;IF(AV162&lt;&gt;"","同名あり ","")&amp;IF(AND(NOT(ISNUMBER(N162)),N162&lt;&gt;""),"回数を換算 ","")&amp;IF(J162="","詳細なし ","")&amp;IF(AND(N(AP162)=1,BB162=""),"顧客名なし ","")))</f>
        <v/>
      </c>
      <c r="AD162" s="31" t="n"/>
      <c r="AE162" s="32" t="n"/>
      <c r="AF162" s="32" t="n"/>
      <c r="AG162" s="31" t="n"/>
      <c r="AH162">
        <f>IF(AB162&lt;&gt;"OK","",IF(AG162&lt;&gt;"",AG162,AJ162))</f>
        <v/>
      </c>
      <c r="AI162" s="33">
        <f>IF(AB162&lt;&gt;"OK","",IFERROR(IF(AE162&lt;&gt;"",AE162,AS162)*IF(AF162&lt;&gt;"",AF162,AT162)/60,""))</f>
        <v/>
      </c>
      <c r="AJ162">
        <f>IF(AB162&lt;&gt;"OK","",IF(OR(VALUE(T162)=2,VALUE(U162)=2,VALUE(V162)=2),"社内残置",IF(AND(VALUE(T162)=0,VALUE(W162)=0,VALUE(Y162)=0),"自動化候補",IF(AND(VALUE(U162)=0,VALUE(W162)&lt;=1,VALUE(X162)&lt;=1,VALUE(Y162)&lt;=1,VALUE(Z162)&lt;=1),"オフショア候補",IF(AND(VALUE(Y162)&lt;=1,VALUE(Z162)&lt;=1),"ニアショア候補","社内で手順化→再評価")))))</f>
        <v/>
      </c>
      <c r="AK162">
        <f>IF(AB162&lt;&gt;"OK","",14-SUMPRODUCT(--T162:Z162))</f>
        <v/>
      </c>
      <c r="AL162" s="33">
        <f>IF(AB162&lt;&gt;"OK","",AS162*AT162/60)</f>
        <v/>
      </c>
      <c r="AM162" s="34">
        <f>IF(A162="","",UPPER(TRIM(ASC(A162&amp;""))))</f>
        <v/>
      </c>
      <c r="AN162" s="34">
        <f>IF(AM162="","",AM162&amp;"-"&amp;B162)</f>
        <v/>
      </c>
      <c r="AO162" s="34">
        <f>IF(C162="","",IFERROR(VALUE(ASC(SUBSTITUTE(C162&amp;"","観点",""))),""))</f>
        <v/>
      </c>
      <c r="AP162" s="34">
        <f>IF(D162="","",IFERROR(VALUE(LEFT(TRIM(ASC(D162&amp;"")),1)),IFERROR(MATCH(TRIM(D162&amp;""),'M2_区分マスタ'!$I$5:$I$10,0),"")))</f>
        <v/>
      </c>
      <c r="AQ162" s="34">
        <f>IF(H162="","",UPPER(LEFT(TRIM(ASC(H162&amp;"")),3)))</f>
        <v/>
      </c>
      <c r="AR162" s="34">
        <f>IF(N162="","",IFERROR(VALUE(SUBSTITUTE(SUBSTITUTE(SUBSTITUTE(SUBSTITUTE(SUBSTITUTE(SUBSTITUTE(SUBSTITUTE(SUBSTITUTE(SUBSTITUTE(SUBSTITUTE(SUBSTITUTE(SUBSTITUTE(ASC(N162&amp;""),"約",""),"程度",""),"ほど",""),"回",""),"毎",""),"週",""),"月",""),"年",""),"日",""),"に",""),"/","")," ","")),""))</f>
        <v/>
      </c>
      <c r="AS162" s="34">
        <f>IF(N162="","",IF(ISNUMBER(N162),N162,IFERROR(VALUE(ASC(N162&amp;"")),IF(AR162&lt;&gt;"",AR162*IF(ISNUMBER(SEARCH("週",N162)),4.3,IF(ISNUMBER(SEARCH("年",N162)),1/12,IF(ISNUMBER(SEARCH("日",N162)),20,1))),IF(ISNUMBER(SEARCH("日",N162)),20,IF(ISNUMBER(SEARCH("週",N162)),4.3,IF(ISNUMBER(SEARCH("月",N162)),1,"")))))))</f>
        <v/>
      </c>
      <c r="AT162" s="34">
        <f>IF(O162="","",IF(ISNUMBER(O162),O162,IFERROR(VALUE(ASC(O162&amp;"")),IF(ISNUMBER(SEARCH("時間",O162)),IFERROR(VALUE(SUBSTITUTE(SUBSTITUTE(SUBSTITUTE(SUBSTITUTE(SUBSTITUTE(ASC(O162&amp;""),"約",""),"程度",""),"ほど",""),"時間","")," ",""))*60,""),IFERROR(VALUE(SUBSTITUTE(SUBSTITUTE(SUBSTITUTE(SUBSTITUTE(SUBSTITUTE(ASC(O162&amp;""),"約",""),"程度",""),"ほど",""),"分","")," ","")),"")))))</f>
        <v/>
      </c>
      <c r="AU162" s="34">
        <f>IF(P162="","",IF(ISNUMBER(P162),P162,IFERROR(VALUE(SUBSTITUTE(SUBSTITUTE(SUBSTITUTE(ASC(P162&amp;""),"約",""),"件","")," ","")),"")))</f>
        <v/>
      </c>
      <c r="AV162" s="34">
        <f>IF(AB162&lt;&gt;"OK","",IF(COUNTIFS($G$5:$G$404,G162&amp;"",$F$5:$F$404,F162&amp;"",$BE$5:$BE$404,BE162&amp;"",$AB$5:$AB$404,"OK")&gt;1,"同名あり",""))</f>
        <v/>
      </c>
      <c r="AW162" s="35">
        <f>IF(Q162="","",IF(ISNUMBER(Q162),Q162,IFERROR(DATEVALUE(SUBSTITUTE(SUBSTITUTE(ASC(Q162&amp;""),"-","/"),".","/")&amp;"/01"),"")))</f>
        <v/>
      </c>
      <c r="AX162" s="35">
        <f>IF(R162="","",IF(ISNUMBER(R162),R162,IFERROR(DATEVALUE(SUBSTITUTE(SUBSTITUTE(ASC(R162&amp;""),"-","/"),".","/")&amp;"/01"),"")))</f>
        <v/>
      </c>
      <c r="AY162" s="34">
        <f>IF(OR(AB162&lt;&gt;"OK",AW162=""),"",IF(AW162&gt;='01_設定'!$C$26,1,0))</f>
        <v/>
      </c>
      <c r="AZ162" s="34">
        <f>IF(AND(AB162="OK",AD162&lt;&gt;"除外"),COUNTIFS($AB$5:AB162,"OK",$AD$5:AD162,"&lt;&gt;除外"),"")</f>
        <v/>
      </c>
      <c r="BA162" s="34">
        <f>IF(OR(AZ162="",AI162=""),"",AI162+ROW()/1000000000)</f>
        <v/>
      </c>
      <c r="BB162" s="34">
        <f>IF(E162="","",IF(OR(TRIM(E162&amp;"")="-",TRIM(E162&amp;"")="－",TRIM(E162&amp;"")="ー"),"",TRIM(E162&amp;"")))</f>
        <v/>
      </c>
      <c r="BC162" s="34">
        <f>IF(AND(AB162="OK",BB162&lt;&gt;""),IF(COUNTIFS($BB$5:BB162,BB162,$AB$5:AB162,"OK")=1,1,""),"")</f>
        <v/>
      </c>
      <c r="BD162" s="34">
        <f>IF(BC162=1,COUNTIF($BC$5:BC162,1),"")</f>
        <v/>
      </c>
      <c r="BE162" s="34">
        <f>IF(BB162="","",IFERROR(INDEX('06_顧客別集計'!$G$5:$G$104,MATCH(BB162,'06_顧客別集計'!$C$5:$C$104,0)),BB162))</f>
        <v/>
      </c>
      <c r="BF162" s="34">
        <f>IF(AND(AZ162&lt;&gt;"",BE162&lt;&gt;""),IF(COUNTIFS($BE$5:BE162,BE162,$AZ$5:AZ162,"&gt;0")=1,1,""),"")</f>
        <v/>
      </c>
      <c r="BG162" s="34">
        <f>IF(BF162=1,COUNTIF($BF$5:BF162,1),"")</f>
        <v/>
      </c>
    </row>
    <row r="163">
      <c r="AB163">
        <f>IF(AND(A163="",G163=""),"",IF(ISNUMBER(SEARCH("##END",AM163)),"（終わりの印）",IF(ISNUMBER(SEARCH("##続き",AM163)),"（続きありの印）",IF(AM163="調査ID","（見出し行）",IF(AND(AM163&lt;&gt;"R1",AM163&lt;&gt;"R2"),"×表以外の行（集計されない）",IF(COUNTIF($AN$5:AN163,AN163)&gt;1,"△重複（集計されない）",IF(G163="","△タスク名なし",IF(ISNA(MATCH(AQ163,'M1_類型マスタ'!$A$5:$A$19,0)),"△類型が不正",IF(OR(AP163="",N(AP163)&lt;1,N(AP163)&gt;6),"△業務区分が不正",IF(OR(AS163="",AT163=""),"△回数・分が読めない",IF(SUMPRODUCT(--ISNUMBER(--T163:Z163))&lt;7,"△採点が足りない",IF(SUMPRODUCT((--T163:Z163&gt;2)+(--T163:Z163&lt;0))&gt;0,"△採点が範囲外","OK"))))))))))))</f>
        <v/>
      </c>
      <c r="AC163">
        <f>IF(AB163&lt;&gt;"OK","",TRIM(IF(AND(AU163&lt;&gt;"",N(AU163)&lt;=1),"根拠1件 ","")&amp;IF(AV163&lt;&gt;"","同名あり ","")&amp;IF(AND(NOT(ISNUMBER(N163)),N163&lt;&gt;""),"回数を換算 ","")&amp;IF(J163="","詳細なし ","")&amp;IF(AND(N(AP163)=1,BB163=""),"顧客名なし ","")))</f>
        <v/>
      </c>
      <c r="AD163" s="31" t="n"/>
      <c r="AE163" s="32" t="n"/>
      <c r="AF163" s="32" t="n"/>
      <c r="AG163" s="31" t="n"/>
      <c r="AH163">
        <f>IF(AB163&lt;&gt;"OK","",IF(AG163&lt;&gt;"",AG163,AJ163))</f>
        <v/>
      </c>
      <c r="AI163" s="33">
        <f>IF(AB163&lt;&gt;"OK","",IFERROR(IF(AE163&lt;&gt;"",AE163,AS163)*IF(AF163&lt;&gt;"",AF163,AT163)/60,""))</f>
        <v/>
      </c>
      <c r="AJ163">
        <f>IF(AB163&lt;&gt;"OK","",IF(OR(VALUE(T163)=2,VALUE(U163)=2,VALUE(V163)=2),"社内残置",IF(AND(VALUE(T163)=0,VALUE(W163)=0,VALUE(Y163)=0),"自動化候補",IF(AND(VALUE(U163)=0,VALUE(W163)&lt;=1,VALUE(X163)&lt;=1,VALUE(Y163)&lt;=1,VALUE(Z163)&lt;=1),"オフショア候補",IF(AND(VALUE(Y163)&lt;=1,VALUE(Z163)&lt;=1),"ニアショア候補","社内で手順化→再評価")))))</f>
        <v/>
      </c>
      <c r="AK163">
        <f>IF(AB163&lt;&gt;"OK","",14-SUMPRODUCT(--T163:Z163))</f>
        <v/>
      </c>
      <c r="AL163" s="33">
        <f>IF(AB163&lt;&gt;"OK","",AS163*AT163/60)</f>
        <v/>
      </c>
      <c r="AM163" s="34">
        <f>IF(A163="","",UPPER(TRIM(ASC(A163&amp;""))))</f>
        <v/>
      </c>
      <c r="AN163" s="34">
        <f>IF(AM163="","",AM163&amp;"-"&amp;B163)</f>
        <v/>
      </c>
      <c r="AO163" s="34">
        <f>IF(C163="","",IFERROR(VALUE(ASC(SUBSTITUTE(C163&amp;"","観点",""))),""))</f>
        <v/>
      </c>
      <c r="AP163" s="34">
        <f>IF(D163="","",IFERROR(VALUE(LEFT(TRIM(ASC(D163&amp;"")),1)),IFERROR(MATCH(TRIM(D163&amp;""),'M2_区分マスタ'!$I$5:$I$10,0),"")))</f>
        <v/>
      </c>
      <c r="AQ163" s="34">
        <f>IF(H163="","",UPPER(LEFT(TRIM(ASC(H163&amp;"")),3)))</f>
        <v/>
      </c>
      <c r="AR163" s="34">
        <f>IF(N163="","",IFERROR(VALUE(SUBSTITUTE(SUBSTITUTE(SUBSTITUTE(SUBSTITUTE(SUBSTITUTE(SUBSTITUTE(SUBSTITUTE(SUBSTITUTE(SUBSTITUTE(SUBSTITUTE(SUBSTITUTE(SUBSTITUTE(ASC(N163&amp;""),"約",""),"程度",""),"ほど",""),"回",""),"毎",""),"週",""),"月",""),"年",""),"日",""),"に",""),"/","")," ","")),""))</f>
        <v/>
      </c>
      <c r="AS163" s="34">
        <f>IF(N163="","",IF(ISNUMBER(N163),N163,IFERROR(VALUE(ASC(N163&amp;"")),IF(AR163&lt;&gt;"",AR163*IF(ISNUMBER(SEARCH("週",N163)),4.3,IF(ISNUMBER(SEARCH("年",N163)),1/12,IF(ISNUMBER(SEARCH("日",N163)),20,1))),IF(ISNUMBER(SEARCH("日",N163)),20,IF(ISNUMBER(SEARCH("週",N163)),4.3,IF(ISNUMBER(SEARCH("月",N163)),1,"")))))))</f>
        <v/>
      </c>
      <c r="AT163" s="34">
        <f>IF(O163="","",IF(ISNUMBER(O163),O163,IFERROR(VALUE(ASC(O163&amp;"")),IF(ISNUMBER(SEARCH("時間",O163)),IFERROR(VALUE(SUBSTITUTE(SUBSTITUTE(SUBSTITUTE(SUBSTITUTE(SUBSTITUTE(ASC(O163&amp;""),"約",""),"程度",""),"ほど",""),"時間","")," ",""))*60,""),IFERROR(VALUE(SUBSTITUTE(SUBSTITUTE(SUBSTITUTE(SUBSTITUTE(SUBSTITUTE(ASC(O163&amp;""),"約",""),"程度",""),"ほど",""),"分","")," ","")),"")))))</f>
        <v/>
      </c>
      <c r="AU163" s="34">
        <f>IF(P163="","",IF(ISNUMBER(P163),P163,IFERROR(VALUE(SUBSTITUTE(SUBSTITUTE(SUBSTITUTE(ASC(P163&amp;""),"約",""),"件","")," ","")),"")))</f>
        <v/>
      </c>
      <c r="AV163" s="34">
        <f>IF(AB163&lt;&gt;"OK","",IF(COUNTIFS($G$5:$G$404,G163&amp;"",$F$5:$F$404,F163&amp;"",$BE$5:$BE$404,BE163&amp;"",$AB$5:$AB$404,"OK")&gt;1,"同名あり",""))</f>
        <v/>
      </c>
      <c r="AW163" s="35">
        <f>IF(Q163="","",IF(ISNUMBER(Q163),Q163,IFERROR(DATEVALUE(SUBSTITUTE(SUBSTITUTE(ASC(Q163&amp;""),"-","/"),".","/")&amp;"/01"),"")))</f>
        <v/>
      </c>
      <c r="AX163" s="35">
        <f>IF(R163="","",IF(ISNUMBER(R163),R163,IFERROR(DATEVALUE(SUBSTITUTE(SUBSTITUTE(ASC(R163&amp;""),"-","/"),".","/")&amp;"/01"),"")))</f>
        <v/>
      </c>
      <c r="AY163" s="34">
        <f>IF(OR(AB163&lt;&gt;"OK",AW163=""),"",IF(AW163&gt;='01_設定'!$C$26,1,0))</f>
        <v/>
      </c>
      <c r="AZ163" s="34">
        <f>IF(AND(AB163="OK",AD163&lt;&gt;"除外"),COUNTIFS($AB$5:AB163,"OK",$AD$5:AD163,"&lt;&gt;除外"),"")</f>
        <v/>
      </c>
      <c r="BA163" s="34">
        <f>IF(OR(AZ163="",AI163=""),"",AI163+ROW()/1000000000)</f>
        <v/>
      </c>
      <c r="BB163" s="34">
        <f>IF(E163="","",IF(OR(TRIM(E163&amp;"")="-",TRIM(E163&amp;"")="－",TRIM(E163&amp;"")="ー"),"",TRIM(E163&amp;"")))</f>
        <v/>
      </c>
      <c r="BC163" s="34">
        <f>IF(AND(AB163="OK",BB163&lt;&gt;""),IF(COUNTIFS($BB$5:BB163,BB163,$AB$5:AB163,"OK")=1,1,""),"")</f>
        <v/>
      </c>
      <c r="BD163" s="34">
        <f>IF(BC163=1,COUNTIF($BC$5:BC163,1),"")</f>
        <v/>
      </c>
      <c r="BE163" s="34">
        <f>IF(BB163="","",IFERROR(INDEX('06_顧客別集計'!$G$5:$G$104,MATCH(BB163,'06_顧客別集計'!$C$5:$C$104,0)),BB163))</f>
        <v/>
      </c>
      <c r="BF163" s="34">
        <f>IF(AND(AZ163&lt;&gt;"",BE163&lt;&gt;""),IF(COUNTIFS($BE$5:BE163,BE163,$AZ$5:AZ163,"&gt;0")=1,1,""),"")</f>
        <v/>
      </c>
      <c r="BG163" s="34">
        <f>IF(BF163=1,COUNTIF($BF$5:BF163,1),"")</f>
        <v/>
      </c>
    </row>
    <row r="164">
      <c r="AB164">
        <f>IF(AND(A164="",G164=""),"",IF(ISNUMBER(SEARCH("##END",AM164)),"（終わりの印）",IF(ISNUMBER(SEARCH("##続き",AM164)),"（続きありの印）",IF(AM164="調査ID","（見出し行）",IF(AND(AM164&lt;&gt;"R1",AM164&lt;&gt;"R2"),"×表以外の行（集計されない）",IF(COUNTIF($AN$5:AN164,AN164)&gt;1,"△重複（集計されない）",IF(G164="","△タスク名なし",IF(ISNA(MATCH(AQ164,'M1_類型マスタ'!$A$5:$A$19,0)),"△類型が不正",IF(OR(AP164="",N(AP164)&lt;1,N(AP164)&gt;6),"△業務区分が不正",IF(OR(AS164="",AT164=""),"△回数・分が読めない",IF(SUMPRODUCT(--ISNUMBER(--T164:Z164))&lt;7,"△採点が足りない",IF(SUMPRODUCT((--T164:Z164&gt;2)+(--T164:Z164&lt;0))&gt;0,"△採点が範囲外","OK"))))))))))))</f>
        <v/>
      </c>
      <c r="AC164">
        <f>IF(AB164&lt;&gt;"OK","",TRIM(IF(AND(AU164&lt;&gt;"",N(AU164)&lt;=1),"根拠1件 ","")&amp;IF(AV164&lt;&gt;"","同名あり ","")&amp;IF(AND(NOT(ISNUMBER(N164)),N164&lt;&gt;""),"回数を換算 ","")&amp;IF(J164="","詳細なし ","")&amp;IF(AND(N(AP164)=1,BB164=""),"顧客名なし ","")))</f>
        <v/>
      </c>
      <c r="AD164" s="31" t="n"/>
      <c r="AE164" s="32" t="n"/>
      <c r="AF164" s="32" t="n"/>
      <c r="AG164" s="31" t="n"/>
      <c r="AH164">
        <f>IF(AB164&lt;&gt;"OK","",IF(AG164&lt;&gt;"",AG164,AJ164))</f>
        <v/>
      </c>
      <c r="AI164" s="33">
        <f>IF(AB164&lt;&gt;"OK","",IFERROR(IF(AE164&lt;&gt;"",AE164,AS164)*IF(AF164&lt;&gt;"",AF164,AT164)/60,""))</f>
        <v/>
      </c>
      <c r="AJ164">
        <f>IF(AB164&lt;&gt;"OK","",IF(OR(VALUE(T164)=2,VALUE(U164)=2,VALUE(V164)=2),"社内残置",IF(AND(VALUE(T164)=0,VALUE(W164)=0,VALUE(Y164)=0),"自動化候補",IF(AND(VALUE(U164)=0,VALUE(W164)&lt;=1,VALUE(X164)&lt;=1,VALUE(Y164)&lt;=1,VALUE(Z164)&lt;=1),"オフショア候補",IF(AND(VALUE(Y164)&lt;=1,VALUE(Z164)&lt;=1),"ニアショア候補","社内で手順化→再評価")))))</f>
        <v/>
      </c>
      <c r="AK164">
        <f>IF(AB164&lt;&gt;"OK","",14-SUMPRODUCT(--T164:Z164))</f>
        <v/>
      </c>
      <c r="AL164" s="33">
        <f>IF(AB164&lt;&gt;"OK","",AS164*AT164/60)</f>
        <v/>
      </c>
      <c r="AM164" s="34">
        <f>IF(A164="","",UPPER(TRIM(ASC(A164&amp;""))))</f>
        <v/>
      </c>
      <c r="AN164" s="34">
        <f>IF(AM164="","",AM164&amp;"-"&amp;B164)</f>
        <v/>
      </c>
      <c r="AO164" s="34">
        <f>IF(C164="","",IFERROR(VALUE(ASC(SUBSTITUTE(C164&amp;"","観点",""))),""))</f>
        <v/>
      </c>
      <c r="AP164" s="34">
        <f>IF(D164="","",IFERROR(VALUE(LEFT(TRIM(ASC(D164&amp;"")),1)),IFERROR(MATCH(TRIM(D164&amp;""),'M2_区分マスタ'!$I$5:$I$10,0),"")))</f>
        <v/>
      </c>
      <c r="AQ164" s="34">
        <f>IF(H164="","",UPPER(LEFT(TRIM(ASC(H164&amp;"")),3)))</f>
        <v/>
      </c>
      <c r="AR164" s="34">
        <f>IF(N164="","",IFERROR(VALUE(SUBSTITUTE(SUBSTITUTE(SUBSTITUTE(SUBSTITUTE(SUBSTITUTE(SUBSTITUTE(SUBSTITUTE(SUBSTITUTE(SUBSTITUTE(SUBSTITUTE(SUBSTITUTE(SUBSTITUTE(ASC(N164&amp;""),"約",""),"程度",""),"ほど",""),"回",""),"毎",""),"週",""),"月",""),"年",""),"日",""),"に",""),"/","")," ","")),""))</f>
        <v/>
      </c>
      <c r="AS164" s="34">
        <f>IF(N164="","",IF(ISNUMBER(N164),N164,IFERROR(VALUE(ASC(N164&amp;"")),IF(AR164&lt;&gt;"",AR164*IF(ISNUMBER(SEARCH("週",N164)),4.3,IF(ISNUMBER(SEARCH("年",N164)),1/12,IF(ISNUMBER(SEARCH("日",N164)),20,1))),IF(ISNUMBER(SEARCH("日",N164)),20,IF(ISNUMBER(SEARCH("週",N164)),4.3,IF(ISNUMBER(SEARCH("月",N164)),1,"")))))))</f>
        <v/>
      </c>
      <c r="AT164" s="34">
        <f>IF(O164="","",IF(ISNUMBER(O164),O164,IFERROR(VALUE(ASC(O164&amp;"")),IF(ISNUMBER(SEARCH("時間",O164)),IFERROR(VALUE(SUBSTITUTE(SUBSTITUTE(SUBSTITUTE(SUBSTITUTE(SUBSTITUTE(ASC(O164&amp;""),"約",""),"程度",""),"ほど",""),"時間","")," ",""))*60,""),IFERROR(VALUE(SUBSTITUTE(SUBSTITUTE(SUBSTITUTE(SUBSTITUTE(SUBSTITUTE(ASC(O164&amp;""),"約",""),"程度",""),"ほど",""),"分","")," ","")),"")))))</f>
        <v/>
      </c>
      <c r="AU164" s="34">
        <f>IF(P164="","",IF(ISNUMBER(P164),P164,IFERROR(VALUE(SUBSTITUTE(SUBSTITUTE(SUBSTITUTE(ASC(P164&amp;""),"約",""),"件","")," ","")),"")))</f>
        <v/>
      </c>
      <c r="AV164" s="34">
        <f>IF(AB164&lt;&gt;"OK","",IF(COUNTIFS($G$5:$G$404,G164&amp;"",$F$5:$F$404,F164&amp;"",$BE$5:$BE$404,BE164&amp;"",$AB$5:$AB$404,"OK")&gt;1,"同名あり",""))</f>
        <v/>
      </c>
      <c r="AW164" s="35">
        <f>IF(Q164="","",IF(ISNUMBER(Q164),Q164,IFERROR(DATEVALUE(SUBSTITUTE(SUBSTITUTE(ASC(Q164&amp;""),"-","/"),".","/")&amp;"/01"),"")))</f>
        <v/>
      </c>
      <c r="AX164" s="35">
        <f>IF(R164="","",IF(ISNUMBER(R164),R164,IFERROR(DATEVALUE(SUBSTITUTE(SUBSTITUTE(ASC(R164&amp;""),"-","/"),".","/")&amp;"/01"),"")))</f>
        <v/>
      </c>
      <c r="AY164" s="34">
        <f>IF(OR(AB164&lt;&gt;"OK",AW164=""),"",IF(AW164&gt;='01_設定'!$C$26,1,0))</f>
        <v/>
      </c>
      <c r="AZ164" s="34">
        <f>IF(AND(AB164="OK",AD164&lt;&gt;"除外"),COUNTIFS($AB$5:AB164,"OK",$AD$5:AD164,"&lt;&gt;除外"),"")</f>
        <v/>
      </c>
      <c r="BA164" s="34">
        <f>IF(OR(AZ164="",AI164=""),"",AI164+ROW()/1000000000)</f>
        <v/>
      </c>
      <c r="BB164" s="34">
        <f>IF(E164="","",IF(OR(TRIM(E164&amp;"")="-",TRIM(E164&amp;"")="－",TRIM(E164&amp;"")="ー"),"",TRIM(E164&amp;"")))</f>
        <v/>
      </c>
      <c r="BC164" s="34">
        <f>IF(AND(AB164="OK",BB164&lt;&gt;""),IF(COUNTIFS($BB$5:BB164,BB164,$AB$5:AB164,"OK")=1,1,""),"")</f>
        <v/>
      </c>
      <c r="BD164" s="34">
        <f>IF(BC164=1,COUNTIF($BC$5:BC164,1),"")</f>
        <v/>
      </c>
      <c r="BE164" s="34">
        <f>IF(BB164="","",IFERROR(INDEX('06_顧客別集計'!$G$5:$G$104,MATCH(BB164,'06_顧客別集計'!$C$5:$C$104,0)),BB164))</f>
        <v/>
      </c>
      <c r="BF164" s="34">
        <f>IF(AND(AZ164&lt;&gt;"",BE164&lt;&gt;""),IF(COUNTIFS($BE$5:BE164,BE164,$AZ$5:AZ164,"&gt;0")=1,1,""),"")</f>
        <v/>
      </c>
      <c r="BG164" s="34">
        <f>IF(BF164=1,COUNTIF($BF$5:BF164,1),"")</f>
        <v/>
      </c>
    </row>
    <row r="165">
      <c r="AB165">
        <f>IF(AND(A165="",G165=""),"",IF(ISNUMBER(SEARCH("##END",AM165)),"（終わりの印）",IF(ISNUMBER(SEARCH("##続き",AM165)),"（続きありの印）",IF(AM165="調査ID","（見出し行）",IF(AND(AM165&lt;&gt;"R1",AM165&lt;&gt;"R2"),"×表以外の行（集計されない）",IF(COUNTIF($AN$5:AN165,AN165)&gt;1,"△重複（集計されない）",IF(G165="","△タスク名なし",IF(ISNA(MATCH(AQ165,'M1_類型マスタ'!$A$5:$A$19,0)),"△類型が不正",IF(OR(AP165="",N(AP165)&lt;1,N(AP165)&gt;6),"△業務区分が不正",IF(OR(AS165="",AT165=""),"△回数・分が読めない",IF(SUMPRODUCT(--ISNUMBER(--T165:Z165))&lt;7,"△採点が足りない",IF(SUMPRODUCT((--T165:Z165&gt;2)+(--T165:Z165&lt;0))&gt;0,"△採点が範囲外","OK"))))))))))))</f>
        <v/>
      </c>
      <c r="AC165">
        <f>IF(AB165&lt;&gt;"OK","",TRIM(IF(AND(AU165&lt;&gt;"",N(AU165)&lt;=1),"根拠1件 ","")&amp;IF(AV165&lt;&gt;"","同名あり ","")&amp;IF(AND(NOT(ISNUMBER(N165)),N165&lt;&gt;""),"回数を換算 ","")&amp;IF(J165="","詳細なし ","")&amp;IF(AND(N(AP165)=1,BB165=""),"顧客名なし ","")))</f>
        <v/>
      </c>
      <c r="AD165" s="31" t="n"/>
      <c r="AE165" s="32" t="n"/>
      <c r="AF165" s="32" t="n"/>
      <c r="AG165" s="31" t="n"/>
      <c r="AH165">
        <f>IF(AB165&lt;&gt;"OK","",IF(AG165&lt;&gt;"",AG165,AJ165))</f>
        <v/>
      </c>
      <c r="AI165" s="33">
        <f>IF(AB165&lt;&gt;"OK","",IFERROR(IF(AE165&lt;&gt;"",AE165,AS165)*IF(AF165&lt;&gt;"",AF165,AT165)/60,""))</f>
        <v/>
      </c>
      <c r="AJ165">
        <f>IF(AB165&lt;&gt;"OK","",IF(OR(VALUE(T165)=2,VALUE(U165)=2,VALUE(V165)=2),"社内残置",IF(AND(VALUE(T165)=0,VALUE(W165)=0,VALUE(Y165)=0),"自動化候補",IF(AND(VALUE(U165)=0,VALUE(W165)&lt;=1,VALUE(X165)&lt;=1,VALUE(Y165)&lt;=1,VALUE(Z165)&lt;=1),"オフショア候補",IF(AND(VALUE(Y165)&lt;=1,VALUE(Z165)&lt;=1),"ニアショア候補","社内で手順化→再評価")))))</f>
        <v/>
      </c>
      <c r="AK165">
        <f>IF(AB165&lt;&gt;"OK","",14-SUMPRODUCT(--T165:Z165))</f>
        <v/>
      </c>
      <c r="AL165" s="33">
        <f>IF(AB165&lt;&gt;"OK","",AS165*AT165/60)</f>
        <v/>
      </c>
      <c r="AM165" s="34">
        <f>IF(A165="","",UPPER(TRIM(ASC(A165&amp;""))))</f>
        <v/>
      </c>
      <c r="AN165" s="34">
        <f>IF(AM165="","",AM165&amp;"-"&amp;B165)</f>
        <v/>
      </c>
      <c r="AO165" s="34">
        <f>IF(C165="","",IFERROR(VALUE(ASC(SUBSTITUTE(C165&amp;"","観点",""))),""))</f>
        <v/>
      </c>
      <c r="AP165" s="34">
        <f>IF(D165="","",IFERROR(VALUE(LEFT(TRIM(ASC(D165&amp;"")),1)),IFERROR(MATCH(TRIM(D165&amp;""),'M2_区分マスタ'!$I$5:$I$10,0),"")))</f>
        <v/>
      </c>
      <c r="AQ165" s="34">
        <f>IF(H165="","",UPPER(LEFT(TRIM(ASC(H165&amp;"")),3)))</f>
        <v/>
      </c>
      <c r="AR165" s="34">
        <f>IF(N165="","",IFERROR(VALUE(SUBSTITUTE(SUBSTITUTE(SUBSTITUTE(SUBSTITUTE(SUBSTITUTE(SUBSTITUTE(SUBSTITUTE(SUBSTITUTE(SUBSTITUTE(SUBSTITUTE(SUBSTITUTE(SUBSTITUTE(ASC(N165&amp;""),"約",""),"程度",""),"ほど",""),"回",""),"毎",""),"週",""),"月",""),"年",""),"日",""),"に",""),"/","")," ","")),""))</f>
        <v/>
      </c>
      <c r="AS165" s="34">
        <f>IF(N165="","",IF(ISNUMBER(N165),N165,IFERROR(VALUE(ASC(N165&amp;"")),IF(AR165&lt;&gt;"",AR165*IF(ISNUMBER(SEARCH("週",N165)),4.3,IF(ISNUMBER(SEARCH("年",N165)),1/12,IF(ISNUMBER(SEARCH("日",N165)),20,1))),IF(ISNUMBER(SEARCH("日",N165)),20,IF(ISNUMBER(SEARCH("週",N165)),4.3,IF(ISNUMBER(SEARCH("月",N165)),1,"")))))))</f>
        <v/>
      </c>
      <c r="AT165" s="34">
        <f>IF(O165="","",IF(ISNUMBER(O165),O165,IFERROR(VALUE(ASC(O165&amp;"")),IF(ISNUMBER(SEARCH("時間",O165)),IFERROR(VALUE(SUBSTITUTE(SUBSTITUTE(SUBSTITUTE(SUBSTITUTE(SUBSTITUTE(ASC(O165&amp;""),"約",""),"程度",""),"ほど",""),"時間","")," ",""))*60,""),IFERROR(VALUE(SUBSTITUTE(SUBSTITUTE(SUBSTITUTE(SUBSTITUTE(SUBSTITUTE(ASC(O165&amp;""),"約",""),"程度",""),"ほど",""),"分","")," ","")),"")))))</f>
        <v/>
      </c>
      <c r="AU165" s="34">
        <f>IF(P165="","",IF(ISNUMBER(P165),P165,IFERROR(VALUE(SUBSTITUTE(SUBSTITUTE(SUBSTITUTE(ASC(P165&amp;""),"約",""),"件","")," ","")),"")))</f>
        <v/>
      </c>
      <c r="AV165" s="34">
        <f>IF(AB165&lt;&gt;"OK","",IF(COUNTIFS($G$5:$G$404,G165&amp;"",$F$5:$F$404,F165&amp;"",$BE$5:$BE$404,BE165&amp;"",$AB$5:$AB$404,"OK")&gt;1,"同名あり",""))</f>
        <v/>
      </c>
      <c r="AW165" s="35">
        <f>IF(Q165="","",IF(ISNUMBER(Q165),Q165,IFERROR(DATEVALUE(SUBSTITUTE(SUBSTITUTE(ASC(Q165&amp;""),"-","/"),".","/")&amp;"/01"),"")))</f>
        <v/>
      </c>
      <c r="AX165" s="35">
        <f>IF(R165="","",IF(ISNUMBER(R165),R165,IFERROR(DATEVALUE(SUBSTITUTE(SUBSTITUTE(ASC(R165&amp;""),"-","/"),".","/")&amp;"/01"),"")))</f>
        <v/>
      </c>
      <c r="AY165" s="34">
        <f>IF(OR(AB165&lt;&gt;"OK",AW165=""),"",IF(AW165&gt;='01_設定'!$C$26,1,0))</f>
        <v/>
      </c>
      <c r="AZ165" s="34">
        <f>IF(AND(AB165="OK",AD165&lt;&gt;"除外"),COUNTIFS($AB$5:AB165,"OK",$AD$5:AD165,"&lt;&gt;除外"),"")</f>
        <v/>
      </c>
      <c r="BA165" s="34">
        <f>IF(OR(AZ165="",AI165=""),"",AI165+ROW()/1000000000)</f>
        <v/>
      </c>
      <c r="BB165" s="34">
        <f>IF(E165="","",IF(OR(TRIM(E165&amp;"")="-",TRIM(E165&amp;"")="－",TRIM(E165&amp;"")="ー"),"",TRIM(E165&amp;"")))</f>
        <v/>
      </c>
      <c r="BC165" s="34">
        <f>IF(AND(AB165="OK",BB165&lt;&gt;""),IF(COUNTIFS($BB$5:BB165,BB165,$AB$5:AB165,"OK")=1,1,""),"")</f>
        <v/>
      </c>
      <c r="BD165" s="34">
        <f>IF(BC165=1,COUNTIF($BC$5:BC165,1),"")</f>
        <v/>
      </c>
      <c r="BE165" s="34">
        <f>IF(BB165="","",IFERROR(INDEX('06_顧客別集計'!$G$5:$G$104,MATCH(BB165,'06_顧客別集計'!$C$5:$C$104,0)),BB165))</f>
        <v/>
      </c>
      <c r="BF165" s="34">
        <f>IF(AND(AZ165&lt;&gt;"",BE165&lt;&gt;""),IF(COUNTIFS($BE$5:BE165,BE165,$AZ$5:AZ165,"&gt;0")=1,1,""),"")</f>
        <v/>
      </c>
      <c r="BG165" s="34">
        <f>IF(BF165=1,COUNTIF($BF$5:BF165,1),"")</f>
        <v/>
      </c>
    </row>
    <row r="166">
      <c r="AB166">
        <f>IF(AND(A166="",G166=""),"",IF(ISNUMBER(SEARCH("##END",AM166)),"（終わりの印）",IF(ISNUMBER(SEARCH("##続き",AM166)),"（続きありの印）",IF(AM166="調査ID","（見出し行）",IF(AND(AM166&lt;&gt;"R1",AM166&lt;&gt;"R2"),"×表以外の行（集計されない）",IF(COUNTIF($AN$5:AN166,AN166)&gt;1,"△重複（集計されない）",IF(G166="","△タスク名なし",IF(ISNA(MATCH(AQ166,'M1_類型マスタ'!$A$5:$A$19,0)),"△類型が不正",IF(OR(AP166="",N(AP166)&lt;1,N(AP166)&gt;6),"△業務区分が不正",IF(OR(AS166="",AT166=""),"△回数・分が読めない",IF(SUMPRODUCT(--ISNUMBER(--T166:Z166))&lt;7,"△採点が足りない",IF(SUMPRODUCT((--T166:Z166&gt;2)+(--T166:Z166&lt;0))&gt;0,"△採点が範囲外","OK"))))))))))))</f>
        <v/>
      </c>
      <c r="AC166">
        <f>IF(AB166&lt;&gt;"OK","",TRIM(IF(AND(AU166&lt;&gt;"",N(AU166)&lt;=1),"根拠1件 ","")&amp;IF(AV166&lt;&gt;"","同名あり ","")&amp;IF(AND(NOT(ISNUMBER(N166)),N166&lt;&gt;""),"回数を換算 ","")&amp;IF(J166="","詳細なし ","")&amp;IF(AND(N(AP166)=1,BB166=""),"顧客名なし ","")))</f>
        <v/>
      </c>
      <c r="AD166" s="31" t="n"/>
      <c r="AE166" s="32" t="n"/>
      <c r="AF166" s="32" t="n"/>
      <c r="AG166" s="31" t="n"/>
      <c r="AH166">
        <f>IF(AB166&lt;&gt;"OK","",IF(AG166&lt;&gt;"",AG166,AJ166))</f>
        <v/>
      </c>
      <c r="AI166" s="33">
        <f>IF(AB166&lt;&gt;"OK","",IFERROR(IF(AE166&lt;&gt;"",AE166,AS166)*IF(AF166&lt;&gt;"",AF166,AT166)/60,""))</f>
        <v/>
      </c>
      <c r="AJ166">
        <f>IF(AB166&lt;&gt;"OK","",IF(OR(VALUE(T166)=2,VALUE(U166)=2,VALUE(V166)=2),"社内残置",IF(AND(VALUE(T166)=0,VALUE(W166)=0,VALUE(Y166)=0),"自動化候補",IF(AND(VALUE(U166)=0,VALUE(W166)&lt;=1,VALUE(X166)&lt;=1,VALUE(Y166)&lt;=1,VALUE(Z166)&lt;=1),"オフショア候補",IF(AND(VALUE(Y166)&lt;=1,VALUE(Z166)&lt;=1),"ニアショア候補","社内で手順化→再評価")))))</f>
        <v/>
      </c>
      <c r="AK166">
        <f>IF(AB166&lt;&gt;"OK","",14-SUMPRODUCT(--T166:Z166))</f>
        <v/>
      </c>
      <c r="AL166" s="33">
        <f>IF(AB166&lt;&gt;"OK","",AS166*AT166/60)</f>
        <v/>
      </c>
      <c r="AM166" s="34">
        <f>IF(A166="","",UPPER(TRIM(ASC(A166&amp;""))))</f>
        <v/>
      </c>
      <c r="AN166" s="34">
        <f>IF(AM166="","",AM166&amp;"-"&amp;B166)</f>
        <v/>
      </c>
      <c r="AO166" s="34">
        <f>IF(C166="","",IFERROR(VALUE(ASC(SUBSTITUTE(C166&amp;"","観点",""))),""))</f>
        <v/>
      </c>
      <c r="AP166" s="34">
        <f>IF(D166="","",IFERROR(VALUE(LEFT(TRIM(ASC(D166&amp;"")),1)),IFERROR(MATCH(TRIM(D166&amp;""),'M2_区分マスタ'!$I$5:$I$10,0),"")))</f>
        <v/>
      </c>
      <c r="AQ166" s="34">
        <f>IF(H166="","",UPPER(LEFT(TRIM(ASC(H166&amp;"")),3)))</f>
        <v/>
      </c>
      <c r="AR166" s="34">
        <f>IF(N166="","",IFERROR(VALUE(SUBSTITUTE(SUBSTITUTE(SUBSTITUTE(SUBSTITUTE(SUBSTITUTE(SUBSTITUTE(SUBSTITUTE(SUBSTITUTE(SUBSTITUTE(SUBSTITUTE(SUBSTITUTE(SUBSTITUTE(ASC(N166&amp;""),"約",""),"程度",""),"ほど",""),"回",""),"毎",""),"週",""),"月",""),"年",""),"日",""),"に",""),"/","")," ","")),""))</f>
        <v/>
      </c>
      <c r="AS166" s="34">
        <f>IF(N166="","",IF(ISNUMBER(N166),N166,IFERROR(VALUE(ASC(N166&amp;"")),IF(AR166&lt;&gt;"",AR166*IF(ISNUMBER(SEARCH("週",N166)),4.3,IF(ISNUMBER(SEARCH("年",N166)),1/12,IF(ISNUMBER(SEARCH("日",N166)),20,1))),IF(ISNUMBER(SEARCH("日",N166)),20,IF(ISNUMBER(SEARCH("週",N166)),4.3,IF(ISNUMBER(SEARCH("月",N166)),1,"")))))))</f>
        <v/>
      </c>
      <c r="AT166" s="34">
        <f>IF(O166="","",IF(ISNUMBER(O166),O166,IFERROR(VALUE(ASC(O166&amp;"")),IF(ISNUMBER(SEARCH("時間",O166)),IFERROR(VALUE(SUBSTITUTE(SUBSTITUTE(SUBSTITUTE(SUBSTITUTE(SUBSTITUTE(ASC(O166&amp;""),"約",""),"程度",""),"ほど",""),"時間","")," ",""))*60,""),IFERROR(VALUE(SUBSTITUTE(SUBSTITUTE(SUBSTITUTE(SUBSTITUTE(SUBSTITUTE(ASC(O166&amp;""),"約",""),"程度",""),"ほど",""),"分","")," ","")),"")))))</f>
        <v/>
      </c>
      <c r="AU166" s="34">
        <f>IF(P166="","",IF(ISNUMBER(P166),P166,IFERROR(VALUE(SUBSTITUTE(SUBSTITUTE(SUBSTITUTE(ASC(P166&amp;""),"約",""),"件","")," ","")),"")))</f>
        <v/>
      </c>
      <c r="AV166" s="34">
        <f>IF(AB166&lt;&gt;"OK","",IF(COUNTIFS($G$5:$G$404,G166&amp;"",$F$5:$F$404,F166&amp;"",$BE$5:$BE$404,BE166&amp;"",$AB$5:$AB$404,"OK")&gt;1,"同名あり",""))</f>
        <v/>
      </c>
      <c r="AW166" s="35">
        <f>IF(Q166="","",IF(ISNUMBER(Q166),Q166,IFERROR(DATEVALUE(SUBSTITUTE(SUBSTITUTE(ASC(Q166&amp;""),"-","/"),".","/")&amp;"/01"),"")))</f>
        <v/>
      </c>
      <c r="AX166" s="35">
        <f>IF(R166="","",IF(ISNUMBER(R166),R166,IFERROR(DATEVALUE(SUBSTITUTE(SUBSTITUTE(ASC(R166&amp;""),"-","/"),".","/")&amp;"/01"),"")))</f>
        <v/>
      </c>
      <c r="AY166" s="34">
        <f>IF(OR(AB166&lt;&gt;"OK",AW166=""),"",IF(AW166&gt;='01_設定'!$C$26,1,0))</f>
        <v/>
      </c>
      <c r="AZ166" s="34">
        <f>IF(AND(AB166="OK",AD166&lt;&gt;"除外"),COUNTIFS($AB$5:AB166,"OK",$AD$5:AD166,"&lt;&gt;除外"),"")</f>
        <v/>
      </c>
      <c r="BA166" s="34">
        <f>IF(OR(AZ166="",AI166=""),"",AI166+ROW()/1000000000)</f>
        <v/>
      </c>
      <c r="BB166" s="34">
        <f>IF(E166="","",IF(OR(TRIM(E166&amp;"")="-",TRIM(E166&amp;"")="－",TRIM(E166&amp;"")="ー"),"",TRIM(E166&amp;"")))</f>
        <v/>
      </c>
      <c r="BC166" s="34">
        <f>IF(AND(AB166="OK",BB166&lt;&gt;""),IF(COUNTIFS($BB$5:BB166,BB166,$AB$5:AB166,"OK")=1,1,""),"")</f>
        <v/>
      </c>
      <c r="BD166" s="34">
        <f>IF(BC166=1,COUNTIF($BC$5:BC166,1),"")</f>
        <v/>
      </c>
      <c r="BE166" s="34">
        <f>IF(BB166="","",IFERROR(INDEX('06_顧客別集計'!$G$5:$G$104,MATCH(BB166,'06_顧客別集計'!$C$5:$C$104,0)),BB166))</f>
        <v/>
      </c>
      <c r="BF166" s="34">
        <f>IF(AND(AZ166&lt;&gt;"",BE166&lt;&gt;""),IF(COUNTIFS($BE$5:BE166,BE166,$AZ$5:AZ166,"&gt;0")=1,1,""),"")</f>
        <v/>
      </c>
      <c r="BG166" s="34">
        <f>IF(BF166=1,COUNTIF($BF$5:BF166,1),"")</f>
        <v/>
      </c>
    </row>
    <row r="167">
      <c r="AB167">
        <f>IF(AND(A167="",G167=""),"",IF(ISNUMBER(SEARCH("##END",AM167)),"（終わりの印）",IF(ISNUMBER(SEARCH("##続き",AM167)),"（続きありの印）",IF(AM167="調査ID","（見出し行）",IF(AND(AM167&lt;&gt;"R1",AM167&lt;&gt;"R2"),"×表以外の行（集計されない）",IF(COUNTIF($AN$5:AN167,AN167)&gt;1,"△重複（集計されない）",IF(G167="","△タスク名なし",IF(ISNA(MATCH(AQ167,'M1_類型マスタ'!$A$5:$A$19,0)),"△類型が不正",IF(OR(AP167="",N(AP167)&lt;1,N(AP167)&gt;6),"△業務区分が不正",IF(OR(AS167="",AT167=""),"△回数・分が読めない",IF(SUMPRODUCT(--ISNUMBER(--T167:Z167))&lt;7,"△採点が足りない",IF(SUMPRODUCT((--T167:Z167&gt;2)+(--T167:Z167&lt;0))&gt;0,"△採点が範囲外","OK"))))))))))))</f>
        <v/>
      </c>
      <c r="AC167">
        <f>IF(AB167&lt;&gt;"OK","",TRIM(IF(AND(AU167&lt;&gt;"",N(AU167)&lt;=1),"根拠1件 ","")&amp;IF(AV167&lt;&gt;"","同名あり ","")&amp;IF(AND(NOT(ISNUMBER(N167)),N167&lt;&gt;""),"回数を換算 ","")&amp;IF(J167="","詳細なし ","")&amp;IF(AND(N(AP167)=1,BB167=""),"顧客名なし ","")))</f>
        <v/>
      </c>
      <c r="AD167" s="31" t="n"/>
      <c r="AE167" s="32" t="n"/>
      <c r="AF167" s="32" t="n"/>
      <c r="AG167" s="31" t="n"/>
      <c r="AH167">
        <f>IF(AB167&lt;&gt;"OK","",IF(AG167&lt;&gt;"",AG167,AJ167))</f>
        <v/>
      </c>
      <c r="AI167" s="33">
        <f>IF(AB167&lt;&gt;"OK","",IFERROR(IF(AE167&lt;&gt;"",AE167,AS167)*IF(AF167&lt;&gt;"",AF167,AT167)/60,""))</f>
        <v/>
      </c>
      <c r="AJ167">
        <f>IF(AB167&lt;&gt;"OK","",IF(OR(VALUE(T167)=2,VALUE(U167)=2,VALUE(V167)=2),"社内残置",IF(AND(VALUE(T167)=0,VALUE(W167)=0,VALUE(Y167)=0),"自動化候補",IF(AND(VALUE(U167)=0,VALUE(W167)&lt;=1,VALUE(X167)&lt;=1,VALUE(Y167)&lt;=1,VALUE(Z167)&lt;=1),"オフショア候補",IF(AND(VALUE(Y167)&lt;=1,VALUE(Z167)&lt;=1),"ニアショア候補","社内で手順化→再評価")))))</f>
        <v/>
      </c>
      <c r="AK167">
        <f>IF(AB167&lt;&gt;"OK","",14-SUMPRODUCT(--T167:Z167))</f>
        <v/>
      </c>
      <c r="AL167" s="33">
        <f>IF(AB167&lt;&gt;"OK","",AS167*AT167/60)</f>
        <v/>
      </c>
      <c r="AM167" s="34">
        <f>IF(A167="","",UPPER(TRIM(ASC(A167&amp;""))))</f>
        <v/>
      </c>
      <c r="AN167" s="34">
        <f>IF(AM167="","",AM167&amp;"-"&amp;B167)</f>
        <v/>
      </c>
      <c r="AO167" s="34">
        <f>IF(C167="","",IFERROR(VALUE(ASC(SUBSTITUTE(C167&amp;"","観点",""))),""))</f>
        <v/>
      </c>
      <c r="AP167" s="34">
        <f>IF(D167="","",IFERROR(VALUE(LEFT(TRIM(ASC(D167&amp;"")),1)),IFERROR(MATCH(TRIM(D167&amp;""),'M2_区分マスタ'!$I$5:$I$10,0),"")))</f>
        <v/>
      </c>
      <c r="AQ167" s="34">
        <f>IF(H167="","",UPPER(LEFT(TRIM(ASC(H167&amp;"")),3)))</f>
        <v/>
      </c>
      <c r="AR167" s="34">
        <f>IF(N167="","",IFERROR(VALUE(SUBSTITUTE(SUBSTITUTE(SUBSTITUTE(SUBSTITUTE(SUBSTITUTE(SUBSTITUTE(SUBSTITUTE(SUBSTITUTE(SUBSTITUTE(SUBSTITUTE(SUBSTITUTE(SUBSTITUTE(ASC(N167&amp;""),"約",""),"程度",""),"ほど",""),"回",""),"毎",""),"週",""),"月",""),"年",""),"日",""),"に",""),"/","")," ","")),""))</f>
        <v/>
      </c>
      <c r="AS167" s="34">
        <f>IF(N167="","",IF(ISNUMBER(N167),N167,IFERROR(VALUE(ASC(N167&amp;"")),IF(AR167&lt;&gt;"",AR167*IF(ISNUMBER(SEARCH("週",N167)),4.3,IF(ISNUMBER(SEARCH("年",N167)),1/12,IF(ISNUMBER(SEARCH("日",N167)),20,1))),IF(ISNUMBER(SEARCH("日",N167)),20,IF(ISNUMBER(SEARCH("週",N167)),4.3,IF(ISNUMBER(SEARCH("月",N167)),1,"")))))))</f>
        <v/>
      </c>
      <c r="AT167" s="34">
        <f>IF(O167="","",IF(ISNUMBER(O167),O167,IFERROR(VALUE(ASC(O167&amp;"")),IF(ISNUMBER(SEARCH("時間",O167)),IFERROR(VALUE(SUBSTITUTE(SUBSTITUTE(SUBSTITUTE(SUBSTITUTE(SUBSTITUTE(ASC(O167&amp;""),"約",""),"程度",""),"ほど",""),"時間","")," ",""))*60,""),IFERROR(VALUE(SUBSTITUTE(SUBSTITUTE(SUBSTITUTE(SUBSTITUTE(SUBSTITUTE(ASC(O167&amp;""),"約",""),"程度",""),"ほど",""),"分","")," ","")),"")))))</f>
        <v/>
      </c>
      <c r="AU167" s="34">
        <f>IF(P167="","",IF(ISNUMBER(P167),P167,IFERROR(VALUE(SUBSTITUTE(SUBSTITUTE(SUBSTITUTE(ASC(P167&amp;""),"約",""),"件","")," ","")),"")))</f>
        <v/>
      </c>
      <c r="AV167" s="34">
        <f>IF(AB167&lt;&gt;"OK","",IF(COUNTIFS($G$5:$G$404,G167&amp;"",$F$5:$F$404,F167&amp;"",$BE$5:$BE$404,BE167&amp;"",$AB$5:$AB$404,"OK")&gt;1,"同名あり",""))</f>
        <v/>
      </c>
      <c r="AW167" s="35">
        <f>IF(Q167="","",IF(ISNUMBER(Q167),Q167,IFERROR(DATEVALUE(SUBSTITUTE(SUBSTITUTE(ASC(Q167&amp;""),"-","/"),".","/")&amp;"/01"),"")))</f>
        <v/>
      </c>
      <c r="AX167" s="35">
        <f>IF(R167="","",IF(ISNUMBER(R167),R167,IFERROR(DATEVALUE(SUBSTITUTE(SUBSTITUTE(ASC(R167&amp;""),"-","/"),".","/")&amp;"/01"),"")))</f>
        <v/>
      </c>
      <c r="AY167" s="34">
        <f>IF(OR(AB167&lt;&gt;"OK",AW167=""),"",IF(AW167&gt;='01_設定'!$C$26,1,0))</f>
        <v/>
      </c>
      <c r="AZ167" s="34">
        <f>IF(AND(AB167="OK",AD167&lt;&gt;"除外"),COUNTIFS($AB$5:AB167,"OK",$AD$5:AD167,"&lt;&gt;除外"),"")</f>
        <v/>
      </c>
      <c r="BA167" s="34">
        <f>IF(OR(AZ167="",AI167=""),"",AI167+ROW()/1000000000)</f>
        <v/>
      </c>
      <c r="BB167" s="34">
        <f>IF(E167="","",IF(OR(TRIM(E167&amp;"")="-",TRIM(E167&amp;"")="－",TRIM(E167&amp;"")="ー"),"",TRIM(E167&amp;"")))</f>
        <v/>
      </c>
      <c r="BC167" s="34">
        <f>IF(AND(AB167="OK",BB167&lt;&gt;""),IF(COUNTIFS($BB$5:BB167,BB167,$AB$5:AB167,"OK")=1,1,""),"")</f>
        <v/>
      </c>
      <c r="BD167" s="34">
        <f>IF(BC167=1,COUNTIF($BC$5:BC167,1),"")</f>
        <v/>
      </c>
      <c r="BE167" s="34">
        <f>IF(BB167="","",IFERROR(INDEX('06_顧客別集計'!$G$5:$G$104,MATCH(BB167,'06_顧客別集計'!$C$5:$C$104,0)),BB167))</f>
        <v/>
      </c>
      <c r="BF167" s="34">
        <f>IF(AND(AZ167&lt;&gt;"",BE167&lt;&gt;""),IF(COUNTIFS($BE$5:BE167,BE167,$AZ$5:AZ167,"&gt;0")=1,1,""),"")</f>
        <v/>
      </c>
      <c r="BG167" s="34">
        <f>IF(BF167=1,COUNTIF($BF$5:BF167,1),"")</f>
        <v/>
      </c>
    </row>
    <row r="168">
      <c r="AB168">
        <f>IF(AND(A168="",G168=""),"",IF(ISNUMBER(SEARCH("##END",AM168)),"（終わりの印）",IF(ISNUMBER(SEARCH("##続き",AM168)),"（続きありの印）",IF(AM168="調査ID","（見出し行）",IF(AND(AM168&lt;&gt;"R1",AM168&lt;&gt;"R2"),"×表以外の行（集計されない）",IF(COUNTIF($AN$5:AN168,AN168)&gt;1,"△重複（集計されない）",IF(G168="","△タスク名なし",IF(ISNA(MATCH(AQ168,'M1_類型マスタ'!$A$5:$A$19,0)),"△類型が不正",IF(OR(AP168="",N(AP168)&lt;1,N(AP168)&gt;6),"△業務区分が不正",IF(OR(AS168="",AT168=""),"△回数・分が読めない",IF(SUMPRODUCT(--ISNUMBER(--T168:Z168))&lt;7,"△採点が足りない",IF(SUMPRODUCT((--T168:Z168&gt;2)+(--T168:Z168&lt;0))&gt;0,"△採点が範囲外","OK"))))))))))))</f>
        <v/>
      </c>
      <c r="AC168">
        <f>IF(AB168&lt;&gt;"OK","",TRIM(IF(AND(AU168&lt;&gt;"",N(AU168)&lt;=1),"根拠1件 ","")&amp;IF(AV168&lt;&gt;"","同名あり ","")&amp;IF(AND(NOT(ISNUMBER(N168)),N168&lt;&gt;""),"回数を換算 ","")&amp;IF(J168="","詳細なし ","")&amp;IF(AND(N(AP168)=1,BB168=""),"顧客名なし ","")))</f>
        <v/>
      </c>
      <c r="AD168" s="31" t="n"/>
      <c r="AE168" s="32" t="n"/>
      <c r="AF168" s="32" t="n"/>
      <c r="AG168" s="31" t="n"/>
      <c r="AH168">
        <f>IF(AB168&lt;&gt;"OK","",IF(AG168&lt;&gt;"",AG168,AJ168))</f>
        <v/>
      </c>
      <c r="AI168" s="33">
        <f>IF(AB168&lt;&gt;"OK","",IFERROR(IF(AE168&lt;&gt;"",AE168,AS168)*IF(AF168&lt;&gt;"",AF168,AT168)/60,""))</f>
        <v/>
      </c>
      <c r="AJ168">
        <f>IF(AB168&lt;&gt;"OK","",IF(OR(VALUE(T168)=2,VALUE(U168)=2,VALUE(V168)=2),"社内残置",IF(AND(VALUE(T168)=0,VALUE(W168)=0,VALUE(Y168)=0),"自動化候補",IF(AND(VALUE(U168)=0,VALUE(W168)&lt;=1,VALUE(X168)&lt;=1,VALUE(Y168)&lt;=1,VALUE(Z168)&lt;=1),"オフショア候補",IF(AND(VALUE(Y168)&lt;=1,VALUE(Z168)&lt;=1),"ニアショア候補","社内で手順化→再評価")))))</f>
        <v/>
      </c>
      <c r="AK168">
        <f>IF(AB168&lt;&gt;"OK","",14-SUMPRODUCT(--T168:Z168))</f>
        <v/>
      </c>
      <c r="AL168" s="33">
        <f>IF(AB168&lt;&gt;"OK","",AS168*AT168/60)</f>
        <v/>
      </c>
      <c r="AM168" s="34">
        <f>IF(A168="","",UPPER(TRIM(ASC(A168&amp;""))))</f>
        <v/>
      </c>
      <c r="AN168" s="34">
        <f>IF(AM168="","",AM168&amp;"-"&amp;B168)</f>
        <v/>
      </c>
      <c r="AO168" s="34">
        <f>IF(C168="","",IFERROR(VALUE(ASC(SUBSTITUTE(C168&amp;"","観点",""))),""))</f>
        <v/>
      </c>
      <c r="AP168" s="34">
        <f>IF(D168="","",IFERROR(VALUE(LEFT(TRIM(ASC(D168&amp;"")),1)),IFERROR(MATCH(TRIM(D168&amp;""),'M2_区分マスタ'!$I$5:$I$10,0),"")))</f>
        <v/>
      </c>
      <c r="AQ168" s="34">
        <f>IF(H168="","",UPPER(LEFT(TRIM(ASC(H168&amp;"")),3)))</f>
        <v/>
      </c>
      <c r="AR168" s="34">
        <f>IF(N168="","",IFERROR(VALUE(SUBSTITUTE(SUBSTITUTE(SUBSTITUTE(SUBSTITUTE(SUBSTITUTE(SUBSTITUTE(SUBSTITUTE(SUBSTITUTE(SUBSTITUTE(SUBSTITUTE(SUBSTITUTE(SUBSTITUTE(ASC(N168&amp;""),"約",""),"程度",""),"ほど",""),"回",""),"毎",""),"週",""),"月",""),"年",""),"日",""),"に",""),"/","")," ","")),""))</f>
        <v/>
      </c>
      <c r="AS168" s="34">
        <f>IF(N168="","",IF(ISNUMBER(N168),N168,IFERROR(VALUE(ASC(N168&amp;"")),IF(AR168&lt;&gt;"",AR168*IF(ISNUMBER(SEARCH("週",N168)),4.3,IF(ISNUMBER(SEARCH("年",N168)),1/12,IF(ISNUMBER(SEARCH("日",N168)),20,1))),IF(ISNUMBER(SEARCH("日",N168)),20,IF(ISNUMBER(SEARCH("週",N168)),4.3,IF(ISNUMBER(SEARCH("月",N168)),1,"")))))))</f>
        <v/>
      </c>
      <c r="AT168" s="34">
        <f>IF(O168="","",IF(ISNUMBER(O168),O168,IFERROR(VALUE(ASC(O168&amp;"")),IF(ISNUMBER(SEARCH("時間",O168)),IFERROR(VALUE(SUBSTITUTE(SUBSTITUTE(SUBSTITUTE(SUBSTITUTE(SUBSTITUTE(ASC(O168&amp;""),"約",""),"程度",""),"ほど",""),"時間","")," ",""))*60,""),IFERROR(VALUE(SUBSTITUTE(SUBSTITUTE(SUBSTITUTE(SUBSTITUTE(SUBSTITUTE(ASC(O168&amp;""),"約",""),"程度",""),"ほど",""),"分","")," ","")),"")))))</f>
        <v/>
      </c>
      <c r="AU168" s="34">
        <f>IF(P168="","",IF(ISNUMBER(P168),P168,IFERROR(VALUE(SUBSTITUTE(SUBSTITUTE(SUBSTITUTE(ASC(P168&amp;""),"約",""),"件","")," ","")),"")))</f>
        <v/>
      </c>
      <c r="AV168" s="34">
        <f>IF(AB168&lt;&gt;"OK","",IF(COUNTIFS($G$5:$G$404,G168&amp;"",$F$5:$F$404,F168&amp;"",$BE$5:$BE$404,BE168&amp;"",$AB$5:$AB$404,"OK")&gt;1,"同名あり",""))</f>
        <v/>
      </c>
      <c r="AW168" s="35">
        <f>IF(Q168="","",IF(ISNUMBER(Q168),Q168,IFERROR(DATEVALUE(SUBSTITUTE(SUBSTITUTE(ASC(Q168&amp;""),"-","/"),".","/")&amp;"/01"),"")))</f>
        <v/>
      </c>
      <c r="AX168" s="35">
        <f>IF(R168="","",IF(ISNUMBER(R168),R168,IFERROR(DATEVALUE(SUBSTITUTE(SUBSTITUTE(ASC(R168&amp;""),"-","/"),".","/")&amp;"/01"),"")))</f>
        <v/>
      </c>
      <c r="AY168" s="34">
        <f>IF(OR(AB168&lt;&gt;"OK",AW168=""),"",IF(AW168&gt;='01_設定'!$C$26,1,0))</f>
        <v/>
      </c>
      <c r="AZ168" s="34">
        <f>IF(AND(AB168="OK",AD168&lt;&gt;"除外"),COUNTIFS($AB$5:AB168,"OK",$AD$5:AD168,"&lt;&gt;除外"),"")</f>
        <v/>
      </c>
      <c r="BA168" s="34">
        <f>IF(OR(AZ168="",AI168=""),"",AI168+ROW()/1000000000)</f>
        <v/>
      </c>
      <c r="BB168" s="34">
        <f>IF(E168="","",IF(OR(TRIM(E168&amp;"")="-",TRIM(E168&amp;"")="－",TRIM(E168&amp;"")="ー"),"",TRIM(E168&amp;"")))</f>
        <v/>
      </c>
      <c r="BC168" s="34">
        <f>IF(AND(AB168="OK",BB168&lt;&gt;""),IF(COUNTIFS($BB$5:BB168,BB168,$AB$5:AB168,"OK")=1,1,""),"")</f>
        <v/>
      </c>
      <c r="BD168" s="34">
        <f>IF(BC168=1,COUNTIF($BC$5:BC168,1),"")</f>
        <v/>
      </c>
      <c r="BE168" s="34">
        <f>IF(BB168="","",IFERROR(INDEX('06_顧客別集計'!$G$5:$G$104,MATCH(BB168,'06_顧客別集計'!$C$5:$C$104,0)),BB168))</f>
        <v/>
      </c>
      <c r="BF168" s="34">
        <f>IF(AND(AZ168&lt;&gt;"",BE168&lt;&gt;""),IF(COUNTIFS($BE$5:BE168,BE168,$AZ$5:AZ168,"&gt;0")=1,1,""),"")</f>
        <v/>
      </c>
      <c r="BG168" s="34">
        <f>IF(BF168=1,COUNTIF($BF$5:BF168,1),"")</f>
        <v/>
      </c>
    </row>
    <row r="169">
      <c r="AB169">
        <f>IF(AND(A169="",G169=""),"",IF(ISNUMBER(SEARCH("##END",AM169)),"（終わりの印）",IF(ISNUMBER(SEARCH("##続き",AM169)),"（続きありの印）",IF(AM169="調査ID","（見出し行）",IF(AND(AM169&lt;&gt;"R1",AM169&lt;&gt;"R2"),"×表以外の行（集計されない）",IF(COUNTIF($AN$5:AN169,AN169)&gt;1,"△重複（集計されない）",IF(G169="","△タスク名なし",IF(ISNA(MATCH(AQ169,'M1_類型マスタ'!$A$5:$A$19,0)),"△類型が不正",IF(OR(AP169="",N(AP169)&lt;1,N(AP169)&gt;6),"△業務区分が不正",IF(OR(AS169="",AT169=""),"△回数・分が読めない",IF(SUMPRODUCT(--ISNUMBER(--T169:Z169))&lt;7,"△採点が足りない",IF(SUMPRODUCT((--T169:Z169&gt;2)+(--T169:Z169&lt;0))&gt;0,"△採点が範囲外","OK"))))))))))))</f>
        <v/>
      </c>
      <c r="AC169">
        <f>IF(AB169&lt;&gt;"OK","",TRIM(IF(AND(AU169&lt;&gt;"",N(AU169)&lt;=1),"根拠1件 ","")&amp;IF(AV169&lt;&gt;"","同名あり ","")&amp;IF(AND(NOT(ISNUMBER(N169)),N169&lt;&gt;""),"回数を換算 ","")&amp;IF(J169="","詳細なし ","")&amp;IF(AND(N(AP169)=1,BB169=""),"顧客名なし ","")))</f>
        <v/>
      </c>
      <c r="AD169" s="31" t="n"/>
      <c r="AE169" s="32" t="n"/>
      <c r="AF169" s="32" t="n"/>
      <c r="AG169" s="31" t="n"/>
      <c r="AH169">
        <f>IF(AB169&lt;&gt;"OK","",IF(AG169&lt;&gt;"",AG169,AJ169))</f>
        <v/>
      </c>
      <c r="AI169" s="33">
        <f>IF(AB169&lt;&gt;"OK","",IFERROR(IF(AE169&lt;&gt;"",AE169,AS169)*IF(AF169&lt;&gt;"",AF169,AT169)/60,""))</f>
        <v/>
      </c>
      <c r="AJ169">
        <f>IF(AB169&lt;&gt;"OK","",IF(OR(VALUE(T169)=2,VALUE(U169)=2,VALUE(V169)=2),"社内残置",IF(AND(VALUE(T169)=0,VALUE(W169)=0,VALUE(Y169)=0),"自動化候補",IF(AND(VALUE(U169)=0,VALUE(W169)&lt;=1,VALUE(X169)&lt;=1,VALUE(Y169)&lt;=1,VALUE(Z169)&lt;=1),"オフショア候補",IF(AND(VALUE(Y169)&lt;=1,VALUE(Z169)&lt;=1),"ニアショア候補","社内で手順化→再評価")))))</f>
        <v/>
      </c>
      <c r="AK169">
        <f>IF(AB169&lt;&gt;"OK","",14-SUMPRODUCT(--T169:Z169))</f>
        <v/>
      </c>
      <c r="AL169" s="33">
        <f>IF(AB169&lt;&gt;"OK","",AS169*AT169/60)</f>
        <v/>
      </c>
      <c r="AM169" s="34">
        <f>IF(A169="","",UPPER(TRIM(ASC(A169&amp;""))))</f>
        <v/>
      </c>
      <c r="AN169" s="34">
        <f>IF(AM169="","",AM169&amp;"-"&amp;B169)</f>
        <v/>
      </c>
      <c r="AO169" s="34">
        <f>IF(C169="","",IFERROR(VALUE(ASC(SUBSTITUTE(C169&amp;"","観点",""))),""))</f>
        <v/>
      </c>
      <c r="AP169" s="34">
        <f>IF(D169="","",IFERROR(VALUE(LEFT(TRIM(ASC(D169&amp;"")),1)),IFERROR(MATCH(TRIM(D169&amp;""),'M2_区分マスタ'!$I$5:$I$10,0),"")))</f>
        <v/>
      </c>
      <c r="AQ169" s="34">
        <f>IF(H169="","",UPPER(LEFT(TRIM(ASC(H169&amp;"")),3)))</f>
        <v/>
      </c>
      <c r="AR169" s="34">
        <f>IF(N169="","",IFERROR(VALUE(SUBSTITUTE(SUBSTITUTE(SUBSTITUTE(SUBSTITUTE(SUBSTITUTE(SUBSTITUTE(SUBSTITUTE(SUBSTITUTE(SUBSTITUTE(SUBSTITUTE(SUBSTITUTE(SUBSTITUTE(ASC(N169&amp;""),"約",""),"程度",""),"ほど",""),"回",""),"毎",""),"週",""),"月",""),"年",""),"日",""),"に",""),"/","")," ","")),""))</f>
        <v/>
      </c>
      <c r="AS169" s="34">
        <f>IF(N169="","",IF(ISNUMBER(N169),N169,IFERROR(VALUE(ASC(N169&amp;"")),IF(AR169&lt;&gt;"",AR169*IF(ISNUMBER(SEARCH("週",N169)),4.3,IF(ISNUMBER(SEARCH("年",N169)),1/12,IF(ISNUMBER(SEARCH("日",N169)),20,1))),IF(ISNUMBER(SEARCH("日",N169)),20,IF(ISNUMBER(SEARCH("週",N169)),4.3,IF(ISNUMBER(SEARCH("月",N169)),1,"")))))))</f>
        <v/>
      </c>
      <c r="AT169" s="34">
        <f>IF(O169="","",IF(ISNUMBER(O169),O169,IFERROR(VALUE(ASC(O169&amp;"")),IF(ISNUMBER(SEARCH("時間",O169)),IFERROR(VALUE(SUBSTITUTE(SUBSTITUTE(SUBSTITUTE(SUBSTITUTE(SUBSTITUTE(ASC(O169&amp;""),"約",""),"程度",""),"ほど",""),"時間","")," ",""))*60,""),IFERROR(VALUE(SUBSTITUTE(SUBSTITUTE(SUBSTITUTE(SUBSTITUTE(SUBSTITUTE(ASC(O169&amp;""),"約",""),"程度",""),"ほど",""),"分","")," ","")),"")))))</f>
        <v/>
      </c>
      <c r="AU169" s="34">
        <f>IF(P169="","",IF(ISNUMBER(P169),P169,IFERROR(VALUE(SUBSTITUTE(SUBSTITUTE(SUBSTITUTE(ASC(P169&amp;""),"約",""),"件","")," ","")),"")))</f>
        <v/>
      </c>
      <c r="AV169" s="34">
        <f>IF(AB169&lt;&gt;"OK","",IF(COUNTIFS($G$5:$G$404,G169&amp;"",$F$5:$F$404,F169&amp;"",$BE$5:$BE$404,BE169&amp;"",$AB$5:$AB$404,"OK")&gt;1,"同名あり",""))</f>
        <v/>
      </c>
      <c r="AW169" s="35">
        <f>IF(Q169="","",IF(ISNUMBER(Q169),Q169,IFERROR(DATEVALUE(SUBSTITUTE(SUBSTITUTE(ASC(Q169&amp;""),"-","/"),".","/")&amp;"/01"),"")))</f>
        <v/>
      </c>
      <c r="AX169" s="35">
        <f>IF(R169="","",IF(ISNUMBER(R169),R169,IFERROR(DATEVALUE(SUBSTITUTE(SUBSTITUTE(ASC(R169&amp;""),"-","/"),".","/")&amp;"/01"),"")))</f>
        <v/>
      </c>
      <c r="AY169" s="34">
        <f>IF(OR(AB169&lt;&gt;"OK",AW169=""),"",IF(AW169&gt;='01_設定'!$C$26,1,0))</f>
        <v/>
      </c>
      <c r="AZ169" s="34">
        <f>IF(AND(AB169="OK",AD169&lt;&gt;"除外"),COUNTIFS($AB$5:AB169,"OK",$AD$5:AD169,"&lt;&gt;除外"),"")</f>
        <v/>
      </c>
      <c r="BA169" s="34">
        <f>IF(OR(AZ169="",AI169=""),"",AI169+ROW()/1000000000)</f>
        <v/>
      </c>
      <c r="BB169" s="34">
        <f>IF(E169="","",IF(OR(TRIM(E169&amp;"")="-",TRIM(E169&amp;"")="－",TRIM(E169&amp;"")="ー"),"",TRIM(E169&amp;"")))</f>
        <v/>
      </c>
      <c r="BC169" s="34">
        <f>IF(AND(AB169="OK",BB169&lt;&gt;""),IF(COUNTIFS($BB$5:BB169,BB169,$AB$5:AB169,"OK")=1,1,""),"")</f>
        <v/>
      </c>
      <c r="BD169" s="34">
        <f>IF(BC169=1,COUNTIF($BC$5:BC169,1),"")</f>
        <v/>
      </c>
      <c r="BE169" s="34">
        <f>IF(BB169="","",IFERROR(INDEX('06_顧客別集計'!$G$5:$G$104,MATCH(BB169,'06_顧客別集計'!$C$5:$C$104,0)),BB169))</f>
        <v/>
      </c>
      <c r="BF169" s="34">
        <f>IF(AND(AZ169&lt;&gt;"",BE169&lt;&gt;""),IF(COUNTIFS($BE$5:BE169,BE169,$AZ$5:AZ169,"&gt;0")=1,1,""),"")</f>
        <v/>
      </c>
      <c r="BG169" s="34">
        <f>IF(BF169=1,COUNTIF($BF$5:BF169,1),"")</f>
        <v/>
      </c>
    </row>
    <row r="170">
      <c r="AB170">
        <f>IF(AND(A170="",G170=""),"",IF(ISNUMBER(SEARCH("##END",AM170)),"（終わりの印）",IF(ISNUMBER(SEARCH("##続き",AM170)),"（続きありの印）",IF(AM170="調査ID","（見出し行）",IF(AND(AM170&lt;&gt;"R1",AM170&lt;&gt;"R2"),"×表以外の行（集計されない）",IF(COUNTIF($AN$5:AN170,AN170)&gt;1,"△重複（集計されない）",IF(G170="","△タスク名なし",IF(ISNA(MATCH(AQ170,'M1_類型マスタ'!$A$5:$A$19,0)),"△類型が不正",IF(OR(AP170="",N(AP170)&lt;1,N(AP170)&gt;6),"△業務区分が不正",IF(OR(AS170="",AT170=""),"△回数・分が読めない",IF(SUMPRODUCT(--ISNUMBER(--T170:Z170))&lt;7,"△採点が足りない",IF(SUMPRODUCT((--T170:Z170&gt;2)+(--T170:Z170&lt;0))&gt;0,"△採点が範囲外","OK"))))))))))))</f>
        <v/>
      </c>
      <c r="AC170">
        <f>IF(AB170&lt;&gt;"OK","",TRIM(IF(AND(AU170&lt;&gt;"",N(AU170)&lt;=1),"根拠1件 ","")&amp;IF(AV170&lt;&gt;"","同名あり ","")&amp;IF(AND(NOT(ISNUMBER(N170)),N170&lt;&gt;""),"回数を換算 ","")&amp;IF(J170="","詳細なし ","")&amp;IF(AND(N(AP170)=1,BB170=""),"顧客名なし ","")))</f>
        <v/>
      </c>
      <c r="AD170" s="31" t="n"/>
      <c r="AE170" s="32" t="n"/>
      <c r="AF170" s="32" t="n"/>
      <c r="AG170" s="31" t="n"/>
      <c r="AH170">
        <f>IF(AB170&lt;&gt;"OK","",IF(AG170&lt;&gt;"",AG170,AJ170))</f>
        <v/>
      </c>
      <c r="AI170" s="33">
        <f>IF(AB170&lt;&gt;"OK","",IFERROR(IF(AE170&lt;&gt;"",AE170,AS170)*IF(AF170&lt;&gt;"",AF170,AT170)/60,""))</f>
        <v/>
      </c>
      <c r="AJ170">
        <f>IF(AB170&lt;&gt;"OK","",IF(OR(VALUE(T170)=2,VALUE(U170)=2,VALUE(V170)=2),"社内残置",IF(AND(VALUE(T170)=0,VALUE(W170)=0,VALUE(Y170)=0),"自動化候補",IF(AND(VALUE(U170)=0,VALUE(W170)&lt;=1,VALUE(X170)&lt;=1,VALUE(Y170)&lt;=1,VALUE(Z170)&lt;=1),"オフショア候補",IF(AND(VALUE(Y170)&lt;=1,VALUE(Z170)&lt;=1),"ニアショア候補","社内で手順化→再評価")))))</f>
        <v/>
      </c>
      <c r="AK170">
        <f>IF(AB170&lt;&gt;"OK","",14-SUMPRODUCT(--T170:Z170))</f>
        <v/>
      </c>
      <c r="AL170" s="33">
        <f>IF(AB170&lt;&gt;"OK","",AS170*AT170/60)</f>
        <v/>
      </c>
      <c r="AM170" s="34">
        <f>IF(A170="","",UPPER(TRIM(ASC(A170&amp;""))))</f>
        <v/>
      </c>
      <c r="AN170" s="34">
        <f>IF(AM170="","",AM170&amp;"-"&amp;B170)</f>
        <v/>
      </c>
      <c r="AO170" s="34">
        <f>IF(C170="","",IFERROR(VALUE(ASC(SUBSTITUTE(C170&amp;"","観点",""))),""))</f>
        <v/>
      </c>
      <c r="AP170" s="34">
        <f>IF(D170="","",IFERROR(VALUE(LEFT(TRIM(ASC(D170&amp;"")),1)),IFERROR(MATCH(TRIM(D170&amp;""),'M2_区分マスタ'!$I$5:$I$10,0),"")))</f>
        <v/>
      </c>
      <c r="AQ170" s="34">
        <f>IF(H170="","",UPPER(LEFT(TRIM(ASC(H170&amp;"")),3)))</f>
        <v/>
      </c>
      <c r="AR170" s="34">
        <f>IF(N170="","",IFERROR(VALUE(SUBSTITUTE(SUBSTITUTE(SUBSTITUTE(SUBSTITUTE(SUBSTITUTE(SUBSTITUTE(SUBSTITUTE(SUBSTITUTE(SUBSTITUTE(SUBSTITUTE(SUBSTITUTE(SUBSTITUTE(ASC(N170&amp;""),"約",""),"程度",""),"ほど",""),"回",""),"毎",""),"週",""),"月",""),"年",""),"日",""),"に",""),"/","")," ","")),""))</f>
        <v/>
      </c>
      <c r="AS170" s="34">
        <f>IF(N170="","",IF(ISNUMBER(N170),N170,IFERROR(VALUE(ASC(N170&amp;"")),IF(AR170&lt;&gt;"",AR170*IF(ISNUMBER(SEARCH("週",N170)),4.3,IF(ISNUMBER(SEARCH("年",N170)),1/12,IF(ISNUMBER(SEARCH("日",N170)),20,1))),IF(ISNUMBER(SEARCH("日",N170)),20,IF(ISNUMBER(SEARCH("週",N170)),4.3,IF(ISNUMBER(SEARCH("月",N170)),1,"")))))))</f>
        <v/>
      </c>
      <c r="AT170" s="34">
        <f>IF(O170="","",IF(ISNUMBER(O170),O170,IFERROR(VALUE(ASC(O170&amp;"")),IF(ISNUMBER(SEARCH("時間",O170)),IFERROR(VALUE(SUBSTITUTE(SUBSTITUTE(SUBSTITUTE(SUBSTITUTE(SUBSTITUTE(ASC(O170&amp;""),"約",""),"程度",""),"ほど",""),"時間","")," ",""))*60,""),IFERROR(VALUE(SUBSTITUTE(SUBSTITUTE(SUBSTITUTE(SUBSTITUTE(SUBSTITUTE(ASC(O170&amp;""),"約",""),"程度",""),"ほど",""),"分","")," ","")),"")))))</f>
        <v/>
      </c>
      <c r="AU170" s="34">
        <f>IF(P170="","",IF(ISNUMBER(P170),P170,IFERROR(VALUE(SUBSTITUTE(SUBSTITUTE(SUBSTITUTE(ASC(P170&amp;""),"約",""),"件","")," ","")),"")))</f>
        <v/>
      </c>
      <c r="AV170" s="34">
        <f>IF(AB170&lt;&gt;"OK","",IF(COUNTIFS($G$5:$G$404,G170&amp;"",$F$5:$F$404,F170&amp;"",$BE$5:$BE$404,BE170&amp;"",$AB$5:$AB$404,"OK")&gt;1,"同名あり",""))</f>
        <v/>
      </c>
      <c r="AW170" s="35">
        <f>IF(Q170="","",IF(ISNUMBER(Q170),Q170,IFERROR(DATEVALUE(SUBSTITUTE(SUBSTITUTE(ASC(Q170&amp;""),"-","/"),".","/")&amp;"/01"),"")))</f>
        <v/>
      </c>
      <c r="AX170" s="35">
        <f>IF(R170="","",IF(ISNUMBER(R170),R170,IFERROR(DATEVALUE(SUBSTITUTE(SUBSTITUTE(ASC(R170&amp;""),"-","/"),".","/")&amp;"/01"),"")))</f>
        <v/>
      </c>
      <c r="AY170" s="34">
        <f>IF(OR(AB170&lt;&gt;"OK",AW170=""),"",IF(AW170&gt;='01_設定'!$C$26,1,0))</f>
        <v/>
      </c>
      <c r="AZ170" s="34">
        <f>IF(AND(AB170="OK",AD170&lt;&gt;"除外"),COUNTIFS($AB$5:AB170,"OK",$AD$5:AD170,"&lt;&gt;除外"),"")</f>
        <v/>
      </c>
      <c r="BA170" s="34">
        <f>IF(OR(AZ170="",AI170=""),"",AI170+ROW()/1000000000)</f>
        <v/>
      </c>
      <c r="BB170" s="34">
        <f>IF(E170="","",IF(OR(TRIM(E170&amp;"")="-",TRIM(E170&amp;"")="－",TRIM(E170&amp;"")="ー"),"",TRIM(E170&amp;"")))</f>
        <v/>
      </c>
      <c r="BC170" s="34">
        <f>IF(AND(AB170="OK",BB170&lt;&gt;""),IF(COUNTIFS($BB$5:BB170,BB170,$AB$5:AB170,"OK")=1,1,""),"")</f>
        <v/>
      </c>
      <c r="BD170" s="34">
        <f>IF(BC170=1,COUNTIF($BC$5:BC170,1),"")</f>
        <v/>
      </c>
      <c r="BE170" s="34">
        <f>IF(BB170="","",IFERROR(INDEX('06_顧客別集計'!$G$5:$G$104,MATCH(BB170,'06_顧客別集計'!$C$5:$C$104,0)),BB170))</f>
        <v/>
      </c>
      <c r="BF170" s="34">
        <f>IF(AND(AZ170&lt;&gt;"",BE170&lt;&gt;""),IF(COUNTIFS($BE$5:BE170,BE170,$AZ$5:AZ170,"&gt;0")=1,1,""),"")</f>
        <v/>
      </c>
      <c r="BG170" s="34">
        <f>IF(BF170=1,COUNTIF($BF$5:BF170,1),"")</f>
        <v/>
      </c>
    </row>
    <row r="171">
      <c r="AB171">
        <f>IF(AND(A171="",G171=""),"",IF(ISNUMBER(SEARCH("##END",AM171)),"（終わりの印）",IF(ISNUMBER(SEARCH("##続き",AM171)),"（続きありの印）",IF(AM171="調査ID","（見出し行）",IF(AND(AM171&lt;&gt;"R1",AM171&lt;&gt;"R2"),"×表以外の行（集計されない）",IF(COUNTIF($AN$5:AN171,AN171)&gt;1,"△重複（集計されない）",IF(G171="","△タスク名なし",IF(ISNA(MATCH(AQ171,'M1_類型マスタ'!$A$5:$A$19,0)),"△類型が不正",IF(OR(AP171="",N(AP171)&lt;1,N(AP171)&gt;6),"△業務区分が不正",IF(OR(AS171="",AT171=""),"△回数・分が読めない",IF(SUMPRODUCT(--ISNUMBER(--T171:Z171))&lt;7,"△採点が足りない",IF(SUMPRODUCT((--T171:Z171&gt;2)+(--T171:Z171&lt;0))&gt;0,"△採点が範囲外","OK"))))))))))))</f>
        <v/>
      </c>
      <c r="AC171">
        <f>IF(AB171&lt;&gt;"OK","",TRIM(IF(AND(AU171&lt;&gt;"",N(AU171)&lt;=1),"根拠1件 ","")&amp;IF(AV171&lt;&gt;"","同名あり ","")&amp;IF(AND(NOT(ISNUMBER(N171)),N171&lt;&gt;""),"回数を換算 ","")&amp;IF(J171="","詳細なし ","")&amp;IF(AND(N(AP171)=1,BB171=""),"顧客名なし ","")))</f>
        <v/>
      </c>
      <c r="AD171" s="31" t="n"/>
      <c r="AE171" s="32" t="n"/>
      <c r="AF171" s="32" t="n"/>
      <c r="AG171" s="31" t="n"/>
      <c r="AH171">
        <f>IF(AB171&lt;&gt;"OK","",IF(AG171&lt;&gt;"",AG171,AJ171))</f>
        <v/>
      </c>
      <c r="AI171" s="33">
        <f>IF(AB171&lt;&gt;"OK","",IFERROR(IF(AE171&lt;&gt;"",AE171,AS171)*IF(AF171&lt;&gt;"",AF171,AT171)/60,""))</f>
        <v/>
      </c>
      <c r="AJ171">
        <f>IF(AB171&lt;&gt;"OK","",IF(OR(VALUE(T171)=2,VALUE(U171)=2,VALUE(V171)=2),"社内残置",IF(AND(VALUE(T171)=0,VALUE(W171)=0,VALUE(Y171)=0),"自動化候補",IF(AND(VALUE(U171)=0,VALUE(W171)&lt;=1,VALUE(X171)&lt;=1,VALUE(Y171)&lt;=1,VALUE(Z171)&lt;=1),"オフショア候補",IF(AND(VALUE(Y171)&lt;=1,VALUE(Z171)&lt;=1),"ニアショア候補","社内で手順化→再評価")))))</f>
        <v/>
      </c>
      <c r="AK171">
        <f>IF(AB171&lt;&gt;"OK","",14-SUMPRODUCT(--T171:Z171))</f>
        <v/>
      </c>
      <c r="AL171" s="33">
        <f>IF(AB171&lt;&gt;"OK","",AS171*AT171/60)</f>
        <v/>
      </c>
      <c r="AM171" s="34">
        <f>IF(A171="","",UPPER(TRIM(ASC(A171&amp;""))))</f>
        <v/>
      </c>
      <c r="AN171" s="34">
        <f>IF(AM171="","",AM171&amp;"-"&amp;B171)</f>
        <v/>
      </c>
      <c r="AO171" s="34">
        <f>IF(C171="","",IFERROR(VALUE(ASC(SUBSTITUTE(C171&amp;"","観点",""))),""))</f>
        <v/>
      </c>
      <c r="AP171" s="34">
        <f>IF(D171="","",IFERROR(VALUE(LEFT(TRIM(ASC(D171&amp;"")),1)),IFERROR(MATCH(TRIM(D171&amp;""),'M2_区分マスタ'!$I$5:$I$10,0),"")))</f>
        <v/>
      </c>
      <c r="AQ171" s="34">
        <f>IF(H171="","",UPPER(LEFT(TRIM(ASC(H171&amp;"")),3)))</f>
        <v/>
      </c>
      <c r="AR171" s="34">
        <f>IF(N171="","",IFERROR(VALUE(SUBSTITUTE(SUBSTITUTE(SUBSTITUTE(SUBSTITUTE(SUBSTITUTE(SUBSTITUTE(SUBSTITUTE(SUBSTITUTE(SUBSTITUTE(SUBSTITUTE(SUBSTITUTE(SUBSTITUTE(ASC(N171&amp;""),"約",""),"程度",""),"ほど",""),"回",""),"毎",""),"週",""),"月",""),"年",""),"日",""),"に",""),"/","")," ","")),""))</f>
        <v/>
      </c>
      <c r="AS171" s="34">
        <f>IF(N171="","",IF(ISNUMBER(N171),N171,IFERROR(VALUE(ASC(N171&amp;"")),IF(AR171&lt;&gt;"",AR171*IF(ISNUMBER(SEARCH("週",N171)),4.3,IF(ISNUMBER(SEARCH("年",N171)),1/12,IF(ISNUMBER(SEARCH("日",N171)),20,1))),IF(ISNUMBER(SEARCH("日",N171)),20,IF(ISNUMBER(SEARCH("週",N171)),4.3,IF(ISNUMBER(SEARCH("月",N171)),1,"")))))))</f>
        <v/>
      </c>
      <c r="AT171" s="34">
        <f>IF(O171="","",IF(ISNUMBER(O171),O171,IFERROR(VALUE(ASC(O171&amp;"")),IF(ISNUMBER(SEARCH("時間",O171)),IFERROR(VALUE(SUBSTITUTE(SUBSTITUTE(SUBSTITUTE(SUBSTITUTE(SUBSTITUTE(ASC(O171&amp;""),"約",""),"程度",""),"ほど",""),"時間","")," ",""))*60,""),IFERROR(VALUE(SUBSTITUTE(SUBSTITUTE(SUBSTITUTE(SUBSTITUTE(SUBSTITUTE(ASC(O171&amp;""),"約",""),"程度",""),"ほど",""),"分","")," ","")),"")))))</f>
        <v/>
      </c>
      <c r="AU171" s="34">
        <f>IF(P171="","",IF(ISNUMBER(P171),P171,IFERROR(VALUE(SUBSTITUTE(SUBSTITUTE(SUBSTITUTE(ASC(P171&amp;""),"約",""),"件","")," ","")),"")))</f>
        <v/>
      </c>
      <c r="AV171" s="34">
        <f>IF(AB171&lt;&gt;"OK","",IF(COUNTIFS($G$5:$G$404,G171&amp;"",$F$5:$F$404,F171&amp;"",$BE$5:$BE$404,BE171&amp;"",$AB$5:$AB$404,"OK")&gt;1,"同名あり",""))</f>
        <v/>
      </c>
      <c r="AW171" s="35">
        <f>IF(Q171="","",IF(ISNUMBER(Q171),Q171,IFERROR(DATEVALUE(SUBSTITUTE(SUBSTITUTE(ASC(Q171&amp;""),"-","/"),".","/")&amp;"/01"),"")))</f>
        <v/>
      </c>
      <c r="AX171" s="35">
        <f>IF(R171="","",IF(ISNUMBER(R171),R171,IFERROR(DATEVALUE(SUBSTITUTE(SUBSTITUTE(ASC(R171&amp;""),"-","/"),".","/")&amp;"/01"),"")))</f>
        <v/>
      </c>
      <c r="AY171" s="34">
        <f>IF(OR(AB171&lt;&gt;"OK",AW171=""),"",IF(AW171&gt;='01_設定'!$C$26,1,0))</f>
        <v/>
      </c>
      <c r="AZ171" s="34">
        <f>IF(AND(AB171="OK",AD171&lt;&gt;"除外"),COUNTIFS($AB$5:AB171,"OK",$AD$5:AD171,"&lt;&gt;除外"),"")</f>
        <v/>
      </c>
      <c r="BA171" s="34">
        <f>IF(OR(AZ171="",AI171=""),"",AI171+ROW()/1000000000)</f>
        <v/>
      </c>
      <c r="BB171" s="34">
        <f>IF(E171="","",IF(OR(TRIM(E171&amp;"")="-",TRIM(E171&amp;"")="－",TRIM(E171&amp;"")="ー"),"",TRIM(E171&amp;"")))</f>
        <v/>
      </c>
      <c r="BC171" s="34">
        <f>IF(AND(AB171="OK",BB171&lt;&gt;""),IF(COUNTIFS($BB$5:BB171,BB171,$AB$5:AB171,"OK")=1,1,""),"")</f>
        <v/>
      </c>
      <c r="BD171" s="34">
        <f>IF(BC171=1,COUNTIF($BC$5:BC171,1),"")</f>
        <v/>
      </c>
      <c r="BE171" s="34">
        <f>IF(BB171="","",IFERROR(INDEX('06_顧客別集計'!$G$5:$G$104,MATCH(BB171,'06_顧客別集計'!$C$5:$C$104,0)),BB171))</f>
        <v/>
      </c>
      <c r="BF171" s="34">
        <f>IF(AND(AZ171&lt;&gt;"",BE171&lt;&gt;""),IF(COUNTIFS($BE$5:BE171,BE171,$AZ$5:AZ171,"&gt;0")=1,1,""),"")</f>
        <v/>
      </c>
      <c r="BG171" s="34">
        <f>IF(BF171=1,COUNTIF($BF$5:BF171,1),"")</f>
        <v/>
      </c>
    </row>
    <row r="172">
      <c r="AB172">
        <f>IF(AND(A172="",G172=""),"",IF(ISNUMBER(SEARCH("##END",AM172)),"（終わりの印）",IF(ISNUMBER(SEARCH("##続き",AM172)),"（続きありの印）",IF(AM172="調査ID","（見出し行）",IF(AND(AM172&lt;&gt;"R1",AM172&lt;&gt;"R2"),"×表以外の行（集計されない）",IF(COUNTIF($AN$5:AN172,AN172)&gt;1,"△重複（集計されない）",IF(G172="","△タスク名なし",IF(ISNA(MATCH(AQ172,'M1_類型マスタ'!$A$5:$A$19,0)),"△類型が不正",IF(OR(AP172="",N(AP172)&lt;1,N(AP172)&gt;6),"△業務区分が不正",IF(OR(AS172="",AT172=""),"△回数・分が読めない",IF(SUMPRODUCT(--ISNUMBER(--T172:Z172))&lt;7,"△採点が足りない",IF(SUMPRODUCT((--T172:Z172&gt;2)+(--T172:Z172&lt;0))&gt;0,"△採点が範囲外","OK"))))))))))))</f>
        <v/>
      </c>
      <c r="AC172">
        <f>IF(AB172&lt;&gt;"OK","",TRIM(IF(AND(AU172&lt;&gt;"",N(AU172)&lt;=1),"根拠1件 ","")&amp;IF(AV172&lt;&gt;"","同名あり ","")&amp;IF(AND(NOT(ISNUMBER(N172)),N172&lt;&gt;""),"回数を換算 ","")&amp;IF(J172="","詳細なし ","")&amp;IF(AND(N(AP172)=1,BB172=""),"顧客名なし ","")))</f>
        <v/>
      </c>
      <c r="AD172" s="31" t="n"/>
      <c r="AE172" s="32" t="n"/>
      <c r="AF172" s="32" t="n"/>
      <c r="AG172" s="31" t="n"/>
      <c r="AH172">
        <f>IF(AB172&lt;&gt;"OK","",IF(AG172&lt;&gt;"",AG172,AJ172))</f>
        <v/>
      </c>
      <c r="AI172" s="33">
        <f>IF(AB172&lt;&gt;"OK","",IFERROR(IF(AE172&lt;&gt;"",AE172,AS172)*IF(AF172&lt;&gt;"",AF172,AT172)/60,""))</f>
        <v/>
      </c>
      <c r="AJ172">
        <f>IF(AB172&lt;&gt;"OK","",IF(OR(VALUE(T172)=2,VALUE(U172)=2,VALUE(V172)=2),"社内残置",IF(AND(VALUE(T172)=0,VALUE(W172)=0,VALUE(Y172)=0),"自動化候補",IF(AND(VALUE(U172)=0,VALUE(W172)&lt;=1,VALUE(X172)&lt;=1,VALUE(Y172)&lt;=1,VALUE(Z172)&lt;=1),"オフショア候補",IF(AND(VALUE(Y172)&lt;=1,VALUE(Z172)&lt;=1),"ニアショア候補","社内で手順化→再評価")))))</f>
        <v/>
      </c>
      <c r="AK172">
        <f>IF(AB172&lt;&gt;"OK","",14-SUMPRODUCT(--T172:Z172))</f>
        <v/>
      </c>
      <c r="AL172" s="33">
        <f>IF(AB172&lt;&gt;"OK","",AS172*AT172/60)</f>
        <v/>
      </c>
      <c r="AM172" s="34">
        <f>IF(A172="","",UPPER(TRIM(ASC(A172&amp;""))))</f>
        <v/>
      </c>
      <c r="AN172" s="34">
        <f>IF(AM172="","",AM172&amp;"-"&amp;B172)</f>
        <v/>
      </c>
      <c r="AO172" s="34">
        <f>IF(C172="","",IFERROR(VALUE(ASC(SUBSTITUTE(C172&amp;"","観点",""))),""))</f>
        <v/>
      </c>
      <c r="AP172" s="34">
        <f>IF(D172="","",IFERROR(VALUE(LEFT(TRIM(ASC(D172&amp;"")),1)),IFERROR(MATCH(TRIM(D172&amp;""),'M2_区分マスタ'!$I$5:$I$10,0),"")))</f>
        <v/>
      </c>
      <c r="AQ172" s="34">
        <f>IF(H172="","",UPPER(LEFT(TRIM(ASC(H172&amp;"")),3)))</f>
        <v/>
      </c>
      <c r="AR172" s="34">
        <f>IF(N172="","",IFERROR(VALUE(SUBSTITUTE(SUBSTITUTE(SUBSTITUTE(SUBSTITUTE(SUBSTITUTE(SUBSTITUTE(SUBSTITUTE(SUBSTITUTE(SUBSTITUTE(SUBSTITUTE(SUBSTITUTE(SUBSTITUTE(ASC(N172&amp;""),"約",""),"程度",""),"ほど",""),"回",""),"毎",""),"週",""),"月",""),"年",""),"日",""),"に",""),"/","")," ","")),""))</f>
        <v/>
      </c>
      <c r="AS172" s="34">
        <f>IF(N172="","",IF(ISNUMBER(N172),N172,IFERROR(VALUE(ASC(N172&amp;"")),IF(AR172&lt;&gt;"",AR172*IF(ISNUMBER(SEARCH("週",N172)),4.3,IF(ISNUMBER(SEARCH("年",N172)),1/12,IF(ISNUMBER(SEARCH("日",N172)),20,1))),IF(ISNUMBER(SEARCH("日",N172)),20,IF(ISNUMBER(SEARCH("週",N172)),4.3,IF(ISNUMBER(SEARCH("月",N172)),1,"")))))))</f>
        <v/>
      </c>
      <c r="AT172" s="34">
        <f>IF(O172="","",IF(ISNUMBER(O172),O172,IFERROR(VALUE(ASC(O172&amp;"")),IF(ISNUMBER(SEARCH("時間",O172)),IFERROR(VALUE(SUBSTITUTE(SUBSTITUTE(SUBSTITUTE(SUBSTITUTE(SUBSTITUTE(ASC(O172&amp;""),"約",""),"程度",""),"ほど",""),"時間","")," ",""))*60,""),IFERROR(VALUE(SUBSTITUTE(SUBSTITUTE(SUBSTITUTE(SUBSTITUTE(SUBSTITUTE(ASC(O172&amp;""),"約",""),"程度",""),"ほど",""),"分","")," ","")),"")))))</f>
        <v/>
      </c>
      <c r="AU172" s="34">
        <f>IF(P172="","",IF(ISNUMBER(P172),P172,IFERROR(VALUE(SUBSTITUTE(SUBSTITUTE(SUBSTITUTE(ASC(P172&amp;""),"約",""),"件","")," ","")),"")))</f>
        <v/>
      </c>
      <c r="AV172" s="34">
        <f>IF(AB172&lt;&gt;"OK","",IF(COUNTIFS($G$5:$G$404,G172&amp;"",$F$5:$F$404,F172&amp;"",$BE$5:$BE$404,BE172&amp;"",$AB$5:$AB$404,"OK")&gt;1,"同名あり",""))</f>
        <v/>
      </c>
      <c r="AW172" s="35">
        <f>IF(Q172="","",IF(ISNUMBER(Q172),Q172,IFERROR(DATEVALUE(SUBSTITUTE(SUBSTITUTE(ASC(Q172&amp;""),"-","/"),".","/")&amp;"/01"),"")))</f>
        <v/>
      </c>
      <c r="AX172" s="35">
        <f>IF(R172="","",IF(ISNUMBER(R172),R172,IFERROR(DATEVALUE(SUBSTITUTE(SUBSTITUTE(ASC(R172&amp;""),"-","/"),".","/")&amp;"/01"),"")))</f>
        <v/>
      </c>
      <c r="AY172" s="34">
        <f>IF(OR(AB172&lt;&gt;"OK",AW172=""),"",IF(AW172&gt;='01_設定'!$C$26,1,0))</f>
        <v/>
      </c>
      <c r="AZ172" s="34">
        <f>IF(AND(AB172="OK",AD172&lt;&gt;"除外"),COUNTIFS($AB$5:AB172,"OK",$AD$5:AD172,"&lt;&gt;除外"),"")</f>
        <v/>
      </c>
      <c r="BA172" s="34">
        <f>IF(OR(AZ172="",AI172=""),"",AI172+ROW()/1000000000)</f>
        <v/>
      </c>
      <c r="BB172" s="34">
        <f>IF(E172="","",IF(OR(TRIM(E172&amp;"")="-",TRIM(E172&amp;"")="－",TRIM(E172&amp;"")="ー"),"",TRIM(E172&amp;"")))</f>
        <v/>
      </c>
      <c r="BC172" s="34">
        <f>IF(AND(AB172="OK",BB172&lt;&gt;""),IF(COUNTIFS($BB$5:BB172,BB172,$AB$5:AB172,"OK")=1,1,""),"")</f>
        <v/>
      </c>
      <c r="BD172" s="34">
        <f>IF(BC172=1,COUNTIF($BC$5:BC172,1),"")</f>
        <v/>
      </c>
      <c r="BE172" s="34">
        <f>IF(BB172="","",IFERROR(INDEX('06_顧客別集計'!$G$5:$G$104,MATCH(BB172,'06_顧客別集計'!$C$5:$C$104,0)),BB172))</f>
        <v/>
      </c>
      <c r="BF172" s="34">
        <f>IF(AND(AZ172&lt;&gt;"",BE172&lt;&gt;""),IF(COUNTIFS($BE$5:BE172,BE172,$AZ$5:AZ172,"&gt;0")=1,1,""),"")</f>
        <v/>
      </c>
      <c r="BG172" s="34">
        <f>IF(BF172=1,COUNTIF($BF$5:BF172,1),"")</f>
        <v/>
      </c>
    </row>
    <row r="173">
      <c r="AB173">
        <f>IF(AND(A173="",G173=""),"",IF(ISNUMBER(SEARCH("##END",AM173)),"（終わりの印）",IF(ISNUMBER(SEARCH("##続き",AM173)),"（続きありの印）",IF(AM173="調査ID","（見出し行）",IF(AND(AM173&lt;&gt;"R1",AM173&lt;&gt;"R2"),"×表以外の行（集計されない）",IF(COUNTIF($AN$5:AN173,AN173)&gt;1,"△重複（集計されない）",IF(G173="","△タスク名なし",IF(ISNA(MATCH(AQ173,'M1_類型マスタ'!$A$5:$A$19,0)),"△類型が不正",IF(OR(AP173="",N(AP173)&lt;1,N(AP173)&gt;6),"△業務区分が不正",IF(OR(AS173="",AT173=""),"△回数・分が読めない",IF(SUMPRODUCT(--ISNUMBER(--T173:Z173))&lt;7,"△採点が足りない",IF(SUMPRODUCT((--T173:Z173&gt;2)+(--T173:Z173&lt;0))&gt;0,"△採点が範囲外","OK"))))))))))))</f>
        <v/>
      </c>
      <c r="AC173">
        <f>IF(AB173&lt;&gt;"OK","",TRIM(IF(AND(AU173&lt;&gt;"",N(AU173)&lt;=1),"根拠1件 ","")&amp;IF(AV173&lt;&gt;"","同名あり ","")&amp;IF(AND(NOT(ISNUMBER(N173)),N173&lt;&gt;""),"回数を換算 ","")&amp;IF(J173="","詳細なし ","")&amp;IF(AND(N(AP173)=1,BB173=""),"顧客名なし ","")))</f>
        <v/>
      </c>
      <c r="AD173" s="31" t="n"/>
      <c r="AE173" s="32" t="n"/>
      <c r="AF173" s="32" t="n"/>
      <c r="AG173" s="31" t="n"/>
      <c r="AH173">
        <f>IF(AB173&lt;&gt;"OK","",IF(AG173&lt;&gt;"",AG173,AJ173))</f>
        <v/>
      </c>
      <c r="AI173" s="33">
        <f>IF(AB173&lt;&gt;"OK","",IFERROR(IF(AE173&lt;&gt;"",AE173,AS173)*IF(AF173&lt;&gt;"",AF173,AT173)/60,""))</f>
        <v/>
      </c>
      <c r="AJ173">
        <f>IF(AB173&lt;&gt;"OK","",IF(OR(VALUE(T173)=2,VALUE(U173)=2,VALUE(V173)=2),"社内残置",IF(AND(VALUE(T173)=0,VALUE(W173)=0,VALUE(Y173)=0),"自動化候補",IF(AND(VALUE(U173)=0,VALUE(W173)&lt;=1,VALUE(X173)&lt;=1,VALUE(Y173)&lt;=1,VALUE(Z173)&lt;=1),"オフショア候補",IF(AND(VALUE(Y173)&lt;=1,VALUE(Z173)&lt;=1),"ニアショア候補","社内で手順化→再評価")))))</f>
        <v/>
      </c>
      <c r="AK173">
        <f>IF(AB173&lt;&gt;"OK","",14-SUMPRODUCT(--T173:Z173))</f>
        <v/>
      </c>
      <c r="AL173" s="33">
        <f>IF(AB173&lt;&gt;"OK","",AS173*AT173/60)</f>
        <v/>
      </c>
      <c r="AM173" s="34">
        <f>IF(A173="","",UPPER(TRIM(ASC(A173&amp;""))))</f>
        <v/>
      </c>
      <c r="AN173" s="34">
        <f>IF(AM173="","",AM173&amp;"-"&amp;B173)</f>
        <v/>
      </c>
      <c r="AO173" s="34">
        <f>IF(C173="","",IFERROR(VALUE(ASC(SUBSTITUTE(C173&amp;"","観点",""))),""))</f>
        <v/>
      </c>
      <c r="AP173" s="34">
        <f>IF(D173="","",IFERROR(VALUE(LEFT(TRIM(ASC(D173&amp;"")),1)),IFERROR(MATCH(TRIM(D173&amp;""),'M2_区分マスタ'!$I$5:$I$10,0),"")))</f>
        <v/>
      </c>
      <c r="AQ173" s="34">
        <f>IF(H173="","",UPPER(LEFT(TRIM(ASC(H173&amp;"")),3)))</f>
        <v/>
      </c>
      <c r="AR173" s="34">
        <f>IF(N173="","",IFERROR(VALUE(SUBSTITUTE(SUBSTITUTE(SUBSTITUTE(SUBSTITUTE(SUBSTITUTE(SUBSTITUTE(SUBSTITUTE(SUBSTITUTE(SUBSTITUTE(SUBSTITUTE(SUBSTITUTE(SUBSTITUTE(ASC(N173&amp;""),"約",""),"程度",""),"ほど",""),"回",""),"毎",""),"週",""),"月",""),"年",""),"日",""),"に",""),"/","")," ","")),""))</f>
        <v/>
      </c>
      <c r="AS173" s="34">
        <f>IF(N173="","",IF(ISNUMBER(N173),N173,IFERROR(VALUE(ASC(N173&amp;"")),IF(AR173&lt;&gt;"",AR173*IF(ISNUMBER(SEARCH("週",N173)),4.3,IF(ISNUMBER(SEARCH("年",N173)),1/12,IF(ISNUMBER(SEARCH("日",N173)),20,1))),IF(ISNUMBER(SEARCH("日",N173)),20,IF(ISNUMBER(SEARCH("週",N173)),4.3,IF(ISNUMBER(SEARCH("月",N173)),1,"")))))))</f>
        <v/>
      </c>
      <c r="AT173" s="34">
        <f>IF(O173="","",IF(ISNUMBER(O173),O173,IFERROR(VALUE(ASC(O173&amp;"")),IF(ISNUMBER(SEARCH("時間",O173)),IFERROR(VALUE(SUBSTITUTE(SUBSTITUTE(SUBSTITUTE(SUBSTITUTE(SUBSTITUTE(ASC(O173&amp;""),"約",""),"程度",""),"ほど",""),"時間","")," ",""))*60,""),IFERROR(VALUE(SUBSTITUTE(SUBSTITUTE(SUBSTITUTE(SUBSTITUTE(SUBSTITUTE(ASC(O173&amp;""),"約",""),"程度",""),"ほど",""),"分","")," ","")),"")))))</f>
        <v/>
      </c>
      <c r="AU173" s="34">
        <f>IF(P173="","",IF(ISNUMBER(P173),P173,IFERROR(VALUE(SUBSTITUTE(SUBSTITUTE(SUBSTITUTE(ASC(P173&amp;""),"約",""),"件","")," ","")),"")))</f>
        <v/>
      </c>
      <c r="AV173" s="34">
        <f>IF(AB173&lt;&gt;"OK","",IF(COUNTIFS($G$5:$G$404,G173&amp;"",$F$5:$F$404,F173&amp;"",$BE$5:$BE$404,BE173&amp;"",$AB$5:$AB$404,"OK")&gt;1,"同名あり",""))</f>
        <v/>
      </c>
      <c r="AW173" s="35">
        <f>IF(Q173="","",IF(ISNUMBER(Q173),Q173,IFERROR(DATEVALUE(SUBSTITUTE(SUBSTITUTE(ASC(Q173&amp;""),"-","/"),".","/")&amp;"/01"),"")))</f>
        <v/>
      </c>
      <c r="AX173" s="35">
        <f>IF(R173="","",IF(ISNUMBER(R173),R173,IFERROR(DATEVALUE(SUBSTITUTE(SUBSTITUTE(ASC(R173&amp;""),"-","/"),".","/")&amp;"/01"),"")))</f>
        <v/>
      </c>
      <c r="AY173" s="34">
        <f>IF(OR(AB173&lt;&gt;"OK",AW173=""),"",IF(AW173&gt;='01_設定'!$C$26,1,0))</f>
        <v/>
      </c>
      <c r="AZ173" s="34">
        <f>IF(AND(AB173="OK",AD173&lt;&gt;"除外"),COUNTIFS($AB$5:AB173,"OK",$AD$5:AD173,"&lt;&gt;除外"),"")</f>
        <v/>
      </c>
      <c r="BA173" s="34">
        <f>IF(OR(AZ173="",AI173=""),"",AI173+ROW()/1000000000)</f>
        <v/>
      </c>
      <c r="BB173" s="34">
        <f>IF(E173="","",IF(OR(TRIM(E173&amp;"")="-",TRIM(E173&amp;"")="－",TRIM(E173&amp;"")="ー"),"",TRIM(E173&amp;"")))</f>
        <v/>
      </c>
      <c r="BC173" s="34">
        <f>IF(AND(AB173="OK",BB173&lt;&gt;""),IF(COUNTIFS($BB$5:BB173,BB173,$AB$5:AB173,"OK")=1,1,""),"")</f>
        <v/>
      </c>
      <c r="BD173" s="34">
        <f>IF(BC173=1,COUNTIF($BC$5:BC173,1),"")</f>
        <v/>
      </c>
      <c r="BE173" s="34">
        <f>IF(BB173="","",IFERROR(INDEX('06_顧客別集計'!$G$5:$G$104,MATCH(BB173,'06_顧客別集計'!$C$5:$C$104,0)),BB173))</f>
        <v/>
      </c>
      <c r="BF173" s="34">
        <f>IF(AND(AZ173&lt;&gt;"",BE173&lt;&gt;""),IF(COUNTIFS($BE$5:BE173,BE173,$AZ$5:AZ173,"&gt;0")=1,1,""),"")</f>
        <v/>
      </c>
      <c r="BG173" s="34">
        <f>IF(BF173=1,COUNTIF($BF$5:BF173,1),"")</f>
        <v/>
      </c>
    </row>
    <row r="174">
      <c r="AB174">
        <f>IF(AND(A174="",G174=""),"",IF(ISNUMBER(SEARCH("##END",AM174)),"（終わりの印）",IF(ISNUMBER(SEARCH("##続き",AM174)),"（続きありの印）",IF(AM174="調査ID","（見出し行）",IF(AND(AM174&lt;&gt;"R1",AM174&lt;&gt;"R2"),"×表以外の行（集計されない）",IF(COUNTIF($AN$5:AN174,AN174)&gt;1,"△重複（集計されない）",IF(G174="","△タスク名なし",IF(ISNA(MATCH(AQ174,'M1_類型マスタ'!$A$5:$A$19,0)),"△類型が不正",IF(OR(AP174="",N(AP174)&lt;1,N(AP174)&gt;6),"△業務区分が不正",IF(OR(AS174="",AT174=""),"△回数・分が読めない",IF(SUMPRODUCT(--ISNUMBER(--T174:Z174))&lt;7,"△採点が足りない",IF(SUMPRODUCT((--T174:Z174&gt;2)+(--T174:Z174&lt;0))&gt;0,"△採点が範囲外","OK"))))))))))))</f>
        <v/>
      </c>
      <c r="AC174">
        <f>IF(AB174&lt;&gt;"OK","",TRIM(IF(AND(AU174&lt;&gt;"",N(AU174)&lt;=1),"根拠1件 ","")&amp;IF(AV174&lt;&gt;"","同名あり ","")&amp;IF(AND(NOT(ISNUMBER(N174)),N174&lt;&gt;""),"回数を換算 ","")&amp;IF(J174="","詳細なし ","")&amp;IF(AND(N(AP174)=1,BB174=""),"顧客名なし ","")))</f>
        <v/>
      </c>
      <c r="AD174" s="31" t="n"/>
      <c r="AE174" s="32" t="n"/>
      <c r="AF174" s="32" t="n"/>
      <c r="AG174" s="31" t="n"/>
      <c r="AH174">
        <f>IF(AB174&lt;&gt;"OK","",IF(AG174&lt;&gt;"",AG174,AJ174))</f>
        <v/>
      </c>
      <c r="AI174" s="33">
        <f>IF(AB174&lt;&gt;"OK","",IFERROR(IF(AE174&lt;&gt;"",AE174,AS174)*IF(AF174&lt;&gt;"",AF174,AT174)/60,""))</f>
        <v/>
      </c>
      <c r="AJ174">
        <f>IF(AB174&lt;&gt;"OK","",IF(OR(VALUE(T174)=2,VALUE(U174)=2,VALUE(V174)=2),"社内残置",IF(AND(VALUE(T174)=0,VALUE(W174)=0,VALUE(Y174)=0),"自動化候補",IF(AND(VALUE(U174)=0,VALUE(W174)&lt;=1,VALUE(X174)&lt;=1,VALUE(Y174)&lt;=1,VALUE(Z174)&lt;=1),"オフショア候補",IF(AND(VALUE(Y174)&lt;=1,VALUE(Z174)&lt;=1),"ニアショア候補","社内で手順化→再評価")))))</f>
        <v/>
      </c>
      <c r="AK174">
        <f>IF(AB174&lt;&gt;"OK","",14-SUMPRODUCT(--T174:Z174))</f>
        <v/>
      </c>
      <c r="AL174" s="33">
        <f>IF(AB174&lt;&gt;"OK","",AS174*AT174/60)</f>
        <v/>
      </c>
      <c r="AM174" s="34">
        <f>IF(A174="","",UPPER(TRIM(ASC(A174&amp;""))))</f>
        <v/>
      </c>
      <c r="AN174" s="34">
        <f>IF(AM174="","",AM174&amp;"-"&amp;B174)</f>
        <v/>
      </c>
      <c r="AO174" s="34">
        <f>IF(C174="","",IFERROR(VALUE(ASC(SUBSTITUTE(C174&amp;"","観点",""))),""))</f>
        <v/>
      </c>
      <c r="AP174" s="34">
        <f>IF(D174="","",IFERROR(VALUE(LEFT(TRIM(ASC(D174&amp;"")),1)),IFERROR(MATCH(TRIM(D174&amp;""),'M2_区分マスタ'!$I$5:$I$10,0),"")))</f>
        <v/>
      </c>
      <c r="AQ174" s="34">
        <f>IF(H174="","",UPPER(LEFT(TRIM(ASC(H174&amp;"")),3)))</f>
        <v/>
      </c>
      <c r="AR174" s="34">
        <f>IF(N174="","",IFERROR(VALUE(SUBSTITUTE(SUBSTITUTE(SUBSTITUTE(SUBSTITUTE(SUBSTITUTE(SUBSTITUTE(SUBSTITUTE(SUBSTITUTE(SUBSTITUTE(SUBSTITUTE(SUBSTITUTE(SUBSTITUTE(ASC(N174&amp;""),"約",""),"程度",""),"ほど",""),"回",""),"毎",""),"週",""),"月",""),"年",""),"日",""),"に",""),"/","")," ","")),""))</f>
        <v/>
      </c>
      <c r="AS174" s="34">
        <f>IF(N174="","",IF(ISNUMBER(N174),N174,IFERROR(VALUE(ASC(N174&amp;"")),IF(AR174&lt;&gt;"",AR174*IF(ISNUMBER(SEARCH("週",N174)),4.3,IF(ISNUMBER(SEARCH("年",N174)),1/12,IF(ISNUMBER(SEARCH("日",N174)),20,1))),IF(ISNUMBER(SEARCH("日",N174)),20,IF(ISNUMBER(SEARCH("週",N174)),4.3,IF(ISNUMBER(SEARCH("月",N174)),1,"")))))))</f>
        <v/>
      </c>
      <c r="AT174" s="34">
        <f>IF(O174="","",IF(ISNUMBER(O174),O174,IFERROR(VALUE(ASC(O174&amp;"")),IF(ISNUMBER(SEARCH("時間",O174)),IFERROR(VALUE(SUBSTITUTE(SUBSTITUTE(SUBSTITUTE(SUBSTITUTE(SUBSTITUTE(ASC(O174&amp;""),"約",""),"程度",""),"ほど",""),"時間","")," ",""))*60,""),IFERROR(VALUE(SUBSTITUTE(SUBSTITUTE(SUBSTITUTE(SUBSTITUTE(SUBSTITUTE(ASC(O174&amp;""),"約",""),"程度",""),"ほど",""),"分","")," ","")),"")))))</f>
        <v/>
      </c>
      <c r="AU174" s="34">
        <f>IF(P174="","",IF(ISNUMBER(P174),P174,IFERROR(VALUE(SUBSTITUTE(SUBSTITUTE(SUBSTITUTE(ASC(P174&amp;""),"約",""),"件","")," ","")),"")))</f>
        <v/>
      </c>
      <c r="AV174" s="34">
        <f>IF(AB174&lt;&gt;"OK","",IF(COUNTIFS($G$5:$G$404,G174&amp;"",$F$5:$F$404,F174&amp;"",$BE$5:$BE$404,BE174&amp;"",$AB$5:$AB$404,"OK")&gt;1,"同名あり",""))</f>
        <v/>
      </c>
      <c r="AW174" s="35">
        <f>IF(Q174="","",IF(ISNUMBER(Q174),Q174,IFERROR(DATEVALUE(SUBSTITUTE(SUBSTITUTE(ASC(Q174&amp;""),"-","/"),".","/")&amp;"/01"),"")))</f>
        <v/>
      </c>
      <c r="AX174" s="35">
        <f>IF(R174="","",IF(ISNUMBER(R174),R174,IFERROR(DATEVALUE(SUBSTITUTE(SUBSTITUTE(ASC(R174&amp;""),"-","/"),".","/")&amp;"/01"),"")))</f>
        <v/>
      </c>
      <c r="AY174" s="34">
        <f>IF(OR(AB174&lt;&gt;"OK",AW174=""),"",IF(AW174&gt;='01_設定'!$C$26,1,0))</f>
        <v/>
      </c>
      <c r="AZ174" s="34">
        <f>IF(AND(AB174="OK",AD174&lt;&gt;"除外"),COUNTIFS($AB$5:AB174,"OK",$AD$5:AD174,"&lt;&gt;除外"),"")</f>
        <v/>
      </c>
      <c r="BA174" s="34">
        <f>IF(OR(AZ174="",AI174=""),"",AI174+ROW()/1000000000)</f>
        <v/>
      </c>
      <c r="BB174" s="34">
        <f>IF(E174="","",IF(OR(TRIM(E174&amp;"")="-",TRIM(E174&amp;"")="－",TRIM(E174&amp;"")="ー"),"",TRIM(E174&amp;"")))</f>
        <v/>
      </c>
      <c r="BC174" s="34">
        <f>IF(AND(AB174="OK",BB174&lt;&gt;""),IF(COUNTIFS($BB$5:BB174,BB174,$AB$5:AB174,"OK")=1,1,""),"")</f>
        <v/>
      </c>
      <c r="BD174" s="34">
        <f>IF(BC174=1,COUNTIF($BC$5:BC174,1),"")</f>
        <v/>
      </c>
      <c r="BE174" s="34">
        <f>IF(BB174="","",IFERROR(INDEX('06_顧客別集計'!$G$5:$G$104,MATCH(BB174,'06_顧客別集計'!$C$5:$C$104,0)),BB174))</f>
        <v/>
      </c>
      <c r="BF174" s="34">
        <f>IF(AND(AZ174&lt;&gt;"",BE174&lt;&gt;""),IF(COUNTIFS($BE$5:BE174,BE174,$AZ$5:AZ174,"&gt;0")=1,1,""),"")</f>
        <v/>
      </c>
      <c r="BG174" s="34">
        <f>IF(BF174=1,COUNTIF($BF$5:BF174,1),"")</f>
        <v/>
      </c>
    </row>
    <row r="175">
      <c r="AB175">
        <f>IF(AND(A175="",G175=""),"",IF(ISNUMBER(SEARCH("##END",AM175)),"（終わりの印）",IF(ISNUMBER(SEARCH("##続き",AM175)),"（続きありの印）",IF(AM175="調査ID","（見出し行）",IF(AND(AM175&lt;&gt;"R1",AM175&lt;&gt;"R2"),"×表以外の行（集計されない）",IF(COUNTIF($AN$5:AN175,AN175)&gt;1,"△重複（集計されない）",IF(G175="","△タスク名なし",IF(ISNA(MATCH(AQ175,'M1_類型マスタ'!$A$5:$A$19,0)),"△類型が不正",IF(OR(AP175="",N(AP175)&lt;1,N(AP175)&gt;6),"△業務区分が不正",IF(OR(AS175="",AT175=""),"△回数・分が読めない",IF(SUMPRODUCT(--ISNUMBER(--T175:Z175))&lt;7,"△採点が足りない",IF(SUMPRODUCT((--T175:Z175&gt;2)+(--T175:Z175&lt;0))&gt;0,"△採点が範囲外","OK"))))))))))))</f>
        <v/>
      </c>
      <c r="AC175">
        <f>IF(AB175&lt;&gt;"OK","",TRIM(IF(AND(AU175&lt;&gt;"",N(AU175)&lt;=1),"根拠1件 ","")&amp;IF(AV175&lt;&gt;"","同名あり ","")&amp;IF(AND(NOT(ISNUMBER(N175)),N175&lt;&gt;""),"回数を換算 ","")&amp;IF(J175="","詳細なし ","")&amp;IF(AND(N(AP175)=1,BB175=""),"顧客名なし ","")))</f>
        <v/>
      </c>
      <c r="AD175" s="31" t="n"/>
      <c r="AE175" s="32" t="n"/>
      <c r="AF175" s="32" t="n"/>
      <c r="AG175" s="31" t="n"/>
      <c r="AH175">
        <f>IF(AB175&lt;&gt;"OK","",IF(AG175&lt;&gt;"",AG175,AJ175))</f>
        <v/>
      </c>
      <c r="AI175" s="33">
        <f>IF(AB175&lt;&gt;"OK","",IFERROR(IF(AE175&lt;&gt;"",AE175,AS175)*IF(AF175&lt;&gt;"",AF175,AT175)/60,""))</f>
        <v/>
      </c>
      <c r="AJ175">
        <f>IF(AB175&lt;&gt;"OK","",IF(OR(VALUE(T175)=2,VALUE(U175)=2,VALUE(V175)=2),"社内残置",IF(AND(VALUE(T175)=0,VALUE(W175)=0,VALUE(Y175)=0),"自動化候補",IF(AND(VALUE(U175)=0,VALUE(W175)&lt;=1,VALUE(X175)&lt;=1,VALUE(Y175)&lt;=1,VALUE(Z175)&lt;=1),"オフショア候補",IF(AND(VALUE(Y175)&lt;=1,VALUE(Z175)&lt;=1),"ニアショア候補","社内で手順化→再評価")))))</f>
        <v/>
      </c>
      <c r="AK175">
        <f>IF(AB175&lt;&gt;"OK","",14-SUMPRODUCT(--T175:Z175))</f>
        <v/>
      </c>
      <c r="AL175" s="33">
        <f>IF(AB175&lt;&gt;"OK","",AS175*AT175/60)</f>
        <v/>
      </c>
      <c r="AM175" s="34">
        <f>IF(A175="","",UPPER(TRIM(ASC(A175&amp;""))))</f>
        <v/>
      </c>
      <c r="AN175" s="34">
        <f>IF(AM175="","",AM175&amp;"-"&amp;B175)</f>
        <v/>
      </c>
      <c r="AO175" s="34">
        <f>IF(C175="","",IFERROR(VALUE(ASC(SUBSTITUTE(C175&amp;"","観点",""))),""))</f>
        <v/>
      </c>
      <c r="AP175" s="34">
        <f>IF(D175="","",IFERROR(VALUE(LEFT(TRIM(ASC(D175&amp;"")),1)),IFERROR(MATCH(TRIM(D175&amp;""),'M2_区分マスタ'!$I$5:$I$10,0),"")))</f>
        <v/>
      </c>
      <c r="AQ175" s="34">
        <f>IF(H175="","",UPPER(LEFT(TRIM(ASC(H175&amp;"")),3)))</f>
        <v/>
      </c>
      <c r="AR175" s="34">
        <f>IF(N175="","",IFERROR(VALUE(SUBSTITUTE(SUBSTITUTE(SUBSTITUTE(SUBSTITUTE(SUBSTITUTE(SUBSTITUTE(SUBSTITUTE(SUBSTITUTE(SUBSTITUTE(SUBSTITUTE(SUBSTITUTE(SUBSTITUTE(ASC(N175&amp;""),"約",""),"程度",""),"ほど",""),"回",""),"毎",""),"週",""),"月",""),"年",""),"日",""),"に",""),"/","")," ","")),""))</f>
        <v/>
      </c>
      <c r="AS175" s="34">
        <f>IF(N175="","",IF(ISNUMBER(N175),N175,IFERROR(VALUE(ASC(N175&amp;"")),IF(AR175&lt;&gt;"",AR175*IF(ISNUMBER(SEARCH("週",N175)),4.3,IF(ISNUMBER(SEARCH("年",N175)),1/12,IF(ISNUMBER(SEARCH("日",N175)),20,1))),IF(ISNUMBER(SEARCH("日",N175)),20,IF(ISNUMBER(SEARCH("週",N175)),4.3,IF(ISNUMBER(SEARCH("月",N175)),1,"")))))))</f>
        <v/>
      </c>
      <c r="AT175" s="34">
        <f>IF(O175="","",IF(ISNUMBER(O175),O175,IFERROR(VALUE(ASC(O175&amp;"")),IF(ISNUMBER(SEARCH("時間",O175)),IFERROR(VALUE(SUBSTITUTE(SUBSTITUTE(SUBSTITUTE(SUBSTITUTE(SUBSTITUTE(ASC(O175&amp;""),"約",""),"程度",""),"ほど",""),"時間","")," ",""))*60,""),IFERROR(VALUE(SUBSTITUTE(SUBSTITUTE(SUBSTITUTE(SUBSTITUTE(SUBSTITUTE(ASC(O175&amp;""),"約",""),"程度",""),"ほど",""),"分","")," ","")),"")))))</f>
        <v/>
      </c>
      <c r="AU175" s="34">
        <f>IF(P175="","",IF(ISNUMBER(P175),P175,IFERROR(VALUE(SUBSTITUTE(SUBSTITUTE(SUBSTITUTE(ASC(P175&amp;""),"約",""),"件","")," ","")),"")))</f>
        <v/>
      </c>
      <c r="AV175" s="34">
        <f>IF(AB175&lt;&gt;"OK","",IF(COUNTIFS($G$5:$G$404,G175&amp;"",$F$5:$F$404,F175&amp;"",$BE$5:$BE$404,BE175&amp;"",$AB$5:$AB$404,"OK")&gt;1,"同名あり",""))</f>
        <v/>
      </c>
      <c r="AW175" s="35">
        <f>IF(Q175="","",IF(ISNUMBER(Q175),Q175,IFERROR(DATEVALUE(SUBSTITUTE(SUBSTITUTE(ASC(Q175&amp;""),"-","/"),".","/")&amp;"/01"),"")))</f>
        <v/>
      </c>
      <c r="AX175" s="35">
        <f>IF(R175="","",IF(ISNUMBER(R175),R175,IFERROR(DATEVALUE(SUBSTITUTE(SUBSTITUTE(ASC(R175&amp;""),"-","/"),".","/")&amp;"/01"),"")))</f>
        <v/>
      </c>
      <c r="AY175" s="34">
        <f>IF(OR(AB175&lt;&gt;"OK",AW175=""),"",IF(AW175&gt;='01_設定'!$C$26,1,0))</f>
        <v/>
      </c>
      <c r="AZ175" s="34">
        <f>IF(AND(AB175="OK",AD175&lt;&gt;"除外"),COUNTIFS($AB$5:AB175,"OK",$AD$5:AD175,"&lt;&gt;除外"),"")</f>
        <v/>
      </c>
      <c r="BA175" s="34">
        <f>IF(OR(AZ175="",AI175=""),"",AI175+ROW()/1000000000)</f>
        <v/>
      </c>
      <c r="BB175" s="34">
        <f>IF(E175="","",IF(OR(TRIM(E175&amp;"")="-",TRIM(E175&amp;"")="－",TRIM(E175&amp;"")="ー"),"",TRIM(E175&amp;"")))</f>
        <v/>
      </c>
      <c r="BC175" s="34">
        <f>IF(AND(AB175="OK",BB175&lt;&gt;""),IF(COUNTIFS($BB$5:BB175,BB175,$AB$5:AB175,"OK")=1,1,""),"")</f>
        <v/>
      </c>
      <c r="BD175" s="34">
        <f>IF(BC175=1,COUNTIF($BC$5:BC175,1),"")</f>
        <v/>
      </c>
      <c r="BE175" s="34">
        <f>IF(BB175="","",IFERROR(INDEX('06_顧客別集計'!$G$5:$G$104,MATCH(BB175,'06_顧客別集計'!$C$5:$C$104,0)),BB175))</f>
        <v/>
      </c>
      <c r="BF175" s="34">
        <f>IF(AND(AZ175&lt;&gt;"",BE175&lt;&gt;""),IF(COUNTIFS($BE$5:BE175,BE175,$AZ$5:AZ175,"&gt;0")=1,1,""),"")</f>
        <v/>
      </c>
      <c r="BG175" s="34">
        <f>IF(BF175=1,COUNTIF($BF$5:BF175,1),"")</f>
        <v/>
      </c>
    </row>
    <row r="176">
      <c r="AB176">
        <f>IF(AND(A176="",G176=""),"",IF(ISNUMBER(SEARCH("##END",AM176)),"（終わりの印）",IF(ISNUMBER(SEARCH("##続き",AM176)),"（続きありの印）",IF(AM176="調査ID","（見出し行）",IF(AND(AM176&lt;&gt;"R1",AM176&lt;&gt;"R2"),"×表以外の行（集計されない）",IF(COUNTIF($AN$5:AN176,AN176)&gt;1,"△重複（集計されない）",IF(G176="","△タスク名なし",IF(ISNA(MATCH(AQ176,'M1_類型マスタ'!$A$5:$A$19,0)),"△類型が不正",IF(OR(AP176="",N(AP176)&lt;1,N(AP176)&gt;6),"△業務区分が不正",IF(OR(AS176="",AT176=""),"△回数・分が読めない",IF(SUMPRODUCT(--ISNUMBER(--T176:Z176))&lt;7,"△採点が足りない",IF(SUMPRODUCT((--T176:Z176&gt;2)+(--T176:Z176&lt;0))&gt;0,"△採点が範囲外","OK"))))))))))))</f>
        <v/>
      </c>
      <c r="AC176">
        <f>IF(AB176&lt;&gt;"OK","",TRIM(IF(AND(AU176&lt;&gt;"",N(AU176)&lt;=1),"根拠1件 ","")&amp;IF(AV176&lt;&gt;"","同名あり ","")&amp;IF(AND(NOT(ISNUMBER(N176)),N176&lt;&gt;""),"回数を換算 ","")&amp;IF(J176="","詳細なし ","")&amp;IF(AND(N(AP176)=1,BB176=""),"顧客名なし ","")))</f>
        <v/>
      </c>
      <c r="AD176" s="31" t="n"/>
      <c r="AE176" s="32" t="n"/>
      <c r="AF176" s="32" t="n"/>
      <c r="AG176" s="31" t="n"/>
      <c r="AH176">
        <f>IF(AB176&lt;&gt;"OK","",IF(AG176&lt;&gt;"",AG176,AJ176))</f>
        <v/>
      </c>
      <c r="AI176" s="33">
        <f>IF(AB176&lt;&gt;"OK","",IFERROR(IF(AE176&lt;&gt;"",AE176,AS176)*IF(AF176&lt;&gt;"",AF176,AT176)/60,""))</f>
        <v/>
      </c>
      <c r="AJ176">
        <f>IF(AB176&lt;&gt;"OK","",IF(OR(VALUE(T176)=2,VALUE(U176)=2,VALUE(V176)=2),"社内残置",IF(AND(VALUE(T176)=0,VALUE(W176)=0,VALUE(Y176)=0),"自動化候補",IF(AND(VALUE(U176)=0,VALUE(W176)&lt;=1,VALUE(X176)&lt;=1,VALUE(Y176)&lt;=1,VALUE(Z176)&lt;=1),"オフショア候補",IF(AND(VALUE(Y176)&lt;=1,VALUE(Z176)&lt;=1),"ニアショア候補","社内で手順化→再評価")))))</f>
        <v/>
      </c>
      <c r="AK176">
        <f>IF(AB176&lt;&gt;"OK","",14-SUMPRODUCT(--T176:Z176))</f>
        <v/>
      </c>
      <c r="AL176" s="33">
        <f>IF(AB176&lt;&gt;"OK","",AS176*AT176/60)</f>
        <v/>
      </c>
      <c r="AM176" s="34">
        <f>IF(A176="","",UPPER(TRIM(ASC(A176&amp;""))))</f>
        <v/>
      </c>
      <c r="AN176" s="34">
        <f>IF(AM176="","",AM176&amp;"-"&amp;B176)</f>
        <v/>
      </c>
      <c r="AO176" s="34">
        <f>IF(C176="","",IFERROR(VALUE(ASC(SUBSTITUTE(C176&amp;"","観点",""))),""))</f>
        <v/>
      </c>
      <c r="AP176" s="34">
        <f>IF(D176="","",IFERROR(VALUE(LEFT(TRIM(ASC(D176&amp;"")),1)),IFERROR(MATCH(TRIM(D176&amp;""),'M2_区分マスタ'!$I$5:$I$10,0),"")))</f>
        <v/>
      </c>
      <c r="AQ176" s="34">
        <f>IF(H176="","",UPPER(LEFT(TRIM(ASC(H176&amp;"")),3)))</f>
        <v/>
      </c>
      <c r="AR176" s="34">
        <f>IF(N176="","",IFERROR(VALUE(SUBSTITUTE(SUBSTITUTE(SUBSTITUTE(SUBSTITUTE(SUBSTITUTE(SUBSTITUTE(SUBSTITUTE(SUBSTITUTE(SUBSTITUTE(SUBSTITUTE(SUBSTITUTE(SUBSTITUTE(ASC(N176&amp;""),"約",""),"程度",""),"ほど",""),"回",""),"毎",""),"週",""),"月",""),"年",""),"日",""),"に",""),"/","")," ","")),""))</f>
        <v/>
      </c>
      <c r="AS176" s="34">
        <f>IF(N176="","",IF(ISNUMBER(N176),N176,IFERROR(VALUE(ASC(N176&amp;"")),IF(AR176&lt;&gt;"",AR176*IF(ISNUMBER(SEARCH("週",N176)),4.3,IF(ISNUMBER(SEARCH("年",N176)),1/12,IF(ISNUMBER(SEARCH("日",N176)),20,1))),IF(ISNUMBER(SEARCH("日",N176)),20,IF(ISNUMBER(SEARCH("週",N176)),4.3,IF(ISNUMBER(SEARCH("月",N176)),1,"")))))))</f>
        <v/>
      </c>
      <c r="AT176" s="34">
        <f>IF(O176="","",IF(ISNUMBER(O176),O176,IFERROR(VALUE(ASC(O176&amp;"")),IF(ISNUMBER(SEARCH("時間",O176)),IFERROR(VALUE(SUBSTITUTE(SUBSTITUTE(SUBSTITUTE(SUBSTITUTE(SUBSTITUTE(ASC(O176&amp;""),"約",""),"程度",""),"ほど",""),"時間","")," ",""))*60,""),IFERROR(VALUE(SUBSTITUTE(SUBSTITUTE(SUBSTITUTE(SUBSTITUTE(SUBSTITUTE(ASC(O176&amp;""),"約",""),"程度",""),"ほど",""),"分","")," ","")),"")))))</f>
        <v/>
      </c>
      <c r="AU176" s="34">
        <f>IF(P176="","",IF(ISNUMBER(P176),P176,IFERROR(VALUE(SUBSTITUTE(SUBSTITUTE(SUBSTITUTE(ASC(P176&amp;""),"約",""),"件","")," ","")),"")))</f>
        <v/>
      </c>
      <c r="AV176" s="34">
        <f>IF(AB176&lt;&gt;"OK","",IF(COUNTIFS($G$5:$G$404,G176&amp;"",$F$5:$F$404,F176&amp;"",$BE$5:$BE$404,BE176&amp;"",$AB$5:$AB$404,"OK")&gt;1,"同名あり",""))</f>
        <v/>
      </c>
      <c r="AW176" s="35">
        <f>IF(Q176="","",IF(ISNUMBER(Q176),Q176,IFERROR(DATEVALUE(SUBSTITUTE(SUBSTITUTE(ASC(Q176&amp;""),"-","/"),".","/")&amp;"/01"),"")))</f>
        <v/>
      </c>
      <c r="AX176" s="35">
        <f>IF(R176="","",IF(ISNUMBER(R176),R176,IFERROR(DATEVALUE(SUBSTITUTE(SUBSTITUTE(ASC(R176&amp;""),"-","/"),".","/")&amp;"/01"),"")))</f>
        <v/>
      </c>
      <c r="AY176" s="34">
        <f>IF(OR(AB176&lt;&gt;"OK",AW176=""),"",IF(AW176&gt;='01_設定'!$C$26,1,0))</f>
        <v/>
      </c>
      <c r="AZ176" s="34">
        <f>IF(AND(AB176="OK",AD176&lt;&gt;"除外"),COUNTIFS($AB$5:AB176,"OK",$AD$5:AD176,"&lt;&gt;除外"),"")</f>
        <v/>
      </c>
      <c r="BA176" s="34">
        <f>IF(OR(AZ176="",AI176=""),"",AI176+ROW()/1000000000)</f>
        <v/>
      </c>
      <c r="BB176" s="34">
        <f>IF(E176="","",IF(OR(TRIM(E176&amp;"")="-",TRIM(E176&amp;"")="－",TRIM(E176&amp;"")="ー"),"",TRIM(E176&amp;"")))</f>
        <v/>
      </c>
      <c r="BC176" s="34">
        <f>IF(AND(AB176="OK",BB176&lt;&gt;""),IF(COUNTIFS($BB$5:BB176,BB176,$AB$5:AB176,"OK")=1,1,""),"")</f>
        <v/>
      </c>
      <c r="BD176" s="34">
        <f>IF(BC176=1,COUNTIF($BC$5:BC176,1),"")</f>
        <v/>
      </c>
      <c r="BE176" s="34">
        <f>IF(BB176="","",IFERROR(INDEX('06_顧客別集計'!$G$5:$G$104,MATCH(BB176,'06_顧客別集計'!$C$5:$C$104,0)),BB176))</f>
        <v/>
      </c>
      <c r="BF176" s="34">
        <f>IF(AND(AZ176&lt;&gt;"",BE176&lt;&gt;""),IF(COUNTIFS($BE$5:BE176,BE176,$AZ$5:AZ176,"&gt;0")=1,1,""),"")</f>
        <v/>
      </c>
      <c r="BG176" s="34">
        <f>IF(BF176=1,COUNTIF($BF$5:BF176,1),"")</f>
        <v/>
      </c>
    </row>
    <row r="177">
      <c r="AB177">
        <f>IF(AND(A177="",G177=""),"",IF(ISNUMBER(SEARCH("##END",AM177)),"（終わりの印）",IF(ISNUMBER(SEARCH("##続き",AM177)),"（続きありの印）",IF(AM177="調査ID","（見出し行）",IF(AND(AM177&lt;&gt;"R1",AM177&lt;&gt;"R2"),"×表以外の行（集計されない）",IF(COUNTIF($AN$5:AN177,AN177)&gt;1,"△重複（集計されない）",IF(G177="","△タスク名なし",IF(ISNA(MATCH(AQ177,'M1_類型マスタ'!$A$5:$A$19,0)),"△類型が不正",IF(OR(AP177="",N(AP177)&lt;1,N(AP177)&gt;6),"△業務区分が不正",IF(OR(AS177="",AT177=""),"△回数・分が読めない",IF(SUMPRODUCT(--ISNUMBER(--T177:Z177))&lt;7,"△採点が足りない",IF(SUMPRODUCT((--T177:Z177&gt;2)+(--T177:Z177&lt;0))&gt;0,"△採点が範囲外","OK"))))))))))))</f>
        <v/>
      </c>
      <c r="AC177">
        <f>IF(AB177&lt;&gt;"OK","",TRIM(IF(AND(AU177&lt;&gt;"",N(AU177)&lt;=1),"根拠1件 ","")&amp;IF(AV177&lt;&gt;"","同名あり ","")&amp;IF(AND(NOT(ISNUMBER(N177)),N177&lt;&gt;""),"回数を換算 ","")&amp;IF(J177="","詳細なし ","")&amp;IF(AND(N(AP177)=1,BB177=""),"顧客名なし ","")))</f>
        <v/>
      </c>
      <c r="AD177" s="31" t="n"/>
      <c r="AE177" s="32" t="n"/>
      <c r="AF177" s="32" t="n"/>
      <c r="AG177" s="31" t="n"/>
      <c r="AH177">
        <f>IF(AB177&lt;&gt;"OK","",IF(AG177&lt;&gt;"",AG177,AJ177))</f>
        <v/>
      </c>
      <c r="AI177" s="33">
        <f>IF(AB177&lt;&gt;"OK","",IFERROR(IF(AE177&lt;&gt;"",AE177,AS177)*IF(AF177&lt;&gt;"",AF177,AT177)/60,""))</f>
        <v/>
      </c>
      <c r="AJ177">
        <f>IF(AB177&lt;&gt;"OK","",IF(OR(VALUE(T177)=2,VALUE(U177)=2,VALUE(V177)=2),"社内残置",IF(AND(VALUE(T177)=0,VALUE(W177)=0,VALUE(Y177)=0),"自動化候補",IF(AND(VALUE(U177)=0,VALUE(W177)&lt;=1,VALUE(X177)&lt;=1,VALUE(Y177)&lt;=1,VALUE(Z177)&lt;=1),"オフショア候補",IF(AND(VALUE(Y177)&lt;=1,VALUE(Z177)&lt;=1),"ニアショア候補","社内で手順化→再評価")))))</f>
        <v/>
      </c>
      <c r="AK177">
        <f>IF(AB177&lt;&gt;"OK","",14-SUMPRODUCT(--T177:Z177))</f>
        <v/>
      </c>
      <c r="AL177" s="33">
        <f>IF(AB177&lt;&gt;"OK","",AS177*AT177/60)</f>
        <v/>
      </c>
      <c r="AM177" s="34">
        <f>IF(A177="","",UPPER(TRIM(ASC(A177&amp;""))))</f>
        <v/>
      </c>
      <c r="AN177" s="34">
        <f>IF(AM177="","",AM177&amp;"-"&amp;B177)</f>
        <v/>
      </c>
      <c r="AO177" s="34">
        <f>IF(C177="","",IFERROR(VALUE(ASC(SUBSTITUTE(C177&amp;"","観点",""))),""))</f>
        <v/>
      </c>
      <c r="AP177" s="34">
        <f>IF(D177="","",IFERROR(VALUE(LEFT(TRIM(ASC(D177&amp;"")),1)),IFERROR(MATCH(TRIM(D177&amp;""),'M2_区分マスタ'!$I$5:$I$10,0),"")))</f>
        <v/>
      </c>
      <c r="AQ177" s="34">
        <f>IF(H177="","",UPPER(LEFT(TRIM(ASC(H177&amp;"")),3)))</f>
        <v/>
      </c>
      <c r="AR177" s="34">
        <f>IF(N177="","",IFERROR(VALUE(SUBSTITUTE(SUBSTITUTE(SUBSTITUTE(SUBSTITUTE(SUBSTITUTE(SUBSTITUTE(SUBSTITUTE(SUBSTITUTE(SUBSTITUTE(SUBSTITUTE(SUBSTITUTE(SUBSTITUTE(ASC(N177&amp;""),"約",""),"程度",""),"ほど",""),"回",""),"毎",""),"週",""),"月",""),"年",""),"日",""),"に",""),"/","")," ","")),""))</f>
        <v/>
      </c>
      <c r="AS177" s="34">
        <f>IF(N177="","",IF(ISNUMBER(N177),N177,IFERROR(VALUE(ASC(N177&amp;"")),IF(AR177&lt;&gt;"",AR177*IF(ISNUMBER(SEARCH("週",N177)),4.3,IF(ISNUMBER(SEARCH("年",N177)),1/12,IF(ISNUMBER(SEARCH("日",N177)),20,1))),IF(ISNUMBER(SEARCH("日",N177)),20,IF(ISNUMBER(SEARCH("週",N177)),4.3,IF(ISNUMBER(SEARCH("月",N177)),1,"")))))))</f>
        <v/>
      </c>
      <c r="AT177" s="34">
        <f>IF(O177="","",IF(ISNUMBER(O177),O177,IFERROR(VALUE(ASC(O177&amp;"")),IF(ISNUMBER(SEARCH("時間",O177)),IFERROR(VALUE(SUBSTITUTE(SUBSTITUTE(SUBSTITUTE(SUBSTITUTE(SUBSTITUTE(ASC(O177&amp;""),"約",""),"程度",""),"ほど",""),"時間","")," ",""))*60,""),IFERROR(VALUE(SUBSTITUTE(SUBSTITUTE(SUBSTITUTE(SUBSTITUTE(SUBSTITUTE(ASC(O177&amp;""),"約",""),"程度",""),"ほど",""),"分","")," ","")),"")))))</f>
        <v/>
      </c>
      <c r="AU177" s="34">
        <f>IF(P177="","",IF(ISNUMBER(P177),P177,IFERROR(VALUE(SUBSTITUTE(SUBSTITUTE(SUBSTITUTE(ASC(P177&amp;""),"約",""),"件","")," ","")),"")))</f>
        <v/>
      </c>
      <c r="AV177" s="34">
        <f>IF(AB177&lt;&gt;"OK","",IF(COUNTIFS($G$5:$G$404,G177&amp;"",$F$5:$F$404,F177&amp;"",$BE$5:$BE$404,BE177&amp;"",$AB$5:$AB$404,"OK")&gt;1,"同名あり",""))</f>
        <v/>
      </c>
      <c r="AW177" s="35">
        <f>IF(Q177="","",IF(ISNUMBER(Q177),Q177,IFERROR(DATEVALUE(SUBSTITUTE(SUBSTITUTE(ASC(Q177&amp;""),"-","/"),".","/")&amp;"/01"),"")))</f>
        <v/>
      </c>
      <c r="AX177" s="35">
        <f>IF(R177="","",IF(ISNUMBER(R177),R177,IFERROR(DATEVALUE(SUBSTITUTE(SUBSTITUTE(ASC(R177&amp;""),"-","/"),".","/")&amp;"/01"),"")))</f>
        <v/>
      </c>
      <c r="AY177" s="34">
        <f>IF(OR(AB177&lt;&gt;"OK",AW177=""),"",IF(AW177&gt;='01_設定'!$C$26,1,0))</f>
        <v/>
      </c>
      <c r="AZ177" s="34">
        <f>IF(AND(AB177="OK",AD177&lt;&gt;"除外"),COUNTIFS($AB$5:AB177,"OK",$AD$5:AD177,"&lt;&gt;除外"),"")</f>
        <v/>
      </c>
      <c r="BA177" s="34">
        <f>IF(OR(AZ177="",AI177=""),"",AI177+ROW()/1000000000)</f>
        <v/>
      </c>
      <c r="BB177" s="34">
        <f>IF(E177="","",IF(OR(TRIM(E177&amp;"")="-",TRIM(E177&amp;"")="－",TRIM(E177&amp;"")="ー"),"",TRIM(E177&amp;"")))</f>
        <v/>
      </c>
      <c r="BC177" s="34">
        <f>IF(AND(AB177="OK",BB177&lt;&gt;""),IF(COUNTIFS($BB$5:BB177,BB177,$AB$5:AB177,"OK")=1,1,""),"")</f>
        <v/>
      </c>
      <c r="BD177" s="34">
        <f>IF(BC177=1,COUNTIF($BC$5:BC177,1),"")</f>
        <v/>
      </c>
      <c r="BE177" s="34">
        <f>IF(BB177="","",IFERROR(INDEX('06_顧客別集計'!$G$5:$G$104,MATCH(BB177,'06_顧客別集計'!$C$5:$C$104,0)),BB177))</f>
        <v/>
      </c>
      <c r="BF177" s="34">
        <f>IF(AND(AZ177&lt;&gt;"",BE177&lt;&gt;""),IF(COUNTIFS($BE$5:BE177,BE177,$AZ$5:AZ177,"&gt;0")=1,1,""),"")</f>
        <v/>
      </c>
      <c r="BG177" s="34">
        <f>IF(BF177=1,COUNTIF($BF$5:BF177,1),"")</f>
        <v/>
      </c>
    </row>
    <row r="178">
      <c r="AB178">
        <f>IF(AND(A178="",G178=""),"",IF(ISNUMBER(SEARCH("##END",AM178)),"（終わりの印）",IF(ISNUMBER(SEARCH("##続き",AM178)),"（続きありの印）",IF(AM178="調査ID","（見出し行）",IF(AND(AM178&lt;&gt;"R1",AM178&lt;&gt;"R2"),"×表以外の行（集計されない）",IF(COUNTIF($AN$5:AN178,AN178)&gt;1,"△重複（集計されない）",IF(G178="","△タスク名なし",IF(ISNA(MATCH(AQ178,'M1_類型マスタ'!$A$5:$A$19,0)),"△類型が不正",IF(OR(AP178="",N(AP178)&lt;1,N(AP178)&gt;6),"△業務区分が不正",IF(OR(AS178="",AT178=""),"△回数・分が読めない",IF(SUMPRODUCT(--ISNUMBER(--T178:Z178))&lt;7,"△採点が足りない",IF(SUMPRODUCT((--T178:Z178&gt;2)+(--T178:Z178&lt;0))&gt;0,"△採点が範囲外","OK"))))))))))))</f>
        <v/>
      </c>
      <c r="AC178">
        <f>IF(AB178&lt;&gt;"OK","",TRIM(IF(AND(AU178&lt;&gt;"",N(AU178)&lt;=1),"根拠1件 ","")&amp;IF(AV178&lt;&gt;"","同名あり ","")&amp;IF(AND(NOT(ISNUMBER(N178)),N178&lt;&gt;""),"回数を換算 ","")&amp;IF(J178="","詳細なし ","")&amp;IF(AND(N(AP178)=1,BB178=""),"顧客名なし ","")))</f>
        <v/>
      </c>
      <c r="AD178" s="31" t="n"/>
      <c r="AE178" s="32" t="n"/>
      <c r="AF178" s="32" t="n"/>
      <c r="AG178" s="31" t="n"/>
      <c r="AH178">
        <f>IF(AB178&lt;&gt;"OK","",IF(AG178&lt;&gt;"",AG178,AJ178))</f>
        <v/>
      </c>
      <c r="AI178" s="33">
        <f>IF(AB178&lt;&gt;"OK","",IFERROR(IF(AE178&lt;&gt;"",AE178,AS178)*IF(AF178&lt;&gt;"",AF178,AT178)/60,""))</f>
        <v/>
      </c>
      <c r="AJ178">
        <f>IF(AB178&lt;&gt;"OK","",IF(OR(VALUE(T178)=2,VALUE(U178)=2,VALUE(V178)=2),"社内残置",IF(AND(VALUE(T178)=0,VALUE(W178)=0,VALUE(Y178)=0),"自動化候補",IF(AND(VALUE(U178)=0,VALUE(W178)&lt;=1,VALUE(X178)&lt;=1,VALUE(Y178)&lt;=1,VALUE(Z178)&lt;=1),"オフショア候補",IF(AND(VALUE(Y178)&lt;=1,VALUE(Z178)&lt;=1),"ニアショア候補","社内で手順化→再評価")))))</f>
        <v/>
      </c>
      <c r="AK178">
        <f>IF(AB178&lt;&gt;"OK","",14-SUMPRODUCT(--T178:Z178))</f>
        <v/>
      </c>
      <c r="AL178" s="33">
        <f>IF(AB178&lt;&gt;"OK","",AS178*AT178/60)</f>
        <v/>
      </c>
      <c r="AM178" s="34">
        <f>IF(A178="","",UPPER(TRIM(ASC(A178&amp;""))))</f>
        <v/>
      </c>
      <c r="AN178" s="34">
        <f>IF(AM178="","",AM178&amp;"-"&amp;B178)</f>
        <v/>
      </c>
      <c r="AO178" s="34">
        <f>IF(C178="","",IFERROR(VALUE(ASC(SUBSTITUTE(C178&amp;"","観点",""))),""))</f>
        <v/>
      </c>
      <c r="AP178" s="34">
        <f>IF(D178="","",IFERROR(VALUE(LEFT(TRIM(ASC(D178&amp;"")),1)),IFERROR(MATCH(TRIM(D178&amp;""),'M2_区分マスタ'!$I$5:$I$10,0),"")))</f>
        <v/>
      </c>
      <c r="AQ178" s="34">
        <f>IF(H178="","",UPPER(LEFT(TRIM(ASC(H178&amp;"")),3)))</f>
        <v/>
      </c>
      <c r="AR178" s="34">
        <f>IF(N178="","",IFERROR(VALUE(SUBSTITUTE(SUBSTITUTE(SUBSTITUTE(SUBSTITUTE(SUBSTITUTE(SUBSTITUTE(SUBSTITUTE(SUBSTITUTE(SUBSTITUTE(SUBSTITUTE(SUBSTITUTE(SUBSTITUTE(ASC(N178&amp;""),"約",""),"程度",""),"ほど",""),"回",""),"毎",""),"週",""),"月",""),"年",""),"日",""),"に",""),"/","")," ","")),""))</f>
        <v/>
      </c>
      <c r="AS178" s="34">
        <f>IF(N178="","",IF(ISNUMBER(N178),N178,IFERROR(VALUE(ASC(N178&amp;"")),IF(AR178&lt;&gt;"",AR178*IF(ISNUMBER(SEARCH("週",N178)),4.3,IF(ISNUMBER(SEARCH("年",N178)),1/12,IF(ISNUMBER(SEARCH("日",N178)),20,1))),IF(ISNUMBER(SEARCH("日",N178)),20,IF(ISNUMBER(SEARCH("週",N178)),4.3,IF(ISNUMBER(SEARCH("月",N178)),1,"")))))))</f>
        <v/>
      </c>
      <c r="AT178" s="34">
        <f>IF(O178="","",IF(ISNUMBER(O178),O178,IFERROR(VALUE(ASC(O178&amp;"")),IF(ISNUMBER(SEARCH("時間",O178)),IFERROR(VALUE(SUBSTITUTE(SUBSTITUTE(SUBSTITUTE(SUBSTITUTE(SUBSTITUTE(ASC(O178&amp;""),"約",""),"程度",""),"ほど",""),"時間","")," ",""))*60,""),IFERROR(VALUE(SUBSTITUTE(SUBSTITUTE(SUBSTITUTE(SUBSTITUTE(SUBSTITUTE(ASC(O178&amp;""),"約",""),"程度",""),"ほど",""),"分","")," ","")),"")))))</f>
        <v/>
      </c>
      <c r="AU178" s="34">
        <f>IF(P178="","",IF(ISNUMBER(P178),P178,IFERROR(VALUE(SUBSTITUTE(SUBSTITUTE(SUBSTITUTE(ASC(P178&amp;""),"約",""),"件","")," ","")),"")))</f>
        <v/>
      </c>
      <c r="AV178" s="34">
        <f>IF(AB178&lt;&gt;"OK","",IF(COUNTIFS($G$5:$G$404,G178&amp;"",$F$5:$F$404,F178&amp;"",$BE$5:$BE$404,BE178&amp;"",$AB$5:$AB$404,"OK")&gt;1,"同名あり",""))</f>
        <v/>
      </c>
      <c r="AW178" s="35">
        <f>IF(Q178="","",IF(ISNUMBER(Q178),Q178,IFERROR(DATEVALUE(SUBSTITUTE(SUBSTITUTE(ASC(Q178&amp;""),"-","/"),".","/")&amp;"/01"),"")))</f>
        <v/>
      </c>
      <c r="AX178" s="35">
        <f>IF(R178="","",IF(ISNUMBER(R178),R178,IFERROR(DATEVALUE(SUBSTITUTE(SUBSTITUTE(ASC(R178&amp;""),"-","/"),".","/")&amp;"/01"),"")))</f>
        <v/>
      </c>
      <c r="AY178" s="34">
        <f>IF(OR(AB178&lt;&gt;"OK",AW178=""),"",IF(AW178&gt;='01_設定'!$C$26,1,0))</f>
        <v/>
      </c>
      <c r="AZ178" s="34">
        <f>IF(AND(AB178="OK",AD178&lt;&gt;"除外"),COUNTIFS($AB$5:AB178,"OK",$AD$5:AD178,"&lt;&gt;除外"),"")</f>
        <v/>
      </c>
      <c r="BA178" s="34">
        <f>IF(OR(AZ178="",AI178=""),"",AI178+ROW()/1000000000)</f>
        <v/>
      </c>
      <c r="BB178" s="34">
        <f>IF(E178="","",IF(OR(TRIM(E178&amp;"")="-",TRIM(E178&amp;"")="－",TRIM(E178&amp;"")="ー"),"",TRIM(E178&amp;"")))</f>
        <v/>
      </c>
      <c r="BC178" s="34">
        <f>IF(AND(AB178="OK",BB178&lt;&gt;""),IF(COUNTIFS($BB$5:BB178,BB178,$AB$5:AB178,"OK")=1,1,""),"")</f>
        <v/>
      </c>
      <c r="BD178" s="34">
        <f>IF(BC178=1,COUNTIF($BC$5:BC178,1),"")</f>
        <v/>
      </c>
      <c r="BE178" s="34">
        <f>IF(BB178="","",IFERROR(INDEX('06_顧客別集計'!$G$5:$G$104,MATCH(BB178,'06_顧客別集計'!$C$5:$C$104,0)),BB178))</f>
        <v/>
      </c>
      <c r="BF178" s="34">
        <f>IF(AND(AZ178&lt;&gt;"",BE178&lt;&gt;""),IF(COUNTIFS($BE$5:BE178,BE178,$AZ$5:AZ178,"&gt;0")=1,1,""),"")</f>
        <v/>
      </c>
      <c r="BG178" s="34">
        <f>IF(BF178=1,COUNTIF($BF$5:BF178,1),"")</f>
        <v/>
      </c>
    </row>
    <row r="179">
      <c r="AB179">
        <f>IF(AND(A179="",G179=""),"",IF(ISNUMBER(SEARCH("##END",AM179)),"（終わりの印）",IF(ISNUMBER(SEARCH("##続き",AM179)),"（続きありの印）",IF(AM179="調査ID","（見出し行）",IF(AND(AM179&lt;&gt;"R1",AM179&lt;&gt;"R2"),"×表以外の行（集計されない）",IF(COUNTIF($AN$5:AN179,AN179)&gt;1,"△重複（集計されない）",IF(G179="","△タスク名なし",IF(ISNA(MATCH(AQ179,'M1_類型マスタ'!$A$5:$A$19,0)),"△類型が不正",IF(OR(AP179="",N(AP179)&lt;1,N(AP179)&gt;6),"△業務区分が不正",IF(OR(AS179="",AT179=""),"△回数・分が読めない",IF(SUMPRODUCT(--ISNUMBER(--T179:Z179))&lt;7,"△採点が足りない",IF(SUMPRODUCT((--T179:Z179&gt;2)+(--T179:Z179&lt;0))&gt;0,"△採点が範囲外","OK"))))))))))))</f>
        <v/>
      </c>
      <c r="AC179">
        <f>IF(AB179&lt;&gt;"OK","",TRIM(IF(AND(AU179&lt;&gt;"",N(AU179)&lt;=1),"根拠1件 ","")&amp;IF(AV179&lt;&gt;"","同名あり ","")&amp;IF(AND(NOT(ISNUMBER(N179)),N179&lt;&gt;""),"回数を換算 ","")&amp;IF(J179="","詳細なし ","")&amp;IF(AND(N(AP179)=1,BB179=""),"顧客名なし ","")))</f>
        <v/>
      </c>
      <c r="AD179" s="31" t="n"/>
      <c r="AE179" s="32" t="n"/>
      <c r="AF179" s="32" t="n"/>
      <c r="AG179" s="31" t="n"/>
      <c r="AH179">
        <f>IF(AB179&lt;&gt;"OK","",IF(AG179&lt;&gt;"",AG179,AJ179))</f>
        <v/>
      </c>
      <c r="AI179" s="33">
        <f>IF(AB179&lt;&gt;"OK","",IFERROR(IF(AE179&lt;&gt;"",AE179,AS179)*IF(AF179&lt;&gt;"",AF179,AT179)/60,""))</f>
        <v/>
      </c>
      <c r="AJ179">
        <f>IF(AB179&lt;&gt;"OK","",IF(OR(VALUE(T179)=2,VALUE(U179)=2,VALUE(V179)=2),"社内残置",IF(AND(VALUE(T179)=0,VALUE(W179)=0,VALUE(Y179)=0),"自動化候補",IF(AND(VALUE(U179)=0,VALUE(W179)&lt;=1,VALUE(X179)&lt;=1,VALUE(Y179)&lt;=1,VALUE(Z179)&lt;=1),"オフショア候補",IF(AND(VALUE(Y179)&lt;=1,VALUE(Z179)&lt;=1),"ニアショア候補","社内で手順化→再評価")))))</f>
        <v/>
      </c>
      <c r="AK179">
        <f>IF(AB179&lt;&gt;"OK","",14-SUMPRODUCT(--T179:Z179))</f>
        <v/>
      </c>
      <c r="AL179" s="33">
        <f>IF(AB179&lt;&gt;"OK","",AS179*AT179/60)</f>
        <v/>
      </c>
      <c r="AM179" s="34">
        <f>IF(A179="","",UPPER(TRIM(ASC(A179&amp;""))))</f>
        <v/>
      </c>
      <c r="AN179" s="34">
        <f>IF(AM179="","",AM179&amp;"-"&amp;B179)</f>
        <v/>
      </c>
      <c r="AO179" s="34">
        <f>IF(C179="","",IFERROR(VALUE(ASC(SUBSTITUTE(C179&amp;"","観点",""))),""))</f>
        <v/>
      </c>
      <c r="AP179" s="34">
        <f>IF(D179="","",IFERROR(VALUE(LEFT(TRIM(ASC(D179&amp;"")),1)),IFERROR(MATCH(TRIM(D179&amp;""),'M2_区分マスタ'!$I$5:$I$10,0),"")))</f>
        <v/>
      </c>
      <c r="AQ179" s="34">
        <f>IF(H179="","",UPPER(LEFT(TRIM(ASC(H179&amp;"")),3)))</f>
        <v/>
      </c>
      <c r="AR179" s="34">
        <f>IF(N179="","",IFERROR(VALUE(SUBSTITUTE(SUBSTITUTE(SUBSTITUTE(SUBSTITUTE(SUBSTITUTE(SUBSTITUTE(SUBSTITUTE(SUBSTITUTE(SUBSTITUTE(SUBSTITUTE(SUBSTITUTE(SUBSTITUTE(ASC(N179&amp;""),"約",""),"程度",""),"ほど",""),"回",""),"毎",""),"週",""),"月",""),"年",""),"日",""),"に",""),"/","")," ","")),""))</f>
        <v/>
      </c>
      <c r="AS179" s="34">
        <f>IF(N179="","",IF(ISNUMBER(N179),N179,IFERROR(VALUE(ASC(N179&amp;"")),IF(AR179&lt;&gt;"",AR179*IF(ISNUMBER(SEARCH("週",N179)),4.3,IF(ISNUMBER(SEARCH("年",N179)),1/12,IF(ISNUMBER(SEARCH("日",N179)),20,1))),IF(ISNUMBER(SEARCH("日",N179)),20,IF(ISNUMBER(SEARCH("週",N179)),4.3,IF(ISNUMBER(SEARCH("月",N179)),1,"")))))))</f>
        <v/>
      </c>
      <c r="AT179" s="34">
        <f>IF(O179="","",IF(ISNUMBER(O179),O179,IFERROR(VALUE(ASC(O179&amp;"")),IF(ISNUMBER(SEARCH("時間",O179)),IFERROR(VALUE(SUBSTITUTE(SUBSTITUTE(SUBSTITUTE(SUBSTITUTE(SUBSTITUTE(ASC(O179&amp;""),"約",""),"程度",""),"ほど",""),"時間","")," ",""))*60,""),IFERROR(VALUE(SUBSTITUTE(SUBSTITUTE(SUBSTITUTE(SUBSTITUTE(SUBSTITUTE(ASC(O179&amp;""),"約",""),"程度",""),"ほど",""),"分","")," ","")),"")))))</f>
        <v/>
      </c>
      <c r="AU179" s="34">
        <f>IF(P179="","",IF(ISNUMBER(P179),P179,IFERROR(VALUE(SUBSTITUTE(SUBSTITUTE(SUBSTITUTE(ASC(P179&amp;""),"約",""),"件","")," ","")),"")))</f>
        <v/>
      </c>
      <c r="AV179" s="34">
        <f>IF(AB179&lt;&gt;"OK","",IF(COUNTIFS($G$5:$G$404,G179&amp;"",$F$5:$F$404,F179&amp;"",$BE$5:$BE$404,BE179&amp;"",$AB$5:$AB$404,"OK")&gt;1,"同名あり",""))</f>
        <v/>
      </c>
      <c r="AW179" s="35">
        <f>IF(Q179="","",IF(ISNUMBER(Q179),Q179,IFERROR(DATEVALUE(SUBSTITUTE(SUBSTITUTE(ASC(Q179&amp;""),"-","/"),".","/")&amp;"/01"),"")))</f>
        <v/>
      </c>
      <c r="AX179" s="35">
        <f>IF(R179="","",IF(ISNUMBER(R179),R179,IFERROR(DATEVALUE(SUBSTITUTE(SUBSTITUTE(ASC(R179&amp;""),"-","/"),".","/")&amp;"/01"),"")))</f>
        <v/>
      </c>
      <c r="AY179" s="34">
        <f>IF(OR(AB179&lt;&gt;"OK",AW179=""),"",IF(AW179&gt;='01_設定'!$C$26,1,0))</f>
        <v/>
      </c>
      <c r="AZ179" s="34">
        <f>IF(AND(AB179="OK",AD179&lt;&gt;"除外"),COUNTIFS($AB$5:AB179,"OK",$AD$5:AD179,"&lt;&gt;除外"),"")</f>
        <v/>
      </c>
      <c r="BA179" s="34">
        <f>IF(OR(AZ179="",AI179=""),"",AI179+ROW()/1000000000)</f>
        <v/>
      </c>
      <c r="BB179" s="34">
        <f>IF(E179="","",IF(OR(TRIM(E179&amp;"")="-",TRIM(E179&amp;"")="－",TRIM(E179&amp;"")="ー"),"",TRIM(E179&amp;"")))</f>
        <v/>
      </c>
      <c r="BC179" s="34">
        <f>IF(AND(AB179="OK",BB179&lt;&gt;""),IF(COUNTIFS($BB$5:BB179,BB179,$AB$5:AB179,"OK")=1,1,""),"")</f>
        <v/>
      </c>
      <c r="BD179" s="34">
        <f>IF(BC179=1,COUNTIF($BC$5:BC179,1),"")</f>
        <v/>
      </c>
      <c r="BE179" s="34">
        <f>IF(BB179="","",IFERROR(INDEX('06_顧客別集計'!$G$5:$G$104,MATCH(BB179,'06_顧客別集計'!$C$5:$C$104,0)),BB179))</f>
        <v/>
      </c>
      <c r="BF179" s="34">
        <f>IF(AND(AZ179&lt;&gt;"",BE179&lt;&gt;""),IF(COUNTIFS($BE$5:BE179,BE179,$AZ$5:AZ179,"&gt;0")=1,1,""),"")</f>
        <v/>
      </c>
      <c r="BG179" s="34">
        <f>IF(BF179=1,COUNTIF($BF$5:BF179,1),"")</f>
        <v/>
      </c>
    </row>
    <row r="180">
      <c r="AB180">
        <f>IF(AND(A180="",G180=""),"",IF(ISNUMBER(SEARCH("##END",AM180)),"（終わりの印）",IF(ISNUMBER(SEARCH("##続き",AM180)),"（続きありの印）",IF(AM180="調査ID","（見出し行）",IF(AND(AM180&lt;&gt;"R1",AM180&lt;&gt;"R2"),"×表以外の行（集計されない）",IF(COUNTIF($AN$5:AN180,AN180)&gt;1,"△重複（集計されない）",IF(G180="","△タスク名なし",IF(ISNA(MATCH(AQ180,'M1_類型マスタ'!$A$5:$A$19,0)),"△類型が不正",IF(OR(AP180="",N(AP180)&lt;1,N(AP180)&gt;6),"△業務区分が不正",IF(OR(AS180="",AT180=""),"△回数・分が読めない",IF(SUMPRODUCT(--ISNUMBER(--T180:Z180))&lt;7,"△採点が足りない",IF(SUMPRODUCT((--T180:Z180&gt;2)+(--T180:Z180&lt;0))&gt;0,"△採点が範囲外","OK"))))))))))))</f>
        <v/>
      </c>
      <c r="AC180">
        <f>IF(AB180&lt;&gt;"OK","",TRIM(IF(AND(AU180&lt;&gt;"",N(AU180)&lt;=1),"根拠1件 ","")&amp;IF(AV180&lt;&gt;"","同名あり ","")&amp;IF(AND(NOT(ISNUMBER(N180)),N180&lt;&gt;""),"回数を換算 ","")&amp;IF(J180="","詳細なし ","")&amp;IF(AND(N(AP180)=1,BB180=""),"顧客名なし ","")))</f>
        <v/>
      </c>
      <c r="AD180" s="31" t="n"/>
      <c r="AE180" s="32" t="n"/>
      <c r="AF180" s="32" t="n"/>
      <c r="AG180" s="31" t="n"/>
      <c r="AH180">
        <f>IF(AB180&lt;&gt;"OK","",IF(AG180&lt;&gt;"",AG180,AJ180))</f>
        <v/>
      </c>
      <c r="AI180" s="33">
        <f>IF(AB180&lt;&gt;"OK","",IFERROR(IF(AE180&lt;&gt;"",AE180,AS180)*IF(AF180&lt;&gt;"",AF180,AT180)/60,""))</f>
        <v/>
      </c>
      <c r="AJ180">
        <f>IF(AB180&lt;&gt;"OK","",IF(OR(VALUE(T180)=2,VALUE(U180)=2,VALUE(V180)=2),"社内残置",IF(AND(VALUE(T180)=0,VALUE(W180)=0,VALUE(Y180)=0),"自動化候補",IF(AND(VALUE(U180)=0,VALUE(W180)&lt;=1,VALUE(X180)&lt;=1,VALUE(Y180)&lt;=1,VALUE(Z180)&lt;=1),"オフショア候補",IF(AND(VALUE(Y180)&lt;=1,VALUE(Z180)&lt;=1),"ニアショア候補","社内で手順化→再評価")))))</f>
        <v/>
      </c>
      <c r="AK180">
        <f>IF(AB180&lt;&gt;"OK","",14-SUMPRODUCT(--T180:Z180))</f>
        <v/>
      </c>
      <c r="AL180" s="33">
        <f>IF(AB180&lt;&gt;"OK","",AS180*AT180/60)</f>
        <v/>
      </c>
      <c r="AM180" s="34">
        <f>IF(A180="","",UPPER(TRIM(ASC(A180&amp;""))))</f>
        <v/>
      </c>
      <c r="AN180" s="34">
        <f>IF(AM180="","",AM180&amp;"-"&amp;B180)</f>
        <v/>
      </c>
      <c r="AO180" s="34">
        <f>IF(C180="","",IFERROR(VALUE(ASC(SUBSTITUTE(C180&amp;"","観点",""))),""))</f>
        <v/>
      </c>
      <c r="AP180" s="34">
        <f>IF(D180="","",IFERROR(VALUE(LEFT(TRIM(ASC(D180&amp;"")),1)),IFERROR(MATCH(TRIM(D180&amp;""),'M2_区分マスタ'!$I$5:$I$10,0),"")))</f>
        <v/>
      </c>
      <c r="AQ180" s="34">
        <f>IF(H180="","",UPPER(LEFT(TRIM(ASC(H180&amp;"")),3)))</f>
        <v/>
      </c>
      <c r="AR180" s="34">
        <f>IF(N180="","",IFERROR(VALUE(SUBSTITUTE(SUBSTITUTE(SUBSTITUTE(SUBSTITUTE(SUBSTITUTE(SUBSTITUTE(SUBSTITUTE(SUBSTITUTE(SUBSTITUTE(SUBSTITUTE(SUBSTITUTE(SUBSTITUTE(ASC(N180&amp;""),"約",""),"程度",""),"ほど",""),"回",""),"毎",""),"週",""),"月",""),"年",""),"日",""),"に",""),"/","")," ","")),""))</f>
        <v/>
      </c>
      <c r="AS180" s="34">
        <f>IF(N180="","",IF(ISNUMBER(N180),N180,IFERROR(VALUE(ASC(N180&amp;"")),IF(AR180&lt;&gt;"",AR180*IF(ISNUMBER(SEARCH("週",N180)),4.3,IF(ISNUMBER(SEARCH("年",N180)),1/12,IF(ISNUMBER(SEARCH("日",N180)),20,1))),IF(ISNUMBER(SEARCH("日",N180)),20,IF(ISNUMBER(SEARCH("週",N180)),4.3,IF(ISNUMBER(SEARCH("月",N180)),1,"")))))))</f>
        <v/>
      </c>
      <c r="AT180" s="34">
        <f>IF(O180="","",IF(ISNUMBER(O180),O180,IFERROR(VALUE(ASC(O180&amp;"")),IF(ISNUMBER(SEARCH("時間",O180)),IFERROR(VALUE(SUBSTITUTE(SUBSTITUTE(SUBSTITUTE(SUBSTITUTE(SUBSTITUTE(ASC(O180&amp;""),"約",""),"程度",""),"ほど",""),"時間","")," ",""))*60,""),IFERROR(VALUE(SUBSTITUTE(SUBSTITUTE(SUBSTITUTE(SUBSTITUTE(SUBSTITUTE(ASC(O180&amp;""),"約",""),"程度",""),"ほど",""),"分","")," ","")),"")))))</f>
        <v/>
      </c>
      <c r="AU180" s="34">
        <f>IF(P180="","",IF(ISNUMBER(P180),P180,IFERROR(VALUE(SUBSTITUTE(SUBSTITUTE(SUBSTITUTE(ASC(P180&amp;""),"約",""),"件","")," ","")),"")))</f>
        <v/>
      </c>
      <c r="AV180" s="34">
        <f>IF(AB180&lt;&gt;"OK","",IF(COUNTIFS($G$5:$G$404,G180&amp;"",$F$5:$F$404,F180&amp;"",$BE$5:$BE$404,BE180&amp;"",$AB$5:$AB$404,"OK")&gt;1,"同名あり",""))</f>
        <v/>
      </c>
      <c r="AW180" s="35">
        <f>IF(Q180="","",IF(ISNUMBER(Q180),Q180,IFERROR(DATEVALUE(SUBSTITUTE(SUBSTITUTE(ASC(Q180&amp;""),"-","/"),".","/")&amp;"/01"),"")))</f>
        <v/>
      </c>
      <c r="AX180" s="35">
        <f>IF(R180="","",IF(ISNUMBER(R180),R180,IFERROR(DATEVALUE(SUBSTITUTE(SUBSTITUTE(ASC(R180&amp;""),"-","/"),".","/")&amp;"/01"),"")))</f>
        <v/>
      </c>
      <c r="AY180" s="34">
        <f>IF(OR(AB180&lt;&gt;"OK",AW180=""),"",IF(AW180&gt;='01_設定'!$C$26,1,0))</f>
        <v/>
      </c>
      <c r="AZ180" s="34">
        <f>IF(AND(AB180="OK",AD180&lt;&gt;"除外"),COUNTIFS($AB$5:AB180,"OK",$AD$5:AD180,"&lt;&gt;除外"),"")</f>
        <v/>
      </c>
      <c r="BA180" s="34">
        <f>IF(OR(AZ180="",AI180=""),"",AI180+ROW()/1000000000)</f>
        <v/>
      </c>
      <c r="BB180" s="34">
        <f>IF(E180="","",IF(OR(TRIM(E180&amp;"")="-",TRIM(E180&amp;"")="－",TRIM(E180&amp;"")="ー"),"",TRIM(E180&amp;"")))</f>
        <v/>
      </c>
      <c r="BC180" s="34">
        <f>IF(AND(AB180="OK",BB180&lt;&gt;""),IF(COUNTIFS($BB$5:BB180,BB180,$AB$5:AB180,"OK")=1,1,""),"")</f>
        <v/>
      </c>
      <c r="BD180" s="34">
        <f>IF(BC180=1,COUNTIF($BC$5:BC180,1),"")</f>
        <v/>
      </c>
      <c r="BE180" s="34">
        <f>IF(BB180="","",IFERROR(INDEX('06_顧客別集計'!$G$5:$G$104,MATCH(BB180,'06_顧客別集計'!$C$5:$C$104,0)),BB180))</f>
        <v/>
      </c>
      <c r="BF180" s="34">
        <f>IF(AND(AZ180&lt;&gt;"",BE180&lt;&gt;""),IF(COUNTIFS($BE$5:BE180,BE180,$AZ$5:AZ180,"&gt;0")=1,1,""),"")</f>
        <v/>
      </c>
      <c r="BG180" s="34">
        <f>IF(BF180=1,COUNTIF($BF$5:BF180,1),"")</f>
        <v/>
      </c>
    </row>
    <row r="181">
      <c r="AB181">
        <f>IF(AND(A181="",G181=""),"",IF(ISNUMBER(SEARCH("##END",AM181)),"（終わりの印）",IF(ISNUMBER(SEARCH("##続き",AM181)),"（続きありの印）",IF(AM181="調査ID","（見出し行）",IF(AND(AM181&lt;&gt;"R1",AM181&lt;&gt;"R2"),"×表以外の行（集計されない）",IF(COUNTIF($AN$5:AN181,AN181)&gt;1,"△重複（集計されない）",IF(G181="","△タスク名なし",IF(ISNA(MATCH(AQ181,'M1_類型マスタ'!$A$5:$A$19,0)),"△類型が不正",IF(OR(AP181="",N(AP181)&lt;1,N(AP181)&gt;6),"△業務区分が不正",IF(OR(AS181="",AT181=""),"△回数・分が読めない",IF(SUMPRODUCT(--ISNUMBER(--T181:Z181))&lt;7,"△採点が足りない",IF(SUMPRODUCT((--T181:Z181&gt;2)+(--T181:Z181&lt;0))&gt;0,"△採点が範囲外","OK"))))))))))))</f>
        <v/>
      </c>
      <c r="AC181">
        <f>IF(AB181&lt;&gt;"OK","",TRIM(IF(AND(AU181&lt;&gt;"",N(AU181)&lt;=1),"根拠1件 ","")&amp;IF(AV181&lt;&gt;"","同名あり ","")&amp;IF(AND(NOT(ISNUMBER(N181)),N181&lt;&gt;""),"回数を換算 ","")&amp;IF(J181="","詳細なし ","")&amp;IF(AND(N(AP181)=1,BB181=""),"顧客名なし ","")))</f>
        <v/>
      </c>
      <c r="AD181" s="31" t="n"/>
      <c r="AE181" s="32" t="n"/>
      <c r="AF181" s="32" t="n"/>
      <c r="AG181" s="31" t="n"/>
      <c r="AH181">
        <f>IF(AB181&lt;&gt;"OK","",IF(AG181&lt;&gt;"",AG181,AJ181))</f>
        <v/>
      </c>
      <c r="AI181" s="33">
        <f>IF(AB181&lt;&gt;"OK","",IFERROR(IF(AE181&lt;&gt;"",AE181,AS181)*IF(AF181&lt;&gt;"",AF181,AT181)/60,""))</f>
        <v/>
      </c>
      <c r="AJ181">
        <f>IF(AB181&lt;&gt;"OK","",IF(OR(VALUE(T181)=2,VALUE(U181)=2,VALUE(V181)=2),"社内残置",IF(AND(VALUE(T181)=0,VALUE(W181)=0,VALUE(Y181)=0),"自動化候補",IF(AND(VALUE(U181)=0,VALUE(W181)&lt;=1,VALUE(X181)&lt;=1,VALUE(Y181)&lt;=1,VALUE(Z181)&lt;=1),"オフショア候補",IF(AND(VALUE(Y181)&lt;=1,VALUE(Z181)&lt;=1),"ニアショア候補","社内で手順化→再評価")))))</f>
        <v/>
      </c>
      <c r="AK181">
        <f>IF(AB181&lt;&gt;"OK","",14-SUMPRODUCT(--T181:Z181))</f>
        <v/>
      </c>
      <c r="AL181" s="33">
        <f>IF(AB181&lt;&gt;"OK","",AS181*AT181/60)</f>
        <v/>
      </c>
      <c r="AM181" s="34">
        <f>IF(A181="","",UPPER(TRIM(ASC(A181&amp;""))))</f>
        <v/>
      </c>
      <c r="AN181" s="34">
        <f>IF(AM181="","",AM181&amp;"-"&amp;B181)</f>
        <v/>
      </c>
      <c r="AO181" s="34">
        <f>IF(C181="","",IFERROR(VALUE(ASC(SUBSTITUTE(C181&amp;"","観点",""))),""))</f>
        <v/>
      </c>
      <c r="AP181" s="34">
        <f>IF(D181="","",IFERROR(VALUE(LEFT(TRIM(ASC(D181&amp;"")),1)),IFERROR(MATCH(TRIM(D181&amp;""),'M2_区分マスタ'!$I$5:$I$10,0),"")))</f>
        <v/>
      </c>
      <c r="AQ181" s="34">
        <f>IF(H181="","",UPPER(LEFT(TRIM(ASC(H181&amp;"")),3)))</f>
        <v/>
      </c>
      <c r="AR181" s="34">
        <f>IF(N181="","",IFERROR(VALUE(SUBSTITUTE(SUBSTITUTE(SUBSTITUTE(SUBSTITUTE(SUBSTITUTE(SUBSTITUTE(SUBSTITUTE(SUBSTITUTE(SUBSTITUTE(SUBSTITUTE(SUBSTITUTE(SUBSTITUTE(ASC(N181&amp;""),"約",""),"程度",""),"ほど",""),"回",""),"毎",""),"週",""),"月",""),"年",""),"日",""),"に",""),"/","")," ","")),""))</f>
        <v/>
      </c>
      <c r="AS181" s="34">
        <f>IF(N181="","",IF(ISNUMBER(N181),N181,IFERROR(VALUE(ASC(N181&amp;"")),IF(AR181&lt;&gt;"",AR181*IF(ISNUMBER(SEARCH("週",N181)),4.3,IF(ISNUMBER(SEARCH("年",N181)),1/12,IF(ISNUMBER(SEARCH("日",N181)),20,1))),IF(ISNUMBER(SEARCH("日",N181)),20,IF(ISNUMBER(SEARCH("週",N181)),4.3,IF(ISNUMBER(SEARCH("月",N181)),1,"")))))))</f>
        <v/>
      </c>
      <c r="AT181" s="34">
        <f>IF(O181="","",IF(ISNUMBER(O181),O181,IFERROR(VALUE(ASC(O181&amp;"")),IF(ISNUMBER(SEARCH("時間",O181)),IFERROR(VALUE(SUBSTITUTE(SUBSTITUTE(SUBSTITUTE(SUBSTITUTE(SUBSTITUTE(ASC(O181&amp;""),"約",""),"程度",""),"ほど",""),"時間","")," ",""))*60,""),IFERROR(VALUE(SUBSTITUTE(SUBSTITUTE(SUBSTITUTE(SUBSTITUTE(SUBSTITUTE(ASC(O181&amp;""),"約",""),"程度",""),"ほど",""),"分","")," ","")),"")))))</f>
        <v/>
      </c>
      <c r="AU181" s="34">
        <f>IF(P181="","",IF(ISNUMBER(P181),P181,IFERROR(VALUE(SUBSTITUTE(SUBSTITUTE(SUBSTITUTE(ASC(P181&amp;""),"約",""),"件","")," ","")),"")))</f>
        <v/>
      </c>
      <c r="AV181" s="34">
        <f>IF(AB181&lt;&gt;"OK","",IF(COUNTIFS($G$5:$G$404,G181&amp;"",$F$5:$F$404,F181&amp;"",$BE$5:$BE$404,BE181&amp;"",$AB$5:$AB$404,"OK")&gt;1,"同名あり",""))</f>
        <v/>
      </c>
      <c r="AW181" s="35">
        <f>IF(Q181="","",IF(ISNUMBER(Q181),Q181,IFERROR(DATEVALUE(SUBSTITUTE(SUBSTITUTE(ASC(Q181&amp;""),"-","/"),".","/")&amp;"/01"),"")))</f>
        <v/>
      </c>
      <c r="AX181" s="35">
        <f>IF(R181="","",IF(ISNUMBER(R181),R181,IFERROR(DATEVALUE(SUBSTITUTE(SUBSTITUTE(ASC(R181&amp;""),"-","/"),".","/")&amp;"/01"),"")))</f>
        <v/>
      </c>
      <c r="AY181" s="34">
        <f>IF(OR(AB181&lt;&gt;"OK",AW181=""),"",IF(AW181&gt;='01_設定'!$C$26,1,0))</f>
        <v/>
      </c>
      <c r="AZ181" s="34">
        <f>IF(AND(AB181="OK",AD181&lt;&gt;"除外"),COUNTIFS($AB$5:AB181,"OK",$AD$5:AD181,"&lt;&gt;除外"),"")</f>
        <v/>
      </c>
      <c r="BA181" s="34">
        <f>IF(OR(AZ181="",AI181=""),"",AI181+ROW()/1000000000)</f>
        <v/>
      </c>
      <c r="BB181" s="34">
        <f>IF(E181="","",IF(OR(TRIM(E181&amp;"")="-",TRIM(E181&amp;"")="－",TRIM(E181&amp;"")="ー"),"",TRIM(E181&amp;"")))</f>
        <v/>
      </c>
      <c r="BC181" s="34">
        <f>IF(AND(AB181="OK",BB181&lt;&gt;""),IF(COUNTIFS($BB$5:BB181,BB181,$AB$5:AB181,"OK")=1,1,""),"")</f>
        <v/>
      </c>
      <c r="BD181" s="34">
        <f>IF(BC181=1,COUNTIF($BC$5:BC181,1),"")</f>
        <v/>
      </c>
      <c r="BE181" s="34">
        <f>IF(BB181="","",IFERROR(INDEX('06_顧客別集計'!$G$5:$G$104,MATCH(BB181,'06_顧客別集計'!$C$5:$C$104,0)),BB181))</f>
        <v/>
      </c>
      <c r="BF181" s="34">
        <f>IF(AND(AZ181&lt;&gt;"",BE181&lt;&gt;""),IF(COUNTIFS($BE$5:BE181,BE181,$AZ$5:AZ181,"&gt;0")=1,1,""),"")</f>
        <v/>
      </c>
      <c r="BG181" s="34">
        <f>IF(BF181=1,COUNTIF($BF$5:BF181,1),"")</f>
        <v/>
      </c>
    </row>
    <row r="182">
      <c r="AB182">
        <f>IF(AND(A182="",G182=""),"",IF(ISNUMBER(SEARCH("##END",AM182)),"（終わりの印）",IF(ISNUMBER(SEARCH("##続き",AM182)),"（続きありの印）",IF(AM182="調査ID","（見出し行）",IF(AND(AM182&lt;&gt;"R1",AM182&lt;&gt;"R2"),"×表以外の行（集計されない）",IF(COUNTIF($AN$5:AN182,AN182)&gt;1,"△重複（集計されない）",IF(G182="","△タスク名なし",IF(ISNA(MATCH(AQ182,'M1_類型マスタ'!$A$5:$A$19,0)),"△類型が不正",IF(OR(AP182="",N(AP182)&lt;1,N(AP182)&gt;6),"△業務区分が不正",IF(OR(AS182="",AT182=""),"△回数・分が読めない",IF(SUMPRODUCT(--ISNUMBER(--T182:Z182))&lt;7,"△採点が足りない",IF(SUMPRODUCT((--T182:Z182&gt;2)+(--T182:Z182&lt;0))&gt;0,"△採点が範囲外","OK"))))))))))))</f>
        <v/>
      </c>
      <c r="AC182">
        <f>IF(AB182&lt;&gt;"OK","",TRIM(IF(AND(AU182&lt;&gt;"",N(AU182)&lt;=1),"根拠1件 ","")&amp;IF(AV182&lt;&gt;"","同名あり ","")&amp;IF(AND(NOT(ISNUMBER(N182)),N182&lt;&gt;""),"回数を換算 ","")&amp;IF(J182="","詳細なし ","")&amp;IF(AND(N(AP182)=1,BB182=""),"顧客名なし ","")))</f>
        <v/>
      </c>
      <c r="AD182" s="31" t="n"/>
      <c r="AE182" s="32" t="n"/>
      <c r="AF182" s="32" t="n"/>
      <c r="AG182" s="31" t="n"/>
      <c r="AH182">
        <f>IF(AB182&lt;&gt;"OK","",IF(AG182&lt;&gt;"",AG182,AJ182))</f>
        <v/>
      </c>
      <c r="AI182" s="33">
        <f>IF(AB182&lt;&gt;"OK","",IFERROR(IF(AE182&lt;&gt;"",AE182,AS182)*IF(AF182&lt;&gt;"",AF182,AT182)/60,""))</f>
        <v/>
      </c>
      <c r="AJ182">
        <f>IF(AB182&lt;&gt;"OK","",IF(OR(VALUE(T182)=2,VALUE(U182)=2,VALUE(V182)=2),"社内残置",IF(AND(VALUE(T182)=0,VALUE(W182)=0,VALUE(Y182)=0),"自動化候補",IF(AND(VALUE(U182)=0,VALUE(W182)&lt;=1,VALUE(X182)&lt;=1,VALUE(Y182)&lt;=1,VALUE(Z182)&lt;=1),"オフショア候補",IF(AND(VALUE(Y182)&lt;=1,VALUE(Z182)&lt;=1),"ニアショア候補","社内で手順化→再評価")))))</f>
        <v/>
      </c>
      <c r="AK182">
        <f>IF(AB182&lt;&gt;"OK","",14-SUMPRODUCT(--T182:Z182))</f>
        <v/>
      </c>
      <c r="AL182" s="33">
        <f>IF(AB182&lt;&gt;"OK","",AS182*AT182/60)</f>
        <v/>
      </c>
      <c r="AM182" s="34">
        <f>IF(A182="","",UPPER(TRIM(ASC(A182&amp;""))))</f>
        <v/>
      </c>
      <c r="AN182" s="34">
        <f>IF(AM182="","",AM182&amp;"-"&amp;B182)</f>
        <v/>
      </c>
      <c r="AO182" s="34">
        <f>IF(C182="","",IFERROR(VALUE(ASC(SUBSTITUTE(C182&amp;"","観点",""))),""))</f>
        <v/>
      </c>
      <c r="AP182" s="34">
        <f>IF(D182="","",IFERROR(VALUE(LEFT(TRIM(ASC(D182&amp;"")),1)),IFERROR(MATCH(TRIM(D182&amp;""),'M2_区分マスタ'!$I$5:$I$10,0),"")))</f>
        <v/>
      </c>
      <c r="AQ182" s="34">
        <f>IF(H182="","",UPPER(LEFT(TRIM(ASC(H182&amp;"")),3)))</f>
        <v/>
      </c>
      <c r="AR182" s="34">
        <f>IF(N182="","",IFERROR(VALUE(SUBSTITUTE(SUBSTITUTE(SUBSTITUTE(SUBSTITUTE(SUBSTITUTE(SUBSTITUTE(SUBSTITUTE(SUBSTITUTE(SUBSTITUTE(SUBSTITUTE(SUBSTITUTE(SUBSTITUTE(ASC(N182&amp;""),"約",""),"程度",""),"ほど",""),"回",""),"毎",""),"週",""),"月",""),"年",""),"日",""),"に",""),"/","")," ","")),""))</f>
        <v/>
      </c>
      <c r="AS182" s="34">
        <f>IF(N182="","",IF(ISNUMBER(N182),N182,IFERROR(VALUE(ASC(N182&amp;"")),IF(AR182&lt;&gt;"",AR182*IF(ISNUMBER(SEARCH("週",N182)),4.3,IF(ISNUMBER(SEARCH("年",N182)),1/12,IF(ISNUMBER(SEARCH("日",N182)),20,1))),IF(ISNUMBER(SEARCH("日",N182)),20,IF(ISNUMBER(SEARCH("週",N182)),4.3,IF(ISNUMBER(SEARCH("月",N182)),1,"")))))))</f>
        <v/>
      </c>
      <c r="AT182" s="34">
        <f>IF(O182="","",IF(ISNUMBER(O182),O182,IFERROR(VALUE(ASC(O182&amp;"")),IF(ISNUMBER(SEARCH("時間",O182)),IFERROR(VALUE(SUBSTITUTE(SUBSTITUTE(SUBSTITUTE(SUBSTITUTE(SUBSTITUTE(ASC(O182&amp;""),"約",""),"程度",""),"ほど",""),"時間","")," ",""))*60,""),IFERROR(VALUE(SUBSTITUTE(SUBSTITUTE(SUBSTITUTE(SUBSTITUTE(SUBSTITUTE(ASC(O182&amp;""),"約",""),"程度",""),"ほど",""),"分","")," ","")),"")))))</f>
        <v/>
      </c>
      <c r="AU182" s="34">
        <f>IF(P182="","",IF(ISNUMBER(P182),P182,IFERROR(VALUE(SUBSTITUTE(SUBSTITUTE(SUBSTITUTE(ASC(P182&amp;""),"約",""),"件","")," ","")),"")))</f>
        <v/>
      </c>
      <c r="AV182" s="34">
        <f>IF(AB182&lt;&gt;"OK","",IF(COUNTIFS($G$5:$G$404,G182&amp;"",$F$5:$F$404,F182&amp;"",$BE$5:$BE$404,BE182&amp;"",$AB$5:$AB$404,"OK")&gt;1,"同名あり",""))</f>
        <v/>
      </c>
      <c r="AW182" s="35">
        <f>IF(Q182="","",IF(ISNUMBER(Q182),Q182,IFERROR(DATEVALUE(SUBSTITUTE(SUBSTITUTE(ASC(Q182&amp;""),"-","/"),".","/")&amp;"/01"),"")))</f>
        <v/>
      </c>
      <c r="AX182" s="35">
        <f>IF(R182="","",IF(ISNUMBER(R182),R182,IFERROR(DATEVALUE(SUBSTITUTE(SUBSTITUTE(ASC(R182&amp;""),"-","/"),".","/")&amp;"/01"),"")))</f>
        <v/>
      </c>
      <c r="AY182" s="34">
        <f>IF(OR(AB182&lt;&gt;"OK",AW182=""),"",IF(AW182&gt;='01_設定'!$C$26,1,0))</f>
        <v/>
      </c>
      <c r="AZ182" s="34">
        <f>IF(AND(AB182="OK",AD182&lt;&gt;"除外"),COUNTIFS($AB$5:AB182,"OK",$AD$5:AD182,"&lt;&gt;除外"),"")</f>
        <v/>
      </c>
      <c r="BA182" s="34">
        <f>IF(OR(AZ182="",AI182=""),"",AI182+ROW()/1000000000)</f>
        <v/>
      </c>
      <c r="BB182" s="34">
        <f>IF(E182="","",IF(OR(TRIM(E182&amp;"")="-",TRIM(E182&amp;"")="－",TRIM(E182&amp;"")="ー"),"",TRIM(E182&amp;"")))</f>
        <v/>
      </c>
      <c r="BC182" s="34">
        <f>IF(AND(AB182="OK",BB182&lt;&gt;""),IF(COUNTIFS($BB$5:BB182,BB182,$AB$5:AB182,"OK")=1,1,""),"")</f>
        <v/>
      </c>
      <c r="BD182" s="34">
        <f>IF(BC182=1,COUNTIF($BC$5:BC182,1),"")</f>
        <v/>
      </c>
      <c r="BE182" s="34">
        <f>IF(BB182="","",IFERROR(INDEX('06_顧客別集計'!$G$5:$G$104,MATCH(BB182,'06_顧客別集計'!$C$5:$C$104,0)),BB182))</f>
        <v/>
      </c>
      <c r="BF182" s="34">
        <f>IF(AND(AZ182&lt;&gt;"",BE182&lt;&gt;""),IF(COUNTIFS($BE$5:BE182,BE182,$AZ$5:AZ182,"&gt;0")=1,1,""),"")</f>
        <v/>
      </c>
      <c r="BG182" s="34">
        <f>IF(BF182=1,COUNTIF($BF$5:BF182,1),"")</f>
        <v/>
      </c>
    </row>
    <row r="183">
      <c r="AB183">
        <f>IF(AND(A183="",G183=""),"",IF(ISNUMBER(SEARCH("##END",AM183)),"（終わりの印）",IF(ISNUMBER(SEARCH("##続き",AM183)),"（続きありの印）",IF(AM183="調査ID","（見出し行）",IF(AND(AM183&lt;&gt;"R1",AM183&lt;&gt;"R2"),"×表以外の行（集計されない）",IF(COUNTIF($AN$5:AN183,AN183)&gt;1,"△重複（集計されない）",IF(G183="","△タスク名なし",IF(ISNA(MATCH(AQ183,'M1_類型マスタ'!$A$5:$A$19,0)),"△類型が不正",IF(OR(AP183="",N(AP183)&lt;1,N(AP183)&gt;6),"△業務区分が不正",IF(OR(AS183="",AT183=""),"△回数・分が読めない",IF(SUMPRODUCT(--ISNUMBER(--T183:Z183))&lt;7,"△採点が足りない",IF(SUMPRODUCT((--T183:Z183&gt;2)+(--T183:Z183&lt;0))&gt;0,"△採点が範囲外","OK"))))))))))))</f>
        <v/>
      </c>
      <c r="AC183">
        <f>IF(AB183&lt;&gt;"OK","",TRIM(IF(AND(AU183&lt;&gt;"",N(AU183)&lt;=1),"根拠1件 ","")&amp;IF(AV183&lt;&gt;"","同名あり ","")&amp;IF(AND(NOT(ISNUMBER(N183)),N183&lt;&gt;""),"回数を換算 ","")&amp;IF(J183="","詳細なし ","")&amp;IF(AND(N(AP183)=1,BB183=""),"顧客名なし ","")))</f>
        <v/>
      </c>
      <c r="AD183" s="31" t="n"/>
      <c r="AE183" s="32" t="n"/>
      <c r="AF183" s="32" t="n"/>
      <c r="AG183" s="31" t="n"/>
      <c r="AH183">
        <f>IF(AB183&lt;&gt;"OK","",IF(AG183&lt;&gt;"",AG183,AJ183))</f>
        <v/>
      </c>
      <c r="AI183" s="33">
        <f>IF(AB183&lt;&gt;"OK","",IFERROR(IF(AE183&lt;&gt;"",AE183,AS183)*IF(AF183&lt;&gt;"",AF183,AT183)/60,""))</f>
        <v/>
      </c>
      <c r="AJ183">
        <f>IF(AB183&lt;&gt;"OK","",IF(OR(VALUE(T183)=2,VALUE(U183)=2,VALUE(V183)=2),"社内残置",IF(AND(VALUE(T183)=0,VALUE(W183)=0,VALUE(Y183)=0),"自動化候補",IF(AND(VALUE(U183)=0,VALUE(W183)&lt;=1,VALUE(X183)&lt;=1,VALUE(Y183)&lt;=1,VALUE(Z183)&lt;=1),"オフショア候補",IF(AND(VALUE(Y183)&lt;=1,VALUE(Z183)&lt;=1),"ニアショア候補","社内で手順化→再評価")))))</f>
        <v/>
      </c>
      <c r="AK183">
        <f>IF(AB183&lt;&gt;"OK","",14-SUMPRODUCT(--T183:Z183))</f>
        <v/>
      </c>
      <c r="AL183" s="33">
        <f>IF(AB183&lt;&gt;"OK","",AS183*AT183/60)</f>
        <v/>
      </c>
      <c r="AM183" s="34">
        <f>IF(A183="","",UPPER(TRIM(ASC(A183&amp;""))))</f>
        <v/>
      </c>
      <c r="AN183" s="34">
        <f>IF(AM183="","",AM183&amp;"-"&amp;B183)</f>
        <v/>
      </c>
      <c r="AO183" s="34">
        <f>IF(C183="","",IFERROR(VALUE(ASC(SUBSTITUTE(C183&amp;"","観点",""))),""))</f>
        <v/>
      </c>
      <c r="AP183" s="34">
        <f>IF(D183="","",IFERROR(VALUE(LEFT(TRIM(ASC(D183&amp;"")),1)),IFERROR(MATCH(TRIM(D183&amp;""),'M2_区分マスタ'!$I$5:$I$10,0),"")))</f>
        <v/>
      </c>
      <c r="AQ183" s="34">
        <f>IF(H183="","",UPPER(LEFT(TRIM(ASC(H183&amp;"")),3)))</f>
        <v/>
      </c>
      <c r="AR183" s="34">
        <f>IF(N183="","",IFERROR(VALUE(SUBSTITUTE(SUBSTITUTE(SUBSTITUTE(SUBSTITUTE(SUBSTITUTE(SUBSTITUTE(SUBSTITUTE(SUBSTITUTE(SUBSTITUTE(SUBSTITUTE(SUBSTITUTE(SUBSTITUTE(ASC(N183&amp;""),"約",""),"程度",""),"ほど",""),"回",""),"毎",""),"週",""),"月",""),"年",""),"日",""),"に",""),"/","")," ","")),""))</f>
        <v/>
      </c>
      <c r="AS183" s="34">
        <f>IF(N183="","",IF(ISNUMBER(N183),N183,IFERROR(VALUE(ASC(N183&amp;"")),IF(AR183&lt;&gt;"",AR183*IF(ISNUMBER(SEARCH("週",N183)),4.3,IF(ISNUMBER(SEARCH("年",N183)),1/12,IF(ISNUMBER(SEARCH("日",N183)),20,1))),IF(ISNUMBER(SEARCH("日",N183)),20,IF(ISNUMBER(SEARCH("週",N183)),4.3,IF(ISNUMBER(SEARCH("月",N183)),1,"")))))))</f>
        <v/>
      </c>
      <c r="AT183" s="34">
        <f>IF(O183="","",IF(ISNUMBER(O183),O183,IFERROR(VALUE(ASC(O183&amp;"")),IF(ISNUMBER(SEARCH("時間",O183)),IFERROR(VALUE(SUBSTITUTE(SUBSTITUTE(SUBSTITUTE(SUBSTITUTE(SUBSTITUTE(ASC(O183&amp;""),"約",""),"程度",""),"ほど",""),"時間","")," ",""))*60,""),IFERROR(VALUE(SUBSTITUTE(SUBSTITUTE(SUBSTITUTE(SUBSTITUTE(SUBSTITUTE(ASC(O183&amp;""),"約",""),"程度",""),"ほど",""),"分","")," ","")),"")))))</f>
        <v/>
      </c>
      <c r="AU183" s="34">
        <f>IF(P183="","",IF(ISNUMBER(P183),P183,IFERROR(VALUE(SUBSTITUTE(SUBSTITUTE(SUBSTITUTE(ASC(P183&amp;""),"約",""),"件","")," ","")),"")))</f>
        <v/>
      </c>
      <c r="AV183" s="34">
        <f>IF(AB183&lt;&gt;"OK","",IF(COUNTIFS($G$5:$G$404,G183&amp;"",$F$5:$F$404,F183&amp;"",$BE$5:$BE$404,BE183&amp;"",$AB$5:$AB$404,"OK")&gt;1,"同名あり",""))</f>
        <v/>
      </c>
      <c r="AW183" s="35">
        <f>IF(Q183="","",IF(ISNUMBER(Q183),Q183,IFERROR(DATEVALUE(SUBSTITUTE(SUBSTITUTE(ASC(Q183&amp;""),"-","/"),".","/")&amp;"/01"),"")))</f>
        <v/>
      </c>
      <c r="AX183" s="35">
        <f>IF(R183="","",IF(ISNUMBER(R183),R183,IFERROR(DATEVALUE(SUBSTITUTE(SUBSTITUTE(ASC(R183&amp;""),"-","/"),".","/")&amp;"/01"),"")))</f>
        <v/>
      </c>
      <c r="AY183" s="34">
        <f>IF(OR(AB183&lt;&gt;"OK",AW183=""),"",IF(AW183&gt;='01_設定'!$C$26,1,0))</f>
        <v/>
      </c>
      <c r="AZ183" s="34">
        <f>IF(AND(AB183="OK",AD183&lt;&gt;"除外"),COUNTIFS($AB$5:AB183,"OK",$AD$5:AD183,"&lt;&gt;除外"),"")</f>
        <v/>
      </c>
      <c r="BA183" s="34">
        <f>IF(OR(AZ183="",AI183=""),"",AI183+ROW()/1000000000)</f>
        <v/>
      </c>
      <c r="BB183" s="34">
        <f>IF(E183="","",IF(OR(TRIM(E183&amp;"")="-",TRIM(E183&amp;"")="－",TRIM(E183&amp;"")="ー"),"",TRIM(E183&amp;"")))</f>
        <v/>
      </c>
      <c r="BC183" s="34">
        <f>IF(AND(AB183="OK",BB183&lt;&gt;""),IF(COUNTIFS($BB$5:BB183,BB183,$AB$5:AB183,"OK")=1,1,""),"")</f>
        <v/>
      </c>
      <c r="BD183" s="34">
        <f>IF(BC183=1,COUNTIF($BC$5:BC183,1),"")</f>
        <v/>
      </c>
      <c r="BE183" s="34">
        <f>IF(BB183="","",IFERROR(INDEX('06_顧客別集計'!$G$5:$G$104,MATCH(BB183,'06_顧客別集計'!$C$5:$C$104,0)),BB183))</f>
        <v/>
      </c>
      <c r="BF183" s="34">
        <f>IF(AND(AZ183&lt;&gt;"",BE183&lt;&gt;""),IF(COUNTIFS($BE$5:BE183,BE183,$AZ$5:AZ183,"&gt;0")=1,1,""),"")</f>
        <v/>
      </c>
      <c r="BG183" s="34">
        <f>IF(BF183=1,COUNTIF($BF$5:BF183,1),"")</f>
        <v/>
      </c>
    </row>
    <row r="184">
      <c r="AB184">
        <f>IF(AND(A184="",G184=""),"",IF(ISNUMBER(SEARCH("##END",AM184)),"（終わりの印）",IF(ISNUMBER(SEARCH("##続き",AM184)),"（続きありの印）",IF(AM184="調査ID","（見出し行）",IF(AND(AM184&lt;&gt;"R1",AM184&lt;&gt;"R2"),"×表以外の行（集計されない）",IF(COUNTIF($AN$5:AN184,AN184)&gt;1,"△重複（集計されない）",IF(G184="","△タスク名なし",IF(ISNA(MATCH(AQ184,'M1_類型マスタ'!$A$5:$A$19,0)),"△類型が不正",IF(OR(AP184="",N(AP184)&lt;1,N(AP184)&gt;6),"△業務区分が不正",IF(OR(AS184="",AT184=""),"△回数・分が読めない",IF(SUMPRODUCT(--ISNUMBER(--T184:Z184))&lt;7,"△採点が足りない",IF(SUMPRODUCT((--T184:Z184&gt;2)+(--T184:Z184&lt;0))&gt;0,"△採点が範囲外","OK"))))))))))))</f>
        <v/>
      </c>
      <c r="AC184">
        <f>IF(AB184&lt;&gt;"OK","",TRIM(IF(AND(AU184&lt;&gt;"",N(AU184)&lt;=1),"根拠1件 ","")&amp;IF(AV184&lt;&gt;"","同名あり ","")&amp;IF(AND(NOT(ISNUMBER(N184)),N184&lt;&gt;""),"回数を換算 ","")&amp;IF(J184="","詳細なし ","")&amp;IF(AND(N(AP184)=1,BB184=""),"顧客名なし ","")))</f>
        <v/>
      </c>
      <c r="AD184" s="31" t="n"/>
      <c r="AE184" s="32" t="n"/>
      <c r="AF184" s="32" t="n"/>
      <c r="AG184" s="31" t="n"/>
      <c r="AH184">
        <f>IF(AB184&lt;&gt;"OK","",IF(AG184&lt;&gt;"",AG184,AJ184))</f>
        <v/>
      </c>
      <c r="AI184" s="33">
        <f>IF(AB184&lt;&gt;"OK","",IFERROR(IF(AE184&lt;&gt;"",AE184,AS184)*IF(AF184&lt;&gt;"",AF184,AT184)/60,""))</f>
        <v/>
      </c>
      <c r="AJ184">
        <f>IF(AB184&lt;&gt;"OK","",IF(OR(VALUE(T184)=2,VALUE(U184)=2,VALUE(V184)=2),"社内残置",IF(AND(VALUE(T184)=0,VALUE(W184)=0,VALUE(Y184)=0),"自動化候補",IF(AND(VALUE(U184)=0,VALUE(W184)&lt;=1,VALUE(X184)&lt;=1,VALUE(Y184)&lt;=1,VALUE(Z184)&lt;=1),"オフショア候補",IF(AND(VALUE(Y184)&lt;=1,VALUE(Z184)&lt;=1),"ニアショア候補","社内で手順化→再評価")))))</f>
        <v/>
      </c>
      <c r="AK184">
        <f>IF(AB184&lt;&gt;"OK","",14-SUMPRODUCT(--T184:Z184))</f>
        <v/>
      </c>
      <c r="AL184" s="33">
        <f>IF(AB184&lt;&gt;"OK","",AS184*AT184/60)</f>
        <v/>
      </c>
      <c r="AM184" s="34">
        <f>IF(A184="","",UPPER(TRIM(ASC(A184&amp;""))))</f>
        <v/>
      </c>
      <c r="AN184" s="34">
        <f>IF(AM184="","",AM184&amp;"-"&amp;B184)</f>
        <v/>
      </c>
      <c r="AO184" s="34">
        <f>IF(C184="","",IFERROR(VALUE(ASC(SUBSTITUTE(C184&amp;"","観点",""))),""))</f>
        <v/>
      </c>
      <c r="AP184" s="34">
        <f>IF(D184="","",IFERROR(VALUE(LEFT(TRIM(ASC(D184&amp;"")),1)),IFERROR(MATCH(TRIM(D184&amp;""),'M2_区分マスタ'!$I$5:$I$10,0),"")))</f>
        <v/>
      </c>
      <c r="AQ184" s="34">
        <f>IF(H184="","",UPPER(LEFT(TRIM(ASC(H184&amp;"")),3)))</f>
        <v/>
      </c>
      <c r="AR184" s="34">
        <f>IF(N184="","",IFERROR(VALUE(SUBSTITUTE(SUBSTITUTE(SUBSTITUTE(SUBSTITUTE(SUBSTITUTE(SUBSTITUTE(SUBSTITUTE(SUBSTITUTE(SUBSTITUTE(SUBSTITUTE(SUBSTITUTE(SUBSTITUTE(ASC(N184&amp;""),"約",""),"程度",""),"ほど",""),"回",""),"毎",""),"週",""),"月",""),"年",""),"日",""),"に",""),"/","")," ","")),""))</f>
        <v/>
      </c>
      <c r="AS184" s="34">
        <f>IF(N184="","",IF(ISNUMBER(N184),N184,IFERROR(VALUE(ASC(N184&amp;"")),IF(AR184&lt;&gt;"",AR184*IF(ISNUMBER(SEARCH("週",N184)),4.3,IF(ISNUMBER(SEARCH("年",N184)),1/12,IF(ISNUMBER(SEARCH("日",N184)),20,1))),IF(ISNUMBER(SEARCH("日",N184)),20,IF(ISNUMBER(SEARCH("週",N184)),4.3,IF(ISNUMBER(SEARCH("月",N184)),1,"")))))))</f>
        <v/>
      </c>
      <c r="AT184" s="34">
        <f>IF(O184="","",IF(ISNUMBER(O184),O184,IFERROR(VALUE(ASC(O184&amp;"")),IF(ISNUMBER(SEARCH("時間",O184)),IFERROR(VALUE(SUBSTITUTE(SUBSTITUTE(SUBSTITUTE(SUBSTITUTE(SUBSTITUTE(ASC(O184&amp;""),"約",""),"程度",""),"ほど",""),"時間","")," ",""))*60,""),IFERROR(VALUE(SUBSTITUTE(SUBSTITUTE(SUBSTITUTE(SUBSTITUTE(SUBSTITUTE(ASC(O184&amp;""),"約",""),"程度",""),"ほど",""),"分","")," ","")),"")))))</f>
        <v/>
      </c>
      <c r="AU184" s="34">
        <f>IF(P184="","",IF(ISNUMBER(P184),P184,IFERROR(VALUE(SUBSTITUTE(SUBSTITUTE(SUBSTITUTE(ASC(P184&amp;""),"約",""),"件","")," ","")),"")))</f>
        <v/>
      </c>
      <c r="AV184" s="34">
        <f>IF(AB184&lt;&gt;"OK","",IF(COUNTIFS($G$5:$G$404,G184&amp;"",$F$5:$F$404,F184&amp;"",$BE$5:$BE$404,BE184&amp;"",$AB$5:$AB$404,"OK")&gt;1,"同名あり",""))</f>
        <v/>
      </c>
      <c r="AW184" s="35">
        <f>IF(Q184="","",IF(ISNUMBER(Q184),Q184,IFERROR(DATEVALUE(SUBSTITUTE(SUBSTITUTE(ASC(Q184&amp;""),"-","/"),".","/")&amp;"/01"),"")))</f>
        <v/>
      </c>
      <c r="AX184" s="35">
        <f>IF(R184="","",IF(ISNUMBER(R184),R184,IFERROR(DATEVALUE(SUBSTITUTE(SUBSTITUTE(ASC(R184&amp;""),"-","/"),".","/")&amp;"/01"),"")))</f>
        <v/>
      </c>
      <c r="AY184" s="34">
        <f>IF(OR(AB184&lt;&gt;"OK",AW184=""),"",IF(AW184&gt;='01_設定'!$C$26,1,0))</f>
        <v/>
      </c>
      <c r="AZ184" s="34">
        <f>IF(AND(AB184="OK",AD184&lt;&gt;"除外"),COUNTIFS($AB$5:AB184,"OK",$AD$5:AD184,"&lt;&gt;除外"),"")</f>
        <v/>
      </c>
      <c r="BA184" s="34">
        <f>IF(OR(AZ184="",AI184=""),"",AI184+ROW()/1000000000)</f>
        <v/>
      </c>
      <c r="BB184" s="34">
        <f>IF(E184="","",IF(OR(TRIM(E184&amp;"")="-",TRIM(E184&amp;"")="－",TRIM(E184&amp;"")="ー"),"",TRIM(E184&amp;"")))</f>
        <v/>
      </c>
      <c r="BC184" s="34">
        <f>IF(AND(AB184="OK",BB184&lt;&gt;""),IF(COUNTIFS($BB$5:BB184,BB184,$AB$5:AB184,"OK")=1,1,""),"")</f>
        <v/>
      </c>
      <c r="BD184" s="34">
        <f>IF(BC184=1,COUNTIF($BC$5:BC184,1),"")</f>
        <v/>
      </c>
      <c r="BE184" s="34">
        <f>IF(BB184="","",IFERROR(INDEX('06_顧客別集計'!$G$5:$G$104,MATCH(BB184,'06_顧客別集計'!$C$5:$C$104,0)),BB184))</f>
        <v/>
      </c>
      <c r="BF184" s="34">
        <f>IF(AND(AZ184&lt;&gt;"",BE184&lt;&gt;""),IF(COUNTIFS($BE$5:BE184,BE184,$AZ$5:AZ184,"&gt;0")=1,1,""),"")</f>
        <v/>
      </c>
      <c r="BG184" s="34">
        <f>IF(BF184=1,COUNTIF($BF$5:BF184,1),"")</f>
        <v/>
      </c>
    </row>
    <row r="185">
      <c r="AB185">
        <f>IF(AND(A185="",G185=""),"",IF(ISNUMBER(SEARCH("##END",AM185)),"（終わりの印）",IF(ISNUMBER(SEARCH("##続き",AM185)),"（続きありの印）",IF(AM185="調査ID","（見出し行）",IF(AND(AM185&lt;&gt;"R1",AM185&lt;&gt;"R2"),"×表以外の行（集計されない）",IF(COUNTIF($AN$5:AN185,AN185)&gt;1,"△重複（集計されない）",IF(G185="","△タスク名なし",IF(ISNA(MATCH(AQ185,'M1_類型マスタ'!$A$5:$A$19,0)),"△類型が不正",IF(OR(AP185="",N(AP185)&lt;1,N(AP185)&gt;6),"△業務区分が不正",IF(OR(AS185="",AT185=""),"△回数・分が読めない",IF(SUMPRODUCT(--ISNUMBER(--T185:Z185))&lt;7,"△採点が足りない",IF(SUMPRODUCT((--T185:Z185&gt;2)+(--T185:Z185&lt;0))&gt;0,"△採点が範囲外","OK"))))))))))))</f>
        <v/>
      </c>
      <c r="AC185">
        <f>IF(AB185&lt;&gt;"OK","",TRIM(IF(AND(AU185&lt;&gt;"",N(AU185)&lt;=1),"根拠1件 ","")&amp;IF(AV185&lt;&gt;"","同名あり ","")&amp;IF(AND(NOT(ISNUMBER(N185)),N185&lt;&gt;""),"回数を換算 ","")&amp;IF(J185="","詳細なし ","")&amp;IF(AND(N(AP185)=1,BB185=""),"顧客名なし ","")))</f>
        <v/>
      </c>
      <c r="AD185" s="31" t="n"/>
      <c r="AE185" s="32" t="n"/>
      <c r="AF185" s="32" t="n"/>
      <c r="AG185" s="31" t="n"/>
      <c r="AH185">
        <f>IF(AB185&lt;&gt;"OK","",IF(AG185&lt;&gt;"",AG185,AJ185))</f>
        <v/>
      </c>
      <c r="AI185" s="33">
        <f>IF(AB185&lt;&gt;"OK","",IFERROR(IF(AE185&lt;&gt;"",AE185,AS185)*IF(AF185&lt;&gt;"",AF185,AT185)/60,""))</f>
        <v/>
      </c>
      <c r="AJ185">
        <f>IF(AB185&lt;&gt;"OK","",IF(OR(VALUE(T185)=2,VALUE(U185)=2,VALUE(V185)=2),"社内残置",IF(AND(VALUE(T185)=0,VALUE(W185)=0,VALUE(Y185)=0),"自動化候補",IF(AND(VALUE(U185)=0,VALUE(W185)&lt;=1,VALUE(X185)&lt;=1,VALUE(Y185)&lt;=1,VALUE(Z185)&lt;=1),"オフショア候補",IF(AND(VALUE(Y185)&lt;=1,VALUE(Z185)&lt;=1),"ニアショア候補","社内で手順化→再評価")))))</f>
        <v/>
      </c>
      <c r="AK185">
        <f>IF(AB185&lt;&gt;"OK","",14-SUMPRODUCT(--T185:Z185))</f>
        <v/>
      </c>
      <c r="AL185" s="33">
        <f>IF(AB185&lt;&gt;"OK","",AS185*AT185/60)</f>
        <v/>
      </c>
      <c r="AM185" s="34">
        <f>IF(A185="","",UPPER(TRIM(ASC(A185&amp;""))))</f>
        <v/>
      </c>
      <c r="AN185" s="34">
        <f>IF(AM185="","",AM185&amp;"-"&amp;B185)</f>
        <v/>
      </c>
      <c r="AO185" s="34">
        <f>IF(C185="","",IFERROR(VALUE(ASC(SUBSTITUTE(C185&amp;"","観点",""))),""))</f>
        <v/>
      </c>
      <c r="AP185" s="34">
        <f>IF(D185="","",IFERROR(VALUE(LEFT(TRIM(ASC(D185&amp;"")),1)),IFERROR(MATCH(TRIM(D185&amp;""),'M2_区分マスタ'!$I$5:$I$10,0),"")))</f>
        <v/>
      </c>
      <c r="AQ185" s="34">
        <f>IF(H185="","",UPPER(LEFT(TRIM(ASC(H185&amp;"")),3)))</f>
        <v/>
      </c>
      <c r="AR185" s="34">
        <f>IF(N185="","",IFERROR(VALUE(SUBSTITUTE(SUBSTITUTE(SUBSTITUTE(SUBSTITUTE(SUBSTITUTE(SUBSTITUTE(SUBSTITUTE(SUBSTITUTE(SUBSTITUTE(SUBSTITUTE(SUBSTITUTE(SUBSTITUTE(ASC(N185&amp;""),"約",""),"程度",""),"ほど",""),"回",""),"毎",""),"週",""),"月",""),"年",""),"日",""),"に",""),"/","")," ","")),""))</f>
        <v/>
      </c>
      <c r="AS185" s="34">
        <f>IF(N185="","",IF(ISNUMBER(N185),N185,IFERROR(VALUE(ASC(N185&amp;"")),IF(AR185&lt;&gt;"",AR185*IF(ISNUMBER(SEARCH("週",N185)),4.3,IF(ISNUMBER(SEARCH("年",N185)),1/12,IF(ISNUMBER(SEARCH("日",N185)),20,1))),IF(ISNUMBER(SEARCH("日",N185)),20,IF(ISNUMBER(SEARCH("週",N185)),4.3,IF(ISNUMBER(SEARCH("月",N185)),1,"")))))))</f>
        <v/>
      </c>
      <c r="AT185" s="34">
        <f>IF(O185="","",IF(ISNUMBER(O185),O185,IFERROR(VALUE(ASC(O185&amp;"")),IF(ISNUMBER(SEARCH("時間",O185)),IFERROR(VALUE(SUBSTITUTE(SUBSTITUTE(SUBSTITUTE(SUBSTITUTE(SUBSTITUTE(ASC(O185&amp;""),"約",""),"程度",""),"ほど",""),"時間","")," ",""))*60,""),IFERROR(VALUE(SUBSTITUTE(SUBSTITUTE(SUBSTITUTE(SUBSTITUTE(SUBSTITUTE(ASC(O185&amp;""),"約",""),"程度",""),"ほど",""),"分","")," ","")),"")))))</f>
        <v/>
      </c>
      <c r="AU185" s="34">
        <f>IF(P185="","",IF(ISNUMBER(P185),P185,IFERROR(VALUE(SUBSTITUTE(SUBSTITUTE(SUBSTITUTE(ASC(P185&amp;""),"約",""),"件","")," ","")),"")))</f>
        <v/>
      </c>
      <c r="AV185" s="34">
        <f>IF(AB185&lt;&gt;"OK","",IF(COUNTIFS($G$5:$G$404,G185&amp;"",$F$5:$F$404,F185&amp;"",$BE$5:$BE$404,BE185&amp;"",$AB$5:$AB$404,"OK")&gt;1,"同名あり",""))</f>
        <v/>
      </c>
      <c r="AW185" s="35">
        <f>IF(Q185="","",IF(ISNUMBER(Q185),Q185,IFERROR(DATEVALUE(SUBSTITUTE(SUBSTITUTE(ASC(Q185&amp;""),"-","/"),".","/")&amp;"/01"),"")))</f>
        <v/>
      </c>
      <c r="AX185" s="35">
        <f>IF(R185="","",IF(ISNUMBER(R185),R185,IFERROR(DATEVALUE(SUBSTITUTE(SUBSTITUTE(ASC(R185&amp;""),"-","/"),".","/")&amp;"/01"),"")))</f>
        <v/>
      </c>
      <c r="AY185" s="34">
        <f>IF(OR(AB185&lt;&gt;"OK",AW185=""),"",IF(AW185&gt;='01_設定'!$C$26,1,0))</f>
        <v/>
      </c>
      <c r="AZ185" s="34">
        <f>IF(AND(AB185="OK",AD185&lt;&gt;"除外"),COUNTIFS($AB$5:AB185,"OK",$AD$5:AD185,"&lt;&gt;除外"),"")</f>
        <v/>
      </c>
      <c r="BA185" s="34">
        <f>IF(OR(AZ185="",AI185=""),"",AI185+ROW()/1000000000)</f>
        <v/>
      </c>
      <c r="BB185" s="34">
        <f>IF(E185="","",IF(OR(TRIM(E185&amp;"")="-",TRIM(E185&amp;"")="－",TRIM(E185&amp;"")="ー"),"",TRIM(E185&amp;"")))</f>
        <v/>
      </c>
      <c r="BC185" s="34">
        <f>IF(AND(AB185="OK",BB185&lt;&gt;""),IF(COUNTIFS($BB$5:BB185,BB185,$AB$5:AB185,"OK")=1,1,""),"")</f>
        <v/>
      </c>
      <c r="BD185" s="34">
        <f>IF(BC185=1,COUNTIF($BC$5:BC185,1),"")</f>
        <v/>
      </c>
      <c r="BE185" s="34">
        <f>IF(BB185="","",IFERROR(INDEX('06_顧客別集計'!$G$5:$G$104,MATCH(BB185,'06_顧客別集計'!$C$5:$C$104,0)),BB185))</f>
        <v/>
      </c>
      <c r="BF185" s="34">
        <f>IF(AND(AZ185&lt;&gt;"",BE185&lt;&gt;""),IF(COUNTIFS($BE$5:BE185,BE185,$AZ$5:AZ185,"&gt;0")=1,1,""),"")</f>
        <v/>
      </c>
      <c r="BG185" s="34">
        <f>IF(BF185=1,COUNTIF($BF$5:BF185,1),"")</f>
        <v/>
      </c>
    </row>
    <row r="186">
      <c r="AB186">
        <f>IF(AND(A186="",G186=""),"",IF(ISNUMBER(SEARCH("##END",AM186)),"（終わりの印）",IF(ISNUMBER(SEARCH("##続き",AM186)),"（続きありの印）",IF(AM186="調査ID","（見出し行）",IF(AND(AM186&lt;&gt;"R1",AM186&lt;&gt;"R2"),"×表以外の行（集計されない）",IF(COUNTIF($AN$5:AN186,AN186)&gt;1,"△重複（集計されない）",IF(G186="","△タスク名なし",IF(ISNA(MATCH(AQ186,'M1_類型マスタ'!$A$5:$A$19,0)),"△類型が不正",IF(OR(AP186="",N(AP186)&lt;1,N(AP186)&gt;6),"△業務区分が不正",IF(OR(AS186="",AT186=""),"△回数・分が読めない",IF(SUMPRODUCT(--ISNUMBER(--T186:Z186))&lt;7,"△採点が足りない",IF(SUMPRODUCT((--T186:Z186&gt;2)+(--T186:Z186&lt;0))&gt;0,"△採点が範囲外","OK"))))))))))))</f>
        <v/>
      </c>
      <c r="AC186">
        <f>IF(AB186&lt;&gt;"OK","",TRIM(IF(AND(AU186&lt;&gt;"",N(AU186)&lt;=1),"根拠1件 ","")&amp;IF(AV186&lt;&gt;"","同名あり ","")&amp;IF(AND(NOT(ISNUMBER(N186)),N186&lt;&gt;""),"回数を換算 ","")&amp;IF(J186="","詳細なし ","")&amp;IF(AND(N(AP186)=1,BB186=""),"顧客名なし ","")))</f>
        <v/>
      </c>
      <c r="AD186" s="31" t="n"/>
      <c r="AE186" s="32" t="n"/>
      <c r="AF186" s="32" t="n"/>
      <c r="AG186" s="31" t="n"/>
      <c r="AH186">
        <f>IF(AB186&lt;&gt;"OK","",IF(AG186&lt;&gt;"",AG186,AJ186))</f>
        <v/>
      </c>
      <c r="AI186" s="33">
        <f>IF(AB186&lt;&gt;"OK","",IFERROR(IF(AE186&lt;&gt;"",AE186,AS186)*IF(AF186&lt;&gt;"",AF186,AT186)/60,""))</f>
        <v/>
      </c>
      <c r="AJ186">
        <f>IF(AB186&lt;&gt;"OK","",IF(OR(VALUE(T186)=2,VALUE(U186)=2,VALUE(V186)=2),"社内残置",IF(AND(VALUE(T186)=0,VALUE(W186)=0,VALUE(Y186)=0),"自動化候補",IF(AND(VALUE(U186)=0,VALUE(W186)&lt;=1,VALUE(X186)&lt;=1,VALUE(Y186)&lt;=1,VALUE(Z186)&lt;=1),"オフショア候補",IF(AND(VALUE(Y186)&lt;=1,VALUE(Z186)&lt;=1),"ニアショア候補","社内で手順化→再評価")))))</f>
        <v/>
      </c>
      <c r="AK186">
        <f>IF(AB186&lt;&gt;"OK","",14-SUMPRODUCT(--T186:Z186))</f>
        <v/>
      </c>
      <c r="AL186" s="33">
        <f>IF(AB186&lt;&gt;"OK","",AS186*AT186/60)</f>
        <v/>
      </c>
      <c r="AM186" s="34">
        <f>IF(A186="","",UPPER(TRIM(ASC(A186&amp;""))))</f>
        <v/>
      </c>
      <c r="AN186" s="34">
        <f>IF(AM186="","",AM186&amp;"-"&amp;B186)</f>
        <v/>
      </c>
      <c r="AO186" s="34">
        <f>IF(C186="","",IFERROR(VALUE(ASC(SUBSTITUTE(C186&amp;"","観点",""))),""))</f>
        <v/>
      </c>
      <c r="AP186" s="34">
        <f>IF(D186="","",IFERROR(VALUE(LEFT(TRIM(ASC(D186&amp;"")),1)),IFERROR(MATCH(TRIM(D186&amp;""),'M2_区分マスタ'!$I$5:$I$10,0),"")))</f>
        <v/>
      </c>
      <c r="AQ186" s="34">
        <f>IF(H186="","",UPPER(LEFT(TRIM(ASC(H186&amp;"")),3)))</f>
        <v/>
      </c>
      <c r="AR186" s="34">
        <f>IF(N186="","",IFERROR(VALUE(SUBSTITUTE(SUBSTITUTE(SUBSTITUTE(SUBSTITUTE(SUBSTITUTE(SUBSTITUTE(SUBSTITUTE(SUBSTITUTE(SUBSTITUTE(SUBSTITUTE(SUBSTITUTE(SUBSTITUTE(ASC(N186&amp;""),"約",""),"程度",""),"ほど",""),"回",""),"毎",""),"週",""),"月",""),"年",""),"日",""),"に",""),"/","")," ","")),""))</f>
        <v/>
      </c>
      <c r="AS186" s="34">
        <f>IF(N186="","",IF(ISNUMBER(N186),N186,IFERROR(VALUE(ASC(N186&amp;"")),IF(AR186&lt;&gt;"",AR186*IF(ISNUMBER(SEARCH("週",N186)),4.3,IF(ISNUMBER(SEARCH("年",N186)),1/12,IF(ISNUMBER(SEARCH("日",N186)),20,1))),IF(ISNUMBER(SEARCH("日",N186)),20,IF(ISNUMBER(SEARCH("週",N186)),4.3,IF(ISNUMBER(SEARCH("月",N186)),1,"")))))))</f>
        <v/>
      </c>
      <c r="AT186" s="34">
        <f>IF(O186="","",IF(ISNUMBER(O186),O186,IFERROR(VALUE(ASC(O186&amp;"")),IF(ISNUMBER(SEARCH("時間",O186)),IFERROR(VALUE(SUBSTITUTE(SUBSTITUTE(SUBSTITUTE(SUBSTITUTE(SUBSTITUTE(ASC(O186&amp;""),"約",""),"程度",""),"ほど",""),"時間","")," ",""))*60,""),IFERROR(VALUE(SUBSTITUTE(SUBSTITUTE(SUBSTITUTE(SUBSTITUTE(SUBSTITUTE(ASC(O186&amp;""),"約",""),"程度",""),"ほど",""),"分","")," ","")),"")))))</f>
        <v/>
      </c>
      <c r="AU186" s="34">
        <f>IF(P186="","",IF(ISNUMBER(P186),P186,IFERROR(VALUE(SUBSTITUTE(SUBSTITUTE(SUBSTITUTE(ASC(P186&amp;""),"約",""),"件","")," ","")),"")))</f>
        <v/>
      </c>
      <c r="AV186" s="34">
        <f>IF(AB186&lt;&gt;"OK","",IF(COUNTIFS($G$5:$G$404,G186&amp;"",$F$5:$F$404,F186&amp;"",$BE$5:$BE$404,BE186&amp;"",$AB$5:$AB$404,"OK")&gt;1,"同名あり",""))</f>
        <v/>
      </c>
      <c r="AW186" s="35">
        <f>IF(Q186="","",IF(ISNUMBER(Q186),Q186,IFERROR(DATEVALUE(SUBSTITUTE(SUBSTITUTE(ASC(Q186&amp;""),"-","/"),".","/")&amp;"/01"),"")))</f>
        <v/>
      </c>
      <c r="AX186" s="35">
        <f>IF(R186="","",IF(ISNUMBER(R186),R186,IFERROR(DATEVALUE(SUBSTITUTE(SUBSTITUTE(ASC(R186&amp;""),"-","/"),".","/")&amp;"/01"),"")))</f>
        <v/>
      </c>
      <c r="AY186" s="34">
        <f>IF(OR(AB186&lt;&gt;"OK",AW186=""),"",IF(AW186&gt;='01_設定'!$C$26,1,0))</f>
        <v/>
      </c>
      <c r="AZ186" s="34">
        <f>IF(AND(AB186="OK",AD186&lt;&gt;"除外"),COUNTIFS($AB$5:AB186,"OK",$AD$5:AD186,"&lt;&gt;除外"),"")</f>
        <v/>
      </c>
      <c r="BA186" s="34">
        <f>IF(OR(AZ186="",AI186=""),"",AI186+ROW()/1000000000)</f>
        <v/>
      </c>
      <c r="BB186" s="34">
        <f>IF(E186="","",IF(OR(TRIM(E186&amp;"")="-",TRIM(E186&amp;"")="－",TRIM(E186&amp;"")="ー"),"",TRIM(E186&amp;"")))</f>
        <v/>
      </c>
      <c r="BC186" s="34">
        <f>IF(AND(AB186="OK",BB186&lt;&gt;""),IF(COUNTIFS($BB$5:BB186,BB186,$AB$5:AB186,"OK")=1,1,""),"")</f>
        <v/>
      </c>
      <c r="BD186" s="34">
        <f>IF(BC186=1,COUNTIF($BC$5:BC186,1),"")</f>
        <v/>
      </c>
      <c r="BE186" s="34">
        <f>IF(BB186="","",IFERROR(INDEX('06_顧客別集計'!$G$5:$G$104,MATCH(BB186,'06_顧客別集計'!$C$5:$C$104,0)),BB186))</f>
        <v/>
      </c>
      <c r="BF186" s="34">
        <f>IF(AND(AZ186&lt;&gt;"",BE186&lt;&gt;""),IF(COUNTIFS($BE$5:BE186,BE186,$AZ$5:AZ186,"&gt;0")=1,1,""),"")</f>
        <v/>
      </c>
      <c r="BG186" s="34">
        <f>IF(BF186=1,COUNTIF($BF$5:BF186,1),"")</f>
        <v/>
      </c>
    </row>
    <row r="187">
      <c r="AB187">
        <f>IF(AND(A187="",G187=""),"",IF(ISNUMBER(SEARCH("##END",AM187)),"（終わりの印）",IF(ISNUMBER(SEARCH("##続き",AM187)),"（続きありの印）",IF(AM187="調査ID","（見出し行）",IF(AND(AM187&lt;&gt;"R1",AM187&lt;&gt;"R2"),"×表以外の行（集計されない）",IF(COUNTIF($AN$5:AN187,AN187)&gt;1,"△重複（集計されない）",IF(G187="","△タスク名なし",IF(ISNA(MATCH(AQ187,'M1_類型マスタ'!$A$5:$A$19,0)),"△類型が不正",IF(OR(AP187="",N(AP187)&lt;1,N(AP187)&gt;6),"△業務区分が不正",IF(OR(AS187="",AT187=""),"△回数・分が読めない",IF(SUMPRODUCT(--ISNUMBER(--T187:Z187))&lt;7,"△採点が足りない",IF(SUMPRODUCT((--T187:Z187&gt;2)+(--T187:Z187&lt;0))&gt;0,"△採点が範囲外","OK"))))))))))))</f>
        <v/>
      </c>
      <c r="AC187">
        <f>IF(AB187&lt;&gt;"OK","",TRIM(IF(AND(AU187&lt;&gt;"",N(AU187)&lt;=1),"根拠1件 ","")&amp;IF(AV187&lt;&gt;"","同名あり ","")&amp;IF(AND(NOT(ISNUMBER(N187)),N187&lt;&gt;""),"回数を換算 ","")&amp;IF(J187="","詳細なし ","")&amp;IF(AND(N(AP187)=1,BB187=""),"顧客名なし ","")))</f>
        <v/>
      </c>
      <c r="AD187" s="31" t="n"/>
      <c r="AE187" s="32" t="n"/>
      <c r="AF187" s="32" t="n"/>
      <c r="AG187" s="31" t="n"/>
      <c r="AH187">
        <f>IF(AB187&lt;&gt;"OK","",IF(AG187&lt;&gt;"",AG187,AJ187))</f>
        <v/>
      </c>
      <c r="AI187" s="33">
        <f>IF(AB187&lt;&gt;"OK","",IFERROR(IF(AE187&lt;&gt;"",AE187,AS187)*IF(AF187&lt;&gt;"",AF187,AT187)/60,""))</f>
        <v/>
      </c>
      <c r="AJ187">
        <f>IF(AB187&lt;&gt;"OK","",IF(OR(VALUE(T187)=2,VALUE(U187)=2,VALUE(V187)=2),"社内残置",IF(AND(VALUE(T187)=0,VALUE(W187)=0,VALUE(Y187)=0),"自動化候補",IF(AND(VALUE(U187)=0,VALUE(W187)&lt;=1,VALUE(X187)&lt;=1,VALUE(Y187)&lt;=1,VALUE(Z187)&lt;=1),"オフショア候補",IF(AND(VALUE(Y187)&lt;=1,VALUE(Z187)&lt;=1),"ニアショア候補","社内で手順化→再評価")))))</f>
        <v/>
      </c>
      <c r="AK187">
        <f>IF(AB187&lt;&gt;"OK","",14-SUMPRODUCT(--T187:Z187))</f>
        <v/>
      </c>
      <c r="AL187" s="33">
        <f>IF(AB187&lt;&gt;"OK","",AS187*AT187/60)</f>
        <v/>
      </c>
      <c r="AM187" s="34">
        <f>IF(A187="","",UPPER(TRIM(ASC(A187&amp;""))))</f>
        <v/>
      </c>
      <c r="AN187" s="34">
        <f>IF(AM187="","",AM187&amp;"-"&amp;B187)</f>
        <v/>
      </c>
      <c r="AO187" s="34">
        <f>IF(C187="","",IFERROR(VALUE(ASC(SUBSTITUTE(C187&amp;"","観点",""))),""))</f>
        <v/>
      </c>
      <c r="AP187" s="34">
        <f>IF(D187="","",IFERROR(VALUE(LEFT(TRIM(ASC(D187&amp;"")),1)),IFERROR(MATCH(TRIM(D187&amp;""),'M2_区分マスタ'!$I$5:$I$10,0),"")))</f>
        <v/>
      </c>
      <c r="AQ187" s="34">
        <f>IF(H187="","",UPPER(LEFT(TRIM(ASC(H187&amp;"")),3)))</f>
        <v/>
      </c>
      <c r="AR187" s="34">
        <f>IF(N187="","",IFERROR(VALUE(SUBSTITUTE(SUBSTITUTE(SUBSTITUTE(SUBSTITUTE(SUBSTITUTE(SUBSTITUTE(SUBSTITUTE(SUBSTITUTE(SUBSTITUTE(SUBSTITUTE(SUBSTITUTE(SUBSTITUTE(ASC(N187&amp;""),"約",""),"程度",""),"ほど",""),"回",""),"毎",""),"週",""),"月",""),"年",""),"日",""),"に",""),"/","")," ","")),""))</f>
        <v/>
      </c>
      <c r="AS187" s="34">
        <f>IF(N187="","",IF(ISNUMBER(N187),N187,IFERROR(VALUE(ASC(N187&amp;"")),IF(AR187&lt;&gt;"",AR187*IF(ISNUMBER(SEARCH("週",N187)),4.3,IF(ISNUMBER(SEARCH("年",N187)),1/12,IF(ISNUMBER(SEARCH("日",N187)),20,1))),IF(ISNUMBER(SEARCH("日",N187)),20,IF(ISNUMBER(SEARCH("週",N187)),4.3,IF(ISNUMBER(SEARCH("月",N187)),1,"")))))))</f>
        <v/>
      </c>
      <c r="AT187" s="34">
        <f>IF(O187="","",IF(ISNUMBER(O187),O187,IFERROR(VALUE(ASC(O187&amp;"")),IF(ISNUMBER(SEARCH("時間",O187)),IFERROR(VALUE(SUBSTITUTE(SUBSTITUTE(SUBSTITUTE(SUBSTITUTE(SUBSTITUTE(ASC(O187&amp;""),"約",""),"程度",""),"ほど",""),"時間","")," ",""))*60,""),IFERROR(VALUE(SUBSTITUTE(SUBSTITUTE(SUBSTITUTE(SUBSTITUTE(SUBSTITUTE(ASC(O187&amp;""),"約",""),"程度",""),"ほど",""),"分","")," ","")),"")))))</f>
        <v/>
      </c>
      <c r="AU187" s="34">
        <f>IF(P187="","",IF(ISNUMBER(P187),P187,IFERROR(VALUE(SUBSTITUTE(SUBSTITUTE(SUBSTITUTE(ASC(P187&amp;""),"約",""),"件","")," ","")),"")))</f>
        <v/>
      </c>
      <c r="AV187" s="34">
        <f>IF(AB187&lt;&gt;"OK","",IF(COUNTIFS($G$5:$G$404,G187&amp;"",$F$5:$F$404,F187&amp;"",$BE$5:$BE$404,BE187&amp;"",$AB$5:$AB$404,"OK")&gt;1,"同名あり",""))</f>
        <v/>
      </c>
      <c r="AW187" s="35">
        <f>IF(Q187="","",IF(ISNUMBER(Q187),Q187,IFERROR(DATEVALUE(SUBSTITUTE(SUBSTITUTE(ASC(Q187&amp;""),"-","/"),".","/")&amp;"/01"),"")))</f>
        <v/>
      </c>
      <c r="AX187" s="35">
        <f>IF(R187="","",IF(ISNUMBER(R187),R187,IFERROR(DATEVALUE(SUBSTITUTE(SUBSTITUTE(ASC(R187&amp;""),"-","/"),".","/")&amp;"/01"),"")))</f>
        <v/>
      </c>
      <c r="AY187" s="34">
        <f>IF(OR(AB187&lt;&gt;"OK",AW187=""),"",IF(AW187&gt;='01_設定'!$C$26,1,0))</f>
        <v/>
      </c>
      <c r="AZ187" s="34">
        <f>IF(AND(AB187="OK",AD187&lt;&gt;"除外"),COUNTIFS($AB$5:AB187,"OK",$AD$5:AD187,"&lt;&gt;除外"),"")</f>
        <v/>
      </c>
      <c r="BA187" s="34">
        <f>IF(OR(AZ187="",AI187=""),"",AI187+ROW()/1000000000)</f>
        <v/>
      </c>
      <c r="BB187" s="34">
        <f>IF(E187="","",IF(OR(TRIM(E187&amp;"")="-",TRIM(E187&amp;"")="－",TRIM(E187&amp;"")="ー"),"",TRIM(E187&amp;"")))</f>
        <v/>
      </c>
      <c r="BC187" s="34">
        <f>IF(AND(AB187="OK",BB187&lt;&gt;""),IF(COUNTIFS($BB$5:BB187,BB187,$AB$5:AB187,"OK")=1,1,""),"")</f>
        <v/>
      </c>
      <c r="BD187" s="34">
        <f>IF(BC187=1,COUNTIF($BC$5:BC187,1),"")</f>
        <v/>
      </c>
      <c r="BE187" s="34">
        <f>IF(BB187="","",IFERROR(INDEX('06_顧客別集計'!$G$5:$G$104,MATCH(BB187,'06_顧客別集計'!$C$5:$C$104,0)),BB187))</f>
        <v/>
      </c>
      <c r="BF187" s="34">
        <f>IF(AND(AZ187&lt;&gt;"",BE187&lt;&gt;""),IF(COUNTIFS($BE$5:BE187,BE187,$AZ$5:AZ187,"&gt;0")=1,1,""),"")</f>
        <v/>
      </c>
      <c r="BG187" s="34">
        <f>IF(BF187=1,COUNTIF($BF$5:BF187,1),"")</f>
        <v/>
      </c>
    </row>
    <row r="188">
      <c r="AB188">
        <f>IF(AND(A188="",G188=""),"",IF(ISNUMBER(SEARCH("##END",AM188)),"（終わりの印）",IF(ISNUMBER(SEARCH("##続き",AM188)),"（続きありの印）",IF(AM188="調査ID","（見出し行）",IF(AND(AM188&lt;&gt;"R1",AM188&lt;&gt;"R2"),"×表以外の行（集計されない）",IF(COUNTIF($AN$5:AN188,AN188)&gt;1,"△重複（集計されない）",IF(G188="","△タスク名なし",IF(ISNA(MATCH(AQ188,'M1_類型マスタ'!$A$5:$A$19,0)),"△類型が不正",IF(OR(AP188="",N(AP188)&lt;1,N(AP188)&gt;6),"△業務区分が不正",IF(OR(AS188="",AT188=""),"△回数・分が読めない",IF(SUMPRODUCT(--ISNUMBER(--T188:Z188))&lt;7,"△採点が足りない",IF(SUMPRODUCT((--T188:Z188&gt;2)+(--T188:Z188&lt;0))&gt;0,"△採点が範囲外","OK"))))))))))))</f>
        <v/>
      </c>
      <c r="AC188">
        <f>IF(AB188&lt;&gt;"OK","",TRIM(IF(AND(AU188&lt;&gt;"",N(AU188)&lt;=1),"根拠1件 ","")&amp;IF(AV188&lt;&gt;"","同名あり ","")&amp;IF(AND(NOT(ISNUMBER(N188)),N188&lt;&gt;""),"回数を換算 ","")&amp;IF(J188="","詳細なし ","")&amp;IF(AND(N(AP188)=1,BB188=""),"顧客名なし ","")))</f>
        <v/>
      </c>
      <c r="AD188" s="31" t="n"/>
      <c r="AE188" s="32" t="n"/>
      <c r="AF188" s="32" t="n"/>
      <c r="AG188" s="31" t="n"/>
      <c r="AH188">
        <f>IF(AB188&lt;&gt;"OK","",IF(AG188&lt;&gt;"",AG188,AJ188))</f>
        <v/>
      </c>
      <c r="AI188" s="33">
        <f>IF(AB188&lt;&gt;"OK","",IFERROR(IF(AE188&lt;&gt;"",AE188,AS188)*IF(AF188&lt;&gt;"",AF188,AT188)/60,""))</f>
        <v/>
      </c>
      <c r="AJ188">
        <f>IF(AB188&lt;&gt;"OK","",IF(OR(VALUE(T188)=2,VALUE(U188)=2,VALUE(V188)=2),"社内残置",IF(AND(VALUE(T188)=0,VALUE(W188)=0,VALUE(Y188)=0),"自動化候補",IF(AND(VALUE(U188)=0,VALUE(W188)&lt;=1,VALUE(X188)&lt;=1,VALUE(Y188)&lt;=1,VALUE(Z188)&lt;=1),"オフショア候補",IF(AND(VALUE(Y188)&lt;=1,VALUE(Z188)&lt;=1),"ニアショア候補","社内で手順化→再評価")))))</f>
        <v/>
      </c>
      <c r="AK188">
        <f>IF(AB188&lt;&gt;"OK","",14-SUMPRODUCT(--T188:Z188))</f>
        <v/>
      </c>
      <c r="AL188" s="33">
        <f>IF(AB188&lt;&gt;"OK","",AS188*AT188/60)</f>
        <v/>
      </c>
      <c r="AM188" s="34">
        <f>IF(A188="","",UPPER(TRIM(ASC(A188&amp;""))))</f>
        <v/>
      </c>
      <c r="AN188" s="34">
        <f>IF(AM188="","",AM188&amp;"-"&amp;B188)</f>
        <v/>
      </c>
      <c r="AO188" s="34">
        <f>IF(C188="","",IFERROR(VALUE(ASC(SUBSTITUTE(C188&amp;"","観点",""))),""))</f>
        <v/>
      </c>
      <c r="AP188" s="34">
        <f>IF(D188="","",IFERROR(VALUE(LEFT(TRIM(ASC(D188&amp;"")),1)),IFERROR(MATCH(TRIM(D188&amp;""),'M2_区分マスタ'!$I$5:$I$10,0),"")))</f>
        <v/>
      </c>
      <c r="AQ188" s="34">
        <f>IF(H188="","",UPPER(LEFT(TRIM(ASC(H188&amp;"")),3)))</f>
        <v/>
      </c>
      <c r="AR188" s="34">
        <f>IF(N188="","",IFERROR(VALUE(SUBSTITUTE(SUBSTITUTE(SUBSTITUTE(SUBSTITUTE(SUBSTITUTE(SUBSTITUTE(SUBSTITUTE(SUBSTITUTE(SUBSTITUTE(SUBSTITUTE(SUBSTITUTE(SUBSTITUTE(ASC(N188&amp;""),"約",""),"程度",""),"ほど",""),"回",""),"毎",""),"週",""),"月",""),"年",""),"日",""),"に",""),"/","")," ","")),""))</f>
        <v/>
      </c>
      <c r="AS188" s="34">
        <f>IF(N188="","",IF(ISNUMBER(N188),N188,IFERROR(VALUE(ASC(N188&amp;"")),IF(AR188&lt;&gt;"",AR188*IF(ISNUMBER(SEARCH("週",N188)),4.3,IF(ISNUMBER(SEARCH("年",N188)),1/12,IF(ISNUMBER(SEARCH("日",N188)),20,1))),IF(ISNUMBER(SEARCH("日",N188)),20,IF(ISNUMBER(SEARCH("週",N188)),4.3,IF(ISNUMBER(SEARCH("月",N188)),1,"")))))))</f>
        <v/>
      </c>
      <c r="AT188" s="34">
        <f>IF(O188="","",IF(ISNUMBER(O188),O188,IFERROR(VALUE(ASC(O188&amp;"")),IF(ISNUMBER(SEARCH("時間",O188)),IFERROR(VALUE(SUBSTITUTE(SUBSTITUTE(SUBSTITUTE(SUBSTITUTE(SUBSTITUTE(ASC(O188&amp;""),"約",""),"程度",""),"ほど",""),"時間","")," ",""))*60,""),IFERROR(VALUE(SUBSTITUTE(SUBSTITUTE(SUBSTITUTE(SUBSTITUTE(SUBSTITUTE(ASC(O188&amp;""),"約",""),"程度",""),"ほど",""),"分","")," ","")),"")))))</f>
        <v/>
      </c>
      <c r="AU188" s="34">
        <f>IF(P188="","",IF(ISNUMBER(P188),P188,IFERROR(VALUE(SUBSTITUTE(SUBSTITUTE(SUBSTITUTE(ASC(P188&amp;""),"約",""),"件","")," ","")),"")))</f>
        <v/>
      </c>
      <c r="AV188" s="34">
        <f>IF(AB188&lt;&gt;"OK","",IF(COUNTIFS($G$5:$G$404,G188&amp;"",$F$5:$F$404,F188&amp;"",$BE$5:$BE$404,BE188&amp;"",$AB$5:$AB$404,"OK")&gt;1,"同名あり",""))</f>
        <v/>
      </c>
      <c r="AW188" s="35">
        <f>IF(Q188="","",IF(ISNUMBER(Q188),Q188,IFERROR(DATEVALUE(SUBSTITUTE(SUBSTITUTE(ASC(Q188&amp;""),"-","/"),".","/")&amp;"/01"),"")))</f>
        <v/>
      </c>
      <c r="AX188" s="35">
        <f>IF(R188="","",IF(ISNUMBER(R188),R188,IFERROR(DATEVALUE(SUBSTITUTE(SUBSTITUTE(ASC(R188&amp;""),"-","/"),".","/")&amp;"/01"),"")))</f>
        <v/>
      </c>
      <c r="AY188" s="34">
        <f>IF(OR(AB188&lt;&gt;"OK",AW188=""),"",IF(AW188&gt;='01_設定'!$C$26,1,0))</f>
        <v/>
      </c>
      <c r="AZ188" s="34">
        <f>IF(AND(AB188="OK",AD188&lt;&gt;"除外"),COUNTIFS($AB$5:AB188,"OK",$AD$5:AD188,"&lt;&gt;除外"),"")</f>
        <v/>
      </c>
      <c r="BA188" s="34">
        <f>IF(OR(AZ188="",AI188=""),"",AI188+ROW()/1000000000)</f>
        <v/>
      </c>
      <c r="BB188" s="34">
        <f>IF(E188="","",IF(OR(TRIM(E188&amp;"")="-",TRIM(E188&amp;"")="－",TRIM(E188&amp;"")="ー"),"",TRIM(E188&amp;"")))</f>
        <v/>
      </c>
      <c r="BC188" s="34">
        <f>IF(AND(AB188="OK",BB188&lt;&gt;""),IF(COUNTIFS($BB$5:BB188,BB188,$AB$5:AB188,"OK")=1,1,""),"")</f>
        <v/>
      </c>
      <c r="BD188" s="34">
        <f>IF(BC188=1,COUNTIF($BC$5:BC188,1),"")</f>
        <v/>
      </c>
      <c r="BE188" s="34">
        <f>IF(BB188="","",IFERROR(INDEX('06_顧客別集計'!$G$5:$G$104,MATCH(BB188,'06_顧客別集計'!$C$5:$C$104,0)),BB188))</f>
        <v/>
      </c>
      <c r="BF188" s="34">
        <f>IF(AND(AZ188&lt;&gt;"",BE188&lt;&gt;""),IF(COUNTIFS($BE$5:BE188,BE188,$AZ$5:AZ188,"&gt;0")=1,1,""),"")</f>
        <v/>
      </c>
      <c r="BG188" s="34">
        <f>IF(BF188=1,COUNTIF($BF$5:BF188,1),"")</f>
        <v/>
      </c>
    </row>
    <row r="189">
      <c r="AB189">
        <f>IF(AND(A189="",G189=""),"",IF(ISNUMBER(SEARCH("##END",AM189)),"（終わりの印）",IF(ISNUMBER(SEARCH("##続き",AM189)),"（続きありの印）",IF(AM189="調査ID","（見出し行）",IF(AND(AM189&lt;&gt;"R1",AM189&lt;&gt;"R2"),"×表以外の行（集計されない）",IF(COUNTIF($AN$5:AN189,AN189)&gt;1,"△重複（集計されない）",IF(G189="","△タスク名なし",IF(ISNA(MATCH(AQ189,'M1_類型マスタ'!$A$5:$A$19,0)),"△類型が不正",IF(OR(AP189="",N(AP189)&lt;1,N(AP189)&gt;6),"△業務区分が不正",IF(OR(AS189="",AT189=""),"△回数・分が読めない",IF(SUMPRODUCT(--ISNUMBER(--T189:Z189))&lt;7,"△採点が足りない",IF(SUMPRODUCT((--T189:Z189&gt;2)+(--T189:Z189&lt;0))&gt;0,"△採点が範囲外","OK"))))))))))))</f>
        <v/>
      </c>
      <c r="AC189">
        <f>IF(AB189&lt;&gt;"OK","",TRIM(IF(AND(AU189&lt;&gt;"",N(AU189)&lt;=1),"根拠1件 ","")&amp;IF(AV189&lt;&gt;"","同名あり ","")&amp;IF(AND(NOT(ISNUMBER(N189)),N189&lt;&gt;""),"回数を換算 ","")&amp;IF(J189="","詳細なし ","")&amp;IF(AND(N(AP189)=1,BB189=""),"顧客名なし ","")))</f>
        <v/>
      </c>
      <c r="AD189" s="31" t="n"/>
      <c r="AE189" s="32" t="n"/>
      <c r="AF189" s="32" t="n"/>
      <c r="AG189" s="31" t="n"/>
      <c r="AH189">
        <f>IF(AB189&lt;&gt;"OK","",IF(AG189&lt;&gt;"",AG189,AJ189))</f>
        <v/>
      </c>
      <c r="AI189" s="33">
        <f>IF(AB189&lt;&gt;"OK","",IFERROR(IF(AE189&lt;&gt;"",AE189,AS189)*IF(AF189&lt;&gt;"",AF189,AT189)/60,""))</f>
        <v/>
      </c>
      <c r="AJ189">
        <f>IF(AB189&lt;&gt;"OK","",IF(OR(VALUE(T189)=2,VALUE(U189)=2,VALUE(V189)=2),"社内残置",IF(AND(VALUE(T189)=0,VALUE(W189)=0,VALUE(Y189)=0),"自動化候補",IF(AND(VALUE(U189)=0,VALUE(W189)&lt;=1,VALUE(X189)&lt;=1,VALUE(Y189)&lt;=1,VALUE(Z189)&lt;=1),"オフショア候補",IF(AND(VALUE(Y189)&lt;=1,VALUE(Z189)&lt;=1),"ニアショア候補","社内で手順化→再評価")))))</f>
        <v/>
      </c>
      <c r="AK189">
        <f>IF(AB189&lt;&gt;"OK","",14-SUMPRODUCT(--T189:Z189))</f>
        <v/>
      </c>
      <c r="AL189" s="33">
        <f>IF(AB189&lt;&gt;"OK","",AS189*AT189/60)</f>
        <v/>
      </c>
      <c r="AM189" s="34">
        <f>IF(A189="","",UPPER(TRIM(ASC(A189&amp;""))))</f>
        <v/>
      </c>
      <c r="AN189" s="34">
        <f>IF(AM189="","",AM189&amp;"-"&amp;B189)</f>
        <v/>
      </c>
      <c r="AO189" s="34">
        <f>IF(C189="","",IFERROR(VALUE(ASC(SUBSTITUTE(C189&amp;"","観点",""))),""))</f>
        <v/>
      </c>
      <c r="AP189" s="34">
        <f>IF(D189="","",IFERROR(VALUE(LEFT(TRIM(ASC(D189&amp;"")),1)),IFERROR(MATCH(TRIM(D189&amp;""),'M2_区分マスタ'!$I$5:$I$10,0),"")))</f>
        <v/>
      </c>
      <c r="AQ189" s="34">
        <f>IF(H189="","",UPPER(LEFT(TRIM(ASC(H189&amp;"")),3)))</f>
        <v/>
      </c>
      <c r="AR189" s="34">
        <f>IF(N189="","",IFERROR(VALUE(SUBSTITUTE(SUBSTITUTE(SUBSTITUTE(SUBSTITUTE(SUBSTITUTE(SUBSTITUTE(SUBSTITUTE(SUBSTITUTE(SUBSTITUTE(SUBSTITUTE(SUBSTITUTE(SUBSTITUTE(ASC(N189&amp;""),"約",""),"程度",""),"ほど",""),"回",""),"毎",""),"週",""),"月",""),"年",""),"日",""),"に",""),"/","")," ","")),""))</f>
        <v/>
      </c>
      <c r="AS189" s="34">
        <f>IF(N189="","",IF(ISNUMBER(N189),N189,IFERROR(VALUE(ASC(N189&amp;"")),IF(AR189&lt;&gt;"",AR189*IF(ISNUMBER(SEARCH("週",N189)),4.3,IF(ISNUMBER(SEARCH("年",N189)),1/12,IF(ISNUMBER(SEARCH("日",N189)),20,1))),IF(ISNUMBER(SEARCH("日",N189)),20,IF(ISNUMBER(SEARCH("週",N189)),4.3,IF(ISNUMBER(SEARCH("月",N189)),1,"")))))))</f>
        <v/>
      </c>
      <c r="AT189" s="34">
        <f>IF(O189="","",IF(ISNUMBER(O189),O189,IFERROR(VALUE(ASC(O189&amp;"")),IF(ISNUMBER(SEARCH("時間",O189)),IFERROR(VALUE(SUBSTITUTE(SUBSTITUTE(SUBSTITUTE(SUBSTITUTE(SUBSTITUTE(ASC(O189&amp;""),"約",""),"程度",""),"ほど",""),"時間","")," ",""))*60,""),IFERROR(VALUE(SUBSTITUTE(SUBSTITUTE(SUBSTITUTE(SUBSTITUTE(SUBSTITUTE(ASC(O189&amp;""),"約",""),"程度",""),"ほど",""),"分","")," ","")),"")))))</f>
        <v/>
      </c>
      <c r="AU189" s="34">
        <f>IF(P189="","",IF(ISNUMBER(P189),P189,IFERROR(VALUE(SUBSTITUTE(SUBSTITUTE(SUBSTITUTE(ASC(P189&amp;""),"約",""),"件","")," ","")),"")))</f>
        <v/>
      </c>
      <c r="AV189" s="34">
        <f>IF(AB189&lt;&gt;"OK","",IF(COUNTIFS($G$5:$G$404,G189&amp;"",$F$5:$F$404,F189&amp;"",$BE$5:$BE$404,BE189&amp;"",$AB$5:$AB$404,"OK")&gt;1,"同名あり",""))</f>
        <v/>
      </c>
      <c r="AW189" s="35">
        <f>IF(Q189="","",IF(ISNUMBER(Q189),Q189,IFERROR(DATEVALUE(SUBSTITUTE(SUBSTITUTE(ASC(Q189&amp;""),"-","/"),".","/")&amp;"/01"),"")))</f>
        <v/>
      </c>
      <c r="AX189" s="35">
        <f>IF(R189="","",IF(ISNUMBER(R189),R189,IFERROR(DATEVALUE(SUBSTITUTE(SUBSTITUTE(ASC(R189&amp;""),"-","/"),".","/")&amp;"/01"),"")))</f>
        <v/>
      </c>
      <c r="AY189" s="34">
        <f>IF(OR(AB189&lt;&gt;"OK",AW189=""),"",IF(AW189&gt;='01_設定'!$C$26,1,0))</f>
        <v/>
      </c>
      <c r="AZ189" s="34">
        <f>IF(AND(AB189="OK",AD189&lt;&gt;"除外"),COUNTIFS($AB$5:AB189,"OK",$AD$5:AD189,"&lt;&gt;除外"),"")</f>
        <v/>
      </c>
      <c r="BA189" s="34">
        <f>IF(OR(AZ189="",AI189=""),"",AI189+ROW()/1000000000)</f>
        <v/>
      </c>
      <c r="BB189" s="34">
        <f>IF(E189="","",IF(OR(TRIM(E189&amp;"")="-",TRIM(E189&amp;"")="－",TRIM(E189&amp;"")="ー"),"",TRIM(E189&amp;"")))</f>
        <v/>
      </c>
      <c r="BC189" s="34">
        <f>IF(AND(AB189="OK",BB189&lt;&gt;""),IF(COUNTIFS($BB$5:BB189,BB189,$AB$5:AB189,"OK")=1,1,""),"")</f>
        <v/>
      </c>
      <c r="BD189" s="34">
        <f>IF(BC189=1,COUNTIF($BC$5:BC189,1),"")</f>
        <v/>
      </c>
      <c r="BE189" s="34">
        <f>IF(BB189="","",IFERROR(INDEX('06_顧客別集計'!$G$5:$G$104,MATCH(BB189,'06_顧客別集計'!$C$5:$C$104,0)),BB189))</f>
        <v/>
      </c>
      <c r="BF189" s="34">
        <f>IF(AND(AZ189&lt;&gt;"",BE189&lt;&gt;""),IF(COUNTIFS($BE$5:BE189,BE189,$AZ$5:AZ189,"&gt;0")=1,1,""),"")</f>
        <v/>
      </c>
      <c r="BG189" s="34">
        <f>IF(BF189=1,COUNTIF($BF$5:BF189,1),"")</f>
        <v/>
      </c>
    </row>
    <row r="190">
      <c r="AB190">
        <f>IF(AND(A190="",G190=""),"",IF(ISNUMBER(SEARCH("##END",AM190)),"（終わりの印）",IF(ISNUMBER(SEARCH("##続き",AM190)),"（続きありの印）",IF(AM190="調査ID","（見出し行）",IF(AND(AM190&lt;&gt;"R1",AM190&lt;&gt;"R2"),"×表以外の行（集計されない）",IF(COUNTIF($AN$5:AN190,AN190)&gt;1,"△重複（集計されない）",IF(G190="","△タスク名なし",IF(ISNA(MATCH(AQ190,'M1_類型マスタ'!$A$5:$A$19,0)),"△類型が不正",IF(OR(AP190="",N(AP190)&lt;1,N(AP190)&gt;6),"△業務区分が不正",IF(OR(AS190="",AT190=""),"△回数・分が読めない",IF(SUMPRODUCT(--ISNUMBER(--T190:Z190))&lt;7,"△採点が足りない",IF(SUMPRODUCT((--T190:Z190&gt;2)+(--T190:Z190&lt;0))&gt;0,"△採点が範囲外","OK"))))))))))))</f>
        <v/>
      </c>
      <c r="AC190">
        <f>IF(AB190&lt;&gt;"OK","",TRIM(IF(AND(AU190&lt;&gt;"",N(AU190)&lt;=1),"根拠1件 ","")&amp;IF(AV190&lt;&gt;"","同名あり ","")&amp;IF(AND(NOT(ISNUMBER(N190)),N190&lt;&gt;""),"回数を換算 ","")&amp;IF(J190="","詳細なし ","")&amp;IF(AND(N(AP190)=1,BB190=""),"顧客名なし ","")))</f>
        <v/>
      </c>
      <c r="AD190" s="31" t="n"/>
      <c r="AE190" s="32" t="n"/>
      <c r="AF190" s="32" t="n"/>
      <c r="AG190" s="31" t="n"/>
      <c r="AH190">
        <f>IF(AB190&lt;&gt;"OK","",IF(AG190&lt;&gt;"",AG190,AJ190))</f>
        <v/>
      </c>
      <c r="AI190" s="33">
        <f>IF(AB190&lt;&gt;"OK","",IFERROR(IF(AE190&lt;&gt;"",AE190,AS190)*IF(AF190&lt;&gt;"",AF190,AT190)/60,""))</f>
        <v/>
      </c>
      <c r="AJ190">
        <f>IF(AB190&lt;&gt;"OK","",IF(OR(VALUE(T190)=2,VALUE(U190)=2,VALUE(V190)=2),"社内残置",IF(AND(VALUE(T190)=0,VALUE(W190)=0,VALUE(Y190)=0),"自動化候補",IF(AND(VALUE(U190)=0,VALUE(W190)&lt;=1,VALUE(X190)&lt;=1,VALUE(Y190)&lt;=1,VALUE(Z190)&lt;=1),"オフショア候補",IF(AND(VALUE(Y190)&lt;=1,VALUE(Z190)&lt;=1),"ニアショア候補","社内で手順化→再評価")))))</f>
        <v/>
      </c>
      <c r="AK190">
        <f>IF(AB190&lt;&gt;"OK","",14-SUMPRODUCT(--T190:Z190))</f>
        <v/>
      </c>
      <c r="AL190" s="33">
        <f>IF(AB190&lt;&gt;"OK","",AS190*AT190/60)</f>
        <v/>
      </c>
      <c r="AM190" s="34">
        <f>IF(A190="","",UPPER(TRIM(ASC(A190&amp;""))))</f>
        <v/>
      </c>
      <c r="AN190" s="34">
        <f>IF(AM190="","",AM190&amp;"-"&amp;B190)</f>
        <v/>
      </c>
      <c r="AO190" s="34">
        <f>IF(C190="","",IFERROR(VALUE(ASC(SUBSTITUTE(C190&amp;"","観点",""))),""))</f>
        <v/>
      </c>
      <c r="AP190" s="34">
        <f>IF(D190="","",IFERROR(VALUE(LEFT(TRIM(ASC(D190&amp;"")),1)),IFERROR(MATCH(TRIM(D190&amp;""),'M2_区分マスタ'!$I$5:$I$10,0),"")))</f>
        <v/>
      </c>
      <c r="AQ190" s="34">
        <f>IF(H190="","",UPPER(LEFT(TRIM(ASC(H190&amp;"")),3)))</f>
        <v/>
      </c>
      <c r="AR190" s="34">
        <f>IF(N190="","",IFERROR(VALUE(SUBSTITUTE(SUBSTITUTE(SUBSTITUTE(SUBSTITUTE(SUBSTITUTE(SUBSTITUTE(SUBSTITUTE(SUBSTITUTE(SUBSTITUTE(SUBSTITUTE(SUBSTITUTE(SUBSTITUTE(ASC(N190&amp;""),"約",""),"程度",""),"ほど",""),"回",""),"毎",""),"週",""),"月",""),"年",""),"日",""),"に",""),"/","")," ","")),""))</f>
        <v/>
      </c>
      <c r="AS190" s="34">
        <f>IF(N190="","",IF(ISNUMBER(N190),N190,IFERROR(VALUE(ASC(N190&amp;"")),IF(AR190&lt;&gt;"",AR190*IF(ISNUMBER(SEARCH("週",N190)),4.3,IF(ISNUMBER(SEARCH("年",N190)),1/12,IF(ISNUMBER(SEARCH("日",N190)),20,1))),IF(ISNUMBER(SEARCH("日",N190)),20,IF(ISNUMBER(SEARCH("週",N190)),4.3,IF(ISNUMBER(SEARCH("月",N190)),1,"")))))))</f>
        <v/>
      </c>
      <c r="AT190" s="34">
        <f>IF(O190="","",IF(ISNUMBER(O190),O190,IFERROR(VALUE(ASC(O190&amp;"")),IF(ISNUMBER(SEARCH("時間",O190)),IFERROR(VALUE(SUBSTITUTE(SUBSTITUTE(SUBSTITUTE(SUBSTITUTE(SUBSTITUTE(ASC(O190&amp;""),"約",""),"程度",""),"ほど",""),"時間","")," ",""))*60,""),IFERROR(VALUE(SUBSTITUTE(SUBSTITUTE(SUBSTITUTE(SUBSTITUTE(SUBSTITUTE(ASC(O190&amp;""),"約",""),"程度",""),"ほど",""),"分","")," ","")),"")))))</f>
        <v/>
      </c>
      <c r="AU190" s="34">
        <f>IF(P190="","",IF(ISNUMBER(P190),P190,IFERROR(VALUE(SUBSTITUTE(SUBSTITUTE(SUBSTITUTE(ASC(P190&amp;""),"約",""),"件","")," ","")),"")))</f>
        <v/>
      </c>
      <c r="AV190" s="34">
        <f>IF(AB190&lt;&gt;"OK","",IF(COUNTIFS($G$5:$G$404,G190&amp;"",$F$5:$F$404,F190&amp;"",$BE$5:$BE$404,BE190&amp;"",$AB$5:$AB$404,"OK")&gt;1,"同名あり",""))</f>
        <v/>
      </c>
      <c r="AW190" s="35">
        <f>IF(Q190="","",IF(ISNUMBER(Q190),Q190,IFERROR(DATEVALUE(SUBSTITUTE(SUBSTITUTE(ASC(Q190&amp;""),"-","/"),".","/")&amp;"/01"),"")))</f>
        <v/>
      </c>
      <c r="AX190" s="35">
        <f>IF(R190="","",IF(ISNUMBER(R190),R190,IFERROR(DATEVALUE(SUBSTITUTE(SUBSTITUTE(ASC(R190&amp;""),"-","/"),".","/")&amp;"/01"),"")))</f>
        <v/>
      </c>
      <c r="AY190" s="34">
        <f>IF(OR(AB190&lt;&gt;"OK",AW190=""),"",IF(AW190&gt;='01_設定'!$C$26,1,0))</f>
        <v/>
      </c>
      <c r="AZ190" s="34">
        <f>IF(AND(AB190="OK",AD190&lt;&gt;"除外"),COUNTIFS($AB$5:AB190,"OK",$AD$5:AD190,"&lt;&gt;除外"),"")</f>
        <v/>
      </c>
      <c r="BA190" s="34">
        <f>IF(OR(AZ190="",AI190=""),"",AI190+ROW()/1000000000)</f>
        <v/>
      </c>
      <c r="BB190" s="34">
        <f>IF(E190="","",IF(OR(TRIM(E190&amp;"")="-",TRIM(E190&amp;"")="－",TRIM(E190&amp;"")="ー"),"",TRIM(E190&amp;"")))</f>
        <v/>
      </c>
      <c r="BC190" s="34">
        <f>IF(AND(AB190="OK",BB190&lt;&gt;""),IF(COUNTIFS($BB$5:BB190,BB190,$AB$5:AB190,"OK")=1,1,""),"")</f>
        <v/>
      </c>
      <c r="BD190" s="34">
        <f>IF(BC190=1,COUNTIF($BC$5:BC190,1),"")</f>
        <v/>
      </c>
      <c r="BE190" s="34">
        <f>IF(BB190="","",IFERROR(INDEX('06_顧客別集計'!$G$5:$G$104,MATCH(BB190,'06_顧客別集計'!$C$5:$C$104,0)),BB190))</f>
        <v/>
      </c>
      <c r="BF190" s="34">
        <f>IF(AND(AZ190&lt;&gt;"",BE190&lt;&gt;""),IF(COUNTIFS($BE$5:BE190,BE190,$AZ$5:AZ190,"&gt;0")=1,1,""),"")</f>
        <v/>
      </c>
      <c r="BG190" s="34">
        <f>IF(BF190=1,COUNTIF($BF$5:BF190,1),"")</f>
        <v/>
      </c>
    </row>
    <row r="191">
      <c r="AB191">
        <f>IF(AND(A191="",G191=""),"",IF(ISNUMBER(SEARCH("##END",AM191)),"（終わりの印）",IF(ISNUMBER(SEARCH("##続き",AM191)),"（続きありの印）",IF(AM191="調査ID","（見出し行）",IF(AND(AM191&lt;&gt;"R1",AM191&lt;&gt;"R2"),"×表以外の行（集計されない）",IF(COUNTIF($AN$5:AN191,AN191)&gt;1,"△重複（集計されない）",IF(G191="","△タスク名なし",IF(ISNA(MATCH(AQ191,'M1_類型マスタ'!$A$5:$A$19,0)),"△類型が不正",IF(OR(AP191="",N(AP191)&lt;1,N(AP191)&gt;6),"△業務区分が不正",IF(OR(AS191="",AT191=""),"△回数・分が読めない",IF(SUMPRODUCT(--ISNUMBER(--T191:Z191))&lt;7,"△採点が足りない",IF(SUMPRODUCT((--T191:Z191&gt;2)+(--T191:Z191&lt;0))&gt;0,"△採点が範囲外","OK"))))))))))))</f>
        <v/>
      </c>
      <c r="AC191">
        <f>IF(AB191&lt;&gt;"OK","",TRIM(IF(AND(AU191&lt;&gt;"",N(AU191)&lt;=1),"根拠1件 ","")&amp;IF(AV191&lt;&gt;"","同名あり ","")&amp;IF(AND(NOT(ISNUMBER(N191)),N191&lt;&gt;""),"回数を換算 ","")&amp;IF(J191="","詳細なし ","")&amp;IF(AND(N(AP191)=1,BB191=""),"顧客名なし ","")))</f>
        <v/>
      </c>
      <c r="AD191" s="31" t="n"/>
      <c r="AE191" s="32" t="n"/>
      <c r="AF191" s="32" t="n"/>
      <c r="AG191" s="31" t="n"/>
      <c r="AH191">
        <f>IF(AB191&lt;&gt;"OK","",IF(AG191&lt;&gt;"",AG191,AJ191))</f>
        <v/>
      </c>
      <c r="AI191" s="33">
        <f>IF(AB191&lt;&gt;"OK","",IFERROR(IF(AE191&lt;&gt;"",AE191,AS191)*IF(AF191&lt;&gt;"",AF191,AT191)/60,""))</f>
        <v/>
      </c>
      <c r="AJ191">
        <f>IF(AB191&lt;&gt;"OK","",IF(OR(VALUE(T191)=2,VALUE(U191)=2,VALUE(V191)=2),"社内残置",IF(AND(VALUE(T191)=0,VALUE(W191)=0,VALUE(Y191)=0),"自動化候補",IF(AND(VALUE(U191)=0,VALUE(W191)&lt;=1,VALUE(X191)&lt;=1,VALUE(Y191)&lt;=1,VALUE(Z191)&lt;=1),"オフショア候補",IF(AND(VALUE(Y191)&lt;=1,VALUE(Z191)&lt;=1),"ニアショア候補","社内で手順化→再評価")))))</f>
        <v/>
      </c>
      <c r="AK191">
        <f>IF(AB191&lt;&gt;"OK","",14-SUMPRODUCT(--T191:Z191))</f>
        <v/>
      </c>
      <c r="AL191" s="33">
        <f>IF(AB191&lt;&gt;"OK","",AS191*AT191/60)</f>
        <v/>
      </c>
      <c r="AM191" s="34">
        <f>IF(A191="","",UPPER(TRIM(ASC(A191&amp;""))))</f>
        <v/>
      </c>
      <c r="AN191" s="34">
        <f>IF(AM191="","",AM191&amp;"-"&amp;B191)</f>
        <v/>
      </c>
      <c r="AO191" s="34">
        <f>IF(C191="","",IFERROR(VALUE(ASC(SUBSTITUTE(C191&amp;"","観点",""))),""))</f>
        <v/>
      </c>
      <c r="AP191" s="34">
        <f>IF(D191="","",IFERROR(VALUE(LEFT(TRIM(ASC(D191&amp;"")),1)),IFERROR(MATCH(TRIM(D191&amp;""),'M2_区分マスタ'!$I$5:$I$10,0),"")))</f>
        <v/>
      </c>
      <c r="AQ191" s="34">
        <f>IF(H191="","",UPPER(LEFT(TRIM(ASC(H191&amp;"")),3)))</f>
        <v/>
      </c>
      <c r="AR191" s="34">
        <f>IF(N191="","",IFERROR(VALUE(SUBSTITUTE(SUBSTITUTE(SUBSTITUTE(SUBSTITUTE(SUBSTITUTE(SUBSTITUTE(SUBSTITUTE(SUBSTITUTE(SUBSTITUTE(SUBSTITUTE(SUBSTITUTE(SUBSTITUTE(ASC(N191&amp;""),"約",""),"程度",""),"ほど",""),"回",""),"毎",""),"週",""),"月",""),"年",""),"日",""),"に",""),"/","")," ","")),""))</f>
        <v/>
      </c>
      <c r="AS191" s="34">
        <f>IF(N191="","",IF(ISNUMBER(N191),N191,IFERROR(VALUE(ASC(N191&amp;"")),IF(AR191&lt;&gt;"",AR191*IF(ISNUMBER(SEARCH("週",N191)),4.3,IF(ISNUMBER(SEARCH("年",N191)),1/12,IF(ISNUMBER(SEARCH("日",N191)),20,1))),IF(ISNUMBER(SEARCH("日",N191)),20,IF(ISNUMBER(SEARCH("週",N191)),4.3,IF(ISNUMBER(SEARCH("月",N191)),1,"")))))))</f>
        <v/>
      </c>
      <c r="AT191" s="34">
        <f>IF(O191="","",IF(ISNUMBER(O191),O191,IFERROR(VALUE(ASC(O191&amp;"")),IF(ISNUMBER(SEARCH("時間",O191)),IFERROR(VALUE(SUBSTITUTE(SUBSTITUTE(SUBSTITUTE(SUBSTITUTE(SUBSTITUTE(ASC(O191&amp;""),"約",""),"程度",""),"ほど",""),"時間","")," ",""))*60,""),IFERROR(VALUE(SUBSTITUTE(SUBSTITUTE(SUBSTITUTE(SUBSTITUTE(SUBSTITUTE(ASC(O191&amp;""),"約",""),"程度",""),"ほど",""),"分","")," ","")),"")))))</f>
        <v/>
      </c>
      <c r="AU191" s="34">
        <f>IF(P191="","",IF(ISNUMBER(P191),P191,IFERROR(VALUE(SUBSTITUTE(SUBSTITUTE(SUBSTITUTE(ASC(P191&amp;""),"約",""),"件","")," ","")),"")))</f>
        <v/>
      </c>
      <c r="AV191" s="34">
        <f>IF(AB191&lt;&gt;"OK","",IF(COUNTIFS($G$5:$G$404,G191&amp;"",$F$5:$F$404,F191&amp;"",$BE$5:$BE$404,BE191&amp;"",$AB$5:$AB$404,"OK")&gt;1,"同名あり",""))</f>
        <v/>
      </c>
      <c r="AW191" s="35">
        <f>IF(Q191="","",IF(ISNUMBER(Q191),Q191,IFERROR(DATEVALUE(SUBSTITUTE(SUBSTITUTE(ASC(Q191&amp;""),"-","/"),".","/")&amp;"/01"),"")))</f>
        <v/>
      </c>
      <c r="AX191" s="35">
        <f>IF(R191="","",IF(ISNUMBER(R191),R191,IFERROR(DATEVALUE(SUBSTITUTE(SUBSTITUTE(ASC(R191&amp;""),"-","/"),".","/")&amp;"/01"),"")))</f>
        <v/>
      </c>
      <c r="AY191" s="34">
        <f>IF(OR(AB191&lt;&gt;"OK",AW191=""),"",IF(AW191&gt;='01_設定'!$C$26,1,0))</f>
        <v/>
      </c>
      <c r="AZ191" s="34">
        <f>IF(AND(AB191="OK",AD191&lt;&gt;"除外"),COUNTIFS($AB$5:AB191,"OK",$AD$5:AD191,"&lt;&gt;除外"),"")</f>
        <v/>
      </c>
      <c r="BA191" s="34">
        <f>IF(OR(AZ191="",AI191=""),"",AI191+ROW()/1000000000)</f>
        <v/>
      </c>
      <c r="BB191" s="34">
        <f>IF(E191="","",IF(OR(TRIM(E191&amp;"")="-",TRIM(E191&amp;"")="－",TRIM(E191&amp;"")="ー"),"",TRIM(E191&amp;"")))</f>
        <v/>
      </c>
      <c r="BC191" s="34">
        <f>IF(AND(AB191="OK",BB191&lt;&gt;""),IF(COUNTIFS($BB$5:BB191,BB191,$AB$5:AB191,"OK")=1,1,""),"")</f>
        <v/>
      </c>
      <c r="BD191" s="34">
        <f>IF(BC191=1,COUNTIF($BC$5:BC191,1),"")</f>
        <v/>
      </c>
      <c r="BE191" s="34">
        <f>IF(BB191="","",IFERROR(INDEX('06_顧客別集計'!$G$5:$G$104,MATCH(BB191,'06_顧客別集計'!$C$5:$C$104,0)),BB191))</f>
        <v/>
      </c>
      <c r="BF191" s="34">
        <f>IF(AND(AZ191&lt;&gt;"",BE191&lt;&gt;""),IF(COUNTIFS($BE$5:BE191,BE191,$AZ$5:AZ191,"&gt;0")=1,1,""),"")</f>
        <v/>
      </c>
      <c r="BG191" s="34">
        <f>IF(BF191=1,COUNTIF($BF$5:BF191,1),"")</f>
        <v/>
      </c>
    </row>
    <row r="192">
      <c r="AB192">
        <f>IF(AND(A192="",G192=""),"",IF(ISNUMBER(SEARCH("##END",AM192)),"（終わりの印）",IF(ISNUMBER(SEARCH("##続き",AM192)),"（続きありの印）",IF(AM192="調査ID","（見出し行）",IF(AND(AM192&lt;&gt;"R1",AM192&lt;&gt;"R2"),"×表以外の行（集計されない）",IF(COUNTIF($AN$5:AN192,AN192)&gt;1,"△重複（集計されない）",IF(G192="","△タスク名なし",IF(ISNA(MATCH(AQ192,'M1_類型マスタ'!$A$5:$A$19,0)),"△類型が不正",IF(OR(AP192="",N(AP192)&lt;1,N(AP192)&gt;6),"△業務区分が不正",IF(OR(AS192="",AT192=""),"△回数・分が読めない",IF(SUMPRODUCT(--ISNUMBER(--T192:Z192))&lt;7,"△採点が足りない",IF(SUMPRODUCT((--T192:Z192&gt;2)+(--T192:Z192&lt;0))&gt;0,"△採点が範囲外","OK"))))))))))))</f>
        <v/>
      </c>
      <c r="AC192">
        <f>IF(AB192&lt;&gt;"OK","",TRIM(IF(AND(AU192&lt;&gt;"",N(AU192)&lt;=1),"根拠1件 ","")&amp;IF(AV192&lt;&gt;"","同名あり ","")&amp;IF(AND(NOT(ISNUMBER(N192)),N192&lt;&gt;""),"回数を換算 ","")&amp;IF(J192="","詳細なし ","")&amp;IF(AND(N(AP192)=1,BB192=""),"顧客名なし ","")))</f>
        <v/>
      </c>
      <c r="AD192" s="31" t="n"/>
      <c r="AE192" s="32" t="n"/>
      <c r="AF192" s="32" t="n"/>
      <c r="AG192" s="31" t="n"/>
      <c r="AH192">
        <f>IF(AB192&lt;&gt;"OK","",IF(AG192&lt;&gt;"",AG192,AJ192))</f>
        <v/>
      </c>
      <c r="AI192" s="33">
        <f>IF(AB192&lt;&gt;"OK","",IFERROR(IF(AE192&lt;&gt;"",AE192,AS192)*IF(AF192&lt;&gt;"",AF192,AT192)/60,""))</f>
        <v/>
      </c>
      <c r="AJ192">
        <f>IF(AB192&lt;&gt;"OK","",IF(OR(VALUE(T192)=2,VALUE(U192)=2,VALUE(V192)=2),"社内残置",IF(AND(VALUE(T192)=0,VALUE(W192)=0,VALUE(Y192)=0),"自動化候補",IF(AND(VALUE(U192)=0,VALUE(W192)&lt;=1,VALUE(X192)&lt;=1,VALUE(Y192)&lt;=1,VALUE(Z192)&lt;=1),"オフショア候補",IF(AND(VALUE(Y192)&lt;=1,VALUE(Z192)&lt;=1),"ニアショア候補","社内で手順化→再評価")))))</f>
        <v/>
      </c>
      <c r="AK192">
        <f>IF(AB192&lt;&gt;"OK","",14-SUMPRODUCT(--T192:Z192))</f>
        <v/>
      </c>
      <c r="AL192" s="33">
        <f>IF(AB192&lt;&gt;"OK","",AS192*AT192/60)</f>
        <v/>
      </c>
      <c r="AM192" s="34">
        <f>IF(A192="","",UPPER(TRIM(ASC(A192&amp;""))))</f>
        <v/>
      </c>
      <c r="AN192" s="34">
        <f>IF(AM192="","",AM192&amp;"-"&amp;B192)</f>
        <v/>
      </c>
      <c r="AO192" s="34">
        <f>IF(C192="","",IFERROR(VALUE(ASC(SUBSTITUTE(C192&amp;"","観点",""))),""))</f>
        <v/>
      </c>
      <c r="AP192" s="34">
        <f>IF(D192="","",IFERROR(VALUE(LEFT(TRIM(ASC(D192&amp;"")),1)),IFERROR(MATCH(TRIM(D192&amp;""),'M2_区分マスタ'!$I$5:$I$10,0),"")))</f>
        <v/>
      </c>
      <c r="AQ192" s="34">
        <f>IF(H192="","",UPPER(LEFT(TRIM(ASC(H192&amp;"")),3)))</f>
        <v/>
      </c>
      <c r="AR192" s="34">
        <f>IF(N192="","",IFERROR(VALUE(SUBSTITUTE(SUBSTITUTE(SUBSTITUTE(SUBSTITUTE(SUBSTITUTE(SUBSTITUTE(SUBSTITUTE(SUBSTITUTE(SUBSTITUTE(SUBSTITUTE(SUBSTITUTE(SUBSTITUTE(ASC(N192&amp;""),"約",""),"程度",""),"ほど",""),"回",""),"毎",""),"週",""),"月",""),"年",""),"日",""),"に",""),"/","")," ","")),""))</f>
        <v/>
      </c>
      <c r="AS192" s="34">
        <f>IF(N192="","",IF(ISNUMBER(N192),N192,IFERROR(VALUE(ASC(N192&amp;"")),IF(AR192&lt;&gt;"",AR192*IF(ISNUMBER(SEARCH("週",N192)),4.3,IF(ISNUMBER(SEARCH("年",N192)),1/12,IF(ISNUMBER(SEARCH("日",N192)),20,1))),IF(ISNUMBER(SEARCH("日",N192)),20,IF(ISNUMBER(SEARCH("週",N192)),4.3,IF(ISNUMBER(SEARCH("月",N192)),1,"")))))))</f>
        <v/>
      </c>
      <c r="AT192" s="34">
        <f>IF(O192="","",IF(ISNUMBER(O192),O192,IFERROR(VALUE(ASC(O192&amp;"")),IF(ISNUMBER(SEARCH("時間",O192)),IFERROR(VALUE(SUBSTITUTE(SUBSTITUTE(SUBSTITUTE(SUBSTITUTE(SUBSTITUTE(ASC(O192&amp;""),"約",""),"程度",""),"ほど",""),"時間","")," ",""))*60,""),IFERROR(VALUE(SUBSTITUTE(SUBSTITUTE(SUBSTITUTE(SUBSTITUTE(SUBSTITUTE(ASC(O192&amp;""),"約",""),"程度",""),"ほど",""),"分","")," ","")),"")))))</f>
        <v/>
      </c>
      <c r="AU192" s="34">
        <f>IF(P192="","",IF(ISNUMBER(P192),P192,IFERROR(VALUE(SUBSTITUTE(SUBSTITUTE(SUBSTITUTE(ASC(P192&amp;""),"約",""),"件","")," ","")),"")))</f>
        <v/>
      </c>
      <c r="AV192" s="34">
        <f>IF(AB192&lt;&gt;"OK","",IF(COUNTIFS($G$5:$G$404,G192&amp;"",$F$5:$F$404,F192&amp;"",$BE$5:$BE$404,BE192&amp;"",$AB$5:$AB$404,"OK")&gt;1,"同名あり",""))</f>
        <v/>
      </c>
      <c r="AW192" s="35">
        <f>IF(Q192="","",IF(ISNUMBER(Q192),Q192,IFERROR(DATEVALUE(SUBSTITUTE(SUBSTITUTE(ASC(Q192&amp;""),"-","/"),".","/")&amp;"/01"),"")))</f>
        <v/>
      </c>
      <c r="AX192" s="35">
        <f>IF(R192="","",IF(ISNUMBER(R192),R192,IFERROR(DATEVALUE(SUBSTITUTE(SUBSTITUTE(ASC(R192&amp;""),"-","/"),".","/")&amp;"/01"),"")))</f>
        <v/>
      </c>
      <c r="AY192" s="34">
        <f>IF(OR(AB192&lt;&gt;"OK",AW192=""),"",IF(AW192&gt;='01_設定'!$C$26,1,0))</f>
        <v/>
      </c>
      <c r="AZ192" s="34">
        <f>IF(AND(AB192="OK",AD192&lt;&gt;"除外"),COUNTIFS($AB$5:AB192,"OK",$AD$5:AD192,"&lt;&gt;除外"),"")</f>
        <v/>
      </c>
      <c r="BA192" s="34">
        <f>IF(OR(AZ192="",AI192=""),"",AI192+ROW()/1000000000)</f>
        <v/>
      </c>
      <c r="BB192" s="34">
        <f>IF(E192="","",IF(OR(TRIM(E192&amp;"")="-",TRIM(E192&amp;"")="－",TRIM(E192&amp;"")="ー"),"",TRIM(E192&amp;"")))</f>
        <v/>
      </c>
      <c r="BC192" s="34">
        <f>IF(AND(AB192="OK",BB192&lt;&gt;""),IF(COUNTIFS($BB$5:BB192,BB192,$AB$5:AB192,"OK")=1,1,""),"")</f>
        <v/>
      </c>
      <c r="BD192" s="34">
        <f>IF(BC192=1,COUNTIF($BC$5:BC192,1),"")</f>
        <v/>
      </c>
      <c r="BE192" s="34">
        <f>IF(BB192="","",IFERROR(INDEX('06_顧客別集計'!$G$5:$G$104,MATCH(BB192,'06_顧客別集計'!$C$5:$C$104,0)),BB192))</f>
        <v/>
      </c>
      <c r="BF192" s="34">
        <f>IF(AND(AZ192&lt;&gt;"",BE192&lt;&gt;""),IF(COUNTIFS($BE$5:BE192,BE192,$AZ$5:AZ192,"&gt;0")=1,1,""),"")</f>
        <v/>
      </c>
      <c r="BG192" s="34">
        <f>IF(BF192=1,COUNTIF($BF$5:BF192,1),"")</f>
        <v/>
      </c>
    </row>
    <row r="193">
      <c r="AB193">
        <f>IF(AND(A193="",G193=""),"",IF(ISNUMBER(SEARCH("##END",AM193)),"（終わりの印）",IF(ISNUMBER(SEARCH("##続き",AM193)),"（続きありの印）",IF(AM193="調査ID","（見出し行）",IF(AND(AM193&lt;&gt;"R1",AM193&lt;&gt;"R2"),"×表以外の行（集計されない）",IF(COUNTIF($AN$5:AN193,AN193)&gt;1,"△重複（集計されない）",IF(G193="","△タスク名なし",IF(ISNA(MATCH(AQ193,'M1_類型マスタ'!$A$5:$A$19,0)),"△類型が不正",IF(OR(AP193="",N(AP193)&lt;1,N(AP193)&gt;6),"△業務区分が不正",IF(OR(AS193="",AT193=""),"△回数・分が読めない",IF(SUMPRODUCT(--ISNUMBER(--T193:Z193))&lt;7,"△採点が足りない",IF(SUMPRODUCT((--T193:Z193&gt;2)+(--T193:Z193&lt;0))&gt;0,"△採点が範囲外","OK"))))))))))))</f>
        <v/>
      </c>
      <c r="AC193">
        <f>IF(AB193&lt;&gt;"OK","",TRIM(IF(AND(AU193&lt;&gt;"",N(AU193)&lt;=1),"根拠1件 ","")&amp;IF(AV193&lt;&gt;"","同名あり ","")&amp;IF(AND(NOT(ISNUMBER(N193)),N193&lt;&gt;""),"回数を換算 ","")&amp;IF(J193="","詳細なし ","")&amp;IF(AND(N(AP193)=1,BB193=""),"顧客名なし ","")))</f>
        <v/>
      </c>
      <c r="AD193" s="31" t="n"/>
      <c r="AE193" s="32" t="n"/>
      <c r="AF193" s="32" t="n"/>
      <c r="AG193" s="31" t="n"/>
      <c r="AH193">
        <f>IF(AB193&lt;&gt;"OK","",IF(AG193&lt;&gt;"",AG193,AJ193))</f>
        <v/>
      </c>
      <c r="AI193" s="33">
        <f>IF(AB193&lt;&gt;"OK","",IFERROR(IF(AE193&lt;&gt;"",AE193,AS193)*IF(AF193&lt;&gt;"",AF193,AT193)/60,""))</f>
        <v/>
      </c>
      <c r="AJ193">
        <f>IF(AB193&lt;&gt;"OK","",IF(OR(VALUE(T193)=2,VALUE(U193)=2,VALUE(V193)=2),"社内残置",IF(AND(VALUE(T193)=0,VALUE(W193)=0,VALUE(Y193)=0),"自動化候補",IF(AND(VALUE(U193)=0,VALUE(W193)&lt;=1,VALUE(X193)&lt;=1,VALUE(Y193)&lt;=1,VALUE(Z193)&lt;=1),"オフショア候補",IF(AND(VALUE(Y193)&lt;=1,VALUE(Z193)&lt;=1),"ニアショア候補","社内で手順化→再評価")))))</f>
        <v/>
      </c>
      <c r="AK193">
        <f>IF(AB193&lt;&gt;"OK","",14-SUMPRODUCT(--T193:Z193))</f>
        <v/>
      </c>
      <c r="AL193" s="33">
        <f>IF(AB193&lt;&gt;"OK","",AS193*AT193/60)</f>
        <v/>
      </c>
      <c r="AM193" s="34">
        <f>IF(A193="","",UPPER(TRIM(ASC(A193&amp;""))))</f>
        <v/>
      </c>
      <c r="AN193" s="34">
        <f>IF(AM193="","",AM193&amp;"-"&amp;B193)</f>
        <v/>
      </c>
      <c r="AO193" s="34">
        <f>IF(C193="","",IFERROR(VALUE(ASC(SUBSTITUTE(C193&amp;"","観点",""))),""))</f>
        <v/>
      </c>
      <c r="AP193" s="34">
        <f>IF(D193="","",IFERROR(VALUE(LEFT(TRIM(ASC(D193&amp;"")),1)),IFERROR(MATCH(TRIM(D193&amp;""),'M2_区分マスタ'!$I$5:$I$10,0),"")))</f>
        <v/>
      </c>
      <c r="AQ193" s="34">
        <f>IF(H193="","",UPPER(LEFT(TRIM(ASC(H193&amp;"")),3)))</f>
        <v/>
      </c>
      <c r="AR193" s="34">
        <f>IF(N193="","",IFERROR(VALUE(SUBSTITUTE(SUBSTITUTE(SUBSTITUTE(SUBSTITUTE(SUBSTITUTE(SUBSTITUTE(SUBSTITUTE(SUBSTITUTE(SUBSTITUTE(SUBSTITUTE(SUBSTITUTE(SUBSTITUTE(ASC(N193&amp;""),"約",""),"程度",""),"ほど",""),"回",""),"毎",""),"週",""),"月",""),"年",""),"日",""),"に",""),"/","")," ","")),""))</f>
        <v/>
      </c>
      <c r="AS193" s="34">
        <f>IF(N193="","",IF(ISNUMBER(N193),N193,IFERROR(VALUE(ASC(N193&amp;"")),IF(AR193&lt;&gt;"",AR193*IF(ISNUMBER(SEARCH("週",N193)),4.3,IF(ISNUMBER(SEARCH("年",N193)),1/12,IF(ISNUMBER(SEARCH("日",N193)),20,1))),IF(ISNUMBER(SEARCH("日",N193)),20,IF(ISNUMBER(SEARCH("週",N193)),4.3,IF(ISNUMBER(SEARCH("月",N193)),1,"")))))))</f>
        <v/>
      </c>
      <c r="AT193" s="34">
        <f>IF(O193="","",IF(ISNUMBER(O193),O193,IFERROR(VALUE(ASC(O193&amp;"")),IF(ISNUMBER(SEARCH("時間",O193)),IFERROR(VALUE(SUBSTITUTE(SUBSTITUTE(SUBSTITUTE(SUBSTITUTE(SUBSTITUTE(ASC(O193&amp;""),"約",""),"程度",""),"ほど",""),"時間","")," ",""))*60,""),IFERROR(VALUE(SUBSTITUTE(SUBSTITUTE(SUBSTITUTE(SUBSTITUTE(SUBSTITUTE(ASC(O193&amp;""),"約",""),"程度",""),"ほど",""),"分","")," ","")),"")))))</f>
        <v/>
      </c>
      <c r="AU193" s="34">
        <f>IF(P193="","",IF(ISNUMBER(P193),P193,IFERROR(VALUE(SUBSTITUTE(SUBSTITUTE(SUBSTITUTE(ASC(P193&amp;""),"約",""),"件","")," ","")),"")))</f>
        <v/>
      </c>
      <c r="AV193" s="34">
        <f>IF(AB193&lt;&gt;"OK","",IF(COUNTIFS($G$5:$G$404,G193&amp;"",$F$5:$F$404,F193&amp;"",$BE$5:$BE$404,BE193&amp;"",$AB$5:$AB$404,"OK")&gt;1,"同名あり",""))</f>
        <v/>
      </c>
      <c r="AW193" s="35">
        <f>IF(Q193="","",IF(ISNUMBER(Q193),Q193,IFERROR(DATEVALUE(SUBSTITUTE(SUBSTITUTE(ASC(Q193&amp;""),"-","/"),".","/")&amp;"/01"),"")))</f>
        <v/>
      </c>
      <c r="AX193" s="35">
        <f>IF(R193="","",IF(ISNUMBER(R193),R193,IFERROR(DATEVALUE(SUBSTITUTE(SUBSTITUTE(ASC(R193&amp;""),"-","/"),".","/")&amp;"/01"),"")))</f>
        <v/>
      </c>
      <c r="AY193" s="34">
        <f>IF(OR(AB193&lt;&gt;"OK",AW193=""),"",IF(AW193&gt;='01_設定'!$C$26,1,0))</f>
        <v/>
      </c>
      <c r="AZ193" s="34">
        <f>IF(AND(AB193="OK",AD193&lt;&gt;"除外"),COUNTIFS($AB$5:AB193,"OK",$AD$5:AD193,"&lt;&gt;除外"),"")</f>
        <v/>
      </c>
      <c r="BA193" s="34">
        <f>IF(OR(AZ193="",AI193=""),"",AI193+ROW()/1000000000)</f>
        <v/>
      </c>
      <c r="BB193" s="34">
        <f>IF(E193="","",IF(OR(TRIM(E193&amp;"")="-",TRIM(E193&amp;"")="－",TRIM(E193&amp;"")="ー"),"",TRIM(E193&amp;"")))</f>
        <v/>
      </c>
      <c r="BC193" s="34">
        <f>IF(AND(AB193="OK",BB193&lt;&gt;""),IF(COUNTIFS($BB$5:BB193,BB193,$AB$5:AB193,"OK")=1,1,""),"")</f>
        <v/>
      </c>
      <c r="BD193" s="34">
        <f>IF(BC193=1,COUNTIF($BC$5:BC193,1),"")</f>
        <v/>
      </c>
      <c r="BE193" s="34">
        <f>IF(BB193="","",IFERROR(INDEX('06_顧客別集計'!$G$5:$G$104,MATCH(BB193,'06_顧客別集計'!$C$5:$C$104,0)),BB193))</f>
        <v/>
      </c>
      <c r="BF193" s="34">
        <f>IF(AND(AZ193&lt;&gt;"",BE193&lt;&gt;""),IF(COUNTIFS($BE$5:BE193,BE193,$AZ$5:AZ193,"&gt;0")=1,1,""),"")</f>
        <v/>
      </c>
      <c r="BG193" s="34">
        <f>IF(BF193=1,COUNTIF($BF$5:BF193,1),"")</f>
        <v/>
      </c>
    </row>
    <row r="194">
      <c r="AB194">
        <f>IF(AND(A194="",G194=""),"",IF(ISNUMBER(SEARCH("##END",AM194)),"（終わりの印）",IF(ISNUMBER(SEARCH("##続き",AM194)),"（続きありの印）",IF(AM194="調査ID","（見出し行）",IF(AND(AM194&lt;&gt;"R1",AM194&lt;&gt;"R2"),"×表以外の行（集計されない）",IF(COUNTIF($AN$5:AN194,AN194)&gt;1,"△重複（集計されない）",IF(G194="","△タスク名なし",IF(ISNA(MATCH(AQ194,'M1_類型マスタ'!$A$5:$A$19,0)),"△類型が不正",IF(OR(AP194="",N(AP194)&lt;1,N(AP194)&gt;6),"△業務区分が不正",IF(OR(AS194="",AT194=""),"△回数・分が読めない",IF(SUMPRODUCT(--ISNUMBER(--T194:Z194))&lt;7,"△採点が足りない",IF(SUMPRODUCT((--T194:Z194&gt;2)+(--T194:Z194&lt;0))&gt;0,"△採点が範囲外","OK"))))))))))))</f>
        <v/>
      </c>
      <c r="AC194">
        <f>IF(AB194&lt;&gt;"OK","",TRIM(IF(AND(AU194&lt;&gt;"",N(AU194)&lt;=1),"根拠1件 ","")&amp;IF(AV194&lt;&gt;"","同名あり ","")&amp;IF(AND(NOT(ISNUMBER(N194)),N194&lt;&gt;""),"回数を換算 ","")&amp;IF(J194="","詳細なし ","")&amp;IF(AND(N(AP194)=1,BB194=""),"顧客名なし ","")))</f>
        <v/>
      </c>
      <c r="AD194" s="31" t="n"/>
      <c r="AE194" s="32" t="n"/>
      <c r="AF194" s="32" t="n"/>
      <c r="AG194" s="31" t="n"/>
      <c r="AH194">
        <f>IF(AB194&lt;&gt;"OK","",IF(AG194&lt;&gt;"",AG194,AJ194))</f>
        <v/>
      </c>
      <c r="AI194" s="33">
        <f>IF(AB194&lt;&gt;"OK","",IFERROR(IF(AE194&lt;&gt;"",AE194,AS194)*IF(AF194&lt;&gt;"",AF194,AT194)/60,""))</f>
        <v/>
      </c>
      <c r="AJ194">
        <f>IF(AB194&lt;&gt;"OK","",IF(OR(VALUE(T194)=2,VALUE(U194)=2,VALUE(V194)=2),"社内残置",IF(AND(VALUE(T194)=0,VALUE(W194)=0,VALUE(Y194)=0),"自動化候補",IF(AND(VALUE(U194)=0,VALUE(W194)&lt;=1,VALUE(X194)&lt;=1,VALUE(Y194)&lt;=1,VALUE(Z194)&lt;=1),"オフショア候補",IF(AND(VALUE(Y194)&lt;=1,VALUE(Z194)&lt;=1),"ニアショア候補","社内で手順化→再評価")))))</f>
        <v/>
      </c>
      <c r="AK194">
        <f>IF(AB194&lt;&gt;"OK","",14-SUMPRODUCT(--T194:Z194))</f>
        <v/>
      </c>
      <c r="AL194" s="33">
        <f>IF(AB194&lt;&gt;"OK","",AS194*AT194/60)</f>
        <v/>
      </c>
      <c r="AM194" s="34">
        <f>IF(A194="","",UPPER(TRIM(ASC(A194&amp;""))))</f>
        <v/>
      </c>
      <c r="AN194" s="34">
        <f>IF(AM194="","",AM194&amp;"-"&amp;B194)</f>
        <v/>
      </c>
      <c r="AO194" s="34">
        <f>IF(C194="","",IFERROR(VALUE(ASC(SUBSTITUTE(C194&amp;"","観点",""))),""))</f>
        <v/>
      </c>
      <c r="AP194" s="34">
        <f>IF(D194="","",IFERROR(VALUE(LEFT(TRIM(ASC(D194&amp;"")),1)),IFERROR(MATCH(TRIM(D194&amp;""),'M2_区分マスタ'!$I$5:$I$10,0),"")))</f>
        <v/>
      </c>
      <c r="AQ194" s="34">
        <f>IF(H194="","",UPPER(LEFT(TRIM(ASC(H194&amp;"")),3)))</f>
        <v/>
      </c>
      <c r="AR194" s="34">
        <f>IF(N194="","",IFERROR(VALUE(SUBSTITUTE(SUBSTITUTE(SUBSTITUTE(SUBSTITUTE(SUBSTITUTE(SUBSTITUTE(SUBSTITUTE(SUBSTITUTE(SUBSTITUTE(SUBSTITUTE(SUBSTITUTE(SUBSTITUTE(ASC(N194&amp;""),"約",""),"程度",""),"ほど",""),"回",""),"毎",""),"週",""),"月",""),"年",""),"日",""),"に",""),"/","")," ","")),""))</f>
        <v/>
      </c>
      <c r="AS194" s="34">
        <f>IF(N194="","",IF(ISNUMBER(N194),N194,IFERROR(VALUE(ASC(N194&amp;"")),IF(AR194&lt;&gt;"",AR194*IF(ISNUMBER(SEARCH("週",N194)),4.3,IF(ISNUMBER(SEARCH("年",N194)),1/12,IF(ISNUMBER(SEARCH("日",N194)),20,1))),IF(ISNUMBER(SEARCH("日",N194)),20,IF(ISNUMBER(SEARCH("週",N194)),4.3,IF(ISNUMBER(SEARCH("月",N194)),1,"")))))))</f>
        <v/>
      </c>
      <c r="AT194" s="34">
        <f>IF(O194="","",IF(ISNUMBER(O194),O194,IFERROR(VALUE(ASC(O194&amp;"")),IF(ISNUMBER(SEARCH("時間",O194)),IFERROR(VALUE(SUBSTITUTE(SUBSTITUTE(SUBSTITUTE(SUBSTITUTE(SUBSTITUTE(ASC(O194&amp;""),"約",""),"程度",""),"ほど",""),"時間","")," ",""))*60,""),IFERROR(VALUE(SUBSTITUTE(SUBSTITUTE(SUBSTITUTE(SUBSTITUTE(SUBSTITUTE(ASC(O194&amp;""),"約",""),"程度",""),"ほど",""),"分","")," ","")),"")))))</f>
        <v/>
      </c>
      <c r="AU194" s="34">
        <f>IF(P194="","",IF(ISNUMBER(P194),P194,IFERROR(VALUE(SUBSTITUTE(SUBSTITUTE(SUBSTITUTE(ASC(P194&amp;""),"約",""),"件","")," ","")),"")))</f>
        <v/>
      </c>
      <c r="AV194" s="34">
        <f>IF(AB194&lt;&gt;"OK","",IF(COUNTIFS($G$5:$G$404,G194&amp;"",$F$5:$F$404,F194&amp;"",$BE$5:$BE$404,BE194&amp;"",$AB$5:$AB$404,"OK")&gt;1,"同名あり",""))</f>
        <v/>
      </c>
      <c r="AW194" s="35">
        <f>IF(Q194="","",IF(ISNUMBER(Q194),Q194,IFERROR(DATEVALUE(SUBSTITUTE(SUBSTITUTE(ASC(Q194&amp;""),"-","/"),".","/")&amp;"/01"),"")))</f>
        <v/>
      </c>
      <c r="AX194" s="35">
        <f>IF(R194="","",IF(ISNUMBER(R194),R194,IFERROR(DATEVALUE(SUBSTITUTE(SUBSTITUTE(ASC(R194&amp;""),"-","/"),".","/")&amp;"/01"),"")))</f>
        <v/>
      </c>
      <c r="AY194" s="34">
        <f>IF(OR(AB194&lt;&gt;"OK",AW194=""),"",IF(AW194&gt;='01_設定'!$C$26,1,0))</f>
        <v/>
      </c>
      <c r="AZ194" s="34">
        <f>IF(AND(AB194="OK",AD194&lt;&gt;"除外"),COUNTIFS($AB$5:AB194,"OK",$AD$5:AD194,"&lt;&gt;除外"),"")</f>
        <v/>
      </c>
      <c r="BA194" s="34">
        <f>IF(OR(AZ194="",AI194=""),"",AI194+ROW()/1000000000)</f>
        <v/>
      </c>
      <c r="BB194" s="34">
        <f>IF(E194="","",IF(OR(TRIM(E194&amp;"")="-",TRIM(E194&amp;"")="－",TRIM(E194&amp;"")="ー"),"",TRIM(E194&amp;"")))</f>
        <v/>
      </c>
      <c r="BC194" s="34">
        <f>IF(AND(AB194="OK",BB194&lt;&gt;""),IF(COUNTIFS($BB$5:BB194,BB194,$AB$5:AB194,"OK")=1,1,""),"")</f>
        <v/>
      </c>
      <c r="BD194" s="34">
        <f>IF(BC194=1,COUNTIF($BC$5:BC194,1),"")</f>
        <v/>
      </c>
      <c r="BE194" s="34">
        <f>IF(BB194="","",IFERROR(INDEX('06_顧客別集計'!$G$5:$G$104,MATCH(BB194,'06_顧客別集計'!$C$5:$C$104,0)),BB194))</f>
        <v/>
      </c>
      <c r="BF194" s="34">
        <f>IF(AND(AZ194&lt;&gt;"",BE194&lt;&gt;""),IF(COUNTIFS($BE$5:BE194,BE194,$AZ$5:AZ194,"&gt;0")=1,1,""),"")</f>
        <v/>
      </c>
      <c r="BG194" s="34">
        <f>IF(BF194=1,COUNTIF($BF$5:BF194,1),"")</f>
        <v/>
      </c>
    </row>
    <row r="195">
      <c r="AB195">
        <f>IF(AND(A195="",G195=""),"",IF(ISNUMBER(SEARCH("##END",AM195)),"（終わりの印）",IF(ISNUMBER(SEARCH("##続き",AM195)),"（続きありの印）",IF(AM195="調査ID","（見出し行）",IF(AND(AM195&lt;&gt;"R1",AM195&lt;&gt;"R2"),"×表以外の行（集計されない）",IF(COUNTIF($AN$5:AN195,AN195)&gt;1,"△重複（集計されない）",IF(G195="","△タスク名なし",IF(ISNA(MATCH(AQ195,'M1_類型マスタ'!$A$5:$A$19,0)),"△類型が不正",IF(OR(AP195="",N(AP195)&lt;1,N(AP195)&gt;6),"△業務区分が不正",IF(OR(AS195="",AT195=""),"△回数・分が読めない",IF(SUMPRODUCT(--ISNUMBER(--T195:Z195))&lt;7,"△採点が足りない",IF(SUMPRODUCT((--T195:Z195&gt;2)+(--T195:Z195&lt;0))&gt;0,"△採点が範囲外","OK"))))))))))))</f>
        <v/>
      </c>
      <c r="AC195">
        <f>IF(AB195&lt;&gt;"OK","",TRIM(IF(AND(AU195&lt;&gt;"",N(AU195)&lt;=1),"根拠1件 ","")&amp;IF(AV195&lt;&gt;"","同名あり ","")&amp;IF(AND(NOT(ISNUMBER(N195)),N195&lt;&gt;""),"回数を換算 ","")&amp;IF(J195="","詳細なし ","")&amp;IF(AND(N(AP195)=1,BB195=""),"顧客名なし ","")))</f>
        <v/>
      </c>
      <c r="AD195" s="31" t="n"/>
      <c r="AE195" s="32" t="n"/>
      <c r="AF195" s="32" t="n"/>
      <c r="AG195" s="31" t="n"/>
      <c r="AH195">
        <f>IF(AB195&lt;&gt;"OK","",IF(AG195&lt;&gt;"",AG195,AJ195))</f>
        <v/>
      </c>
      <c r="AI195" s="33">
        <f>IF(AB195&lt;&gt;"OK","",IFERROR(IF(AE195&lt;&gt;"",AE195,AS195)*IF(AF195&lt;&gt;"",AF195,AT195)/60,""))</f>
        <v/>
      </c>
      <c r="AJ195">
        <f>IF(AB195&lt;&gt;"OK","",IF(OR(VALUE(T195)=2,VALUE(U195)=2,VALUE(V195)=2),"社内残置",IF(AND(VALUE(T195)=0,VALUE(W195)=0,VALUE(Y195)=0),"自動化候補",IF(AND(VALUE(U195)=0,VALUE(W195)&lt;=1,VALUE(X195)&lt;=1,VALUE(Y195)&lt;=1,VALUE(Z195)&lt;=1),"オフショア候補",IF(AND(VALUE(Y195)&lt;=1,VALUE(Z195)&lt;=1),"ニアショア候補","社内で手順化→再評価")))))</f>
        <v/>
      </c>
      <c r="AK195">
        <f>IF(AB195&lt;&gt;"OK","",14-SUMPRODUCT(--T195:Z195))</f>
        <v/>
      </c>
      <c r="AL195" s="33">
        <f>IF(AB195&lt;&gt;"OK","",AS195*AT195/60)</f>
        <v/>
      </c>
      <c r="AM195" s="34">
        <f>IF(A195="","",UPPER(TRIM(ASC(A195&amp;""))))</f>
        <v/>
      </c>
      <c r="AN195" s="34">
        <f>IF(AM195="","",AM195&amp;"-"&amp;B195)</f>
        <v/>
      </c>
      <c r="AO195" s="34">
        <f>IF(C195="","",IFERROR(VALUE(ASC(SUBSTITUTE(C195&amp;"","観点",""))),""))</f>
        <v/>
      </c>
      <c r="AP195" s="34">
        <f>IF(D195="","",IFERROR(VALUE(LEFT(TRIM(ASC(D195&amp;"")),1)),IFERROR(MATCH(TRIM(D195&amp;""),'M2_区分マスタ'!$I$5:$I$10,0),"")))</f>
        <v/>
      </c>
      <c r="AQ195" s="34">
        <f>IF(H195="","",UPPER(LEFT(TRIM(ASC(H195&amp;"")),3)))</f>
        <v/>
      </c>
      <c r="AR195" s="34">
        <f>IF(N195="","",IFERROR(VALUE(SUBSTITUTE(SUBSTITUTE(SUBSTITUTE(SUBSTITUTE(SUBSTITUTE(SUBSTITUTE(SUBSTITUTE(SUBSTITUTE(SUBSTITUTE(SUBSTITUTE(SUBSTITUTE(SUBSTITUTE(ASC(N195&amp;""),"約",""),"程度",""),"ほど",""),"回",""),"毎",""),"週",""),"月",""),"年",""),"日",""),"に",""),"/","")," ","")),""))</f>
        <v/>
      </c>
      <c r="AS195" s="34">
        <f>IF(N195="","",IF(ISNUMBER(N195),N195,IFERROR(VALUE(ASC(N195&amp;"")),IF(AR195&lt;&gt;"",AR195*IF(ISNUMBER(SEARCH("週",N195)),4.3,IF(ISNUMBER(SEARCH("年",N195)),1/12,IF(ISNUMBER(SEARCH("日",N195)),20,1))),IF(ISNUMBER(SEARCH("日",N195)),20,IF(ISNUMBER(SEARCH("週",N195)),4.3,IF(ISNUMBER(SEARCH("月",N195)),1,"")))))))</f>
        <v/>
      </c>
      <c r="AT195" s="34">
        <f>IF(O195="","",IF(ISNUMBER(O195),O195,IFERROR(VALUE(ASC(O195&amp;"")),IF(ISNUMBER(SEARCH("時間",O195)),IFERROR(VALUE(SUBSTITUTE(SUBSTITUTE(SUBSTITUTE(SUBSTITUTE(SUBSTITUTE(ASC(O195&amp;""),"約",""),"程度",""),"ほど",""),"時間","")," ",""))*60,""),IFERROR(VALUE(SUBSTITUTE(SUBSTITUTE(SUBSTITUTE(SUBSTITUTE(SUBSTITUTE(ASC(O195&amp;""),"約",""),"程度",""),"ほど",""),"分","")," ","")),"")))))</f>
        <v/>
      </c>
      <c r="AU195" s="34">
        <f>IF(P195="","",IF(ISNUMBER(P195),P195,IFERROR(VALUE(SUBSTITUTE(SUBSTITUTE(SUBSTITUTE(ASC(P195&amp;""),"約",""),"件","")," ","")),"")))</f>
        <v/>
      </c>
      <c r="AV195" s="34">
        <f>IF(AB195&lt;&gt;"OK","",IF(COUNTIFS($G$5:$G$404,G195&amp;"",$F$5:$F$404,F195&amp;"",$BE$5:$BE$404,BE195&amp;"",$AB$5:$AB$404,"OK")&gt;1,"同名あり",""))</f>
        <v/>
      </c>
      <c r="AW195" s="35">
        <f>IF(Q195="","",IF(ISNUMBER(Q195),Q195,IFERROR(DATEVALUE(SUBSTITUTE(SUBSTITUTE(ASC(Q195&amp;""),"-","/"),".","/")&amp;"/01"),"")))</f>
        <v/>
      </c>
      <c r="AX195" s="35">
        <f>IF(R195="","",IF(ISNUMBER(R195),R195,IFERROR(DATEVALUE(SUBSTITUTE(SUBSTITUTE(ASC(R195&amp;""),"-","/"),".","/")&amp;"/01"),"")))</f>
        <v/>
      </c>
      <c r="AY195" s="34">
        <f>IF(OR(AB195&lt;&gt;"OK",AW195=""),"",IF(AW195&gt;='01_設定'!$C$26,1,0))</f>
        <v/>
      </c>
      <c r="AZ195" s="34">
        <f>IF(AND(AB195="OK",AD195&lt;&gt;"除外"),COUNTIFS($AB$5:AB195,"OK",$AD$5:AD195,"&lt;&gt;除外"),"")</f>
        <v/>
      </c>
      <c r="BA195" s="34">
        <f>IF(OR(AZ195="",AI195=""),"",AI195+ROW()/1000000000)</f>
        <v/>
      </c>
      <c r="BB195" s="34">
        <f>IF(E195="","",IF(OR(TRIM(E195&amp;"")="-",TRIM(E195&amp;"")="－",TRIM(E195&amp;"")="ー"),"",TRIM(E195&amp;"")))</f>
        <v/>
      </c>
      <c r="BC195" s="34">
        <f>IF(AND(AB195="OK",BB195&lt;&gt;""),IF(COUNTIFS($BB$5:BB195,BB195,$AB$5:AB195,"OK")=1,1,""),"")</f>
        <v/>
      </c>
      <c r="BD195" s="34">
        <f>IF(BC195=1,COUNTIF($BC$5:BC195,1),"")</f>
        <v/>
      </c>
      <c r="BE195" s="34">
        <f>IF(BB195="","",IFERROR(INDEX('06_顧客別集計'!$G$5:$G$104,MATCH(BB195,'06_顧客別集計'!$C$5:$C$104,0)),BB195))</f>
        <v/>
      </c>
      <c r="BF195" s="34">
        <f>IF(AND(AZ195&lt;&gt;"",BE195&lt;&gt;""),IF(COUNTIFS($BE$5:BE195,BE195,$AZ$5:AZ195,"&gt;0")=1,1,""),"")</f>
        <v/>
      </c>
      <c r="BG195" s="34">
        <f>IF(BF195=1,COUNTIF($BF$5:BF195,1),"")</f>
        <v/>
      </c>
    </row>
    <row r="196">
      <c r="AB196">
        <f>IF(AND(A196="",G196=""),"",IF(ISNUMBER(SEARCH("##END",AM196)),"（終わりの印）",IF(ISNUMBER(SEARCH("##続き",AM196)),"（続きありの印）",IF(AM196="調査ID","（見出し行）",IF(AND(AM196&lt;&gt;"R1",AM196&lt;&gt;"R2"),"×表以外の行（集計されない）",IF(COUNTIF($AN$5:AN196,AN196)&gt;1,"△重複（集計されない）",IF(G196="","△タスク名なし",IF(ISNA(MATCH(AQ196,'M1_類型マスタ'!$A$5:$A$19,0)),"△類型が不正",IF(OR(AP196="",N(AP196)&lt;1,N(AP196)&gt;6),"△業務区分が不正",IF(OR(AS196="",AT196=""),"△回数・分が読めない",IF(SUMPRODUCT(--ISNUMBER(--T196:Z196))&lt;7,"△採点が足りない",IF(SUMPRODUCT((--T196:Z196&gt;2)+(--T196:Z196&lt;0))&gt;0,"△採点が範囲外","OK"))))))))))))</f>
        <v/>
      </c>
      <c r="AC196">
        <f>IF(AB196&lt;&gt;"OK","",TRIM(IF(AND(AU196&lt;&gt;"",N(AU196)&lt;=1),"根拠1件 ","")&amp;IF(AV196&lt;&gt;"","同名あり ","")&amp;IF(AND(NOT(ISNUMBER(N196)),N196&lt;&gt;""),"回数を換算 ","")&amp;IF(J196="","詳細なし ","")&amp;IF(AND(N(AP196)=1,BB196=""),"顧客名なし ","")))</f>
        <v/>
      </c>
      <c r="AD196" s="31" t="n"/>
      <c r="AE196" s="32" t="n"/>
      <c r="AF196" s="32" t="n"/>
      <c r="AG196" s="31" t="n"/>
      <c r="AH196">
        <f>IF(AB196&lt;&gt;"OK","",IF(AG196&lt;&gt;"",AG196,AJ196))</f>
        <v/>
      </c>
      <c r="AI196" s="33">
        <f>IF(AB196&lt;&gt;"OK","",IFERROR(IF(AE196&lt;&gt;"",AE196,AS196)*IF(AF196&lt;&gt;"",AF196,AT196)/60,""))</f>
        <v/>
      </c>
      <c r="AJ196">
        <f>IF(AB196&lt;&gt;"OK","",IF(OR(VALUE(T196)=2,VALUE(U196)=2,VALUE(V196)=2),"社内残置",IF(AND(VALUE(T196)=0,VALUE(W196)=0,VALUE(Y196)=0),"自動化候補",IF(AND(VALUE(U196)=0,VALUE(W196)&lt;=1,VALUE(X196)&lt;=1,VALUE(Y196)&lt;=1,VALUE(Z196)&lt;=1),"オフショア候補",IF(AND(VALUE(Y196)&lt;=1,VALUE(Z196)&lt;=1),"ニアショア候補","社内で手順化→再評価")))))</f>
        <v/>
      </c>
      <c r="AK196">
        <f>IF(AB196&lt;&gt;"OK","",14-SUMPRODUCT(--T196:Z196))</f>
        <v/>
      </c>
      <c r="AL196" s="33">
        <f>IF(AB196&lt;&gt;"OK","",AS196*AT196/60)</f>
        <v/>
      </c>
      <c r="AM196" s="34">
        <f>IF(A196="","",UPPER(TRIM(ASC(A196&amp;""))))</f>
        <v/>
      </c>
      <c r="AN196" s="34">
        <f>IF(AM196="","",AM196&amp;"-"&amp;B196)</f>
        <v/>
      </c>
      <c r="AO196" s="34">
        <f>IF(C196="","",IFERROR(VALUE(ASC(SUBSTITUTE(C196&amp;"","観点",""))),""))</f>
        <v/>
      </c>
      <c r="AP196" s="34">
        <f>IF(D196="","",IFERROR(VALUE(LEFT(TRIM(ASC(D196&amp;"")),1)),IFERROR(MATCH(TRIM(D196&amp;""),'M2_区分マスタ'!$I$5:$I$10,0),"")))</f>
        <v/>
      </c>
      <c r="AQ196" s="34">
        <f>IF(H196="","",UPPER(LEFT(TRIM(ASC(H196&amp;"")),3)))</f>
        <v/>
      </c>
      <c r="AR196" s="34">
        <f>IF(N196="","",IFERROR(VALUE(SUBSTITUTE(SUBSTITUTE(SUBSTITUTE(SUBSTITUTE(SUBSTITUTE(SUBSTITUTE(SUBSTITUTE(SUBSTITUTE(SUBSTITUTE(SUBSTITUTE(SUBSTITUTE(SUBSTITUTE(ASC(N196&amp;""),"約",""),"程度",""),"ほど",""),"回",""),"毎",""),"週",""),"月",""),"年",""),"日",""),"に",""),"/","")," ","")),""))</f>
        <v/>
      </c>
      <c r="AS196" s="34">
        <f>IF(N196="","",IF(ISNUMBER(N196),N196,IFERROR(VALUE(ASC(N196&amp;"")),IF(AR196&lt;&gt;"",AR196*IF(ISNUMBER(SEARCH("週",N196)),4.3,IF(ISNUMBER(SEARCH("年",N196)),1/12,IF(ISNUMBER(SEARCH("日",N196)),20,1))),IF(ISNUMBER(SEARCH("日",N196)),20,IF(ISNUMBER(SEARCH("週",N196)),4.3,IF(ISNUMBER(SEARCH("月",N196)),1,"")))))))</f>
        <v/>
      </c>
      <c r="AT196" s="34">
        <f>IF(O196="","",IF(ISNUMBER(O196),O196,IFERROR(VALUE(ASC(O196&amp;"")),IF(ISNUMBER(SEARCH("時間",O196)),IFERROR(VALUE(SUBSTITUTE(SUBSTITUTE(SUBSTITUTE(SUBSTITUTE(SUBSTITUTE(ASC(O196&amp;""),"約",""),"程度",""),"ほど",""),"時間","")," ",""))*60,""),IFERROR(VALUE(SUBSTITUTE(SUBSTITUTE(SUBSTITUTE(SUBSTITUTE(SUBSTITUTE(ASC(O196&amp;""),"約",""),"程度",""),"ほど",""),"分","")," ","")),"")))))</f>
        <v/>
      </c>
      <c r="AU196" s="34">
        <f>IF(P196="","",IF(ISNUMBER(P196),P196,IFERROR(VALUE(SUBSTITUTE(SUBSTITUTE(SUBSTITUTE(ASC(P196&amp;""),"約",""),"件","")," ","")),"")))</f>
        <v/>
      </c>
      <c r="AV196" s="34">
        <f>IF(AB196&lt;&gt;"OK","",IF(COUNTIFS($G$5:$G$404,G196&amp;"",$F$5:$F$404,F196&amp;"",$BE$5:$BE$404,BE196&amp;"",$AB$5:$AB$404,"OK")&gt;1,"同名あり",""))</f>
        <v/>
      </c>
      <c r="AW196" s="35">
        <f>IF(Q196="","",IF(ISNUMBER(Q196),Q196,IFERROR(DATEVALUE(SUBSTITUTE(SUBSTITUTE(ASC(Q196&amp;""),"-","/"),".","/")&amp;"/01"),"")))</f>
        <v/>
      </c>
      <c r="AX196" s="35">
        <f>IF(R196="","",IF(ISNUMBER(R196),R196,IFERROR(DATEVALUE(SUBSTITUTE(SUBSTITUTE(ASC(R196&amp;""),"-","/"),".","/")&amp;"/01"),"")))</f>
        <v/>
      </c>
      <c r="AY196" s="34">
        <f>IF(OR(AB196&lt;&gt;"OK",AW196=""),"",IF(AW196&gt;='01_設定'!$C$26,1,0))</f>
        <v/>
      </c>
      <c r="AZ196" s="34">
        <f>IF(AND(AB196="OK",AD196&lt;&gt;"除外"),COUNTIFS($AB$5:AB196,"OK",$AD$5:AD196,"&lt;&gt;除外"),"")</f>
        <v/>
      </c>
      <c r="BA196" s="34">
        <f>IF(OR(AZ196="",AI196=""),"",AI196+ROW()/1000000000)</f>
        <v/>
      </c>
      <c r="BB196" s="34">
        <f>IF(E196="","",IF(OR(TRIM(E196&amp;"")="-",TRIM(E196&amp;"")="－",TRIM(E196&amp;"")="ー"),"",TRIM(E196&amp;"")))</f>
        <v/>
      </c>
      <c r="BC196" s="34">
        <f>IF(AND(AB196="OK",BB196&lt;&gt;""),IF(COUNTIFS($BB$5:BB196,BB196,$AB$5:AB196,"OK")=1,1,""),"")</f>
        <v/>
      </c>
      <c r="BD196" s="34">
        <f>IF(BC196=1,COUNTIF($BC$5:BC196,1),"")</f>
        <v/>
      </c>
      <c r="BE196" s="34">
        <f>IF(BB196="","",IFERROR(INDEX('06_顧客別集計'!$G$5:$G$104,MATCH(BB196,'06_顧客別集計'!$C$5:$C$104,0)),BB196))</f>
        <v/>
      </c>
      <c r="BF196" s="34">
        <f>IF(AND(AZ196&lt;&gt;"",BE196&lt;&gt;""),IF(COUNTIFS($BE$5:BE196,BE196,$AZ$5:AZ196,"&gt;0")=1,1,""),"")</f>
        <v/>
      </c>
      <c r="BG196" s="34">
        <f>IF(BF196=1,COUNTIF($BF$5:BF196,1),"")</f>
        <v/>
      </c>
    </row>
    <row r="197">
      <c r="AB197">
        <f>IF(AND(A197="",G197=""),"",IF(ISNUMBER(SEARCH("##END",AM197)),"（終わりの印）",IF(ISNUMBER(SEARCH("##続き",AM197)),"（続きありの印）",IF(AM197="調査ID","（見出し行）",IF(AND(AM197&lt;&gt;"R1",AM197&lt;&gt;"R2"),"×表以外の行（集計されない）",IF(COUNTIF($AN$5:AN197,AN197)&gt;1,"△重複（集計されない）",IF(G197="","△タスク名なし",IF(ISNA(MATCH(AQ197,'M1_類型マスタ'!$A$5:$A$19,0)),"△類型が不正",IF(OR(AP197="",N(AP197)&lt;1,N(AP197)&gt;6),"△業務区分が不正",IF(OR(AS197="",AT197=""),"△回数・分が読めない",IF(SUMPRODUCT(--ISNUMBER(--T197:Z197))&lt;7,"△採点が足りない",IF(SUMPRODUCT((--T197:Z197&gt;2)+(--T197:Z197&lt;0))&gt;0,"△採点が範囲外","OK"))))))))))))</f>
        <v/>
      </c>
      <c r="AC197">
        <f>IF(AB197&lt;&gt;"OK","",TRIM(IF(AND(AU197&lt;&gt;"",N(AU197)&lt;=1),"根拠1件 ","")&amp;IF(AV197&lt;&gt;"","同名あり ","")&amp;IF(AND(NOT(ISNUMBER(N197)),N197&lt;&gt;""),"回数を換算 ","")&amp;IF(J197="","詳細なし ","")&amp;IF(AND(N(AP197)=1,BB197=""),"顧客名なし ","")))</f>
        <v/>
      </c>
      <c r="AD197" s="31" t="n"/>
      <c r="AE197" s="32" t="n"/>
      <c r="AF197" s="32" t="n"/>
      <c r="AG197" s="31" t="n"/>
      <c r="AH197">
        <f>IF(AB197&lt;&gt;"OK","",IF(AG197&lt;&gt;"",AG197,AJ197))</f>
        <v/>
      </c>
      <c r="AI197" s="33">
        <f>IF(AB197&lt;&gt;"OK","",IFERROR(IF(AE197&lt;&gt;"",AE197,AS197)*IF(AF197&lt;&gt;"",AF197,AT197)/60,""))</f>
        <v/>
      </c>
      <c r="AJ197">
        <f>IF(AB197&lt;&gt;"OK","",IF(OR(VALUE(T197)=2,VALUE(U197)=2,VALUE(V197)=2),"社内残置",IF(AND(VALUE(T197)=0,VALUE(W197)=0,VALUE(Y197)=0),"自動化候補",IF(AND(VALUE(U197)=0,VALUE(W197)&lt;=1,VALUE(X197)&lt;=1,VALUE(Y197)&lt;=1,VALUE(Z197)&lt;=1),"オフショア候補",IF(AND(VALUE(Y197)&lt;=1,VALUE(Z197)&lt;=1),"ニアショア候補","社内で手順化→再評価")))))</f>
        <v/>
      </c>
      <c r="AK197">
        <f>IF(AB197&lt;&gt;"OK","",14-SUMPRODUCT(--T197:Z197))</f>
        <v/>
      </c>
      <c r="AL197" s="33">
        <f>IF(AB197&lt;&gt;"OK","",AS197*AT197/60)</f>
        <v/>
      </c>
      <c r="AM197" s="34">
        <f>IF(A197="","",UPPER(TRIM(ASC(A197&amp;""))))</f>
        <v/>
      </c>
      <c r="AN197" s="34">
        <f>IF(AM197="","",AM197&amp;"-"&amp;B197)</f>
        <v/>
      </c>
      <c r="AO197" s="34">
        <f>IF(C197="","",IFERROR(VALUE(ASC(SUBSTITUTE(C197&amp;"","観点",""))),""))</f>
        <v/>
      </c>
      <c r="AP197" s="34">
        <f>IF(D197="","",IFERROR(VALUE(LEFT(TRIM(ASC(D197&amp;"")),1)),IFERROR(MATCH(TRIM(D197&amp;""),'M2_区分マスタ'!$I$5:$I$10,0),"")))</f>
        <v/>
      </c>
      <c r="AQ197" s="34">
        <f>IF(H197="","",UPPER(LEFT(TRIM(ASC(H197&amp;"")),3)))</f>
        <v/>
      </c>
      <c r="AR197" s="34">
        <f>IF(N197="","",IFERROR(VALUE(SUBSTITUTE(SUBSTITUTE(SUBSTITUTE(SUBSTITUTE(SUBSTITUTE(SUBSTITUTE(SUBSTITUTE(SUBSTITUTE(SUBSTITUTE(SUBSTITUTE(SUBSTITUTE(SUBSTITUTE(ASC(N197&amp;""),"約",""),"程度",""),"ほど",""),"回",""),"毎",""),"週",""),"月",""),"年",""),"日",""),"に",""),"/","")," ","")),""))</f>
        <v/>
      </c>
      <c r="AS197" s="34">
        <f>IF(N197="","",IF(ISNUMBER(N197),N197,IFERROR(VALUE(ASC(N197&amp;"")),IF(AR197&lt;&gt;"",AR197*IF(ISNUMBER(SEARCH("週",N197)),4.3,IF(ISNUMBER(SEARCH("年",N197)),1/12,IF(ISNUMBER(SEARCH("日",N197)),20,1))),IF(ISNUMBER(SEARCH("日",N197)),20,IF(ISNUMBER(SEARCH("週",N197)),4.3,IF(ISNUMBER(SEARCH("月",N197)),1,"")))))))</f>
        <v/>
      </c>
      <c r="AT197" s="34">
        <f>IF(O197="","",IF(ISNUMBER(O197),O197,IFERROR(VALUE(ASC(O197&amp;"")),IF(ISNUMBER(SEARCH("時間",O197)),IFERROR(VALUE(SUBSTITUTE(SUBSTITUTE(SUBSTITUTE(SUBSTITUTE(SUBSTITUTE(ASC(O197&amp;""),"約",""),"程度",""),"ほど",""),"時間","")," ",""))*60,""),IFERROR(VALUE(SUBSTITUTE(SUBSTITUTE(SUBSTITUTE(SUBSTITUTE(SUBSTITUTE(ASC(O197&amp;""),"約",""),"程度",""),"ほど",""),"分","")," ","")),"")))))</f>
        <v/>
      </c>
      <c r="AU197" s="34">
        <f>IF(P197="","",IF(ISNUMBER(P197),P197,IFERROR(VALUE(SUBSTITUTE(SUBSTITUTE(SUBSTITUTE(ASC(P197&amp;""),"約",""),"件","")," ","")),"")))</f>
        <v/>
      </c>
      <c r="AV197" s="34">
        <f>IF(AB197&lt;&gt;"OK","",IF(COUNTIFS($G$5:$G$404,G197&amp;"",$F$5:$F$404,F197&amp;"",$BE$5:$BE$404,BE197&amp;"",$AB$5:$AB$404,"OK")&gt;1,"同名あり",""))</f>
        <v/>
      </c>
      <c r="AW197" s="35">
        <f>IF(Q197="","",IF(ISNUMBER(Q197),Q197,IFERROR(DATEVALUE(SUBSTITUTE(SUBSTITUTE(ASC(Q197&amp;""),"-","/"),".","/")&amp;"/01"),"")))</f>
        <v/>
      </c>
      <c r="AX197" s="35">
        <f>IF(R197="","",IF(ISNUMBER(R197),R197,IFERROR(DATEVALUE(SUBSTITUTE(SUBSTITUTE(ASC(R197&amp;""),"-","/"),".","/")&amp;"/01"),"")))</f>
        <v/>
      </c>
      <c r="AY197" s="34">
        <f>IF(OR(AB197&lt;&gt;"OK",AW197=""),"",IF(AW197&gt;='01_設定'!$C$26,1,0))</f>
        <v/>
      </c>
      <c r="AZ197" s="34">
        <f>IF(AND(AB197="OK",AD197&lt;&gt;"除外"),COUNTIFS($AB$5:AB197,"OK",$AD$5:AD197,"&lt;&gt;除外"),"")</f>
        <v/>
      </c>
      <c r="BA197" s="34">
        <f>IF(OR(AZ197="",AI197=""),"",AI197+ROW()/1000000000)</f>
        <v/>
      </c>
      <c r="BB197" s="34">
        <f>IF(E197="","",IF(OR(TRIM(E197&amp;"")="-",TRIM(E197&amp;"")="－",TRIM(E197&amp;"")="ー"),"",TRIM(E197&amp;"")))</f>
        <v/>
      </c>
      <c r="BC197" s="34">
        <f>IF(AND(AB197="OK",BB197&lt;&gt;""),IF(COUNTIFS($BB$5:BB197,BB197,$AB$5:AB197,"OK")=1,1,""),"")</f>
        <v/>
      </c>
      <c r="BD197" s="34">
        <f>IF(BC197=1,COUNTIF($BC$5:BC197,1),"")</f>
        <v/>
      </c>
      <c r="BE197" s="34">
        <f>IF(BB197="","",IFERROR(INDEX('06_顧客別集計'!$G$5:$G$104,MATCH(BB197,'06_顧客別集計'!$C$5:$C$104,0)),BB197))</f>
        <v/>
      </c>
      <c r="BF197" s="34">
        <f>IF(AND(AZ197&lt;&gt;"",BE197&lt;&gt;""),IF(COUNTIFS($BE$5:BE197,BE197,$AZ$5:AZ197,"&gt;0")=1,1,""),"")</f>
        <v/>
      </c>
      <c r="BG197" s="34">
        <f>IF(BF197=1,COUNTIF($BF$5:BF197,1),"")</f>
        <v/>
      </c>
    </row>
    <row r="198">
      <c r="AB198">
        <f>IF(AND(A198="",G198=""),"",IF(ISNUMBER(SEARCH("##END",AM198)),"（終わりの印）",IF(ISNUMBER(SEARCH("##続き",AM198)),"（続きありの印）",IF(AM198="調査ID","（見出し行）",IF(AND(AM198&lt;&gt;"R1",AM198&lt;&gt;"R2"),"×表以外の行（集計されない）",IF(COUNTIF($AN$5:AN198,AN198)&gt;1,"△重複（集計されない）",IF(G198="","△タスク名なし",IF(ISNA(MATCH(AQ198,'M1_類型マスタ'!$A$5:$A$19,0)),"△類型が不正",IF(OR(AP198="",N(AP198)&lt;1,N(AP198)&gt;6),"△業務区分が不正",IF(OR(AS198="",AT198=""),"△回数・分が読めない",IF(SUMPRODUCT(--ISNUMBER(--T198:Z198))&lt;7,"△採点が足りない",IF(SUMPRODUCT((--T198:Z198&gt;2)+(--T198:Z198&lt;0))&gt;0,"△採点が範囲外","OK"))))))))))))</f>
        <v/>
      </c>
      <c r="AC198">
        <f>IF(AB198&lt;&gt;"OK","",TRIM(IF(AND(AU198&lt;&gt;"",N(AU198)&lt;=1),"根拠1件 ","")&amp;IF(AV198&lt;&gt;"","同名あり ","")&amp;IF(AND(NOT(ISNUMBER(N198)),N198&lt;&gt;""),"回数を換算 ","")&amp;IF(J198="","詳細なし ","")&amp;IF(AND(N(AP198)=1,BB198=""),"顧客名なし ","")))</f>
        <v/>
      </c>
      <c r="AD198" s="31" t="n"/>
      <c r="AE198" s="32" t="n"/>
      <c r="AF198" s="32" t="n"/>
      <c r="AG198" s="31" t="n"/>
      <c r="AH198">
        <f>IF(AB198&lt;&gt;"OK","",IF(AG198&lt;&gt;"",AG198,AJ198))</f>
        <v/>
      </c>
      <c r="AI198" s="33">
        <f>IF(AB198&lt;&gt;"OK","",IFERROR(IF(AE198&lt;&gt;"",AE198,AS198)*IF(AF198&lt;&gt;"",AF198,AT198)/60,""))</f>
        <v/>
      </c>
      <c r="AJ198">
        <f>IF(AB198&lt;&gt;"OK","",IF(OR(VALUE(T198)=2,VALUE(U198)=2,VALUE(V198)=2),"社内残置",IF(AND(VALUE(T198)=0,VALUE(W198)=0,VALUE(Y198)=0),"自動化候補",IF(AND(VALUE(U198)=0,VALUE(W198)&lt;=1,VALUE(X198)&lt;=1,VALUE(Y198)&lt;=1,VALUE(Z198)&lt;=1),"オフショア候補",IF(AND(VALUE(Y198)&lt;=1,VALUE(Z198)&lt;=1),"ニアショア候補","社内で手順化→再評価")))))</f>
        <v/>
      </c>
      <c r="AK198">
        <f>IF(AB198&lt;&gt;"OK","",14-SUMPRODUCT(--T198:Z198))</f>
        <v/>
      </c>
      <c r="AL198" s="33">
        <f>IF(AB198&lt;&gt;"OK","",AS198*AT198/60)</f>
        <v/>
      </c>
      <c r="AM198" s="34">
        <f>IF(A198="","",UPPER(TRIM(ASC(A198&amp;""))))</f>
        <v/>
      </c>
      <c r="AN198" s="34">
        <f>IF(AM198="","",AM198&amp;"-"&amp;B198)</f>
        <v/>
      </c>
      <c r="AO198" s="34">
        <f>IF(C198="","",IFERROR(VALUE(ASC(SUBSTITUTE(C198&amp;"","観点",""))),""))</f>
        <v/>
      </c>
      <c r="AP198" s="34">
        <f>IF(D198="","",IFERROR(VALUE(LEFT(TRIM(ASC(D198&amp;"")),1)),IFERROR(MATCH(TRIM(D198&amp;""),'M2_区分マスタ'!$I$5:$I$10,0),"")))</f>
        <v/>
      </c>
      <c r="AQ198" s="34">
        <f>IF(H198="","",UPPER(LEFT(TRIM(ASC(H198&amp;"")),3)))</f>
        <v/>
      </c>
      <c r="AR198" s="34">
        <f>IF(N198="","",IFERROR(VALUE(SUBSTITUTE(SUBSTITUTE(SUBSTITUTE(SUBSTITUTE(SUBSTITUTE(SUBSTITUTE(SUBSTITUTE(SUBSTITUTE(SUBSTITUTE(SUBSTITUTE(SUBSTITUTE(SUBSTITUTE(ASC(N198&amp;""),"約",""),"程度",""),"ほど",""),"回",""),"毎",""),"週",""),"月",""),"年",""),"日",""),"に",""),"/","")," ","")),""))</f>
        <v/>
      </c>
      <c r="AS198" s="34">
        <f>IF(N198="","",IF(ISNUMBER(N198),N198,IFERROR(VALUE(ASC(N198&amp;"")),IF(AR198&lt;&gt;"",AR198*IF(ISNUMBER(SEARCH("週",N198)),4.3,IF(ISNUMBER(SEARCH("年",N198)),1/12,IF(ISNUMBER(SEARCH("日",N198)),20,1))),IF(ISNUMBER(SEARCH("日",N198)),20,IF(ISNUMBER(SEARCH("週",N198)),4.3,IF(ISNUMBER(SEARCH("月",N198)),1,"")))))))</f>
        <v/>
      </c>
      <c r="AT198" s="34">
        <f>IF(O198="","",IF(ISNUMBER(O198),O198,IFERROR(VALUE(ASC(O198&amp;"")),IF(ISNUMBER(SEARCH("時間",O198)),IFERROR(VALUE(SUBSTITUTE(SUBSTITUTE(SUBSTITUTE(SUBSTITUTE(SUBSTITUTE(ASC(O198&amp;""),"約",""),"程度",""),"ほど",""),"時間","")," ",""))*60,""),IFERROR(VALUE(SUBSTITUTE(SUBSTITUTE(SUBSTITUTE(SUBSTITUTE(SUBSTITUTE(ASC(O198&amp;""),"約",""),"程度",""),"ほど",""),"分","")," ","")),"")))))</f>
        <v/>
      </c>
      <c r="AU198" s="34">
        <f>IF(P198="","",IF(ISNUMBER(P198),P198,IFERROR(VALUE(SUBSTITUTE(SUBSTITUTE(SUBSTITUTE(ASC(P198&amp;""),"約",""),"件","")," ","")),"")))</f>
        <v/>
      </c>
      <c r="AV198" s="34">
        <f>IF(AB198&lt;&gt;"OK","",IF(COUNTIFS($G$5:$G$404,G198&amp;"",$F$5:$F$404,F198&amp;"",$BE$5:$BE$404,BE198&amp;"",$AB$5:$AB$404,"OK")&gt;1,"同名あり",""))</f>
        <v/>
      </c>
      <c r="AW198" s="35">
        <f>IF(Q198="","",IF(ISNUMBER(Q198),Q198,IFERROR(DATEVALUE(SUBSTITUTE(SUBSTITUTE(ASC(Q198&amp;""),"-","/"),".","/")&amp;"/01"),"")))</f>
        <v/>
      </c>
      <c r="AX198" s="35">
        <f>IF(R198="","",IF(ISNUMBER(R198),R198,IFERROR(DATEVALUE(SUBSTITUTE(SUBSTITUTE(ASC(R198&amp;""),"-","/"),".","/")&amp;"/01"),"")))</f>
        <v/>
      </c>
      <c r="AY198" s="34">
        <f>IF(OR(AB198&lt;&gt;"OK",AW198=""),"",IF(AW198&gt;='01_設定'!$C$26,1,0))</f>
        <v/>
      </c>
      <c r="AZ198" s="34">
        <f>IF(AND(AB198="OK",AD198&lt;&gt;"除外"),COUNTIFS($AB$5:AB198,"OK",$AD$5:AD198,"&lt;&gt;除外"),"")</f>
        <v/>
      </c>
      <c r="BA198" s="34">
        <f>IF(OR(AZ198="",AI198=""),"",AI198+ROW()/1000000000)</f>
        <v/>
      </c>
      <c r="BB198" s="34">
        <f>IF(E198="","",IF(OR(TRIM(E198&amp;"")="-",TRIM(E198&amp;"")="－",TRIM(E198&amp;"")="ー"),"",TRIM(E198&amp;"")))</f>
        <v/>
      </c>
      <c r="BC198" s="34">
        <f>IF(AND(AB198="OK",BB198&lt;&gt;""),IF(COUNTIFS($BB$5:BB198,BB198,$AB$5:AB198,"OK")=1,1,""),"")</f>
        <v/>
      </c>
      <c r="BD198" s="34">
        <f>IF(BC198=1,COUNTIF($BC$5:BC198,1),"")</f>
        <v/>
      </c>
      <c r="BE198" s="34">
        <f>IF(BB198="","",IFERROR(INDEX('06_顧客別集計'!$G$5:$G$104,MATCH(BB198,'06_顧客別集計'!$C$5:$C$104,0)),BB198))</f>
        <v/>
      </c>
      <c r="BF198" s="34">
        <f>IF(AND(AZ198&lt;&gt;"",BE198&lt;&gt;""),IF(COUNTIFS($BE$5:BE198,BE198,$AZ$5:AZ198,"&gt;0")=1,1,""),"")</f>
        <v/>
      </c>
      <c r="BG198" s="34">
        <f>IF(BF198=1,COUNTIF($BF$5:BF198,1),"")</f>
        <v/>
      </c>
    </row>
    <row r="199">
      <c r="AB199">
        <f>IF(AND(A199="",G199=""),"",IF(ISNUMBER(SEARCH("##END",AM199)),"（終わりの印）",IF(ISNUMBER(SEARCH("##続き",AM199)),"（続きありの印）",IF(AM199="調査ID","（見出し行）",IF(AND(AM199&lt;&gt;"R1",AM199&lt;&gt;"R2"),"×表以外の行（集計されない）",IF(COUNTIF($AN$5:AN199,AN199)&gt;1,"△重複（集計されない）",IF(G199="","△タスク名なし",IF(ISNA(MATCH(AQ199,'M1_類型マスタ'!$A$5:$A$19,0)),"△類型が不正",IF(OR(AP199="",N(AP199)&lt;1,N(AP199)&gt;6),"△業務区分が不正",IF(OR(AS199="",AT199=""),"△回数・分が読めない",IF(SUMPRODUCT(--ISNUMBER(--T199:Z199))&lt;7,"△採点が足りない",IF(SUMPRODUCT((--T199:Z199&gt;2)+(--T199:Z199&lt;0))&gt;0,"△採点が範囲外","OK"))))))))))))</f>
        <v/>
      </c>
      <c r="AC199">
        <f>IF(AB199&lt;&gt;"OK","",TRIM(IF(AND(AU199&lt;&gt;"",N(AU199)&lt;=1),"根拠1件 ","")&amp;IF(AV199&lt;&gt;"","同名あり ","")&amp;IF(AND(NOT(ISNUMBER(N199)),N199&lt;&gt;""),"回数を換算 ","")&amp;IF(J199="","詳細なし ","")&amp;IF(AND(N(AP199)=1,BB199=""),"顧客名なし ","")))</f>
        <v/>
      </c>
      <c r="AD199" s="31" t="n"/>
      <c r="AE199" s="32" t="n"/>
      <c r="AF199" s="32" t="n"/>
      <c r="AG199" s="31" t="n"/>
      <c r="AH199">
        <f>IF(AB199&lt;&gt;"OK","",IF(AG199&lt;&gt;"",AG199,AJ199))</f>
        <v/>
      </c>
      <c r="AI199" s="33">
        <f>IF(AB199&lt;&gt;"OK","",IFERROR(IF(AE199&lt;&gt;"",AE199,AS199)*IF(AF199&lt;&gt;"",AF199,AT199)/60,""))</f>
        <v/>
      </c>
      <c r="AJ199">
        <f>IF(AB199&lt;&gt;"OK","",IF(OR(VALUE(T199)=2,VALUE(U199)=2,VALUE(V199)=2),"社内残置",IF(AND(VALUE(T199)=0,VALUE(W199)=0,VALUE(Y199)=0),"自動化候補",IF(AND(VALUE(U199)=0,VALUE(W199)&lt;=1,VALUE(X199)&lt;=1,VALUE(Y199)&lt;=1,VALUE(Z199)&lt;=1),"オフショア候補",IF(AND(VALUE(Y199)&lt;=1,VALUE(Z199)&lt;=1),"ニアショア候補","社内で手順化→再評価")))))</f>
        <v/>
      </c>
      <c r="AK199">
        <f>IF(AB199&lt;&gt;"OK","",14-SUMPRODUCT(--T199:Z199))</f>
        <v/>
      </c>
      <c r="AL199" s="33">
        <f>IF(AB199&lt;&gt;"OK","",AS199*AT199/60)</f>
        <v/>
      </c>
      <c r="AM199" s="34">
        <f>IF(A199="","",UPPER(TRIM(ASC(A199&amp;""))))</f>
        <v/>
      </c>
      <c r="AN199" s="34">
        <f>IF(AM199="","",AM199&amp;"-"&amp;B199)</f>
        <v/>
      </c>
      <c r="AO199" s="34">
        <f>IF(C199="","",IFERROR(VALUE(ASC(SUBSTITUTE(C199&amp;"","観点",""))),""))</f>
        <v/>
      </c>
      <c r="AP199" s="34">
        <f>IF(D199="","",IFERROR(VALUE(LEFT(TRIM(ASC(D199&amp;"")),1)),IFERROR(MATCH(TRIM(D199&amp;""),'M2_区分マスタ'!$I$5:$I$10,0),"")))</f>
        <v/>
      </c>
      <c r="AQ199" s="34">
        <f>IF(H199="","",UPPER(LEFT(TRIM(ASC(H199&amp;"")),3)))</f>
        <v/>
      </c>
      <c r="AR199" s="34">
        <f>IF(N199="","",IFERROR(VALUE(SUBSTITUTE(SUBSTITUTE(SUBSTITUTE(SUBSTITUTE(SUBSTITUTE(SUBSTITUTE(SUBSTITUTE(SUBSTITUTE(SUBSTITUTE(SUBSTITUTE(SUBSTITUTE(SUBSTITUTE(ASC(N199&amp;""),"約",""),"程度",""),"ほど",""),"回",""),"毎",""),"週",""),"月",""),"年",""),"日",""),"に",""),"/","")," ","")),""))</f>
        <v/>
      </c>
      <c r="AS199" s="34">
        <f>IF(N199="","",IF(ISNUMBER(N199),N199,IFERROR(VALUE(ASC(N199&amp;"")),IF(AR199&lt;&gt;"",AR199*IF(ISNUMBER(SEARCH("週",N199)),4.3,IF(ISNUMBER(SEARCH("年",N199)),1/12,IF(ISNUMBER(SEARCH("日",N199)),20,1))),IF(ISNUMBER(SEARCH("日",N199)),20,IF(ISNUMBER(SEARCH("週",N199)),4.3,IF(ISNUMBER(SEARCH("月",N199)),1,"")))))))</f>
        <v/>
      </c>
      <c r="AT199" s="34">
        <f>IF(O199="","",IF(ISNUMBER(O199),O199,IFERROR(VALUE(ASC(O199&amp;"")),IF(ISNUMBER(SEARCH("時間",O199)),IFERROR(VALUE(SUBSTITUTE(SUBSTITUTE(SUBSTITUTE(SUBSTITUTE(SUBSTITUTE(ASC(O199&amp;""),"約",""),"程度",""),"ほど",""),"時間","")," ",""))*60,""),IFERROR(VALUE(SUBSTITUTE(SUBSTITUTE(SUBSTITUTE(SUBSTITUTE(SUBSTITUTE(ASC(O199&amp;""),"約",""),"程度",""),"ほど",""),"分","")," ","")),"")))))</f>
        <v/>
      </c>
      <c r="AU199" s="34">
        <f>IF(P199="","",IF(ISNUMBER(P199),P199,IFERROR(VALUE(SUBSTITUTE(SUBSTITUTE(SUBSTITUTE(ASC(P199&amp;""),"約",""),"件","")," ","")),"")))</f>
        <v/>
      </c>
      <c r="AV199" s="34">
        <f>IF(AB199&lt;&gt;"OK","",IF(COUNTIFS($G$5:$G$404,G199&amp;"",$F$5:$F$404,F199&amp;"",$BE$5:$BE$404,BE199&amp;"",$AB$5:$AB$404,"OK")&gt;1,"同名あり",""))</f>
        <v/>
      </c>
      <c r="AW199" s="35">
        <f>IF(Q199="","",IF(ISNUMBER(Q199),Q199,IFERROR(DATEVALUE(SUBSTITUTE(SUBSTITUTE(ASC(Q199&amp;""),"-","/"),".","/")&amp;"/01"),"")))</f>
        <v/>
      </c>
      <c r="AX199" s="35">
        <f>IF(R199="","",IF(ISNUMBER(R199),R199,IFERROR(DATEVALUE(SUBSTITUTE(SUBSTITUTE(ASC(R199&amp;""),"-","/"),".","/")&amp;"/01"),"")))</f>
        <v/>
      </c>
      <c r="AY199" s="34">
        <f>IF(OR(AB199&lt;&gt;"OK",AW199=""),"",IF(AW199&gt;='01_設定'!$C$26,1,0))</f>
        <v/>
      </c>
      <c r="AZ199" s="34">
        <f>IF(AND(AB199="OK",AD199&lt;&gt;"除外"),COUNTIFS($AB$5:AB199,"OK",$AD$5:AD199,"&lt;&gt;除外"),"")</f>
        <v/>
      </c>
      <c r="BA199" s="34">
        <f>IF(OR(AZ199="",AI199=""),"",AI199+ROW()/1000000000)</f>
        <v/>
      </c>
      <c r="BB199" s="34">
        <f>IF(E199="","",IF(OR(TRIM(E199&amp;"")="-",TRIM(E199&amp;"")="－",TRIM(E199&amp;"")="ー"),"",TRIM(E199&amp;"")))</f>
        <v/>
      </c>
      <c r="BC199" s="34">
        <f>IF(AND(AB199="OK",BB199&lt;&gt;""),IF(COUNTIFS($BB$5:BB199,BB199,$AB$5:AB199,"OK")=1,1,""),"")</f>
        <v/>
      </c>
      <c r="BD199" s="34">
        <f>IF(BC199=1,COUNTIF($BC$5:BC199,1),"")</f>
        <v/>
      </c>
      <c r="BE199" s="34">
        <f>IF(BB199="","",IFERROR(INDEX('06_顧客別集計'!$G$5:$G$104,MATCH(BB199,'06_顧客別集計'!$C$5:$C$104,0)),BB199))</f>
        <v/>
      </c>
      <c r="BF199" s="34">
        <f>IF(AND(AZ199&lt;&gt;"",BE199&lt;&gt;""),IF(COUNTIFS($BE$5:BE199,BE199,$AZ$5:AZ199,"&gt;0")=1,1,""),"")</f>
        <v/>
      </c>
      <c r="BG199" s="34">
        <f>IF(BF199=1,COUNTIF($BF$5:BF199,1),"")</f>
        <v/>
      </c>
    </row>
    <row r="200">
      <c r="AB200">
        <f>IF(AND(A200="",G200=""),"",IF(ISNUMBER(SEARCH("##END",AM200)),"（終わりの印）",IF(ISNUMBER(SEARCH("##続き",AM200)),"（続きありの印）",IF(AM200="調査ID","（見出し行）",IF(AND(AM200&lt;&gt;"R1",AM200&lt;&gt;"R2"),"×表以外の行（集計されない）",IF(COUNTIF($AN$5:AN200,AN200)&gt;1,"△重複（集計されない）",IF(G200="","△タスク名なし",IF(ISNA(MATCH(AQ200,'M1_類型マスタ'!$A$5:$A$19,0)),"△類型が不正",IF(OR(AP200="",N(AP200)&lt;1,N(AP200)&gt;6),"△業務区分が不正",IF(OR(AS200="",AT200=""),"△回数・分が読めない",IF(SUMPRODUCT(--ISNUMBER(--T200:Z200))&lt;7,"△採点が足りない",IF(SUMPRODUCT((--T200:Z200&gt;2)+(--T200:Z200&lt;0))&gt;0,"△採点が範囲外","OK"))))))))))))</f>
        <v/>
      </c>
      <c r="AC200">
        <f>IF(AB200&lt;&gt;"OK","",TRIM(IF(AND(AU200&lt;&gt;"",N(AU200)&lt;=1),"根拠1件 ","")&amp;IF(AV200&lt;&gt;"","同名あり ","")&amp;IF(AND(NOT(ISNUMBER(N200)),N200&lt;&gt;""),"回数を換算 ","")&amp;IF(J200="","詳細なし ","")&amp;IF(AND(N(AP200)=1,BB200=""),"顧客名なし ","")))</f>
        <v/>
      </c>
      <c r="AD200" s="31" t="n"/>
      <c r="AE200" s="32" t="n"/>
      <c r="AF200" s="32" t="n"/>
      <c r="AG200" s="31" t="n"/>
      <c r="AH200">
        <f>IF(AB200&lt;&gt;"OK","",IF(AG200&lt;&gt;"",AG200,AJ200))</f>
        <v/>
      </c>
      <c r="AI200" s="33">
        <f>IF(AB200&lt;&gt;"OK","",IFERROR(IF(AE200&lt;&gt;"",AE200,AS200)*IF(AF200&lt;&gt;"",AF200,AT200)/60,""))</f>
        <v/>
      </c>
      <c r="AJ200">
        <f>IF(AB200&lt;&gt;"OK","",IF(OR(VALUE(T200)=2,VALUE(U200)=2,VALUE(V200)=2),"社内残置",IF(AND(VALUE(T200)=0,VALUE(W200)=0,VALUE(Y200)=0),"自動化候補",IF(AND(VALUE(U200)=0,VALUE(W200)&lt;=1,VALUE(X200)&lt;=1,VALUE(Y200)&lt;=1,VALUE(Z200)&lt;=1),"オフショア候補",IF(AND(VALUE(Y200)&lt;=1,VALUE(Z200)&lt;=1),"ニアショア候補","社内で手順化→再評価")))))</f>
        <v/>
      </c>
      <c r="AK200">
        <f>IF(AB200&lt;&gt;"OK","",14-SUMPRODUCT(--T200:Z200))</f>
        <v/>
      </c>
      <c r="AL200" s="33">
        <f>IF(AB200&lt;&gt;"OK","",AS200*AT200/60)</f>
        <v/>
      </c>
      <c r="AM200" s="34">
        <f>IF(A200="","",UPPER(TRIM(ASC(A200&amp;""))))</f>
        <v/>
      </c>
      <c r="AN200" s="34">
        <f>IF(AM200="","",AM200&amp;"-"&amp;B200)</f>
        <v/>
      </c>
      <c r="AO200" s="34">
        <f>IF(C200="","",IFERROR(VALUE(ASC(SUBSTITUTE(C200&amp;"","観点",""))),""))</f>
        <v/>
      </c>
      <c r="AP200" s="34">
        <f>IF(D200="","",IFERROR(VALUE(LEFT(TRIM(ASC(D200&amp;"")),1)),IFERROR(MATCH(TRIM(D200&amp;""),'M2_区分マスタ'!$I$5:$I$10,0),"")))</f>
        <v/>
      </c>
      <c r="AQ200" s="34">
        <f>IF(H200="","",UPPER(LEFT(TRIM(ASC(H200&amp;"")),3)))</f>
        <v/>
      </c>
      <c r="AR200" s="34">
        <f>IF(N200="","",IFERROR(VALUE(SUBSTITUTE(SUBSTITUTE(SUBSTITUTE(SUBSTITUTE(SUBSTITUTE(SUBSTITUTE(SUBSTITUTE(SUBSTITUTE(SUBSTITUTE(SUBSTITUTE(SUBSTITUTE(SUBSTITUTE(ASC(N200&amp;""),"約",""),"程度",""),"ほど",""),"回",""),"毎",""),"週",""),"月",""),"年",""),"日",""),"に",""),"/","")," ","")),""))</f>
        <v/>
      </c>
      <c r="AS200" s="34">
        <f>IF(N200="","",IF(ISNUMBER(N200),N200,IFERROR(VALUE(ASC(N200&amp;"")),IF(AR200&lt;&gt;"",AR200*IF(ISNUMBER(SEARCH("週",N200)),4.3,IF(ISNUMBER(SEARCH("年",N200)),1/12,IF(ISNUMBER(SEARCH("日",N200)),20,1))),IF(ISNUMBER(SEARCH("日",N200)),20,IF(ISNUMBER(SEARCH("週",N200)),4.3,IF(ISNUMBER(SEARCH("月",N200)),1,"")))))))</f>
        <v/>
      </c>
      <c r="AT200" s="34">
        <f>IF(O200="","",IF(ISNUMBER(O200),O200,IFERROR(VALUE(ASC(O200&amp;"")),IF(ISNUMBER(SEARCH("時間",O200)),IFERROR(VALUE(SUBSTITUTE(SUBSTITUTE(SUBSTITUTE(SUBSTITUTE(SUBSTITUTE(ASC(O200&amp;""),"約",""),"程度",""),"ほど",""),"時間","")," ",""))*60,""),IFERROR(VALUE(SUBSTITUTE(SUBSTITUTE(SUBSTITUTE(SUBSTITUTE(SUBSTITUTE(ASC(O200&amp;""),"約",""),"程度",""),"ほど",""),"分","")," ","")),"")))))</f>
        <v/>
      </c>
      <c r="AU200" s="34">
        <f>IF(P200="","",IF(ISNUMBER(P200),P200,IFERROR(VALUE(SUBSTITUTE(SUBSTITUTE(SUBSTITUTE(ASC(P200&amp;""),"約",""),"件","")," ","")),"")))</f>
        <v/>
      </c>
      <c r="AV200" s="34">
        <f>IF(AB200&lt;&gt;"OK","",IF(COUNTIFS($G$5:$G$404,G200&amp;"",$F$5:$F$404,F200&amp;"",$BE$5:$BE$404,BE200&amp;"",$AB$5:$AB$404,"OK")&gt;1,"同名あり",""))</f>
        <v/>
      </c>
      <c r="AW200" s="35">
        <f>IF(Q200="","",IF(ISNUMBER(Q200),Q200,IFERROR(DATEVALUE(SUBSTITUTE(SUBSTITUTE(ASC(Q200&amp;""),"-","/"),".","/")&amp;"/01"),"")))</f>
        <v/>
      </c>
      <c r="AX200" s="35">
        <f>IF(R200="","",IF(ISNUMBER(R200),R200,IFERROR(DATEVALUE(SUBSTITUTE(SUBSTITUTE(ASC(R200&amp;""),"-","/"),".","/")&amp;"/01"),"")))</f>
        <v/>
      </c>
      <c r="AY200" s="34">
        <f>IF(OR(AB200&lt;&gt;"OK",AW200=""),"",IF(AW200&gt;='01_設定'!$C$26,1,0))</f>
        <v/>
      </c>
      <c r="AZ200" s="34">
        <f>IF(AND(AB200="OK",AD200&lt;&gt;"除外"),COUNTIFS($AB$5:AB200,"OK",$AD$5:AD200,"&lt;&gt;除外"),"")</f>
        <v/>
      </c>
      <c r="BA200" s="34">
        <f>IF(OR(AZ200="",AI200=""),"",AI200+ROW()/1000000000)</f>
        <v/>
      </c>
      <c r="BB200" s="34">
        <f>IF(E200="","",IF(OR(TRIM(E200&amp;"")="-",TRIM(E200&amp;"")="－",TRIM(E200&amp;"")="ー"),"",TRIM(E200&amp;"")))</f>
        <v/>
      </c>
      <c r="BC200" s="34">
        <f>IF(AND(AB200="OK",BB200&lt;&gt;""),IF(COUNTIFS($BB$5:BB200,BB200,$AB$5:AB200,"OK")=1,1,""),"")</f>
        <v/>
      </c>
      <c r="BD200" s="34">
        <f>IF(BC200=1,COUNTIF($BC$5:BC200,1),"")</f>
        <v/>
      </c>
      <c r="BE200" s="34">
        <f>IF(BB200="","",IFERROR(INDEX('06_顧客別集計'!$G$5:$G$104,MATCH(BB200,'06_顧客別集計'!$C$5:$C$104,0)),BB200))</f>
        <v/>
      </c>
      <c r="BF200" s="34">
        <f>IF(AND(AZ200&lt;&gt;"",BE200&lt;&gt;""),IF(COUNTIFS($BE$5:BE200,BE200,$AZ$5:AZ200,"&gt;0")=1,1,""),"")</f>
        <v/>
      </c>
      <c r="BG200" s="34">
        <f>IF(BF200=1,COUNTIF($BF$5:BF200,1),"")</f>
        <v/>
      </c>
    </row>
    <row r="201">
      <c r="AB201">
        <f>IF(AND(A201="",G201=""),"",IF(ISNUMBER(SEARCH("##END",AM201)),"（終わりの印）",IF(ISNUMBER(SEARCH("##続き",AM201)),"（続きありの印）",IF(AM201="調査ID","（見出し行）",IF(AND(AM201&lt;&gt;"R1",AM201&lt;&gt;"R2"),"×表以外の行（集計されない）",IF(COUNTIF($AN$5:AN201,AN201)&gt;1,"△重複（集計されない）",IF(G201="","△タスク名なし",IF(ISNA(MATCH(AQ201,'M1_類型マスタ'!$A$5:$A$19,0)),"△類型が不正",IF(OR(AP201="",N(AP201)&lt;1,N(AP201)&gt;6),"△業務区分が不正",IF(OR(AS201="",AT201=""),"△回数・分が読めない",IF(SUMPRODUCT(--ISNUMBER(--T201:Z201))&lt;7,"△採点が足りない",IF(SUMPRODUCT((--T201:Z201&gt;2)+(--T201:Z201&lt;0))&gt;0,"△採点が範囲外","OK"))))))))))))</f>
        <v/>
      </c>
      <c r="AC201">
        <f>IF(AB201&lt;&gt;"OK","",TRIM(IF(AND(AU201&lt;&gt;"",N(AU201)&lt;=1),"根拠1件 ","")&amp;IF(AV201&lt;&gt;"","同名あり ","")&amp;IF(AND(NOT(ISNUMBER(N201)),N201&lt;&gt;""),"回数を換算 ","")&amp;IF(J201="","詳細なし ","")&amp;IF(AND(N(AP201)=1,BB201=""),"顧客名なし ","")))</f>
        <v/>
      </c>
      <c r="AD201" s="31" t="n"/>
      <c r="AE201" s="32" t="n"/>
      <c r="AF201" s="32" t="n"/>
      <c r="AG201" s="31" t="n"/>
      <c r="AH201">
        <f>IF(AB201&lt;&gt;"OK","",IF(AG201&lt;&gt;"",AG201,AJ201))</f>
        <v/>
      </c>
      <c r="AI201" s="33">
        <f>IF(AB201&lt;&gt;"OK","",IFERROR(IF(AE201&lt;&gt;"",AE201,AS201)*IF(AF201&lt;&gt;"",AF201,AT201)/60,""))</f>
        <v/>
      </c>
      <c r="AJ201">
        <f>IF(AB201&lt;&gt;"OK","",IF(OR(VALUE(T201)=2,VALUE(U201)=2,VALUE(V201)=2),"社内残置",IF(AND(VALUE(T201)=0,VALUE(W201)=0,VALUE(Y201)=0),"自動化候補",IF(AND(VALUE(U201)=0,VALUE(W201)&lt;=1,VALUE(X201)&lt;=1,VALUE(Y201)&lt;=1,VALUE(Z201)&lt;=1),"オフショア候補",IF(AND(VALUE(Y201)&lt;=1,VALUE(Z201)&lt;=1),"ニアショア候補","社内で手順化→再評価")))))</f>
        <v/>
      </c>
      <c r="AK201">
        <f>IF(AB201&lt;&gt;"OK","",14-SUMPRODUCT(--T201:Z201))</f>
        <v/>
      </c>
      <c r="AL201" s="33">
        <f>IF(AB201&lt;&gt;"OK","",AS201*AT201/60)</f>
        <v/>
      </c>
      <c r="AM201" s="34">
        <f>IF(A201="","",UPPER(TRIM(ASC(A201&amp;""))))</f>
        <v/>
      </c>
      <c r="AN201" s="34">
        <f>IF(AM201="","",AM201&amp;"-"&amp;B201)</f>
        <v/>
      </c>
      <c r="AO201" s="34">
        <f>IF(C201="","",IFERROR(VALUE(ASC(SUBSTITUTE(C201&amp;"","観点",""))),""))</f>
        <v/>
      </c>
      <c r="AP201" s="34">
        <f>IF(D201="","",IFERROR(VALUE(LEFT(TRIM(ASC(D201&amp;"")),1)),IFERROR(MATCH(TRIM(D201&amp;""),'M2_区分マスタ'!$I$5:$I$10,0),"")))</f>
        <v/>
      </c>
      <c r="AQ201" s="34">
        <f>IF(H201="","",UPPER(LEFT(TRIM(ASC(H201&amp;"")),3)))</f>
        <v/>
      </c>
      <c r="AR201" s="34">
        <f>IF(N201="","",IFERROR(VALUE(SUBSTITUTE(SUBSTITUTE(SUBSTITUTE(SUBSTITUTE(SUBSTITUTE(SUBSTITUTE(SUBSTITUTE(SUBSTITUTE(SUBSTITUTE(SUBSTITUTE(SUBSTITUTE(SUBSTITUTE(ASC(N201&amp;""),"約",""),"程度",""),"ほど",""),"回",""),"毎",""),"週",""),"月",""),"年",""),"日",""),"に",""),"/","")," ","")),""))</f>
        <v/>
      </c>
      <c r="AS201" s="34">
        <f>IF(N201="","",IF(ISNUMBER(N201),N201,IFERROR(VALUE(ASC(N201&amp;"")),IF(AR201&lt;&gt;"",AR201*IF(ISNUMBER(SEARCH("週",N201)),4.3,IF(ISNUMBER(SEARCH("年",N201)),1/12,IF(ISNUMBER(SEARCH("日",N201)),20,1))),IF(ISNUMBER(SEARCH("日",N201)),20,IF(ISNUMBER(SEARCH("週",N201)),4.3,IF(ISNUMBER(SEARCH("月",N201)),1,"")))))))</f>
        <v/>
      </c>
      <c r="AT201" s="34">
        <f>IF(O201="","",IF(ISNUMBER(O201),O201,IFERROR(VALUE(ASC(O201&amp;"")),IF(ISNUMBER(SEARCH("時間",O201)),IFERROR(VALUE(SUBSTITUTE(SUBSTITUTE(SUBSTITUTE(SUBSTITUTE(SUBSTITUTE(ASC(O201&amp;""),"約",""),"程度",""),"ほど",""),"時間","")," ",""))*60,""),IFERROR(VALUE(SUBSTITUTE(SUBSTITUTE(SUBSTITUTE(SUBSTITUTE(SUBSTITUTE(ASC(O201&amp;""),"約",""),"程度",""),"ほど",""),"分","")," ","")),"")))))</f>
        <v/>
      </c>
      <c r="AU201" s="34">
        <f>IF(P201="","",IF(ISNUMBER(P201),P201,IFERROR(VALUE(SUBSTITUTE(SUBSTITUTE(SUBSTITUTE(ASC(P201&amp;""),"約",""),"件","")," ","")),"")))</f>
        <v/>
      </c>
      <c r="AV201" s="34">
        <f>IF(AB201&lt;&gt;"OK","",IF(COUNTIFS($G$5:$G$404,G201&amp;"",$F$5:$F$404,F201&amp;"",$BE$5:$BE$404,BE201&amp;"",$AB$5:$AB$404,"OK")&gt;1,"同名あり",""))</f>
        <v/>
      </c>
      <c r="AW201" s="35">
        <f>IF(Q201="","",IF(ISNUMBER(Q201),Q201,IFERROR(DATEVALUE(SUBSTITUTE(SUBSTITUTE(ASC(Q201&amp;""),"-","/"),".","/")&amp;"/01"),"")))</f>
        <v/>
      </c>
      <c r="AX201" s="35">
        <f>IF(R201="","",IF(ISNUMBER(R201),R201,IFERROR(DATEVALUE(SUBSTITUTE(SUBSTITUTE(ASC(R201&amp;""),"-","/"),".","/")&amp;"/01"),"")))</f>
        <v/>
      </c>
      <c r="AY201" s="34">
        <f>IF(OR(AB201&lt;&gt;"OK",AW201=""),"",IF(AW201&gt;='01_設定'!$C$26,1,0))</f>
        <v/>
      </c>
      <c r="AZ201" s="34">
        <f>IF(AND(AB201="OK",AD201&lt;&gt;"除外"),COUNTIFS($AB$5:AB201,"OK",$AD$5:AD201,"&lt;&gt;除外"),"")</f>
        <v/>
      </c>
      <c r="BA201" s="34">
        <f>IF(OR(AZ201="",AI201=""),"",AI201+ROW()/1000000000)</f>
        <v/>
      </c>
      <c r="BB201" s="34">
        <f>IF(E201="","",IF(OR(TRIM(E201&amp;"")="-",TRIM(E201&amp;"")="－",TRIM(E201&amp;"")="ー"),"",TRIM(E201&amp;"")))</f>
        <v/>
      </c>
      <c r="BC201" s="34">
        <f>IF(AND(AB201="OK",BB201&lt;&gt;""),IF(COUNTIFS($BB$5:BB201,BB201,$AB$5:AB201,"OK")=1,1,""),"")</f>
        <v/>
      </c>
      <c r="BD201" s="34">
        <f>IF(BC201=1,COUNTIF($BC$5:BC201,1),"")</f>
        <v/>
      </c>
      <c r="BE201" s="34">
        <f>IF(BB201="","",IFERROR(INDEX('06_顧客別集計'!$G$5:$G$104,MATCH(BB201,'06_顧客別集計'!$C$5:$C$104,0)),BB201))</f>
        <v/>
      </c>
      <c r="BF201" s="34">
        <f>IF(AND(AZ201&lt;&gt;"",BE201&lt;&gt;""),IF(COUNTIFS($BE$5:BE201,BE201,$AZ$5:AZ201,"&gt;0")=1,1,""),"")</f>
        <v/>
      </c>
      <c r="BG201" s="34">
        <f>IF(BF201=1,COUNTIF($BF$5:BF201,1),"")</f>
        <v/>
      </c>
    </row>
    <row r="202">
      <c r="AB202">
        <f>IF(AND(A202="",G202=""),"",IF(ISNUMBER(SEARCH("##END",AM202)),"（終わりの印）",IF(ISNUMBER(SEARCH("##続き",AM202)),"（続きありの印）",IF(AM202="調査ID","（見出し行）",IF(AND(AM202&lt;&gt;"R1",AM202&lt;&gt;"R2"),"×表以外の行（集計されない）",IF(COUNTIF($AN$5:AN202,AN202)&gt;1,"△重複（集計されない）",IF(G202="","△タスク名なし",IF(ISNA(MATCH(AQ202,'M1_類型マスタ'!$A$5:$A$19,0)),"△類型が不正",IF(OR(AP202="",N(AP202)&lt;1,N(AP202)&gt;6),"△業務区分が不正",IF(OR(AS202="",AT202=""),"△回数・分が読めない",IF(SUMPRODUCT(--ISNUMBER(--T202:Z202))&lt;7,"△採点が足りない",IF(SUMPRODUCT((--T202:Z202&gt;2)+(--T202:Z202&lt;0))&gt;0,"△採点が範囲外","OK"))))))))))))</f>
        <v/>
      </c>
      <c r="AC202">
        <f>IF(AB202&lt;&gt;"OK","",TRIM(IF(AND(AU202&lt;&gt;"",N(AU202)&lt;=1),"根拠1件 ","")&amp;IF(AV202&lt;&gt;"","同名あり ","")&amp;IF(AND(NOT(ISNUMBER(N202)),N202&lt;&gt;""),"回数を換算 ","")&amp;IF(J202="","詳細なし ","")&amp;IF(AND(N(AP202)=1,BB202=""),"顧客名なし ","")))</f>
        <v/>
      </c>
      <c r="AD202" s="31" t="n"/>
      <c r="AE202" s="32" t="n"/>
      <c r="AF202" s="32" t="n"/>
      <c r="AG202" s="31" t="n"/>
      <c r="AH202">
        <f>IF(AB202&lt;&gt;"OK","",IF(AG202&lt;&gt;"",AG202,AJ202))</f>
        <v/>
      </c>
      <c r="AI202" s="33">
        <f>IF(AB202&lt;&gt;"OK","",IFERROR(IF(AE202&lt;&gt;"",AE202,AS202)*IF(AF202&lt;&gt;"",AF202,AT202)/60,""))</f>
        <v/>
      </c>
      <c r="AJ202">
        <f>IF(AB202&lt;&gt;"OK","",IF(OR(VALUE(T202)=2,VALUE(U202)=2,VALUE(V202)=2),"社内残置",IF(AND(VALUE(T202)=0,VALUE(W202)=0,VALUE(Y202)=0),"自動化候補",IF(AND(VALUE(U202)=0,VALUE(W202)&lt;=1,VALUE(X202)&lt;=1,VALUE(Y202)&lt;=1,VALUE(Z202)&lt;=1),"オフショア候補",IF(AND(VALUE(Y202)&lt;=1,VALUE(Z202)&lt;=1),"ニアショア候補","社内で手順化→再評価")))))</f>
        <v/>
      </c>
      <c r="AK202">
        <f>IF(AB202&lt;&gt;"OK","",14-SUMPRODUCT(--T202:Z202))</f>
        <v/>
      </c>
      <c r="AL202" s="33">
        <f>IF(AB202&lt;&gt;"OK","",AS202*AT202/60)</f>
        <v/>
      </c>
      <c r="AM202" s="34">
        <f>IF(A202="","",UPPER(TRIM(ASC(A202&amp;""))))</f>
        <v/>
      </c>
      <c r="AN202" s="34">
        <f>IF(AM202="","",AM202&amp;"-"&amp;B202)</f>
        <v/>
      </c>
      <c r="AO202" s="34">
        <f>IF(C202="","",IFERROR(VALUE(ASC(SUBSTITUTE(C202&amp;"","観点",""))),""))</f>
        <v/>
      </c>
      <c r="AP202" s="34">
        <f>IF(D202="","",IFERROR(VALUE(LEFT(TRIM(ASC(D202&amp;"")),1)),IFERROR(MATCH(TRIM(D202&amp;""),'M2_区分マスタ'!$I$5:$I$10,0),"")))</f>
        <v/>
      </c>
      <c r="AQ202" s="34">
        <f>IF(H202="","",UPPER(LEFT(TRIM(ASC(H202&amp;"")),3)))</f>
        <v/>
      </c>
      <c r="AR202" s="34">
        <f>IF(N202="","",IFERROR(VALUE(SUBSTITUTE(SUBSTITUTE(SUBSTITUTE(SUBSTITUTE(SUBSTITUTE(SUBSTITUTE(SUBSTITUTE(SUBSTITUTE(SUBSTITUTE(SUBSTITUTE(SUBSTITUTE(SUBSTITUTE(ASC(N202&amp;""),"約",""),"程度",""),"ほど",""),"回",""),"毎",""),"週",""),"月",""),"年",""),"日",""),"に",""),"/","")," ","")),""))</f>
        <v/>
      </c>
      <c r="AS202" s="34">
        <f>IF(N202="","",IF(ISNUMBER(N202),N202,IFERROR(VALUE(ASC(N202&amp;"")),IF(AR202&lt;&gt;"",AR202*IF(ISNUMBER(SEARCH("週",N202)),4.3,IF(ISNUMBER(SEARCH("年",N202)),1/12,IF(ISNUMBER(SEARCH("日",N202)),20,1))),IF(ISNUMBER(SEARCH("日",N202)),20,IF(ISNUMBER(SEARCH("週",N202)),4.3,IF(ISNUMBER(SEARCH("月",N202)),1,"")))))))</f>
        <v/>
      </c>
      <c r="AT202" s="34">
        <f>IF(O202="","",IF(ISNUMBER(O202),O202,IFERROR(VALUE(ASC(O202&amp;"")),IF(ISNUMBER(SEARCH("時間",O202)),IFERROR(VALUE(SUBSTITUTE(SUBSTITUTE(SUBSTITUTE(SUBSTITUTE(SUBSTITUTE(ASC(O202&amp;""),"約",""),"程度",""),"ほど",""),"時間","")," ",""))*60,""),IFERROR(VALUE(SUBSTITUTE(SUBSTITUTE(SUBSTITUTE(SUBSTITUTE(SUBSTITUTE(ASC(O202&amp;""),"約",""),"程度",""),"ほど",""),"分","")," ","")),"")))))</f>
        <v/>
      </c>
      <c r="AU202" s="34">
        <f>IF(P202="","",IF(ISNUMBER(P202),P202,IFERROR(VALUE(SUBSTITUTE(SUBSTITUTE(SUBSTITUTE(ASC(P202&amp;""),"約",""),"件","")," ","")),"")))</f>
        <v/>
      </c>
      <c r="AV202" s="34">
        <f>IF(AB202&lt;&gt;"OK","",IF(COUNTIFS($G$5:$G$404,G202&amp;"",$F$5:$F$404,F202&amp;"",$BE$5:$BE$404,BE202&amp;"",$AB$5:$AB$404,"OK")&gt;1,"同名あり",""))</f>
        <v/>
      </c>
      <c r="AW202" s="35">
        <f>IF(Q202="","",IF(ISNUMBER(Q202),Q202,IFERROR(DATEVALUE(SUBSTITUTE(SUBSTITUTE(ASC(Q202&amp;""),"-","/"),".","/")&amp;"/01"),"")))</f>
        <v/>
      </c>
      <c r="AX202" s="35">
        <f>IF(R202="","",IF(ISNUMBER(R202),R202,IFERROR(DATEVALUE(SUBSTITUTE(SUBSTITUTE(ASC(R202&amp;""),"-","/"),".","/")&amp;"/01"),"")))</f>
        <v/>
      </c>
      <c r="AY202" s="34">
        <f>IF(OR(AB202&lt;&gt;"OK",AW202=""),"",IF(AW202&gt;='01_設定'!$C$26,1,0))</f>
        <v/>
      </c>
      <c r="AZ202" s="34">
        <f>IF(AND(AB202="OK",AD202&lt;&gt;"除外"),COUNTIFS($AB$5:AB202,"OK",$AD$5:AD202,"&lt;&gt;除外"),"")</f>
        <v/>
      </c>
      <c r="BA202" s="34">
        <f>IF(OR(AZ202="",AI202=""),"",AI202+ROW()/1000000000)</f>
        <v/>
      </c>
      <c r="BB202" s="34">
        <f>IF(E202="","",IF(OR(TRIM(E202&amp;"")="-",TRIM(E202&amp;"")="－",TRIM(E202&amp;"")="ー"),"",TRIM(E202&amp;"")))</f>
        <v/>
      </c>
      <c r="BC202" s="34">
        <f>IF(AND(AB202="OK",BB202&lt;&gt;""),IF(COUNTIFS($BB$5:BB202,BB202,$AB$5:AB202,"OK")=1,1,""),"")</f>
        <v/>
      </c>
      <c r="BD202" s="34">
        <f>IF(BC202=1,COUNTIF($BC$5:BC202,1),"")</f>
        <v/>
      </c>
      <c r="BE202" s="34">
        <f>IF(BB202="","",IFERROR(INDEX('06_顧客別集計'!$G$5:$G$104,MATCH(BB202,'06_顧客別集計'!$C$5:$C$104,0)),BB202))</f>
        <v/>
      </c>
      <c r="BF202" s="34">
        <f>IF(AND(AZ202&lt;&gt;"",BE202&lt;&gt;""),IF(COUNTIFS($BE$5:BE202,BE202,$AZ$5:AZ202,"&gt;0")=1,1,""),"")</f>
        <v/>
      </c>
      <c r="BG202" s="34">
        <f>IF(BF202=1,COUNTIF($BF$5:BF202,1),"")</f>
        <v/>
      </c>
    </row>
    <row r="203">
      <c r="AB203">
        <f>IF(AND(A203="",G203=""),"",IF(ISNUMBER(SEARCH("##END",AM203)),"（終わりの印）",IF(ISNUMBER(SEARCH("##続き",AM203)),"（続きありの印）",IF(AM203="調査ID","（見出し行）",IF(AND(AM203&lt;&gt;"R1",AM203&lt;&gt;"R2"),"×表以外の行（集計されない）",IF(COUNTIF($AN$5:AN203,AN203)&gt;1,"△重複（集計されない）",IF(G203="","△タスク名なし",IF(ISNA(MATCH(AQ203,'M1_類型マスタ'!$A$5:$A$19,0)),"△類型が不正",IF(OR(AP203="",N(AP203)&lt;1,N(AP203)&gt;6),"△業務区分が不正",IF(OR(AS203="",AT203=""),"△回数・分が読めない",IF(SUMPRODUCT(--ISNUMBER(--T203:Z203))&lt;7,"△採点が足りない",IF(SUMPRODUCT((--T203:Z203&gt;2)+(--T203:Z203&lt;0))&gt;0,"△採点が範囲外","OK"))))))))))))</f>
        <v/>
      </c>
      <c r="AC203">
        <f>IF(AB203&lt;&gt;"OK","",TRIM(IF(AND(AU203&lt;&gt;"",N(AU203)&lt;=1),"根拠1件 ","")&amp;IF(AV203&lt;&gt;"","同名あり ","")&amp;IF(AND(NOT(ISNUMBER(N203)),N203&lt;&gt;""),"回数を換算 ","")&amp;IF(J203="","詳細なし ","")&amp;IF(AND(N(AP203)=1,BB203=""),"顧客名なし ","")))</f>
        <v/>
      </c>
      <c r="AD203" s="31" t="n"/>
      <c r="AE203" s="32" t="n"/>
      <c r="AF203" s="32" t="n"/>
      <c r="AG203" s="31" t="n"/>
      <c r="AH203">
        <f>IF(AB203&lt;&gt;"OK","",IF(AG203&lt;&gt;"",AG203,AJ203))</f>
        <v/>
      </c>
      <c r="AI203" s="33">
        <f>IF(AB203&lt;&gt;"OK","",IFERROR(IF(AE203&lt;&gt;"",AE203,AS203)*IF(AF203&lt;&gt;"",AF203,AT203)/60,""))</f>
        <v/>
      </c>
      <c r="AJ203">
        <f>IF(AB203&lt;&gt;"OK","",IF(OR(VALUE(T203)=2,VALUE(U203)=2,VALUE(V203)=2),"社内残置",IF(AND(VALUE(T203)=0,VALUE(W203)=0,VALUE(Y203)=0),"自動化候補",IF(AND(VALUE(U203)=0,VALUE(W203)&lt;=1,VALUE(X203)&lt;=1,VALUE(Y203)&lt;=1,VALUE(Z203)&lt;=1),"オフショア候補",IF(AND(VALUE(Y203)&lt;=1,VALUE(Z203)&lt;=1),"ニアショア候補","社内で手順化→再評価")))))</f>
        <v/>
      </c>
      <c r="AK203">
        <f>IF(AB203&lt;&gt;"OK","",14-SUMPRODUCT(--T203:Z203))</f>
        <v/>
      </c>
      <c r="AL203" s="33">
        <f>IF(AB203&lt;&gt;"OK","",AS203*AT203/60)</f>
        <v/>
      </c>
      <c r="AM203" s="34">
        <f>IF(A203="","",UPPER(TRIM(ASC(A203&amp;""))))</f>
        <v/>
      </c>
      <c r="AN203" s="34">
        <f>IF(AM203="","",AM203&amp;"-"&amp;B203)</f>
        <v/>
      </c>
      <c r="AO203" s="34">
        <f>IF(C203="","",IFERROR(VALUE(ASC(SUBSTITUTE(C203&amp;"","観点",""))),""))</f>
        <v/>
      </c>
      <c r="AP203" s="34">
        <f>IF(D203="","",IFERROR(VALUE(LEFT(TRIM(ASC(D203&amp;"")),1)),IFERROR(MATCH(TRIM(D203&amp;""),'M2_区分マスタ'!$I$5:$I$10,0),"")))</f>
        <v/>
      </c>
      <c r="AQ203" s="34">
        <f>IF(H203="","",UPPER(LEFT(TRIM(ASC(H203&amp;"")),3)))</f>
        <v/>
      </c>
      <c r="AR203" s="34">
        <f>IF(N203="","",IFERROR(VALUE(SUBSTITUTE(SUBSTITUTE(SUBSTITUTE(SUBSTITUTE(SUBSTITUTE(SUBSTITUTE(SUBSTITUTE(SUBSTITUTE(SUBSTITUTE(SUBSTITUTE(SUBSTITUTE(SUBSTITUTE(ASC(N203&amp;""),"約",""),"程度",""),"ほど",""),"回",""),"毎",""),"週",""),"月",""),"年",""),"日",""),"に",""),"/","")," ","")),""))</f>
        <v/>
      </c>
      <c r="AS203" s="34">
        <f>IF(N203="","",IF(ISNUMBER(N203),N203,IFERROR(VALUE(ASC(N203&amp;"")),IF(AR203&lt;&gt;"",AR203*IF(ISNUMBER(SEARCH("週",N203)),4.3,IF(ISNUMBER(SEARCH("年",N203)),1/12,IF(ISNUMBER(SEARCH("日",N203)),20,1))),IF(ISNUMBER(SEARCH("日",N203)),20,IF(ISNUMBER(SEARCH("週",N203)),4.3,IF(ISNUMBER(SEARCH("月",N203)),1,"")))))))</f>
        <v/>
      </c>
      <c r="AT203" s="34">
        <f>IF(O203="","",IF(ISNUMBER(O203),O203,IFERROR(VALUE(ASC(O203&amp;"")),IF(ISNUMBER(SEARCH("時間",O203)),IFERROR(VALUE(SUBSTITUTE(SUBSTITUTE(SUBSTITUTE(SUBSTITUTE(SUBSTITUTE(ASC(O203&amp;""),"約",""),"程度",""),"ほど",""),"時間","")," ",""))*60,""),IFERROR(VALUE(SUBSTITUTE(SUBSTITUTE(SUBSTITUTE(SUBSTITUTE(SUBSTITUTE(ASC(O203&amp;""),"約",""),"程度",""),"ほど",""),"分","")," ","")),"")))))</f>
        <v/>
      </c>
      <c r="AU203" s="34">
        <f>IF(P203="","",IF(ISNUMBER(P203),P203,IFERROR(VALUE(SUBSTITUTE(SUBSTITUTE(SUBSTITUTE(ASC(P203&amp;""),"約",""),"件","")," ","")),"")))</f>
        <v/>
      </c>
      <c r="AV203" s="34">
        <f>IF(AB203&lt;&gt;"OK","",IF(COUNTIFS($G$5:$G$404,G203&amp;"",$F$5:$F$404,F203&amp;"",$BE$5:$BE$404,BE203&amp;"",$AB$5:$AB$404,"OK")&gt;1,"同名あり",""))</f>
        <v/>
      </c>
      <c r="AW203" s="35">
        <f>IF(Q203="","",IF(ISNUMBER(Q203),Q203,IFERROR(DATEVALUE(SUBSTITUTE(SUBSTITUTE(ASC(Q203&amp;""),"-","/"),".","/")&amp;"/01"),"")))</f>
        <v/>
      </c>
      <c r="AX203" s="35">
        <f>IF(R203="","",IF(ISNUMBER(R203),R203,IFERROR(DATEVALUE(SUBSTITUTE(SUBSTITUTE(ASC(R203&amp;""),"-","/"),".","/")&amp;"/01"),"")))</f>
        <v/>
      </c>
      <c r="AY203" s="34">
        <f>IF(OR(AB203&lt;&gt;"OK",AW203=""),"",IF(AW203&gt;='01_設定'!$C$26,1,0))</f>
        <v/>
      </c>
      <c r="AZ203" s="34">
        <f>IF(AND(AB203="OK",AD203&lt;&gt;"除外"),COUNTIFS($AB$5:AB203,"OK",$AD$5:AD203,"&lt;&gt;除外"),"")</f>
        <v/>
      </c>
      <c r="BA203" s="34">
        <f>IF(OR(AZ203="",AI203=""),"",AI203+ROW()/1000000000)</f>
        <v/>
      </c>
      <c r="BB203" s="34">
        <f>IF(E203="","",IF(OR(TRIM(E203&amp;"")="-",TRIM(E203&amp;"")="－",TRIM(E203&amp;"")="ー"),"",TRIM(E203&amp;"")))</f>
        <v/>
      </c>
      <c r="BC203" s="34">
        <f>IF(AND(AB203="OK",BB203&lt;&gt;""),IF(COUNTIFS($BB$5:BB203,BB203,$AB$5:AB203,"OK")=1,1,""),"")</f>
        <v/>
      </c>
      <c r="BD203" s="34">
        <f>IF(BC203=1,COUNTIF($BC$5:BC203,1),"")</f>
        <v/>
      </c>
      <c r="BE203" s="34">
        <f>IF(BB203="","",IFERROR(INDEX('06_顧客別集計'!$G$5:$G$104,MATCH(BB203,'06_顧客別集計'!$C$5:$C$104,0)),BB203))</f>
        <v/>
      </c>
      <c r="BF203" s="34">
        <f>IF(AND(AZ203&lt;&gt;"",BE203&lt;&gt;""),IF(COUNTIFS($BE$5:BE203,BE203,$AZ$5:AZ203,"&gt;0")=1,1,""),"")</f>
        <v/>
      </c>
      <c r="BG203" s="34">
        <f>IF(BF203=1,COUNTIF($BF$5:BF203,1),"")</f>
        <v/>
      </c>
    </row>
    <row r="204">
      <c r="AB204">
        <f>IF(AND(A204="",G204=""),"",IF(ISNUMBER(SEARCH("##END",AM204)),"（終わりの印）",IF(ISNUMBER(SEARCH("##続き",AM204)),"（続きありの印）",IF(AM204="調査ID","（見出し行）",IF(AND(AM204&lt;&gt;"R1",AM204&lt;&gt;"R2"),"×表以外の行（集計されない）",IF(COUNTIF($AN$5:AN204,AN204)&gt;1,"△重複（集計されない）",IF(G204="","△タスク名なし",IF(ISNA(MATCH(AQ204,'M1_類型マスタ'!$A$5:$A$19,0)),"△類型が不正",IF(OR(AP204="",N(AP204)&lt;1,N(AP204)&gt;6),"△業務区分が不正",IF(OR(AS204="",AT204=""),"△回数・分が読めない",IF(SUMPRODUCT(--ISNUMBER(--T204:Z204))&lt;7,"△採点が足りない",IF(SUMPRODUCT((--T204:Z204&gt;2)+(--T204:Z204&lt;0))&gt;0,"△採点が範囲外","OK"))))))))))))</f>
        <v/>
      </c>
      <c r="AC204">
        <f>IF(AB204&lt;&gt;"OK","",TRIM(IF(AND(AU204&lt;&gt;"",N(AU204)&lt;=1),"根拠1件 ","")&amp;IF(AV204&lt;&gt;"","同名あり ","")&amp;IF(AND(NOT(ISNUMBER(N204)),N204&lt;&gt;""),"回数を換算 ","")&amp;IF(J204="","詳細なし ","")&amp;IF(AND(N(AP204)=1,BB204=""),"顧客名なし ","")))</f>
        <v/>
      </c>
      <c r="AD204" s="31" t="n"/>
      <c r="AE204" s="32" t="n"/>
      <c r="AF204" s="32" t="n"/>
      <c r="AG204" s="31" t="n"/>
      <c r="AH204">
        <f>IF(AB204&lt;&gt;"OK","",IF(AG204&lt;&gt;"",AG204,AJ204))</f>
        <v/>
      </c>
      <c r="AI204" s="33">
        <f>IF(AB204&lt;&gt;"OK","",IFERROR(IF(AE204&lt;&gt;"",AE204,AS204)*IF(AF204&lt;&gt;"",AF204,AT204)/60,""))</f>
        <v/>
      </c>
      <c r="AJ204">
        <f>IF(AB204&lt;&gt;"OK","",IF(OR(VALUE(T204)=2,VALUE(U204)=2,VALUE(V204)=2),"社内残置",IF(AND(VALUE(T204)=0,VALUE(W204)=0,VALUE(Y204)=0),"自動化候補",IF(AND(VALUE(U204)=0,VALUE(W204)&lt;=1,VALUE(X204)&lt;=1,VALUE(Y204)&lt;=1,VALUE(Z204)&lt;=1),"オフショア候補",IF(AND(VALUE(Y204)&lt;=1,VALUE(Z204)&lt;=1),"ニアショア候補","社内で手順化→再評価")))))</f>
        <v/>
      </c>
      <c r="AK204">
        <f>IF(AB204&lt;&gt;"OK","",14-SUMPRODUCT(--T204:Z204))</f>
        <v/>
      </c>
      <c r="AL204" s="33">
        <f>IF(AB204&lt;&gt;"OK","",AS204*AT204/60)</f>
        <v/>
      </c>
      <c r="AM204" s="34">
        <f>IF(A204="","",UPPER(TRIM(ASC(A204&amp;""))))</f>
        <v/>
      </c>
      <c r="AN204" s="34">
        <f>IF(AM204="","",AM204&amp;"-"&amp;B204)</f>
        <v/>
      </c>
      <c r="AO204" s="34">
        <f>IF(C204="","",IFERROR(VALUE(ASC(SUBSTITUTE(C204&amp;"","観点",""))),""))</f>
        <v/>
      </c>
      <c r="AP204" s="34">
        <f>IF(D204="","",IFERROR(VALUE(LEFT(TRIM(ASC(D204&amp;"")),1)),IFERROR(MATCH(TRIM(D204&amp;""),'M2_区分マスタ'!$I$5:$I$10,0),"")))</f>
        <v/>
      </c>
      <c r="AQ204" s="34">
        <f>IF(H204="","",UPPER(LEFT(TRIM(ASC(H204&amp;"")),3)))</f>
        <v/>
      </c>
      <c r="AR204" s="34">
        <f>IF(N204="","",IFERROR(VALUE(SUBSTITUTE(SUBSTITUTE(SUBSTITUTE(SUBSTITUTE(SUBSTITUTE(SUBSTITUTE(SUBSTITUTE(SUBSTITUTE(SUBSTITUTE(SUBSTITUTE(SUBSTITUTE(SUBSTITUTE(ASC(N204&amp;""),"約",""),"程度",""),"ほど",""),"回",""),"毎",""),"週",""),"月",""),"年",""),"日",""),"に",""),"/","")," ","")),""))</f>
        <v/>
      </c>
      <c r="AS204" s="34">
        <f>IF(N204="","",IF(ISNUMBER(N204),N204,IFERROR(VALUE(ASC(N204&amp;"")),IF(AR204&lt;&gt;"",AR204*IF(ISNUMBER(SEARCH("週",N204)),4.3,IF(ISNUMBER(SEARCH("年",N204)),1/12,IF(ISNUMBER(SEARCH("日",N204)),20,1))),IF(ISNUMBER(SEARCH("日",N204)),20,IF(ISNUMBER(SEARCH("週",N204)),4.3,IF(ISNUMBER(SEARCH("月",N204)),1,"")))))))</f>
        <v/>
      </c>
      <c r="AT204" s="34">
        <f>IF(O204="","",IF(ISNUMBER(O204),O204,IFERROR(VALUE(ASC(O204&amp;"")),IF(ISNUMBER(SEARCH("時間",O204)),IFERROR(VALUE(SUBSTITUTE(SUBSTITUTE(SUBSTITUTE(SUBSTITUTE(SUBSTITUTE(ASC(O204&amp;""),"約",""),"程度",""),"ほど",""),"時間","")," ",""))*60,""),IFERROR(VALUE(SUBSTITUTE(SUBSTITUTE(SUBSTITUTE(SUBSTITUTE(SUBSTITUTE(ASC(O204&amp;""),"約",""),"程度",""),"ほど",""),"分","")," ","")),"")))))</f>
        <v/>
      </c>
      <c r="AU204" s="34">
        <f>IF(P204="","",IF(ISNUMBER(P204),P204,IFERROR(VALUE(SUBSTITUTE(SUBSTITUTE(SUBSTITUTE(ASC(P204&amp;""),"約",""),"件","")," ","")),"")))</f>
        <v/>
      </c>
      <c r="AV204" s="34">
        <f>IF(AB204&lt;&gt;"OK","",IF(COUNTIFS($G$5:$G$404,G204&amp;"",$F$5:$F$404,F204&amp;"",$BE$5:$BE$404,BE204&amp;"",$AB$5:$AB$404,"OK")&gt;1,"同名あり",""))</f>
        <v/>
      </c>
      <c r="AW204" s="35">
        <f>IF(Q204="","",IF(ISNUMBER(Q204),Q204,IFERROR(DATEVALUE(SUBSTITUTE(SUBSTITUTE(ASC(Q204&amp;""),"-","/"),".","/")&amp;"/01"),"")))</f>
        <v/>
      </c>
      <c r="AX204" s="35">
        <f>IF(R204="","",IF(ISNUMBER(R204),R204,IFERROR(DATEVALUE(SUBSTITUTE(SUBSTITUTE(ASC(R204&amp;""),"-","/"),".","/")&amp;"/01"),"")))</f>
        <v/>
      </c>
      <c r="AY204" s="34">
        <f>IF(OR(AB204&lt;&gt;"OK",AW204=""),"",IF(AW204&gt;='01_設定'!$C$26,1,0))</f>
        <v/>
      </c>
      <c r="AZ204" s="34">
        <f>IF(AND(AB204="OK",AD204&lt;&gt;"除外"),COUNTIFS($AB$5:AB204,"OK",$AD$5:AD204,"&lt;&gt;除外"),"")</f>
        <v/>
      </c>
      <c r="BA204" s="34">
        <f>IF(OR(AZ204="",AI204=""),"",AI204+ROW()/1000000000)</f>
        <v/>
      </c>
      <c r="BB204" s="34">
        <f>IF(E204="","",IF(OR(TRIM(E204&amp;"")="-",TRIM(E204&amp;"")="－",TRIM(E204&amp;"")="ー"),"",TRIM(E204&amp;"")))</f>
        <v/>
      </c>
      <c r="BC204" s="34">
        <f>IF(AND(AB204="OK",BB204&lt;&gt;""),IF(COUNTIFS($BB$5:BB204,BB204,$AB$5:AB204,"OK")=1,1,""),"")</f>
        <v/>
      </c>
      <c r="BD204" s="34">
        <f>IF(BC204=1,COUNTIF($BC$5:BC204,1),"")</f>
        <v/>
      </c>
      <c r="BE204" s="34">
        <f>IF(BB204="","",IFERROR(INDEX('06_顧客別集計'!$G$5:$G$104,MATCH(BB204,'06_顧客別集計'!$C$5:$C$104,0)),BB204))</f>
        <v/>
      </c>
      <c r="BF204" s="34">
        <f>IF(AND(AZ204&lt;&gt;"",BE204&lt;&gt;""),IF(COUNTIFS($BE$5:BE204,BE204,$AZ$5:AZ204,"&gt;0")=1,1,""),"")</f>
        <v/>
      </c>
      <c r="BG204" s="34">
        <f>IF(BF204=1,COUNTIF($BF$5:BF204,1),"")</f>
        <v/>
      </c>
    </row>
    <row r="205">
      <c r="AB205">
        <f>IF(AND(A205="",G205=""),"",IF(ISNUMBER(SEARCH("##END",AM205)),"（終わりの印）",IF(ISNUMBER(SEARCH("##続き",AM205)),"（続きありの印）",IF(AM205="調査ID","（見出し行）",IF(AND(AM205&lt;&gt;"R1",AM205&lt;&gt;"R2"),"×表以外の行（集計されない）",IF(COUNTIF($AN$5:AN205,AN205)&gt;1,"△重複（集計されない）",IF(G205="","△タスク名なし",IF(ISNA(MATCH(AQ205,'M1_類型マスタ'!$A$5:$A$19,0)),"△類型が不正",IF(OR(AP205="",N(AP205)&lt;1,N(AP205)&gt;6),"△業務区分が不正",IF(OR(AS205="",AT205=""),"△回数・分が読めない",IF(SUMPRODUCT(--ISNUMBER(--T205:Z205))&lt;7,"△採点が足りない",IF(SUMPRODUCT((--T205:Z205&gt;2)+(--T205:Z205&lt;0))&gt;0,"△採点が範囲外","OK"))))))))))))</f>
        <v/>
      </c>
      <c r="AC205">
        <f>IF(AB205&lt;&gt;"OK","",TRIM(IF(AND(AU205&lt;&gt;"",N(AU205)&lt;=1),"根拠1件 ","")&amp;IF(AV205&lt;&gt;"","同名あり ","")&amp;IF(AND(NOT(ISNUMBER(N205)),N205&lt;&gt;""),"回数を換算 ","")&amp;IF(J205="","詳細なし ","")&amp;IF(AND(N(AP205)=1,BB205=""),"顧客名なし ","")))</f>
        <v/>
      </c>
      <c r="AD205" s="31" t="n"/>
      <c r="AE205" s="32" t="n"/>
      <c r="AF205" s="32" t="n"/>
      <c r="AG205" s="31" t="n"/>
      <c r="AH205">
        <f>IF(AB205&lt;&gt;"OK","",IF(AG205&lt;&gt;"",AG205,AJ205))</f>
        <v/>
      </c>
      <c r="AI205" s="33">
        <f>IF(AB205&lt;&gt;"OK","",IFERROR(IF(AE205&lt;&gt;"",AE205,AS205)*IF(AF205&lt;&gt;"",AF205,AT205)/60,""))</f>
        <v/>
      </c>
      <c r="AJ205">
        <f>IF(AB205&lt;&gt;"OK","",IF(OR(VALUE(T205)=2,VALUE(U205)=2,VALUE(V205)=2),"社内残置",IF(AND(VALUE(T205)=0,VALUE(W205)=0,VALUE(Y205)=0),"自動化候補",IF(AND(VALUE(U205)=0,VALUE(W205)&lt;=1,VALUE(X205)&lt;=1,VALUE(Y205)&lt;=1,VALUE(Z205)&lt;=1),"オフショア候補",IF(AND(VALUE(Y205)&lt;=1,VALUE(Z205)&lt;=1),"ニアショア候補","社内で手順化→再評価")))))</f>
        <v/>
      </c>
      <c r="AK205">
        <f>IF(AB205&lt;&gt;"OK","",14-SUMPRODUCT(--T205:Z205))</f>
        <v/>
      </c>
      <c r="AL205" s="33">
        <f>IF(AB205&lt;&gt;"OK","",AS205*AT205/60)</f>
        <v/>
      </c>
      <c r="AM205" s="34">
        <f>IF(A205="","",UPPER(TRIM(ASC(A205&amp;""))))</f>
        <v/>
      </c>
      <c r="AN205" s="34">
        <f>IF(AM205="","",AM205&amp;"-"&amp;B205)</f>
        <v/>
      </c>
      <c r="AO205" s="34">
        <f>IF(C205="","",IFERROR(VALUE(ASC(SUBSTITUTE(C205&amp;"","観点",""))),""))</f>
        <v/>
      </c>
      <c r="AP205" s="34">
        <f>IF(D205="","",IFERROR(VALUE(LEFT(TRIM(ASC(D205&amp;"")),1)),IFERROR(MATCH(TRIM(D205&amp;""),'M2_区分マスタ'!$I$5:$I$10,0),"")))</f>
        <v/>
      </c>
      <c r="AQ205" s="34">
        <f>IF(H205="","",UPPER(LEFT(TRIM(ASC(H205&amp;"")),3)))</f>
        <v/>
      </c>
      <c r="AR205" s="34">
        <f>IF(N205="","",IFERROR(VALUE(SUBSTITUTE(SUBSTITUTE(SUBSTITUTE(SUBSTITUTE(SUBSTITUTE(SUBSTITUTE(SUBSTITUTE(SUBSTITUTE(SUBSTITUTE(SUBSTITUTE(SUBSTITUTE(SUBSTITUTE(ASC(N205&amp;""),"約",""),"程度",""),"ほど",""),"回",""),"毎",""),"週",""),"月",""),"年",""),"日",""),"に",""),"/","")," ","")),""))</f>
        <v/>
      </c>
      <c r="AS205" s="34">
        <f>IF(N205="","",IF(ISNUMBER(N205),N205,IFERROR(VALUE(ASC(N205&amp;"")),IF(AR205&lt;&gt;"",AR205*IF(ISNUMBER(SEARCH("週",N205)),4.3,IF(ISNUMBER(SEARCH("年",N205)),1/12,IF(ISNUMBER(SEARCH("日",N205)),20,1))),IF(ISNUMBER(SEARCH("日",N205)),20,IF(ISNUMBER(SEARCH("週",N205)),4.3,IF(ISNUMBER(SEARCH("月",N205)),1,"")))))))</f>
        <v/>
      </c>
      <c r="AT205" s="34">
        <f>IF(O205="","",IF(ISNUMBER(O205),O205,IFERROR(VALUE(ASC(O205&amp;"")),IF(ISNUMBER(SEARCH("時間",O205)),IFERROR(VALUE(SUBSTITUTE(SUBSTITUTE(SUBSTITUTE(SUBSTITUTE(SUBSTITUTE(ASC(O205&amp;""),"約",""),"程度",""),"ほど",""),"時間","")," ",""))*60,""),IFERROR(VALUE(SUBSTITUTE(SUBSTITUTE(SUBSTITUTE(SUBSTITUTE(SUBSTITUTE(ASC(O205&amp;""),"約",""),"程度",""),"ほど",""),"分","")," ","")),"")))))</f>
        <v/>
      </c>
      <c r="AU205" s="34">
        <f>IF(P205="","",IF(ISNUMBER(P205),P205,IFERROR(VALUE(SUBSTITUTE(SUBSTITUTE(SUBSTITUTE(ASC(P205&amp;""),"約",""),"件","")," ","")),"")))</f>
        <v/>
      </c>
      <c r="AV205" s="34">
        <f>IF(AB205&lt;&gt;"OK","",IF(COUNTIFS($G$5:$G$404,G205&amp;"",$F$5:$F$404,F205&amp;"",$BE$5:$BE$404,BE205&amp;"",$AB$5:$AB$404,"OK")&gt;1,"同名あり",""))</f>
        <v/>
      </c>
      <c r="AW205" s="35">
        <f>IF(Q205="","",IF(ISNUMBER(Q205),Q205,IFERROR(DATEVALUE(SUBSTITUTE(SUBSTITUTE(ASC(Q205&amp;""),"-","/"),".","/")&amp;"/01"),"")))</f>
        <v/>
      </c>
      <c r="AX205" s="35">
        <f>IF(R205="","",IF(ISNUMBER(R205),R205,IFERROR(DATEVALUE(SUBSTITUTE(SUBSTITUTE(ASC(R205&amp;""),"-","/"),".","/")&amp;"/01"),"")))</f>
        <v/>
      </c>
      <c r="AY205" s="34">
        <f>IF(OR(AB205&lt;&gt;"OK",AW205=""),"",IF(AW205&gt;='01_設定'!$C$26,1,0))</f>
        <v/>
      </c>
      <c r="AZ205" s="34">
        <f>IF(AND(AB205="OK",AD205&lt;&gt;"除外"),COUNTIFS($AB$5:AB205,"OK",$AD$5:AD205,"&lt;&gt;除外"),"")</f>
        <v/>
      </c>
      <c r="BA205" s="34">
        <f>IF(OR(AZ205="",AI205=""),"",AI205+ROW()/1000000000)</f>
        <v/>
      </c>
      <c r="BB205" s="34">
        <f>IF(E205="","",IF(OR(TRIM(E205&amp;"")="-",TRIM(E205&amp;"")="－",TRIM(E205&amp;"")="ー"),"",TRIM(E205&amp;"")))</f>
        <v/>
      </c>
      <c r="BC205" s="34">
        <f>IF(AND(AB205="OK",BB205&lt;&gt;""),IF(COUNTIFS($BB$5:BB205,BB205,$AB$5:AB205,"OK")=1,1,""),"")</f>
        <v/>
      </c>
      <c r="BD205" s="34">
        <f>IF(BC205=1,COUNTIF($BC$5:BC205,1),"")</f>
        <v/>
      </c>
      <c r="BE205" s="34">
        <f>IF(BB205="","",IFERROR(INDEX('06_顧客別集計'!$G$5:$G$104,MATCH(BB205,'06_顧客別集計'!$C$5:$C$104,0)),BB205))</f>
        <v/>
      </c>
      <c r="BF205" s="34">
        <f>IF(AND(AZ205&lt;&gt;"",BE205&lt;&gt;""),IF(COUNTIFS($BE$5:BE205,BE205,$AZ$5:AZ205,"&gt;0")=1,1,""),"")</f>
        <v/>
      </c>
      <c r="BG205" s="34">
        <f>IF(BF205=1,COUNTIF($BF$5:BF205,1),"")</f>
        <v/>
      </c>
    </row>
    <row r="206">
      <c r="AB206">
        <f>IF(AND(A206="",G206=""),"",IF(ISNUMBER(SEARCH("##END",AM206)),"（終わりの印）",IF(ISNUMBER(SEARCH("##続き",AM206)),"（続きありの印）",IF(AM206="調査ID","（見出し行）",IF(AND(AM206&lt;&gt;"R1",AM206&lt;&gt;"R2"),"×表以外の行（集計されない）",IF(COUNTIF($AN$5:AN206,AN206)&gt;1,"△重複（集計されない）",IF(G206="","△タスク名なし",IF(ISNA(MATCH(AQ206,'M1_類型マスタ'!$A$5:$A$19,0)),"△類型が不正",IF(OR(AP206="",N(AP206)&lt;1,N(AP206)&gt;6),"△業務区分が不正",IF(OR(AS206="",AT206=""),"△回数・分が読めない",IF(SUMPRODUCT(--ISNUMBER(--T206:Z206))&lt;7,"△採点が足りない",IF(SUMPRODUCT((--T206:Z206&gt;2)+(--T206:Z206&lt;0))&gt;0,"△採点が範囲外","OK"))))))))))))</f>
        <v/>
      </c>
      <c r="AC206">
        <f>IF(AB206&lt;&gt;"OK","",TRIM(IF(AND(AU206&lt;&gt;"",N(AU206)&lt;=1),"根拠1件 ","")&amp;IF(AV206&lt;&gt;"","同名あり ","")&amp;IF(AND(NOT(ISNUMBER(N206)),N206&lt;&gt;""),"回数を換算 ","")&amp;IF(J206="","詳細なし ","")&amp;IF(AND(N(AP206)=1,BB206=""),"顧客名なし ","")))</f>
        <v/>
      </c>
      <c r="AD206" s="31" t="n"/>
      <c r="AE206" s="32" t="n"/>
      <c r="AF206" s="32" t="n"/>
      <c r="AG206" s="31" t="n"/>
      <c r="AH206">
        <f>IF(AB206&lt;&gt;"OK","",IF(AG206&lt;&gt;"",AG206,AJ206))</f>
        <v/>
      </c>
      <c r="AI206" s="33">
        <f>IF(AB206&lt;&gt;"OK","",IFERROR(IF(AE206&lt;&gt;"",AE206,AS206)*IF(AF206&lt;&gt;"",AF206,AT206)/60,""))</f>
        <v/>
      </c>
      <c r="AJ206">
        <f>IF(AB206&lt;&gt;"OK","",IF(OR(VALUE(T206)=2,VALUE(U206)=2,VALUE(V206)=2),"社内残置",IF(AND(VALUE(T206)=0,VALUE(W206)=0,VALUE(Y206)=0),"自動化候補",IF(AND(VALUE(U206)=0,VALUE(W206)&lt;=1,VALUE(X206)&lt;=1,VALUE(Y206)&lt;=1,VALUE(Z206)&lt;=1),"オフショア候補",IF(AND(VALUE(Y206)&lt;=1,VALUE(Z206)&lt;=1),"ニアショア候補","社内で手順化→再評価")))))</f>
        <v/>
      </c>
      <c r="AK206">
        <f>IF(AB206&lt;&gt;"OK","",14-SUMPRODUCT(--T206:Z206))</f>
        <v/>
      </c>
      <c r="AL206" s="33">
        <f>IF(AB206&lt;&gt;"OK","",AS206*AT206/60)</f>
        <v/>
      </c>
      <c r="AM206" s="34">
        <f>IF(A206="","",UPPER(TRIM(ASC(A206&amp;""))))</f>
        <v/>
      </c>
      <c r="AN206" s="34">
        <f>IF(AM206="","",AM206&amp;"-"&amp;B206)</f>
        <v/>
      </c>
      <c r="AO206" s="34">
        <f>IF(C206="","",IFERROR(VALUE(ASC(SUBSTITUTE(C206&amp;"","観点",""))),""))</f>
        <v/>
      </c>
      <c r="AP206" s="34">
        <f>IF(D206="","",IFERROR(VALUE(LEFT(TRIM(ASC(D206&amp;"")),1)),IFERROR(MATCH(TRIM(D206&amp;""),'M2_区分マスタ'!$I$5:$I$10,0),"")))</f>
        <v/>
      </c>
      <c r="AQ206" s="34">
        <f>IF(H206="","",UPPER(LEFT(TRIM(ASC(H206&amp;"")),3)))</f>
        <v/>
      </c>
      <c r="AR206" s="34">
        <f>IF(N206="","",IFERROR(VALUE(SUBSTITUTE(SUBSTITUTE(SUBSTITUTE(SUBSTITUTE(SUBSTITUTE(SUBSTITUTE(SUBSTITUTE(SUBSTITUTE(SUBSTITUTE(SUBSTITUTE(SUBSTITUTE(SUBSTITUTE(ASC(N206&amp;""),"約",""),"程度",""),"ほど",""),"回",""),"毎",""),"週",""),"月",""),"年",""),"日",""),"に",""),"/","")," ","")),""))</f>
        <v/>
      </c>
      <c r="AS206" s="34">
        <f>IF(N206="","",IF(ISNUMBER(N206),N206,IFERROR(VALUE(ASC(N206&amp;"")),IF(AR206&lt;&gt;"",AR206*IF(ISNUMBER(SEARCH("週",N206)),4.3,IF(ISNUMBER(SEARCH("年",N206)),1/12,IF(ISNUMBER(SEARCH("日",N206)),20,1))),IF(ISNUMBER(SEARCH("日",N206)),20,IF(ISNUMBER(SEARCH("週",N206)),4.3,IF(ISNUMBER(SEARCH("月",N206)),1,"")))))))</f>
        <v/>
      </c>
      <c r="AT206" s="34">
        <f>IF(O206="","",IF(ISNUMBER(O206),O206,IFERROR(VALUE(ASC(O206&amp;"")),IF(ISNUMBER(SEARCH("時間",O206)),IFERROR(VALUE(SUBSTITUTE(SUBSTITUTE(SUBSTITUTE(SUBSTITUTE(SUBSTITUTE(ASC(O206&amp;""),"約",""),"程度",""),"ほど",""),"時間","")," ",""))*60,""),IFERROR(VALUE(SUBSTITUTE(SUBSTITUTE(SUBSTITUTE(SUBSTITUTE(SUBSTITUTE(ASC(O206&amp;""),"約",""),"程度",""),"ほど",""),"分","")," ","")),"")))))</f>
        <v/>
      </c>
      <c r="AU206" s="34">
        <f>IF(P206="","",IF(ISNUMBER(P206),P206,IFERROR(VALUE(SUBSTITUTE(SUBSTITUTE(SUBSTITUTE(ASC(P206&amp;""),"約",""),"件","")," ","")),"")))</f>
        <v/>
      </c>
      <c r="AV206" s="34">
        <f>IF(AB206&lt;&gt;"OK","",IF(COUNTIFS($G$5:$G$404,G206&amp;"",$F$5:$F$404,F206&amp;"",$BE$5:$BE$404,BE206&amp;"",$AB$5:$AB$404,"OK")&gt;1,"同名あり",""))</f>
        <v/>
      </c>
      <c r="AW206" s="35">
        <f>IF(Q206="","",IF(ISNUMBER(Q206),Q206,IFERROR(DATEVALUE(SUBSTITUTE(SUBSTITUTE(ASC(Q206&amp;""),"-","/"),".","/")&amp;"/01"),"")))</f>
        <v/>
      </c>
      <c r="AX206" s="35">
        <f>IF(R206="","",IF(ISNUMBER(R206),R206,IFERROR(DATEVALUE(SUBSTITUTE(SUBSTITUTE(ASC(R206&amp;""),"-","/"),".","/")&amp;"/01"),"")))</f>
        <v/>
      </c>
      <c r="AY206" s="34">
        <f>IF(OR(AB206&lt;&gt;"OK",AW206=""),"",IF(AW206&gt;='01_設定'!$C$26,1,0))</f>
        <v/>
      </c>
      <c r="AZ206" s="34">
        <f>IF(AND(AB206="OK",AD206&lt;&gt;"除外"),COUNTIFS($AB$5:AB206,"OK",$AD$5:AD206,"&lt;&gt;除外"),"")</f>
        <v/>
      </c>
      <c r="BA206" s="34">
        <f>IF(OR(AZ206="",AI206=""),"",AI206+ROW()/1000000000)</f>
        <v/>
      </c>
      <c r="BB206" s="34">
        <f>IF(E206="","",IF(OR(TRIM(E206&amp;"")="-",TRIM(E206&amp;"")="－",TRIM(E206&amp;"")="ー"),"",TRIM(E206&amp;"")))</f>
        <v/>
      </c>
      <c r="BC206" s="34">
        <f>IF(AND(AB206="OK",BB206&lt;&gt;""),IF(COUNTIFS($BB$5:BB206,BB206,$AB$5:AB206,"OK")=1,1,""),"")</f>
        <v/>
      </c>
      <c r="BD206" s="34">
        <f>IF(BC206=1,COUNTIF($BC$5:BC206,1),"")</f>
        <v/>
      </c>
      <c r="BE206" s="34">
        <f>IF(BB206="","",IFERROR(INDEX('06_顧客別集計'!$G$5:$G$104,MATCH(BB206,'06_顧客別集計'!$C$5:$C$104,0)),BB206))</f>
        <v/>
      </c>
      <c r="BF206" s="34">
        <f>IF(AND(AZ206&lt;&gt;"",BE206&lt;&gt;""),IF(COUNTIFS($BE$5:BE206,BE206,$AZ$5:AZ206,"&gt;0")=1,1,""),"")</f>
        <v/>
      </c>
      <c r="BG206" s="34">
        <f>IF(BF206=1,COUNTIF($BF$5:BF206,1),"")</f>
        <v/>
      </c>
    </row>
    <row r="207">
      <c r="AB207">
        <f>IF(AND(A207="",G207=""),"",IF(ISNUMBER(SEARCH("##END",AM207)),"（終わりの印）",IF(ISNUMBER(SEARCH("##続き",AM207)),"（続きありの印）",IF(AM207="調査ID","（見出し行）",IF(AND(AM207&lt;&gt;"R1",AM207&lt;&gt;"R2"),"×表以外の行（集計されない）",IF(COUNTIF($AN$5:AN207,AN207)&gt;1,"△重複（集計されない）",IF(G207="","△タスク名なし",IF(ISNA(MATCH(AQ207,'M1_類型マスタ'!$A$5:$A$19,0)),"△類型が不正",IF(OR(AP207="",N(AP207)&lt;1,N(AP207)&gt;6),"△業務区分が不正",IF(OR(AS207="",AT207=""),"△回数・分が読めない",IF(SUMPRODUCT(--ISNUMBER(--T207:Z207))&lt;7,"△採点が足りない",IF(SUMPRODUCT((--T207:Z207&gt;2)+(--T207:Z207&lt;0))&gt;0,"△採点が範囲外","OK"))))))))))))</f>
        <v/>
      </c>
      <c r="AC207">
        <f>IF(AB207&lt;&gt;"OK","",TRIM(IF(AND(AU207&lt;&gt;"",N(AU207)&lt;=1),"根拠1件 ","")&amp;IF(AV207&lt;&gt;"","同名あり ","")&amp;IF(AND(NOT(ISNUMBER(N207)),N207&lt;&gt;""),"回数を換算 ","")&amp;IF(J207="","詳細なし ","")&amp;IF(AND(N(AP207)=1,BB207=""),"顧客名なし ","")))</f>
        <v/>
      </c>
      <c r="AD207" s="31" t="n"/>
      <c r="AE207" s="32" t="n"/>
      <c r="AF207" s="32" t="n"/>
      <c r="AG207" s="31" t="n"/>
      <c r="AH207">
        <f>IF(AB207&lt;&gt;"OK","",IF(AG207&lt;&gt;"",AG207,AJ207))</f>
        <v/>
      </c>
      <c r="AI207" s="33">
        <f>IF(AB207&lt;&gt;"OK","",IFERROR(IF(AE207&lt;&gt;"",AE207,AS207)*IF(AF207&lt;&gt;"",AF207,AT207)/60,""))</f>
        <v/>
      </c>
      <c r="AJ207">
        <f>IF(AB207&lt;&gt;"OK","",IF(OR(VALUE(T207)=2,VALUE(U207)=2,VALUE(V207)=2),"社内残置",IF(AND(VALUE(T207)=0,VALUE(W207)=0,VALUE(Y207)=0),"自動化候補",IF(AND(VALUE(U207)=0,VALUE(W207)&lt;=1,VALUE(X207)&lt;=1,VALUE(Y207)&lt;=1,VALUE(Z207)&lt;=1),"オフショア候補",IF(AND(VALUE(Y207)&lt;=1,VALUE(Z207)&lt;=1),"ニアショア候補","社内で手順化→再評価")))))</f>
        <v/>
      </c>
      <c r="AK207">
        <f>IF(AB207&lt;&gt;"OK","",14-SUMPRODUCT(--T207:Z207))</f>
        <v/>
      </c>
      <c r="AL207" s="33">
        <f>IF(AB207&lt;&gt;"OK","",AS207*AT207/60)</f>
        <v/>
      </c>
      <c r="AM207" s="34">
        <f>IF(A207="","",UPPER(TRIM(ASC(A207&amp;""))))</f>
        <v/>
      </c>
      <c r="AN207" s="34">
        <f>IF(AM207="","",AM207&amp;"-"&amp;B207)</f>
        <v/>
      </c>
      <c r="AO207" s="34">
        <f>IF(C207="","",IFERROR(VALUE(ASC(SUBSTITUTE(C207&amp;"","観点",""))),""))</f>
        <v/>
      </c>
      <c r="AP207" s="34">
        <f>IF(D207="","",IFERROR(VALUE(LEFT(TRIM(ASC(D207&amp;"")),1)),IFERROR(MATCH(TRIM(D207&amp;""),'M2_区分マスタ'!$I$5:$I$10,0),"")))</f>
        <v/>
      </c>
      <c r="AQ207" s="34">
        <f>IF(H207="","",UPPER(LEFT(TRIM(ASC(H207&amp;"")),3)))</f>
        <v/>
      </c>
      <c r="AR207" s="34">
        <f>IF(N207="","",IFERROR(VALUE(SUBSTITUTE(SUBSTITUTE(SUBSTITUTE(SUBSTITUTE(SUBSTITUTE(SUBSTITUTE(SUBSTITUTE(SUBSTITUTE(SUBSTITUTE(SUBSTITUTE(SUBSTITUTE(SUBSTITUTE(ASC(N207&amp;""),"約",""),"程度",""),"ほど",""),"回",""),"毎",""),"週",""),"月",""),"年",""),"日",""),"に",""),"/","")," ","")),""))</f>
        <v/>
      </c>
      <c r="AS207" s="34">
        <f>IF(N207="","",IF(ISNUMBER(N207),N207,IFERROR(VALUE(ASC(N207&amp;"")),IF(AR207&lt;&gt;"",AR207*IF(ISNUMBER(SEARCH("週",N207)),4.3,IF(ISNUMBER(SEARCH("年",N207)),1/12,IF(ISNUMBER(SEARCH("日",N207)),20,1))),IF(ISNUMBER(SEARCH("日",N207)),20,IF(ISNUMBER(SEARCH("週",N207)),4.3,IF(ISNUMBER(SEARCH("月",N207)),1,"")))))))</f>
        <v/>
      </c>
      <c r="AT207" s="34">
        <f>IF(O207="","",IF(ISNUMBER(O207),O207,IFERROR(VALUE(ASC(O207&amp;"")),IF(ISNUMBER(SEARCH("時間",O207)),IFERROR(VALUE(SUBSTITUTE(SUBSTITUTE(SUBSTITUTE(SUBSTITUTE(SUBSTITUTE(ASC(O207&amp;""),"約",""),"程度",""),"ほど",""),"時間","")," ",""))*60,""),IFERROR(VALUE(SUBSTITUTE(SUBSTITUTE(SUBSTITUTE(SUBSTITUTE(SUBSTITUTE(ASC(O207&amp;""),"約",""),"程度",""),"ほど",""),"分","")," ","")),"")))))</f>
        <v/>
      </c>
      <c r="AU207" s="34">
        <f>IF(P207="","",IF(ISNUMBER(P207),P207,IFERROR(VALUE(SUBSTITUTE(SUBSTITUTE(SUBSTITUTE(ASC(P207&amp;""),"約",""),"件","")," ","")),"")))</f>
        <v/>
      </c>
      <c r="AV207" s="34">
        <f>IF(AB207&lt;&gt;"OK","",IF(COUNTIFS($G$5:$G$404,G207&amp;"",$F$5:$F$404,F207&amp;"",$BE$5:$BE$404,BE207&amp;"",$AB$5:$AB$404,"OK")&gt;1,"同名あり",""))</f>
        <v/>
      </c>
      <c r="AW207" s="35">
        <f>IF(Q207="","",IF(ISNUMBER(Q207),Q207,IFERROR(DATEVALUE(SUBSTITUTE(SUBSTITUTE(ASC(Q207&amp;""),"-","/"),".","/")&amp;"/01"),"")))</f>
        <v/>
      </c>
      <c r="AX207" s="35">
        <f>IF(R207="","",IF(ISNUMBER(R207),R207,IFERROR(DATEVALUE(SUBSTITUTE(SUBSTITUTE(ASC(R207&amp;""),"-","/"),".","/")&amp;"/01"),"")))</f>
        <v/>
      </c>
      <c r="AY207" s="34">
        <f>IF(OR(AB207&lt;&gt;"OK",AW207=""),"",IF(AW207&gt;='01_設定'!$C$26,1,0))</f>
        <v/>
      </c>
      <c r="AZ207" s="34">
        <f>IF(AND(AB207="OK",AD207&lt;&gt;"除外"),COUNTIFS($AB$5:AB207,"OK",$AD$5:AD207,"&lt;&gt;除外"),"")</f>
        <v/>
      </c>
      <c r="BA207" s="34">
        <f>IF(OR(AZ207="",AI207=""),"",AI207+ROW()/1000000000)</f>
        <v/>
      </c>
      <c r="BB207" s="34">
        <f>IF(E207="","",IF(OR(TRIM(E207&amp;"")="-",TRIM(E207&amp;"")="－",TRIM(E207&amp;"")="ー"),"",TRIM(E207&amp;"")))</f>
        <v/>
      </c>
      <c r="BC207" s="34">
        <f>IF(AND(AB207="OK",BB207&lt;&gt;""),IF(COUNTIFS($BB$5:BB207,BB207,$AB$5:AB207,"OK")=1,1,""),"")</f>
        <v/>
      </c>
      <c r="BD207" s="34">
        <f>IF(BC207=1,COUNTIF($BC$5:BC207,1),"")</f>
        <v/>
      </c>
      <c r="BE207" s="34">
        <f>IF(BB207="","",IFERROR(INDEX('06_顧客別集計'!$G$5:$G$104,MATCH(BB207,'06_顧客別集計'!$C$5:$C$104,0)),BB207))</f>
        <v/>
      </c>
      <c r="BF207" s="34">
        <f>IF(AND(AZ207&lt;&gt;"",BE207&lt;&gt;""),IF(COUNTIFS($BE$5:BE207,BE207,$AZ$5:AZ207,"&gt;0")=1,1,""),"")</f>
        <v/>
      </c>
      <c r="BG207" s="34">
        <f>IF(BF207=1,COUNTIF($BF$5:BF207,1),"")</f>
        <v/>
      </c>
    </row>
    <row r="208">
      <c r="AB208">
        <f>IF(AND(A208="",G208=""),"",IF(ISNUMBER(SEARCH("##END",AM208)),"（終わりの印）",IF(ISNUMBER(SEARCH("##続き",AM208)),"（続きありの印）",IF(AM208="調査ID","（見出し行）",IF(AND(AM208&lt;&gt;"R1",AM208&lt;&gt;"R2"),"×表以外の行（集計されない）",IF(COUNTIF($AN$5:AN208,AN208)&gt;1,"△重複（集計されない）",IF(G208="","△タスク名なし",IF(ISNA(MATCH(AQ208,'M1_類型マスタ'!$A$5:$A$19,0)),"△類型が不正",IF(OR(AP208="",N(AP208)&lt;1,N(AP208)&gt;6),"△業務区分が不正",IF(OR(AS208="",AT208=""),"△回数・分が読めない",IF(SUMPRODUCT(--ISNUMBER(--T208:Z208))&lt;7,"△採点が足りない",IF(SUMPRODUCT((--T208:Z208&gt;2)+(--T208:Z208&lt;0))&gt;0,"△採点が範囲外","OK"))))))))))))</f>
        <v/>
      </c>
      <c r="AC208">
        <f>IF(AB208&lt;&gt;"OK","",TRIM(IF(AND(AU208&lt;&gt;"",N(AU208)&lt;=1),"根拠1件 ","")&amp;IF(AV208&lt;&gt;"","同名あり ","")&amp;IF(AND(NOT(ISNUMBER(N208)),N208&lt;&gt;""),"回数を換算 ","")&amp;IF(J208="","詳細なし ","")&amp;IF(AND(N(AP208)=1,BB208=""),"顧客名なし ","")))</f>
        <v/>
      </c>
      <c r="AD208" s="31" t="n"/>
      <c r="AE208" s="32" t="n"/>
      <c r="AF208" s="32" t="n"/>
      <c r="AG208" s="31" t="n"/>
      <c r="AH208">
        <f>IF(AB208&lt;&gt;"OK","",IF(AG208&lt;&gt;"",AG208,AJ208))</f>
        <v/>
      </c>
      <c r="AI208" s="33">
        <f>IF(AB208&lt;&gt;"OK","",IFERROR(IF(AE208&lt;&gt;"",AE208,AS208)*IF(AF208&lt;&gt;"",AF208,AT208)/60,""))</f>
        <v/>
      </c>
      <c r="AJ208">
        <f>IF(AB208&lt;&gt;"OK","",IF(OR(VALUE(T208)=2,VALUE(U208)=2,VALUE(V208)=2),"社内残置",IF(AND(VALUE(T208)=0,VALUE(W208)=0,VALUE(Y208)=0),"自動化候補",IF(AND(VALUE(U208)=0,VALUE(W208)&lt;=1,VALUE(X208)&lt;=1,VALUE(Y208)&lt;=1,VALUE(Z208)&lt;=1),"オフショア候補",IF(AND(VALUE(Y208)&lt;=1,VALUE(Z208)&lt;=1),"ニアショア候補","社内で手順化→再評価")))))</f>
        <v/>
      </c>
      <c r="AK208">
        <f>IF(AB208&lt;&gt;"OK","",14-SUMPRODUCT(--T208:Z208))</f>
        <v/>
      </c>
      <c r="AL208" s="33">
        <f>IF(AB208&lt;&gt;"OK","",AS208*AT208/60)</f>
        <v/>
      </c>
      <c r="AM208" s="34">
        <f>IF(A208="","",UPPER(TRIM(ASC(A208&amp;""))))</f>
        <v/>
      </c>
      <c r="AN208" s="34">
        <f>IF(AM208="","",AM208&amp;"-"&amp;B208)</f>
        <v/>
      </c>
      <c r="AO208" s="34">
        <f>IF(C208="","",IFERROR(VALUE(ASC(SUBSTITUTE(C208&amp;"","観点",""))),""))</f>
        <v/>
      </c>
      <c r="AP208" s="34">
        <f>IF(D208="","",IFERROR(VALUE(LEFT(TRIM(ASC(D208&amp;"")),1)),IFERROR(MATCH(TRIM(D208&amp;""),'M2_区分マスタ'!$I$5:$I$10,0),"")))</f>
        <v/>
      </c>
      <c r="AQ208" s="34">
        <f>IF(H208="","",UPPER(LEFT(TRIM(ASC(H208&amp;"")),3)))</f>
        <v/>
      </c>
      <c r="AR208" s="34">
        <f>IF(N208="","",IFERROR(VALUE(SUBSTITUTE(SUBSTITUTE(SUBSTITUTE(SUBSTITUTE(SUBSTITUTE(SUBSTITUTE(SUBSTITUTE(SUBSTITUTE(SUBSTITUTE(SUBSTITUTE(SUBSTITUTE(SUBSTITUTE(ASC(N208&amp;""),"約",""),"程度",""),"ほど",""),"回",""),"毎",""),"週",""),"月",""),"年",""),"日",""),"に",""),"/","")," ","")),""))</f>
        <v/>
      </c>
      <c r="AS208" s="34">
        <f>IF(N208="","",IF(ISNUMBER(N208),N208,IFERROR(VALUE(ASC(N208&amp;"")),IF(AR208&lt;&gt;"",AR208*IF(ISNUMBER(SEARCH("週",N208)),4.3,IF(ISNUMBER(SEARCH("年",N208)),1/12,IF(ISNUMBER(SEARCH("日",N208)),20,1))),IF(ISNUMBER(SEARCH("日",N208)),20,IF(ISNUMBER(SEARCH("週",N208)),4.3,IF(ISNUMBER(SEARCH("月",N208)),1,"")))))))</f>
        <v/>
      </c>
      <c r="AT208" s="34">
        <f>IF(O208="","",IF(ISNUMBER(O208),O208,IFERROR(VALUE(ASC(O208&amp;"")),IF(ISNUMBER(SEARCH("時間",O208)),IFERROR(VALUE(SUBSTITUTE(SUBSTITUTE(SUBSTITUTE(SUBSTITUTE(SUBSTITUTE(ASC(O208&amp;""),"約",""),"程度",""),"ほど",""),"時間","")," ",""))*60,""),IFERROR(VALUE(SUBSTITUTE(SUBSTITUTE(SUBSTITUTE(SUBSTITUTE(SUBSTITUTE(ASC(O208&amp;""),"約",""),"程度",""),"ほど",""),"分","")," ","")),"")))))</f>
        <v/>
      </c>
      <c r="AU208" s="34">
        <f>IF(P208="","",IF(ISNUMBER(P208),P208,IFERROR(VALUE(SUBSTITUTE(SUBSTITUTE(SUBSTITUTE(ASC(P208&amp;""),"約",""),"件","")," ","")),"")))</f>
        <v/>
      </c>
      <c r="AV208" s="34">
        <f>IF(AB208&lt;&gt;"OK","",IF(COUNTIFS($G$5:$G$404,G208&amp;"",$F$5:$F$404,F208&amp;"",$BE$5:$BE$404,BE208&amp;"",$AB$5:$AB$404,"OK")&gt;1,"同名あり",""))</f>
        <v/>
      </c>
      <c r="AW208" s="35">
        <f>IF(Q208="","",IF(ISNUMBER(Q208),Q208,IFERROR(DATEVALUE(SUBSTITUTE(SUBSTITUTE(ASC(Q208&amp;""),"-","/"),".","/")&amp;"/01"),"")))</f>
        <v/>
      </c>
      <c r="AX208" s="35">
        <f>IF(R208="","",IF(ISNUMBER(R208),R208,IFERROR(DATEVALUE(SUBSTITUTE(SUBSTITUTE(ASC(R208&amp;""),"-","/"),".","/")&amp;"/01"),"")))</f>
        <v/>
      </c>
      <c r="AY208" s="34">
        <f>IF(OR(AB208&lt;&gt;"OK",AW208=""),"",IF(AW208&gt;='01_設定'!$C$26,1,0))</f>
        <v/>
      </c>
      <c r="AZ208" s="34">
        <f>IF(AND(AB208="OK",AD208&lt;&gt;"除外"),COUNTIFS($AB$5:AB208,"OK",$AD$5:AD208,"&lt;&gt;除外"),"")</f>
        <v/>
      </c>
      <c r="BA208" s="34">
        <f>IF(OR(AZ208="",AI208=""),"",AI208+ROW()/1000000000)</f>
        <v/>
      </c>
      <c r="BB208" s="34">
        <f>IF(E208="","",IF(OR(TRIM(E208&amp;"")="-",TRIM(E208&amp;"")="－",TRIM(E208&amp;"")="ー"),"",TRIM(E208&amp;"")))</f>
        <v/>
      </c>
      <c r="BC208" s="34">
        <f>IF(AND(AB208="OK",BB208&lt;&gt;""),IF(COUNTIFS($BB$5:BB208,BB208,$AB$5:AB208,"OK")=1,1,""),"")</f>
        <v/>
      </c>
      <c r="BD208" s="34">
        <f>IF(BC208=1,COUNTIF($BC$5:BC208,1),"")</f>
        <v/>
      </c>
      <c r="BE208" s="34">
        <f>IF(BB208="","",IFERROR(INDEX('06_顧客別集計'!$G$5:$G$104,MATCH(BB208,'06_顧客別集計'!$C$5:$C$104,0)),BB208))</f>
        <v/>
      </c>
      <c r="BF208" s="34">
        <f>IF(AND(AZ208&lt;&gt;"",BE208&lt;&gt;""),IF(COUNTIFS($BE$5:BE208,BE208,$AZ$5:AZ208,"&gt;0")=1,1,""),"")</f>
        <v/>
      </c>
      <c r="BG208" s="34">
        <f>IF(BF208=1,COUNTIF($BF$5:BF208,1),"")</f>
        <v/>
      </c>
    </row>
    <row r="209">
      <c r="AB209">
        <f>IF(AND(A209="",G209=""),"",IF(ISNUMBER(SEARCH("##END",AM209)),"（終わりの印）",IF(ISNUMBER(SEARCH("##続き",AM209)),"（続きありの印）",IF(AM209="調査ID","（見出し行）",IF(AND(AM209&lt;&gt;"R1",AM209&lt;&gt;"R2"),"×表以外の行（集計されない）",IF(COUNTIF($AN$5:AN209,AN209)&gt;1,"△重複（集計されない）",IF(G209="","△タスク名なし",IF(ISNA(MATCH(AQ209,'M1_類型マスタ'!$A$5:$A$19,0)),"△類型が不正",IF(OR(AP209="",N(AP209)&lt;1,N(AP209)&gt;6),"△業務区分が不正",IF(OR(AS209="",AT209=""),"△回数・分が読めない",IF(SUMPRODUCT(--ISNUMBER(--T209:Z209))&lt;7,"△採点が足りない",IF(SUMPRODUCT((--T209:Z209&gt;2)+(--T209:Z209&lt;0))&gt;0,"△採点が範囲外","OK"))))))))))))</f>
        <v/>
      </c>
      <c r="AC209">
        <f>IF(AB209&lt;&gt;"OK","",TRIM(IF(AND(AU209&lt;&gt;"",N(AU209)&lt;=1),"根拠1件 ","")&amp;IF(AV209&lt;&gt;"","同名あり ","")&amp;IF(AND(NOT(ISNUMBER(N209)),N209&lt;&gt;""),"回数を換算 ","")&amp;IF(J209="","詳細なし ","")&amp;IF(AND(N(AP209)=1,BB209=""),"顧客名なし ","")))</f>
        <v/>
      </c>
      <c r="AD209" s="31" t="n"/>
      <c r="AE209" s="32" t="n"/>
      <c r="AF209" s="32" t="n"/>
      <c r="AG209" s="31" t="n"/>
      <c r="AH209">
        <f>IF(AB209&lt;&gt;"OK","",IF(AG209&lt;&gt;"",AG209,AJ209))</f>
        <v/>
      </c>
      <c r="AI209" s="33">
        <f>IF(AB209&lt;&gt;"OK","",IFERROR(IF(AE209&lt;&gt;"",AE209,AS209)*IF(AF209&lt;&gt;"",AF209,AT209)/60,""))</f>
        <v/>
      </c>
      <c r="AJ209">
        <f>IF(AB209&lt;&gt;"OK","",IF(OR(VALUE(T209)=2,VALUE(U209)=2,VALUE(V209)=2),"社内残置",IF(AND(VALUE(T209)=0,VALUE(W209)=0,VALUE(Y209)=0),"自動化候補",IF(AND(VALUE(U209)=0,VALUE(W209)&lt;=1,VALUE(X209)&lt;=1,VALUE(Y209)&lt;=1,VALUE(Z209)&lt;=1),"オフショア候補",IF(AND(VALUE(Y209)&lt;=1,VALUE(Z209)&lt;=1),"ニアショア候補","社内で手順化→再評価")))))</f>
        <v/>
      </c>
      <c r="AK209">
        <f>IF(AB209&lt;&gt;"OK","",14-SUMPRODUCT(--T209:Z209))</f>
        <v/>
      </c>
      <c r="AL209" s="33">
        <f>IF(AB209&lt;&gt;"OK","",AS209*AT209/60)</f>
        <v/>
      </c>
      <c r="AM209" s="34">
        <f>IF(A209="","",UPPER(TRIM(ASC(A209&amp;""))))</f>
        <v/>
      </c>
      <c r="AN209" s="34">
        <f>IF(AM209="","",AM209&amp;"-"&amp;B209)</f>
        <v/>
      </c>
      <c r="AO209" s="34">
        <f>IF(C209="","",IFERROR(VALUE(ASC(SUBSTITUTE(C209&amp;"","観点",""))),""))</f>
        <v/>
      </c>
      <c r="AP209" s="34">
        <f>IF(D209="","",IFERROR(VALUE(LEFT(TRIM(ASC(D209&amp;"")),1)),IFERROR(MATCH(TRIM(D209&amp;""),'M2_区分マスタ'!$I$5:$I$10,0),"")))</f>
        <v/>
      </c>
      <c r="AQ209" s="34">
        <f>IF(H209="","",UPPER(LEFT(TRIM(ASC(H209&amp;"")),3)))</f>
        <v/>
      </c>
      <c r="AR209" s="34">
        <f>IF(N209="","",IFERROR(VALUE(SUBSTITUTE(SUBSTITUTE(SUBSTITUTE(SUBSTITUTE(SUBSTITUTE(SUBSTITUTE(SUBSTITUTE(SUBSTITUTE(SUBSTITUTE(SUBSTITUTE(SUBSTITUTE(SUBSTITUTE(ASC(N209&amp;""),"約",""),"程度",""),"ほど",""),"回",""),"毎",""),"週",""),"月",""),"年",""),"日",""),"に",""),"/","")," ","")),""))</f>
        <v/>
      </c>
      <c r="AS209" s="34">
        <f>IF(N209="","",IF(ISNUMBER(N209),N209,IFERROR(VALUE(ASC(N209&amp;"")),IF(AR209&lt;&gt;"",AR209*IF(ISNUMBER(SEARCH("週",N209)),4.3,IF(ISNUMBER(SEARCH("年",N209)),1/12,IF(ISNUMBER(SEARCH("日",N209)),20,1))),IF(ISNUMBER(SEARCH("日",N209)),20,IF(ISNUMBER(SEARCH("週",N209)),4.3,IF(ISNUMBER(SEARCH("月",N209)),1,"")))))))</f>
        <v/>
      </c>
      <c r="AT209" s="34">
        <f>IF(O209="","",IF(ISNUMBER(O209),O209,IFERROR(VALUE(ASC(O209&amp;"")),IF(ISNUMBER(SEARCH("時間",O209)),IFERROR(VALUE(SUBSTITUTE(SUBSTITUTE(SUBSTITUTE(SUBSTITUTE(SUBSTITUTE(ASC(O209&amp;""),"約",""),"程度",""),"ほど",""),"時間","")," ",""))*60,""),IFERROR(VALUE(SUBSTITUTE(SUBSTITUTE(SUBSTITUTE(SUBSTITUTE(SUBSTITUTE(ASC(O209&amp;""),"約",""),"程度",""),"ほど",""),"分","")," ","")),"")))))</f>
        <v/>
      </c>
      <c r="AU209" s="34">
        <f>IF(P209="","",IF(ISNUMBER(P209),P209,IFERROR(VALUE(SUBSTITUTE(SUBSTITUTE(SUBSTITUTE(ASC(P209&amp;""),"約",""),"件","")," ","")),"")))</f>
        <v/>
      </c>
      <c r="AV209" s="34">
        <f>IF(AB209&lt;&gt;"OK","",IF(COUNTIFS($G$5:$G$404,G209&amp;"",$F$5:$F$404,F209&amp;"",$BE$5:$BE$404,BE209&amp;"",$AB$5:$AB$404,"OK")&gt;1,"同名あり",""))</f>
        <v/>
      </c>
      <c r="AW209" s="35">
        <f>IF(Q209="","",IF(ISNUMBER(Q209),Q209,IFERROR(DATEVALUE(SUBSTITUTE(SUBSTITUTE(ASC(Q209&amp;""),"-","/"),".","/")&amp;"/01"),"")))</f>
        <v/>
      </c>
      <c r="AX209" s="35">
        <f>IF(R209="","",IF(ISNUMBER(R209),R209,IFERROR(DATEVALUE(SUBSTITUTE(SUBSTITUTE(ASC(R209&amp;""),"-","/"),".","/")&amp;"/01"),"")))</f>
        <v/>
      </c>
      <c r="AY209" s="34">
        <f>IF(OR(AB209&lt;&gt;"OK",AW209=""),"",IF(AW209&gt;='01_設定'!$C$26,1,0))</f>
        <v/>
      </c>
      <c r="AZ209" s="34">
        <f>IF(AND(AB209="OK",AD209&lt;&gt;"除外"),COUNTIFS($AB$5:AB209,"OK",$AD$5:AD209,"&lt;&gt;除外"),"")</f>
        <v/>
      </c>
      <c r="BA209" s="34">
        <f>IF(OR(AZ209="",AI209=""),"",AI209+ROW()/1000000000)</f>
        <v/>
      </c>
      <c r="BB209" s="34">
        <f>IF(E209="","",IF(OR(TRIM(E209&amp;"")="-",TRIM(E209&amp;"")="－",TRIM(E209&amp;"")="ー"),"",TRIM(E209&amp;"")))</f>
        <v/>
      </c>
      <c r="BC209" s="34">
        <f>IF(AND(AB209="OK",BB209&lt;&gt;""),IF(COUNTIFS($BB$5:BB209,BB209,$AB$5:AB209,"OK")=1,1,""),"")</f>
        <v/>
      </c>
      <c r="BD209" s="34">
        <f>IF(BC209=1,COUNTIF($BC$5:BC209,1),"")</f>
        <v/>
      </c>
      <c r="BE209" s="34">
        <f>IF(BB209="","",IFERROR(INDEX('06_顧客別集計'!$G$5:$G$104,MATCH(BB209,'06_顧客別集計'!$C$5:$C$104,0)),BB209))</f>
        <v/>
      </c>
      <c r="BF209" s="34">
        <f>IF(AND(AZ209&lt;&gt;"",BE209&lt;&gt;""),IF(COUNTIFS($BE$5:BE209,BE209,$AZ$5:AZ209,"&gt;0")=1,1,""),"")</f>
        <v/>
      </c>
      <c r="BG209" s="34">
        <f>IF(BF209=1,COUNTIF($BF$5:BF209,1),"")</f>
        <v/>
      </c>
    </row>
    <row r="210">
      <c r="AB210">
        <f>IF(AND(A210="",G210=""),"",IF(ISNUMBER(SEARCH("##END",AM210)),"（終わりの印）",IF(ISNUMBER(SEARCH("##続き",AM210)),"（続きありの印）",IF(AM210="調査ID","（見出し行）",IF(AND(AM210&lt;&gt;"R1",AM210&lt;&gt;"R2"),"×表以外の行（集計されない）",IF(COUNTIF($AN$5:AN210,AN210)&gt;1,"△重複（集計されない）",IF(G210="","△タスク名なし",IF(ISNA(MATCH(AQ210,'M1_類型マスタ'!$A$5:$A$19,0)),"△類型が不正",IF(OR(AP210="",N(AP210)&lt;1,N(AP210)&gt;6),"△業務区分が不正",IF(OR(AS210="",AT210=""),"△回数・分が読めない",IF(SUMPRODUCT(--ISNUMBER(--T210:Z210))&lt;7,"△採点が足りない",IF(SUMPRODUCT((--T210:Z210&gt;2)+(--T210:Z210&lt;0))&gt;0,"△採点が範囲外","OK"))))))))))))</f>
        <v/>
      </c>
      <c r="AC210">
        <f>IF(AB210&lt;&gt;"OK","",TRIM(IF(AND(AU210&lt;&gt;"",N(AU210)&lt;=1),"根拠1件 ","")&amp;IF(AV210&lt;&gt;"","同名あり ","")&amp;IF(AND(NOT(ISNUMBER(N210)),N210&lt;&gt;""),"回数を換算 ","")&amp;IF(J210="","詳細なし ","")&amp;IF(AND(N(AP210)=1,BB210=""),"顧客名なし ","")))</f>
        <v/>
      </c>
      <c r="AD210" s="31" t="n"/>
      <c r="AE210" s="32" t="n"/>
      <c r="AF210" s="32" t="n"/>
      <c r="AG210" s="31" t="n"/>
      <c r="AH210">
        <f>IF(AB210&lt;&gt;"OK","",IF(AG210&lt;&gt;"",AG210,AJ210))</f>
        <v/>
      </c>
      <c r="AI210" s="33">
        <f>IF(AB210&lt;&gt;"OK","",IFERROR(IF(AE210&lt;&gt;"",AE210,AS210)*IF(AF210&lt;&gt;"",AF210,AT210)/60,""))</f>
        <v/>
      </c>
      <c r="AJ210">
        <f>IF(AB210&lt;&gt;"OK","",IF(OR(VALUE(T210)=2,VALUE(U210)=2,VALUE(V210)=2),"社内残置",IF(AND(VALUE(T210)=0,VALUE(W210)=0,VALUE(Y210)=0),"自動化候補",IF(AND(VALUE(U210)=0,VALUE(W210)&lt;=1,VALUE(X210)&lt;=1,VALUE(Y210)&lt;=1,VALUE(Z210)&lt;=1),"オフショア候補",IF(AND(VALUE(Y210)&lt;=1,VALUE(Z210)&lt;=1),"ニアショア候補","社内で手順化→再評価")))))</f>
        <v/>
      </c>
      <c r="AK210">
        <f>IF(AB210&lt;&gt;"OK","",14-SUMPRODUCT(--T210:Z210))</f>
        <v/>
      </c>
      <c r="AL210" s="33">
        <f>IF(AB210&lt;&gt;"OK","",AS210*AT210/60)</f>
        <v/>
      </c>
      <c r="AM210" s="34">
        <f>IF(A210="","",UPPER(TRIM(ASC(A210&amp;""))))</f>
        <v/>
      </c>
      <c r="AN210" s="34">
        <f>IF(AM210="","",AM210&amp;"-"&amp;B210)</f>
        <v/>
      </c>
      <c r="AO210" s="34">
        <f>IF(C210="","",IFERROR(VALUE(ASC(SUBSTITUTE(C210&amp;"","観点",""))),""))</f>
        <v/>
      </c>
      <c r="AP210" s="34">
        <f>IF(D210="","",IFERROR(VALUE(LEFT(TRIM(ASC(D210&amp;"")),1)),IFERROR(MATCH(TRIM(D210&amp;""),'M2_区分マスタ'!$I$5:$I$10,0),"")))</f>
        <v/>
      </c>
      <c r="AQ210" s="34">
        <f>IF(H210="","",UPPER(LEFT(TRIM(ASC(H210&amp;"")),3)))</f>
        <v/>
      </c>
      <c r="AR210" s="34">
        <f>IF(N210="","",IFERROR(VALUE(SUBSTITUTE(SUBSTITUTE(SUBSTITUTE(SUBSTITUTE(SUBSTITUTE(SUBSTITUTE(SUBSTITUTE(SUBSTITUTE(SUBSTITUTE(SUBSTITUTE(SUBSTITUTE(SUBSTITUTE(ASC(N210&amp;""),"約",""),"程度",""),"ほど",""),"回",""),"毎",""),"週",""),"月",""),"年",""),"日",""),"に",""),"/","")," ","")),""))</f>
        <v/>
      </c>
      <c r="AS210" s="34">
        <f>IF(N210="","",IF(ISNUMBER(N210),N210,IFERROR(VALUE(ASC(N210&amp;"")),IF(AR210&lt;&gt;"",AR210*IF(ISNUMBER(SEARCH("週",N210)),4.3,IF(ISNUMBER(SEARCH("年",N210)),1/12,IF(ISNUMBER(SEARCH("日",N210)),20,1))),IF(ISNUMBER(SEARCH("日",N210)),20,IF(ISNUMBER(SEARCH("週",N210)),4.3,IF(ISNUMBER(SEARCH("月",N210)),1,"")))))))</f>
        <v/>
      </c>
      <c r="AT210" s="34">
        <f>IF(O210="","",IF(ISNUMBER(O210),O210,IFERROR(VALUE(ASC(O210&amp;"")),IF(ISNUMBER(SEARCH("時間",O210)),IFERROR(VALUE(SUBSTITUTE(SUBSTITUTE(SUBSTITUTE(SUBSTITUTE(SUBSTITUTE(ASC(O210&amp;""),"約",""),"程度",""),"ほど",""),"時間","")," ",""))*60,""),IFERROR(VALUE(SUBSTITUTE(SUBSTITUTE(SUBSTITUTE(SUBSTITUTE(SUBSTITUTE(ASC(O210&amp;""),"約",""),"程度",""),"ほど",""),"分","")," ","")),"")))))</f>
        <v/>
      </c>
      <c r="AU210" s="34">
        <f>IF(P210="","",IF(ISNUMBER(P210),P210,IFERROR(VALUE(SUBSTITUTE(SUBSTITUTE(SUBSTITUTE(ASC(P210&amp;""),"約",""),"件","")," ","")),"")))</f>
        <v/>
      </c>
      <c r="AV210" s="34">
        <f>IF(AB210&lt;&gt;"OK","",IF(COUNTIFS($G$5:$G$404,G210&amp;"",$F$5:$F$404,F210&amp;"",$BE$5:$BE$404,BE210&amp;"",$AB$5:$AB$404,"OK")&gt;1,"同名あり",""))</f>
        <v/>
      </c>
      <c r="AW210" s="35">
        <f>IF(Q210="","",IF(ISNUMBER(Q210),Q210,IFERROR(DATEVALUE(SUBSTITUTE(SUBSTITUTE(ASC(Q210&amp;""),"-","/"),".","/")&amp;"/01"),"")))</f>
        <v/>
      </c>
      <c r="AX210" s="35">
        <f>IF(R210="","",IF(ISNUMBER(R210),R210,IFERROR(DATEVALUE(SUBSTITUTE(SUBSTITUTE(ASC(R210&amp;""),"-","/"),".","/")&amp;"/01"),"")))</f>
        <v/>
      </c>
      <c r="AY210" s="34">
        <f>IF(OR(AB210&lt;&gt;"OK",AW210=""),"",IF(AW210&gt;='01_設定'!$C$26,1,0))</f>
        <v/>
      </c>
      <c r="AZ210" s="34">
        <f>IF(AND(AB210="OK",AD210&lt;&gt;"除外"),COUNTIFS($AB$5:AB210,"OK",$AD$5:AD210,"&lt;&gt;除外"),"")</f>
        <v/>
      </c>
      <c r="BA210" s="34">
        <f>IF(OR(AZ210="",AI210=""),"",AI210+ROW()/1000000000)</f>
        <v/>
      </c>
      <c r="BB210" s="34">
        <f>IF(E210="","",IF(OR(TRIM(E210&amp;"")="-",TRIM(E210&amp;"")="－",TRIM(E210&amp;"")="ー"),"",TRIM(E210&amp;"")))</f>
        <v/>
      </c>
      <c r="BC210" s="34">
        <f>IF(AND(AB210="OK",BB210&lt;&gt;""),IF(COUNTIFS($BB$5:BB210,BB210,$AB$5:AB210,"OK")=1,1,""),"")</f>
        <v/>
      </c>
      <c r="BD210" s="34">
        <f>IF(BC210=1,COUNTIF($BC$5:BC210,1),"")</f>
        <v/>
      </c>
      <c r="BE210" s="34">
        <f>IF(BB210="","",IFERROR(INDEX('06_顧客別集計'!$G$5:$G$104,MATCH(BB210,'06_顧客別集計'!$C$5:$C$104,0)),BB210))</f>
        <v/>
      </c>
      <c r="BF210" s="34">
        <f>IF(AND(AZ210&lt;&gt;"",BE210&lt;&gt;""),IF(COUNTIFS($BE$5:BE210,BE210,$AZ$5:AZ210,"&gt;0")=1,1,""),"")</f>
        <v/>
      </c>
      <c r="BG210" s="34">
        <f>IF(BF210=1,COUNTIF($BF$5:BF210,1),"")</f>
        <v/>
      </c>
    </row>
    <row r="211">
      <c r="AB211">
        <f>IF(AND(A211="",G211=""),"",IF(ISNUMBER(SEARCH("##END",AM211)),"（終わりの印）",IF(ISNUMBER(SEARCH("##続き",AM211)),"（続きありの印）",IF(AM211="調査ID","（見出し行）",IF(AND(AM211&lt;&gt;"R1",AM211&lt;&gt;"R2"),"×表以外の行（集計されない）",IF(COUNTIF($AN$5:AN211,AN211)&gt;1,"△重複（集計されない）",IF(G211="","△タスク名なし",IF(ISNA(MATCH(AQ211,'M1_類型マスタ'!$A$5:$A$19,0)),"△類型が不正",IF(OR(AP211="",N(AP211)&lt;1,N(AP211)&gt;6),"△業務区分が不正",IF(OR(AS211="",AT211=""),"△回数・分が読めない",IF(SUMPRODUCT(--ISNUMBER(--T211:Z211))&lt;7,"△採点が足りない",IF(SUMPRODUCT((--T211:Z211&gt;2)+(--T211:Z211&lt;0))&gt;0,"△採点が範囲外","OK"))))))))))))</f>
        <v/>
      </c>
      <c r="AC211">
        <f>IF(AB211&lt;&gt;"OK","",TRIM(IF(AND(AU211&lt;&gt;"",N(AU211)&lt;=1),"根拠1件 ","")&amp;IF(AV211&lt;&gt;"","同名あり ","")&amp;IF(AND(NOT(ISNUMBER(N211)),N211&lt;&gt;""),"回数を換算 ","")&amp;IF(J211="","詳細なし ","")&amp;IF(AND(N(AP211)=1,BB211=""),"顧客名なし ","")))</f>
        <v/>
      </c>
      <c r="AD211" s="31" t="n"/>
      <c r="AE211" s="32" t="n"/>
      <c r="AF211" s="32" t="n"/>
      <c r="AG211" s="31" t="n"/>
      <c r="AH211">
        <f>IF(AB211&lt;&gt;"OK","",IF(AG211&lt;&gt;"",AG211,AJ211))</f>
        <v/>
      </c>
      <c r="AI211" s="33">
        <f>IF(AB211&lt;&gt;"OK","",IFERROR(IF(AE211&lt;&gt;"",AE211,AS211)*IF(AF211&lt;&gt;"",AF211,AT211)/60,""))</f>
        <v/>
      </c>
      <c r="AJ211">
        <f>IF(AB211&lt;&gt;"OK","",IF(OR(VALUE(T211)=2,VALUE(U211)=2,VALUE(V211)=2),"社内残置",IF(AND(VALUE(T211)=0,VALUE(W211)=0,VALUE(Y211)=0),"自動化候補",IF(AND(VALUE(U211)=0,VALUE(W211)&lt;=1,VALUE(X211)&lt;=1,VALUE(Y211)&lt;=1,VALUE(Z211)&lt;=1),"オフショア候補",IF(AND(VALUE(Y211)&lt;=1,VALUE(Z211)&lt;=1),"ニアショア候補","社内で手順化→再評価")))))</f>
        <v/>
      </c>
      <c r="AK211">
        <f>IF(AB211&lt;&gt;"OK","",14-SUMPRODUCT(--T211:Z211))</f>
        <v/>
      </c>
      <c r="AL211" s="33">
        <f>IF(AB211&lt;&gt;"OK","",AS211*AT211/60)</f>
        <v/>
      </c>
      <c r="AM211" s="34">
        <f>IF(A211="","",UPPER(TRIM(ASC(A211&amp;""))))</f>
        <v/>
      </c>
      <c r="AN211" s="34">
        <f>IF(AM211="","",AM211&amp;"-"&amp;B211)</f>
        <v/>
      </c>
      <c r="AO211" s="34">
        <f>IF(C211="","",IFERROR(VALUE(ASC(SUBSTITUTE(C211&amp;"","観点",""))),""))</f>
        <v/>
      </c>
      <c r="AP211" s="34">
        <f>IF(D211="","",IFERROR(VALUE(LEFT(TRIM(ASC(D211&amp;"")),1)),IFERROR(MATCH(TRIM(D211&amp;""),'M2_区分マスタ'!$I$5:$I$10,0),"")))</f>
        <v/>
      </c>
      <c r="AQ211" s="34">
        <f>IF(H211="","",UPPER(LEFT(TRIM(ASC(H211&amp;"")),3)))</f>
        <v/>
      </c>
      <c r="AR211" s="34">
        <f>IF(N211="","",IFERROR(VALUE(SUBSTITUTE(SUBSTITUTE(SUBSTITUTE(SUBSTITUTE(SUBSTITUTE(SUBSTITUTE(SUBSTITUTE(SUBSTITUTE(SUBSTITUTE(SUBSTITUTE(SUBSTITUTE(SUBSTITUTE(ASC(N211&amp;""),"約",""),"程度",""),"ほど",""),"回",""),"毎",""),"週",""),"月",""),"年",""),"日",""),"に",""),"/","")," ","")),""))</f>
        <v/>
      </c>
      <c r="AS211" s="34">
        <f>IF(N211="","",IF(ISNUMBER(N211),N211,IFERROR(VALUE(ASC(N211&amp;"")),IF(AR211&lt;&gt;"",AR211*IF(ISNUMBER(SEARCH("週",N211)),4.3,IF(ISNUMBER(SEARCH("年",N211)),1/12,IF(ISNUMBER(SEARCH("日",N211)),20,1))),IF(ISNUMBER(SEARCH("日",N211)),20,IF(ISNUMBER(SEARCH("週",N211)),4.3,IF(ISNUMBER(SEARCH("月",N211)),1,"")))))))</f>
        <v/>
      </c>
      <c r="AT211" s="34">
        <f>IF(O211="","",IF(ISNUMBER(O211),O211,IFERROR(VALUE(ASC(O211&amp;"")),IF(ISNUMBER(SEARCH("時間",O211)),IFERROR(VALUE(SUBSTITUTE(SUBSTITUTE(SUBSTITUTE(SUBSTITUTE(SUBSTITUTE(ASC(O211&amp;""),"約",""),"程度",""),"ほど",""),"時間","")," ",""))*60,""),IFERROR(VALUE(SUBSTITUTE(SUBSTITUTE(SUBSTITUTE(SUBSTITUTE(SUBSTITUTE(ASC(O211&amp;""),"約",""),"程度",""),"ほど",""),"分","")," ","")),"")))))</f>
        <v/>
      </c>
      <c r="AU211" s="34">
        <f>IF(P211="","",IF(ISNUMBER(P211),P211,IFERROR(VALUE(SUBSTITUTE(SUBSTITUTE(SUBSTITUTE(ASC(P211&amp;""),"約",""),"件","")," ","")),"")))</f>
        <v/>
      </c>
      <c r="AV211" s="34">
        <f>IF(AB211&lt;&gt;"OK","",IF(COUNTIFS($G$5:$G$404,G211&amp;"",$F$5:$F$404,F211&amp;"",$BE$5:$BE$404,BE211&amp;"",$AB$5:$AB$404,"OK")&gt;1,"同名あり",""))</f>
        <v/>
      </c>
      <c r="AW211" s="35">
        <f>IF(Q211="","",IF(ISNUMBER(Q211),Q211,IFERROR(DATEVALUE(SUBSTITUTE(SUBSTITUTE(ASC(Q211&amp;""),"-","/"),".","/")&amp;"/01"),"")))</f>
        <v/>
      </c>
      <c r="AX211" s="35">
        <f>IF(R211="","",IF(ISNUMBER(R211),R211,IFERROR(DATEVALUE(SUBSTITUTE(SUBSTITUTE(ASC(R211&amp;""),"-","/"),".","/")&amp;"/01"),"")))</f>
        <v/>
      </c>
      <c r="AY211" s="34">
        <f>IF(OR(AB211&lt;&gt;"OK",AW211=""),"",IF(AW211&gt;='01_設定'!$C$26,1,0))</f>
        <v/>
      </c>
      <c r="AZ211" s="34">
        <f>IF(AND(AB211="OK",AD211&lt;&gt;"除外"),COUNTIFS($AB$5:AB211,"OK",$AD$5:AD211,"&lt;&gt;除外"),"")</f>
        <v/>
      </c>
      <c r="BA211" s="34">
        <f>IF(OR(AZ211="",AI211=""),"",AI211+ROW()/1000000000)</f>
        <v/>
      </c>
      <c r="BB211" s="34">
        <f>IF(E211="","",IF(OR(TRIM(E211&amp;"")="-",TRIM(E211&amp;"")="－",TRIM(E211&amp;"")="ー"),"",TRIM(E211&amp;"")))</f>
        <v/>
      </c>
      <c r="BC211" s="34">
        <f>IF(AND(AB211="OK",BB211&lt;&gt;""),IF(COUNTIFS($BB$5:BB211,BB211,$AB$5:AB211,"OK")=1,1,""),"")</f>
        <v/>
      </c>
      <c r="BD211" s="34">
        <f>IF(BC211=1,COUNTIF($BC$5:BC211,1),"")</f>
        <v/>
      </c>
      <c r="BE211" s="34">
        <f>IF(BB211="","",IFERROR(INDEX('06_顧客別集計'!$G$5:$G$104,MATCH(BB211,'06_顧客別集計'!$C$5:$C$104,0)),BB211))</f>
        <v/>
      </c>
      <c r="BF211" s="34">
        <f>IF(AND(AZ211&lt;&gt;"",BE211&lt;&gt;""),IF(COUNTIFS($BE$5:BE211,BE211,$AZ$5:AZ211,"&gt;0")=1,1,""),"")</f>
        <v/>
      </c>
      <c r="BG211" s="34">
        <f>IF(BF211=1,COUNTIF($BF$5:BF211,1),"")</f>
        <v/>
      </c>
    </row>
    <row r="212">
      <c r="AB212">
        <f>IF(AND(A212="",G212=""),"",IF(ISNUMBER(SEARCH("##END",AM212)),"（終わりの印）",IF(ISNUMBER(SEARCH("##続き",AM212)),"（続きありの印）",IF(AM212="調査ID","（見出し行）",IF(AND(AM212&lt;&gt;"R1",AM212&lt;&gt;"R2"),"×表以外の行（集計されない）",IF(COUNTIF($AN$5:AN212,AN212)&gt;1,"△重複（集計されない）",IF(G212="","△タスク名なし",IF(ISNA(MATCH(AQ212,'M1_類型マスタ'!$A$5:$A$19,0)),"△類型が不正",IF(OR(AP212="",N(AP212)&lt;1,N(AP212)&gt;6),"△業務区分が不正",IF(OR(AS212="",AT212=""),"△回数・分が読めない",IF(SUMPRODUCT(--ISNUMBER(--T212:Z212))&lt;7,"△採点が足りない",IF(SUMPRODUCT((--T212:Z212&gt;2)+(--T212:Z212&lt;0))&gt;0,"△採点が範囲外","OK"))))))))))))</f>
        <v/>
      </c>
      <c r="AC212">
        <f>IF(AB212&lt;&gt;"OK","",TRIM(IF(AND(AU212&lt;&gt;"",N(AU212)&lt;=1),"根拠1件 ","")&amp;IF(AV212&lt;&gt;"","同名あり ","")&amp;IF(AND(NOT(ISNUMBER(N212)),N212&lt;&gt;""),"回数を換算 ","")&amp;IF(J212="","詳細なし ","")&amp;IF(AND(N(AP212)=1,BB212=""),"顧客名なし ","")))</f>
        <v/>
      </c>
      <c r="AD212" s="31" t="n"/>
      <c r="AE212" s="32" t="n"/>
      <c r="AF212" s="32" t="n"/>
      <c r="AG212" s="31" t="n"/>
      <c r="AH212">
        <f>IF(AB212&lt;&gt;"OK","",IF(AG212&lt;&gt;"",AG212,AJ212))</f>
        <v/>
      </c>
      <c r="AI212" s="33">
        <f>IF(AB212&lt;&gt;"OK","",IFERROR(IF(AE212&lt;&gt;"",AE212,AS212)*IF(AF212&lt;&gt;"",AF212,AT212)/60,""))</f>
        <v/>
      </c>
      <c r="AJ212">
        <f>IF(AB212&lt;&gt;"OK","",IF(OR(VALUE(T212)=2,VALUE(U212)=2,VALUE(V212)=2),"社内残置",IF(AND(VALUE(T212)=0,VALUE(W212)=0,VALUE(Y212)=0),"自動化候補",IF(AND(VALUE(U212)=0,VALUE(W212)&lt;=1,VALUE(X212)&lt;=1,VALUE(Y212)&lt;=1,VALUE(Z212)&lt;=1),"オフショア候補",IF(AND(VALUE(Y212)&lt;=1,VALUE(Z212)&lt;=1),"ニアショア候補","社内で手順化→再評価")))))</f>
        <v/>
      </c>
      <c r="AK212">
        <f>IF(AB212&lt;&gt;"OK","",14-SUMPRODUCT(--T212:Z212))</f>
        <v/>
      </c>
      <c r="AL212" s="33">
        <f>IF(AB212&lt;&gt;"OK","",AS212*AT212/60)</f>
        <v/>
      </c>
      <c r="AM212" s="34">
        <f>IF(A212="","",UPPER(TRIM(ASC(A212&amp;""))))</f>
        <v/>
      </c>
      <c r="AN212" s="34">
        <f>IF(AM212="","",AM212&amp;"-"&amp;B212)</f>
        <v/>
      </c>
      <c r="AO212" s="34">
        <f>IF(C212="","",IFERROR(VALUE(ASC(SUBSTITUTE(C212&amp;"","観点",""))),""))</f>
        <v/>
      </c>
      <c r="AP212" s="34">
        <f>IF(D212="","",IFERROR(VALUE(LEFT(TRIM(ASC(D212&amp;"")),1)),IFERROR(MATCH(TRIM(D212&amp;""),'M2_区分マスタ'!$I$5:$I$10,0),"")))</f>
        <v/>
      </c>
      <c r="AQ212" s="34">
        <f>IF(H212="","",UPPER(LEFT(TRIM(ASC(H212&amp;"")),3)))</f>
        <v/>
      </c>
      <c r="AR212" s="34">
        <f>IF(N212="","",IFERROR(VALUE(SUBSTITUTE(SUBSTITUTE(SUBSTITUTE(SUBSTITUTE(SUBSTITUTE(SUBSTITUTE(SUBSTITUTE(SUBSTITUTE(SUBSTITUTE(SUBSTITUTE(SUBSTITUTE(SUBSTITUTE(ASC(N212&amp;""),"約",""),"程度",""),"ほど",""),"回",""),"毎",""),"週",""),"月",""),"年",""),"日",""),"に",""),"/","")," ","")),""))</f>
        <v/>
      </c>
      <c r="AS212" s="34">
        <f>IF(N212="","",IF(ISNUMBER(N212),N212,IFERROR(VALUE(ASC(N212&amp;"")),IF(AR212&lt;&gt;"",AR212*IF(ISNUMBER(SEARCH("週",N212)),4.3,IF(ISNUMBER(SEARCH("年",N212)),1/12,IF(ISNUMBER(SEARCH("日",N212)),20,1))),IF(ISNUMBER(SEARCH("日",N212)),20,IF(ISNUMBER(SEARCH("週",N212)),4.3,IF(ISNUMBER(SEARCH("月",N212)),1,"")))))))</f>
        <v/>
      </c>
      <c r="AT212" s="34">
        <f>IF(O212="","",IF(ISNUMBER(O212),O212,IFERROR(VALUE(ASC(O212&amp;"")),IF(ISNUMBER(SEARCH("時間",O212)),IFERROR(VALUE(SUBSTITUTE(SUBSTITUTE(SUBSTITUTE(SUBSTITUTE(SUBSTITUTE(ASC(O212&amp;""),"約",""),"程度",""),"ほど",""),"時間","")," ",""))*60,""),IFERROR(VALUE(SUBSTITUTE(SUBSTITUTE(SUBSTITUTE(SUBSTITUTE(SUBSTITUTE(ASC(O212&amp;""),"約",""),"程度",""),"ほど",""),"分","")," ","")),"")))))</f>
        <v/>
      </c>
      <c r="AU212" s="34">
        <f>IF(P212="","",IF(ISNUMBER(P212),P212,IFERROR(VALUE(SUBSTITUTE(SUBSTITUTE(SUBSTITUTE(ASC(P212&amp;""),"約",""),"件","")," ","")),"")))</f>
        <v/>
      </c>
      <c r="AV212" s="34">
        <f>IF(AB212&lt;&gt;"OK","",IF(COUNTIFS($G$5:$G$404,G212&amp;"",$F$5:$F$404,F212&amp;"",$BE$5:$BE$404,BE212&amp;"",$AB$5:$AB$404,"OK")&gt;1,"同名あり",""))</f>
        <v/>
      </c>
      <c r="AW212" s="35">
        <f>IF(Q212="","",IF(ISNUMBER(Q212),Q212,IFERROR(DATEVALUE(SUBSTITUTE(SUBSTITUTE(ASC(Q212&amp;""),"-","/"),".","/")&amp;"/01"),"")))</f>
        <v/>
      </c>
      <c r="AX212" s="35">
        <f>IF(R212="","",IF(ISNUMBER(R212),R212,IFERROR(DATEVALUE(SUBSTITUTE(SUBSTITUTE(ASC(R212&amp;""),"-","/"),".","/")&amp;"/01"),"")))</f>
        <v/>
      </c>
      <c r="AY212" s="34">
        <f>IF(OR(AB212&lt;&gt;"OK",AW212=""),"",IF(AW212&gt;='01_設定'!$C$26,1,0))</f>
        <v/>
      </c>
      <c r="AZ212" s="34">
        <f>IF(AND(AB212="OK",AD212&lt;&gt;"除外"),COUNTIFS($AB$5:AB212,"OK",$AD$5:AD212,"&lt;&gt;除外"),"")</f>
        <v/>
      </c>
      <c r="BA212" s="34">
        <f>IF(OR(AZ212="",AI212=""),"",AI212+ROW()/1000000000)</f>
        <v/>
      </c>
      <c r="BB212" s="34">
        <f>IF(E212="","",IF(OR(TRIM(E212&amp;"")="-",TRIM(E212&amp;"")="－",TRIM(E212&amp;"")="ー"),"",TRIM(E212&amp;"")))</f>
        <v/>
      </c>
      <c r="BC212" s="34">
        <f>IF(AND(AB212="OK",BB212&lt;&gt;""),IF(COUNTIFS($BB$5:BB212,BB212,$AB$5:AB212,"OK")=1,1,""),"")</f>
        <v/>
      </c>
      <c r="BD212" s="34">
        <f>IF(BC212=1,COUNTIF($BC$5:BC212,1),"")</f>
        <v/>
      </c>
      <c r="BE212" s="34">
        <f>IF(BB212="","",IFERROR(INDEX('06_顧客別集計'!$G$5:$G$104,MATCH(BB212,'06_顧客別集計'!$C$5:$C$104,0)),BB212))</f>
        <v/>
      </c>
      <c r="BF212" s="34">
        <f>IF(AND(AZ212&lt;&gt;"",BE212&lt;&gt;""),IF(COUNTIFS($BE$5:BE212,BE212,$AZ$5:AZ212,"&gt;0")=1,1,""),"")</f>
        <v/>
      </c>
      <c r="BG212" s="34">
        <f>IF(BF212=1,COUNTIF($BF$5:BF212,1),"")</f>
        <v/>
      </c>
    </row>
    <row r="213">
      <c r="AB213">
        <f>IF(AND(A213="",G213=""),"",IF(ISNUMBER(SEARCH("##END",AM213)),"（終わりの印）",IF(ISNUMBER(SEARCH("##続き",AM213)),"（続きありの印）",IF(AM213="調査ID","（見出し行）",IF(AND(AM213&lt;&gt;"R1",AM213&lt;&gt;"R2"),"×表以外の行（集計されない）",IF(COUNTIF($AN$5:AN213,AN213)&gt;1,"△重複（集計されない）",IF(G213="","△タスク名なし",IF(ISNA(MATCH(AQ213,'M1_類型マスタ'!$A$5:$A$19,0)),"△類型が不正",IF(OR(AP213="",N(AP213)&lt;1,N(AP213)&gt;6),"△業務区分が不正",IF(OR(AS213="",AT213=""),"△回数・分が読めない",IF(SUMPRODUCT(--ISNUMBER(--T213:Z213))&lt;7,"△採点が足りない",IF(SUMPRODUCT((--T213:Z213&gt;2)+(--T213:Z213&lt;0))&gt;0,"△採点が範囲外","OK"))))))))))))</f>
        <v/>
      </c>
      <c r="AC213">
        <f>IF(AB213&lt;&gt;"OK","",TRIM(IF(AND(AU213&lt;&gt;"",N(AU213)&lt;=1),"根拠1件 ","")&amp;IF(AV213&lt;&gt;"","同名あり ","")&amp;IF(AND(NOT(ISNUMBER(N213)),N213&lt;&gt;""),"回数を換算 ","")&amp;IF(J213="","詳細なし ","")&amp;IF(AND(N(AP213)=1,BB213=""),"顧客名なし ","")))</f>
        <v/>
      </c>
      <c r="AD213" s="31" t="n"/>
      <c r="AE213" s="32" t="n"/>
      <c r="AF213" s="32" t="n"/>
      <c r="AG213" s="31" t="n"/>
      <c r="AH213">
        <f>IF(AB213&lt;&gt;"OK","",IF(AG213&lt;&gt;"",AG213,AJ213))</f>
        <v/>
      </c>
      <c r="AI213" s="33">
        <f>IF(AB213&lt;&gt;"OK","",IFERROR(IF(AE213&lt;&gt;"",AE213,AS213)*IF(AF213&lt;&gt;"",AF213,AT213)/60,""))</f>
        <v/>
      </c>
      <c r="AJ213">
        <f>IF(AB213&lt;&gt;"OK","",IF(OR(VALUE(T213)=2,VALUE(U213)=2,VALUE(V213)=2),"社内残置",IF(AND(VALUE(T213)=0,VALUE(W213)=0,VALUE(Y213)=0),"自動化候補",IF(AND(VALUE(U213)=0,VALUE(W213)&lt;=1,VALUE(X213)&lt;=1,VALUE(Y213)&lt;=1,VALUE(Z213)&lt;=1),"オフショア候補",IF(AND(VALUE(Y213)&lt;=1,VALUE(Z213)&lt;=1),"ニアショア候補","社内で手順化→再評価")))))</f>
        <v/>
      </c>
      <c r="AK213">
        <f>IF(AB213&lt;&gt;"OK","",14-SUMPRODUCT(--T213:Z213))</f>
        <v/>
      </c>
      <c r="AL213" s="33">
        <f>IF(AB213&lt;&gt;"OK","",AS213*AT213/60)</f>
        <v/>
      </c>
      <c r="AM213" s="34">
        <f>IF(A213="","",UPPER(TRIM(ASC(A213&amp;""))))</f>
        <v/>
      </c>
      <c r="AN213" s="34">
        <f>IF(AM213="","",AM213&amp;"-"&amp;B213)</f>
        <v/>
      </c>
      <c r="AO213" s="34">
        <f>IF(C213="","",IFERROR(VALUE(ASC(SUBSTITUTE(C213&amp;"","観点",""))),""))</f>
        <v/>
      </c>
      <c r="AP213" s="34">
        <f>IF(D213="","",IFERROR(VALUE(LEFT(TRIM(ASC(D213&amp;"")),1)),IFERROR(MATCH(TRIM(D213&amp;""),'M2_区分マスタ'!$I$5:$I$10,0),"")))</f>
        <v/>
      </c>
      <c r="AQ213" s="34">
        <f>IF(H213="","",UPPER(LEFT(TRIM(ASC(H213&amp;"")),3)))</f>
        <v/>
      </c>
      <c r="AR213" s="34">
        <f>IF(N213="","",IFERROR(VALUE(SUBSTITUTE(SUBSTITUTE(SUBSTITUTE(SUBSTITUTE(SUBSTITUTE(SUBSTITUTE(SUBSTITUTE(SUBSTITUTE(SUBSTITUTE(SUBSTITUTE(SUBSTITUTE(SUBSTITUTE(ASC(N213&amp;""),"約",""),"程度",""),"ほど",""),"回",""),"毎",""),"週",""),"月",""),"年",""),"日",""),"に",""),"/","")," ","")),""))</f>
        <v/>
      </c>
      <c r="AS213" s="34">
        <f>IF(N213="","",IF(ISNUMBER(N213),N213,IFERROR(VALUE(ASC(N213&amp;"")),IF(AR213&lt;&gt;"",AR213*IF(ISNUMBER(SEARCH("週",N213)),4.3,IF(ISNUMBER(SEARCH("年",N213)),1/12,IF(ISNUMBER(SEARCH("日",N213)),20,1))),IF(ISNUMBER(SEARCH("日",N213)),20,IF(ISNUMBER(SEARCH("週",N213)),4.3,IF(ISNUMBER(SEARCH("月",N213)),1,"")))))))</f>
        <v/>
      </c>
      <c r="AT213" s="34">
        <f>IF(O213="","",IF(ISNUMBER(O213),O213,IFERROR(VALUE(ASC(O213&amp;"")),IF(ISNUMBER(SEARCH("時間",O213)),IFERROR(VALUE(SUBSTITUTE(SUBSTITUTE(SUBSTITUTE(SUBSTITUTE(SUBSTITUTE(ASC(O213&amp;""),"約",""),"程度",""),"ほど",""),"時間","")," ",""))*60,""),IFERROR(VALUE(SUBSTITUTE(SUBSTITUTE(SUBSTITUTE(SUBSTITUTE(SUBSTITUTE(ASC(O213&amp;""),"約",""),"程度",""),"ほど",""),"分","")," ","")),"")))))</f>
        <v/>
      </c>
      <c r="AU213" s="34">
        <f>IF(P213="","",IF(ISNUMBER(P213),P213,IFERROR(VALUE(SUBSTITUTE(SUBSTITUTE(SUBSTITUTE(ASC(P213&amp;""),"約",""),"件","")," ","")),"")))</f>
        <v/>
      </c>
      <c r="AV213" s="34">
        <f>IF(AB213&lt;&gt;"OK","",IF(COUNTIFS($G$5:$G$404,G213&amp;"",$F$5:$F$404,F213&amp;"",$BE$5:$BE$404,BE213&amp;"",$AB$5:$AB$404,"OK")&gt;1,"同名あり",""))</f>
        <v/>
      </c>
      <c r="AW213" s="35">
        <f>IF(Q213="","",IF(ISNUMBER(Q213),Q213,IFERROR(DATEVALUE(SUBSTITUTE(SUBSTITUTE(ASC(Q213&amp;""),"-","/"),".","/")&amp;"/01"),"")))</f>
        <v/>
      </c>
      <c r="AX213" s="35">
        <f>IF(R213="","",IF(ISNUMBER(R213),R213,IFERROR(DATEVALUE(SUBSTITUTE(SUBSTITUTE(ASC(R213&amp;""),"-","/"),".","/")&amp;"/01"),"")))</f>
        <v/>
      </c>
      <c r="AY213" s="34">
        <f>IF(OR(AB213&lt;&gt;"OK",AW213=""),"",IF(AW213&gt;='01_設定'!$C$26,1,0))</f>
        <v/>
      </c>
      <c r="AZ213" s="34">
        <f>IF(AND(AB213="OK",AD213&lt;&gt;"除外"),COUNTIFS($AB$5:AB213,"OK",$AD$5:AD213,"&lt;&gt;除外"),"")</f>
        <v/>
      </c>
      <c r="BA213" s="34">
        <f>IF(OR(AZ213="",AI213=""),"",AI213+ROW()/1000000000)</f>
        <v/>
      </c>
      <c r="BB213" s="34">
        <f>IF(E213="","",IF(OR(TRIM(E213&amp;"")="-",TRIM(E213&amp;"")="－",TRIM(E213&amp;"")="ー"),"",TRIM(E213&amp;"")))</f>
        <v/>
      </c>
      <c r="BC213" s="34">
        <f>IF(AND(AB213="OK",BB213&lt;&gt;""),IF(COUNTIFS($BB$5:BB213,BB213,$AB$5:AB213,"OK")=1,1,""),"")</f>
        <v/>
      </c>
      <c r="BD213" s="34">
        <f>IF(BC213=1,COUNTIF($BC$5:BC213,1),"")</f>
        <v/>
      </c>
      <c r="BE213" s="34">
        <f>IF(BB213="","",IFERROR(INDEX('06_顧客別集計'!$G$5:$G$104,MATCH(BB213,'06_顧客別集計'!$C$5:$C$104,0)),BB213))</f>
        <v/>
      </c>
      <c r="BF213" s="34">
        <f>IF(AND(AZ213&lt;&gt;"",BE213&lt;&gt;""),IF(COUNTIFS($BE$5:BE213,BE213,$AZ$5:AZ213,"&gt;0")=1,1,""),"")</f>
        <v/>
      </c>
      <c r="BG213" s="34">
        <f>IF(BF213=1,COUNTIF($BF$5:BF213,1),"")</f>
        <v/>
      </c>
    </row>
    <row r="214">
      <c r="AB214">
        <f>IF(AND(A214="",G214=""),"",IF(ISNUMBER(SEARCH("##END",AM214)),"（終わりの印）",IF(ISNUMBER(SEARCH("##続き",AM214)),"（続きありの印）",IF(AM214="調査ID","（見出し行）",IF(AND(AM214&lt;&gt;"R1",AM214&lt;&gt;"R2"),"×表以外の行（集計されない）",IF(COUNTIF($AN$5:AN214,AN214)&gt;1,"△重複（集計されない）",IF(G214="","△タスク名なし",IF(ISNA(MATCH(AQ214,'M1_類型マスタ'!$A$5:$A$19,0)),"△類型が不正",IF(OR(AP214="",N(AP214)&lt;1,N(AP214)&gt;6),"△業務区分が不正",IF(OR(AS214="",AT214=""),"△回数・分が読めない",IF(SUMPRODUCT(--ISNUMBER(--T214:Z214))&lt;7,"△採点が足りない",IF(SUMPRODUCT((--T214:Z214&gt;2)+(--T214:Z214&lt;0))&gt;0,"△採点が範囲外","OK"))))))))))))</f>
        <v/>
      </c>
      <c r="AC214">
        <f>IF(AB214&lt;&gt;"OK","",TRIM(IF(AND(AU214&lt;&gt;"",N(AU214)&lt;=1),"根拠1件 ","")&amp;IF(AV214&lt;&gt;"","同名あり ","")&amp;IF(AND(NOT(ISNUMBER(N214)),N214&lt;&gt;""),"回数を換算 ","")&amp;IF(J214="","詳細なし ","")&amp;IF(AND(N(AP214)=1,BB214=""),"顧客名なし ","")))</f>
        <v/>
      </c>
      <c r="AD214" s="31" t="n"/>
      <c r="AE214" s="32" t="n"/>
      <c r="AF214" s="32" t="n"/>
      <c r="AG214" s="31" t="n"/>
      <c r="AH214">
        <f>IF(AB214&lt;&gt;"OK","",IF(AG214&lt;&gt;"",AG214,AJ214))</f>
        <v/>
      </c>
      <c r="AI214" s="33">
        <f>IF(AB214&lt;&gt;"OK","",IFERROR(IF(AE214&lt;&gt;"",AE214,AS214)*IF(AF214&lt;&gt;"",AF214,AT214)/60,""))</f>
        <v/>
      </c>
      <c r="AJ214">
        <f>IF(AB214&lt;&gt;"OK","",IF(OR(VALUE(T214)=2,VALUE(U214)=2,VALUE(V214)=2),"社内残置",IF(AND(VALUE(T214)=0,VALUE(W214)=0,VALUE(Y214)=0),"自動化候補",IF(AND(VALUE(U214)=0,VALUE(W214)&lt;=1,VALUE(X214)&lt;=1,VALUE(Y214)&lt;=1,VALUE(Z214)&lt;=1),"オフショア候補",IF(AND(VALUE(Y214)&lt;=1,VALUE(Z214)&lt;=1),"ニアショア候補","社内で手順化→再評価")))))</f>
        <v/>
      </c>
      <c r="AK214">
        <f>IF(AB214&lt;&gt;"OK","",14-SUMPRODUCT(--T214:Z214))</f>
        <v/>
      </c>
      <c r="AL214" s="33">
        <f>IF(AB214&lt;&gt;"OK","",AS214*AT214/60)</f>
        <v/>
      </c>
      <c r="AM214" s="34">
        <f>IF(A214="","",UPPER(TRIM(ASC(A214&amp;""))))</f>
        <v/>
      </c>
      <c r="AN214" s="34">
        <f>IF(AM214="","",AM214&amp;"-"&amp;B214)</f>
        <v/>
      </c>
      <c r="AO214" s="34">
        <f>IF(C214="","",IFERROR(VALUE(ASC(SUBSTITUTE(C214&amp;"","観点",""))),""))</f>
        <v/>
      </c>
      <c r="AP214" s="34">
        <f>IF(D214="","",IFERROR(VALUE(LEFT(TRIM(ASC(D214&amp;"")),1)),IFERROR(MATCH(TRIM(D214&amp;""),'M2_区分マスタ'!$I$5:$I$10,0),"")))</f>
        <v/>
      </c>
      <c r="AQ214" s="34">
        <f>IF(H214="","",UPPER(LEFT(TRIM(ASC(H214&amp;"")),3)))</f>
        <v/>
      </c>
      <c r="AR214" s="34">
        <f>IF(N214="","",IFERROR(VALUE(SUBSTITUTE(SUBSTITUTE(SUBSTITUTE(SUBSTITUTE(SUBSTITUTE(SUBSTITUTE(SUBSTITUTE(SUBSTITUTE(SUBSTITUTE(SUBSTITUTE(SUBSTITUTE(SUBSTITUTE(ASC(N214&amp;""),"約",""),"程度",""),"ほど",""),"回",""),"毎",""),"週",""),"月",""),"年",""),"日",""),"に",""),"/","")," ","")),""))</f>
        <v/>
      </c>
      <c r="AS214" s="34">
        <f>IF(N214="","",IF(ISNUMBER(N214),N214,IFERROR(VALUE(ASC(N214&amp;"")),IF(AR214&lt;&gt;"",AR214*IF(ISNUMBER(SEARCH("週",N214)),4.3,IF(ISNUMBER(SEARCH("年",N214)),1/12,IF(ISNUMBER(SEARCH("日",N214)),20,1))),IF(ISNUMBER(SEARCH("日",N214)),20,IF(ISNUMBER(SEARCH("週",N214)),4.3,IF(ISNUMBER(SEARCH("月",N214)),1,"")))))))</f>
        <v/>
      </c>
      <c r="AT214" s="34">
        <f>IF(O214="","",IF(ISNUMBER(O214),O214,IFERROR(VALUE(ASC(O214&amp;"")),IF(ISNUMBER(SEARCH("時間",O214)),IFERROR(VALUE(SUBSTITUTE(SUBSTITUTE(SUBSTITUTE(SUBSTITUTE(SUBSTITUTE(ASC(O214&amp;""),"約",""),"程度",""),"ほど",""),"時間","")," ",""))*60,""),IFERROR(VALUE(SUBSTITUTE(SUBSTITUTE(SUBSTITUTE(SUBSTITUTE(SUBSTITUTE(ASC(O214&amp;""),"約",""),"程度",""),"ほど",""),"分","")," ","")),"")))))</f>
        <v/>
      </c>
      <c r="AU214" s="34">
        <f>IF(P214="","",IF(ISNUMBER(P214),P214,IFERROR(VALUE(SUBSTITUTE(SUBSTITUTE(SUBSTITUTE(ASC(P214&amp;""),"約",""),"件","")," ","")),"")))</f>
        <v/>
      </c>
      <c r="AV214" s="34">
        <f>IF(AB214&lt;&gt;"OK","",IF(COUNTIFS($G$5:$G$404,G214&amp;"",$F$5:$F$404,F214&amp;"",$BE$5:$BE$404,BE214&amp;"",$AB$5:$AB$404,"OK")&gt;1,"同名あり",""))</f>
        <v/>
      </c>
      <c r="AW214" s="35">
        <f>IF(Q214="","",IF(ISNUMBER(Q214),Q214,IFERROR(DATEVALUE(SUBSTITUTE(SUBSTITUTE(ASC(Q214&amp;""),"-","/"),".","/")&amp;"/01"),"")))</f>
        <v/>
      </c>
      <c r="AX214" s="35">
        <f>IF(R214="","",IF(ISNUMBER(R214),R214,IFERROR(DATEVALUE(SUBSTITUTE(SUBSTITUTE(ASC(R214&amp;""),"-","/"),".","/")&amp;"/01"),"")))</f>
        <v/>
      </c>
      <c r="AY214" s="34">
        <f>IF(OR(AB214&lt;&gt;"OK",AW214=""),"",IF(AW214&gt;='01_設定'!$C$26,1,0))</f>
        <v/>
      </c>
      <c r="AZ214" s="34">
        <f>IF(AND(AB214="OK",AD214&lt;&gt;"除外"),COUNTIFS($AB$5:AB214,"OK",$AD$5:AD214,"&lt;&gt;除外"),"")</f>
        <v/>
      </c>
      <c r="BA214" s="34">
        <f>IF(OR(AZ214="",AI214=""),"",AI214+ROW()/1000000000)</f>
        <v/>
      </c>
      <c r="BB214" s="34">
        <f>IF(E214="","",IF(OR(TRIM(E214&amp;"")="-",TRIM(E214&amp;"")="－",TRIM(E214&amp;"")="ー"),"",TRIM(E214&amp;"")))</f>
        <v/>
      </c>
      <c r="BC214" s="34">
        <f>IF(AND(AB214="OK",BB214&lt;&gt;""),IF(COUNTIFS($BB$5:BB214,BB214,$AB$5:AB214,"OK")=1,1,""),"")</f>
        <v/>
      </c>
      <c r="BD214" s="34">
        <f>IF(BC214=1,COUNTIF($BC$5:BC214,1),"")</f>
        <v/>
      </c>
      <c r="BE214" s="34">
        <f>IF(BB214="","",IFERROR(INDEX('06_顧客別集計'!$G$5:$G$104,MATCH(BB214,'06_顧客別集計'!$C$5:$C$104,0)),BB214))</f>
        <v/>
      </c>
      <c r="BF214" s="34">
        <f>IF(AND(AZ214&lt;&gt;"",BE214&lt;&gt;""),IF(COUNTIFS($BE$5:BE214,BE214,$AZ$5:AZ214,"&gt;0")=1,1,""),"")</f>
        <v/>
      </c>
      <c r="BG214" s="34">
        <f>IF(BF214=1,COUNTIF($BF$5:BF214,1),"")</f>
        <v/>
      </c>
    </row>
    <row r="215">
      <c r="AB215">
        <f>IF(AND(A215="",G215=""),"",IF(ISNUMBER(SEARCH("##END",AM215)),"（終わりの印）",IF(ISNUMBER(SEARCH("##続き",AM215)),"（続きありの印）",IF(AM215="調査ID","（見出し行）",IF(AND(AM215&lt;&gt;"R1",AM215&lt;&gt;"R2"),"×表以外の行（集計されない）",IF(COUNTIF($AN$5:AN215,AN215)&gt;1,"△重複（集計されない）",IF(G215="","△タスク名なし",IF(ISNA(MATCH(AQ215,'M1_類型マスタ'!$A$5:$A$19,0)),"△類型が不正",IF(OR(AP215="",N(AP215)&lt;1,N(AP215)&gt;6),"△業務区分が不正",IF(OR(AS215="",AT215=""),"△回数・分が読めない",IF(SUMPRODUCT(--ISNUMBER(--T215:Z215))&lt;7,"△採点が足りない",IF(SUMPRODUCT((--T215:Z215&gt;2)+(--T215:Z215&lt;0))&gt;0,"△採点が範囲外","OK"))))))))))))</f>
        <v/>
      </c>
      <c r="AC215">
        <f>IF(AB215&lt;&gt;"OK","",TRIM(IF(AND(AU215&lt;&gt;"",N(AU215)&lt;=1),"根拠1件 ","")&amp;IF(AV215&lt;&gt;"","同名あり ","")&amp;IF(AND(NOT(ISNUMBER(N215)),N215&lt;&gt;""),"回数を換算 ","")&amp;IF(J215="","詳細なし ","")&amp;IF(AND(N(AP215)=1,BB215=""),"顧客名なし ","")))</f>
        <v/>
      </c>
      <c r="AD215" s="31" t="n"/>
      <c r="AE215" s="32" t="n"/>
      <c r="AF215" s="32" t="n"/>
      <c r="AG215" s="31" t="n"/>
      <c r="AH215">
        <f>IF(AB215&lt;&gt;"OK","",IF(AG215&lt;&gt;"",AG215,AJ215))</f>
        <v/>
      </c>
      <c r="AI215" s="33">
        <f>IF(AB215&lt;&gt;"OK","",IFERROR(IF(AE215&lt;&gt;"",AE215,AS215)*IF(AF215&lt;&gt;"",AF215,AT215)/60,""))</f>
        <v/>
      </c>
      <c r="AJ215">
        <f>IF(AB215&lt;&gt;"OK","",IF(OR(VALUE(T215)=2,VALUE(U215)=2,VALUE(V215)=2),"社内残置",IF(AND(VALUE(T215)=0,VALUE(W215)=0,VALUE(Y215)=0),"自動化候補",IF(AND(VALUE(U215)=0,VALUE(W215)&lt;=1,VALUE(X215)&lt;=1,VALUE(Y215)&lt;=1,VALUE(Z215)&lt;=1),"オフショア候補",IF(AND(VALUE(Y215)&lt;=1,VALUE(Z215)&lt;=1),"ニアショア候補","社内で手順化→再評価")))))</f>
        <v/>
      </c>
      <c r="AK215">
        <f>IF(AB215&lt;&gt;"OK","",14-SUMPRODUCT(--T215:Z215))</f>
        <v/>
      </c>
      <c r="AL215" s="33">
        <f>IF(AB215&lt;&gt;"OK","",AS215*AT215/60)</f>
        <v/>
      </c>
      <c r="AM215" s="34">
        <f>IF(A215="","",UPPER(TRIM(ASC(A215&amp;""))))</f>
        <v/>
      </c>
      <c r="AN215" s="34">
        <f>IF(AM215="","",AM215&amp;"-"&amp;B215)</f>
        <v/>
      </c>
      <c r="AO215" s="34">
        <f>IF(C215="","",IFERROR(VALUE(ASC(SUBSTITUTE(C215&amp;"","観点",""))),""))</f>
        <v/>
      </c>
      <c r="AP215" s="34">
        <f>IF(D215="","",IFERROR(VALUE(LEFT(TRIM(ASC(D215&amp;"")),1)),IFERROR(MATCH(TRIM(D215&amp;""),'M2_区分マスタ'!$I$5:$I$10,0),"")))</f>
        <v/>
      </c>
      <c r="AQ215" s="34">
        <f>IF(H215="","",UPPER(LEFT(TRIM(ASC(H215&amp;"")),3)))</f>
        <v/>
      </c>
      <c r="AR215" s="34">
        <f>IF(N215="","",IFERROR(VALUE(SUBSTITUTE(SUBSTITUTE(SUBSTITUTE(SUBSTITUTE(SUBSTITUTE(SUBSTITUTE(SUBSTITUTE(SUBSTITUTE(SUBSTITUTE(SUBSTITUTE(SUBSTITUTE(SUBSTITUTE(ASC(N215&amp;""),"約",""),"程度",""),"ほど",""),"回",""),"毎",""),"週",""),"月",""),"年",""),"日",""),"に",""),"/","")," ","")),""))</f>
        <v/>
      </c>
      <c r="AS215" s="34">
        <f>IF(N215="","",IF(ISNUMBER(N215),N215,IFERROR(VALUE(ASC(N215&amp;"")),IF(AR215&lt;&gt;"",AR215*IF(ISNUMBER(SEARCH("週",N215)),4.3,IF(ISNUMBER(SEARCH("年",N215)),1/12,IF(ISNUMBER(SEARCH("日",N215)),20,1))),IF(ISNUMBER(SEARCH("日",N215)),20,IF(ISNUMBER(SEARCH("週",N215)),4.3,IF(ISNUMBER(SEARCH("月",N215)),1,"")))))))</f>
        <v/>
      </c>
      <c r="AT215" s="34">
        <f>IF(O215="","",IF(ISNUMBER(O215),O215,IFERROR(VALUE(ASC(O215&amp;"")),IF(ISNUMBER(SEARCH("時間",O215)),IFERROR(VALUE(SUBSTITUTE(SUBSTITUTE(SUBSTITUTE(SUBSTITUTE(SUBSTITUTE(ASC(O215&amp;""),"約",""),"程度",""),"ほど",""),"時間","")," ",""))*60,""),IFERROR(VALUE(SUBSTITUTE(SUBSTITUTE(SUBSTITUTE(SUBSTITUTE(SUBSTITUTE(ASC(O215&amp;""),"約",""),"程度",""),"ほど",""),"分","")," ","")),"")))))</f>
        <v/>
      </c>
      <c r="AU215" s="34">
        <f>IF(P215="","",IF(ISNUMBER(P215),P215,IFERROR(VALUE(SUBSTITUTE(SUBSTITUTE(SUBSTITUTE(ASC(P215&amp;""),"約",""),"件","")," ","")),"")))</f>
        <v/>
      </c>
      <c r="AV215" s="34">
        <f>IF(AB215&lt;&gt;"OK","",IF(COUNTIFS($G$5:$G$404,G215&amp;"",$F$5:$F$404,F215&amp;"",$BE$5:$BE$404,BE215&amp;"",$AB$5:$AB$404,"OK")&gt;1,"同名あり",""))</f>
        <v/>
      </c>
      <c r="AW215" s="35">
        <f>IF(Q215="","",IF(ISNUMBER(Q215),Q215,IFERROR(DATEVALUE(SUBSTITUTE(SUBSTITUTE(ASC(Q215&amp;""),"-","/"),".","/")&amp;"/01"),"")))</f>
        <v/>
      </c>
      <c r="AX215" s="35">
        <f>IF(R215="","",IF(ISNUMBER(R215),R215,IFERROR(DATEVALUE(SUBSTITUTE(SUBSTITUTE(ASC(R215&amp;""),"-","/"),".","/")&amp;"/01"),"")))</f>
        <v/>
      </c>
      <c r="AY215" s="34">
        <f>IF(OR(AB215&lt;&gt;"OK",AW215=""),"",IF(AW215&gt;='01_設定'!$C$26,1,0))</f>
        <v/>
      </c>
      <c r="AZ215" s="34">
        <f>IF(AND(AB215="OK",AD215&lt;&gt;"除外"),COUNTIFS($AB$5:AB215,"OK",$AD$5:AD215,"&lt;&gt;除外"),"")</f>
        <v/>
      </c>
      <c r="BA215" s="34">
        <f>IF(OR(AZ215="",AI215=""),"",AI215+ROW()/1000000000)</f>
        <v/>
      </c>
      <c r="BB215" s="34">
        <f>IF(E215="","",IF(OR(TRIM(E215&amp;"")="-",TRIM(E215&amp;"")="－",TRIM(E215&amp;"")="ー"),"",TRIM(E215&amp;"")))</f>
        <v/>
      </c>
      <c r="BC215" s="34">
        <f>IF(AND(AB215="OK",BB215&lt;&gt;""),IF(COUNTIFS($BB$5:BB215,BB215,$AB$5:AB215,"OK")=1,1,""),"")</f>
        <v/>
      </c>
      <c r="BD215" s="34">
        <f>IF(BC215=1,COUNTIF($BC$5:BC215,1),"")</f>
        <v/>
      </c>
      <c r="BE215" s="34">
        <f>IF(BB215="","",IFERROR(INDEX('06_顧客別集計'!$G$5:$G$104,MATCH(BB215,'06_顧客別集計'!$C$5:$C$104,0)),BB215))</f>
        <v/>
      </c>
      <c r="BF215" s="34">
        <f>IF(AND(AZ215&lt;&gt;"",BE215&lt;&gt;""),IF(COUNTIFS($BE$5:BE215,BE215,$AZ$5:AZ215,"&gt;0")=1,1,""),"")</f>
        <v/>
      </c>
      <c r="BG215" s="34">
        <f>IF(BF215=1,COUNTIF($BF$5:BF215,1),"")</f>
        <v/>
      </c>
    </row>
    <row r="216">
      <c r="AB216">
        <f>IF(AND(A216="",G216=""),"",IF(ISNUMBER(SEARCH("##END",AM216)),"（終わりの印）",IF(ISNUMBER(SEARCH("##続き",AM216)),"（続きありの印）",IF(AM216="調査ID","（見出し行）",IF(AND(AM216&lt;&gt;"R1",AM216&lt;&gt;"R2"),"×表以外の行（集計されない）",IF(COUNTIF($AN$5:AN216,AN216)&gt;1,"△重複（集計されない）",IF(G216="","△タスク名なし",IF(ISNA(MATCH(AQ216,'M1_類型マスタ'!$A$5:$A$19,0)),"△類型が不正",IF(OR(AP216="",N(AP216)&lt;1,N(AP216)&gt;6),"△業務区分が不正",IF(OR(AS216="",AT216=""),"△回数・分が読めない",IF(SUMPRODUCT(--ISNUMBER(--T216:Z216))&lt;7,"△採点が足りない",IF(SUMPRODUCT((--T216:Z216&gt;2)+(--T216:Z216&lt;0))&gt;0,"△採点が範囲外","OK"))))))))))))</f>
        <v/>
      </c>
      <c r="AC216">
        <f>IF(AB216&lt;&gt;"OK","",TRIM(IF(AND(AU216&lt;&gt;"",N(AU216)&lt;=1),"根拠1件 ","")&amp;IF(AV216&lt;&gt;"","同名あり ","")&amp;IF(AND(NOT(ISNUMBER(N216)),N216&lt;&gt;""),"回数を換算 ","")&amp;IF(J216="","詳細なし ","")&amp;IF(AND(N(AP216)=1,BB216=""),"顧客名なし ","")))</f>
        <v/>
      </c>
      <c r="AD216" s="31" t="n"/>
      <c r="AE216" s="32" t="n"/>
      <c r="AF216" s="32" t="n"/>
      <c r="AG216" s="31" t="n"/>
      <c r="AH216">
        <f>IF(AB216&lt;&gt;"OK","",IF(AG216&lt;&gt;"",AG216,AJ216))</f>
        <v/>
      </c>
      <c r="AI216" s="33">
        <f>IF(AB216&lt;&gt;"OK","",IFERROR(IF(AE216&lt;&gt;"",AE216,AS216)*IF(AF216&lt;&gt;"",AF216,AT216)/60,""))</f>
        <v/>
      </c>
      <c r="AJ216">
        <f>IF(AB216&lt;&gt;"OK","",IF(OR(VALUE(T216)=2,VALUE(U216)=2,VALUE(V216)=2),"社内残置",IF(AND(VALUE(T216)=0,VALUE(W216)=0,VALUE(Y216)=0),"自動化候補",IF(AND(VALUE(U216)=0,VALUE(W216)&lt;=1,VALUE(X216)&lt;=1,VALUE(Y216)&lt;=1,VALUE(Z216)&lt;=1),"オフショア候補",IF(AND(VALUE(Y216)&lt;=1,VALUE(Z216)&lt;=1),"ニアショア候補","社内で手順化→再評価")))))</f>
        <v/>
      </c>
      <c r="AK216">
        <f>IF(AB216&lt;&gt;"OK","",14-SUMPRODUCT(--T216:Z216))</f>
        <v/>
      </c>
      <c r="AL216" s="33">
        <f>IF(AB216&lt;&gt;"OK","",AS216*AT216/60)</f>
        <v/>
      </c>
      <c r="AM216" s="34">
        <f>IF(A216="","",UPPER(TRIM(ASC(A216&amp;""))))</f>
        <v/>
      </c>
      <c r="AN216" s="34">
        <f>IF(AM216="","",AM216&amp;"-"&amp;B216)</f>
        <v/>
      </c>
      <c r="AO216" s="34">
        <f>IF(C216="","",IFERROR(VALUE(ASC(SUBSTITUTE(C216&amp;"","観点",""))),""))</f>
        <v/>
      </c>
      <c r="AP216" s="34">
        <f>IF(D216="","",IFERROR(VALUE(LEFT(TRIM(ASC(D216&amp;"")),1)),IFERROR(MATCH(TRIM(D216&amp;""),'M2_区分マスタ'!$I$5:$I$10,0),"")))</f>
        <v/>
      </c>
      <c r="AQ216" s="34">
        <f>IF(H216="","",UPPER(LEFT(TRIM(ASC(H216&amp;"")),3)))</f>
        <v/>
      </c>
      <c r="AR216" s="34">
        <f>IF(N216="","",IFERROR(VALUE(SUBSTITUTE(SUBSTITUTE(SUBSTITUTE(SUBSTITUTE(SUBSTITUTE(SUBSTITUTE(SUBSTITUTE(SUBSTITUTE(SUBSTITUTE(SUBSTITUTE(SUBSTITUTE(SUBSTITUTE(ASC(N216&amp;""),"約",""),"程度",""),"ほど",""),"回",""),"毎",""),"週",""),"月",""),"年",""),"日",""),"に",""),"/","")," ","")),""))</f>
        <v/>
      </c>
      <c r="AS216" s="34">
        <f>IF(N216="","",IF(ISNUMBER(N216),N216,IFERROR(VALUE(ASC(N216&amp;"")),IF(AR216&lt;&gt;"",AR216*IF(ISNUMBER(SEARCH("週",N216)),4.3,IF(ISNUMBER(SEARCH("年",N216)),1/12,IF(ISNUMBER(SEARCH("日",N216)),20,1))),IF(ISNUMBER(SEARCH("日",N216)),20,IF(ISNUMBER(SEARCH("週",N216)),4.3,IF(ISNUMBER(SEARCH("月",N216)),1,"")))))))</f>
        <v/>
      </c>
      <c r="AT216" s="34">
        <f>IF(O216="","",IF(ISNUMBER(O216),O216,IFERROR(VALUE(ASC(O216&amp;"")),IF(ISNUMBER(SEARCH("時間",O216)),IFERROR(VALUE(SUBSTITUTE(SUBSTITUTE(SUBSTITUTE(SUBSTITUTE(SUBSTITUTE(ASC(O216&amp;""),"約",""),"程度",""),"ほど",""),"時間","")," ",""))*60,""),IFERROR(VALUE(SUBSTITUTE(SUBSTITUTE(SUBSTITUTE(SUBSTITUTE(SUBSTITUTE(ASC(O216&amp;""),"約",""),"程度",""),"ほど",""),"分","")," ","")),"")))))</f>
        <v/>
      </c>
      <c r="AU216" s="34">
        <f>IF(P216="","",IF(ISNUMBER(P216),P216,IFERROR(VALUE(SUBSTITUTE(SUBSTITUTE(SUBSTITUTE(ASC(P216&amp;""),"約",""),"件","")," ","")),"")))</f>
        <v/>
      </c>
      <c r="AV216" s="34">
        <f>IF(AB216&lt;&gt;"OK","",IF(COUNTIFS($G$5:$G$404,G216&amp;"",$F$5:$F$404,F216&amp;"",$BE$5:$BE$404,BE216&amp;"",$AB$5:$AB$404,"OK")&gt;1,"同名あり",""))</f>
        <v/>
      </c>
      <c r="AW216" s="35">
        <f>IF(Q216="","",IF(ISNUMBER(Q216),Q216,IFERROR(DATEVALUE(SUBSTITUTE(SUBSTITUTE(ASC(Q216&amp;""),"-","/"),".","/")&amp;"/01"),"")))</f>
        <v/>
      </c>
      <c r="AX216" s="35">
        <f>IF(R216="","",IF(ISNUMBER(R216),R216,IFERROR(DATEVALUE(SUBSTITUTE(SUBSTITUTE(ASC(R216&amp;""),"-","/"),".","/")&amp;"/01"),"")))</f>
        <v/>
      </c>
      <c r="AY216" s="34">
        <f>IF(OR(AB216&lt;&gt;"OK",AW216=""),"",IF(AW216&gt;='01_設定'!$C$26,1,0))</f>
        <v/>
      </c>
      <c r="AZ216" s="34">
        <f>IF(AND(AB216="OK",AD216&lt;&gt;"除外"),COUNTIFS($AB$5:AB216,"OK",$AD$5:AD216,"&lt;&gt;除外"),"")</f>
        <v/>
      </c>
      <c r="BA216" s="34">
        <f>IF(OR(AZ216="",AI216=""),"",AI216+ROW()/1000000000)</f>
        <v/>
      </c>
      <c r="BB216" s="34">
        <f>IF(E216="","",IF(OR(TRIM(E216&amp;"")="-",TRIM(E216&amp;"")="－",TRIM(E216&amp;"")="ー"),"",TRIM(E216&amp;"")))</f>
        <v/>
      </c>
      <c r="BC216" s="34">
        <f>IF(AND(AB216="OK",BB216&lt;&gt;""),IF(COUNTIFS($BB$5:BB216,BB216,$AB$5:AB216,"OK")=1,1,""),"")</f>
        <v/>
      </c>
      <c r="BD216" s="34">
        <f>IF(BC216=1,COUNTIF($BC$5:BC216,1),"")</f>
        <v/>
      </c>
      <c r="BE216" s="34">
        <f>IF(BB216="","",IFERROR(INDEX('06_顧客別集計'!$G$5:$G$104,MATCH(BB216,'06_顧客別集計'!$C$5:$C$104,0)),BB216))</f>
        <v/>
      </c>
      <c r="BF216" s="34">
        <f>IF(AND(AZ216&lt;&gt;"",BE216&lt;&gt;""),IF(COUNTIFS($BE$5:BE216,BE216,$AZ$5:AZ216,"&gt;0")=1,1,""),"")</f>
        <v/>
      </c>
      <c r="BG216" s="34">
        <f>IF(BF216=1,COUNTIF($BF$5:BF216,1),"")</f>
        <v/>
      </c>
    </row>
    <row r="217">
      <c r="AB217">
        <f>IF(AND(A217="",G217=""),"",IF(ISNUMBER(SEARCH("##END",AM217)),"（終わりの印）",IF(ISNUMBER(SEARCH("##続き",AM217)),"（続きありの印）",IF(AM217="調査ID","（見出し行）",IF(AND(AM217&lt;&gt;"R1",AM217&lt;&gt;"R2"),"×表以外の行（集計されない）",IF(COUNTIF($AN$5:AN217,AN217)&gt;1,"△重複（集計されない）",IF(G217="","△タスク名なし",IF(ISNA(MATCH(AQ217,'M1_類型マスタ'!$A$5:$A$19,0)),"△類型が不正",IF(OR(AP217="",N(AP217)&lt;1,N(AP217)&gt;6),"△業務区分が不正",IF(OR(AS217="",AT217=""),"△回数・分が読めない",IF(SUMPRODUCT(--ISNUMBER(--T217:Z217))&lt;7,"△採点が足りない",IF(SUMPRODUCT((--T217:Z217&gt;2)+(--T217:Z217&lt;0))&gt;0,"△採点が範囲外","OK"))))))))))))</f>
        <v/>
      </c>
      <c r="AC217">
        <f>IF(AB217&lt;&gt;"OK","",TRIM(IF(AND(AU217&lt;&gt;"",N(AU217)&lt;=1),"根拠1件 ","")&amp;IF(AV217&lt;&gt;"","同名あり ","")&amp;IF(AND(NOT(ISNUMBER(N217)),N217&lt;&gt;""),"回数を換算 ","")&amp;IF(J217="","詳細なし ","")&amp;IF(AND(N(AP217)=1,BB217=""),"顧客名なし ","")))</f>
        <v/>
      </c>
      <c r="AD217" s="31" t="n"/>
      <c r="AE217" s="32" t="n"/>
      <c r="AF217" s="32" t="n"/>
      <c r="AG217" s="31" t="n"/>
      <c r="AH217">
        <f>IF(AB217&lt;&gt;"OK","",IF(AG217&lt;&gt;"",AG217,AJ217))</f>
        <v/>
      </c>
      <c r="AI217" s="33">
        <f>IF(AB217&lt;&gt;"OK","",IFERROR(IF(AE217&lt;&gt;"",AE217,AS217)*IF(AF217&lt;&gt;"",AF217,AT217)/60,""))</f>
        <v/>
      </c>
      <c r="AJ217">
        <f>IF(AB217&lt;&gt;"OK","",IF(OR(VALUE(T217)=2,VALUE(U217)=2,VALUE(V217)=2),"社内残置",IF(AND(VALUE(T217)=0,VALUE(W217)=0,VALUE(Y217)=0),"自動化候補",IF(AND(VALUE(U217)=0,VALUE(W217)&lt;=1,VALUE(X217)&lt;=1,VALUE(Y217)&lt;=1,VALUE(Z217)&lt;=1),"オフショア候補",IF(AND(VALUE(Y217)&lt;=1,VALUE(Z217)&lt;=1),"ニアショア候補","社内で手順化→再評価")))))</f>
        <v/>
      </c>
      <c r="AK217">
        <f>IF(AB217&lt;&gt;"OK","",14-SUMPRODUCT(--T217:Z217))</f>
        <v/>
      </c>
      <c r="AL217" s="33">
        <f>IF(AB217&lt;&gt;"OK","",AS217*AT217/60)</f>
        <v/>
      </c>
      <c r="AM217" s="34">
        <f>IF(A217="","",UPPER(TRIM(ASC(A217&amp;""))))</f>
        <v/>
      </c>
      <c r="AN217" s="34">
        <f>IF(AM217="","",AM217&amp;"-"&amp;B217)</f>
        <v/>
      </c>
      <c r="AO217" s="34">
        <f>IF(C217="","",IFERROR(VALUE(ASC(SUBSTITUTE(C217&amp;"","観点",""))),""))</f>
        <v/>
      </c>
      <c r="AP217" s="34">
        <f>IF(D217="","",IFERROR(VALUE(LEFT(TRIM(ASC(D217&amp;"")),1)),IFERROR(MATCH(TRIM(D217&amp;""),'M2_区分マスタ'!$I$5:$I$10,0),"")))</f>
        <v/>
      </c>
      <c r="AQ217" s="34">
        <f>IF(H217="","",UPPER(LEFT(TRIM(ASC(H217&amp;"")),3)))</f>
        <v/>
      </c>
      <c r="AR217" s="34">
        <f>IF(N217="","",IFERROR(VALUE(SUBSTITUTE(SUBSTITUTE(SUBSTITUTE(SUBSTITUTE(SUBSTITUTE(SUBSTITUTE(SUBSTITUTE(SUBSTITUTE(SUBSTITUTE(SUBSTITUTE(SUBSTITUTE(SUBSTITUTE(ASC(N217&amp;""),"約",""),"程度",""),"ほど",""),"回",""),"毎",""),"週",""),"月",""),"年",""),"日",""),"に",""),"/","")," ","")),""))</f>
        <v/>
      </c>
      <c r="AS217" s="34">
        <f>IF(N217="","",IF(ISNUMBER(N217),N217,IFERROR(VALUE(ASC(N217&amp;"")),IF(AR217&lt;&gt;"",AR217*IF(ISNUMBER(SEARCH("週",N217)),4.3,IF(ISNUMBER(SEARCH("年",N217)),1/12,IF(ISNUMBER(SEARCH("日",N217)),20,1))),IF(ISNUMBER(SEARCH("日",N217)),20,IF(ISNUMBER(SEARCH("週",N217)),4.3,IF(ISNUMBER(SEARCH("月",N217)),1,"")))))))</f>
        <v/>
      </c>
      <c r="AT217" s="34">
        <f>IF(O217="","",IF(ISNUMBER(O217),O217,IFERROR(VALUE(ASC(O217&amp;"")),IF(ISNUMBER(SEARCH("時間",O217)),IFERROR(VALUE(SUBSTITUTE(SUBSTITUTE(SUBSTITUTE(SUBSTITUTE(SUBSTITUTE(ASC(O217&amp;""),"約",""),"程度",""),"ほど",""),"時間","")," ",""))*60,""),IFERROR(VALUE(SUBSTITUTE(SUBSTITUTE(SUBSTITUTE(SUBSTITUTE(SUBSTITUTE(ASC(O217&amp;""),"約",""),"程度",""),"ほど",""),"分","")," ","")),"")))))</f>
        <v/>
      </c>
      <c r="AU217" s="34">
        <f>IF(P217="","",IF(ISNUMBER(P217),P217,IFERROR(VALUE(SUBSTITUTE(SUBSTITUTE(SUBSTITUTE(ASC(P217&amp;""),"約",""),"件","")," ","")),"")))</f>
        <v/>
      </c>
      <c r="AV217" s="34">
        <f>IF(AB217&lt;&gt;"OK","",IF(COUNTIFS($G$5:$G$404,G217&amp;"",$F$5:$F$404,F217&amp;"",$BE$5:$BE$404,BE217&amp;"",$AB$5:$AB$404,"OK")&gt;1,"同名あり",""))</f>
        <v/>
      </c>
      <c r="AW217" s="35">
        <f>IF(Q217="","",IF(ISNUMBER(Q217),Q217,IFERROR(DATEVALUE(SUBSTITUTE(SUBSTITUTE(ASC(Q217&amp;""),"-","/"),".","/")&amp;"/01"),"")))</f>
        <v/>
      </c>
      <c r="AX217" s="35">
        <f>IF(R217="","",IF(ISNUMBER(R217),R217,IFERROR(DATEVALUE(SUBSTITUTE(SUBSTITUTE(ASC(R217&amp;""),"-","/"),".","/")&amp;"/01"),"")))</f>
        <v/>
      </c>
      <c r="AY217" s="34">
        <f>IF(OR(AB217&lt;&gt;"OK",AW217=""),"",IF(AW217&gt;='01_設定'!$C$26,1,0))</f>
        <v/>
      </c>
      <c r="AZ217" s="34">
        <f>IF(AND(AB217="OK",AD217&lt;&gt;"除外"),COUNTIFS($AB$5:AB217,"OK",$AD$5:AD217,"&lt;&gt;除外"),"")</f>
        <v/>
      </c>
      <c r="BA217" s="34">
        <f>IF(OR(AZ217="",AI217=""),"",AI217+ROW()/1000000000)</f>
        <v/>
      </c>
      <c r="BB217" s="34">
        <f>IF(E217="","",IF(OR(TRIM(E217&amp;"")="-",TRIM(E217&amp;"")="－",TRIM(E217&amp;"")="ー"),"",TRIM(E217&amp;"")))</f>
        <v/>
      </c>
      <c r="BC217" s="34">
        <f>IF(AND(AB217="OK",BB217&lt;&gt;""),IF(COUNTIFS($BB$5:BB217,BB217,$AB$5:AB217,"OK")=1,1,""),"")</f>
        <v/>
      </c>
      <c r="BD217" s="34">
        <f>IF(BC217=1,COUNTIF($BC$5:BC217,1),"")</f>
        <v/>
      </c>
      <c r="BE217" s="34">
        <f>IF(BB217="","",IFERROR(INDEX('06_顧客別集計'!$G$5:$G$104,MATCH(BB217,'06_顧客別集計'!$C$5:$C$104,0)),BB217))</f>
        <v/>
      </c>
      <c r="BF217" s="34">
        <f>IF(AND(AZ217&lt;&gt;"",BE217&lt;&gt;""),IF(COUNTIFS($BE$5:BE217,BE217,$AZ$5:AZ217,"&gt;0")=1,1,""),"")</f>
        <v/>
      </c>
      <c r="BG217" s="34">
        <f>IF(BF217=1,COUNTIF($BF$5:BF217,1),"")</f>
        <v/>
      </c>
    </row>
    <row r="218">
      <c r="AB218">
        <f>IF(AND(A218="",G218=""),"",IF(ISNUMBER(SEARCH("##END",AM218)),"（終わりの印）",IF(ISNUMBER(SEARCH("##続き",AM218)),"（続きありの印）",IF(AM218="調査ID","（見出し行）",IF(AND(AM218&lt;&gt;"R1",AM218&lt;&gt;"R2"),"×表以外の行（集計されない）",IF(COUNTIF($AN$5:AN218,AN218)&gt;1,"△重複（集計されない）",IF(G218="","△タスク名なし",IF(ISNA(MATCH(AQ218,'M1_類型マスタ'!$A$5:$A$19,0)),"△類型が不正",IF(OR(AP218="",N(AP218)&lt;1,N(AP218)&gt;6),"△業務区分が不正",IF(OR(AS218="",AT218=""),"△回数・分が読めない",IF(SUMPRODUCT(--ISNUMBER(--T218:Z218))&lt;7,"△採点が足りない",IF(SUMPRODUCT((--T218:Z218&gt;2)+(--T218:Z218&lt;0))&gt;0,"△採点が範囲外","OK"))))))))))))</f>
        <v/>
      </c>
      <c r="AC218">
        <f>IF(AB218&lt;&gt;"OK","",TRIM(IF(AND(AU218&lt;&gt;"",N(AU218)&lt;=1),"根拠1件 ","")&amp;IF(AV218&lt;&gt;"","同名あり ","")&amp;IF(AND(NOT(ISNUMBER(N218)),N218&lt;&gt;""),"回数を換算 ","")&amp;IF(J218="","詳細なし ","")&amp;IF(AND(N(AP218)=1,BB218=""),"顧客名なし ","")))</f>
        <v/>
      </c>
      <c r="AD218" s="31" t="n"/>
      <c r="AE218" s="32" t="n"/>
      <c r="AF218" s="32" t="n"/>
      <c r="AG218" s="31" t="n"/>
      <c r="AH218">
        <f>IF(AB218&lt;&gt;"OK","",IF(AG218&lt;&gt;"",AG218,AJ218))</f>
        <v/>
      </c>
      <c r="AI218" s="33">
        <f>IF(AB218&lt;&gt;"OK","",IFERROR(IF(AE218&lt;&gt;"",AE218,AS218)*IF(AF218&lt;&gt;"",AF218,AT218)/60,""))</f>
        <v/>
      </c>
      <c r="AJ218">
        <f>IF(AB218&lt;&gt;"OK","",IF(OR(VALUE(T218)=2,VALUE(U218)=2,VALUE(V218)=2),"社内残置",IF(AND(VALUE(T218)=0,VALUE(W218)=0,VALUE(Y218)=0),"自動化候補",IF(AND(VALUE(U218)=0,VALUE(W218)&lt;=1,VALUE(X218)&lt;=1,VALUE(Y218)&lt;=1,VALUE(Z218)&lt;=1),"オフショア候補",IF(AND(VALUE(Y218)&lt;=1,VALUE(Z218)&lt;=1),"ニアショア候補","社内で手順化→再評価")))))</f>
        <v/>
      </c>
      <c r="AK218">
        <f>IF(AB218&lt;&gt;"OK","",14-SUMPRODUCT(--T218:Z218))</f>
        <v/>
      </c>
      <c r="AL218" s="33">
        <f>IF(AB218&lt;&gt;"OK","",AS218*AT218/60)</f>
        <v/>
      </c>
      <c r="AM218" s="34">
        <f>IF(A218="","",UPPER(TRIM(ASC(A218&amp;""))))</f>
        <v/>
      </c>
      <c r="AN218" s="34">
        <f>IF(AM218="","",AM218&amp;"-"&amp;B218)</f>
        <v/>
      </c>
      <c r="AO218" s="34">
        <f>IF(C218="","",IFERROR(VALUE(ASC(SUBSTITUTE(C218&amp;"","観点",""))),""))</f>
        <v/>
      </c>
      <c r="AP218" s="34">
        <f>IF(D218="","",IFERROR(VALUE(LEFT(TRIM(ASC(D218&amp;"")),1)),IFERROR(MATCH(TRIM(D218&amp;""),'M2_区分マスタ'!$I$5:$I$10,0),"")))</f>
        <v/>
      </c>
      <c r="AQ218" s="34">
        <f>IF(H218="","",UPPER(LEFT(TRIM(ASC(H218&amp;"")),3)))</f>
        <v/>
      </c>
      <c r="AR218" s="34">
        <f>IF(N218="","",IFERROR(VALUE(SUBSTITUTE(SUBSTITUTE(SUBSTITUTE(SUBSTITUTE(SUBSTITUTE(SUBSTITUTE(SUBSTITUTE(SUBSTITUTE(SUBSTITUTE(SUBSTITUTE(SUBSTITUTE(SUBSTITUTE(ASC(N218&amp;""),"約",""),"程度",""),"ほど",""),"回",""),"毎",""),"週",""),"月",""),"年",""),"日",""),"に",""),"/","")," ","")),""))</f>
        <v/>
      </c>
      <c r="AS218" s="34">
        <f>IF(N218="","",IF(ISNUMBER(N218),N218,IFERROR(VALUE(ASC(N218&amp;"")),IF(AR218&lt;&gt;"",AR218*IF(ISNUMBER(SEARCH("週",N218)),4.3,IF(ISNUMBER(SEARCH("年",N218)),1/12,IF(ISNUMBER(SEARCH("日",N218)),20,1))),IF(ISNUMBER(SEARCH("日",N218)),20,IF(ISNUMBER(SEARCH("週",N218)),4.3,IF(ISNUMBER(SEARCH("月",N218)),1,"")))))))</f>
        <v/>
      </c>
      <c r="AT218" s="34">
        <f>IF(O218="","",IF(ISNUMBER(O218),O218,IFERROR(VALUE(ASC(O218&amp;"")),IF(ISNUMBER(SEARCH("時間",O218)),IFERROR(VALUE(SUBSTITUTE(SUBSTITUTE(SUBSTITUTE(SUBSTITUTE(SUBSTITUTE(ASC(O218&amp;""),"約",""),"程度",""),"ほど",""),"時間","")," ",""))*60,""),IFERROR(VALUE(SUBSTITUTE(SUBSTITUTE(SUBSTITUTE(SUBSTITUTE(SUBSTITUTE(ASC(O218&amp;""),"約",""),"程度",""),"ほど",""),"分","")," ","")),"")))))</f>
        <v/>
      </c>
      <c r="AU218" s="34">
        <f>IF(P218="","",IF(ISNUMBER(P218),P218,IFERROR(VALUE(SUBSTITUTE(SUBSTITUTE(SUBSTITUTE(ASC(P218&amp;""),"約",""),"件","")," ","")),"")))</f>
        <v/>
      </c>
      <c r="AV218" s="34">
        <f>IF(AB218&lt;&gt;"OK","",IF(COUNTIFS($G$5:$G$404,G218&amp;"",$F$5:$F$404,F218&amp;"",$BE$5:$BE$404,BE218&amp;"",$AB$5:$AB$404,"OK")&gt;1,"同名あり",""))</f>
        <v/>
      </c>
      <c r="AW218" s="35">
        <f>IF(Q218="","",IF(ISNUMBER(Q218),Q218,IFERROR(DATEVALUE(SUBSTITUTE(SUBSTITUTE(ASC(Q218&amp;""),"-","/"),".","/")&amp;"/01"),"")))</f>
        <v/>
      </c>
      <c r="AX218" s="35">
        <f>IF(R218="","",IF(ISNUMBER(R218),R218,IFERROR(DATEVALUE(SUBSTITUTE(SUBSTITUTE(ASC(R218&amp;""),"-","/"),".","/")&amp;"/01"),"")))</f>
        <v/>
      </c>
      <c r="AY218" s="34">
        <f>IF(OR(AB218&lt;&gt;"OK",AW218=""),"",IF(AW218&gt;='01_設定'!$C$26,1,0))</f>
        <v/>
      </c>
      <c r="AZ218" s="34">
        <f>IF(AND(AB218="OK",AD218&lt;&gt;"除外"),COUNTIFS($AB$5:AB218,"OK",$AD$5:AD218,"&lt;&gt;除外"),"")</f>
        <v/>
      </c>
      <c r="BA218" s="34">
        <f>IF(OR(AZ218="",AI218=""),"",AI218+ROW()/1000000000)</f>
        <v/>
      </c>
      <c r="BB218" s="34">
        <f>IF(E218="","",IF(OR(TRIM(E218&amp;"")="-",TRIM(E218&amp;"")="－",TRIM(E218&amp;"")="ー"),"",TRIM(E218&amp;"")))</f>
        <v/>
      </c>
      <c r="BC218" s="34">
        <f>IF(AND(AB218="OK",BB218&lt;&gt;""),IF(COUNTIFS($BB$5:BB218,BB218,$AB$5:AB218,"OK")=1,1,""),"")</f>
        <v/>
      </c>
      <c r="BD218" s="34">
        <f>IF(BC218=1,COUNTIF($BC$5:BC218,1),"")</f>
        <v/>
      </c>
      <c r="BE218" s="34">
        <f>IF(BB218="","",IFERROR(INDEX('06_顧客別集計'!$G$5:$G$104,MATCH(BB218,'06_顧客別集計'!$C$5:$C$104,0)),BB218))</f>
        <v/>
      </c>
      <c r="BF218" s="34">
        <f>IF(AND(AZ218&lt;&gt;"",BE218&lt;&gt;""),IF(COUNTIFS($BE$5:BE218,BE218,$AZ$5:AZ218,"&gt;0")=1,1,""),"")</f>
        <v/>
      </c>
      <c r="BG218" s="34">
        <f>IF(BF218=1,COUNTIF($BF$5:BF218,1),"")</f>
        <v/>
      </c>
    </row>
    <row r="219">
      <c r="AB219">
        <f>IF(AND(A219="",G219=""),"",IF(ISNUMBER(SEARCH("##END",AM219)),"（終わりの印）",IF(ISNUMBER(SEARCH("##続き",AM219)),"（続きありの印）",IF(AM219="調査ID","（見出し行）",IF(AND(AM219&lt;&gt;"R1",AM219&lt;&gt;"R2"),"×表以外の行（集計されない）",IF(COUNTIF($AN$5:AN219,AN219)&gt;1,"△重複（集計されない）",IF(G219="","△タスク名なし",IF(ISNA(MATCH(AQ219,'M1_類型マスタ'!$A$5:$A$19,0)),"△類型が不正",IF(OR(AP219="",N(AP219)&lt;1,N(AP219)&gt;6),"△業務区分が不正",IF(OR(AS219="",AT219=""),"△回数・分が読めない",IF(SUMPRODUCT(--ISNUMBER(--T219:Z219))&lt;7,"△採点が足りない",IF(SUMPRODUCT((--T219:Z219&gt;2)+(--T219:Z219&lt;0))&gt;0,"△採点が範囲外","OK"))))))))))))</f>
        <v/>
      </c>
      <c r="AC219">
        <f>IF(AB219&lt;&gt;"OK","",TRIM(IF(AND(AU219&lt;&gt;"",N(AU219)&lt;=1),"根拠1件 ","")&amp;IF(AV219&lt;&gt;"","同名あり ","")&amp;IF(AND(NOT(ISNUMBER(N219)),N219&lt;&gt;""),"回数を換算 ","")&amp;IF(J219="","詳細なし ","")&amp;IF(AND(N(AP219)=1,BB219=""),"顧客名なし ","")))</f>
        <v/>
      </c>
      <c r="AD219" s="31" t="n"/>
      <c r="AE219" s="32" t="n"/>
      <c r="AF219" s="32" t="n"/>
      <c r="AG219" s="31" t="n"/>
      <c r="AH219">
        <f>IF(AB219&lt;&gt;"OK","",IF(AG219&lt;&gt;"",AG219,AJ219))</f>
        <v/>
      </c>
      <c r="AI219" s="33">
        <f>IF(AB219&lt;&gt;"OK","",IFERROR(IF(AE219&lt;&gt;"",AE219,AS219)*IF(AF219&lt;&gt;"",AF219,AT219)/60,""))</f>
        <v/>
      </c>
      <c r="AJ219">
        <f>IF(AB219&lt;&gt;"OK","",IF(OR(VALUE(T219)=2,VALUE(U219)=2,VALUE(V219)=2),"社内残置",IF(AND(VALUE(T219)=0,VALUE(W219)=0,VALUE(Y219)=0),"自動化候補",IF(AND(VALUE(U219)=0,VALUE(W219)&lt;=1,VALUE(X219)&lt;=1,VALUE(Y219)&lt;=1,VALUE(Z219)&lt;=1),"オフショア候補",IF(AND(VALUE(Y219)&lt;=1,VALUE(Z219)&lt;=1),"ニアショア候補","社内で手順化→再評価")))))</f>
        <v/>
      </c>
      <c r="AK219">
        <f>IF(AB219&lt;&gt;"OK","",14-SUMPRODUCT(--T219:Z219))</f>
        <v/>
      </c>
      <c r="AL219" s="33">
        <f>IF(AB219&lt;&gt;"OK","",AS219*AT219/60)</f>
        <v/>
      </c>
      <c r="AM219" s="34">
        <f>IF(A219="","",UPPER(TRIM(ASC(A219&amp;""))))</f>
        <v/>
      </c>
      <c r="AN219" s="34">
        <f>IF(AM219="","",AM219&amp;"-"&amp;B219)</f>
        <v/>
      </c>
      <c r="AO219" s="34">
        <f>IF(C219="","",IFERROR(VALUE(ASC(SUBSTITUTE(C219&amp;"","観点",""))),""))</f>
        <v/>
      </c>
      <c r="AP219" s="34">
        <f>IF(D219="","",IFERROR(VALUE(LEFT(TRIM(ASC(D219&amp;"")),1)),IFERROR(MATCH(TRIM(D219&amp;""),'M2_区分マスタ'!$I$5:$I$10,0),"")))</f>
        <v/>
      </c>
      <c r="AQ219" s="34">
        <f>IF(H219="","",UPPER(LEFT(TRIM(ASC(H219&amp;"")),3)))</f>
        <v/>
      </c>
      <c r="AR219" s="34">
        <f>IF(N219="","",IFERROR(VALUE(SUBSTITUTE(SUBSTITUTE(SUBSTITUTE(SUBSTITUTE(SUBSTITUTE(SUBSTITUTE(SUBSTITUTE(SUBSTITUTE(SUBSTITUTE(SUBSTITUTE(SUBSTITUTE(SUBSTITUTE(ASC(N219&amp;""),"約",""),"程度",""),"ほど",""),"回",""),"毎",""),"週",""),"月",""),"年",""),"日",""),"に",""),"/","")," ","")),""))</f>
        <v/>
      </c>
      <c r="AS219" s="34">
        <f>IF(N219="","",IF(ISNUMBER(N219),N219,IFERROR(VALUE(ASC(N219&amp;"")),IF(AR219&lt;&gt;"",AR219*IF(ISNUMBER(SEARCH("週",N219)),4.3,IF(ISNUMBER(SEARCH("年",N219)),1/12,IF(ISNUMBER(SEARCH("日",N219)),20,1))),IF(ISNUMBER(SEARCH("日",N219)),20,IF(ISNUMBER(SEARCH("週",N219)),4.3,IF(ISNUMBER(SEARCH("月",N219)),1,"")))))))</f>
        <v/>
      </c>
      <c r="AT219" s="34">
        <f>IF(O219="","",IF(ISNUMBER(O219),O219,IFERROR(VALUE(ASC(O219&amp;"")),IF(ISNUMBER(SEARCH("時間",O219)),IFERROR(VALUE(SUBSTITUTE(SUBSTITUTE(SUBSTITUTE(SUBSTITUTE(SUBSTITUTE(ASC(O219&amp;""),"約",""),"程度",""),"ほど",""),"時間","")," ",""))*60,""),IFERROR(VALUE(SUBSTITUTE(SUBSTITUTE(SUBSTITUTE(SUBSTITUTE(SUBSTITUTE(ASC(O219&amp;""),"約",""),"程度",""),"ほど",""),"分","")," ","")),"")))))</f>
        <v/>
      </c>
      <c r="AU219" s="34">
        <f>IF(P219="","",IF(ISNUMBER(P219),P219,IFERROR(VALUE(SUBSTITUTE(SUBSTITUTE(SUBSTITUTE(ASC(P219&amp;""),"約",""),"件","")," ","")),"")))</f>
        <v/>
      </c>
      <c r="AV219" s="34">
        <f>IF(AB219&lt;&gt;"OK","",IF(COUNTIFS($G$5:$G$404,G219&amp;"",$F$5:$F$404,F219&amp;"",$BE$5:$BE$404,BE219&amp;"",$AB$5:$AB$404,"OK")&gt;1,"同名あり",""))</f>
        <v/>
      </c>
      <c r="AW219" s="35">
        <f>IF(Q219="","",IF(ISNUMBER(Q219),Q219,IFERROR(DATEVALUE(SUBSTITUTE(SUBSTITUTE(ASC(Q219&amp;""),"-","/"),".","/")&amp;"/01"),"")))</f>
        <v/>
      </c>
      <c r="AX219" s="35">
        <f>IF(R219="","",IF(ISNUMBER(R219),R219,IFERROR(DATEVALUE(SUBSTITUTE(SUBSTITUTE(ASC(R219&amp;""),"-","/"),".","/")&amp;"/01"),"")))</f>
        <v/>
      </c>
      <c r="AY219" s="34">
        <f>IF(OR(AB219&lt;&gt;"OK",AW219=""),"",IF(AW219&gt;='01_設定'!$C$26,1,0))</f>
        <v/>
      </c>
      <c r="AZ219" s="34">
        <f>IF(AND(AB219="OK",AD219&lt;&gt;"除外"),COUNTIFS($AB$5:AB219,"OK",$AD$5:AD219,"&lt;&gt;除外"),"")</f>
        <v/>
      </c>
      <c r="BA219" s="34">
        <f>IF(OR(AZ219="",AI219=""),"",AI219+ROW()/1000000000)</f>
        <v/>
      </c>
      <c r="BB219" s="34">
        <f>IF(E219="","",IF(OR(TRIM(E219&amp;"")="-",TRIM(E219&amp;"")="－",TRIM(E219&amp;"")="ー"),"",TRIM(E219&amp;"")))</f>
        <v/>
      </c>
      <c r="BC219" s="34">
        <f>IF(AND(AB219="OK",BB219&lt;&gt;""),IF(COUNTIFS($BB$5:BB219,BB219,$AB$5:AB219,"OK")=1,1,""),"")</f>
        <v/>
      </c>
      <c r="BD219" s="34">
        <f>IF(BC219=1,COUNTIF($BC$5:BC219,1),"")</f>
        <v/>
      </c>
      <c r="BE219" s="34">
        <f>IF(BB219="","",IFERROR(INDEX('06_顧客別集計'!$G$5:$G$104,MATCH(BB219,'06_顧客別集計'!$C$5:$C$104,0)),BB219))</f>
        <v/>
      </c>
      <c r="BF219" s="34">
        <f>IF(AND(AZ219&lt;&gt;"",BE219&lt;&gt;""),IF(COUNTIFS($BE$5:BE219,BE219,$AZ$5:AZ219,"&gt;0")=1,1,""),"")</f>
        <v/>
      </c>
      <c r="BG219" s="34">
        <f>IF(BF219=1,COUNTIF($BF$5:BF219,1),"")</f>
        <v/>
      </c>
    </row>
    <row r="220">
      <c r="AB220">
        <f>IF(AND(A220="",G220=""),"",IF(ISNUMBER(SEARCH("##END",AM220)),"（終わりの印）",IF(ISNUMBER(SEARCH("##続き",AM220)),"（続きありの印）",IF(AM220="調査ID","（見出し行）",IF(AND(AM220&lt;&gt;"R1",AM220&lt;&gt;"R2"),"×表以外の行（集計されない）",IF(COUNTIF($AN$5:AN220,AN220)&gt;1,"△重複（集計されない）",IF(G220="","△タスク名なし",IF(ISNA(MATCH(AQ220,'M1_類型マスタ'!$A$5:$A$19,0)),"△類型が不正",IF(OR(AP220="",N(AP220)&lt;1,N(AP220)&gt;6),"△業務区分が不正",IF(OR(AS220="",AT220=""),"△回数・分が読めない",IF(SUMPRODUCT(--ISNUMBER(--T220:Z220))&lt;7,"△採点が足りない",IF(SUMPRODUCT((--T220:Z220&gt;2)+(--T220:Z220&lt;0))&gt;0,"△採点が範囲外","OK"))))))))))))</f>
        <v/>
      </c>
      <c r="AC220">
        <f>IF(AB220&lt;&gt;"OK","",TRIM(IF(AND(AU220&lt;&gt;"",N(AU220)&lt;=1),"根拠1件 ","")&amp;IF(AV220&lt;&gt;"","同名あり ","")&amp;IF(AND(NOT(ISNUMBER(N220)),N220&lt;&gt;""),"回数を換算 ","")&amp;IF(J220="","詳細なし ","")&amp;IF(AND(N(AP220)=1,BB220=""),"顧客名なし ","")))</f>
        <v/>
      </c>
      <c r="AD220" s="31" t="n"/>
      <c r="AE220" s="32" t="n"/>
      <c r="AF220" s="32" t="n"/>
      <c r="AG220" s="31" t="n"/>
      <c r="AH220">
        <f>IF(AB220&lt;&gt;"OK","",IF(AG220&lt;&gt;"",AG220,AJ220))</f>
        <v/>
      </c>
      <c r="AI220" s="33">
        <f>IF(AB220&lt;&gt;"OK","",IFERROR(IF(AE220&lt;&gt;"",AE220,AS220)*IF(AF220&lt;&gt;"",AF220,AT220)/60,""))</f>
        <v/>
      </c>
      <c r="AJ220">
        <f>IF(AB220&lt;&gt;"OK","",IF(OR(VALUE(T220)=2,VALUE(U220)=2,VALUE(V220)=2),"社内残置",IF(AND(VALUE(T220)=0,VALUE(W220)=0,VALUE(Y220)=0),"自動化候補",IF(AND(VALUE(U220)=0,VALUE(W220)&lt;=1,VALUE(X220)&lt;=1,VALUE(Y220)&lt;=1,VALUE(Z220)&lt;=1),"オフショア候補",IF(AND(VALUE(Y220)&lt;=1,VALUE(Z220)&lt;=1),"ニアショア候補","社内で手順化→再評価")))))</f>
        <v/>
      </c>
      <c r="AK220">
        <f>IF(AB220&lt;&gt;"OK","",14-SUMPRODUCT(--T220:Z220))</f>
        <v/>
      </c>
      <c r="AL220" s="33">
        <f>IF(AB220&lt;&gt;"OK","",AS220*AT220/60)</f>
        <v/>
      </c>
      <c r="AM220" s="34">
        <f>IF(A220="","",UPPER(TRIM(ASC(A220&amp;""))))</f>
        <v/>
      </c>
      <c r="AN220" s="34">
        <f>IF(AM220="","",AM220&amp;"-"&amp;B220)</f>
        <v/>
      </c>
      <c r="AO220" s="34">
        <f>IF(C220="","",IFERROR(VALUE(ASC(SUBSTITUTE(C220&amp;"","観点",""))),""))</f>
        <v/>
      </c>
      <c r="AP220" s="34">
        <f>IF(D220="","",IFERROR(VALUE(LEFT(TRIM(ASC(D220&amp;"")),1)),IFERROR(MATCH(TRIM(D220&amp;""),'M2_区分マスタ'!$I$5:$I$10,0),"")))</f>
        <v/>
      </c>
      <c r="AQ220" s="34">
        <f>IF(H220="","",UPPER(LEFT(TRIM(ASC(H220&amp;"")),3)))</f>
        <v/>
      </c>
      <c r="AR220" s="34">
        <f>IF(N220="","",IFERROR(VALUE(SUBSTITUTE(SUBSTITUTE(SUBSTITUTE(SUBSTITUTE(SUBSTITUTE(SUBSTITUTE(SUBSTITUTE(SUBSTITUTE(SUBSTITUTE(SUBSTITUTE(SUBSTITUTE(SUBSTITUTE(ASC(N220&amp;""),"約",""),"程度",""),"ほど",""),"回",""),"毎",""),"週",""),"月",""),"年",""),"日",""),"に",""),"/","")," ","")),""))</f>
        <v/>
      </c>
      <c r="AS220" s="34">
        <f>IF(N220="","",IF(ISNUMBER(N220),N220,IFERROR(VALUE(ASC(N220&amp;"")),IF(AR220&lt;&gt;"",AR220*IF(ISNUMBER(SEARCH("週",N220)),4.3,IF(ISNUMBER(SEARCH("年",N220)),1/12,IF(ISNUMBER(SEARCH("日",N220)),20,1))),IF(ISNUMBER(SEARCH("日",N220)),20,IF(ISNUMBER(SEARCH("週",N220)),4.3,IF(ISNUMBER(SEARCH("月",N220)),1,"")))))))</f>
        <v/>
      </c>
      <c r="AT220" s="34">
        <f>IF(O220="","",IF(ISNUMBER(O220),O220,IFERROR(VALUE(ASC(O220&amp;"")),IF(ISNUMBER(SEARCH("時間",O220)),IFERROR(VALUE(SUBSTITUTE(SUBSTITUTE(SUBSTITUTE(SUBSTITUTE(SUBSTITUTE(ASC(O220&amp;""),"約",""),"程度",""),"ほど",""),"時間","")," ",""))*60,""),IFERROR(VALUE(SUBSTITUTE(SUBSTITUTE(SUBSTITUTE(SUBSTITUTE(SUBSTITUTE(ASC(O220&amp;""),"約",""),"程度",""),"ほど",""),"分","")," ","")),"")))))</f>
        <v/>
      </c>
      <c r="AU220" s="34">
        <f>IF(P220="","",IF(ISNUMBER(P220),P220,IFERROR(VALUE(SUBSTITUTE(SUBSTITUTE(SUBSTITUTE(ASC(P220&amp;""),"約",""),"件","")," ","")),"")))</f>
        <v/>
      </c>
      <c r="AV220" s="34">
        <f>IF(AB220&lt;&gt;"OK","",IF(COUNTIFS($G$5:$G$404,G220&amp;"",$F$5:$F$404,F220&amp;"",$BE$5:$BE$404,BE220&amp;"",$AB$5:$AB$404,"OK")&gt;1,"同名あり",""))</f>
        <v/>
      </c>
      <c r="AW220" s="35">
        <f>IF(Q220="","",IF(ISNUMBER(Q220),Q220,IFERROR(DATEVALUE(SUBSTITUTE(SUBSTITUTE(ASC(Q220&amp;""),"-","/"),".","/")&amp;"/01"),"")))</f>
        <v/>
      </c>
      <c r="AX220" s="35">
        <f>IF(R220="","",IF(ISNUMBER(R220),R220,IFERROR(DATEVALUE(SUBSTITUTE(SUBSTITUTE(ASC(R220&amp;""),"-","/"),".","/")&amp;"/01"),"")))</f>
        <v/>
      </c>
      <c r="AY220" s="34">
        <f>IF(OR(AB220&lt;&gt;"OK",AW220=""),"",IF(AW220&gt;='01_設定'!$C$26,1,0))</f>
        <v/>
      </c>
      <c r="AZ220" s="34">
        <f>IF(AND(AB220="OK",AD220&lt;&gt;"除外"),COUNTIFS($AB$5:AB220,"OK",$AD$5:AD220,"&lt;&gt;除外"),"")</f>
        <v/>
      </c>
      <c r="BA220" s="34">
        <f>IF(OR(AZ220="",AI220=""),"",AI220+ROW()/1000000000)</f>
        <v/>
      </c>
      <c r="BB220" s="34">
        <f>IF(E220="","",IF(OR(TRIM(E220&amp;"")="-",TRIM(E220&amp;"")="－",TRIM(E220&amp;"")="ー"),"",TRIM(E220&amp;"")))</f>
        <v/>
      </c>
      <c r="BC220" s="34">
        <f>IF(AND(AB220="OK",BB220&lt;&gt;""),IF(COUNTIFS($BB$5:BB220,BB220,$AB$5:AB220,"OK")=1,1,""),"")</f>
        <v/>
      </c>
      <c r="BD220" s="34">
        <f>IF(BC220=1,COUNTIF($BC$5:BC220,1),"")</f>
        <v/>
      </c>
      <c r="BE220" s="34">
        <f>IF(BB220="","",IFERROR(INDEX('06_顧客別集計'!$G$5:$G$104,MATCH(BB220,'06_顧客別集計'!$C$5:$C$104,0)),BB220))</f>
        <v/>
      </c>
      <c r="BF220" s="34">
        <f>IF(AND(AZ220&lt;&gt;"",BE220&lt;&gt;""),IF(COUNTIFS($BE$5:BE220,BE220,$AZ$5:AZ220,"&gt;0")=1,1,""),"")</f>
        <v/>
      </c>
      <c r="BG220" s="34">
        <f>IF(BF220=1,COUNTIF($BF$5:BF220,1),"")</f>
        <v/>
      </c>
    </row>
    <row r="221">
      <c r="AB221">
        <f>IF(AND(A221="",G221=""),"",IF(ISNUMBER(SEARCH("##END",AM221)),"（終わりの印）",IF(ISNUMBER(SEARCH("##続き",AM221)),"（続きありの印）",IF(AM221="調査ID","（見出し行）",IF(AND(AM221&lt;&gt;"R1",AM221&lt;&gt;"R2"),"×表以外の行（集計されない）",IF(COUNTIF($AN$5:AN221,AN221)&gt;1,"△重複（集計されない）",IF(G221="","△タスク名なし",IF(ISNA(MATCH(AQ221,'M1_類型マスタ'!$A$5:$A$19,0)),"△類型が不正",IF(OR(AP221="",N(AP221)&lt;1,N(AP221)&gt;6),"△業務区分が不正",IF(OR(AS221="",AT221=""),"△回数・分が読めない",IF(SUMPRODUCT(--ISNUMBER(--T221:Z221))&lt;7,"△採点が足りない",IF(SUMPRODUCT((--T221:Z221&gt;2)+(--T221:Z221&lt;0))&gt;0,"△採点が範囲外","OK"))))))))))))</f>
        <v/>
      </c>
      <c r="AC221">
        <f>IF(AB221&lt;&gt;"OK","",TRIM(IF(AND(AU221&lt;&gt;"",N(AU221)&lt;=1),"根拠1件 ","")&amp;IF(AV221&lt;&gt;"","同名あり ","")&amp;IF(AND(NOT(ISNUMBER(N221)),N221&lt;&gt;""),"回数を換算 ","")&amp;IF(J221="","詳細なし ","")&amp;IF(AND(N(AP221)=1,BB221=""),"顧客名なし ","")))</f>
        <v/>
      </c>
      <c r="AD221" s="31" t="n"/>
      <c r="AE221" s="32" t="n"/>
      <c r="AF221" s="32" t="n"/>
      <c r="AG221" s="31" t="n"/>
      <c r="AH221">
        <f>IF(AB221&lt;&gt;"OK","",IF(AG221&lt;&gt;"",AG221,AJ221))</f>
        <v/>
      </c>
      <c r="AI221" s="33">
        <f>IF(AB221&lt;&gt;"OK","",IFERROR(IF(AE221&lt;&gt;"",AE221,AS221)*IF(AF221&lt;&gt;"",AF221,AT221)/60,""))</f>
        <v/>
      </c>
      <c r="AJ221">
        <f>IF(AB221&lt;&gt;"OK","",IF(OR(VALUE(T221)=2,VALUE(U221)=2,VALUE(V221)=2),"社内残置",IF(AND(VALUE(T221)=0,VALUE(W221)=0,VALUE(Y221)=0),"自動化候補",IF(AND(VALUE(U221)=0,VALUE(W221)&lt;=1,VALUE(X221)&lt;=1,VALUE(Y221)&lt;=1,VALUE(Z221)&lt;=1),"オフショア候補",IF(AND(VALUE(Y221)&lt;=1,VALUE(Z221)&lt;=1),"ニアショア候補","社内で手順化→再評価")))))</f>
        <v/>
      </c>
      <c r="AK221">
        <f>IF(AB221&lt;&gt;"OK","",14-SUMPRODUCT(--T221:Z221))</f>
        <v/>
      </c>
      <c r="AL221" s="33">
        <f>IF(AB221&lt;&gt;"OK","",AS221*AT221/60)</f>
        <v/>
      </c>
      <c r="AM221" s="34">
        <f>IF(A221="","",UPPER(TRIM(ASC(A221&amp;""))))</f>
        <v/>
      </c>
      <c r="AN221" s="34">
        <f>IF(AM221="","",AM221&amp;"-"&amp;B221)</f>
        <v/>
      </c>
      <c r="AO221" s="34">
        <f>IF(C221="","",IFERROR(VALUE(ASC(SUBSTITUTE(C221&amp;"","観点",""))),""))</f>
        <v/>
      </c>
      <c r="AP221" s="34">
        <f>IF(D221="","",IFERROR(VALUE(LEFT(TRIM(ASC(D221&amp;"")),1)),IFERROR(MATCH(TRIM(D221&amp;""),'M2_区分マスタ'!$I$5:$I$10,0),"")))</f>
        <v/>
      </c>
      <c r="AQ221" s="34">
        <f>IF(H221="","",UPPER(LEFT(TRIM(ASC(H221&amp;"")),3)))</f>
        <v/>
      </c>
      <c r="AR221" s="34">
        <f>IF(N221="","",IFERROR(VALUE(SUBSTITUTE(SUBSTITUTE(SUBSTITUTE(SUBSTITUTE(SUBSTITUTE(SUBSTITUTE(SUBSTITUTE(SUBSTITUTE(SUBSTITUTE(SUBSTITUTE(SUBSTITUTE(SUBSTITUTE(ASC(N221&amp;""),"約",""),"程度",""),"ほど",""),"回",""),"毎",""),"週",""),"月",""),"年",""),"日",""),"に",""),"/","")," ","")),""))</f>
        <v/>
      </c>
      <c r="AS221" s="34">
        <f>IF(N221="","",IF(ISNUMBER(N221),N221,IFERROR(VALUE(ASC(N221&amp;"")),IF(AR221&lt;&gt;"",AR221*IF(ISNUMBER(SEARCH("週",N221)),4.3,IF(ISNUMBER(SEARCH("年",N221)),1/12,IF(ISNUMBER(SEARCH("日",N221)),20,1))),IF(ISNUMBER(SEARCH("日",N221)),20,IF(ISNUMBER(SEARCH("週",N221)),4.3,IF(ISNUMBER(SEARCH("月",N221)),1,"")))))))</f>
        <v/>
      </c>
      <c r="AT221" s="34">
        <f>IF(O221="","",IF(ISNUMBER(O221),O221,IFERROR(VALUE(ASC(O221&amp;"")),IF(ISNUMBER(SEARCH("時間",O221)),IFERROR(VALUE(SUBSTITUTE(SUBSTITUTE(SUBSTITUTE(SUBSTITUTE(SUBSTITUTE(ASC(O221&amp;""),"約",""),"程度",""),"ほど",""),"時間","")," ",""))*60,""),IFERROR(VALUE(SUBSTITUTE(SUBSTITUTE(SUBSTITUTE(SUBSTITUTE(SUBSTITUTE(ASC(O221&amp;""),"約",""),"程度",""),"ほど",""),"分","")," ","")),"")))))</f>
        <v/>
      </c>
      <c r="AU221" s="34">
        <f>IF(P221="","",IF(ISNUMBER(P221),P221,IFERROR(VALUE(SUBSTITUTE(SUBSTITUTE(SUBSTITUTE(ASC(P221&amp;""),"約",""),"件","")," ","")),"")))</f>
        <v/>
      </c>
      <c r="AV221" s="34">
        <f>IF(AB221&lt;&gt;"OK","",IF(COUNTIFS($G$5:$G$404,G221&amp;"",$F$5:$F$404,F221&amp;"",$BE$5:$BE$404,BE221&amp;"",$AB$5:$AB$404,"OK")&gt;1,"同名あり",""))</f>
        <v/>
      </c>
      <c r="AW221" s="35">
        <f>IF(Q221="","",IF(ISNUMBER(Q221),Q221,IFERROR(DATEVALUE(SUBSTITUTE(SUBSTITUTE(ASC(Q221&amp;""),"-","/"),".","/")&amp;"/01"),"")))</f>
        <v/>
      </c>
      <c r="AX221" s="35">
        <f>IF(R221="","",IF(ISNUMBER(R221),R221,IFERROR(DATEVALUE(SUBSTITUTE(SUBSTITUTE(ASC(R221&amp;""),"-","/"),".","/")&amp;"/01"),"")))</f>
        <v/>
      </c>
      <c r="AY221" s="34">
        <f>IF(OR(AB221&lt;&gt;"OK",AW221=""),"",IF(AW221&gt;='01_設定'!$C$26,1,0))</f>
        <v/>
      </c>
      <c r="AZ221" s="34">
        <f>IF(AND(AB221="OK",AD221&lt;&gt;"除外"),COUNTIFS($AB$5:AB221,"OK",$AD$5:AD221,"&lt;&gt;除外"),"")</f>
        <v/>
      </c>
      <c r="BA221" s="34">
        <f>IF(OR(AZ221="",AI221=""),"",AI221+ROW()/1000000000)</f>
        <v/>
      </c>
      <c r="BB221" s="34">
        <f>IF(E221="","",IF(OR(TRIM(E221&amp;"")="-",TRIM(E221&amp;"")="－",TRIM(E221&amp;"")="ー"),"",TRIM(E221&amp;"")))</f>
        <v/>
      </c>
      <c r="BC221" s="34">
        <f>IF(AND(AB221="OK",BB221&lt;&gt;""),IF(COUNTIFS($BB$5:BB221,BB221,$AB$5:AB221,"OK")=1,1,""),"")</f>
        <v/>
      </c>
      <c r="BD221" s="34">
        <f>IF(BC221=1,COUNTIF($BC$5:BC221,1),"")</f>
        <v/>
      </c>
      <c r="BE221" s="34">
        <f>IF(BB221="","",IFERROR(INDEX('06_顧客別集計'!$G$5:$G$104,MATCH(BB221,'06_顧客別集計'!$C$5:$C$104,0)),BB221))</f>
        <v/>
      </c>
      <c r="BF221" s="34">
        <f>IF(AND(AZ221&lt;&gt;"",BE221&lt;&gt;""),IF(COUNTIFS($BE$5:BE221,BE221,$AZ$5:AZ221,"&gt;0")=1,1,""),"")</f>
        <v/>
      </c>
      <c r="BG221" s="34">
        <f>IF(BF221=1,COUNTIF($BF$5:BF221,1),"")</f>
        <v/>
      </c>
    </row>
    <row r="222">
      <c r="AB222">
        <f>IF(AND(A222="",G222=""),"",IF(ISNUMBER(SEARCH("##END",AM222)),"（終わりの印）",IF(ISNUMBER(SEARCH("##続き",AM222)),"（続きありの印）",IF(AM222="調査ID","（見出し行）",IF(AND(AM222&lt;&gt;"R1",AM222&lt;&gt;"R2"),"×表以外の行（集計されない）",IF(COUNTIF($AN$5:AN222,AN222)&gt;1,"△重複（集計されない）",IF(G222="","△タスク名なし",IF(ISNA(MATCH(AQ222,'M1_類型マスタ'!$A$5:$A$19,0)),"△類型が不正",IF(OR(AP222="",N(AP222)&lt;1,N(AP222)&gt;6),"△業務区分が不正",IF(OR(AS222="",AT222=""),"△回数・分が読めない",IF(SUMPRODUCT(--ISNUMBER(--T222:Z222))&lt;7,"△採点が足りない",IF(SUMPRODUCT((--T222:Z222&gt;2)+(--T222:Z222&lt;0))&gt;0,"△採点が範囲外","OK"))))))))))))</f>
        <v/>
      </c>
      <c r="AC222">
        <f>IF(AB222&lt;&gt;"OK","",TRIM(IF(AND(AU222&lt;&gt;"",N(AU222)&lt;=1),"根拠1件 ","")&amp;IF(AV222&lt;&gt;"","同名あり ","")&amp;IF(AND(NOT(ISNUMBER(N222)),N222&lt;&gt;""),"回数を換算 ","")&amp;IF(J222="","詳細なし ","")&amp;IF(AND(N(AP222)=1,BB222=""),"顧客名なし ","")))</f>
        <v/>
      </c>
      <c r="AD222" s="31" t="n"/>
      <c r="AE222" s="32" t="n"/>
      <c r="AF222" s="32" t="n"/>
      <c r="AG222" s="31" t="n"/>
      <c r="AH222">
        <f>IF(AB222&lt;&gt;"OK","",IF(AG222&lt;&gt;"",AG222,AJ222))</f>
        <v/>
      </c>
      <c r="AI222" s="33">
        <f>IF(AB222&lt;&gt;"OK","",IFERROR(IF(AE222&lt;&gt;"",AE222,AS222)*IF(AF222&lt;&gt;"",AF222,AT222)/60,""))</f>
        <v/>
      </c>
      <c r="AJ222">
        <f>IF(AB222&lt;&gt;"OK","",IF(OR(VALUE(T222)=2,VALUE(U222)=2,VALUE(V222)=2),"社内残置",IF(AND(VALUE(T222)=0,VALUE(W222)=0,VALUE(Y222)=0),"自動化候補",IF(AND(VALUE(U222)=0,VALUE(W222)&lt;=1,VALUE(X222)&lt;=1,VALUE(Y222)&lt;=1,VALUE(Z222)&lt;=1),"オフショア候補",IF(AND(VALUE(Y222)&lt;=1,VALUE(Z222)&lt;=1),"ニアショア候補","社内で手順化→再評価")))))</f>
        <v/>
      </c>
      <c r="AK222">
        <f>IF(AB222&lt;&gt;"OK","",14-SUMPRODUCT(--T222:Z222))</f>
        <v/>
      </c>
      <c r="AL222" s="33">
        <f>IF(AB222&lt;&gt;"OK","",AS222*AT222/60)</f>
        <v/>
      </c>
      <c r="AM222" s="34">
        <f>IF(A222="","",UPPER(TRIM(ASC(A222&amp;""))))</f>
        <v/>
      </c>
      <c r="AN222" s="34">
        <f>IF(AM222="","",AM222&amp;"-"&amp;B222)</f>
        <v/>
      </c>
      <c r="AO222" s="34">
        <f>IF(C222="","",IFERROR(VALUE(ASC(SUBSTITUTE(C222&amp;"","観点",""))),""))</f>
        <v/>
      </c>
      <c r="AP222" s="34">
        <f>IF(D222="","",IFERROR(VALUE(LEFT(TRIM(ASC(D222&amp;"")),1)),IFERROR(MATCH(TRIM(D222&amp;""),'M2_区分マスタ'!$I$5:$I$10,0),"")))</f>
        <v/>
      </c>
      <c r="AQ222" s="34">
        <f>IF(H222="","",UPPER(LEFT(TRIM(ASC(H222&amp;"")),3)))</f>
        <v/>
      </c>
      <c r="AR222" s="34">
        <f>IF(N222="","",IFERROR(VALUE(SUBSTITUTE(SUBSTITUTE(SUBSTITUTE(SUBSTITUTE(SUBSTITUTE(SUBSTITUTE(SUBSTITUTE(SUBSTITUTE(SUBSTITUTE(SUBSTITUTE(SUBSTITUTE(SUBSTITUTE(ASC(N222&amp;""),"約",""),"程度",""),"ほど",""),"回",""),"毎",""),"週",""),"月",""),"年",""),"日",""),"に",""),"/","")," ","")),""))</f>
        <v/>
      </c>
      <c r="AS222" s="34">
        <f>IF(N222="","",IF(ISNUMBER(N222),N222,IFERROR(VALUE(ASC(N222&amp;"")),IF(AR222&lt;&gt;"",AR222*IF(ISNUMBER(SEARCH("週",N222)),4.3,IF(ISNUMBER(SEARCH("年",N222)),1/12,IF(ISNUMBER(SEARCH("日",N222)),20,1))),IF(ISNUMBER(SEARCH("日",N222)),20,IF(ISNUMBER(SEARCH("週",N222)),4.3,IF(ISNUMBER(SEARCH("月",N222)),1,"")))))))</f>
        <v/>
      </c>
      <c r="AT222" s="34">
        <f>IF(O222="","",IF(ISNUMBER(O222),O222,IFERROR(VALUE(ASC(O222&amp;"")),IF(ISNUMBER(SEARCH("時間",O222)),IFERROR(VALUE(SUBSTITUTE(SUBSTITUTE(SUBSTITUTE(SUBSTITUTE(SUBSTITUTE(ASC(O222&amp;""),"約",""),"程度",""),"ほど",""),"時間","")," ",""))*60,""),IFERROR(VALUE(SUBSTITUTE(SUBSTITUTE(SUBSTITUTE(SUBSTITUTE(SUBSTITUTE(ASC(O222&amp;""),"約",""),"程度",""),"ほど",""),"分","")," ","")),"")))))</f>
        <v/>
      </c>
      <c r="AU222" s="34">
        <f>IF(P222="","",IF(ISNUMBER(P222),P222,IFERROR(VALUE(SUBSTITUTE(SUBSTITUTE(SUBSTITUTE(ASC(P222&amp;""),"約",""),"件","")," ","")),"")))</f>
        <v/>
      </c>
      <c r="AV222" s="34">
        <f>IF(AB222&lt;&gt;"OK","",IF(COUNTIFS($G$5:$G$404,G222&amp;"",$F$5:$F$404,F222&amp;"",$BE$5:$BE$404,BE222&amp;"",$AB$5:$AB$404,"OK")&gt;1,"同名あり",""))</f>
        <v/>
      </c>
      <c r="AW222" s="35">
        <f>IF(Q222="","",IF(ISNUMBER(Q222),Q222,IFERROR(DATEVALUE(SUBSTITUTE(SUBSTITUTE(ASC(Q222&amp;""),"-","/"),".","/")&amp;"/01"),"")))</f>
        <v/>
      </c>
      <c r="AX222" s="35">
        <f>IF(R222="","",IF(ISNUMBER(R222),R222,IFERROR(DATEVALUE(SUBSTITUTE(SUBSTITUTE(ASC(R222&amp;""),"-","/"),".","/")&amp;"/01"),"")))</f>
        <v/>
      </c>
      <c r="AY222" s="34">
        <f>IF(OR(AB222&lt;&gt;"OK",AW222=""),"",IF(AW222&gt;='01_設定'!$C$26,1,0))</f>
        <v/>
      </c>
      <c r="AZ222" s="34">
        <f>IF(AND(AB222="OK",AD222&lt;&gt;"除外"),COUNTIFS($AB$5:AB222,"OK",$AD$5:AD222,"&lt;&gt;除外"),"")</f>
        <v/>
      </c>
      <c r="BA222" s="34">
        <f>IF(OR(AZ222="",AI222=""),"",AI222+ROW()/1000000000)</f>
        <v/>
      </c>
      <c r="BB222" s="34">
        <f>IF(E222="","",IF(OR(TRIM(E222&amp;"")="-",TRIM(E222&amp;"")="－",TRIM(E222&amp;"")="ー"),"",TRIM(E222&amp;"")))</f>
        <v/>
      </c>
      <c r="BC222" s="34">
        <f>IF(AND(AB222="OK",BB222&lt;&gt;""),IF(COUNTIFS($BB$5:BB222,BB222,$AB$5:AB222,"OK")=1,1,""),"")</f>
        <v/>
      </c>
      <c r="BD222" s="34">
        <f>IF(BC222=1,COUNTIF($BC$5:BC222,1),"")</f>
        <v/>
      </c>
      <c r="BE222" s="34">
        <f>IF(BB222="","",IFERROR(INDEX('06_顧客別集計'!$G$5:$G$104,MATCH(BB222,'06_顧客別集計'!$C$5:$C$104,0)),BB222))</f>
        <v/>
      </c>
      <c r="BF222" s="34">
        <f>IF(AND(AZ222&lt;&gt;"",BE222&lt;&gt;""),IF(COUNTIFS($BE$5:BE222,BE222,$AZ$5:AZ222,"&gt;0")=1,1,""),"")</f>
        <v/>
      </c>
      <c r="BG222" s="34">
        <f>IF(BF222=1,COUNTIF($BF$5:BF222,1),"")</f>
        <v/>
      </c>
    </row>
    <row r="223">
      <c r="AB223">
        <f>IF(AND(A223="",G223=""),"",IF(ISNUMBER(SEARCH("##END",AM223)),"（終わりの印）",IF(ISNUMBER(SEARCH("##続き",AM223)),"（続きありの印）",IF(AM223="調査ID","（見出し行）",IF(AND(AM223&lt;&gt;"R1",AM223&lt;&gt;"R2"),"×表以外の行（集計されない）",IF(COUNTIF($AN$5:AN223,AN223)&gt;1,"△重複（集計されない）",IF(G223="","△タスク名なし",IF(ISNA(MATCH(AQ223,'M1_類型マスタ'!$A$5:$A$19,0)),"△類型が不正",IF(OR(AP223="",N(AP223)&lt;1,N(AP223)&gt;6),"△業務区分が不正",IF(OR(AS223="",AT223=""),"△回数・分が読めない",IF(SUMPRODUCT(--ISNUMBER(--T223:Z223))&lt;7,"△採点が足りない",IF(SUMPRODUCT((--T223:Z223&gt;2)+(--T223:Z223&lt;0))&gt;0,"△採点が範囲外","OK"))))))))))))</f>
        <v/>
      </c>
      <c r="AC223">
        <f>IF(AB223&lt;&gt;"OK","",TRIM(IF(AND(AU223&lt;&gt;"",N(AU223)&lt;=1),"根拠1件 ","")&amp;IF(AV223&lt;&gt;"","同名あり ","")&amp;IF(AND(NOT(ISNUMBER(N223)),N223&lt;&gt;""),"回数を換算 ","")&amp;IF(J223="","詳細なし ","")&amp;IF(AND(N(AP223)=1,BB223=""),"顧客名なし ","")))</f>
        <v/>
      </c>
      <c r="AD223" s="31" t="n"/>
      <c r="AE223" s="32" t="n"/>
      <c r="AF223" s="32" t="n"/>
      <c r="AG223" s="31" t="n"/>
      <c r="AH223">
        <f>IF(AB223&lt;&gt;"OK","",IF(AG223&lt;&gt;"",AG223,AJ223))</f>
        <v/>
      </c>
      <c r="AI223" s="33">
        <f>IF(AB223&lt;&gt;"OK","",IFERROR(IF(AE223&lt;&gt;"",AE223,AS223)*IF(AF223&lt;&gt;"",AF223,AT223)/60,""))</f>
        <v/>
      </c>
      <c r="AJ223">
        <f>IF(AB223&lt;&gt;"OK","",IF(OR(VALUE(T223)=2,VALUE(U223)=2,VALUE(V223)=2),"社内残置",IF(AND(VALUE(T223)=0,VALUE(W223)=0,VALUE(Y223)=0),"自動化候補",IF(AND(VALUE(U223)=0,VALUE(W223)&lt;=1,VALUE(X223)&lt;=1,VALUE(Y223)&lt;=1,VALUE(Z223)&lt;=1),"オフショア候補",IF(AND(VALUE(Y223)&lt;=1,VALUE(Z223)&lt;=1),"ニアショア候補","社内で手順化→再評価")))))</f>
        <v/>
      </c>
      <c r="AK223">
        <f>IF(AB223&lt;&gt;"OK","",14-SUMPRODUCT(--T223:Z223))</f>
        <v/>
      </c>
      <c r="AL223" s="33">
        <f>IF(AB223&lt;&gt;"OK","",AS223*AT223/60)</f>
        <v/>
      </c>
      <c r="AM223" s="34">
        <f>IF(A223="","",UPPER(TRIM(ASC(A223&amp;""))))</f>
        <v/>
      </c>
      <c r="AN223" s="34">
        <f>IF(AM223="","",AM223&amp;"-"&amp;B223)</f>
        <v/>
      </c>
      <c r="AO223" s="34">
        <f>IF(C223="","",IFERROR(VALUE(ASC(SUBSTITUTE(C223&amp;"","観点",""))),""))</f>
        <v/>
      </c>
      <c r="AP223" s="34">
        <f>IF(D223="","",IFERROR(VALUE(LEFT(TRIM(ASC(D223&amp;"")),1)),IFERROR(MATCH(TRIM(D223&amp;""),'M2_区分マスタ'!$I$5:$I$10,0),"")))</f>
        <v/>
      </c>
      <c r="AQ223" s="34">
        <f>IF(H223="","",UPPER(LEFT(TRIM(ASC(H223&amp;"")),3)))</f>
        <v/>
      </c>
      <c r="AR223" s="34">
        <f>IF(N223="","",IFERROR(VALUE(SUBSTITUTE(SUBSTITUTE(SUBSTITUTE(SUBSTITUTE(SUBSTITUTE(SUBSTITUTE(SUBSTITUTE(SUBSTITUTE(SUBSTITUTE(SUBSTITUTE(SUBSTITUTE(SUBSTITUTE(ASC(N223&amp;""),"約",""),"程度",""),"ほど",""),"回",""),"毎",""),"週",""),"月",""),"年",""),"日",""),"に",""),"/","")," ","")),""))</f>
        <v/>
      </c>
      <c r="AS223" s="34">
        <f>IF(N223="","",IF(ISNUMBER(N223),N223,IFERROR(VALUE(ASC(N223&amp;"")),IF(AR223&lt;&gt;"",AR223*IF(ISNUMBER(SEARCH("週",N223)),4.3,IF(ISNUMBER(SEARCH("年",N223)),1/12,IF(ISNUMBER(SEARCH("日",N223)),20,1))),IF(ISNUMBER(SEARCH("日",N223)),20,IF(ISNUMBER(SEARCH("週",N223)),4.3,IF(ISNUMBER(SEARCH("月",N223)),1,"")))))))</f>
        <v/>
      </c>
      <c r="AT223" s="34">
        <f>IF(O223="","",IF(ISNUMBER(O223),O223,IFERROR(VALUE(ASC(O223&amp;"")),IF(ISNUMBER(SEARCH("時間",O223)),IFERROR(VALUE(SUBSTITUTE(SUBSTITUTE(SUBSTITUTE(SUBSTITUTE(SUBSTITUTE(ASC(O223&amp;""),"約",""),"程度",""),"ほど",""),"時間","")," ",""))*60,""),IFERROR(VALUE(SUBSTITUTE(SUBSTITUTE(SUBSTITUTE(SUBSTITUTE(SUBSTITUTE(ASC(O223&amp;""),"約",""),"程度",""),"ほど",""),"分","")," ","")),"")))))</f>
        <v/>
      </c>
      <c r="AU223" s="34">
        <f>IF(P223="","",IF(ISNUMBER(P223),P223,IFERROR(VALUE(SUBSTITUTE(SUBSTITUTE(SUBSTITUTE(ASC(P223&amp;""),"約",""),"件","")," ","")),"")))</f>
        <v/>
      </c>
      <c r="AV223" s="34">
        <f>IF(AB223&lt;&gt;"OK","",IF(COUNTIFS($G$5:$G$404,G223&amp;"",$F$5:$F$404,F223&amp;"",$BE$5:$BE$404,BE223&amp;"",$AB$5:$AB$404,"OK")&gt;1,"同名あり",""))</f>
        <v/>
      </c>
      <c r="AW223" s="35">
        <f>IF(Q223="","",IF(ISNUMBER(Q223),Q223,IFERROR(DATEVALUE(SUBSTITUTE(SUBSTITUTE(ASC(Q223&amp;""),"-","/"),".","/")&amp;"/01"),"")))</f>
        <v/>
      </c>
      <c r="AX223" s="35">
        <f>IF(R223="","",IF(ISNUMBER(R223),R223,IFERROR(DATEVALUE(SUBSTITUTE(SUBSTITUTE(ASC(R223&amp;""),"-","/"),".","/")&amp;"/01"),"")))</f>
        <v/>
      </c>
      <c r="AY223" s="34">
        <f>IF(OR(AB223&lt;&gt;"OK",AW223=""),"",IF(AW223&gt;='01_設定'!$C$26,1,0))</f>
        <v/>
      </c>
      <c r="AZ223" s="34">
        <f>IF(AND(AB223="OK",AD223&lt;&gt;"除外"),COUNTIFS($AB$5:AB223,"OK",$AD$5:AD223,"&lt;&gt;除外"),"")</f>
        <v/>
      </c>
      <c r="BA223" s="34">
        <f>IF(OR(AZ223="",AI223=""),"",AI223+ROW()/1000000000)</f>
        <v/>
      </c>
      <c r="BB223" s="34">
        <f>IF(E223="","",IF(OR(TRIM(E223&amp;"")="-",TRIM(E223&amp;"")="－",TRIM(E223&amp;"")="ー"),"",TRIM(E223&amp;"")))</f>
        <v/>
      </c>
      <c r="BC223" s="34">
        <f>IF(AND(AB223="OK",BB223&lt;&gt;""),IF(COUNTIFS($BB$5:BB223,BB223,$AB$5:AB223,"OK")=1,1,""),"")</f>
        <v/>
      </c>
      <c r="BD223" s="34">
        <f>IF(BC223=1,COUNTIF($BC$5:BC223,1),"")</f>
        <v/>
      </c>
      <c r="BE223" s="34">
        <f>IF(BB223="","",IFERROR(INDEX('06_顧客別集計'!$G$5:$G$104,MATCH(BB223,'06_顧客別集計'!$C$5:$C$104,0)),BB223))</f>
        <v/>
      </c>
      <c r="BF223" s="34">
        <f>IF(AND(AZ223&lt;&gt;"",BE223&lt;&gt;""),IF(COUNTIFS($BE$5:BE223,BE223,$AZ$5:AZ223,"&gt;0")=1,1,""),"")</f>
        <v/>
      </c>
      <c r="BG223" s="34">
        <f>IF(BF223=1,COUNTIF($BF$5:BF223,1),"")</f>
        <v/>
      </c>
    </row>
    <row r="224">
      <c r="AB224">
        <f>IF(AND(A224="",G224=""),"",IF(ISNUMBER(SEARCH("##END",AM224)),"（終わりの印）",IF(ISNUMBER(SEARCH("##続き",AM224)),"（続きありの印）",IF(AM224="調査ID","（見出し行）",IF(AND(AM224&lt;&gt;"R1",AM224&lt;&gt;"R2"),"×表以外の行（集計されない）",IF(COUNTIF($AN$5:AN224,AN224)&gt;1,"△重複（集計されない）",IF(G224="","△タスク名なし",IF(ISNA(MATCH(AQ224,'M1_類型マスタ'!$A$5:$A$19,0)),"△類型が不正",IF(OR(AP224="",N(AP224)&lt;1,N(AP224)&gt;6),"△業務区分が不正",IF(OR(AS224="",AT224=""),"△回数・分が読めない",IF(SUMPRODUCT(--ISNUMBER(--T224:Z224))&lt;7,"△採点が足りない",IF(SUMPRODUCT((--T224:Z224&gt;2)+(--T224:Z224&lt;0))&gt;0,"△採点が範囲外","OK"))))))))))))</f>
        <v/>
      </c>
      <c r="AC224">
        <f>IF(AB224&lt;&gt;"OK","",TRIM(IF(AND(AU224&lt;&gt;"",N(AU224)&lt;=1),"根拠1件 ","")&amp;IF(AV224&lt;&gt;"","同名あり ","")&amp;IF(AND(NOT(ISNUMBER(N224)),N224&lt;&gt;""),"回数を換算 ","")&amp;IF(J224="","詳細なし ","")&amp;IF(AND(N(AP224)=1,BB224=""),"顧客名なし ","")))</f>
        <v/>
      </c>
      <c r="AD224" s="31" t="n"/>
      <c r="AE224" s="32" t="n"/>
      <c r="AF224" s="32" t="n"/>
      <c r="AG224" s="31" t="n"/>
      <c r="AH224">
        <f>IF(AB224&lt;&gt;"OK","",IF(AG224&lt;&gt;"",AG224,AJ224))</f>
        <v/>
      </c>
      <c r="AI224" s="33">
        <f>IF(AB224&lt;&gt;"OK","",IFERROR(IF(AE224&lt;&gt;"",AE224,AS224)*IF(AF224&lt;&gt;"",AF224,AT224)/60,""))</f>
        <v/>
      </c>
      <c r="AJ224">
        <f>IF(AB224&lt;&gt;"OK","",IF(OR(VALUE(T224)=2,VALUE(U224)=2,VALUE(V224)=2),"社内残置",IF(AND(VALUE(T224)=0,VALUE(W224)=0,VALUE(Y224)=0),"自動化候補",IF(AND(VALUE(U224)=0,VALUE(W224)&lt;=1,VALUE(X224)&lt;=1,VALUE(Y224)&lt;=1,VALUE(Z224)&lt;=1),"オフショア候補",IF(AND(VALUE(Y224)&lt;=1,VALUE(Z224)&lt;=1),"ニアショア候補","社内で手順化→再評価")))))</f>
        <v/>
      </c>
      <c r="AK224">
        <f>IF(AB224&lt;&gt;"OK","",14-SUMPRODUCT(--T224:Z224))</f>
        <v/>
      </c>
      <c r="AL224" s="33">
        <f>IF(AB224&lt;&gt;"OK","",AS224*AT224/60)</f>
        <v/>
      </c>
      <c r="AM224" s="34">
        <f>IF(A224="","",UPPER(TRIM(ASC(A224&amp;""))))</f>
        <v/>
      </c>
      <c r="AN224" s="34">
        <f>IF(AM224="","",AM224&amp;"-"&amp;B224)</f>
        <v/>
      </c>
      <c r="AO224" s="34">
        <f>IF(C224="","",IFERROR(VALUE(ASC(SUBSTITUTE(C224&amp;"","観点",""))),""))</f>
        <v/>
      </c>
      <c r="AP224" s="34">
        <f>IF(D224="","",IFERROR(VALUE(LEFT(TRIM(ASC(D224&amp;"")),1)),IFERROR(MATCH(TRIM(D224&amp;""),'M2_区分マスタ'!$I$5:$I$10,0),"")))</f>
        <v/>
      </c>
      <c r="AQ224" s="34">
        <f>IF(H224="","",UPPER(LEFT(TRIM(ASC(H224&amp;"")),3)))</f>
        <v/>
      </c>
      <c r="AR224" s="34">
        <f>IF(N224="","",IFERROR(VALUE(SUBSTITUTE(SUBSTITUTE(SUBSTITUTE(SUBSTITUTE(SUBSTITUTE(SUBSTITUTE(SUBSTITUTE(SUBSTITUTE(SUBSTITUTE(SUBSTITUTE(SUBSTITUTE(SUBSTITUTE(ASC(N224&amp;""),"約",""),"程度",""),"ほど",""),"回",""),"毎",""),"週",""),"月",""),"年",""),"日",""),"に",""),"/","")," ","")),""))</f>
        <v/>
      </c>
      <c r="AS224" s="34">
        <f>IF(N224="","",IF(ISNUMBER(N224),N224,IFERROR(VALUE(ASC(N224&amp;"")),IF(AR224&lt;&gt;"",AR224*IF(ISNUMBER(SEARCH("週",N224)),4.3,IF(ISNUMBER(SEARCH("年",N224)),1/12,IF(ISNUMBER(SEARCH("日",N224)),20,1))),IF(ISNUMBER(SEARCH("日",N224)),20,IF(ISNUMBER(SEARCH("週",N224)),4.3,IF(ISNUMBER(SEARCH("月",N224)),1,"")))))))</f>
        <v/>
      </c>
      <c r="AT224" s="34">
        <f>IF(O224="","",IF(ISNUMBER(O224),O224,IFERROR(VALUE(ASC(O224&amp;"")),IF(ISNUMBER(SEARCH("時間",O224)),IFERROR(VALUE(SUBSTITUTE(SUBSTITUTE(SUBSTITUTE(SUBSTITUTE(SUBSTITUTE(ASC(O224&amp;""),"約",""),"程度",""),"ほど",""),"時間","")," ",""))*60,""),IFERROR(VALUE(SUBSTITUTE(SUBSTITUTE(SUBSTITUTE(SUBSTITUTE(SUBSTITUTE(ASC(O224&amp;""),"約",""),"程度",""),"ほど",""),"分","")," ","")),"")))))</f>
        <v/>
      </c>
      <c r="AU224" s="34">
        <f>IF(P224="","",IF(ISNUMBER(P224),P224,IFERROR(VALUE(SUBSTITUTE(SUBSTITUTE(SUBSTITUTE(ASC(P224&amp;""),"約",""),"件","")," ","")),"")))</f>
        <v/>
      </c>
      <c r="AV224" s="34">
        <f>IF(AB224&lt;&gt;"OK","",IF(COUNTIFS($G$5:$G$404,G224&amp;"",$F$5:$F$404,F224&amp;"",$BE$5:$BE$404,BE224&amp;"",$AB$5:$AB$404,"OK")&gt;1,"同名あり",""))</f>
        <v/>
      </c>
      <c r="AW224" s="35">
        <f>IF(Q224="","",IF(ISNUMBER(Q224),Q224,IFERROR(DATEVALUE(SUBSTITUTE(SUBSTITUTE(ASC(Q224&amp;""),"-","/"),".","/")&amp;"/01"),"")))</f>
        <v/>
      </c>
      <c r="AX224" s="35">
        <f>IF(R224="","",IF(ISNUMBER(R224),R224,IFERROR(DATEVALUE(SUBSTITUTE(SUBSTITUTE(ASC(R224&amp;""),"-","/"),".","/")&amp;"/01"),"")))</f>
        <v/>
      </c>
      <c r="AY224" s="34">
        <f>IF(OR(AB224&lt;&gt;"OK",AW224=""),"",IF(AW224&gt;='01_設定'!$C$26,1,0))</f>
        <v/>
      </c>
      <c r="AZ224" s="34">
        <f>IF(AND(AB224="OK",AD224&lt;&gt;"除外"),COUNTIFS($AB$5:AB224,"OK",$AD$5:AD224,"&lt;&gt;除外"),"")</f>
        <v/>
      </c>
      <c r="BA224" s="34">
        <f>IF(OR(AZ224="",AI224=""),"",AI224+ROW()/1000000000)</f>
        <v/>
      </c>
      <c r="BB224" s="34">
        <f>IF(E224="","",IF(OR(TRIM(E224&amp;"")="-",TRIM(E224&amp;"")="－",TRIM(E224&amp;"")="ー"),"",TRIM(E224&amp;"")))</f>
        <v/>
      </c>
      <c r="BC224" s="34">
        <f>IF(AND(AB224="OK",BB224&lt;&gt;""),IF(COUNTIFS($BB$5:BB224,BB224,$AB$5:AB224,"OK")=1,1,""),"")</f>
        <v/>
      </c>
      <c r="BD224" s="34">
        <f>IF(BC224=1,COUNTIF($BC$5:BC224,1),"")</f>
        <v/>
      </c>
      <c r="BE224" s="34">
        <f>IF(BB224="","",IFERROR(INDEX('06_顧客別集計'!$G$5:$G$104,MATCH(BB224,'06_顧客別集計'!$C$5:$C$104,0)),BB224))</f>
        <v/>
      </c>
      <c r="BF224" s="34">
        <f>IF(AND(AZ224&lt;&gt;"",BE224&lt;&gt;""),IF(COUNTIFS($BE$5:BE224,BE224,$AZ$5:AZ224,"&gt;0")=1,1,""),"")</f>
        <v/>
      </c>
      <c r="BG224" s="34">
        <f>IF(BF224=1,COUNTIF($BF$5:BF224,1),"")</f>
        <v/>
      </c>
    </row>
    <row r="225">
      <c r="AB225">
        <f>IF(AND(A225="",G225=""),"",IF(ISNUMBER(SEARCH("##END",AM225)),"（終わりの印）",IF(ISNUMBER(SEARCH("##続き",AM225)),"（続きありの印）",IF(AM225="調査ID","（見出し行）",IF(AND(AM225&lt;&gt;"R1",AM225&lt;&gt;"R2"),"×表以外の行（集計されない）",IF(COUNTIF($AN$5:AN225,AN225)&gt;1,"△重複（集計されない）",IF(G225="","△タスク名なし",IF(ISNA(MATCH(AQ225,'M1_類型マスタ'!$A$5:$A$19,0)),"△類型が不正",IF(OR(AP225="",N(AP225)&lt;1,N(AP225)&gt;6),"△業務区分が不正",IF(OR(AS225="",AT225=""),"△回数・分が読めない",IF(SUMPRODUCT(--ISNUMBER(--T225:Z225))&lt;7,"△採点が足りない",IF(SUMPRODUCT((--T225:Z225&gt;2)+(--T225:Z225&lt;0))&gt;0,"△採点が範囲外","OK"))))))))))))</f>
        <v/>
      </c>
      <c r="AC225">
        <f>IF(AB225&lt;&gt;"OK","",TRIM(IF(AND(AU225&lt;&gt;"",N(AU225)&lt;=1),"根拠1件 ","")&amp;IF(AV225&lt;&gt;"","同名あり ","")&amp;IF(AND(NOT(ISNUMBER(N225)),N225&lt;&gt;""),"回数を換算 ","")&amp;IF(J225="","詳細なし ","")&amp;IF(AND(N(AP225)=1,BB225=""),"顧客名なし ","")))</f>
        <v/>
      </c>
      <c r="AD225" s="31" t="n"/>
      <c r="AE225" s="32" t="n"/>
      <c r="AF225" s="32" t="n"/>
      <c r="AG225" s="31" t="n"/>
      <c r="AH225">
        <f>IF(AB225&lt;&gt;"OK","",IF(AG225&lt;&gt;"",AG225,AJ225))</f>
        <v/>
      </c>
      <c r="AI225" s="33">
        <f>IF(AB225&lt;&gt;"OK","",IFERROR(IF(AE225&lt;&gt;"",AE225,AS225)*IF(AF225&lt;&gt;"",AF225,AT225)/60,""))</f>
        <v/>
      </c>
      <c r="AJ225">
        <f>IF(AB225&lt;&gt;"OK","",IF(OR(VALUE(T225)=2,VALUE(U225)=2,VALUE(V225)=2),"社内残置",IF(AND(VALUE(T225)=0,VALUE(W225)=0,VALUE(Y225)=0),"自動化候補",IF(AND(VALUE(U225)=0,VALUE(W225)&lt;=1,VALUE(X225)&lt;=1,VALUE(Y225)&lt;=1,VALUE(Z225)&lt;=1),"オフショア候補",IF(AND(VALUE(Y225)&lt;=1,VALUE(Z225)&lt;=1),"ニアショア候補","社内で手順化→再評価")))))</f>
        <v/>
      </c>
      <c r="AK225">
        <f>IF(AB225&lt;&gt;"OK","",14-SUMPRODUCT(--T225:Z225))</f>
        <v/>
      </c>
      <c r="AL225" s="33">
        <f>IF(AB225&lt;&gt;"OK","",AS225*AT225/60)</f>
        <v/>
      </c>
      <c r="AM225" s="34">
        <f>IF(A225="","",UPPER(TRIM(ASC(A225&amp;""))))</f>
        <v/>
      </c>
      <c r="AN225" s="34">
        <f>IF(AM225="","",AM225&amp;"-"&amp;B225)</f>
        <v/>
      </c>
      <c r="AO225" s="34">
        <f>IF(C225="","",IFERROR(VALUE(ASC(SUBSTITUTE(C225&amp;"","観点",""))),""))</f>
        <v/>
      </c>
      <c r="AP225" s="34">
        <f>IF(D225="","",IFERROR(VALUE(LEFT(TRIM(ASC(D225&amp;"")),1)),IFERROR(MATCH(TRIM(D225&amp;""),'M2_区分マスタ'!$I$5:$I$10,0),"")))</f>
        <v/>
      </c>
      <c r="AQ225" s="34">
        <f>IF(H225="","",UPPER(LEFT(TRIM(ASC(H225&amp;"")),3)))</f>
        <v/>
      </c>
      <c r="AR225" s="34">
        <f>IF(N225="","",IFERROR(VALUE(SUBSTITUTE(SUBSTITUTE(SUBSTITUTE(SUBSTITUTE(SUBSTITUTE(SUBSTITUTE(SUBSTITUTE(SUBSTITUTE(SUBSTITUTE(SUBSTITUTE(SUBSTITUTE(SUBSTITUTE(ASC(N225&amp;""),"約",""),"程度",""),"ほど",""),"回",""),"毎",""),"週",""),"月",""),"年",""),"日",""),"に",""),"/","")," ","")),""))</f>
        <v/>
      </c>
      <c r="AS225" s="34">
        <f>IF(N225="","",IF(ISNUMBER(N225),N225,IFERROR(VALUE(ASC(N225&amp;"")),IF(AR225&lt;&gt;"",AR225*IF(ISNUMBER(SEARCH("週",N225)),4.3,IF(ISNUMBER(SEARCH("年",N225)),1/12,IF(ISNUMBER(SEARCH("日",N225)),20,1))),IF(ISNUMBER(SEARCH("日",N225)),20,IF(ISNUMBER(SEARCH("週",N225)),4.3,IF(ISNUMBER(SEARCH("月",N225)),1,"")))))))</f>
        <v/>
      </c>
      <c r="AT225" s="34">
        <f>IF(O225="","",IF(ISNUMBER(O225),O225,IFERROR(VALUE(ASC(O225&amp;"")),IF(ISNUMBER(SEARCH("時間",O225)),IFERROR(VALUE(SUBSTITUTE(SUBSTITUTE(SUBSTITUTE(SUBSTITUTE(SUBSTITUTE(ASC(O225&amp;""),"約",""),"程度",""),"ほど",""),"時間","")," ",""))*60,""),IFERROR(VALUE(SUBSTITUTE(SUBSTITUTE(SUBSTITUTE(SUBSTITUTE(SUBSTITUTE(ASC(O225&amp;""),"約",""),"程度",""),"ほど",""),"分","")," ","")),"")))))</f>
        <v/>
      </c>
      <c r="AU225" s="34">
        <f>IF(P225="","",IF(ISNUMBER(P225),P225,IFERROR(VALUE(SUBSTITUTE(SUBSTITUTE(SUBSTITUTE(ASC(P225&amp;""),"約",""),"件","")," ","")),"")))</f>
        <v/>
      </c>
      <c r="AV225" s="34">
        <f>IF(AB225&lt;&gt;"OK","",IF(COUNTIFS($G$5:$G$404,G225&amp;"",$F$5:$F$404,F225&amp;"",$BE$5:$BE$404,BE225&amp;"",$AB$5:$AB$404,"OK")&gt;1,"同名あり",""))</f>
        <v/>
      </c>
      <c r="AW225" s="35">
        <f>IF(Q225="","",IF(ISNUMBER(Q225),Q225,IFERROR(DATEVALUE(SUBSTITUTE(SUBSTITUTE(ASC(Q225&amp;""),"-","/"),".","/")&amp;"/01"),"")))</f>
        <v/>
      </c>
      <c r="AX225" s="35">
        <f>IF(R225="","",IF(ISNUMBER(R225),R225,IFERROR(DATEVALUE(SUBSTITUTE(SUBSTITUTE(ASC(R225&amp;""),"-","/"),".","/")&amp;"/01"),"")))</f>
        <v/>
      </c>
      <c r="AY225" s="34">
        <f>IF(OR(AB225&lt;&gt;"OK",AW225=""),"",IF(AW225&gt;='01_設定'!$C$26,1,0))</f>
        <v/>
      </c>
      <c r="AZ225" s="34">
        <f>IF(AND(AB225="OK",AD225&lt;&gt;"除外"),COUNTIFS($AB$5:AB225,"OK",$AD$5:AD225,"&lt;&gt;除外"),"")</f>
        <v/>
      </c>
      <c r="BA225" s="34">
        <f>IF(OR(AZ225="",AI225=""),"",AI225+ROW()/1000000000)</f>
        <v/>
      </c>
      <c r="BB225" s="34">
        <f>IF(E225="","",IF(OR(TRIM(E225&amp;"")="-",TRIM(E225&amp;"")="－",TRIM(E225&amp;"")="ー"),"",TRIM(E225&amp;"")))</f>
        <v/>
      </c>
      <c r="BC225" s="34">
        <f>IF(AND(AB225="OK",BB225&lt;&gt;""),IF(COUNTIFS($BB$5:BB225,BB225,$AB$5:AB225,"OK")=1,1,""),"")</f>
        <v/>
      </c>
      <c r="BD225" s="34">
        <f>IF(BC225=1,COUNTIF($BC$5:BC225,1),"")</f>
        <v/>
      </c>
      <c r="BE225" s="34">
        <f>IF(BB225="","",IFERROR(INDEX('06_顧客別集計'!$G$5:$G$104,MATCH(BB225,'06_顧客別集計'!$C$5:$C$104,0)),BB225))</f>
        <v/>
      </c>
      <c r="BF225" s="34">
        <f>IF(AND(AZ225&lt;&gt;"",BE225&lt;&gt;""),IF(COUNTIFS($BE$5:BE225,BE225,$AZ$5:AZ225,"&gt;0")=1,1,""),"")</f>
        <v/>
      </c>
      <c r="BG225" s="34">
        <f>IF(BF225=1,COUNTIF($BF$5:BF225,1),"")</f>
        <v/>
      </c>
    </row>
    <row r="226">
      <c r="AB226">
        <f>IF(AND(A226="",G226=""),"",IF(ISNUMBER(SEARCH("##END",AM226)),"（終わりの印）",IF(ISNUMBER(SEARCH("##続き",AM226)),"（続きありの印）",IF(AM226="調査ID","（見出し行）",IF(AND(AM226&lt;&gt;"R1",AM226&lt;&gt;"R2"),"×表以外の行（集計されない）",IF(COUNTIF($AN$5:AN226,AN226)&gt;1,"△重複（集計されない）",IF(G226="","△タスク名なし",IF(ISNA(MATCH(AQ226,'M1_類型マスタ'!$A$5:$A$19,0)),"△類型が不正",IF(OR(AP226="",N(AP226)&lt;1,N(AP226)&gt;6),"△業務区分が不正",IF(OR(AS226="",AT226=""),"△回数・分が読めない",IF(SUMPRODUCT(--ISNUMBER(--T226:Z226))&lt;7,"△採点が足りない",IF(SUMPRODUCT((--T226:Z226&gt;2)+(--T226:Z226&lt;0))&gt;0,"△採点が範囲外","OK"))))))))))))</f>
        <v/>
      </c>
      <c r="AC226">
        <f>IF(AB226&lt;&gt;"OK","",TRIM(IF(AND(AU226&lt;&gt;"",N(AU226)&lt;=1),"根拠1件 ","")&amp;IF(AV226&lt;&gt;"","同名あり ","")&amp;IF(AND(NOT(ISNUMBER(N226)),N226&lt;&gt;""),"回数を換算 ","")&amp;IF(J226="","詳細なし ","")&amp;IF(AND(N(AP226)=1,BB226=""),"顧客名なし ","")))</f>
        <v/>
      </c>
      <c r="AD226" s="31" t="n"/>
      <c r="AE226" s="32" t="n"/>
      <c r="AF226" s="32" t="n"/>
      <c r="AG226" s="31" t="n"/>
      <c r="AH226">
        <f>IF(AB226&lt;&gt;"OK","",IF(AG226&lt;&gt;"",AG226,AJ226))</f>
        <v/>
      </c>
      <c r="AI226" s="33">
        <f>IF(AB226&lt;&gt;"OK","",IFERROR(IF(AE226&lt;&gt;"",AE226,AS226)*IF(AF226&lt;&gt;"",AF226,AT226)/60,""))</f>
        <v/>
      </c>
      <c r="AJ226">
        <f>IF(AB226&lt;&gt;"OK","",IF(OR(VALUE(T226)=2,VALUE(U226)=2,VALUE(V226)=2),"社内残置",IF(AND(VALUE(T226)=0,VALUE(W226)=0,VALUE(Y226)=0),"自動化候補",IF(AND(VALUE(U226)=0,VALUE(W226)&lt;=1,VALUE(X226)&lt;=1,VALUE(Y226)&lt;=1,VALUE(Z226)&lt;=1),"オフショア候補",IF(AND(VALUE(Y226)&lt;=1,VALUE(Z226)&lt;=1),"ニアショア候補","社内で手順化→再評価")))))</f>
        <v/>
      </c>
      <c r="AK226">
        <f>IF(AB226&lt;&gt;"OK","",14-SUMPRODUCT(--T226:Z226))</f>
        <v/>
      </c>
      <c r="AL226" s="33">
        <f>IF(AB226&lt;&gt;"OK","",AS226*AT226/60)</f>
        <v/>
      </c>
      <c r="AM226" s="34">
        <f>IF(A226="","",UPPER(TRIM(ASC(A226&amp;""))))</f>
        <v/>
      </c>
      <c r="AN226" s="34">
        <f>IF(AM226="","",AM226&amp;"-"&amp;B226)</f>
        <v/>
      </c>
      <c r="AO226" s="34">
        <f>IF(C226="","",IFERROR(VALUE(ASC(SUBSTITUTE(C226&amp;"","観点",""))),""))</f>
        <v/>
      </c>
      <c r="AP226" s="34">
        <f>IF(D226="","",IFERROR(VALUE(LEFT(TRIM(ASC(D226&amp;"")),1)),IFERROR(MATCH(TRIM(D226&amp;""),'M2_区分マスタ'!$I$5:$I$10,0),"")))</f>
        <v/>
      </c>
      <c r="AQ226" s="34">
        <f>IF(H226="","",UPPER(LEFT(TRIM(ASC(H226&amp;"")),3)))</f>
        <v/>
      </c>
      <c r="AR226" s="34">
        <f>IF(N226="","",IFERROR(VALUE(SUBSTITUTE(SUBSTITUTE(SUBSTITUTE(SUBSTITUTE(SUBSTITUTE(SUBSTITUTE(SUBSTITUTE(SUBSTITUTE(SUBSTITUTE(SUBSTITUTE(SUBSTITUTE(SUBSTITUTE(ASC(N226&amp;""),"約",""),"程度",""),"ほど",""),"回",""),"毎",""),"週",""),"月",""),"年",""),"日",""),"に",""),"/","")," ","")),""))</f>
        <v/>
      </c>
      <c r="AS226" s="34">
        <f>IF(N226="","",IF(ISNUMBER(N226),N226,IFERROR(VALUE(ASC(N226&amp;"")),IF(AR226&lt;&gt;"",AR226*IF(ISNUMBER(SEARCH("週",N226)),4.3,IF(ISNUMBER(SEARCH("年",N226)),1/12,IF(ISNUMBER(SEARCH("日",N226)),20,1))),IF(ISNUMBER(SEARCH("日",N226)),20,IF(ISNUMBER(SEARCH("週",N226)),4.3,IF(ISNUMBER(SEARCH("月",N226)),1,"")))))))</f>
        <v/>
      </c>
      <c r="AT226" s="34">
        <f>IF(O226="","",IF(ISNUMBER(O226),O226,IFERROR(VALUE(ASC(O226&amp;"")),IF(ISNUMBER(SEARCH("時間",O226)),IFERROR(VALUE(SUBSTITUTE(SUBSTITUTE(SUBSTITUTE(SUBSTITUTE(SUBSTITUTE(ASC(O226&amp;""),"約",""),"程度",""),"ほど",""),"時間","")," ",""))*60,""),IFERROR(VALUE(SUBSTITUTE(SUBSTITUTE(SUBSTITUTE(SUBSTITUTE(SUBSTITUTE(ASC(O226&amp;""),"約",""),"程度",""),"ほど",""),"分","")," ","")),"")))))</f>
        <v/>
      </c>
      <c r="AU226" s="34">
        <f>IF(P226="","",IF(ISNUMBER(P226),P226,IFERROR(VALUE(SUBSTITUTE(SUBSTITUTE(SUBSTITUTE(ASC(P226&amp;""),"約",""),"件","")," ","")),"")))</f>
        <v/>
      </c>
      <c r="AV226" s="34">
        <f>IF(AB226&lt;&gt;"OK","",IF(COUNTIFS($G$5:$G$404,G226&amp;"",$F$5:$F$404,F226&amp;"",$BE$5:$BE$404,BE226&amp;"",$AB$5:$AB$404,"OK")&gt;1,"同名あり",""))</f>
        <v/>
      </c>
      <c r="AW226" s="35">
        <f>IF(Q226="","",IF(ISNUMBER(Q226),Q226,IFERROR(DATEVALUE(SUBSTITUTE(SUBSTITUTE(ASC(Q226&amp;""),"-","/"),".","/")&amp;"/01"),"")))</f>
        <v/>
      </c>
      <c r="AX226" s="35">
        <f>IF(R226="","",IF(ISNUMBER(R226),R226,IFERROR(DATEVALUE(SUBSTITUTE(SUBSTITUTE(ASC(R226&amp;""),"-","/"),".","/")&amp;"/01"),"")))</f>
        <v/>
      </c>
      <c r="AY226" s="34">
        <f>IF(OR(AB226&lt;&gt;"OK",AW226=""),"",IF(AW226&gt;='01_設定'!$C$26,1,0))</f>
        <v/>
      </c>
      <c r="AZ226" s="34">
        <f>IF(AND(AB226="OK",AD226&lt;&gt;"除外"),COUNTIFS($AB$5:AB226,"OK",$AD$5:AD226,"&lt;&gt;除外"),"")</f>
        <v/>
      </c>
      <c r="BA226" s="34">
        <f>IF(OR(AZ226="",AI226=""),"",AI226+ROW()/1000000000)</f>
        <v/>
      </c>
      <c r="BB226" s="34">
        <f>IF(E226="","",IF(OR(TRIM(E226&amp;"")="-",TRIM(E226&amp;"")="－",TRIM(E226&amp;"")="ー"),"",TRIM(E226&amp;"")))</f>
        <v/>
      </c>
      <c r="BC226" s="34">
        <f>IF(AND(AB226="OK",BB226&lt;&gt;""),IF(COUNTIFS($BB$5:BB226,BB226,$AB$5:AB226,"OK")=1,1,""),"")</f>
        <v/>
      </c>
      <c r="BD226" s="34">
        <f>IF(BC226=1,COUNTIF($BC$5:BC226,1),"")</f>
        <v/>
      </c>
      <c r="BE226" s="34">
        <f>IF(BB226="","",IFERROR(INDEX('06_顧客別集計'!$G$5:$G$104,MATCH(BB226,'06_顧客別集計'!$C$5:$C$104,0)),BB226))</f>
        <v/>
      </c>
      <c r="BF226" s="34">
        <f>IF(AND(AZ226&lt;&gt;"",BE226&lt;&gt;""),IF(COUNTIFS($BE$5:BE226,BE226,$AZ$5:AZ226,"&gt;0")=1,1,""),"")</f>
        <v/>
      </c>
      <c r="BG226" s="34">
        <f>IF(BF226=1,COUNTIF($BF$5:BF226,1),"")</f>
        <v/>
      </c>
    </row>
    <row r="227">
      <c r="AB227">
        <f>IF(AND(A227="",G227=""),"",IF(ISNUMBER(SEARCH("##END",AM227)),"（終わりの印）",IF(ISNUMBER(SEARCH("##続き",AM227)),"（続きありの印）",IF(AM227="調査ID","（見出し行）",IF(AND(AM227&lt;&gt;"R1",AM227&lt;&gt;"R2"),"×表以外の行（集計されない）",IF(COUNTIF($AN$5:AN227,AN227)&gt;1,"△重複（集計されない）",IF(G227="","△タスク名なし",IF(ISNA(MATCH(AQ227,'M1_類型マスタ'!$A$5:$A$19,0)),"△類型が不正",IF(OR(AP227="",N(AP227)&lt;1,N(AP227)&gt;6),"△業務区分が不正",IF(OR(AS227="",AT227=""),"△回数・分が読めない",IF(SUMPRODUCT(--ISNUMBER(--T227:Z227))&lt;7,"△採点が足りない",IF(SUMPRODUCT((--T227:Z227&gt;2)+(--T227:Z227&lt;0))&gt;0,"△採点が範囲外","OK"))))))))))))</f>
        <v/>
      </c>
      <c r="AC227">
        <f>IF(AB227&lt;&gt;"OK","",TRIM(IF(AND(AU227&lt;&gt;"",N(AU227)&lt;=1),"根拠1件 ","")&amp;IF(AV227&lt;&gt;"","同名あり ","")&amp;IF(AND(NOT(ISNUMBER(N227)),N227&lt;&gt;""),"回数を換算 ","")&amp;IF(J227="","詳細なし ","")&amp;IF(AND(N(AP227)=1,BB227=""),"顧客名なし ","")))</f>
        <v/>
      </c>
      <c r="AD227" s="31" t="n"/>
      <c r="AE227" s="32" t="n"/>
      <c r="AF227" s="32" t="n"/>
      <c r="AG227" s="31" t="n"/>
      <c r="AH227">
        <f>IF(AB227&lt;&gt;"OK","",IF(AG227&lt;&gt;"",AG227,AJ227))</f>
        <v/>
      </c>
      <c r="AI227" s="33">
        <f>IF(AB227&lt;&gt;"OK","",IFERROR(IF(AE227&lt;&gt;"",AE227,AS227)*IF(AF227&lt;&gt;"",AF227,AT227)/60,""))</f>
        <v/>
      </c>
      <c r="AJ227">
        <f>IF(AB227&lt;&gt;"OK","",IF(OR(VALUE(T227)=2,VALUE(U227)=2,VALUE(V227)=2),"社内残置",IF(AND(VALUE(T227)=0,VALUE(W227)=0,VALUE(Y227)=0),"自動化候補",IF(AND(VALUE(U227)=0,VALUE(W227)&lt;=1,VALUE(X227)&lt;=1,VALUE(Y227)&lt;=1,VALUE(Z227)&lt;=1),"オフショア候補",IF(AND(VALUE(Y227)&lt;=1,VALUE(Z227)&lt;=1),"ニアショア候補","社内で手順化→再評価")))))</f>
        <v/>
      </c>
      <c r="AK227">
        <f>IF(AB227&lt;&gt;"OK","",14-SUMPRODUCT(--T227:Z227))</f>
        <v/>
      </c>
      <c r="AL227" s="33">
        <f>IF(AB227&lt;&gt;"OK","",AS227*AT227/60)</f>
        <v/>
      </c>
      <c r="AM227" s="34">
        <f>IF(A227="","",UPPER(TRIM(ASC(A227&amp;""))))</f>
        <v/>
      </c>
      <c r="AN227" s="34">
        <f>IF(AM227="","",AM227&amp;"-"&amp;B227)</f>
        <v/>
      </c>
      <c r="AO227" s="34">
        <f>IF(C227="","",IFERROR(VALUE(ASC(SUBSTITUTE(C227&amp;"","観点",""))),""))</f>
        <v/>
      </c>
      <c r="AP227" s="34">
        <f>IF(D227="","",IFERROR(VALUE(LEFT(TRIM(ASC(D227&amp;"")),1)),IFERROR(MATCH(TRIM(D227&amp;""),'M2_区分マスタ'!$I$5:$I$10,0),"")))</f>
        <v/>
      </c>
      <c r="AQ227" s="34">
        <f>IF(H227="","",UPPER(LEFT(TRIM(ASC(H227&amp;"")),3)))</f>
        <v/>
      </c>
      <c r="AR227" s="34">
        <f>IF(N227="","",IFERROR(VALUE(SUBSTITUTE(SUBSTITUTE(SUBSTITUTE(SUBSTITUTE(SUBSTITUTE(SUBSTITUTE(SUBSTITUTE(SUBSTITUTE(SUBSTITUTE(SUBSTITUTE(SUBSTITUTE(SUBSTITUTE(ASC(N227&amp;""),"約",""),"程度",""),"ほど",""),"回",""),"毎",""),"週",""),"月",""),"年",""),"日",""),"に",""),"/","")," ","")),""))</f>
        <v/>
      </c>
      <c r="AS227" s="34">
        <f>IF(N227="","",IF(ISNUMBER(N227),N227,IFERROR(VALUE(ASC(N227&amp;"")),IF(AR227&lt;&gt;"",AR227*IF(ISNUMBER(SEARCH("週",N227)),4.3,IF(ISNUMBER(SEARCH("年",N227)),1/12,IF(ISNUMBER(SEARCH("日",N227)),20,1))),IF(ISNUMBER(SEARCH("日",N227)),20,IF(ISNUMBER(SEARCH("週",N227)),4.3,IF(ISNUMBER(SEARCH("月",N227)),1,"")))))))</f>
        <v/>
      </c>
      <c r="AT227" s="34">
        <f>IF(O227="","",IF(ISNUMBER(O227),O227,IFERROR(VALUE(ASC(O227&amp;"")),IF(ISNUMBER(SEARCH("時間",O227)),IFERROR(VALUE(SUBSTITUTE(SUBSTITUTE(SUBSTITUTE(SUBSTITUTE(SUBSTITUTE(ASC(O227&amp;""),"約",""),"程度",""),"ほど",""),"時間","")," ",""))*60,""),IFERROR(VALUE(SUBSTITUTE(SUBSTITUTE(SUBSTITUTE(SUBSTITUTE(SUBSTITUTE(ASC(O227&amp;""),"約",""),"程度",""),"ほど",""),"分","")," ","")),"")))))</f>
        <v/>
      </c>
      <c r="AU227" s="34">
        <f>IF(P227="","",IF(ISNUMBER(P227),P227,IFERROR(VALUE(SUBSTITUTE(SUBSTITUTE(SUBSTITUTE(ASC(P227&amp;""),"約",""),"件","")," ","")),"")))</f>
        <v/>
      </c>
      <c r="AV227" s="34">
        <f>IF(AB227&lt;&gt;"OK","",IF(COUNTIFS($G$5:$G$404,G227&amp;"",$F$5:$F$404,F227&amp;"",$BE$5:$BE$404,BE227&amp;"",$AB$5:$AB$404,"OK")&gt;1,"同名あり",""))</f>
        <v/>
      </c>
      <c r="AW227" s="35">
        <f>IF(Q227="","",IF(ISNUMBER(Q227),Q227,IFERROR(DATEVALUE(SUBSTITUTE(SUBSTITUTE(ASC(Q227&amp;""),"-","/"),".","/")&amp;"/01"),"")))</f>
        <v/>
      </c>
      <c r="AX227" s="35">
        <f>IF(R227="","",IF(ISNUMBER(R227),R227,IFERROR(DATEVALUE(SUBSTITUTE(SUBSTITUTE(ASC(R227&amp;""),"-","/"),".","/")&amp;"/01"),"")))</f>
        <v/>
      </c>
      <c r="AY227" s="34">
        <f>IF(OR(AB227&lt;&gt;"OK",AW227=""),"",IF(AW227&gt;='01_設定'!$C$26,1,0))</f>
        <v/>
      </c>
      <c r="AZ227" s="34">
        <f>IF(AND(AB227="OK",AD227&lt;&gt;"除外"),COUNTIFS($AB$5:AB227,"OK",$AD$5:AD227,"&lt;&gt;除外"),"")</f>
        <v/>
      </c>
      <c r="BA227" s="34">
        <f>IF(OR(AZ227="",AI227=""),"",AI227+ROW()/1000000000)</f>
        <v/>
      </c>
      <c r="BB227" s="34">
        <f>IF(E227="","",IF(OR(TRIM(E227&amp;"")="-",TRIM(E227&amp;"")="－",TRIM(E227&amp;"")="ー"),"",TRIM(E227&amp;"")))</f>
        <v/>
      </c>
      <c r="BC227" s="34">
        <f>IF(AND(AB227="OK",BB227&lt;&gt;""),IF(COUNTIFS($BB$5:BB227,BB227,$AB$5:AB227,"OK")=1,1,""),"")</f>
        <v/>
      </c>
      <c r="BD227" s="34">
        <f>IF(BC227=1,COUNTIF($BC$5:BC227,1),"")</f>
        <v/>
      </c>
      <c r="BE227" s="34">
        <f>IF(BB227="","",IFERROR(INDEX('06_顧客別集計'!$G$5:$G$104,MATCH(BB227,'06_顧客別集計'!$C$5:$C$104,0)),BB227))</f>
        <v/>
      </c>
      <c r="BF227" s="34">
        <f>IF(AND(AZ227&lt;&gt;"",BE227&lt;&gt;""),IF(COUNTIFS($BE$5:BE227,BE227,$AZ$5:AZ227,"&gt;0")=1,1,""),"")</f>
        <v/>
      </c>
      <c r="BG227" s="34">
        <f>IF(BF227=1,COUNTIF($BF$5:BF227,1),"")</f>
        <v/>
      </c>
    </row>
    <row r="228">
      <c r="AB228">
        <f>IF(AND(A228="",G228=""),"",IF(ISNUMBER(SEARCH("##END",AM228)),"（終わりの印）",IF(ISNUMBER(SEARCH("##続き",AM228)),"（続きありの印）",IF(AM228="調査ID","（見出し行）",IF(AND(AM228&lt;&gt;"R1",AM228&lt;&gt;"R2"),"×表以外の行（集計されない）",IF(COUNTIF($AN$5:AN228,AN228)&gt;1,"△重複（集計されない）",IF(G228="","△タスク名なし",IF(ISNA(MATCH(AQ228,'M1_類型マスタ'!$A$5:$A$19,0)),"△類型が不正",IF(OR(AP228="",N(AP228)&lt;1,N(AP228)&gt;6),"△業務区分が不正",IF(OR(AS228="",AT228=""),"△回数・分が読めない",IF(SUMPRODUCT(--ISNUMBER(--T228:Z228))&lt;7,"△採点が足りない",IF(SUMPRODUCT((--T228:Z228&gt;2)+(--T228:Z228&lt;0))&gt;0,"△採点が範囲外","OK"))))))))))))</f>
        <v/>
      </c>
      <c r="AC228">
        <f>IF(AB228&lt;&gt;"OK","",TRIM(IF(AND(AU228&lt;&gt;"",N(AU228)&lt;=1),"根拠1件 ","")&amp;IF(AV228&lt;&gt;"","同名あり ","")&amp;IF(AND(NOT(ISNUMBER(N228)),N228&lt;&gt;""),"回数を換算 ","")&amp;IF(J228="","詳細なし ","")&amp;IF(AND(N(AP228)=1,BB228=""),"顧客名なし ","")))</f>
        <v/>
      </c>
      <c r="AD228" s="31" t="n"/>
      <c r="AE228" s="32" t="n"/>
      <c r="AF228" s="32" t="n"/>
      <c r="AG228" s="31" t="n"/>
      <c r="AH228">
        <f>IF(AB228&lt;&gt;"OK","",IF(AG228&lt;&gt;"",AG228,AJ228))</f>
        <v/>
      </c>
      <c r="AI228" s="33">
        <f>IF(AB228&lt;&gt;"OK","",IFERROR(IF(AE228&lt;&gt;"",AE228,AS228)*IF(AF228&lt;&gt;"",AF228,AT228)/60,""))</f>
        <v/>
      </c>
      <c r="AJ228">
        <f>IF(AB228&lt;&gt;"OK","",IF(OR(VALUE(T228)=2,VALUE(U228)=2,VALUE(V228)=2),"社内残置",IF(AND(VALUE(T228)=0,VALUE(W228)=0,VALUE(Y228)=0),"自動化候補",IF(AND(VALUE(U228)=0,VALUE(W228)&lt;=1,VALUE(X228)&lt;=1,VALUE(Y228)&lt;=1,VALUE(Z228)&lt;=1),"オフショア候補",IF(AND(VALUE(Y228)&lt;=1,VALUE(Z228)&lt;=1),"ニアショア候補","社内で手順化→再評価")))))</f>
        <v/>
      </c>
      <c r="AK228">
        <f>IF(AB228&lt;&gt;"OK","",14-SUMPRODUCT(--T228:Z228))</f>
        <v/>
      </c>
      <c r="AL228" s="33">
        <f>IF(AB228&lt;&gt;"OK","",AS228*AT228/60)</f>
        <v/>
      </c>
      <c r="AM228" s="34">
        <f>IF(A228="","",UPPER(TRIM(ASC(A228&amp;""))))</f>
        <v/>
      </c>
      <c r="AN228" s="34">
        <f>IF(AM228="","",AM228&amp;"-"&amp;B228)</f>
        <v/>
      </c>
      <c r="AO228" s="34">
        <f>IF(C228="","",IFERROR(VALUE(ASC(SUBSTITUTE(C228&amp;"","観点",""))),""))</f>
        <v/>
      </c>
      <c r="AP228" s="34">
        <f>IF(D228="","",IFERROR(VALUE(LEFT(TRIM(ASC(D228&amp;"")),1)),IFERROR(MATCH(TRIM(D228&amp;""),'M2_区分マスタ'!$I$5:$I$10,0),"")))</f>
        <v/>
      </c>
      <c r="AQ228" s="34">
        <f>IF(H228="","",UPPER(LEFT(TRIM(ASC(H228&amp;"")),3)))</f>
        <v/>
      </c>
      <c r="AR228" s="34">
        <f>IF(N228="","",IFERROR(VALUE(SUBSTITUTE(SUBSTITUTE(SUBSTITUTE(SUBSTITUTE(SUBSTITUTE(SUBSTITUTE(SUBSTITUTE(SUBSTITUTE(SUBSTITUTE(SUBSTITUTE(SUBSTITUTE(SUBSTITUTE(ASC(N228&amp;""),"約",""),"程度",""),"ほど",""),"回",""),"毎",""),"週",""),"月",""),"年",""),"日",""),"に",""),"/","")," ","")),""))</f>
        <v/>
      </c>
      <c r="AS228" s="34">
        <f>IF(N228="","",IF(ISNUMBER(N228),N228,IFERROR(VALUE(ASC(N228&amp;"")),IF(AR228&lt;&gt;"",AR228*IF(ISNUMBER(SEARCH("週",N228)),4.3,IF(ISNUMBER(SEARCH("年",N228)),1/12,IF(ISNUMBER(SEARCH("日",N228)),20,1))),IF(ISNUMBER(SEARCH("日",N228)),20,IF(ISNUMBER(SEARCH("週",N228)),4.3,IF(ISNUMBER(SEARCH("月",N228)),1,"")))))))</f>
        <v/>
      </c>
      <c r="AT228" s="34">
        <f>IF(O228="","",IF(ISNUMBER(O228),O228,IFERROR(VALUE(ASC(O228&amp;"")),IF(ISNUMBER(SEARCH("時間",O228)),IFERROR(VALUE(SUBSTITUTE(SUBSTITUTE(SUBSTITUTE(SUBSTITUTE(SUBSTITUTE(ASC(O228&amp;""),"約",""),"程度",""),"ほど",""),"時間","")," ",""))*60,""),IFERROR(VALUE(SUBSTITUTE(SUBSTITUTE(SUBSTITUTE(SUBSTITUTE(SUBSTITUTE(ASC(O228&amp;""),"約",""),"程度",""),"ほど",""),"分","")," ","")),"")))))</f>
        <v/>
      </c>
      <c r="AU228" s="34">
        <f>IF(P228="","",IF(ISNUMBER(P228),P228,IFERROR(VALUE(SUBSTITUTE(SUBSTITUTE(SUBSTITUTE(ASC(P228&amp;""),"約",""),"件","")," ","")),"")))</f>
        <v/>
      </c>
      <c r="AV228" s="34">
        <f>IF(AB228&lt;&gt;"OK","",IF(COUNTIFS($G$5:$G$404,G228&amp;"",$F$5:$F$404,F228&amp;"",$BE$5:$BE$404,BE228&amp;"",$AB$5:$AB$404,"OK")&gt;1,"同名あり",""))</f>
        <v/>
      </c>
      <c r="AW228" s="35">
        <f>IF(Q228="","",IF(ISNUMBER(Q228),Q228,IFERROR(DATEVALUE(SUBSTITUTE(SUBSTITUTE(ASC(Q228&amp;""),"-","/"),".","/")&amp;"/01"),"")))</f>
        <v/>
      </c>
      <c r="AX228" s="35">
        <f>IF(R228="","",IF(ISNUMBER(R228),R228,IFERROR(DATEVALUE(SUBSTITUTE(SUBSTITUTE(ASC(R228&amp;""),"-","/"),".","/")&amp;"/01"),"")))</f>
        <v/>
      </c>
      <c r="AY228" s="34">
        <f>IF(OR(AB228&lt;&gt;"OK",AW228=""),"",IF(AW228&gt;='01_設定'!$C$26,1,0))</f>
        <v/>
      </c>
      <c r="AZ228" s="34">
        <f>IF(AND(AB228="OK",AD228&lt;&gt;"除外"),COUNTIFS($AB$5:AB228,"OK",$AD$5:AD228,"&lt;&gt;除外"),"")</f>
        <v/>
      </c>
      <c r="BA228" s="34">
        <f>IF(OR(AZ228="",AI228=""),"",AI228+ROW()/1000000000)</f>
        <v/>
      </c>
      <c r="BB228" s="34">
        <f>IF(E228="","",IF(OR(TRIM(E228&amp;"")="-",TRIM(E228&amp;"")="－",TRIM(E228&amp;"")="ー"),"",TRIM(E228&amp;"")))</f>
        <v/>
      </c>
      <c r="BC228" s="34">
        <f>IF(AND(AB228="OK",BB228&lt;&gt;""),IF(COUNTIFS($BB$5:BB228,BB228,$AB$5:AB228,"OK")=1,1,""),"")</f>
        <v/>
      </c>
      <c r="BD228" s="34">
        <f>IF(BC228=1,COUNTIF($BC$5:BC228,1),"")</f>
        <v/>
      </c>
      <c r="BE228" s="34">
        <f>IF(BB228="","",IFERROR(INDEX('06_顧客別集計'!$G$5:$G$104,MATCH(BB228,'06_顧客別集計'!$C$5:$C$104,0)),BB228))</f>
        <v/>
      </c>
      <c r="BF228" s="34">
        <f>IF(AND(AZ228&lt;&gt;"",BE228&lt;&gt;""),IF(COUNTIFS($BE$5:BE228,BE228,$AZ$5:AZ228,"&gt;0")=1,1,""),"")</f>
        <v/>
      </c>
      <c r="BG228" s="34">
        <f>IF(BF228=1,COUNTIF($BF$5:BF228,1),"")</f>
        <v/>
      </c>
    </row>
    <row r="229">
      <c r="AB229">
        <f>IF(AND(A229="",G229=""),"",IF(ISNUMBER(SEARCH("##END",AM229)),"（終わりの印）",IF(ISNUMBER(SEARCH("##続き",AM229)),"（続きありの印）",IF(AM229="調査ID","（見出し行）",IF(AND(AM229&lt;&gt;"R1",AM229&lt;&gt;"R2"),"×表以外の行（集計されない）",IF(COUNTIF($AN$5:AN229,AN229)&gt;1,"△重複（集計されない）",IF(G229="","△タスク名なし",IF(ISNA(MATCH(AQ229,'M1_類型マスタ'!$A$5:$A$19,0)),"△類型が不正",IF(OR(AP229="",N(AP229)&lt;1,N(AP229)&gt;6),"△業務区分が不正",IF(OR(AS229="",AT229=""),"△回数・分が読めない",IF(SUMPRODUCT(--ISNUMBER(--T229:Z229))&lt;7,"△採点が足りない",IF(SUMPRODUCT((--T229:Z229&gt;2)+(--T229:Z229&lt;0))&gt;0,"△採点が範囲外","OK"))))))))))))</f>
        <v/>
      </c>
      <c r="AC229">
        <f>IF(AB229&lt;&gt;"OK","",TRIM(IF(AND(AU229&lt;&gt;"",N(AU229)&lt;=1),"根拠1件 ","")&amp;IF(AV229&lt;&gt;"","同名あり ","")&amp;IF(AND(NOT(ISNUMBER(N229)),N229&lt;&gt;""),"回数を換算 ","")&amp;IF(J229="","詳細なし ","")&amp;IF(AND(N(AP229)=1,BB229=""),"顧客名なし ","")))</f>
        <v/>
      </c>
      <c r="AD229" s="31" t="n"/>
      <c r="AE229" s="32" t="n"/>
      <c r="AF229" s="32" t="n"/>
      <c r="AG229" s="31" t="n"/>
      <c r="AH229">
        <f>IF(AB229&lt;&gt;"OK","",IF(AG229&lt;&gt;"",AG229,AJ229))</f>
        <v/>
      </c>
      <c r="AI229" s="33">
        <f>IF(AB229&lt;&gt;"OK","",IFERROR(IF(AE229&lt;&gt;"",AE229,AS229)*IF(AF229&lt;&gt;"",AF229,AT229)/60,""))</f>
        <v/>
      </c>
      <c r="AJ229">
        <f>IF(AB229&lt;&gt;"OK","",IF(OR(VALUE(T229)=2,VALUE(U229)=2,VALUE(V229)=2),"社内残置",IF(AND(VALUE(T229)=0,VALUE(W229)=0,VALUE(Y229)=0),"自動化候補",IF(AND(VALUE(U229)=0,VALUE(W229)&lt;=1,VALUE(X229)&lt;=1,VALUE(Y229)&lt;=1,VALUE(Z229)&lt;=1),"オフショア候補",IF(AND(VALUE(Y229)&lt;=1,VALUE(Z229)&lt;=1),"ニアショア候補","社内で手順化→再評価")))))</f>
        <v/>
      </c>
      <c r="AK229">
        <f>IF(AB229&lt;&gt;"OK","",14-SUMPRODUCT(--T229:Z229))</f>
        <v/>
      </c>
      <c r="AL229" s="33">
        <f>IF(AB229&lt;&gt;"OK","",AS229*AT229/60)</f>
        <v/>
      </c>
      <c r="AM229" s="34">
        <f>IF(A229="","",UPPER(TRIM(ASC(A229&amp;""))))</f>
        <v/>
      </c>
      <c r="AN229" s="34">
        <f>IF(AM229="","",AM229&amp;"-"&amp;B229)</f>
        <v/>
      </c>
      <c r="AO229" s="34">
        <f>IF(C229="","",IFERROR(VALUE(ASC(SUBSTITUTE(C229&amp;"","観点",""))),""))</f>
        <v/>
      </c>
      <c r="AP229" s="34">
        <f>IF(D229="","",IFERROR(VALUE(LEFT(TRIM(ASC(D229&amp;"")),1)),IFERROR(MATCH(TRIM(D229&amp;""),'M2_区分マスタ'!$I$5:$I$10,0),"")))</f>
        <v/>
      </c>
      <c r="AQ229" s="34">
        <f>IF(H229="","",UPPER(LEFT(TRIM(ASC(H229&amp;"")),3)))</f>
        <v/>
      </c>
      <c r="AR229" s="34">
        <f>IF(N229="","",IFERROR(VALUE(SUBSTITUTE(SUBSTITUTE(SUBSTITUTE(SUBSTITUTE(SUBSTITUTE(SUBSTITUTE(SUBSTITUTE(SUBSTITUTE(SUBSTITUTE(SUBSTITUTE(SUBSTITUTE(SUBSTITUTE(ASC(N229&amp;""),"約",""),"程度",""),"ほど",""),"回",""),"毎",""),"週",""),"月",""),"年",""),"日",""),"に",""),"/","")," ","")),""))</f>
        <v/>
      </c>
      <c r="AS229" s="34">
        <f>IF(N229="","",IF(ISNUMBER(N229),N229,IFERROR(VALUE(ASC(N229&amp;"")),IF(AR229&lt;&gt;"",AR229*IF(ISNUMBER(SEARCH("週",N229)),4.3,IF(ISNUMBER(SEARCH("年",N229)),1/12,IF(ISNUMBER(SEARCH("日",N229)),20,1))),IF(ISNUMBER(SEARCH("日",N229)),20,IF(ISNUMBER(SEARCH("週",N229)),4.3,IF(ISNUMBER(SEARCH("月",N229)),1,"")))))))</f>
        <v/>
      </c>
      <c r="AT229" s="34">
        <f>IF(O229="","",IF(ISNUMBER(O229),O229,IFERROR(VALUE(ASC(O229&amp;"")),IF(ISNUMBER(SEARCH("時間",O229)),IFERROR(VALUE(SUBSTITUTE(SUBSTITUTE(SUBSTITUTE(SUBSTITUTE(SUBSTITUTE(ASC(O229&amp;""),"約",""),"程度",""),"ほど",""),"時間","")," ",""))*60,""),IFERROR(VALUE(SUBSTITUTE(SUBSTITUTE(SUBSTITUTE(SUBSTITUTE(SUBSTITUTE(ASC(O229&amp;""),"約",""),"程度",""),"ほど",""),"分","")," ","")),"")))))</f>
        <v/>
      </c>
      <c r="AU229" s="34">
        <f>IF(P229="","",IF(ISNUMBER(P229),P229,IFERROR(VALUE(SUBSTITUTE(SUBSTITUTE(SUBSTITUTE(ASC(P229&amp;""),"約",""),"件","")," ","")),"")))</f>
        <v/>
      </c>
      <c r="AV229" s="34">
        <f>IF(AB229&lt;&gt;"OK","",IF(COUNTIFS($G$5:$G$404,G229&amp;"",$F$5:$F$404,F229&amp;"",$BE$5:$BE$404,BE229&amp;"",$AB$5:$AB$404,"OK")&gt;1,"同名あり",""))</f>
        <v/>
      </c>
      <c r="AW229" s="35">
        <f>IF(Q229="","",IF(ISNUMBER(Q229),Q229,IFERROR(DATEVALUE(SUBSTITUTE(SUBSTITUTE(ASC(Q229&amp;""),"-","/"),".","/")&amp;"/01"),"")))</f>
        <v/>
      </c>
      <c r="AX229" s="35">
        <f>IF(R229="","",IF(ISNUMBER(R229),R229,IFERROR(DATEVALUE(SUBSTITUTE(SUBSTITUTE(ASC(R229&amp;""),"-","/"),".","/")&amp;"/01"),"")))</f>
        <v/>
      </c>
      <c r="AY229" s="34">
        <f>IF(OR(AB229&lt;&gt;"OK",AW229=""),"",IF(AW229&gt;='01_設定'!$C$26,1,0))</f>
        <v/>
      </c>
      <c r="AZ229" s="34">
        <f>IF(AND(AB229="OK",AD229&lt;&gt;"除外"),COUNTIFS($AB$5:AB229,"OK",$AD$5:AD229,"&lt;&gt;除外"),"")</f>
        <v/>
      </c>
      <c r="BA229" s="34">
        <f>IF(OR(AZ229="",AI229=""),"",AI229+ROW()/1000000000)</f>
        <v/>
      </c>
      <c r="BB229" s="34">
        <f>IF(E229="","",IF(OR(TRIM(E229&amp;"")="-",TRIM(E229&amp;"")="－",TRIM(E229&amp;"")="ー"),"",TRIM(E229&amp;"")))</f>
        <v/>
      </c>
      <c r="BC229" s="34">
        <f>IF(AND(AB229="OK",BB229&lt;&gt;""),IF(COUNTIFS($BB$5:BB229,BB229,$AB$5:AB229,"OK")=1,1,""),"")</f>
        <v/>
      </c>
      <c r="BD229" s="34">
        <f>IF(BC229=1,COUNTIF($BC$5:BC229,1),"")</f>
        <v/>
      </c>
      <c r="BE229" s="34">
        <f>IF(BB229="","",IFERROR(INDEX('06_顧客別集計'!$G$5:$G$104,MATCH(BB229,'06_顧客別集計'!$C$5:$C$104,0)),BB229))</f>
        <v/>
      </c>
      <c r="BF229" s="34">
        <f>IF(AND(AZ229&lt;&gt;"",BE229&lt;&gt;""),IF(COUNTIFS($BE$5:BE229,BE229,$AZ$5:AZ229,"&gt;0")=1,1,""),"")</f>
        <v/>
      </c>
      <c r="BG229" s="34">
        <f>IF(BF229=1,COUNTIF($BF$5:BF229,1),"")</f>
        <v/>
      </c>
    </row>
    <row r="230">
      <c r="AB230">
        <f>IF(AND(A230="",G230=""),"",IF(ISNUMBER(SEARCH("##END",AM230)),"（終わりの印）",IF(ISNUMBER(SEARCH("##続き",AM230)),"（続きありの印）",IF(AM230="調査ID","（見出し行）",IF(AND(AM230&lt;&gt;"R1",AM230&lt;&gt;"R2"),"×表以外の行（集計されない）",IF(COUNTIF($AN$5:AN230,AN230)&gt;1,"△重複（集計されない）",IF(G230="","△タスク名なし",IF(ISNA(MATCH(AQ230,'M1_類型マスタ'!$A$5:$A$19,0)),"△類型が不正",IF(OR(AP230="",N(AP230)&lt;1,N(AP230)&gt;6),"△業務区分が不正",IF(OR(AS230="",AT230=""),"△回数・分が読めない",IF(SUMPRODUCT(--ISNUMBER(--T230:Z230))&lt;7,"△採点が足りない",IF(SUMPRODUCT((--T230:Z230&gt;2)+(--T230:Z230&lt;0))&gt;0,"△採点が範囲外","OK"))))))))))))</f>
        <v/>
      </c>
      <c r="AC230">
        <f>IF(AB230&lt;&gt;"OK","",TRIM(IF(AND(AU230&lt;&gt;"",N(AU230)&lt;=1),"根拠1件 ","")&amp;IF(AV230&lt;&gt;"","同名あり ","")&amp;IF(AND(NOT(ISNUMBER(N230)),N230&lt;&gt;""),"回数を換算 ","")&amp;IF(J230="","詳細なし ","")&amp;IF(AND(N(AP230)=1,BB230=""),"顧客名なし ","")))</f>
        <v/>
      </c>
      <c r="AD230" s="31" t="n"/>
      <c r="AE230" s="32" t="n"/>
      <c r="AF230" s="32" t="n"/>
      <c r="AG230" s="31" t="n"/>
      <c r="AH230">
        <f>IF(AB230&lt;&gt;"OK","",IF(AG230&lt;&gt;"",AG230,AJ230))</f>
        <v/>
      </c>
      <c r="AI230" s="33">
        <f>IF(AB230&lt;&gt;"OK","",IFERROR(IF(AE230&lt;&gt;"",AE230,AS230)*IF(AF230&lt;&gt;"",AF230,AT230)/60,""))</f>
        <v/>
      </c>
      <c r="AJ230">
        <f>IF(AB230&lt;&gt;"OK","",IF(OR(VALUE(T230)=2,VALUE(U230)=2,VALUE(V230)=2),"社内残置",IF(AND(VALUE(T230)=0,VALUE(W230)=0,VALUE(Y230)=0),"自動化候補",IF(AND(VALUE(U230)=0,VALUE(W230)&lt;=1,VALUE(X230)&lt;=1,VALUE(Y230)&lt;=1,VALUE(Z230)&lt;=1),"オフショア候補",IF(AND(VALUE(Y230)&lt;=1,VALUE(Z230)&lt;=1),"ニアショア候補","社内で手順化→再評価")))))</f>
        <v/>
      </c>
      <c r="AK230">
        <f>IF(AB230&lt;&gt;"OK","",14-SUMPRODUCT(--T230:Z230))</f>
        <v/>
      </c>
      <c r="AL230" s="33">
        <f>IF(AB230&lt;&gt;"OK","",AS230*AT230/60)</f>
        <v/>
      </c>
      <c r="AM230" s="34">
        <f>IF(A230="","",UPPER(TRIM(ASC(A230&amp;""))))</f>
        <v/>
      </c>
      <c r="AN230" s="34">
        <f>IF(AM230="","",AM230&amp;"-"&amp;B230)</f>
        <v/>
      </c>
      <c r="AO230" s="34">
        <f>IF(C230="","",IFERROR(VALUE(ASC(SUBSTITUTE(C230&amp;"","観点",""))),""))</f>
        <v/>
      </c>
      <c r="AP230" s="34">
        <f>IF(D230="","",IFERROR(VALUE(LEFT(TRIM(ASC(D230&amp;"")),1)),IFERROR(MATCH(TRIM(D230&amp;""),'M2_区分マスタ'!$I$5:$I$10,0),"")))</f>
        <v/>
      </c>
      <c r="AQ230" s="34">
        <f>IF(H230="","",UPPER(LEFT(TRIM(ASC(H230&amp;"")),3)))</f>
        <v/>
      </c>
      <c r="AR230" s="34">
        <f>IF(N230="","",IFERROR(VALUE(SUBSTITUTE(SUBSTITUTE(SUBSTITUTE(SUBSTITUTE(SUBSTITUTE(SUBSTITUTE(SUBSTITUTE(SUBSTITUTE(SUBSTITUTE(SUBSTITUTE(SUBSTITUTE(SUBSTITUTE(ASC(N230&amp;""),"約",""),"程度",""),"ほど",""),"回",""),"毎",""),"週",""),"月",""),"年",""),"日",""),"に",""),"/","")," ","")),""))</f>
        <v/>
      </c>
      <c r="AS230" s="34">
        <f>IF(N230="","",IF(ISNUMBER(N230),N230,IFERROR(VALUE(ASC(N230&amp;"")),IF(AR230&lt;&gt;"",AR230*IF(ISNUMBER(SEARCH("週",N230)),4.3,IF(ISNUMBER(SEARCH("年",N230)),1/12,IF(ISNUMBER(SEARCH("日",N230)),20,1))),IF(ISNUMBER(SEARCH("日",N230)),20,IF(ISNUMBER(SEARCH("週",N230)),4.3,IF(ISNUMBER(SEARCH("月",N230)),1,"")))))))</f>
        <v/>
      </c>
      <c r="AT230" s="34">
        <f>IF(O230="","",IF(ISNUMBER(O230),O230,IFERROR(VALUE(ASC(O230&amp;"")),IF(ISNUMBER(SEARCH("時間",O230)),IFERROR(VALUE(SUBSTITUTE(SUBSTITUTE(SUBSTITUTE(SUBSTITUTE(SUBSTITUTE(ASC(O230&amp;""),"約",""),"程度",""),"ほど",""),"時間","")," ",""))*60,""),IFERROR(VALUE(SUBSTITUTE(SUBSTITUTE(SUBSTITUTE(SUBSTITUTE(SUBSTITUTE(ASC(O230&amp;""),"約",""),"程度",""),"ほど",""),"分","")," ","")),"")))))</f>
        <v/>
      </c>
      <c r="AU230" s="34">
        <f>IF(P230="","",IF(ISNUMBER(P230),P230,IFERROR(VALUE(SUBSTITUTE(SUBSTITUTE(SUBSTITUTE(ASC(P230&amp;""),"約",""),"件","")," ","")),"")))</f>
        <v/>
      </c>
      <c r="AV230" s="34">
        <f>IF(AB230&lt;&gt;"OK","",IF(COUNTIFS($G$5:$G$404,G230&amp;"",$F$5:$F$404,F230&amp;"",$BE$5:$BE$404,BE230&amp;"",$AB$5:$AB$404,"OK")&gt;1,"同名あり",""))</f>
        <v/>
      </c>
      <c r="AW230" s="35">
        <f>IF(Q230="","",IF(ISNUMBER(Q230),Q230,IFERROR(DATEVALUE(SUBSTITUTE(SUBSTITUTE(ASC(Q230&amp;""),"-","/"),".","/")&amp;"/01"),"")))</f>
        <v/>
      </c>
      <c r="AX230" s="35">
        <f>IF(R230="","",IF(ISNUMBER(R230),R230,IFERROR(DATEVALUE(SUBSTITUTE(SUBSTITUTE(ASC(R230&amp;""),"-","/"),".","/")&amp;"/01"),"")))</f>
        <v/>
      </c>
      <c r="AY230" s="34">
        <f>IF(OR(AB230&lt;&gt;"OK",AW230=""),"",IF(AW230&gt;='01_設定'!$C$26,1,0))</f>
        <v/>
      </c>
      <c r="AZ230" s="34">
        <f>IF(AND(AB230="OK",AD230&lt;&gt;"除外"),COUNTIFS($AB$5:AB230,"OK",$AD$5:AD230,"&lt;&gt;除外"),"")</f>
        <v/>
      </c>
      <c r="BA230" s="34">
        <f>IF(OR(AZ230="",AI230=""),"",AI230+ROW()/1000000000)</f>
        <v/>
      </c>
      <c r="BB230" s="34">
        <f>IF(E230="","",IF(OR(TRIM(E230&amp;"")="-",TRIM(E230&amp;"")="－",TRIM(E230&amp;"")="ー"),"",TRIM(E230&amp;"")))</f>
        <v/>
      </c>
      <c r="BC230" s="34">
        <f>IF(AND(AB230="OK",BB230&lt;&gt;""),IF(COUNTIFS($BB$5:BB230,BB230,$AB$5:AB230,"OK")=1,1,""),"")</f>
        <v/>
      </c>
      <c r="BD230" s="34">
        <f>IF(BC230=1,COUNTIF($BC$5:BC230,1),"")</f>
        <v/>
      </c>
      <c r="BE230" s="34">
        <f>IF(BB230="","",IFERROR(INDEX('06_顧客別集計'!$G$5:$G$104,MATCH(BB230,'06_顧客別集計'!$C$5:$C$104,0)),BB230))</f>
        <v/>
      </c>
      <c r="BF230" s="34">
        <f>IF(AND(AZ230&lt;&gt;"",BE230&lt;&gt;""),IF(COUNTIFS($BE$5:BE230,BE230,$AZ$5:AZ230,"&gt;0")=1,1,""),"")</f>
        <v/>
      </c>
      <c r="BG230" s="34">
        <f>IF(BF230=1,COUNTIF($BF$5:BF230,1),"")</f>
        <v/>
      </c>
    </row>
    <row r="231">
      <c r="AB231">
        <f>IF(AND(A231="",G231=""),"",IF(ISNUMBER(SEARCH("##END",AM231)),"（終わりの印）",IF(ISNUMBER(SEARCH("##続き",AM231)),"（続きありの印）",IF(AM231="調査ID","（見出し行）",IF(AND(AM231&lt;&gt;"R1",AM231&lt;&gt;"R2"),"×表以外の行（集計されない）",IF(COUNTIF($AN$5:AN231,AN231)&gt;1,"△重複（集計されない）",IF(G231="","△タスク名なし",IF(ISNA(MATCH(AQ231,'M1_類型マスタ'!$A$5:$A$19,0)),"△類型が不正",IF(OR(AP231="",N(AP231)&lt;1,N(AP231)&gt;6),"△業務区分が不正",IF(OR(AS231="",AT231=""),"△回数・分が読めない",IF(SUMPRODUCT(--ISNUMBER(--T231:Z231))&lt;7,"△採点が足りない",IF(SUMPRODUCT((--T231:Z231&gt;2)+(--T231:Z231&lt;0))&gt;0,"△採点が範囲外","OK"))))))))))))</f>
        <v/>
      </c>
      <c r="AC231">
        <f>IF(AB231&lt;&gt;"OK","",TRIM(IF(AND(AU231&lt;&gt;"",N(AU231)&lt;=1),"根拠1件 ","")&amp;IF(AV231&lt;&gt;"","同名あり ","")&amp;IF(AND(NOT(ISNUMBER(N231)),N231&lt;&gt;""),"回数を換算 ","")&amp;IF(J231="","詳細なし ","")&amp;IF(AND(N(AP231)=1,BB231=""),"顧客名なし ","")))</f>
        <v/>
      </c>
      <c r="AD231" s="31" t="n"/>
      <c r="AE231" s="32" t="n"/>
      <c r="AF231" s="32" t="n"/>
      <c r="AG231" s="31" t="n"/>
      <c r="AH231">
        <f>IF(AB231&lt;&gt;"OK","",IF(AG231&lt;&gt;"",AG231,AJ231))</f>
        <v/>
      </c>
      <c r="AI231" s="33">
        <f>IF(AB231&lt;&gt;"OK","",IFERROR(IF(AE231&lt;&gt;"",AE231,AS231)*IF(AF231&lt;&gt;"",AF231,AT231)/60,""))</f>
        <v/>
      </c>
      <c r="AJ231">
        <f>IF(AB231&lt;&gt;"OK","",IF(OR(VALUE(T231)=2,VALUE(U231)=2,VALUE(V231)=2),"社内残置",IF(AND(VALUE(T231)=0,VALUE(W231)=0,VALUE(Y231)=0),"自動化候補",IF(AND(VALUE(U231)=0,VALUE(W231)&lt;=1,VALUE(X231)&lt;=1,VALUE(Y231)&lt;=1,VALUE(Z231)&lt;=1),"オフショア候補",IF(AND(VALUE(Y231)&lt;=1,VALUE(Z231)&lt;=1),"ニアショア候補","社内で手順化→再評価")))))</f>
        <v/>
      </c>
      <c r="AK231">
        <f>IF(AB231&lt;&gt;"OK","",14-SUMPRODUCT(--T231:Z231))</f>
        <v/>
      </c>
      <c r="AL231" s="33">
        <f>IF(AB231&lt;&gt;"OK","",AS231*AT231/60)</f>
        <v/>
      </c>
      <c r="AM231" s="34">
        <f>IF(A231="","",UPPER(TRIM(ASC(A231&amp;""))))</f>
        <v/>
      </c>
      <c r="AN231" s="34">
        <f>IF(AM231="","",AM231&amp;"-"&amp;B231)</f>
        <v/>
      </c>
      <c r="AO231" s="34">
        <f>IF(C231="","",IFERROR(VALUE(ASC(SUBSTITUTE(C231&amp;"","観点",""))),""))</f>
        <v/>
      </c>
      <c r="AP231" s="34">
        <f>IF(D231="","",IFERROR(VALUE(LEFT(TRIM(ASC(D231&amp;"")),1)),IFERROR(MATCH(TRIM(D231&amp;""),'M2_区分マスタ'!$I$5:$I$10,0),"")))</f>
        <v/>
      </c>
      <c r="AQ231" s="34">
        <f>IF(H231="","",UPPER(LEFT(TRIM(ASC(H231&amp;"")),3)))</f>
        <v/>
      </c>
      <c r="AR231" s="34">
        <f>IF(N231="","",IFERROR(VALUE(SUBSTITUTE(SUBSTITUTE(SUBSTITUTE(SUBSTITUTE(SUBSTITUTE(SUBSTITUTE(SUBSTITUTE(SUBSTITUTE(SUBSTITUTE(SUBSTITUTE(SUBSTITUTE(SUBSTITUTE(ASC(N231&amp;""),"約",""),"程度",""),"ほど",""),"回",""),"毎",""),"週",""),"月",""),"年",""),"日",""),"に",""),"/","")," ","")),""))</f>
        <v/>
      </c>
      <c r="AS231" s="34">
        <f>IF(N231="","",IF(ISNUMBER(N231),N231,IFERROR(VALUE(ASC(N231&amp;"")),IF(AR231&lt;&gt;"",AR231*IF(ISNUMBER(SEARCH("週",N231)),4.3,IF(ISNUMBER(SEARCH("年",N231)),1/12,IF(ISNUMBER(SEARCH("日",N231)),20,1))),IF(ISNUMBER(SEARCH("日",N231)),20,IF(ISNUMBER(SEARCH("週",N231)),4.3,IF(ISNUMBER(SEARCH("月",N231)),1,"")))))))</f>
        <v/>
      </c>
      <c r="AT231" s="34">
        <f>IF(O231="","",IF(ISNUMBER(O231),O231,IFERROR(VALUE(ASC(O231&amp;"")),IF(ISNUMBER(SEARCH("時間",O231)),IFERROR(VALUE(SUBSTITUTE(SUBSTITUTE(SUBSTITUTE(SUBSTITUTE(SUBSTITUTE(ASC(O231&amp;""),"約",""),"程度",""),"ほど",""),"時間","")," ",""))*60,""),IFERROR(VALUE(SUBSTITUTE(SUBSTITUTE(SUBSTITUTE(SUBSTITUTE(SUBSTITUTE(ASC(O231&amp;""),"約",""),"程度",""),"ほど",""),"分","")," ","")),"")))))</f>
        <v/>
      </c>
      <c r="AU231" s="34">
        <f>IF(P231="","",IF(ISNUMBER(P231),P231,IFERROR(VALUE(SUBSTITUTE(SUBSTITUTE(SUBSTITUTE(ASC(P231&amp;""),"約",""),"件","")," ","")),"")))</f>
        <v/>
      </c>
      <c r="AV231" s="34">
        <f>IF(AB231&lt;&gt;"OK","",IF(COUNTIFS($G$5:$G$404,G231&amp;"",$F$5:$F$404,F231&amp;"",$BE$5:$BE$404,BE231&amp;"",$AB$5:$AB$404,"OK")&gt;1,"同名あり",""))</f>
        <v/>
      </c>
      <c r="AW231" s="35">
        <f>IF(Q231="","",IF(ISNUMBER(Q231),Q231,IFERROR(DATEVALUE(SUBSTITUTE(SUBSTITUTE(ASC(Q231&amp;""),"-","/"),".","/")&amp;"/01"),"")))</f>
        <v/>
      </c>
      <c r="AX231" s="35">
        <f>IF(R231="","",IF(ISNUMBER(R231),R231,IFERROR(DATEVALUE(SUBSTITUTE(SUBSTITUTE(ASC(R231&amp;""),"-","/"),".","/")&amp;"/01"),"")))</f>
        <v/>
      </c>
      <c r="AY231" s="34">
        <f>IF(OR(AB231&lt;&gt;"OK",AW231=""),"",IF(AW231&gt;='01_設定'!$C$26,1,0))</f>
        <v/>
      </c>
      <c r="AZ231" s="34">
        <f>IF(AND(AB231="OK",AD231&lt;&gt;"除外"),COUNTIFS($AB$5:AB231,"OK",$AD$5:AD231,"&lt;&gt;除外"),"")</f>
        <v/>
      </c>
      <c r="BA231" s="34">
        <f>IF(OR(AZ231="",AI231=""),"",AI231+ROW()/1000000000)</f>
        <v/>
      </c>
      <c r="BB231" s="34">
        <f>IF(E231="","",IF(OR(TRIM(E231&amp;"")="-",TRIM(E231&amp;"")="－",TRIM(E231&amp;"")="ー"),"",TRIM(E231&amp;"")))</f>
        <v/>
      </c>
      <c r="BC231" s="34">
        <f>IF(AND(AB231="OK",BB231&lt;&gt;""),IF(COUNTIFS($BB$5:BB231,BB231,$AB$5:AB231,"OK")=1,1,""),"")</f>
        <v/>
      </c>
      <c r="BD231" s="34">
        <f>IF(BC231=1,COUNTIF($BC$5:BC231,1),"")</f>
        <v/>
      </c>
      <c r="BE231" s="34">
        <f>IF(BB231="","",IFERROR(INDEX('06_顧客別集計'!$G$5:$G$104,MATCH(BB231,'06_顧客別集計'!$C$5:$C$104,0)),BB231))</f>
        <v/>
      </c>
      <c r="BF231" s="34">
        <f>IF(AND(AZ231&lt;&gt;"",BE231&lt;&gt;""),IF(COUNTIFS($BE$5:BE231,BE231,$AZ$5:AZ231,"&gt;0")=1,1,""),"")</f>
        <v/>
      </c>
      <c r="BG231" s="34">
        <f>IF(BF231=1,COUNTIF($BF$5:BF231,1),"")</f>
        <v/>
      </c>
    </row>
    <row r="232">
      <c r="AB232">
        <f>IF(AND(A232="",G232=""),"",IF(ISNUMBER(SEARCH("##END",AM232)),"（終わりの印）",IF(ISNUMBER(SEARCH("##続き",AM232)),"（続きありの印）",IF(AM232="調査ID","（見出し行）",IF(AND(AM232&lt;&gt;"R1",AM232&lt;&gt;"R2"),"×表以外の行（集計されない）",IF(COUNTIF($AN$5:AN232,AN232)&gt;1,"△重複（集計されない）",IF(G232="","△タスク名なし",IF(ISNA(MATCH(AQ232,'M1_類型マスタ'!$A$5:$A$19,0)),"△類型が不正",IF(OR(AP232="",N(AP232)&lt;1,N(AP232)&gt;6),"△業務区分が不正",IF(OR(AS232="",AT232=""),"△回数・分が読めない",IF(SUMPRODUCT(--ISNUMBER(--T232:Z232))&lt;7,"△採点が足りない",IF(SUMPRODUCT((--T232:Z232&gt;2)+(--T232:Z232&lt;0))&gt;0,"△採点が範囲外","OK"))))))))))))</f>
        <v/>
      </c>
      <c r="AC232">
        <f>IF(AB232&lt;&gt;"OK","",TRIM(IF(AND(AU232&lt;&gt;"",N(AU232)&lt;=1),"根拠1件 ","")&amp;IF(AV232&lt;&gt;"","同名あり ","")&amp;IF(AND(NOT(ISNUMBER(N232)),N232&lt;&gt;""),"回数を換算 ","")&amp;IF(J232="","詳細なし ","")&amp;IF(AND(N(AP232)=1,BB232=""),"顧客名なし ","")))</f>
        <v/>
      </c>
      <c r="AD232" s="31" t="n"/>
      <c r="AE232" s="32" t="n"/>
      <c r="AF232" s="32" t="n"/>
      <c r="AG232" s="31" t="n"/>
      <c r="AH232">
        <f>IF(AB232&lt;&gt;"OK","",IF(AG232&lt;&gt;"",AG232,AJ232))</f>
        <v/>
      </c>
      <c r="AI232" s="33">
        <f>IF(AB232&lt;&gt;"OK","",IFERROR(IF(AE232&lt;&gt;"",AE232,AS232)*IF(AF232&lt;&gt;"",AF232,AT232)/60,""))</f>
        <v/>
      </c>
      <c r="AJ232">
        <f>IF(AB232&lt;&gt;"OK","",IF(OR(VALUE(T232)=2,VALUE(U232)=2,VALUE(V232)=2),"社内残置",IF(AND(VALUE(T232)=0,VALUE(W232)=0,VALUE(Y232)=0),"自動化候補",IF(AND(VALUE(U232)=0,VALUE(W232)&lt;=1,VALUE(X232)&lt;=1,VALUE(Y232)&lt;=1,VALUE(Z232)&lt;=1),"オフショア候補",IF(AND(VALUE(Y232)&lt;=1,VALUE(Z232)&lt;=1),"ニアショア候補","社内で手順化→再評価")))))</f>
        <v/>
      </c>
      <c r="AK232">
        <f>IF(AB232&lt;&gt;"OK","",14-SUMPRODUCT(--T232:Z232))</f>
        <v/>
      </c>
      <c r="AL232" s="33">
        <f>IF(AB232&lt;&gt;"OK","",AS232*AT232/60)</f>
        <v/>
      </c>
      <c r="AM232" s="34">
        <f>IF(A232="","",UPPER(TRIM(ASC(A232&amp;""))))</f>
        <v/>
      </c>
      <c r="AN232" s="34">
        <f>IF(AM232="","",AM232&amp;"-"&amp;B232)</f>
        <v/>
      </c>
      <c r="AO232" s="34">
        <f>IF(C232="","",IFERROR(VALUE(ASC(SUBSTITUTE(C232&amp;"","観点",""))),""))</f>
        <v/>
      </c>
      <c r="AP232" s="34">
        <f>IF(D232="","",IFERROR(VALUE(LEFT(TRIM(ASC(D232&amp;"")),1)),IFERROR(MATCH(TRIM(D232&amp;""),'M2_区分マスタ'!$I$5:$I$10,0),"")))</f>
        <v/>
      </c>
      <c r="AQ232" s="34">
        <f>IF(H232="","",UPPER(LEFT(TRIM(ASC(H232&amp;"")),3)))</f>
        <v/>
      </c>
      <c r="AR232" s="34">
        <f>IF(N232="","",IFERROR(VALUE(SUBSTITUTE(SUBSTITUTE(SUBSTITUTE(SUBSTITUTE(SUBSTITUTE(SUBSTITUTE(SUBSTITUTE(SUBSTITUTE(SUBSTITUTE(SUBSTITUTE(SUBSTITUTE(SUBSTITUTE(ASC(N232&amp;""),"約",""),"程度",""),"ほど",""),"回",""),"毎",""),"週",""),"月",""),"年",""),"日",""),"に",""),"/","")," ","")),""))</f>
        <v/>
      </c>
      <c r="AS232" s="34">
        <f>IF(N232="","",IF(ISNUMBER(N232),N232,IFERROR(VALUE(ASC(N232&amp;"")),IF(AR232&lt;&gt;"",AR232*IF(ISNUMBER(SEARCH("週",N232)),4.3,IF(ISNUMBER(SEARCH("年",N232)),1/12,IF(ISNUMBER(SEARCH("日",N232)),20,1))),IF(ISNUMBER(SEARCH("日",N232)),20,IF(ISNUMBER(SEARCH("週",N232)),4.3,IF(ISNUMBER(SEARCH("月",N232)),1,"")))))))</f>
        <v/>
      </c>
      <c r="AT232" s="34">
        <f>IF(O232="","",IF(ISNUMBER(O232),O232,IFERROR(VALUE(ASC(O232&amp;"")),IF(ISNUMBER(SEARCH("時間",O232)),IFERROR(VALUE(SUBSTITUTE(SUBSTITUTE(SUBSTITUTE(SUBSTITUTE(SUBSTITUTE(ASC(O232&amp;""),"約",""),"程度",""),"ほど",""),"時間","")," ",""))*60,""),IFERROR(VALUE(SUBSTITUTE(SUBSTITUTE(SUBSTITUTE(SUBSTITUTE(SUBSTITUTE(ASC(O232&amp;""),"約",""),"程度",""),"ほど",""),"分","")," ","")),"")))))</f>
        <v/>
      </c>
      <c r="AU232" s="34">
        <f>IF(P232="","",IF(ISNUMBER(P232),P232,IFERROR(VALUE(SUBSTITUTE(SUBSTITUTE(SUBSTITUTE(ASC(P232&amp;""),"約",""),"件","")," ","")),"")))</f>
        <v/>
      </c>
      <c r="AV232" s="34">
        <f>IF(AB232&lt;&gt;"OK","",IF(COUNTIFS($G$5:$G$404,G232&amp;"",$F$5:$F$404,F232&amp;"",$BE$5:$BE$404,BE232&amp;"",$AB$5:$AB$404,"OK")&gt;1,"同名あり",""))</f>
        <v/>
      </c>
      <c r="AW232" s="35">
        <f>IF(Q232="","",IF(ISNUMBER(Q232),Q232,IFERROR(DATEVALUE(SUBSTITUTE(SUBSTITUTE(ASC(Q232&amp;""),"-","/"),".","/")&amp;"/01"),"")))</f>
        <v/>
      </c>
      <c r="AX232" s="35">
        <f>IF(R232="","",IF(ISNUMBER(R232),R232,IFERROR(DATEVALUE(SUBSTITUTE(SUBSTITUTE(ASC(R232&amp;""),"-","/"),".","/")&amp;"/01"),"")))</f>
        <v/>
      </c>
      <c r="AY232" s="34">
        <f>IF(OR(AB232&lt;&gt;"OK",AW232=""),"",IF(AW232&gt;='01_設定'!$C$26,1,0))</f>
        <v/>
      </c>
      <c r="AZ232" s="34">
        <f>IF(AND(AB232="OK",AD232&lt;&gt;"除外"),COUNTIFS($AB$5:AB232,"OK",$AD$5:AD232,"&lt;&gt;除外"),"")</f>
        <v/>
      </c>
      <c r="BA232" s="34">
        <f>IF(OR(AZ232="",AI232=""),"",AI232+ROW()/1000000000)</f>
        <v/>
      </c>
      <c r="BB232" s="34">
        <f>IF(E232="","",IF(OR(TRIM(E232&amp;"")="-",TRIM(E232&amp;"")="－",TRIM(E232&amp;"")="ー"),"",TRIM(E232&amp;"")))</f>
        <v/>
      </c>
      <c r="BC232" s="34">
        <f>IF(AND(AB232="OK",BB232&lt;&gt;""),IF(COUNTIFS($BB$5:BB232,BB232,$AB$5:AB232,"OK")=1,1,""),"")</f>
        <v/>
      </c>
      <c r="BD232" s="34">
        <f>IF(BC232=1,COUNTIF($BC$5:BC232,1),"")</f>
        <v/>
      </c>
      <c r="BE232" s="34">
        <f>IF(BB232="","",IFERROR(INDEX('06_顧客別集計'!$G$5:$G$104,MATCH(BB232,'06_顧客別集計'!$C$5:$C$104,0)),BB232))</f>
        <v/>
      </c>
      <c r="BF232" s="34">
        <f>IF(AND(AZ232&lt;&gt;"",BE232&lt;&gt;""),IF(COUNTIFS($BE$5:BE232,BE232,$AZ$5:AZ232,"&gt;0")=1,1,""),"")</f>
        <v/>
      </c>
      <c r="BG232" s="34">
        <f>IF(BF232=1,COUNTIF($BF$5:BF232,1),"")</f>
        <v/>
      </c>
    </row>
    <row r="233">
      <c r="AB233">
        <f>IF(AND(A233="",G233=""),"",IF(ISNUMBER(SEARCH("##END",AM233)),"（終わりの印）",IF(ISNUMBER(SEARCH("##続き",AM233)),"（続きありの印）",IF(AM233="調査ID","（見出し行）",IF(AND(AM233&lt;&gt;"R1",AM233&lt;&gt;"R2"),"×表以外の行（集計されない）",IF(COUNTIF($AN$5:AN233,AN233)&gt;1,"△重複（集計されない）",IF(G233="","△タスク名なし",IF(ISNA(MATCH(AQ233,'M1_類型マスタ'!$A$5:$A$19,0)),"△類型が不正",IF(OR(AP233="",N(AP233)&lt;1,N(AP233)&gt;6),"△業務区分が不正",IF(OR(AS233="",AT233=""),"△回数・分が読めない",IF(SUMPRODUCT(--ISNUMBER(--T233:Z233))&lt;7,"△採点が足りない",IF(SUMPRODUCT((--T233:Z233&gt;2)+(--T233:Z233&lt;0))&gt;0,"△採点が範囲外","OK"))))))))))))</f>
        <v/>
      </c>
      <c r="AC233">
        <f>IF(AB233&lt;&gt;"OK","",TRIM(IF(AND(AU233&lt;&gt;"",N(AU233)&lt;=1),"根拠1件 ","")&amp;IF(AV233&lt;&gt;"","同名あり ","")&amp;IF(AND(NOT(ISNUMBER(N233)),N233&lt;&gt;""),"回数を換算 ","")&amp;IF(J233="","詳細なし ","")&amp;IF(AND(N(AP233)=1,BB233=""),"顧客名なし ","")))</f>
        <v/>
      </c>
      <c r="AD233" s="31" t="n"/>
      <c r="AE233" s="32" t="n"/>
      <c r="AF233" s="32" t="n"/>
      <c r="AG233" s="31" t="n"/>
      <c r="AH233">
        <f>IF(AB233&lt;&gt;"OK","",IF(AG233&lt;&gt;"",AG233,AJ233))</f>
        <v/>
      </c>
      <c r="AI233" s="33">
        <f>IF(AB233&lt;&gt;"OK","",IFERROR(IF(AE233&lt;&gt;"",AE233,AS233)*IF(AF233&lt;&gt;"",AF233,AT233)/60,""))</f>
        <v/>
      </c>
      <c r="AJ233">
        <f>IF(AB233&lt;&gt;"OK","",IF(OR(VALUE(T233)=2,VALUE(U233)=2,VALUE(V233)=2),"社内残置",IF(AND(VALUE(T233)=0,VALUE(W233)=0,VALUE(Y233)=0),"自動化候補",IF(AND(VALUE(U233)=0,VALUE(W233)&lt;=1,VALUE(X233)&lt;=1,VALUE(Y233)&lt;=1,VALUE(Z233)&lt;=1),"オフショア候補",IF(AND(VALUE(Y233)&lt;=1,VALUE(Z233)&lt;=1),"ニアショア候補","社内で手順化→再評価")))))</f>
        <v/>
      </c>
      <c r="AK233">
        <f>IF(AB233&lt;&gt;"OK","",14-SUMPRODUCT(--T233:Z233))</f>
        <v/>
      </c>
      <c r="AL233" s="33">
        <f>IF(AB233&lt;&gt;"OK","",AS233*AT233/60)</f>
        <v/>
      </c>
      <c r="AM233" s="34">
        <f>IF(A233="","",UPPER(TRIM(ASC(A233&amp;""))))</f>
        <v/>
      </c>
      <c r="AN233" s="34">
        <f>IF(AM233="","",AM233&amp;"-"&amp;B233)</f>
        <v/>
      </c>
      <c r="AO233" s="34">
        <f>IF(C233="","",IFERROR(VALUE(ASC(SUBSTITUTE(C233&amp;"","観点",""))),""))</f>
        <v/>
      </c>
      <c r="AP233" s="34">
        <f>IF(D233="","",IFERROR(VALUE(LEFT(TRIM(ASC(D233&amp;"")),1)),IFERROR(MATCH(TRIM(D233&amp;""),'M2_区分マスタ'!$I$5:$I$10,0),"")))</f>
        <v/>
      </c>
      <c r="AQ233" s="34">
        <f>IF(H233="","",UPPER(LEFT(TRIM(ASC(H233&amp;"")),3)))</f>
        <v/>
      </c>
      <c r="AR233" s="34">
        <f>IF(N233="","",IFERROR(VALUE(SUBSTITUTE(SUBSTITUTE(SUBSTITUTE(SUBSTITUTE(SUBSTITUTE(SUBSTITUTE(SUBSTITUTE(SUBSTITUTE(SUBSTITUTE(SUBSTITUTE(SUBSTITUTE(SUBSTITUTE(ASC(N233&amp;""),"約",""),"程度",""),"ほど",""),"回",""),"毎",""),"週",""),"月",""),"年",""),"日",""),"に",""),"/","")," ","")),""))</f>
        <v/>
      </c>
      <c r="AS233" s="34">
        <f>IF(N233="","",IF(ISNUMBER(N233),N233,IFERROR(VALUE(ASC(N233&amp;"")),IF(AR233&lt;&gt;"",AR233*IF(ISNUMBER(SEARCH("週",N233)),4.3,IF(ISNUMBER(SEARCH("年",N233)),1/12,IF(ISNUMBER(SEARCH("日",N233)),20,1))),IF(ISNUMBER(SEARCH("日",N233)),20,IF(ISNUMBER(SEARCH("週",N233)),4.3,IF(ISNUMBER(SEARCH("月",N233)),1,"")))))))</f>
        <v/>
      </c>
      <c r="AT233" s="34">
        <f>IF(O233="","",IF(ISNUMBER(O233),O233,IFERROR(VALUE(ASC(O233&amp;"")),IF(ISNUMBER(SEARCH("時間",O233)),IFERROR(VALUE(SUBSTITUTE(SUBSTITUTE(SUBSTITUTE(SUBSTITUTE(SUBSTITUTE(ASC(O233&amp;""),"約",""),"程度",""),"ほど",""),"時間","")," ",""))*60,""),IFERROR(VALUE(SUBSTITUTE(SUBSTITUTE(SUBSTITUTE(SUBSTITUTE(SUBSTITUTE(ASC(O233&amp;""),"約",""),"程度",""),"ほど",""),"分","")," ","")),"")))))</f>
        <v/>
      </c>
      <c r="AU233" s="34">
        <f>IF(P233="","",IF(ISNUMBER(P233),P233,IFERROR(VALUE(SUBSTITUTE(SUBSTITUTE(SUBSTITUTE(ASC(P233&amp;""),"約",""),"件","")," ","")),"")))</f>
        <v/>
      </c>
      <c r="AV233" s="34">
        <f>IF(AB233&lt;&gt;"OK","",IF(COUNTIFS($G$5:$G$404,G233&amp;"",$F$5:$F$404,F233&amp;"",$BE$5:$BE$404,BE233&amp;"",$AB$5:$AB$404,"OK")&gt;1,"同名あり",""))</f>
        <v/>
      </c>
      <c r="AW233" s="35">
        <f>IF(Q233="","",IF(ISNUMBER(Q233),Q233,IFERROR(DATEVALUE(SUBSTITUTE(SUBSTITUTE(ASC(Q233&amp;""),"-","/"),".","/")&amp;"/01"),"")))</f>
        <v/>
      </c>
      <c r="AX233" s="35">
        <f>IF(R233="","",IF(ISNUMBER(R233),R233,IFERROR(DATEVALUE(SUBSTITUTE(SUBSTITUTE(ASC(R233&amp;""),"-","/"),".","/")&amp;"/01"),"")))</f>
        <v/>
      </c>
      <c r="AY233" s="34">
        <f>IF(OR(AB233&lt;&gt;"OK",AW233=""),"",IF(AW233&gt;='01_設定'!$C$26,1,0))</f>
        <v/>
      </c>
      <c r="AZ233" s="34">
        <f>IF(AND(AB233="OK",AD233&lt;&gt;"除外"),COUNTIFS($AB$5:AB233,"OK",$AD$5:AD233,"&lt;&gt;除外"),"")</f>
        <v/>
      </c>
      <c r="BA233" s="34">
        <f>IF(OR(AZ233="",AI233=""),"",AI233+ROW()/1000000000)</f>
        <v/>
      </c>
      <c r="BB233" s="34">
        <f>IF(E233="","",IF(OR(TRIM(E233&amp;"")="-",TRIM(E233&amp;"")="－",TRIM(E233&amp;"")="ー"),"",TRIM(E233&amp;"")))</f>
        <v/>
      </c>
      <c r="BC233" s="34">
        <f>IF(AND(AB233="OK",BB233&lt;&gt;""),IF(COUNTIFS($BB$5:BB233,BB233,$AB$5:AB233,"OK")=1,1,""),"")</f>
        <v/>
      </c>
      <c r="BD233" s="34">
        <f>IF(BC233=1,COUNTIF($BC$5:BC233,1),"")</f>
        <v/>
      </c>
      <c r="BE233" s="34">
        <f>IF(BB233="","",IFERROR(INDEX('06_顧客別集計'!$G$5:$G$104,MATCH(BB233,'06_顧客別集計'!$C$5:$C$104,0)),BB233))</f>
        <v/>
      </c>
      <c r="BF233" s="34">
        <f>IF(AND(AZ233&lt;&gt;"",BE233&lt;&gt;""),IF(COUNTIFS($BE$5:BE233,BE233,$AZ$5:AZ233,"&gt;0")=1,1,""),"")</f>
        <v/>
      </c>
      <c r="BG233" s="34">
        <f>IF(BF233=1,COUNTIF($BF$5:BF233,1),"")</f>
        <v/>
      </c>
    </row>
    <row r="234">
      <c r="AB234">
        <f>IF(AND(A234="",G234=""),"",IF(ISNUMBER(SEARCH("##END",AM234)),"（終わりの印）",IF(ISNUMBER(SEARCH("##続き",AM234)),"（続きありの印）",IF(AM234="調査ID","（見出し行）",IF(AND(AM234&lt;&gt;"R1",AM234&lt;&gt;"R2"),"×表以外の行（集計されない）",IF(COUNTIF($AN$5:AN234,AN234)&gt;1,"△重複（集計されない）",IF(G234="","△タスク名なし",IF(ISNA(MATCH(AQ234,'M1_類型マスタ'!$A$5:$A$19,0)),"△類型が不正",IF(OR(AP234="",N(AP234)&lt;1,N(AP234)&gt;6),"△業務区分が不正",IF(OR(AS234="",AT234=""),"△回数・分が読めない",IF(SUMPRODUCT(--ISNUMBER(--T234:Z234))&lt;7,"△採点が足りない",IF(SUMPRODUCT((--T234:Z234&gt;2)+(--T234:Z234&lt;0))&gt;0,"△採点が範囲外","OK"))))))))))))</f>
        <v/>
      </c>
      <c r="AC234">
        <f>IF(AB234&lt;&gt;"OK","",TRIM(IF(AND(AU234&lt;&gt;"",N(AU234)&lt;=1),"根拠1件 ","")&amp;IF(AV234&lt;&gt;"","同名あり ","")&amp;IF(AND(NOT(ISNUMBER(N234)),N234&lt;&gt;""),"回数を換算 ","")&amp;IF(J234="","詳細なし ","")&amp;IF(AND(N(AP234)=1,BB234=""),"顧客名なし ","")))</f>
        <v/>
      </c>
      <c r="AD234" s="31" t="n"/>
      <c r="AE234" s="32" t="n"/>
      <c r="AF234" s="32" t="n"/>
      <c r="AG234" s="31" t="n"/>
      <c r="AH234">
        <f>IF(AB234&lt;&gt;"OK","",IF(AG234&lt;&gt;"",AG234,AJ234))</f>
        <v/>
      </c>
      <c r="AI234" s="33">
        <f>IF(AB234&lt;&gt;"OK","",IFERROR(IF(AE234&lt;&gt;"",AE234,AS234)*IF(AF234&lt;&gt;"",AF234,AT234)/60,""))</f>
        <v/>
      </c>
      <c r="AJ234">
        <f>IF(AB234&lt;&gt;"OK","",IF(OR(VALUE(T234)=2,VALUE(U234)=2,VALUE(V234)=2),"社内残置",IF(AND(VALUE(T234)=0,VALUE(W234)=0,VALUE(Y234)=0),"自動化候補",IF(AND(VALUE(U234)=0,VALUE(W234)&lt;=1,VALUE(X234)&lt;=1,VALUE(Y234)&lt;=1,VALUE(Z234)&lt;=1),"オフショア候補",IF(AND(VALUE(Y234)&lt;=1,VALUE(Z234)&lt;=1),"ニアショア候補","社内で手順化→再評価")))))</f>
        <v/>
      </c>
      <c r="AK234">
        <f>IF(AB234&lt;&gt;"OK","",14-SUMPRODUCT(--T234:Z234))</f>
        <v/>
      </c>
      <c r="AL234" s="33">
        <f>IF(AB234&lt;&gt;"OK","",AS234*AT234/60)</f>
        <v/>
      </c>
      <c r="AM234" s="34">
        <f>IF(A234="","",UPPER(TRIM(ASC(A234&amp;""))))</f>
        <v/>
      </c>
      <c r="AN234" s="34">
        <f>IF(AM234="","",AM234&amp;"-"&amp;B234)</f>
        <v/>
      </c>
      <c r="AO234" s="34">
        <f>IF(C234="","",IFERROR(VALUE(ASC(SUBSTITUTE(C234&amp;"","観点",""))),""))</f>
        <v/>
      </c>
      <c r="AP234" s="34">
        <f>IF(D234="","",IFERROR(VALUE(LEFT(TRIM(ASC(D234&amp;"")),1)),IFERROR(MATCH(TRIM(D234&amp;""),'M2_区分マスタ'!$I$5:$I$10,0),"")))</f>
        <v/>
      </c>
      <c r="AQ234" s="34">
        <f>IF(H234="","",UPPER(LEFT(TRIM(ASC(H234&amp;"")),3)))</f>
        <v/>
      </c>
      <c r="AR234" s="34">
        <f>IF(N234="","",IFERROR(VALUE(SUBSTITUTE(SUBSTITUTE(SUBSTITUTE(SUBSTITUTE(SUBSTITUTE(SUBSTITUTE(SUBSTITUTE(SUBSTITUTE(SUBSTITUTE(SUBSTITUTE(SUBSTITUTE(SUBSTITUTE(ASC(N234&amp;""),"約",""),"程度",""),"ほど",""),"回",""),"毎",""),"週",""),"月",""),"年",""),"日",""),"に",""),"/","")," ","")),""))</f>
        <v/>
      </c>
      <c r="AS234" s="34">
        <f>IF(N234="","",IF(ISNUMBER(N234),N234,IFERROR(VALUE(ASC(N234&amp;"")),IF(AR234&lt;&gt;"",AR234*IF(ISNUMBER(SEARCH("週",N234)),4.3,IF(ISNUMBER(SEARCH("年",N234)),1/12,IF(ISNUMBER(SEARCH("日",N234)),20,1))),IF(ISNUMBER(SEARCH("日",N234)),20,IF(ISNUMBER(SEARCH("週",N234)),4.3,IF(ISNUMBER(SEARCH("月",N234)),1,"")))))))</f>
        <v/>
      </c>
      <c r="AT234" s="34">
        <f>IF(O234="","",IF(ISNUMBER(O234),O234,IFERROR(VALUE(ASC(O234&amp;"")),IF(ISNUMBER(SEARCH("時間",O234)),IFERROR(VALUE(SUBSTITUTE(SUBSTITUTE(SUBSTITUTE(SUBSTITUTE(SUBSTITUTE(ASC(O234&amp;""),"約",""),"程度",""),"ほど",""),"時間","")," ",""))*60,""),IFERROR(VALUE(SUBSTITUTE(SUBSTITUTE(SUBSTITUTE(SUBSTITUTE(SUBSTITUTE(ASC(O234&amp;""),"約",""),"程度",""),"ほど",""),"分","")," ","")),"")))))</f>
        <v/>
      </c>
      <c r="AU234" s="34">
        <f>IF(P234="","",IF(ISNUMBER(P234),P234,IFERROR(VALUE(SUBSTITUTE(SUBSTITUTE(SUBSTITUTE(ASC(P234&amp;""),"約",""),"件","")," ","")),"")))</f>
        <v/>
      </c>
      <c r="AV234" s="34">
        <f>IF(AB234&lt;&gt;"OK","",IF(COUNTIFS($G$5:$G$404,G234&amp;"",$F$5:$F$404,F234&amp;"",$BE$5:$BE$404,BE234&amp;"",$AB$5:$AB$404,"OK")&gt;1,"同名あり",""))</f>
        <v/>
      </c>
      <c r="AW234" s="35">
        <f>IF(Q234="","",IF(ISNUMBER(Q234),Q234,IFERROR(DATEVALUE(SUBSTITUTE(SUBSTITUTE(ASC(Q234&amp;""),"-","/"),".","/")&amp;"/01"),"")))</f>
        <v/>
      </c>
      <c r="AX234" s="35">
        <f>IF(R234="","",IF(ISNUMBER(R234),R234,IFERROR(DATEVALUE(SUBSTITUTE(SUBSTITUTE(ASC(R234&amp;""),"-","/"),".","/")&amp;"/01"),"")))</f>
        <v/>
      </c>
      <c r="AY234" s="34">
        <f>IF(OR(AB234&lt;&gt;"OK",AW234=""),"",IF(AW234&gt;='01_設定'!$C$26,1,0))</f>
        <v/>
      </c>
      <c r="AZ234" s="34">
        <f>IF(AND(AB234="OK",AD234&lt;&gt;"除外"),COUNTIFS($AB$5:AB234,"OK",$AD$5:AD234,"&lt;&gt;除外"),"")</f>
        <v/>
      </c>
      <c r="BA234" s="34">
        <f>IF(OR(AZ234="",AI234=""),"",AI234+ROW()/1000000000)</f>
        <v/>
      </c>
      <c r="BB234" s="34">
        <f>IF(E234="","",IF(OR(TRIM(E234&amp;"")="-",TRIM(E234&amp;"")="－",TRIM(E234&amp;"")="ー"),"",TRIM(E234&amp;"")))</f>
        <v/>
      </c>
      <c r="BC234" s="34">
        <f>IF(AND(AB234="OK",BB234&lt;&gt;""),IF(COUNTIFS($BB$5:BB234,BB234,$AB$5:AB234,"OK")=1,1,""),"")</f>
        <v/>
      </c>
      <c r="BD234" s="34">
        <f>IF(BC234=1,COUNTIF($BC$5:BC234,1),"")</f>
        <v/>
      </c>
      <c r="BE234" s="34">
        <f>IF(BB234="","",IFERROR(INDEX('06_顧客別集計'!$G$5:$G$104,MATCH(BB234,'06_顧客別集計'!$C$5:$C$104,0)),BB234))</f>
        <v/>
      </c>
      <c r="BF234" s="34">
        <f>IF(AND(AZ234&lt;&gt;"",BE234&lt;&gt;""),IF(COUNTIFS($BE$5:BE234,BE234,$AZ$5:AZ234,"&gt;0")=1,1,""),"")</f>
        <v/>
      </c>
      <c r="BG234" s="34">
        <f>IF(BF234=1,COUNTIF($BF$5:BF234,1),"")</f>
        <v/>
      </c>
    </row>
    <row r="235">
      <c r="AB235">
        <f>IF(AND(A235="",G235=""),"",IF(ISNUMBER(SEARCH("##END",AM235)),"（終わりの印）",IF(ISNUMBER(SEARCH("##続き",AM235)),"（続きありの印）",IF(AM235="調査ID","（見出し行）",IF(AND(AM235&lt;&gt;"R1",AM235&lt;&gt;"R2"),"×表以外の行（集計されない）",IF(COUNTIF($AN$5:AN235,AN235)&gt;1,"△重複（集計されない）",IF(G235="","△タスク名なし",IF(ISNA(MATCH(AQ235,'M1_類型マスタ'!$A$5:$A$19,0)),"△類型が不正",IF(OR(AP235="",N(AP235)&lt;1,N(AP235)&gt;6),"△業務区分が不正",IF(OR(AS235="",AT235=""),"△回数・分が読めない",IF(SUMPRODUCT(--ISNUMBER(--T235:Z235))&lt;7,"△採点が足りない",IF(SUMPRODUCT((--T235:Z235&gt;2)+(--T235:Z235&lt;0))&gt;0,"△採点が範囲外","OK"))))))))))))</f>
        <v/>
      </c>
      <c r="AC235">
        <f>IF(AB235&lt;&gt;"OK","",TRIM(IF(AND(AU235&lt;&gt;"",N(AU235)&lt;=1),"根拠1件 ","")&amp;IF(AV235&lt;&gt;"","同名あり ","")&amp;IF(AND(NOT(ISNUMBER(N235)),N235&lt;&gt;""),"回数を換算 ","")&amp;IF(J235="","詳細なし ","")&amp;IF(AND(N(AP235)=1,BB235=""),"顧客名なし ","")))</f>
        <v/>
      </c>
      <c r="AD235" s="31" t="n"/>
      <c r="AE235" s="32" t="n"/>
      <c r="AF235" s="32" t="n"/>
      <c r="AG235" s="31" t="n"/>
      <c r="AH235">
        <f>IF(AB235&lt;&gt;"OK","",IF(AG235&lt;&gt;"",AG235,AJ235))</f>
        <v/>
      </c>
      <c r="AI235" s="33">
        <f>IF(AB235&lt;&gt;"OK","",IFERROR(IF(AE235&lt;&gt;"",AE235,AS235)*IF(AF235&lt;&gt;"",AF235,AT235)/60,""))</f>
        <v/>
      </c>
      <c r="AJ235">
        <f>IF(AB235&lt;&gt;"OK","",IF(OR(VALUE(T235)=2,VALUE(U235)=2,VALUE(V235)=2),"社内残置",IF(AND(VALUE(T235)=0,VALUE(W235)=0,VALUE(Y235)=0),"自動化候補",IF(AND(VALUE(U235)=0,VALUE(W235)&lt;=1,VALUE(X235)&lt;=1,VALUE(Y235)&lt;=1,VALUE(Z235)&lt;=1),"オフショア候補",IF(AND(VALUE(Y235)&lt;=1,VALUE(Z235)&lt;=1),"ニアショア候補","社内で手順化→再評価")))))</f>
        <v/>
      </c>
      <c r="AK235">
        <f>IF(AB235&lt;&gt;"OK","",14-SUMPRODUCT(--T235:Z235))</f>
        <v/>
      </c>
      <c r="AL235" s="33">
        <f>IF(AB235&lt;&gt;"OK","",AS235*AT235/60)</f>
        <v/>
      </c>
      <c r="AM235" s="34">
        <f>IF(A235="","",UPPER(TRIM(ASC(A235&amp;""))))</f>
        <v/>
      </c>
      <c r="AN235" s="34">
        <f>IF(AM235="","",AM235&amp;"-"&amp;B235)</f>
        <v/>
      </c>
      <c r="AO235" s="34">
        <f>IF(C235="","",IFERROR(VALUE(ASC(SUBSTITUTE(C235&amp;"","観点",""))),""))</f>
        <v/>
      </c>
      <c r="AP235" s="34">
        <f>IF(D235="","",IFERROR(VALUE(LEFT(TRIM(ASC(D235&amp;"")),1)),IFERROR(MATCH(TRIM(D235&amp;""),'M2_区分マスタ'!$I$5:$I$10,0),"")))</f>
        <v/>
      </c>
      <c r="AQ235" s="34">
        <f>IF(H235="","",UPPER(LEFT(TRIM(ASC(H235&amp;"")),3)))</f>
        <v/>
      </c>
      <c r="AR235" s="34">
        <f>IF(N235="","",IFERROR(VALUE(SUBSTITUTE(SUBSTITUTE(SUBSTITUTE(SUBSTITUTE(SUBSTITUTE(SUBSTITUTE(SUBSTITUTE(SUBSTITUTE(SUBSTITUTE(SUBSTITUTE(SUBSTITUTE(SUBSTITUTE(ASC(N235&amp;""),"約",""),"程度",""),"ほど",""),"回",""),"毎",""),"週",""),"月",""),"年",""),"日",""),"に",""),"/","")," ","")),""))</f>
        <v/>
      </c>
      <c r="AS235" s="34">
        <f>IF(N235="","",IF(ISNUMBER(N235),N235,IFERROR(VALUE(ASC(N235&amp;"")),IF(AR235&lt;&gt;"",AR235*IF(ISNUMBER(SEARCH("週",N235)),4.3,IF(ISNUMBER(SEARCH("年",N235)),1/12,IF(ISNUMBER(SEARCH("日",N235)),20,1))),IF(ISNUMBER(SEARCH("日",N235)),20,IF(ISNUMBER(SEARCH("週",N235)),4.3,IF(ISNUMBER(SEARCH("月",N235)),1,"")))))))</f>
        <v/>
      </c>
      <c r="AT235" s="34">
        <f>IF(O235="","",IF(ISNUMBER(O235),O235,IFERROR(VALUE(ASC(O235&amp;"")),IF(ISNUMBER(SEARCH("時間",O235)),IFERROR(VALUE(SUBSTITUTE(SUBSTITUTE(SUBSTITUTE(SUBSTITUTE(SUBSTITUTE(ASC(O235&amp;""),"約",""),"程度",""),"ほど",""),"時間","")," ",""))*60,""),IFERROR(VALUE(SUBSTITUTE(SUBSTITUTE(SUBSTITUTE(SUBSTITUTE(SUBSTITUTE(ASC(O235&amp;""),"約",""),"程度",""),"ほど",""),"分","")," ","")),"")))))</f>
        <v/>
      </c>
      <c r="AU235" s="34">
        <f>IF(P235="","",IF(ISNUMBER(P235),P235,IFERROR(VALUE(SUBSTITUTE(SUBSTITUTE(SUBSTITUTE(ASC(P235&amp;""),"約",""),"件","")," ","")),"")))</f>
        <v/>
      </c>
      <c r="AV235" s="34">
        <f>IF(AB235&lt;&gt;"OK","",IF(COUNTIFS($G$5:$G$404,G235&amp;"",$F$5:$F$404,F235&amp;"",$BE$5:$BE$404,BE235&amp;"",$AB$5:$AB$404,"OK")&gt;1,"同名あり",""))</f>
        <v/>
      </c>
      <c r="AW235" s="35">
        <f>IF(Q235="","",IF(ISNUMBER(Q235),Q235,IFERROR(DATEVALUE(SUBSTITUTE(SUBSTITUTE(ASC(Q235&amp;""),"-","/"),".","/")&amp;"/01"),"")))</f>
        <v/>
      </c>
      <c r="AX235" s="35">
        <f>IF(R235="","",IF(ISNUMBER(R235),R235,IFERROR(DATEVALUE(SUBSTITUTE(SUBSTITUTE(ASC(R235&amp;""),"-","/"),".","/")&amp;"/01"),"")))</f>
        <v/>
      </c>
      <c r="AY235" s="34">
        <f>IF(OR(AB235&lt;&gt;"OK",AW235=""),"",IF(AW235&gt;='01_設定'!$C$26,1,0))</f>
        <v/>
      </c>
      <c r="AZ235" s="34">
        <f>IF(AND(AB235="OK",AD235&lt;&gt;"除外"),COUNTIFS($AB$5:AB235,"OK",$AD$5:AD235,"&lt;&gt;除外"),"")</f>
        <v/>
      </c>
      <c r="BA235" s="34">
        <f>IF(OR(AZ235="",AI235=""),"",AI235+ROW()/1000000000)</f>
        <v/>
      </c>
      <c r="BB235" s="34">
        <f>IF(E235="","",IF(OR(TRIM(E235&amp;"")="-",TRIM(E235&amp;"")="－",TRIM(E235&amp;"")="ー"),"",TRIM(E235&amp;"")))</f>
        <v/>
      </c>
      <c r="BC235" s="34">
        <f>IF(AND(AB235="OK",BB235&lt;&gt;""),IF(COUNTIFS($BB$5:BB235,BB235,$AB$5:AB235,"OK")=1,1,""),"")</f>
        <v/>
      </c>
      <c r="BD235" s="34">
        <f>IF(BC235=1,COUNTIF($BC$5:BC235,1),"")</f>
        <v/>
      </c>
      <c r="BE235" s="34">
        <f>IF(BB235="","",IFERROR(INDEX('06_顧客別集計'!$G$5:$G$104,MATCH(BB235,'06_顧客別集計'!$C$5:$C$104,0)),BB235))</f>
        <v/>
      </c>
      <c r="BF235" s="34">
        <f>IF(AND(AZ235&lt;&gt;"",BE235&lt;&gt;""),IF(COUNTIFS($BE$5:BE235,BE235,$AZ$5:AZ235,"&gt;0")=1,1,""),"")</f>
        <v/>
      </c>
      <c r="BG235" s="34">
        <f>IF(BF235=1,COUNTIF($BF$5:BF235,1),"")</f>
        <v/>
      </c>
    </row>
    <row r="236">
      <c r="AB236">
        <f>IF(AND(A236="",G236=""),"",IF(ISNUMBER(SEARCH("##END",AM236)),"（終わりの印）",IF(ISNUMBER(SEARCH("##続き",AM236)),"（続きありの印）",IF(AM236="調査ID","（見出し行）",IF(AND(AM236&lt;&gt;"R1",AM236&lt;&gt;"R2"),"×表以外の行（集計されない）",IF(COUNTIF($AN$5:AN236,AN236)&gt;1,"△重複（集計されない）",IF(G236="","△タスク名なし",IF(ISNA(MATCH(AQ236,'M1_類型マスタ'!$A$5:$A$19,0)),"△類型が不正",IF(OR(AP236="",N(AP236)&lt;1,N(AP236)&gt;6),"△業務区分が不正",IF(OR(AS236="",AT236=""),"△回数・分が読めない",IF(SUMPRODUCT(--ISNUMBER(--T236:Z236))&lt;7,"△採点が足りない",IF(SUMPRODUCT((--T236:Z236&gt;2)+(--T236:Z236&lt;0))&gt;0,"△採点が範囲外","OK"))))))))))))</f>
        <v/>
      </c>
      <c r="AC236">
        <f>IF(AB236&lt;&gt;"OK","",TRIM(IF(AND(AU236&lt;&gt;"",N(AU236)&lt;=1),"根拠1件 ","")&amp;IF(AV236&lt;&gt;"","同名あり ","")&amp;IF(AND(NOT(ISNUMBER(N236)),N236&lt;&gt;""),"回数を換算 ","")&amp;IF(J236="","詳細なし ","")&amp;IF(AND(N(AP236)=1,BB236=""),"顧客名なし ","")))</f>
        <v/>
      </c>
      <c r="AD236" s="31" t="n"/>
      <c r="AE236" s="32" t="n"/>
      <c r="AF236" s="32" t="n"/>
      <c r="AG236" s="31" t="n"/>
      <c r="AH236">
        <f>IF(AB236&lt;&gt;"OK","",IF(AG236&lt;&gt;"",AG236,AJ236))</f>
        <v/>
      </c>
      <c r="AI236" s="33">
        <f>IF(AB236&lt;&gt;"OK","",IFERROR(IF(AE236&lt;&gt;"",AE236,AS236)*IF(AF236&lt;&gt;"",AF236,AT236)/60,""))</f>
        <v/>
      </c>
      <c r="AJ236">
        <f>IF(AB236&lt;&gt;"OK","",IF(OR(VALUE(T236)=2,VALUE(U236)=2,VALUE(V236)=2),"社内残置",IF(AND(VALUE(T236)=0,VALUE(W236)=0,VALUE(Y236)=0),"自動化候補",IF(AND(VALUE(U236)=0,VALUE(W236)&lt;=1,VALUE(X236)&lt;=1,VALUE(Y236)&lt;=1,VALUE(Z236)&lt;=1),"オフショア候補",IF(AND(VALUE(Y236)&lt;=1,VALUE(Z236)&lt;=1),"ニアショア候補","社内で手順化→再評価")))))</f>
        <v/>
      </c>
      <c r="AK236">
        <f>IF(AB236&lt;&gt;"OK","",14-SUMPRODUCT(--T236:Z236))</f>
        <v/>
      </c>
      <c r="AL236" s="33">
        <f>IF(AB236&lt;&gt;"OK","",AS236*AT236/60)</f>
        <v/>
      </c>
      <c r="AM236" s="34">
        <f>IF(A236="","",UPPER(TRIM(ASC(A236&amp;""))))</f>
        <v/>
      </c>
      <c r="AN236" s="34">
        <f>IF(AM236="","",AM236&amp;"-"&amp;B236)</f>
        <v/>
      </c>
      <c r="AO236" s="34">
        <f>IF(C236="","",IFERROR(VALUE(ASC(SUBSTITUTE(C236&amp;"","観点",""))),""))</f>
        <v/>
      </c>
      <c r="AP236" s="34">
        <f>IF(D236="","",IFERROR(VALUE(LEFT(TRIM(ASC(D236&amp;"")),1)),IFERROR(MATCH(TRIM(D236&amp;""),'M2_区分マスタ'!$I$5:$I$10,0),"")))</f>
        <v/>
      </c>
      <c r="AQ236" s="34">
        <f>IF(H236="","",UPPER(LEFT(TRIM(ASC(H236&amp;"")),3)))</f>
        <v/>
      </c>
      <c r="AR236" s="34">
        <f>IF(N236="","",IFERROR(VALUE(SUBSTITUTE(SUBSTITUTE(SUBSTITUTE(SUBSTITUTE(SUBSTITUTE(SUBSTITUTE(SUBSTITUTE(SUBSTITUTE(SUBSTITUTE(SUBSTITUTE(SUBSTITUTE(SUBSTITUTE(ASC(N236&amp;""),"約",""),"程度",""),"ほど",""),"回",""),"毎",""),"週",""),"月",""),"年",""),"日",""),"に",""),"/","")," ","")),""))</f>
        <v/>
      </c>
      <c r="AS236" s="34">
        <f>IF(N236="","",IF(ISNUMBER(N236),N236,IFERROR(VALUE(ASC(N236&amp;"")),IF(AR236&lt;&gt;"",AR236*IF(ISNUMBER(SEARCH("週",N236)),4.3,IF(ISNUMBER(SEARCH("年",N236)),1/12,IF(ISNUMBER(SEARCH("日",N236)),20,1))),IF(ISNUMBER(SEARCH("日",N236)),20,IF(ISNUMBER(SEARCH("週",N236)),4.3,IF(ISNUMBER(SEARCH("月",N236)),1,"")))))))</f>
        <v/>
      </c>
      <c r="AT236" s="34">
        <f>IF(O236="","",IF(ISNUMBER(O236),O236,IFERROR(VALUE(ASC(O236&amp;"")),IF(ISNUMBER(SEARCH("時間",O236)),IFERROR(VALUE(SUBSTITUTE(SUBSTITUTE(SUBSTITUTE(SUBSTITUTE(SUBSTITUTE(ASC(O236&amp;""),"約",""),"程度",""),"ほど",""),"時間","")," ",""))*60,""),IFERROR(VALUE(SUBSTITUTE(SUBSTITUTE(SUBSTITUTE(SUBSTITUTE(SUBSTITUTE(ASC(O236&amp;""),"約",""),"程度",""),"ほど",""),"分","")," ","")),"")))))</f>
        <v/>
      </c>
      <c r="AU236" s="34">
        <f>IF(P236="","",IF(ISNUMBER(P236),P236,IFERROR(VALUE(SUBSTITUTE(SUBSTITUTE(SUBSTITUTE(ASC(P236&amp;""),"約",""),"件","")," ","")),"")))</f>
        <v/>
      </c>
      <c r="AV236" s="34">
        <f>IF(AB236&lt;&gt;"OK","",IF(COUNTIFS($G$5:$G$404,G236&amp;"",$F$5:$F$404,F236&amp;"",$BE$5:$BE$404,BE236&amp;"",$AB$5:$AB$404,"OK")&gt;1,"同名あり",""))</f>
        <v/>
      </c>
      <c r="AW236" s="35">
        <f>IF(Q236="","",IF(ISNUMBER(Q236),Q236,IFERROR(DATEVALUE(SUBSTITUTE(SUBSTITUTE(ASC(Q236&amp;""),"-","/"),".","/")&amp;"/01"),"")))</f>
        <v/>
      </c>
      <c r="AX236" s="35">
        <f>IF(R236="","",IF(ISNUMBER(R236),R236,IFERROR(DATEVALUE(SUBSTITUTE(SUBSTITUTE(ASC(R236&amp;""),"-","/"),".","/")&amp;"/01"),"")))</f>
        <v/>
      </c>
      <c r="AY236" s="34">
        <f>IF(OR(AB236&lt;&gt;"OK",AW236=""),"",IF(AW236&gt;='01_設定'!$C$26,1,0))</f>
        <v/>
      </c>
      <c r="AZ236" s="34">
        <f>IF(AND(AB236="OK",AD236&lt;&gt;"除外"),COUNTIFS($AB$5:AB236,"OK",$AD$5:AD236,"&lt;&gt;除外"),"")</f>
        <v/>
      </c>
      <c r="BA236" s="34">
        <f>IF(OR(AZ236="",AI236=""),"",AI236+ROW()/1000000000)</f>
        <v/>
      </c>
      <c r="BB236" s="34">
        <f>IF(E236="","",IF(OR(TRIM(E236&amp;"")="-",TRIM(E236&amp;"")="－",TRIM(E236&amp;"")="ー"),"",TRIM(E236&amp;"")))</f>
        <v/>
      </c>
      <c r="BC236" s="34">
        <f>IF(AND(AB236="OK",BB236&lt;&gt;""),IF(COUNTIFS($BB$5:BB236,BB236,$AB$5:AB236,"OK")=1,1,""),"")</f>
        <v/>
      </c>
      <c r="BD236" s="34">
        <f>IF(BC236=1,COUNTIF($BC$5:BC236,1),"")</f>
        <v/>
      </c>
      <c r="BE236" s="34">
        <f>IF(BB236="","",IFERROR(INDEX('06_顧客別集計'!$G$5:$G$104,MATCH(BB236,'06_顧客別集計'!$C$5:$C$104,0)),BB236))</f>
        <v/>
      </c>
      <c r="BF236" s="34">
        <f>IF(AND(AZ236&lt;&gt;"",BE236&lt;&gt;""),IF(COUNTIFS($BE$5:BE236,BE236,$AZ$5:AZ236,"&gt;0")=1,1,""),"")</f>
        <v/>
      </c>
      <c r="BG236" s="34">
        <f>IF(BF236=1,COUNTIF($BF$5:BF236,1),"")</f>
        <v/>
      </c>
    </row>
    <row r="237">
      <c r="AB237">
        <f>IF(AND(A237="",G237=""),"",IF(ISNUMBER(SEARCH("##END",AM237)),"（終わりの印）",IF(ISNUMBER(SEARCH("##続き",AM237)),"（続きありの印）",IF(AM237="調査ID","（見出し行）",IF(AND(AM237&lt;&gt;"R1",AM237&lt;&gt;"R2"),"×表以外の行（集計されない）",IF(COUNTIF($AN$5:AN237,AN237)&gt;1,"△重複（集計されない）",IF(G237="","△タスク名なし",IF(ISNA(MATCH(AQ237,'M1_類型マスタ'!$A$5:$A$19,0)),"△類型が不正",IF(OR(AP237="",N(AP237)&lt;1,N(AP237)&gt;6),"△業務区分が不正",IF(OR(AS237="",AT237=""),"△回数・分が読めない",IF(SUMPRODUCT(--ISNUMBER(--T237:Z237))&lt;7,"△採点が足りない",IF(SUMPRODUCT((--T237:Z237&gt;2)+(--T237:Z237&lt;0))&gt;0,"△採点が範囲外","OK"))))))))))))</f>
        <v/>
      </c>
      <c r="AC237">
        <f>IF(AB237&lt;&gt;"OK","",TRIM(IF(AND(AU237&lt;&gt;"",N(AU237)&lt;=1),"根拠1件 ","")&amp;IF(AV237&lt;&gt;"","同名あり ","")&amp;IF(AND(NOT(ISNUMBER(N237)),N237&lt;&gt;""),"回数を換算 ","")&amp;IF(J237="","詳細なし ","")&amp;IF(AND(N(AP237)=1,BB237=""),"顧客名なし ","")))</f>
        <v/>
      </c>
      <c r="AD237" s="31" t="n"/>
      <c r="AE237" s="32" t="n"/>
      <c r="AF237" s="32" t="n"/>
      <c r="AG237" s="31" t="n"/>
      <c r="AH237">
        <f>IF(AB237&lt;&gt;"OK","",IF(AG237&lt;&gt;"",AG237,AJ237))</f>
        <v/>
      </c>
      <c r="AI237" s="33">
        <f>IF(AB237&lt;&gt;"OK","",IFERROR(IF(AE237&lt;&gt;"",AE237,AS237)*IF(AF237&lt;&gt;"",AF237,AT237)/60,""))</f>
        <v/>
      </c>
      <c r="AJ237">
        <f>IF(AB237&lt;&gt;"OK","",IF(OR(VALUE(T237)=2,VALUE(U237)=2,VALUE(V237)=2),"社内残置",IF(AND(VALUE(T237)=0,VALUE(W237)=0,VALUE(Y237)=0),"自動化候補",IF(AND(VALUE(U237)=0,VALUE(W237)&lt;=1,VALUE(X237)&lt;=1,VALUE(Y237)&lt;=1,VALUE(Z237)&lt;=1),"オフショア候補",IF(AND(VALUE(Y237)&lt;=1,VALUE(Z237)&lt;=1),"ニアショア候補","社内で手順化→再評価")))))</f>
        <v/>
      </c>
      <c r="AK237">
        <f>IF(AB237&lt;&gt;"OK","",14-SUMPRODUCT(--T237:Z237))</f>
        <v/>
      </c>
      <c r="AL237" s="33">
        <f>IF(AB237&lt;&gt;"OK","",AS237*AT237/60)</f>
        <v/>
      </c>
      <c r="AM237" s="34">
        <f>IF(A237="","",UPPER(TRIM(ASC(A237&amp;""))))</f>
        <v/>
      </c>
      <c r="AN237" s="34">
        <f>IF(AM237="","",AM237&amp;"-"&amp;B237)</f>
        <v/>
      </c>
      <c r="AO237" s="34">
        <f>IF(C237="","",IFERROR(VALUE(ASC(SUBSTITUTE(C237&amp;"","観点",""))),""))</f>
        <v/>
      </c>
      <c r="AP237" s="34">
        <f>IF(D237="","",IFERROR(VALUE(LEFT(TRIM(ASC(D237&amp;"")),1)),IFERROR(MATCH(TRIM(D237&amp;""),'M2_区分マスタ'!$I$5:$I$10,0),"")))</f>
        <v/>
      </c>
      <c r="AQ237" s="34">
        <f>IF(H237="","",UPPER(LEFT(TRIM(ASC(H237&amp;"")),3)))</f>
        <v/>
      </c>
      <c r="AR237" s="34">
        <f>IF(N237="","",IFERROR(VALUE(SUBSTITUTE(SUBSTITUTE(SUBSTITUTE(SUBSTITUTE(SUBSTITUTE(SUBSTITUTE(SUBSTITUTE(SUBSTITUTE(SUBSTITUTE(SUBSTITUTE(SUBSTITUTE(SUBSTITUTE(ASC(N237&amp;""),"約",""),"程度",""),"ほど",""),"回",""),"毎",""),"週",""),"月",""),"年",""),"日",""),"に",""),"/","")," ","")),""))</f>
        <v/>
      </c>
      <c r="AS237" s="34">
        <f>IF(N237="","",IF(ISNUMBER(N237),N237,IFERROR(VALUE(ASC(N237&amp;"")),IF(AR237&lt;&gt;"",AR237*IF(ISNUMBER(SEARCH("週",N237)),4.3,IF(ISNUMBER(SEARCH("年",N237)),1/12,IF(ISNUMBER(SEARCH("日",N237)),20,1))),IF(ISNUMBER(SEARCH("日",N237)),20,IF(ISNUMBER(SEARCH("週",N237)),4.3,IF(ISNUMBER(SEARCH("月",N237)),1,"")))))))</f>
        <v/>
      </c>
      <c r="AT237" s="34">
        <f>IF(O237="","",IF(ISNUMBER(O237),O237,IFERROR(VALUE(ASC(O237&amp;"")),IF(ISNUMBER(SEARCH("時間",O237)),IFERROR(VALUE(SUBSTITUTE(SUBSTITUTE(SUBSTITUTE(SUBSTITUTE(SUBSTITUTE(ASC(O237&amp;""),"約",""),"程度",""),"ほど",""),"時間","")," ",""))*60,""),IFERROR(VALUE(SUBSTITUTE(SUBSTITUTE(SUBSTITUTE(SUBSTITUTE(SUBSTITUTE(ASC(O237&amp;""),"約",""),"程度",""),"ほど",""),"分","")," ","")),"")))))</f>
        <v/>
      </c>
      <c r="AU237" s="34">
        <f>IF(P237="","",IF(ISNUMBER(P237),P237,IFERROR(VALUE(SUBSTITUTE(SUBSTITUTE(SUBSTITUTE(ASC(P237&amp;""),"約",""),"件","")," ","")),"")))</f>
        <v/>
      </c>
      <c r="AV237" s="34">
        <f>IF(AB237&lt;&gt;"OK","",IF(COUNTIFS($G$5:$G$404,G237&amp;"",$F$5:$F$404,F237&amp;"",$BE$5:$BE$404,BE237&amp;"",$AB$5:$AB$404,"OK")&gt;1,"同名あり",""))</f>
        <v/>
      </c>
      <c r="AW237" s="35">
        <f>IF(Q237="","",IF(ISNUMBER(Q237),Q237,IFERROR(DATEVALUE(SUBSTITUTE(SUBSTITUTE(ASC(Q237&amp;""),"-","/"),".","/")&amp;"/01"),"")))</f>
        <v/>
      </c>
      <c r="AX237" s="35">
        <f>IF(R237="","",IF(ISNUMBER(R237),R237,IFERROR(DATEVALUE(SUBSTITUTE(SUBSTITUTE(ASC(R237&amp;""),"-","/"),".","/")&amp;"/01"),"")))</f>
        <v/>
      </c>
      <c r="AY237" s="34">
        <f>IF(OR(AB237&lt;&gt;"OK",AW237=""),"",IF(AW237&gt;='01_設定'!$C$26,1,0))</f>
        <v/>
      </c>
      <c r="AZ237" s="34">
        <f>IF(AND(AB237="OK",AD237&lt;&gt;"除外"),COUNTIFS($AB$5:AB237,"OK",$AD$5:AD237,"&lt;&gt;除外"),"")</f>
        <v/>
      </c>
      <c r="BA237" s="34">
        <f>IF(OR(AZ237="",AI237=""),"",AI237+ROW()/1000000000)</f>
        <v/>
      </c>
      <c r="BB237" s="34">
        <f>IF(E237="","",IF(OR(TRIM(E237&amp;"")="-",TRIM(E237&amp;"")="－",TRIM(E237&amp;"")="ー"),"",TRIM(E237&amp;"")))</f>
        <v/>
      </c>
      <c r="BC237" s="34">
        <f>IF(AND(AB237="OK",BB237&lt;&gt;""),IF(COUNTIFS($BB$5:BB237,BB237,$AB$5:AB237,"OK")=1,1,""),"")</f>
        <v/>
      </c>
      <c r="BD237" s="34">
        <f>IF(BC237=1,COUNTIF($BC$5:BC237,1),"")</f>
        <v/>
      </c>
      <c r="BE237" s="34">
        <f>IF(BB237="","",IFERROR(INDEX('06_顧客別集計'!$G$5:$G$104,MATCH(BB237,'06_顧客別集計'!$C$5:$C$104,0)),BB237))</f>
        <v/>
      </c>
      <c r="BF237" s="34">
        <f>IF(AND(AZ237&lt;&gt;"",BE237&lt;&gt;""),IF(COUNTIFS($BE$5:BE237,BE237,$AZ$5:AZ237,"&gt;0")=1,1,""),"")</f>
        <v/>
      </c>
      <c r="BG237" s="34">
        <f>IF(BF237=1,COUNTIF($BF$5:BF237,1),"")</f>
        <v/>
      </c>
    </row>
    <row r="238">
      <c r="AB238">
        <f>IF(AND(A238="",G238=""),"",IF(ISNUMBER(SEARCH("##END",AM238)),"（終わりの印）",IF(ISNUMBER(SEARCH("##続き",AM238)),"（続きありの印）",IF(AM238="調査ID","（見出し行）",IF(AND(AM238&lt;&gt;"R1",AM238&lt;&gt;"R2"),"×表以外の行（集計されない）",IF(COUNTIF($AN$5:AN238,AN238)&gt;1,"△重複（集計されない）",IF(G238="","△タスク名なし",IF(ISNA(MATCH(AQ238,'M1_類型マスタ'!$A$5:$A$19,0)),"△類型が不正",IF(OR(AP238="",N(AP238)&lt;1,N(AP238)&gt;6),"△業務区分が不正",IF(OR(AS238="",AT238=""),"△回数・分が読めない",IF(SUMPRODUCT(--ISNUMBER(--T238:Z238))&lt;7,"△採点が足りない",IF(SUMPRODUCT((--T238:Z238&gt;2)+(--T238:Z238&lt;0))&gt;0,"△採点が範囲外","OK"))))))))))))</f>
        <v/>
      </c>
      <c r="AC238">
        <f>IF(AB238&lt;&gt;"OK","",TRIM(IF(AND(AU238&lt;&gt;"",N(AU238)&lt;=1),"根拠1件 ","")&amp;IF(AV238&lt;&gt;"","同名あり ","")&amp;IF(AND(NOT(ISNUMBER(N238)),N238&lt;&gt;""),"回数を換算 ","")&amp;IF(J238="","詳細なし ","")&amp;IF(AND(N(AP238)=1,BB238=""),"顧客名なし ","")))</f>
        <v/>
      </c>
      <c r="AD238" s="31" t="n"/>
      <c r="AE238" s="32" t="n"/>
      <c r="AF238" s="32" t="n"/>
      <c r="AG238" s="31" t="n"/>
      <c r="AH238">
        <f>IF(AB238&lt;&gt;"OK","",IF(AG238&lt;&gt;"",AG238,AJ238))</f>
        <v/>
      </c>
      <c r="AI238" s="33">
        <f>IF(AB238&lt;&gt;"OK","",IFERROR(IF(AE238&lt;&gt;"",AE238,AS238)*IF(AF238&lt;&gt;"",AF238,AT238)/60,""))</f>
        <v/>
      </c>
      <c r="AJ238">
        <f>IF(AB238&lt;&gt;"OK","",IF(OR(VALUE(T238)=2,VALUE(U238)=2,VALUE(V238)=2),"社内残置",IF(AND(VALUE(T238)=0,VALUE(W238)=0,VALUE(Y238)=0),"自動化候補",IF(AND(VALUE(U238)=0,VALUE(W238)&lt;=1,VALUE(X238)&lt;=1,VALUE(Y238)&lt;=1,VALUE(Z238)&lt;=1),"オフショア候補",IF(AND(VALUE(Y238)&lt;=1,VALUE(Z238)&lt;=1),"ニアショア候補","社内で手順化→再評価")))))</f>
        <v/>
      </c>
      <c r="AK238">
        <f>IF(AB238&lt;&gt;"OK","",14-SUMPRODUCT(--T238:Z238))</f>
        <v/>
      </c>
      <c r="AL238" s="33">
        <f>IF(AB238&lt;&gt;"OK","",AS238*AT238/60)</f>
        <v/>
      </c>
      <c r="AM238" s="34">
        <f>IF(A238="","",UPPER(TRIM(ASC(A238&amp;""))))</f>
        <v/>
      </c>
      <c r="AN238" s="34">
        <f>IF(AM238="","",AM238&amp;"-"&amp;B238)</f>
        <v/>
      </c>
      <c r="AO238" s="34">
        <f>IF(C238="","",IFERROR(VALUE(ASC(SUBSTITUTE(C238&amp;"","観点",""))),""))</f>
        <v/>
      </c>
      <c r="AP238" s="34">
        <f>IF(D238="","",IFERROR(VALUE(LEFT(TRIM(ASC(D238&amp;"")),1)),IFERROR(MATCH(TRIM(D238&amp;""),'M2_区分マスタ'!$I$5:$I$10,0),"")))</f>
        <v/>
      </c>
      <c r="AQ238" s="34">
        <f>IF(H238="","",UPPER(LEFT(TRIM(ASC(H238&amp;"")),3)))</f>
        <v/>
      </c>
      <c r="AR238" s="34">
        <f>IF(N238="","",IFERROR(VALUE(SUBSTITUTE(SUBSTITUTE(SUBSTITUTE(SUBSTITUTE(SUBSTITUTE(SUBSTITUTE(SUBSTITUTE(SUBSTITUTE(SUBSTITUTE(SUBSTITUTE(SUBSTITUTE(SUBSTITUTE(ASC(N238&amp;""),"約",""),"程度",""),"ほど",""),"回",""),"毎",""),"週",""),"月",""),"年",""),"日",""),"に",""),"/","")," ","")),""))</f>
        <v/>
      </c>
      <c r="AS238" s="34">
        <f>IF(N238="","",IF(ISNUMBER(N238),N238,IFERROR(VALUE(ASC(N238&amp;"")),IF(AR238&lt;&gt;"",AR238*IF(ISNUMBER(SEARCH("週",N238)),4.3,IF(ISNUMBER(SEARCH("年",N238)),1/12,IF(ISNUMBER(SEARCH("日",N238)),20,1))),IF(ISNUMBER(SEARCH("日",N238)),20,IF(ISNUMBER(SEARCH("週",N238)),4.3,IF(ISNUMBER(SEARCH("月",N238)),1,"")))))))</f>
        <v/>
      </c>
      <c r="AT238" s="34">
        <f>IF(O238="","",IF(ISNUMBER(O238),O238,IFERROR(VALUE(ASC(O238&amp;"")),IF(ISNUMBER(SEARCH("時間",O238)),IFERROR(VALUE(SUBSTITUTE(SUBSTITUTE(SUBSTITUTE(SUBSTITUTE(SUBSTITUTE(ASC(O238&amp;""),"約",""),"程度",""),"ほど",""),"時間","")," ",""))*60,""),IFERROR(VALUE(SUBSTITUTE(SUBSTITUTE(SUBSTITUTE(SUBSTITUTE(SUBSTITUTE(ASC(O238&amp;""),"約",""),"程度",""),"ほど",""),"分","")," ","")),"")))))</f>
        <v/>
      </c>
      <c r="AU238" s="34">
        <f>IF(P238="","",IF(ISNUMBER(P238),P238,IFERROR(VALUE(SUBSTITUTE(SUBSTITUTE(SUBSTITUTE(ASC(P238&amp;""),"約",""),"件","")," ","")),"")))</f>
        <v/>
      </c>
      <c r="AV238" s="34">
        <f>IF(AB238&lt;&gt;"OK","",IF(COUNTIFS($G$5:$G$404,G238&amp;"",$F$5:$F$404,F238&amp;"",$BE$5:$BE$404,BE238&amp;"",$AB$5:$AB$404,"OK")&gt;1,"同名あり",""))</f>
        <v/>
      </c>
      <c r="AW238" s="35">
        <f>IF(Q238="","",IF(ISNUMBER(Q238),Q238,IFERROR(DATEVALUE(SUBSTITUTE(SUBSTITUTE(ASC(Q238&amp;""),"-","/"),".","/")&amp;"/01"),"")))</f>
        <v/>
      </c>
      <c r="AX238" s="35">
        <f>IF(R238="","",IF(ISNUMBER(R238),R238,IFERROR(DATEVALUE(SUBSTITUTE(SUBSTITUTE(ASC(R238&amp;""),"-","/"),".","/")&amp;"/01"),"")))</f>
        <v/>
      </c>
      <c r="AY238" s="34">
        <f>IF(OR(AB238&lt;&gt;"OK",AW238=""),"",IF(AW238&gt;='01_設定'!$C$26,1,0))</f>
        <v/>
      </c>
      <c r="AZ238" s="34">
        <f>IF(AND(AB238="OK",AD238&lt;&gt;"除外"),COUNTIFS($AB$5:AB238,"OK",$AD$5:AD238,"&lt;&gt;除外"),"")</f>
        <v/>
      </c>
      <c r="BA238" s="34">
        <f>IF(OR(AZ238="",AI238=""),"",AI238+ROW()/1000000000)</f>
        <v/>
      </c>
      <c r="BB238" s="34">
        <f>IF(E238="","",IF(OR(TRIM(E238&amp;"")="-",TRIM(E238&amp;"")="－",TRIM(E238&amp;"")="ー"),"",TRIM(E238&amp;"")))</f>
        <v/>
      </c>
      <c r="BC238" s="34">
        <f>IF(AND(AB238="OK",BB238&lt;&gt;""),IF(COUNTIFS($BB$5:BB238,BB238,$AB$5:AB238,"OK")=1,1,""),"")</f>
        <v/>
      </c>
      <c r="BD238" s="34">
        <f>IF(BC238=1,COUNTIF($BC$5:BC238,1),"")</f>
        <v/>
      </c>
      <c r="BE238" s="34">
        <f>IF(BB238="","",IFERROR(INDEX('06_顧客別集計'!$G$5:$G$104,MATCH(BB238,'06_顧客別集計'!$C$5:$C$104,0)),BB238))</f>
        <v/>
      </c>
      <c r="BF238" s="34">
        <f>IF(AND(AZ238&lt;&gt;"",BE238&lt;&gt;""),IF(COUNTIFS($BE$5:BE238,BE238,$AZ$5:AZ238,"&gt;0")=1,1,""),"")</f>
        <v/>
      </c>
      <c r="BG238" s="34">
        <f>IF(BF238=1,COUNTIF($BF$5:BF238,1),"")</f>
        <v/>
      </c>
    </row>
    <row r="239">
      <c r="AB239">
        <f>IF(AND(A239="",G239=""),"",IF(ISNUMBER(SEARCH("##END",AM239)),"（終わりの印）",IF(ISNUMBER(SEARCH("##続き",AM239)),"（続きありの印）",IF(AM239="調査ID","（見出し行）",IF(AND(AM239&lt;&gt;"R1",AM239&lt;&gt;"R2"),"×表以外の行（集計されない）",IF(COUNTIF($AN$5:AN239,AN239)&gt;1,"△重複（集計されない）",IF(G239="","△タスク名なし",IF(ISNA(MATCH(AQ239,'M1_類型マスタ'!$A$5:$A$19,0)),"△類型が不正",IF(OR(AP239="",N(AP239)&lt;1,N(AP239)&gt;6),"△業務区分が不正",IF(OR(AS239="",AT239=""),"△回数・分が読めない",IF(SUMPRODUCT(--ISNUMBER(--T239:Z239))&lt;7,"△採点が足りない",IF(SUMPRODUCT((--T239:Z239&gt;2)+(--T239:Z239&lt;0))&gt;0,"△採点が範囲外","OK"))))))))))))</f>
        <v/>
      </c>
      <c r="AC239">
        <f>IF(AB239&lt;&gt;"OK","",TRIM(IF(AND(AU239&lt;&gt;"",N(AU239)&lt;=1),"根拠1件 ","")&amp;IF(AV239&lt;&gt;"","同名あり ","")&amp;IF(AND(NOT(ISNUMBER(N239)),N239&lt;&gt;""),"回数を換算 ","")&amp;IF(J239="","詳細なし ","")&amp;IF(AND(N(AP239)=1,BB239=""),"顧客名なし ","")))</f>
        <v/>
      </c>
      <c r="AD239" s="31" t="n"/>
      <c r="AE239" s="32" t="n"/>
      <c r="AF239" s="32" t="n"/>
      <c r="AG239" s="31" t="n"/>
      <c r="AH239">
        <f>IF(AB239&lt;&gt;"OK","",IF(AG239&lt;&gt;"",AG239,AJ239))</f>
        <v/>
      </c>
      <c r="AI239" s="33">
        <f>IF(AB239&lt;&gt;"OK","",IFERROR(IF(AE239&lt;&gt;"",AE239,AS239)*IF(AF239&lt;&gt;"",AF239,AT239)/60,""))</f>
        <v/>
      </c>
      <c r="AJ239">
        <f>IF(AB239&lt;&gt;"OK","",IF(OR(VALUE(T239)=2,VALUE(U239)=2,VALUE(V239)=2),"社内残置",IF(AND(VALUE(T239)=0,VALUE(W239)=0,VALUE(Y239)=0),"自動化候補",IF(AND(VALUE(U239)=0,VALUE(W239)&lt;=1,VALUE(X239)&lt;=1,VALUE(Y239)&lt;=1,VALUE(Z239)&lt;=1),"オフショア候補",IF(AND(VALUE(Y239)&lt;=1,VALUE(Z239)&lt;=1),"ニアショア候補","社内で手順化→再評価")))))</f>
        <v/>
      </c>
      <c r="AK239">
        <f>IF(AB239&lt;&gt;"OK","",14-SUMPRODUCT(--T239:Z239))</f>
        <v/>
      </c>
      <c r="AL239" s="33">
        <f>IF(AB239&lt;&gt;"OK","",AS239*AT239/60)</f>
        <v/>
      </c>
      <c r="AM239" s="34">
        <f>IF(A239="","",UPPER(TRIM(ASC(A239&amp;""))))</f>
        <v/>
      </c>
      <c r="AN239" s="34">
        <f>IF(AM239="","",AM239&amp;"-"&amp;B239)</f>
        <v/>
      </c>
      <c r="AO239" s="34">
        <f>IF(C239="","",IFERROR(VALUE(ASC(SUBSTITUTE(C239&amp;"","観点",""))),""))</f>
        <v/>
      </c>
      <c r="AP239" s="34">
        <f>IF(D239="","",IFERROR(VALUE(LEFT(TRIM(ASC(D239&amp;"")),1)),IFERROR(MATCH(TRIM(D239&amp;""),'M2_区分マスタ'!$I$5:$I$10,0),"")))</f>
        <v/>
      </c>
      <c r="AQ239" s="34">
        <f>IF(H239="","",UPPER(LEFT(TRIM(ASC(H239&amp;"")),3)))</f>
        <v/>
      </c>
      <c r="AR239" s="34">
        <f>IF(N239="","",IFERROR(VALUE(SUBSTITUTE(SUBSTITUTE(SUBSTITUTE(SUBSTITUTE(SUBSTITUTE(SUBSTITUTE(SUBSTITUTE(SUBSTITUTE(SUBSTITUTE(SUBSTITUTE(SUBSTITUTE(SUBSTITUTE(ASC(N239&amp;""),"約",""),"程度",""),"ほど",""),"回",""),"毎",""),"週",""),"月",""),"年",""),"日",""),"に",""),"/","")," ","")),""))</f>
        <v/>
      </c>
      <c r="AS239" s="34">
        <f>IF(N239="","",IF(ISNUMBER(N239),N239,IFERROR(VALUE(ASC(N239&amp;"")),IF(AR239&lt;&gt;"",AR239*IF(ISNUMBER(SEARCH("週",N239)),4.3,IF(ISNUMBER(SEARCH("年",N239)),1/12,IF(ISNUMBER(SEARCH("日",N239)),20,1))),IF(ISNUMBER(SEARCH("日",N239)),20,IF(ISNUMBER(SEARCH("週",N239)),4.3,IF(ISNUMBER(SEARCH("月",N239)),1,"")))))))</f>
        <v/>
      </c>
      <c r="AT239" s="34">
        <f>IF(O239="","",IF(ISNUMBER(O239),O239,IFERROR(VALUE(ASC(O239&amp;"")),IF(ISNUMBER(SEARCH("時間",O239)),IFERROR(VALUE(SUBSTITUTE(SUBSTITUTE(SUBSTITUTE(SUBSTITUTE(SUBSTITUTE(ASC(O239&amp;""),"約",""),"程度",""),"ほど",""),"時間","")," ",""))*60,""),IFERROR(VALUE(SUBSTITUTE(SUBSTITUTE(SUBSTITUTE(SUBSTITUTE(SUBSTITUTE(ASC(O239&amp;""),"約",""),"程度",""),"ほど",""),"分","")," ","")),"")))))</f>
        <v/>
      </c>
      <c r="AU239" s="34">
        <f>IF(P239="","",IF(ISNUMBER(P239),P239,IFERROR(VALUE(SUBSTITUTE(SUBSTITUTE(SUBSTITUTE(ASC(P239&amp;""),"約",""),"件","")," ","")),"")))</f>
        <v/>
      </c>
      <c r="AV239" s="34">
        <f>IF(AB239&lt;&gt;"OK","",IF(COUNTIFS($G$5:$G$404,G239&amp;"",$F$5:$F$404,F239&amp;"",$BE$5:$BE$404,BE239&amp;"",$AB$5:$AB$404,"OK")&gt;1,"同名あり",""))</f>
        <v/>
      </c>
      <c r="AW239" s="35">
        <f>IF(Q239="","",IF(ISNUMBER(Q239),Q239,IFERROR(DATEVALUE(SUBSTITUTE(SUBSTITUTE(ASC(Q239&amp;""),"-","/"),".","/")&amp;"/01"),"")))</f>
        <v/>
      </c>
      <c r="AX239" s="35">
        <f>IF(R239="","",IF(ISNUMBER(R239),R239,IFERROR(DATEVALUE(SUBSTITUTE(SUBSTITUTE(ASC(R239&amp;""),"-","/"),".","/")&amp;"/01"),"")))</f>
        <v/>
      </c>
      <c r="AY239" s="34">
        <f>IF(OR(AB239&lt;&gt;"OK",AW239=""),"",IF(AW239&gt;='01_設定'!$C$26,1,0))</f>
        <v/>
      </c>
      <c r="AZ239" s="34">
        <f>IF(AND(AB239="OK",AD239&lt;&gt;"除外"),COUNTIFS($AB$5:AB239,"OK",$AD$5:AD239,"&lt;&gt;除外"),"")</f>
        <v/>
      </c>
      <c r="BA239" s="34">
        <f>IF(OR(AZ239="",AI239=""),"",AI239+ROW()/1000000000)</f>
        <v/>
      </c>
      <c r="BB239" s="34">
        <f>IF(E239="","",IF(OR(TRIM(E239&amp;"")="-",TRIM(E239&amp;"")="－",TRIM(E239&amp;"")="ー"),"",TRIM(E239&amp;"")))</f>
        <v/>
      </c>
      <c r="BC239" s="34">
        <f>IF(AND(AB239="OK",BB239&lt;&gt;""),IF(COUNTIFS($BB$5:BB239,BB239,$AB$5:AB239,"OK")=1,1,""),"")</f>
        <v/>
      </c>
      <c r="BD239" s="34">
        <f>IF(BC239=1,COUNTIF($BC$5:BC239,1),"")</f>
        <v/>
      </c>
      <c r="BE239" s="34">
        <f>IF(BB239="","",IFERROR(INDEX('06_顧客別集計'!$G$5:$G$104,MATCH(BB239,'06_顧客別集計'!$C$5:$C$104,0)),BB239))</f>
        <v/>
      </c>
      <c r="BF239" s="34">
        <f>IF(AND(AZ239&lt;&gt;"",BE239&lt;&gt;""),IF(COUNTIFS($BE$5:BE239,BE239,$AZ$5:AZ239,"&gt;0")=1,1,""),"")</f>
        <v/>
      </c>
      <c r="BG239" s="34">
        <f>IF(BF239=1,COUNTIF($BF$5:BF239,1),"")</f>
        <v/>
      </c>
    </row>
    <row r="240">
      <c r="AB240">
        <f>IF(AND(A240="",G240=""),"",IF(ISNUMBER(SEARCH("##END",AM240)),"（終わりの印）",IF(ISNUMBER(SEARCH("##続き",AM240)),"（続きありの印）",IF(AM240="調査ID","（見出し行）",IF(AND(AM240&lt;&gt;"R1",AM240&lt;&gt;"R2"),"×表以外の行（集計されない）",IF(COUNTIF($AN$5:AN240,AN240)&gt;1,"△重複（集計されない）",IF(G240="","△タスク名なし",IF(ISNA(MATCH(AQ240,'M1_類型マスタ'!$A$5:$A$19,0)),"△類型が不正",IF(OR(AP240="",N(AP240)&lt;1,N(AP240)&gt;6),"△業務区分が不正",IF(OR(AS240="",AT240=""),"△回数・分が読めない",IF(SUMPRODUCT(--ISNUMBER(--T240:Z240))&lt;7,"△採点が足りない",IF(SUMPRODUCT((--T240:Z240&gt;2)+(--T240:Z240&lt;0))&gt;0,"△採点が範囲外","OK"))))))))))))</f>
        <v/>
      </c>
      <c r="AC240">
        <f>IF(AB240&lt;&gt;"OK","",TRIM(IF(AND(AU240&lt;&gt;"",N(AU240)&lt;=1),"根拠1件 ","")&amp;IF(AV240&lt;&gt;"","同名あり ","")&amp;IF(AND(NOT(ISNUMBER(N240)),N240&lt;&gt;""),"回数を換算 ","")&amp;IF(J240="","詳細なし ","")&amp;IF(AND(N(AP240)=1,BB240=""),"顧客名なし ","")))</f>
        <v/>
      </c>
      <c r="AD240" s="31" t="n"/>
      <c r="AE240" s="32" t="n"/>
      <c r="AF240" s="32" t="n"/>
      <c r="AG240" s="31" t="n"/>
      <c r="AH240">
        <f>IF(AB240&lt;&gt;"OK","",IF(AG240&lt;&gt;"",AG240,AJ240))</f>
        <v/>
      </c>
      <c r="AI240" s="33">
        <f>IF(AB240&lt;&gt;"OK","",IFERROR(IF(AE240&lt;&gt;"",AE240,AS240)*IF(AF240&lt;&gt;"",AF240,AT240)/60,""))</f>
        <v/>
      </c>
      <c r="AJ240">
        <f>IF(AB240&lt;&gt;"OK","",IF(OR(VALUE(T240)=2,VALUE(U240)=2,VALUE(V240)=2),"社内残置",IF(AND(VALUE(T240)=0,VALUE(W240)=0,VALUE(Y240)=0),"自動化候補",IF(AND(VALUE(U240)=0,VALUE(W240)&lt;=1,VALUE(X240)&lt;=1,VALUE(Y240)&lt;=1,VALUE(Z240)&lt;=1),"オフショア候補",IF(AND(VALUE(Y240)&lt;=1,VALUE(Z240)&lt;=1),"ニアショア候補","社内で手順化→再評価")))))</f>
        <v/>
      </c>
      <c r="AK240">
        <f>IF(AB240&lt;&gt;"OK","",14-SUMPRODUCT(--T240:Z240))</f>
        <v/>
      </c>
      <c r="AL240" s="33">
        <f>IF(AB240&lt;&gt;"OK","",AS240*AT240/60)</f>
        <v/>
      </c>
      <c r="AM240" s="34">
        <f>IF(A240="","",UPPER(TRIM(ASC(A240&amp;""))))</f>
        <v/>
      </c>
      <c r="AN240" s="34">
        <f>IF(AM240="","",AM240&amp;"-"&amp;B240)</f>
        <v/>
      </c>
      <c r="AO240" s="34">
        <f>IF(C240="","",IFERROR(VALUE(ASC(SUBSTITUTE(C240&amp;"","観点",""))),""))</f>
        <v/>
      </c>
      <c r="AP240" s="34">
        <f>IF(D240="","",IFERROR(VALUE(LEFT(TRIM(ASC(D240&amp;"")),1)),IFERROR(MATCH(TRIM(D240&amp;""),'M2_区分マスタ'!$I$5:$I$10,0),"")))</f>
        <v/>
      </c>
      <c r="AQ240" s="34">
        <f>IF(H240="","",UPPER(LEFT(TRIM(ASC(H240&amp;"")),3)))</f>
        <v/>
      </c>
      <c r="AR240" s="34">
        <f>IF(N240="","",IFERROR(VALUE(SUBSTITUTE(SUBSTITUTE(SUBSTITUTE(SUBSTITUTE(SUBSTITUTE(SUBSTITUTE(SUBSTITUTE(SUBSTITUTE(SUBSTITUTE(SUBSTITUTE(SUBSTITUTE(SUBSTITUTE(ASC(N240&amp;""),"約",""),"程度",""),"ほど",""),"回",""),"毎",""),"週",""),"月",""),"年",""),"日",""),"に",""),"/","")," ","")),""))</f>
        <v/>
      </c>
      <c r="AS240" s="34">
        <f>IF(N240="","",IF(ISNUMBER(N240),N240,IFERROR(VALUE(ASC(N240&amp;"")),IF(AR240&lt;&gt;"",AR240*IF(ISNUMBER(SEARCH("週",N240)),4.3,IF(ISNUMBER(SEARCH("年",N240)),1/12,IF(ISNUMBER(SEARCH("日",N240)),20,1))),IF(ISNUMBER(SEARCH("日",N240)),20,IF(ISNUMBER(SEARCH("週",N240)),4.3,IF(ISNUMBER(SEARCH("月",N240)),1,"")))))))</f>
        <v/>
      </c>
      <c r="AT240" s="34">
        <f>IF(O240="","",IF(ISNUMBER(O240),O240,IFERROR(VALUE(ASC(O240&amp;"")),IF(ISNUMBER(SEARCH("時間",O240)),IFERROR(VALUE(SUBSTITUTE(SUBSTITUTE(SUBSTITUTE(SUBSTITUTE(SUBSTITUTE(ASC(O240&amp;""),"約",""),"程度",""),"ほど",""),"時間","")," ",""))*60,""),IFERROR(VALUE(SUBSTITUTE(SUBSTITUTE(SUBSTITUTE(SUBSTITUTE(SUBSTITUTE(ASC(O240&amp;""),"約",""),"程度",""),"ほど",""),"分","")," ","")),"")))))</f>
        <v/>
      </c>
      <c r="AU240" s="34">
        <f>IF(P240="","",IF(ISNUMBER(P240),P240,IFERROR(VALUE(SUBSTITUTE(SUBSTITUTE(SUBSTITUTE(ASC(P240&amp;""),"約",""),"件","")," ","")),"")))</f>
        <v/>
      </c>
      <c r="AV240" s="34">
        <f>IF(AB240&lt;&gt;"OK","",IF(COUNTIFS($G$5:$G$404,G240&amp;"",$F$5:$F$404,F240&amp;"",$BE$5:$BE$404,BE240&amp;"",$AB$5:$AB$404,"OK")&gt;1,"同名あり",""))</f>
        <v/>
      </c>
      <c r="AW240" s="35">
        <f>IF(Q240="","",IF(ISNUMBER(Q240),Q240,IFERROR(DATEVALUE(SUBSTITUTE(SUBSTITUTE(ASC(Q240&amp;""),"-","/"),".","/")&amp;"/01"),"")))</f>
        <v/>
      </c>
      <c r="AX240" s="35">
        <f>IF(R240="","",IF(ISNUMBER(R240),R240,IFERROR(DATEVALUE(SUBSTITUTE(SUBSTITUTE(ASC(R240&amp;""),"-","/"),".","/")&amp;"/01"),"")))</f>
        <v/>
      </c>
      <c r="AY240" s="34">
        <f>IF(OR(AB240&lt;&gt;"OK",AW240=""),"",IF(AW240&gt;='01_設定'!$C$26,1,0))</f>
        <v/>
      </c>
      <c r="AZ240" s="34">
        <f>IF(AND(AB240="OK",AD240&lt;&gt;"除外"),COUNTIFS($AB$5:AB240,"OK",$AD$5:AD240,"&lt;&gt;除外"),"")</f>
        <v/>
      </c>
      <c r="BA240" s="34">
        <f>IF(OR(AZ240="",AI240=""),"",AI240+ROW()/1000000000)</f>
        <v/>
      </c>
      <c r="BB240" s="34">
        <f>IF(E240="","",IF(OR(TRIM(E240&amp;"")="-",TRIM(E240&amp;"")="－",TRIM(E240&amp;"")="ー"),"",TRIM(E240&amp;"")))</f>
        <v/>
      </c>
      <c r="BC240" s="34">
        <f>IF(AND(AB240="OK",BB240&lt;&gt;""),IF(COUNTIFS($BB$5:BB240,BB240,$AB$5:AB240,"OK")=1,1,""),"")</f>
        <v/>
      </c>
      <c r="BD240" s="34">
        <f>IF(BC240=1,COUNTIF($BC$5:BC240,1),"")</f>
        <v/>
      </c>
      <c r="BE240" s="34">
        <f>IF(BB240="","",IFERROR(INDEX('06_顧客別集計'!$G$5:$G$104,MATCH(BB240,'06_顧客別集計'!$C$5:$C$104,0)),BB240))</f>
        <v/>
      </c>
      <c r="BF240" s="34">
        <f>IF(AND(AZ240&lt;&gt;"",BE240&lt;&gt;""),IF(COUNTIFS($BE$5:BE240,BE240,$AZ$5:AZ240,"&gt;0")=1,1,""),"")</f>
        <v/>
      </c>
      <c r="BG240" s="34">
        <f>IF(BF240=1,COUNTIF($BF$5:BF240,1),"")</f>
        <v/>
      </c>
    </row>
    <row r="241">
      <c r="AB241">
        <f>IF(AND(A241="",G241=""),"",IF(ISNUMBER(SEARCH("##END",AM241)),"（終わりの印）",IF(ISNUMBER(SEARCH("##続き",AM241)),"（続きありの印）",IF(AM241="調査ID","（見出し行）",IF(AND(AM241&lt;&gt;"R1",AM241&lt;&gt;"R2"),"×表以外の行（集計されない）",IF(COUNTIF($AN$5:AN241,AN241)&gt;1,"△重複（集計されない）",IF(G241="","△タスク名なし",IF(ISNA(MATCH(AQ241,'M1_類型マスタ'!$A$5:$A$19,0)),"△類型が不正",IF(OR(AP241="",N(AP241)&lt;1,N(AP241)&gt;6),"△業務区分が不正",IF(OR(AS241="",AT241=""),"△回数・分が読めない",IF(SUMPRODUCT(--ISNUMBER(--T241:Z241))&lt;7,"△採点が足りない",IF(SUMPRODUCT((--T241:Z241&gt;2)+(--T241:Z241&lt;0))&gt;0,"△採点が範囲外","OK"))))))))))))</f>
        <v/>
      </c>
      <c r="AC241">
        <f>IF(AB241&lt;&gt;"OK","",TRIM(IF(AND(AU241&lt;&gt;"",N(AU241)&lt;=1),"根拠1件 ","")&amp;IF(AV241&lt;&gt;"","同名あり ","")&amp;IF(AND(NOT(ISNUMBER(N241)),N241&lt;&gt;""),"回数を換算 ","")&amp;IF(J241="","詳細なし ","")&amp;IF(AND(N(AP241)=1,BB241=""),"顧客名なし ","")))</f>
        <v/>
      </c>
      <c r="AD241" s="31" t="n"/>
      <c r="AE241" s="32" t="n"/>
      <c r="AF241" s="32" t="n"/>
      <c r="AG241" s="31" t="n"/>
      <c r="AH241">
        <f>IF(AB241&lt;&gt;"OK","",IF(AG241&lt;&gt;"",AG241,AJ241))</f>
        <v/>
      </c>
      <c r="AI241" s="33">
        <f>IF(AB241&lt;&gt;"OK","",IFERROR(IF(AE241&lt;&gt;"",AE241,AS241)*IF(AF241&lt;&gt;"",AF241,AT241)/60,""))</f>
        <v/>
      </c>
      <c r="AJ241">
        <f>IF(AB241&lt;&gt;"OK","",IF(OR(VALUE(T241)=2,VALUE(U241)=2,VALUE(V241)=2),"社内残置",IF(AND(VALUE(T241)=0,VALUE(W241)=0,VALUE(Y241)=0),"自動化候補",IF(AND(VALUE(U241)=0,VALUE(W241)&lt;=1,VALUE(X241)&lt;=1,VALUE(Y241)&lt;=1,VALUE(Z241)&lt;=1),"オフショア候補",IF(AND(VALUE(Y241)&lt;=1,VALUE(Z241)&lt;=1),"ニアショア候補","社内で手順化→再評価")))))</f>
        <v/>
      </c>
      <c r="AK241">
        <f>IF(AB241&lt;&gt;"OK","",14-SUMPRODUCT(--T241:Z241))</f>
        <v/>
      </c>
      <c r="AL241" s="33">
        <f>IF(AB241&lt;&gt;"OK","",AS241*AT241/60)</f>
        <v/>
      </c>
      <c r="AM241" s="34">
        <f>IF(A241="","",UPPER(TRIM(ASC(A241&amp;""))))</f>
        <v/>
      </c>
      <c r="AN241" s="34">
        <f>IF(AM241="","",AM241&amp;"-"&amp;B241)</f>
        <v/>
      </c>
      <c r="AO241" s="34">
        <f>IF(C241="","",IFERROR(VALUE(ASC(SUBSTITUTE(C241&amp;"","観点",""))),""))</f>
        <v/>
      </c>
      <c r="AP241" s="34">
        <f>IF(D241="","",IFERROR(VALUE(LEFT(TRIM(ASC(D241&amp;"")),1)),IFERROR(MATCH(TRIM(D241&amp;""),'M2_区分マスタ'!$I$5:$I$10,0),"")))</f>
        <v/>
      </c>
      <c r="AQ241" s="34">
        <f>IF(H241="","",UPPER(LEFT(TRIM(ASC(H241&amp;"")),3)))</f>
        <v/>
      </c>
      <c r="AR241" s="34">
        <f>IF(N241="","",IFERROR(VALUE(SUBSTITUTE(SUBSTITUTE(SUBSTITUTE(SUBSTITUTE(SUBSTITUTE(SUBSTITUTE(SUBSTITUTE(SUBSTITUTE(SUBSTITUTE(SUBSTITUTE(SUBSTITUTE(SUBSTITUTE(ASC(N241&amp;""),"約",""),"程度",""),"ほど",""),"回",""),"毎",""),"週",""),"月",""),"年",""),"日",""),"に",""),"/","")," ","")),""))</f>
        <v/>
      </c>
      <c r="AS241" s="34">
        <f>IF(N241="","",IF(ISNUMBER(N241),N241,IFERROR(VALUE(ASC(N241&amp;"")),IF(AR241&lt;&gt;"",AR241*IF(ISNUMBER(SEARCH("週",N241)),4.3,IF(ISNUMBER(SEARCH("年",N241)),1/12,IF(ISNUMBER(SEARCH("日",N241)),20,1))),IF(ISNUMBER(SEARCH("日",N241)),20,IF(ISNUMBER(SEARCH("週",N241)),4.3,IF(ISNUMBER(SEARCH("月",N241)),1,"")))))))</f>
        <v/>
      </c>
      <c r="AT241" s="34">
        <f>IF(O241="","",IF(ISNUMBER(O241),O241,IFERROR(VALUE(ASC(O241&amp;"")),IF(ISNUMBER(SEARCH("時間",O241)),IFERROR(VALUE(SUBSTITUTE(SUBSTITUTE(SUBSTITUTE(SUBSTITUTE(SUBSTITUTE(ASC(O241&amp;""),"約",""),"程度",""),"ほど",""),"時間","")," ",""))*60,""),IFERROR(VALUE(SUBSTITUTE(SUBSTITUTE(SUBSTITUTE(SUBSTITUTE(SUBSTITUTE(ASC(O241&amp;""),"約",""),"程度",""),"ほど",""),"分","")," ","")),"")))))</f>
        <v/>
      </c>
      <c r="AU241" s="34">
        <f>IF(P241="","",IF(ISNUMBER(P241),P241,IFERROR(VALUE(SUBSTITUTE(SUBSTITUTE(SUBSTITUTE(ASC(P241&amp;""),"約",""),"件","")," ","")),"")))</f>
        <v/>
      </c>
      <c r="AV241" s="34">
        <f>IF(AB241&lt;&gt;"OK","",IF(COUNTIFS($G$5:$G$404,G241&amp;"",$F$5:$F$404,F241&amp;"",$BE$5:$BE$404,BE241&amp;"",$AB$5:$AB$404,"OK")&gt;1,"同名あり",""))</f>
        <v/>
      </c>
      <c r="AW241" s="35">
        <f>IF(Q241="","",IF(ISNUMBER(Q241),Q241,IFERROR(DATEVALUE(SUBSTITUTE(SUBSTITUTE(ASC(Q241&amp;""),"-","/"),".","/")&amp;"/01"),"")))</f>
        <v/>
      </c>
      <c r="AX241" s="35">
        <f>IF(R241="","",IF(ISNUMBER(R241),R241,IFERROR(DATEVALUE(SUBSTITUTE(SUBSTITUTE(ASC(R241&amp;""),"-","/"),".","/")&amp;"/01"),"")))</f>
        <v/>
      </c>
      <c r="AY241" s="34">
        <f>IF(OR(AB241&lt;&gt;"OK",AW241=""),"",IF(AW241&gt;='01_設定'!$C$26,1,0))</f>
        <v/>
      </c>
      <c r="AZ241" s="34">
        <f>IF(AND(AB241="OK",AD241&lt;&gt;"除外"),COUNTIFS($AB$5:AB241,"OK",$AD$5:AD241,"&lt;&gt;除外"),"")</f>
        <v/>
      </c>
      <c r="BA241" s="34">
        <f>IF(OR(AZ241="",AI241=""),"",AI241+ROW()/1000000000)</f>
        <v/>
      </c>
      <c r="BB241" s="34">
        <f>IF(E241="","",IF(OR(TRIM(E241&amp;"")="-",TRIM(E241&amp;"")="－",TRIM(E241&amp;"")="ー"),"",TRIM(E241&amp;"")))</f>
        <v/>
      </c>
      <c r="BC241" s="34">
        <f>IF(AND(AB241="OK",BB241&lt;&gt;""),IF(COUNTIFS($BB$5:BB241,BB241,$AB$5:AB241,"OK")=1,1,""),"")</f>
        <v/>
      </c>
      <c r="BD241" s="34">
        <f>IF(BC241=1,COUNTIF($BC$5:BC241,1),"")</f>
        <v/>
      </c>
      <c r="BE241" s="34">
        <f>IF(BB241="","",IFERROR(INDEX('06_顧客別集計'!$G$5:$G$104,MATCH(BB241,'06_顧客別集計'!$C$5:$C$104,0)),BB241))</f>
        <v/>
      </c>
      <c r="BF241" s="34">
        <f>IF(AND(AZ241&lt;&gt;"",BE241&lt;&gt;""),IF(COUNTIFS($BE$5:BE241,BE241,$AZ$5:AZ241,"&gt;0")=1,1,""),"")</f>
        <v/>
      </c>
      <c r="BG241" s="34">
        <f>IF(BF241=1,COUNTIF($BF$5:BF241,1),"")</f>
        <v/>
      </c>
    </row>
    <row r="242">
      <c r="AB242">
        <f>IF(AND(A242="",G242=""),"",IF(ISNUMBER(SEARCH("##END",AM242)),"（終わりの印）",IF(ISNUMBER(SEARCH("##続き",AM242)),"（続きありの印）",IF(AM242="調査ID","（見出し行）",IF(AND(AM242&lt;&gt;"R1",AM242&lt;&gt;"R2"),"×表以外の行（集計されない）",IF(COUNTIF($AN$5:AN242,AN242)&gt;1,"△重複（集計されない）",IF(G242="","△タスク名なし",IF(ISNA(MATCH(AQ242,'M1_類型マスタ'!$A$5:$A$19,0)),"△類型が不正",IF(OR(AP242="",N(AP242)&lt;1,N(AP242)&gt;6),"△業務区分が不正",IF(OR(AS242="",AT242=""),"△回数・分が読めない",IF(SUMPRODUCT(--ISNUMBER(--T242:Z242))&lt;7,"△採点が足りない",IF(SUMPRODUCT((--T242:Z242&gt;2)+(--T242:Z242&lt;0))&gt;0,"△採点が範囲外","OK"))))))))))))</f>
        <v/>
      </c>
      <c r="AC242">
        <f>IF(AB242&lt;&gt;"OK","",TRIM(IF(AND(AU242&lt;&gt;"",N(AU242)&lt;=1),"根拠1件 ","")&amp;IF(AV242&lt;&gt;"","同名あり ","")&amp;IF(AND(NOT(ISNUMBER(N242)),N242&lt;&gt;""),"回数を換算 ","")&amp;IF(J242="","詳細なし ","")&amp;IF(AND(N(AP242)=1,BB242=""),"顧客名なし ","")))</f>
        <v/>
      </c>
      <c r="AD242" s="31" t="n"/>
      <c r="AE242" s="32" t="n"/>
      <c r="AF242" s="32" t="n"/>
      <c r="AG242" s="31" t="n"/>
      <c r="AH242">
        <f>IF(AB242&lt;&gt;"OK","",IF(AG242&lt;&gt;"",AG242,AJ242))</f>
        <v/>
      </c>
      <c r="AI242" s="33">
        <f>IF(AB242&lt;&gt;"OK","",IFERROR(IF(AE242&lt;&gt;"",AE242,AS242)*IF(AF242&lt;&gt;"",AF242,AT242)/60,""))</f>
        <v/>
      </c>
      <c r="AJ242">
        <f>IF(AB242&lt;&gt;"OK","",IF(OR(VALUE(T242)=2,VALUE(U242)=2,VALUE(V242)=2),"社内残置",IF(AND(VALUE(T242)=0,VALUE(W242)=0,VALUE(Y242)=0),"自動化候補",IF(AND(VALUE(U242)=0,VALUE(W242)&lt;=1,VALUE(X242)&lt;=1,VALUE(Y242)&lt;=1,VALUE(Z242)&lt;=1),"オフショア候補",IF(AND(VALUE(Y242)&lt;=1,VALUE(Z242)&lt;=1),"ニアショア候補","社内で手順化→再評価")))))</f>
        <v/>
      </c>
      <c r="AK242">
        <f>IF(AB242&lt;&gt;"OK","",14-SUMPRODUCT(--T242:Z242))</f>
        <v/>
      </c>
      <c r="AL242" s="33">
        <f>IF(AB242&lt;&gt;"OK","",AS242*AT242/60)</f>
        <v/>
      </c>
      <c r="AM242" s="34">
        <f>IF(A242="","",UPPER(TRIM(ASC(A242&amp;""))))</f>
        <v/>
      </c>
      <c r="AN242" s="34">
        <f>IF(AM242="","",AM242&amp;"-"&amp;B242)</f>
        <v/>
      </c>
      <c r="AO242" s="34">
        <f>IF(C242="","",IFERROR(VALUE(ASC(SUBSTITUTE(C242&amp;"","観点",""))),""))</f>
        <v/>
      </c>
      <c r="AP242" s="34">
        <f>IF(D242="","",IFERROR(VALUE(LEFT(TRIM(ASC(D242&amp;"")),1)),IFERROR(MATCH(TRIM(D242&amp;""),'M2_区分マスタ'!$I$5:$I$10,0),"")))</f>
        <v/>
      </c>
      <c r="AQ242" s="34">
        <f>IF(H242="","",UPPER(LEFT(TRIM(ASC(H242&amp;"")),3)))</f>
        <v/>
      </c>
      <c r="AR242" s="34">
        <f>IF(N242="","",IFERROR(VALUE(SUBSTITUTE(SUBSTITUTE(SUBSTITUTE(SUBSTITUTE(SUBSTITUTE(SUBSTITUTE(SUBSTITUTE(SUBSTITUTE(SUBSTITUTE(SUBSTITUTE(SUBSTITUTE(SUBSTITUTE(ASC(N242&amp;""),"約",""),"程度",""),"ほど",""),"回",""),"毎",""),"週",""),"月",""),"年",""),"日",""),"に",""),"/","")," ","")),""))</f>
        <v/>
      </c>
      <c r="AS242" s="34">
        <f>IF(N242="","",IF(ISNUMBER(N242),N242,IFERROR(VALUE(ASC(N242&amp;"")),IF(AR242&lt;&gt;"",AR242*IF(ISNUMBER(SEARCH("週",N242)),4.3,IF(ISNUMBER(SEARCH("年",N242)),1/12,IF(ISNUMBER(SEARCH("日",N242)),20,1))),IF(ISNUMBER(SEARCH("日",N242)),20,IF(ISNUMBER(SEARCH("週",N242)),4.3,IF(ISNUMBER(SEARCH("月",N242)),1,"")))))))</f>
        <v/>
      </c>
      <c r="AT242" s="34">
        <f>IF(O242="","",IF(ISNUMBER(O242),O242,IFERROR(VALUE(ASC(O242&amp;"")),IF(ISNUMBER(SEARCH("時間",O242)),IFERROR(VALUE(SUBSTITUTE(SUBSTITUTE(SUBSTITUTE(SUBSTITUTE(SUBSTITUTE(ASC(O242&amp;""),"約",""),"程度",""),"ほど",""),"時間","")," ",""))*60,""),IFERROR(VALUE(SUBSTITUTE(SUBSTITUTE(SUBSTITUTE(SUBSTITUTE(SUBSTITUTE(ASC(O242&amp;""),"約",""),"程度",""),"ほど",""),"分","")," ","")),"")))))</f>
        <v/>
      </c>
      <c r="AU242" s="34">
        <f>IF(P242="","",IF(ISNUMBER(P242),P242,IFERROR(VALUE(SUBSTITUTE(SUBSTITUTE(SUBSTITUTE(ASC(P242&amp;""),"約",""),"件","")," ","")),"")))</f>
        <v/>
      </c>
      <c r="AV242" s="34">
        <f>IF(AB242&lt;&gt;"OK","",IF(COUNTIFS($G$5:$G$404,G242&amp;"",$F$5:$F$404,F242&amp;"",$BE$5:$BE$404,BE242&amp;"",$AB$5:$AB$404,"OK")&gt;1,"同名あり",""))</f>
        <v/>
      </c>
      <c r="AW242" s="35">
        <f>IF(Q242="","",IF(ISNUMBER(Q242),Q242,IFERROR(DATEVALUE(SUBSTITUTE(SUBSTITUTE(ASC(Q242&amp;""),"-","/"),".","/")&amp;"/01"),"")))</f>
        <v/>
      </c>
      <c r="AX242" s="35">
        <f>IF(R242="","",IF(ISNUMBER(R242),R242,IFERROR(DATEVALUE(SUBSTITUTE(SUBSTITUTE(ASC(R242&amp;""),"-","/"),".","/")&amp;"/01"),"")))</f>
        <v/>
      </c>
      <c r="AY242" s="34">
        <f>IF(OR(AB242&lt;&gt;"OK",AW242=""),"",IF(AW242&gt;='01_設定'!$C$26,1,0))</f>
        <v/>
      </c>
      <c r="AZ242" s="34">
        <f>IF(AND(AB242="OK",AD242&lt;&gt;"除外"),COUNTIFS($AB$5:AB242,"OK",$AD$5:AD242,"&lt;&gt;除外"),"")</f>
        <v/>
      </c>
      <c r="BA242" s="34">
        <f>IF(OR(AZ242="",AI242=""),"",AI242+ROW()/1000000000)</f>
        <v/>
      </c>
      <c r="BB242" s="34">
        <f>IF(E242="","",IF(OR(TRIM(E242&amp;"")="-",TRIM(E242&amp;"")="－",TRIM(E242&amp;"")="ー"),"",TRIM(E242&amp;"")))</f>
        <v/>
      </c>
      <c r="BC242" s="34">
        <f>IF(AND(AB242="OK",BB242&lt;&gt;""),IF(COUNTIFS($BB$5:BB242,BB242,$AB$5:AB242,"OK")=1,1,""),"")</f>
        <v/>
      </c>
      <c r="BD242" s="34">
        <f>IF(BC242=1,COUNTIF($BC$5:BC242,1),"")</f>
        <v/>
      </c>
      <c r="BE242" s="34">
        <f>IF(BB242="","",IFERROR(INDEX('06_顧客別集計'!$G$5:$G$104,MATCH(BB242,'06_顧客別集計'!$C$5:$C$104,0)),BB242))</f>
        <v/>
      </c>
      <c r="BF242" s="34">
        <f>IF(AND(AZ242&lt;&gt;"",BE242&lt;&gt;""),IF(COUNTIFS($BE$5:BE242,BE242,$AZ$5:AZ242,"&gt;0")=1,1,""),"")</f>
        <v/>
      </c>
      <c r="BG242" s="34">
        <f>IF(BF242=1,COUNTIF($BF$5:BF242,1),"")</f>
        <v/>
      </c>
    </row>
    <row r="243">
      <c r="AB243">
        <f>IF(AND(A243="",G243=""),"",IF(ISNUMBER(SEARCH("##END",AM243)),"（終わりの印）",IF(ISNUMBER(SEARCH("##続き",AM243)),"（続きありの印）",IF(AM243="調査ID","（見出し行）",IF(AND(AM243&lt;&gt;"R1",AM243&lt;&gt;"R2"),"×表以外の行（集計されない）",IF(COUNTIF($AN$5:AN243,AN243)&gt;1,"△重複（集計されない）",IF(G243="","△タスク名なし",IF(ISNA(MATCH(AQ243,'M1_類型マスタ'!$A$5:$A$19,0)),"△類型が不正",IF(OR(AP243="",N(AP243)&lt;1,N(AP243)&gt;6),"△業務区分が不正",IF(OR(AS243="",AT243=""),"△回数・分が読めない",IF(SUMPRODUCT(--ISNUMBER(--T243:Z243))&lt;7,"△採点が足りない",IF(SUMPRODUCT((--T243:Z243&gt;2)+(--T243:Z243&lt;0))&gt;0,"△採点が範囲外","OK"))))))))))))</f>
        <v/>
      </c>
      <c r="AC243">
        <f>IF(AB243&lt;&gt;"OK","",TRIM(IF(AND(AU243&lt;&gt;"",N(AU243)&lt;=1),"根拠1件 ","")&amp;IF(AV243&lt;&gt;"","同名あり ","")&amp;IF(AND(NOT(ISNUMBER(N243)),N243&lt;&gt;""),"回数を換算 ","")&amp;IF(J243="","詳細なし ","")&amp;IF(AND(N(AP243)=1,BB243=""),"顧客名なし ","")))</f>
        <v/>
      </c>
      <c r="AD243" s="31" t="n"/>
      <c r="AE243" s="32" t="n"/>
      <c r="AF243" s="32" t="n"/>
      <c r="AG243" s="31" t="n"/>
      <c r="AH243">
        <f>IF(AB243&lt;&gt;"OK","",IF(AG243&lt;&gt;"",AG243,AJ243))</f>
        <v/>
      </c>
      <c r="AI243" s="33">
        <f>IF(AB243&lt;&gt;"OK","",IFERROR(IF(AE243&lt;&gt;"",AE243,AS243)*IF(AF243&lt;&gt;"",AF243,AT243)/60,""))</f>
        <v/>
      </c>
      <c r="AJ243">
        <f>IF(AB243&lt;&gt;"OK","",IF(OR(VALUE(T243)=2,VALUE(U243)=2,VALUE(V243)=2),"社内残置",IF(AND(VALUE(T243)=0,VALUE(W243)=0,VALUE(Y243)=0),"自動化候補",IF(AND(VALUE(U243)=0,VALUE(W243)&lt;=1,VALUE(X243)&lt;=1,VALUE(Y243)&lt;=1,VALUE(Z243)&lt;=1),"オフショア候補",IF(AND(VALUE(Y243)&lt;=1,VALUE(Z243)&lt;=1),"ニアショア候補","社内で手順化→再評価")))))</f>
        <v/>
      </c>
      <c r="AK243">
        <f>IF(AB243&lt;&gt;"OK","",14-SUMPRODUCT(--T243:Z243))</f>
        <v/>
      </c>
      <c r="AL243" s="33">
        <f>IF(AB243&lt;&gt;"OK","",AS243*AT243/60)</f>
        <v/>
      </c>
      <c r="AM243" s="34">
        <f>IF(A243="","",UPPER(TRIM(ASC(A243&amp;""))))</f>
        <v/>
      </c>
      <c r="AN243" s="34">
        <f>IF(AM243="","",AM243&amp;"-"&amp;B243)</f>
        <v/>
      </c>
      <c r="AO243" s="34">
        <f>IF(C243="","",IFERROR(VALUE(ASC(SUBSTITUTE(C243&amp;"","観点",""))),""))</f>
        <v/>
      </c>
      <c r="AP243" s="34">
        <f>IF(D243="","",IFERROR(VALUE(LEFT(TRIM(ASC(D243&amp;"")),1)),IFERROR(MATCH(TRIM(D243&amp;""),'M2_区分マスタ'!$I$5:$I$10,0),"")))</f>
        <v/>
      </c>
      <c r="AQ243" s="34">
        <f>IF(H243="","",UPPER(LEFT(TRIM(ASC(H243&amp;"")),3)))</f>
        <v/>
      </c>
      <c r="AR243" s="34">
        <f>IF(N243="","",IFERROR(VALUE(SUBSTITUTE(SUBSTITUTE(SUBSTITUTE(SUBSTITUTE(SUBSTITUTE(SUBSTITUTE(SUBSTITUTE(SUBSTITUTE(SUBSTITUTE(SUBSTITUTE(SUBSTITUTE(SUBSTITUTE(ASC(N243&amp;""),"約",""),"程度",""),"ほど",""),"回",""),"毎",""),"週",""),"月",""),"年",""),"日",""),"に",""),"/","")," ","")),""))</f>
        <v/>
      </c>
      <c r="AS243" s="34">
        <f>IF(N243="","",IF(ISNUMBER(N243),N243,IFERROR(VALUE(ASC(N243&amp;"")),IF(AR243&lt;&gt;"",AR243*IF(ISNUMBER(SEARCH("週",N243)),4.3,IF(ISNUMBER(SEARCH("年",N243)),1/12,IF(ISNUMBER(SEARCH("日",N243)),20,1))),IF(ISNUMBER(SEARCH("日",N243)),20,IF(ISNUMBER(SEARCH("週",N243)),4.3,IF(ISNUMBER(SEARCH("月",N243)),1,"")))))))</f>
        <v/>
      </c>
      <c r="AT243" s="34">
        <f>IF(O243="","",IF(ISNUMBER(O243),O243,IFERROR(VALUE(ASC(O243&amp;"")),IF(ISNUMBER(SEARCH("時間",O243)),IFERROR(VALUE(SUBSTITUTE(SUBSTITUTE(SUBSTITUTE(SUBSTITUTE(SUBSTITUTE(ASC(O243&amp;""),"約",""),"程度",""),"ほど",""),"時間","")," ",""))*60,""),IFERROR(VALUE(SUBSTITUTE(SUBSTITUTE(SUBSTITUTE(SUBSTITUTE(SUBSTITUTE(ASC(O243&amp;""),"約",""),"程度",""),"ほど",""),"分","")," ","")),"")))))</f>
        <v/>
      </c>
      <c r="AU243" s="34">
        <f>IF(P243="","",IF(ISNUMBER(P243),P243,IFERROR(VALUE(SUBSTITUTE(SUBSTITUTE(SUBSTITUTE(ASC(P243&amp;""),"約",""),"件","")," ","")),"")))</f>
        <v/>
      </c>
      <c r="AV243" s="34">
        <f>IF(AB243&lt;&gt;"OK","",IF(COUNTIFS($G$5:$G$404,G243&amp;"",$F$5:$F$404,F243&amp;"",$BE$5:$BE$404,BE243&amp;"",$AB$5:$AB$404,"OK")&gt;1,"同名あり",""))</f>
        <v/>
      </c>
      <c r="AW243" s="35">
        <f>IF(Q243="","",IF(ISNUMBER(Q243),Q243,IFERROR(DATEVALUE(SUBSTITUTE(SUBSTITUTE(ASC(Q243&amp;""),"-","/"),".","/")&amp;"/01"),"")))</f>
        <v/>
      </c>
      <c r="AX243" s="35">
        <f>IF(R243="","",IF(ISNUMBER(R243),R243,IFERROR(DATEVALUE(SUBSTITUTE(SUBSTITUTE(ASC(R243&amp;""),"-","/"),".","/")&amp;"/01"),"")))</f>
        <v/>
      </c>
      <c r="AY243" s="34">
        <f>IF(OR(AB243&lt;&gt;"OK",AW243=""),"",IF(AW243&gt;='01_設定'!$C$26,1,0))</f>
        <v/>
      </c>
      <c r="AZ243" s="34">
        <f>IF(AND(AB243="OK",AD243&lt;&gt;"除外"),COUNTIFS($AB$5:AB243,"OK",$AD$5:AD243,"&lt;&gt;除外"),"")</f>
        <v/>
      </c>
      <c r="BA243" s="34">
        <f>IF(OR(AZ243="",AI243=""),"",AI243+ROW()/1000000000)</f>
        <v/>
      </c>
      <c r="BB243" s="34">
        <f>IF(E243="","",IF(OR(TRIM(E243&amp;"")="-",TRIM(E243&amp;"")="－",TRIM(E243&amp;"")="ー"),"",TRIM(E243&amp;"")))</f>
        <v/>
      </c>
      <c r="BC243" s="34">
        <f>IF(AND(AB243="OK",BB243&lt;&gt;""),IF(COUNTIFS($BB$5:BB243,BB243,$AB$5:AB243,"OK")=1,1,""),"")</f>
        <v/>
      </c>
      <c r="BD243" s="34">
        <f>IF(BC243=1,COUNTIF($BC$5:BC243,1),"")</f>
        <v/>
      </c>
      <c r="BE243" s="34">
        <f>IF(BB243="","",IFERROR(INDEX('06_顧客別集計'!$G$5:$G$104,MATCH(BB243,'06_顧客別集計'!$C$5:$C$104,0)),BB243))</f>
        <v/>
      </c>
      <c r="BF243" s="34">
        <f>IF(AND(AZ243&lt;&gt;"",BE243&lt;&gt;""),IF(COUNTIFS($BE$5:BE243,BE243,$AZ$5:AZ243,"&gt;0")=1,1,""),"")</f>
        <v/>
      </c>
      <c r="BG243" s="34">
        <f>IF(BF243=1,COUNTIF($BF$5:BF243,1),"")</f>
        <v/>
      </c>
    </row>
    <row r="244">
      <c r="AB244">
        <f>IF(AND(A244="",G244=""),"",IF(ISNUMBER(SEARCH("##END",AM244)),"（終わりの印）",IF(ISNUMBER(SEARCH("##続き",AM244)),"（続きありの印）",IF(AM244="調査ID","（見出し行）",IF(AND(AM244&lt;&gt;"R1",AM244&lt;&gt;"R2"),"×表以外の行（集計されない）",IF(COUNTIF($AN$5:AN244,AN244)&gt;1,"△重複（集計されない）",IF(G244="","△タスク名なし",IF(ISNA(MATCH(AQ244,'M1_類型マスタ'!$A$5:$A$19,0)),"△類型が不正",IF(OR(AP244="",N(AP244)&lt;1,N(AP244)&gt;6),"△業務区分が不正",IF(OR(AS244="",AT244=""),"△回数・分が読めない",IF(SUMPRODUCT(--ISNUMBER(--T244:Z244))&lt;7,"△採点が足りない",IF(SUMPRODUCT((--T244:Z244&gt;2)+(--T244:Z244&lt;0))&gt;0,"△採点が範囲外","OK"))))))))))))</f>
        <v/>
      </c>
      <c r="AC244">
        <f>IF(AB244&lt;&gt;"OK","",TRIM(IF(AND(AU244&lt;&gt;"",N(AU244)&lt;=1),"根拠1件 ","")&amp;IF(AV244&lt;&gt;"","同名あり ","")&amp;IF(AND(NOT(ISNUMBER(N244)),N244&lt;&gt;""),"回数を換算 ","")&amp;IF(J244="","詳細なし ","")&amp;IF(AND(N(AP244)=1,BB244=""),"顧客名なし ","")))</f>
        <v/>
      </c>
      <c r="AD244" s="31" t="n"/>
      <c r="AE244" s="32" t="n"/>
      <c r="AF244" s="32" t="n"/>
      <c r="AG244" s="31" t="n"/>
      <c r="AH244">
        <f>IF(AB244&lt;&gt;"OK","",IF(AG244&lt;&gt;"",AG244,AJ244))</f>
        <v/>
      </c>
      <c r="AI244" s="33">
        <f>IF(AB244&lt;&gt;"OK","",IFERROR(IF(AE244&lt;&gt;"",AE244,AS244)*IF(AF244&lt;&gt;"",AF244,AT244)/60,""))</f>
        <v/>
      </c>
      <c r="AJ244">
        <f>IF(AB244&lt;&gt;"OK","",IF(OR(VALUE(T244)=2,VALUE(U244)=2,VALUE(V244)=2),"社内残置",IF(AND(VALUE(T244)=0,VALUE(W244)=0,VALUE(Y244)=0),"自動化候補",IF(AND(VALUE(U244)=0,VALUE(W244)&lt;=1,VALUE(X244)&lt;=1,VALUE(Y244)&lt;=1,VALUE(Z244)&lt;=1),"オフショア候補",IF(AND(VALUE(Y244)&lt;=1,VALUE(Z244)&lt;=1),"ニアショア候補","社内で手順化→再評価")))))</f>
        <v/>
      </c>
      <c r="AK244">
        <f>IF(AB244&lt;&gt;"OK","",14-SUMPRODUCT(--T244:Z244))</f>
        <v/>
      </c>
      <c r="AL244" s="33">
        <f>IF(AB244&lt;&gt;"OK","",AS244*AT244/60)</f>
        <v/>
      </c>
      <c r="AM244" s="34">
        <f>IF(A244="","",UPPER(TRIM(ASC(A244&amp;""))))</f>
        <v/>
      </c>
      <c r="AN244" s="34">
        <f>IF(AM244="","",AM244&amp;"-"&amp;B244)</f>
        <v/>
      </c>
      <c r="AO244" s="34">
        <f>IF(C244="","",IFERROR(VALUE(ASC(SUBSTITUTE(C244&amp;"","観点",""))),""))</f>
        <v/>
      </c>
      <c r="AP244" s="34">
        <f>IF(D244="","",IFERROR(VALUE(LEFT(TRIM(ASC(D244&amp;"")),1)),IFERROR(MATCH(TRIM(D244&amp;""),'M2_区分マスタ'!$I$5:$I$10,0),"")))</f>
        <v/>
      </c>
      <c r="AQ244" s="34">
        <f>IF(H244="","",UPPER(LEFT(TRIM(ASC(H244&amp;"")),3)))</f>
        <v/>
      </c>
      <c r="AR244" s="34">
        <f>IF(N244="","",IFERROR(VALUE(SUBSTITUTE(SUBSTITUTE(SUBSTITUTE(SUBSTITUTE(SUBSTITUTE(SUBSTITUTE(SUBSTITUTE(SUBSTITUTE(SUBSTITUTE(SUBSTITUTE(SUBSTITUTE(SUBSTITUTE(ASC(N244&amp;""),"約",""),"程度",""),"ほど",""),"回",""),"毎",""),"週",""),"月",""),"年",""),"日",""),"に",""),"/","")," ","")),""))</f>
        <v/>
      </c>
      <c r="AS244" s="34">
        <f>IF(N244="","",IF(ISNUMBER(N244),N244,IFERROR(VALUE(ASC(N244&amp;"")),IF(AR244&lt;&gt;"",AR244*IF(ISNUMBER(SEARCH("週",N244)),4.3,IF(ISNUMBER(SEARCH("年",N244)),1/12,IF(ISNUMBER(SEARCH("日",N244)),20,1))),IF(ISNUMBER(SEARCH("日",N244)),20,IF(ISNUMBER(SEARCH("週",N244)),4.3,IF(ISNUMBER(SEARCH("月",N244)),1,"")))))))</f>
        <v/>
      </c>
      <c r="AT244" s="34">
        <f>IF(O244="","",IF(ISNUMBER(O244),O244,IFERROR(VALUE(ASC(O244&amp;"")),IF(ISNUMBER(SEARCH("時間",O244)),IFERROR(VALUE(SUBSTITUTE(SUBSTITUTE(SUBSTITUTE(SUBSTITUTE(SUBSTITUTE(ASC(O244&amp;""),"約",""),"程度",""),"ほど",""),"時間","")," ",""))*60,""),IFERROR(VALUE(SUBSTITUTE(SUBSTITUTE(SUBSTITUTE(SUBSTITUTE(SUBSTITUTE(ASC(O244&amp;""),"約",""),"程度",""),"ほど",""),"分","")," ","")),"")))))</f>
        <v/>
      </c>
      <c r="AU244" s="34">
        <f>IF(P244="","",IF(ISNUMBER(P244),P244,IFERROR(VALUE(SUBSTITUTE(SUBSTITUTE(SUBSTITUTE(ASC(P244&amp;""),"約",""),"件","")," ","")),"")))</f>
        <v/>
      </c>
      <c r="AV244" s="34">
        <f>IF(AB244&lt;&gt;"OK","",IF(COUNTIFS($G$5:$G$404,G244&amp;"",$F$5:$F$404,F244&amp;"",$BE$5:$BE$404,BE244&amp;"",$AB$5:$AB$404,"OK")&gt;1,"同名あり",""))</f>
        <v/>
      </c>
      <c r="AW244" s="35">
        <f>IF(Q244="","",IF(ISNUMBER(Q244),Q244,IFERROR(DATEVALUE(SUBSTITUTE(SUBSTITUTE(ASC(Q244&amp;""),"-","/"),".","/")&amp;"/01"),"")))</f>
        <v/>
      </c>
      <c r="AX244" s="35">
        <f>IF(R244="","",IF(ISNUMBER(R244),R244,IFERROR(DATEVALUE(SUBSTITUTE(SUBSTITUTE(ASC(R244&amp;""),"-","/"),".","/")&amp;"/01"),"")))</f>
        <v/>
      </c>
      <c r="AY244" s="34">
        <f>IF(OR(AB244&lt;&gt;"OK",AW244=""),"",IF(AW244&gt;='01_設定'!$C$26,1,0))</f>
        <v/>
      </c>
      <c r="AZ244" s="34">
        <f>IF(AND(AB244="OK",AD244&lt;&gt;"除外"),COUNTIFS($AB$5:AB244,"OK",$AD$5:AD244,"&lt;&gt;除外"),"")</f>
        <v/>
      </c>
      <c r="BA244" s="34">
        <f>IF(OR(AZ244="",AI244=""),"",AI244+ROW()/1000000000)</f>
        <v/>
      </c>
      <c r="BB244" s="34">
        <f>IF(E244="","",IF(OR(TRIM(E244&amp;"")="-",TRIM(E244&amp;"")="－",TRIM(E244&amp;"")="ー"),"",TRIM(E244&amp;"")))</f>
        <v/>
      </c>
      <c r="BC244" s="34">
        <f>IF(AND(AB244="OK",BB244&lt;&gt;""),IF(COUNTIFS($BB$5:BB244,BB244,$AB$5:AB244,"OK")=1,1,""),"")</f>
        <v/>
      </c>
      <c r="BD244" s="34">
        <f>IF(BC244=1,COUNTIF($BC$5:BC244,1),"")</f>
        <v/>
      </c>
      <c r="BE244" s="34">
        <f>IF(BB244="","",IFERROR(INDEX('06_顧客別集計'!$G$5:$G$104,MATCH(BB244,'06_顧客別集計'!$C$5:$C$104,0)),BB244))</f>
        <v/>
      </c>
      <c r="BF244" s="34">
        <f>IF(AND(AZ244&lt;&gt;"",BE244&lt;&gt;""),IF(COUNTIFS($BE$5:BE244,BE244,$AZ$5:AZ244,"&gt;0")=1,1,""),"")</f>
        <v/>
      </c>
      <c r="BG244" s="34">
        <f>IF(BF244=1,COUNTIF($BF$5:BF244,1),"")</f>
        <v/>
      </c>
    </row>
    <row r="245">
      <c r="AB245">
        <f>IF(AND(A245="",G245=""),"",IF(ISNUMBER(SEARCH("##END",AM245)),"（終わりの印）",IF(ISNUMBER(SEARCH("##続き",AM245)),"（続きありの印）",IF(AM245="調査ID","（見出し行）",IF(AND(AM245&lt;&gt;"R1",AM245&lt;&gt;"R2"),"×表以外の行（集計されない）",IF(COUNTIF($AN$5:AN245,AN245)&gt;1,"△重複（集計されない）",IF(G245="","△タスク名なし",IF(ISNA(MATCH(AQ245,'M1_類型マスタ'!$A$5:$A$19,0)),"△類型が不正",IF(OR(AP245="",N(AP245)&lt;1,N(AP245)&gt;6),"△業務区分が不正",IF(OR(AS245="",AT245=""),"△回数・分が読めない",IF(SUMPRODUCT(--ISNUMBER(--T245:Z245))&lt;7,"△採点が足りない",IF(SUMPRODUCT((--T245:Z245&gt;2)+(--T245:Z245&lt;0))&gt;0,"△採点が範囲外","OK"))))))))))))</f>
        <v/>
      </c>
      <c r="AC245">
        <f>IF(AB245&lt;&gt;"OK","",TRIM(IF(AND(AU245&lt;&gt;"",N(AU245)&lt;=1),"根拠1件 ","")&amp;IF(AV245&lt;&gt;"","同名あり ","")&amp;IF(AND(NOT(ISNUMBER(N245)),N245&lt;&gt;""),"回数を換算 ","")&amp;IF(J245="","詳細なし ","")&amp;IF(AND(N(AP245)=1,BB245=""),"顧客名なし ","")))</f>
        <v/>
      </c>
      <c r="AD245" s="31" t="n"/>
      <c r="AE245" s="32" t="n"/>
      <c r="AF245" s="32" t="n"/>
      <c r="AG245" s="31" t="n"/>
      <c r="AH245">
        <f>IF(AB245&lt;&gt;"OK","",IF(AG245&lt;&gt;"",AG245,AJ245))</f>
        <v/>
      </c>
      <c r="AI245" s="33">
        <f>IF(AB245&lt;&gt;"OK","",IFERROR(IF(AE245&lt;&gt;"",AE245,AS245)*IF(AF245&lt;&gt;"",AF245,AT245)/60,""))</f>
        <v/>
      </c>
      <c r="AJ245">
        <f>IF(AB245&lt;&gt;"OK","",IF(OR(VALUE(T245)=2,VALUE(U245)=2,VALUE(V245)=2),"社内残置",IF(AND(VALUE(T245)=0,VALUE(W245)=0,VALUE(Y245)=0),"自動化候補",IF(AND(VALUE(U245)=0,VALUE(W245)&lt;=1,VALUE(X245)&lt;=1,VALUE(Y245)&lt;=1,VALUE(Z245)&lt;=1),"オフショア候補",IF(AND(VALUE(Y245)&lt;=1,VALUE(Z245)&lt;=1),"ニアショア候補","社内で手順化→再評価")))))</f>
        <v/>
      </c>
      <c r="AK245">
        <f>IF(AB245&lt;&gt;"OK","",14-SUMPRODUCT(--T245:Z245))</f>
        <v/>
      </c>
      <c r="AL245" s="33">
        <f>IF(AB245&lt;&gt;"OK","",AS245*AT245/60)</f>
        <v/>
      </c>
      <c r="AM245" s="34">
        <f>IF(A245="","",UPPER(TRIM(ASC(A245&amp;""))))</f>
        <v/>
      </c>
      <c r="AN245" s="34">
        <f>IF(AM245="","",AM245&amp;"-"&amp;B245)</f>
        <v/>
      </c>
      <c r="AO245" s="34">
        <f>IF(C245="","",IFERROR(VALUE(ASC(SUBSTITUTE(C245&amp;"","観点",""))),""))</f>
        <v/>
      </c>
      <c r="AP245" s="34">
        <f>IF(D245="","",IFERROR(VALUE(LEFT(TRIM(ASC(D245&amp;"")),1)),IFERROR(MATCH(TRIM(D245&amp;""),'M2_区分マスタ'!$I$5:$I$10,0),"")))</f>
        <v/>
      </c>
      <c r="AQ245" s="34">
        <f>IF(H245="","",UPPER(LEFT(TRIM(ASC(H245&amp;"")),3)))</f>
        <v/>
      </c>
      <c r="AR245" s="34">
        <f>IF(N245="","",IFERROR(VALUE(SUBSTITUTE(SUBSTITUTE(SUBSTITUTE(SUBSTITUTE(SUBSTITUTE(SUBSTITUTE(SUBSTITUTE(SUBSTITUTE(SUBSTITUTE(SUBSTITUTE(SUBSTITUTE(SUBSTITUTE(ASC(N245&amp;""),"約",""),"程度",""),"ほど",""),"回",""),"毎",""),"週",""),"月",""),"年",""),"日",""),"に",""),"/","")," ","")),""))</f>
        <v/>
      </c>
      <c r="AS245" s="34">
        <f>IF(N245="","",IF(ISNUMBER(N245),N245,IFERROR(VALUE(ASC(N245&amp;"")),IF(AR245&lt;&gt;"",AR245*IF(ISNUMBER(SEARCH("週",N245)),4.3,IF(ISNUMBER(SEARCH("年",N245)),1/12,IF(ISNUMBER(SEARCH("日",N245)),20,1))),IF(ISNUMBER(SEARCH("日",N245)),20,IF(ISNUMBER(SEARCH("週",N245)),4.3,IF(ISNUMBER(SEARCH("月",N245)),1,"")))))))</f>
        <v/>
      </c>
      <c r="AT245" s="34">
        <f>IF(O245="","",IF(ISNUMBER(O245),O245,IFERROR(VALUE(ASC(O245&amp;"")),IF(ISNUMBER(SEARCH("時間",O245)),IFERROR(VALUE(SUBSTITUTE(SUBSTITUTE(SUBSTITUTE(SUBSTITUTE(SUBSTITUTE(ASC(O245&amp;""),"約",""),"程度",""),"ほど",""),"時間","")," ",""))*60,""),IFERROR(VALUE(SUBSTITUTE(SUBSTITUTE(SUBSTITUTE(SUBSTITUTE(SUBSTITUTE(ASC(O245&amp;""),"約",""),"程度",""),"ほど",""),"分","")," ","")),"")))))</f>
        <v/>
      </c>
      <c r="AU245" s="34">
        <f>IF(P245="","",IF(ISNUMBER(P245),P245,IFERROR(VALUE(SUBSTITUTE(SUBSTITUTE(SUBSTITUTE(ASC(P245&amp;""),"約",""),"件","")," ","")),"")))</f>
        <v/>
      </c>
      <c r="AV245" s="34">
        <f>IF(AB245&lt;&gt;"OK","",IF(COUNTIFS($G$5:$G$404,G245&amp;"",$F$5:$F$404,F245&amp;"",$BE$5:$BE$404,BE245&amp;"",$AB$5:$AB$404,"OK")&gt;1,"同名あり",""))</f>
        <v/>
      </c>
      <c r="AW245" s="35">
        <f>IF(Q245="","",IF(ISNUMBER(Q245),Q245,IFERROR(DATEVALUE(SUBSTITUTE(SUBSTITUTE(ASC(Q245&amp;""),"-","/"),".","/")&amp;"/01"),"")))</f>
        <v/>
      </c>
      <c r="AX245" s="35">
        <f>IF(R245="","",IF(ISNUMBER(R245),R245,IFERROR(DATEVALUE(SUBSTITUTE(SUBSTITUTE(ASC(R245&amp;""),"-","/"),".","/")&amp;"/01"),"")))</f>
        <v/>
      </c>
      <c r="AY245" s="34">
        <f>IF(OR(AB245&lt;&gt;"OK",AW245=""),"",IF(AW245&gt;='01_設定'!$C$26,1,0))</f>
        <v/>
      </c>
      <c r="AZ245" s="34">
        <f>IF(AND(AB245="OK",AD245&lt;&gt;"除外"),COUNTIFS($AB$5:AB245,"OK",$AD$5:AD245,"&lt;&gt;除外"),"")</f>
        <v/>
      </c>
      <c r="BA245" s="34">
        <f>IF(OR(AZ245="",AI245=""),"",AI245+ROW()/1000000000)</f>
        <v/>
      </c>
      <c r="BB245" s="34">
        <f>IF(E245="","",IF(OR(TRIM(E245&amp;"")="-",TRIM(E245&amp;"")="－",TRIM(E245&amp;"")="ー"),"",TRIM(E245&amp;"")))</f>
        <v/>
      </c>
      <c r="BC245" s="34">
        <f>IF(AND(AB245="OK",BB245&lt;&gt;""),IF(COUNTIFS($BB$5:BB245,BB245,$AB$5:AB245,"OK")=1,1,""),"")</f>
        <v/>
      </c>
      <c r="BD245" s="34">
        <f>IF(BC245=1,COUNTIF($BC$5:BC245,1),"")</f>
        <v/>
      </c>
      <c r="BE245" s="34">
        <f>IF(BB245="","",IFERROR(INDEX('06_顧客別集計'!$G$5:$G$104,MATCH(BB245,'06_顧客別集計'!$C$5:$C$104,0)),BB245))</f>
        <v/>
      </c>
      <c r="BF245" s="34">
        <f>IF(AND(AZ245&lt;&gt;"",BE245&lt;&gt;""),IF(COUNTIFS($BE$5:BE245,BE245,$AZ$5:AZ245,"&gt;0")=1,1,""),"")</f>
        <v/>
      </c>
      <c r="BG245" s="34">
        <f>IF(BF245=1,COUNTIF($BF$5:BF245,1),"")</f>
        <v/>
      </c>
    </row>
    <row r="246">
      <c r="AB246">
        <f>IF(AND(A246="",G246=""),"",IF(ISNUMBER(SEARCH("##END",AM246)),"（終わりの印）",IF(ISNUMBER(SEARCH("##続き",AM246)),"（続きありの印）",IF(AM246="調査ID","（見出し行）",IF(AND(AM246&lt;&gt;"R1",AM246&lt;&gt;"R2"),"×表以外の行（集計されない）",IF(COUNTIF($AN$5:AN246,AN246)&gt;1,"△重複（集計されない）",IF(G246="","△タスク名なし",IF(ISNA(MATCH(AQ246,'M1_類型マスタ'!$A$5:$A$19,0)),"△類型が不正",IF(OR(AP246="",N(AP246)&lt;1,N(AP246)&gt;6),"△業務区分が不正",IF(OR(AS246="",AT246=""),"△回数・分が読めない",IF(SUMPRODUCT(--ISNUMBER(--T246:Z246))&lt;7,"△採点が足りない",IF(SUMPRODUCT((--T246:Z246&gt;2)+(--T246:Z246&lt;0))&gt;0,"△採点が範囲外","OK"))))))))))))</f>
        <v/>
      </c>
      <c r="AC246">
        <f>IF(AB246&lt;&gt;"OK","",TRIM(IF(AND(AU246&lt;&gt;"",N(AU246)&lt;=1),"根拠1件 ","")&amp;IF(AV246&lt;&gt;"","同名あり ","")&amp;IF(AND(NOT(ISNUMBER(N246)),N246&lt;&gt;""),"回数を換算 ","")&amp;IF(J246="","詳細なし ","")&amp;IF(AND(N(AP246)=1,BB246=""),"顧客名なし ","")))</f>
        <v/>
      </c>
      <c r="AD246" s="31" t="n"/>
      <c r="AE246" s="32" t="n"/>
      <c r="AF246" s="32" t="n"/>
      <c r="AG246" s="31" t="n"/>
      <c r="AH246">
        <f>IF(AB246&lt;&gt;"OK","",IF(AG246&lt;&gt;"",AG246,AJ246))</f>
        <v/>
      </c>
      <c r="AI246" s="33">
        <f>IF(AB246&lt;&gt;"OK","",IFERROR(IF(AE246&lt;&gt;"",AE246,AS246)*IF(AF246&lt;&gt;"",AF246,AT246)/60,""))</f>
        <v/>
      </c>
      <c r="AJ246">
        <f>IF(AB246&lt;&gt;"OK","",IF(OR(VALUE(T246)=2,VALUE(U246)=2,VALUE(V246)=2),"社内残置",IF(AND(VALUE(T246)=0,VALUE(W246)=0,VALUE(Y246)=0),"自動化候補",IF(AND(VALUE(U246)=0,VALUE(W246)&lt;=1,VALUE(X246)&lt;=1,VALUE(Y246)&lt;=1,VALUE(Z246)&lt;=1),"オフショア候補",IF(AND(VALUE(Y246)&lt;=1,VALUE(Z246)&lt;=1),"ニアショア候補","社内で手順化→再評価")))))</f>
        <v/>
      </c>
      <c r="AK246">
        <f>IF(AB246&lt;&gt;"OK","",14-SUMPRODUCT(--T246:Z246))</f>
        <v/>
      </c>
      <c r="AL246" s="33">
        <f>IF(AB246&lt;&gt;"OK","",AS246*AT246/60)</f>
        <v/>
      </c>
      <c r="AM246" s="34">
        <f>IF(A246="","",UPPER(TRIM(ASC(A246&amp;""))))</f>
        <v/>
      </c>
      <c r="AN246" s="34">
        <f>IF(AM246="","",AM246&amp;"-"&amp;B246)</f>
        <v/>
      </c>
      <c r="AO246" s="34">
        <f>IF(C246="","",IFERROR(VALUE(ASC(SUBSTITUTE(C246&amp;"","観点",""))),""))</f>
        <v/>
      </c>
      <c r="AP246" s="34">
        <f>IF(D246="","",IFERROR(VALUE(LEFT(TRIM(ASC(D246&amp;"")),1)),IFERROR(MATCH(TRIM(D246&amp;""),'M2_区分マスタ'!$I$5:$I$10,0),"")))</f>
        <v/>
      </c>
      <c r="AQ246" s="34">
        <f>IF(H246="","",UPPER(LEFT(TRIM(ASC(H246&amp;"")),3)))</f>
        <v/>
      </c>
      <c r="AR246" s="34">
        <f>IF(N246="","",IFERROR(VALUE(SUBSTITUTE(SUBSTITUTE(SUBSTITUTE(SUBSTITUTE(SUBSTITUTE(SUBSTITUTE(SUBSTITUTE(SUBSTITUTE(SUBSTITUTE(SUBSTITUTE(SUBSTITUTE(SUBSTITUTE(ASC(N246&amp;""),"約",""),"程度",""),"ほど",""),"回",""),"毎",""),"週",""),"月",""),"年",""),"日",""),"に",""),"/","")," ","")),""))</f>
        <v/>
      </c>
      <c r="AS246" s="34">
        <f>IF(N246="","",IF(ISNUMBER(N246),N246,IFERROR(VALUE(ASC(N246&amp;"")),IF(AR246&lt;&gt;"",AR246*IF(ISNUMBER(SEARCH("週",N246)),4.3,IF(ISNUMBER(SEARCH("年",N246)),1/12,IF(ISNUMBER(SEARCH("日",N246)),20,1))),IF(ISNUMBER(SEARCH("日",N246)),20,IF(ISNUMBER(SEARCH("週",N246)),4.3,IF(ISNUMBER(SEARCH("月",N246)),1,"")))))))</f>
        <v/>
      </c>
      <c r="AT246" s="34">
        <f>IF(O246="","",IF(ISNUMBER(O246),O246,IFERROR(VALUE(ASC(O246&amp;"")),IF(ISNUMBER(SEARCH("時間",O246)),IFERROR(VALUE(SUBSTITUTE(SUBSTITUTE(SUBSTITUTE(SUBSTITUTE(SUBSTITUTE(ASC(O246&amp;""),"約",""),"程度",""),"ほど",""),"時間","")," ",""))*60,""),IFERROR(VALUE(SUBSTITUTE(SUBSTITUTE(SUBSTITUTE(SUBSTITUTE(SUBSTITUTE(ASC(O246&amp;""),"約",""),"程度",""),"ほど",""),"分","")," ","")),"")))))</f>
        <v/>
      </c>
      <c r="AU246" s="34">
        <f>IF(P246="","",IF(ISNUMBER(P246),P246,IFERROR(VALUE(SUBSTITUTE(SUBSTITUTE(SUBSTITUTE(ASC(P246&amp;""),"約",""),"件","")," ","")),"")))</f>
        <v/>
      </c>
      <c r="AV246" s="34">
        <f>IF(AB246&lt;&gt;"OK","",IF(COUNTIFS($G$5:$G$404,G246&amp;"",$F$5:$F$404,F246&amp;"",$BE$5:$BE$404,BE246&amp;"",$AB$5:$AB$404,"OK")&gt;1,"同名あり",""))</f>
        <v/>
      </c>
      <c r="AW246" s="35">
        <f>IF(Q246="","",IF(ISNUMBER(Q246),Q246,IFERROR(DATEVALUE(SUBSTITUTE(SUBSTITUTE(ASC(Q246&amp;""),"-","/"),".","/")&amp;"/01"),"")))</f>
        <v/>
      </c>
      <c r="AX246" s="35">
        <f>IF(R246="","",IF(ISNUMBER(R246),R246,IFERROR(DATEVALUE(SUBSTITUTE(SUBSTITUTE(ASC(R246&amp;""),"-","/"),".","/")&amp;"/01"),"")))</f>
        <v/>
      </c>
      <c r="AY246" s="34">
        <f>IF(OR(AB246&lt;&gt;"OK",AW246=""),"",IF(AW246&gt;='01_設定'!$C$26,1,0))</f>
        <v/>
      </c>
      <c r="AZ246" s="34">
        <f>IF(AND(AB246="OK",AD246&lt;&gt;"除外"),COUNTIFS($AB$5:AB246,"OK",$AD$5:AD246,"&lt;&gt;除外"),"")</f>
        <v/>
      </c>
      <c r="BA246" s="34">
        <f>IF(OR(AZ246="",AI246=""),"",AI246+ROW()/1000000000)</f>
        <v/>
      </c>
      <c r="BB246" s="34">
        <f>IF(E246="","",IF(OR(TRIM(E246&amp;"")="-",TRIM(E246&amp;"")="－",TRIM(E246&amp;"")="ー"),"",TRIM(E246&amp;"")))</f>
        <v/>
      </c>
      <c r="BC246" s="34">
        <f>IF(AND(AB246="OK",BB246&lt;&gt;""),IF(COUNTIFS($BB$5:BB246,BB246,$AB$5:AB246,"OK")=1,1,""),"")</f>
        <v/>
      </c>
      <c r="BD246" s="34">
        <f>IF(BC246=1,COUNTIF($BC$5:BC246,1),"")</f>
        <v/>
      </c>
      <c r="BE246" s="34">
        <f>IF(BB246="","",IFERROR(INDEX('06_顧客別集計'!$G$5:$G$104,MATCH(BB246,'06_顧客別集計'!$C$5:$C$104,0)),BB246))</f>
        <v/>
      </c>
      <c r="BF246" s="34">
        <f>IF(AND(AZ246&lt;&gt;"",BE246&lt;&gt;""),IF(COUNTIFS($BE$5:BE246,BE246,$AZ$5:AZ246,"&gt;0")=1,1,""),"")</f>
        <v/>
      </c>
      <c r="BG246" s="34">
        <f>IF(BF246=1,COUNTIF($BF$5:BF246,1),"")</f>
        <v/>
      </c>
    </row>
    <row r="247">
      <c r="AB247">
        <f>IF(AND(A247="",G247=""),"",IF(ISNUMBER(SEARCH("##END",AM247)),"（終わりの印）",IF(ISNUMBER(SEARCH("##続き",AM247)),"（続きありの印）",IF(AM247="調査ID","（見出し行）",IF(AND(AM247&lt;&gt;"R1",AM247&lt;&gt;"R2"),"×表以外の行（集計されない）",IF(COUNTIF($AN$5:AN247,AN247)&gt;1,"△重複（集計されない）",IF(G247="","△タスク名なし",IF(ISNA(MATCH(AQ247,'M1_類型マスタ'!$A$5:$A$19,0)),"△類型が不正",IF(OR(AP247="",N(AP247)&lt;1,N(AP247)&gt;6),"△業務区分が不正",IF(OR(AS247="",AT247=""),"△回数・分が読めない",IF(SUMPRODUCT(--ISNUMBER(--T247:Z247))&lt;7,"△採点が足りない",IF(SUMPRODUCT((--T247:Z247&gt;2)+(--T247:Z247&lt;0))&gt;0,"△採点が範囲外","OK"))))))))))))</f>
        <v/>
      </c>
      <c r="AC247">
        <f>IF(AB247&lt;&gt;"OK","",TRIM(IF(AND(AU247&lt;&gt;"",N(AU247)&lt;=1),"根拠1件 ","")&amp;IF(AV247&lt;&gt;"","同名あり ","")&amp;IF(AND(NOT(ISNUMBER(N247)),N247&lt;&gt;""),"回数を換算 ","")&amp;IF(J247="","詳細なし ","")&amp;IF(AND(N(AP247)=1,BB247=""),"顧客名なし ","")))</f>
        <v/>
      </c>
      <c r="AD247" s="31" t="n"/>
      <c r="AE247" s="32" t="n"/>
      <c r="AF247" s="32" t="n"/>
      <c r="AG247" s="31" t="n"/>
      <c r="AH247">
        <f>IF(AB247&lt;&gt;"OK","",IF(AG247&lt;&gt;"",AG247,AJ247))</f>
        <v/>
      </c>
      <c r="AI247" s="33">
        <f>IF(AB247&lt;&gt;"OK","",IFERROR(IF(AE247&lt;&gt;"",AE247,AS247)*IF(AF247&lt;&gt;"",AF247,AT247)/60,""))</f>
        <v/>
      </c>
      <c r="AJ247">
        <f>IF(AB247&lt;&gt;"OK","",IF(OR(VALUE(T247)=2,VALUE(U247)=2,VALUE(V247)=2),"社内残置",IF(AND(VALUE(T247)=0,VALUE(W247)=0,VALUE(Y247)=0),"自動化候補",IF(AND(VALUE(U247)=0,VALUE(W247)&lt;=1,VALUE(X247)&lt;=1,VALUE(Y247)&lt;=1,VALUE(Z247)&lt;=1),"オフショア候補",IF(AND(VALUE(Y247)&lt;=1,VALUE(Z247)&lt;=1),"ニアショア候補","社内で手順化→再評価")))))</f>
        <v/>
      </c>
      <c r="AK247">
        <f>IF(AB247&lt;&gt;"OK","",14-SUMPRODUCT(--T247:Z247))</f>
        <v/>
      </c>
      <c r="AL247" s="33">
        <f>IF(AB247&lt;&gt;"OK","",AS247*AT247/60)</f>
        <v/>
      </c>
      <c r="AM247" s="34">
        <f>IF(A247="","",UPPER(TRIM(ASC(A247&amp;""))))</f>
        <v/>
      </c>
      <c r="AN247" s="34">
        <f>IF(AM247="","",AM247&amp;"-"&amp;B247)</f>
        <v/>
      </c>
      <c r="AO247" s="34">
        <f>IF(C247="","",IFERROR(VALUE(ASC(SUBSTITUTE(C247&amp;"","観点",""))),""))</f>
        <v/>
      </c>
      <c r="AP247" s="34">
        <f>IF(D247="","",IFERROR(VALUE(LEFT(TRIM(ASC(D247&amp;"")),1)),IFERROR(MATCH(TRIM(D247&amp;""),'M2_区分マスタ'!$I$5:$I$10,0),"")))</f>
        <v/>
      </c>
      <c r="AQ247" s="34">
        <f>IF(H247="","",UPPER(LEFT(TRIM(ASC(H247&amp;"")),3)))</f>
        <v/>
      </c>
      <c r="AR247" s="34">
        <f>IF(N247="","",IFERROR(VALUE(SUBSTITUTE(SUBSTITUTE(SUBSTITUTE(SUBSTITUTE(SUBSTITUTE(SUBSTITUTE(SUBSTITUTE(SUBSTITUTE(SUBSTITUTE(SUBSTITUTE(SUBSTITUTE(SUBSTITUTE(ASC(N247&amp;""),"約",""),"程度",""),"ほど",""),"回",""),"毎",""),"週",""),"月",""),"年",""),"日",""),"に",""),"/","")," ","")),""))</f>
        <v/>
      </c>
      <c r="AS247" s="34">
        <f>IF(N247="","",IF(ISNUMBER(N247),N247,IFERROR(VALUE(ASC(N247&amp;"")),IF(AR247&lt;&gt;"",AR247*IF(ISNUMBER(SEARCH("週",N247)),4.3,IF(ISNUMBER(SEARCH("年",N247)),1/12,IF(ISNUMBER(SEARCH("日",N247)),20,1))),IF(ISNUMBER(SEARCH("日",N247)),20,IF(ISNUMBER(SEARCH("週",N247)),4.3,IF(ISNUMBER(SEARCH("月",N247)),1,"")))))))</f>
        <v/>
      </c>
      <c r="AT247" s="34">
        <f>IF(O247="","",IF(ISNUMBER(O247),O247,IFERROR(VALUE(ASC(O247&amp;"")),IF(ISNUMBER(SEARCH("時間",O247)),IFERROR(VALUE(SUBSTITUTE(SUBSTITUTE(SUBSTITUTE(SUBSTITUTE(SUBSTITUTE(ASC(O247&amp;""),"約",""),"程度",""),"ほど",""),"時間","")," ",""))*60,""),IFERROR(VALUE(SUBSTITUTE(SUBSTITUTE(SUBSTITUTE(SUBSTITUTE(SUBSTITUTE(ASC(O247&amp;""),"約",""),"程度",""),"ほど",""),"分","")," ","")),"")))))</f>
        <v/>
      </c>
      <c r="AU247" s="34">
        <f>IF(P247="","",IF(ISNUMBER(P247),P247,IFERROR(VALUE(SUBSTITUTE(SUBSTITUTE(SUBSTITUTE(ASC(P247&amp;""),"約",""),"件","")," ","")),"")))</f>
        <v/>
      </c>
      <c r="AV247" s="34">
        <f>IF(AB247&lt;&gt;"OK","",IF(COUNTIFS($G$5:$G$404,G247&amp;"",$F$5:$F$404,F247&amp;"",$BE$5:$BE$404,BE247&amp;"",$AB$5:$AB$404,"OK")&gt;1,"同名あり",""))</f>
        <v/>
      </c>
      <c r="AW247" s="35">
        <f>IF(Q247="","",IF(ISNUMBER(Q247),Q247,IFERROR(DATEVALUE(SUBSTITUTE(SUBSTITUTE(ASC(Q247&amp;""),"-","/"),".","/")&amp;"/01"),"")))</f>
        <v/>
      </c>
      <c r="AX247" s="35">
        <f>IF(R247="","",IF(ISNUMBER(R247),R247,IFERROR(DATEVALUE(SUBSTITUTE(SUBSTITUTE(ASC(R247&amp;""),"-","/"),".","/")&amp;"/01"),"")))</f>
        <v/>
      </c>
      <c r="AY247" s="34">
        <f>IF(OR(AB247&lt;&gt;"OK",AW247=""),"",IF(AW247&gt;='01_設定'!$C$26,1,0))</f>
        <v/>
      </c>
      <c r="AZ247" s="34">
        <f>IF(AND(AB247="OK",AD247&lt;&gt;"除外"),COUNTIFS($AB$5:AB247,"OK",$AD$5:AD247,"&lt;&gt;除外"),"")</f>
        <v/>
      </c>
      <c r="BA247" s="34">
        <f>IF(OR(AZ247="",AI247=""),"",AI247+ROW()/1000000000)</f>
        <v/>
      </c>
      <c r="BB247" s="34">
        <f>IF(E247="","",IF(OR(TRIM(E247&amp;"")="-",TRIM(E247&amp;"")="－",TRIM(E247&amp;"")="ー"),"",TRIM(E247&amp;"")))</f>
        <v/>
      </c>
      <c r="BC247" s="34">
        <f>IF(AND(AB247="OK",BB247&lt;&gt;""),IF(COUNTIFS($BB$5:BB247,BB247,$AB$5:AB247,"OK")=1,1,""),"")</f>
        <v/>
      </c>
      <c r="BD247" s="34">
        <f>IF(BC247=1,COUNTIF($BC$5:BC247,1),"")</f>
        <v/>
      </c>
      <c r="BE247" s="34">
        <f>IF(BB247="","",IFERROR(INDEX('06_顧客別集計'!$G$5:$G$104,MATCH(BB247,'06_顧客別集計'!$C$5:$C$104,0)),BB247))</f>
        <v/>
      </c>
      <c r="BF247" s="34">
        <f>IF(AND(AZ247&lt;&gt;"",BE247&lt;&gt;""),IF(COUNTIFS($BE$5:BE247,BE247,$AZ$5:AZ247,"&gt;0")=1,1,""),"")</f>
        <v/>
      </c>
      <c r="BG247" s="34">
        <f>IF(BF247=1,COUNTIF($BF$5:BF247,1),"")</f>
        <v/>
      </c>
    </row>
    <row r="248">
      <c r="AB248">
        <f>IF(AND(A248="",G248=""),"",IF(ISNUMBER(SEARCH("##END",AM248)),"（終わりの印）",IF(ISNUMBER(SEARCH("##続き",AM248)),"（続きありの印）",IF(AM248="調査ID","（見出し行）",IF(AND(AM248&lt;&gt;"R1",AM248&lt;&gt;"R2"),"×表以外の行（集計されない）",IF(COUNTIF($AN$5:AN248,AN248)&gt;1,"△重複（集計されない）",IF(G248="","△タスク名なし",IF(ISNA(MATCH(AQ248,'M1_類型マスタ'!$A$5:$A$19,0)),"△類型が不正",IF(OR(AP248="",N(AP248)&lt;1,N(AP248)&gt;6),"△業務区分が不正",IF(OR(AS248="",AT248=""),"△回数・分が読めない",IF(SUMPRODUCT(--ISNUMBER(--T248:Z248))&lt;7,"△採点が足りない",IF(SUMPRODUCT((--T248:Z248&gt;2)+(--T248:Z248&lt;0))&gt;0,"△採点が範囲外","OK"))))))))))))</f>
        <v/>
      </c>
      <c r="AC248">
        <f>IF(AB248&lt;&gt;"OK","",TRIM(IF(AND(AU248&lt;&gt;"",N(AU248)&lt;=1),"根拠1件 ","")&amp;IF(AV248&lt;&gt;"","同名あり ","")&amp;IF(AND(NOT(ISNUMBER(N248)),N248&lt;&gt;""),"回数を換算 ","")&amp;IF(J248="","詳細なし ","")&amp;IF(AND(N(AP248)=1,BB248=""),"顧客名なし ","")))</f>
        <v/>
      </c>
      <c r="AD248" s="31" t="n"/>
      <c r="AE248" s="32" t="n"/>
      <c r="AF248" s="32" t="n"/>
      <c r="AG248" s="31" t="n"/>
      <c r="AH248">
        <f>IF(AB248&lt;&gt;"OK","",IF(AG248&lt;&gt;"",AG248,AJ248))</f>
        <v/>
      </c>
      <c r="AI248" s="33">
        <f>IF(AB248&lt;&gt;"OK","",IFERROR(IF(AE248&lt;&gt;"",AE248,AS248)*IF(AF248&lt;&gt;"",AF248,AT248)/60,""))</f>
        <v/>
      </c>
      <c r="AJ248">
        <f>IF(AB248&lt;&gt;"OK","",IF(OR(VALUE(T248)=2,VALUE(U248)=2,VALUE(V248)=2),"社内残置",IF(AND(VALUE(T248)=0,VALUE(W248)=0,VALUE(Y248)=0),"自動化候補",IF(AND(VALUE(U248)=0,VALUE(W248)&lt;=1,VALUE(X248)&lt;=1,VALUE(Y248)&lt;=1,VALUE(Z248)&lt;=1),"オフショア候補",IF(AND(VALUE(Y248)&lt;=1,VALUE(Z248)&lt;=1),"ニアショア候補","社内で手順化→再評価")))))</f>
        <v/>
      </c>
      <c r="AK248">
        <f>IF(AB248&lt;&gt;"OK","",14-SUMPRODUCT(--T248:Z248))</f>
        <v/>
      </c>
      <c r="AL248" s="33">
        <f>IF(AB248&lt;&gt;"OK","",AS248*AT248/60)</f>
        <v/>
      </c>
      <c r="AM248" s="34">
        <f>IF(A248="","",UPPER(TRIM(ASC(A248&amp;""))))</f>
        <v/>
      </c>
      <c r="AN248" s="34">
        <f>IF(AM248="","",AM248&amp;"-"&amp;B248)</f>
        <v/>
      </c>
      <c r="AO248" s="34">
        <f>IF(C248="","",IFERROR(VALUE(ASC(SUBSTITUTE(C248&amp;"","観点",""))),""))</f>
        <v/>
      </c>
      <c r="AP248" s="34">
        <f>IF(D248="","",IFERROR(VALUE(LEFT(TRIM(ASC(D248&amp;"")),1)),IFERROR(MATCH(TRIM(D248&amp;""),'M2_区分マスタ'!$I$5:$I$10,0),"")))</f>
        <v/>
      </c>
      <c r="AQ248" s="34">
        <f>IF(H248="","",UPPER(LEFT(TRIM(ASC(H248&amp;"")),3)))</f>
        <v/>
      </c>
      <c r="AR248" s="34">
        <f>IF(N248="","",IFERROR(VALUE(SUBSTITUTE(SUBSTITUTE(SUBSTITUTE(SUBSTITUTE(SUBSTITUTE(SUBSTITUTE(SUBSTITUTE(SUBSTITUTE(SUBSTITUTE(SUBSTITUTE(SUBSTITUTE(SUBSTITUTE(ASC(N248&amp;""),"約",""),"程度",""),"ほど",""),"回",""),"毎",""),"週",""),"月",""),"年",""),"日",""),"に",""),"/","")," ","")),""))</f>
        <v/>
      </c>
      <c r="AS248" s="34">
        <f>IF(N248="","",IF(ISNUMBER(N248),N248,IFERROR(VALUE(ASC(N248&amp;"")),IF(AR248&lt;&gt;"",AR248*IF(ISNUMBER(SEARCH("週",N248)),4.3,IF(ISNUMBER(SEARCH("年",N248)),1/12,IF(ISNUMBER(SEARCH("日",N248)),20,1))),IF(ISNUMBER(SEARCH("日",N248)),20,IF(ISNUMBER(SEARCH("週",N248)),4.3,IF(ISNUMBER(SEARCH("月",N248)),1,"")))))))</f>
        <v/>
      </c>
      <c r="AT248" s="34">
        <f>IF(O248="","",IF(ISNUMBER(O248),O248,IFERROR(VALUE(ASC(O248&amp;"")),IF(ISNUMBER(SEARCH("時間",O248)),IFERROR(VALUE(SUBSTITUTE(SUBSTITUTE(SUBSTITUTE(SUBSTITUTE(SUBSTITUTE(ASC(O248&amp;""),"約",""),"程度",""),"ほど",""),"時間","")," ",""))*60,""),IFERROR(VALUE(SUBSTITUTE(SUBSTITUTE(SUBSTITUTE(SUBSTITUTE(SUBSTITUTE(ASC(O248&amp;""),"約",""),"程度",""),"ほど",""),"分","")," ","")),"")))))</f>
        <v/>
      </c>
      <c r="AU248" s="34">
        <f>IF(P248="","",IF(ISNUMBER(P248),P248,IFERROR(VALUE(SUBSTITUTE(SUBSTITUTE(SUBSTITUTE(ASC(P248&amp;""),"約",""),"件","")," ","")),"")))</f>
        <v/>
      </c>
      <c r="AV248" s="34">
        <f>IF(AB248&lt;&gt;"OK","",IF(COUNTIFS($G$5:$G$404,G248&amp;"",$F$5:$F$404,F248&amp;"",$BE$5:$BE$404,BE248&amp;"",$AB$5:$AB$404,"OK")&gt;1,"同名あり",""))</f>
        <v/>
      </c>
      <c r="AW248" s="35">
        <f>IF(Q248="","",IF(ISNUMBER(Q248),Q248,IFERROR(DATEVALUE(SUBSTITUTE(SUBSTITUTE(ASC(Q248&amp;""),"-","/"),".","/")&amp;"/01"),"")))</f>
        <v/>
      </c>
      <c r="AX248" s="35">
        <f>IF(R248="","",IF(ISNUMBER(R248),R248,IFERROR(DATEVALUE(SUBSTITUTE(SUBSTITUTE(ASC(R248&amp;""),"-","/"),".","/")&amp;"/01"),"")))</f>
        <v/>
      </c>
      <c r="AY248" s="34">
        <f>IF(OR(AB248&lt;&gt;"OK",AW248=""),"",IF(AW248&gt;='01_設定'!$C$26,1,0))</f>
        <v/>
      </c>
      <c r="AZ248" s="34">
        <f>IF(AND(AB248="OK",AD248&lt;&gt;"除外"),COUNTIFS($AB$5:AB248,"OK",$AD$5:AD248,"&lt;&gt;除外"),"")</f>
        <v/>
      </c>
      <c r="BA248" s="34">
        <f>IF(OR(AZ248="",AI248=""),"",AI248+ROW()/1000000000)</f>
        <v/>
      </c>
      <c r="BB248" s="34">
        <f>IF(E248="","",IF(OR(TRIM(E248&amp;"")="-",TRIM(E248&amp;"")="－",TRIM(E248&amp;"")="ー"),"",TRIM(E248&amp;"")))</f>
        <v/>
      </c>
      <c r="BC248" s="34">
        <f>IF(AND(AB248="OK",BB248&lt;&gt;""),IF(COUNTIFS($BB$5:BB248,BB248,$AB$5:AB248,"OK")=1,1,""),"")</f>
        <v/>
      </c>
      <c r="BD248" s="34">
        <f>IF(BC248=1,COUNTIF($BC$5:BC248,1),"")</f>
        <v/>
      </c>
      <c r="BE248" s="34">
        <f>IF(BB248="","",IFERROR(INDEX('06_顧客別集計'!$G$5:$G$104,MATCH(BB248,'06_顧客別集計'!$C$5:$C$104,0)),BB248))</f>
        <v/>
      </c>
      <c r="BF248" s="34">
        <f>IF(AND(AZ248&lt;&gt;"",BE248&lt;&gt;""),IF(COUNTIFS($BE$5:BE248,BE248,$AZ$5:AZ248,"&gt;0")=1,1,""),"")</f>
        <v/>
      </c>
      <c r="BG248" s="34">
        <f>IF(BF248=1,COUNTIF($BF$5:BF248,1),"")</f>
        <v/>
      </c>
    </row>
    <row r="249">
      <c r="AB249">
        <f>IF(AND(A249="",G249=""),"",IF(ISNUMBER(SEARCH("##END",AM249)),"（終わりの印）",IF(ISNUMBER(SEARCH("##続き",AM249)),"（続きありの印）",IF(AM249="調査ID","（見出し行）",IF(AND(AM249&lt;&gt;"R1",AM249&lt;&gt;"R2"),"×表以外の行（集計されない）",IF(COUNTIF($AN$5:AN249,AN249)&gt;1,"△重複（集計されない）",IF(G249="","△タスク名なし",IF(ISNA(MATCH(AQ249,'M1_類型マスタ'!$A$5:$A$19,0)),"△類型が不正",IF(OR(AP249="",N(AP249)&lt;1,N(AP249)&gt;6),"△業務区分が不正",IF(OR(AS249="",AT249=""),"△回数・分が読めない",IF(SUMPRODUCT(--ISNUMBER(--T249:Z249))&lt;7,"△採点が足りない",IF(SUMPRODUCT((--T249:Z249&gt;2)+(--T249:Z249&lt;0))&gt;0,"△採点が範囲外","OK"))))))))))))</f>
        <v/>
      </c>
      <c r="AC249">
        <f>IF(AB249&lt;&gt;"OK","",TRIM(IF(AND(AU249&lt;&gt;"",N(AU249)&lt;=1),"根拠1件 ","")&amp;IF(AV249&lt;&gt;"","同名あり ","")&amp;IF(AND(NOT(ISNUMBER(N249)),N249&lt;&gt;""),"回数を換算 ","")&amp;IF(J249="","詳細なし ","")&amp;IF(AND(N(AP249)=1,BB249=""),"顧客名なし ","")))</f>
        <v/>
      </c>
      <c r="AD249" s="31" t="n"/>
      <c r="AE249" s="32" t="n"/>
      <c r="AF249" s="32" t="n"/>
      <c r="AG249" s="31" t="n"/>
      <c r="AH249">
        <f>IF(AB249&lt;&gt;"OK","",IF(AG249&lt;&gt;"",AG249,AJ249))</f>
        <v/>
      </c>
      <c r="AI249" s="33">
        <f>IF(AB249&lt;&gt;"OK","",IFERROR(IF(AE249&lt;&gt;"",AE249,AS249)*IF(AF249&lt;&gt;"",AF249,AT249)/60,""))</f>
        <v/>
      </c>
      <c r="AJ249">
        <f>IF(AB249&lt;&gt;"OK","",IF(OR(VALUE(T249)=2,VALUE(U249)=2,VALUE(V249)=2),"社内残置",IF(AND(VALUE(T249)=0,VALUE(W249)=0,VALUE(Y249)=0),"自動化候補",IF(AND(VALUE(U249)=0,VALUE(W249)&lt;=1,VALUE(X249)&lt;=1,VALUE(Y249)&lt;=1,VALUE(Z249)&lt;=1),"オフショア候補",IF(AND(VALUE(Y249)&lt;=1,VALUE(Z249)&lt;=1),"ニアショア候補","社内で手順化→再評価")))))</f>
        <v/>
      </c>
      <c r="AK249">
        <f>IF(AB249&lt;&gt;"OK","",14-SUMPRODUCT(--T249:Z249))</f>
        <v/>
      </c>
      <c r="AL249" s="33">
        <f>IF(AB249&lt;&gt;"OK","",AS249*AT249/60)</f>
        <v/>
      </c>
      <c r="AM249" s="34">
        <f>IF(A249="","",UPPER(TRIM(ASC(A249&amp;""))))</f>
        <v/>
      </c>
      <c r="AN249" s="34">
        <f>IF(AM249="","",AM249&amp;"-"&amp;B249)</f>
        <v/>
      </c>
      <c r="AO249" s="34">
        <f>IF(C249="","",IFERROR(VALUE(ASC(SUBSTITUTE(C249&amp;"","観点",""))),""))</f>
        <v/>
      </c>
      <c r="AP249" s="34">
        <f>IF(D249="","",IFERROR(VALUE(LEFT(TRIM(ASC(D249&amp;"")),1)),IFERROR(MATCH(TRIM(D249&amp;""),'M2_区分マスタ'!$I$5:$I$10,0),"")))</f>
        <v/>
      </c>
      <c r="AQ249" s="34">
        <f>IF(H249="","",UPPER(LEFT(TRIM(ASC(H249&amp;"")),3)))</f>
        <v/>
      </c>
      <c r="AR249" s="34">
        <f>IF(N249="","",IFERROR(VALUE(SUBSTITUTE(SUBSTITUTE(SUBSTITUTE(SUBSTITUTE(SUBSTITUTE(SUBSTITUTE(SUBSTITUTE(SUBSTITUTE(SUBSTITUTE(SUBSTITUTE(SUBSTITUTE(SUBSTITUTE(ASC(N249&amp;""),"約",""),"程度",""),"ほど",""),"回",""),"毎",""),"週",""),"月",""),"年",""),"日",""),"に",""),"/","")," ","")),""))</f>
        <v/>
      </c>
      <c r="AS249" s="34">
        <f>IF(N249="","",IF(ISNUMBER(N249),N249,IFERROR(VALUE(ASC(N249&amp;"")),IF(AR249&lt;&gt;"",AR249*IF(ISNUMBER(SEARCH("週",N249)),4.3,IF(ISNUMBER(SEARCH("年",N249)),1/12,IF(ISNUMBER(SEARCH("日",N249)),20,1))),IF(ISNUMBER(SEARCH("日",N249)),20,IF(ISNUMBER(SEARCH("週",N249)),4.3,IF(ISNUMBER(SEARCH("月",N249)),1,"")))))))</f>
        <v/>
      </c>
      <c r="AT249" s="34">
        <f>IF(O249="","",IF(ISNUMBER(O249),O249,IFERROR(VALUE(ASC(O249&amp;"")),IF(ISNUMBER(SEARCH("時間",O249)),IFERROR(VALUE(SUBSTITUTE(SUBSTITUTE(SUBSTITUTE(SUBSTITUTE(SUBSTITUTE(ASC(O249&amp;""),"約",""),"程度",""),"ほど",""),"時間","")," ",""))*60,""),IFERROR(VALUE(SUBSTITUTE(SUBSTITUTE(SUBSTITUTE(SUBSTITUTE(SUBSTITUTE(ASC(O249&amp;""),"約",""),"程度",""),"ほど",""),"分","")," ","")),"")))))</f>
        <v/>
      </c>
      <c r="AU249" s="34">
        <f>IF(P249="","",IF(ISNUMBER(P249),P249,IFERROR(VALUE(SUBSTITUTE(SUBSTITUTE(SUBSTITUTE(ASC(P249&amp;""),"約",""),"件","")," ","")),"")))</f>
        <v/>
      </c>
      <c r="AV249" s="34">
        <f>IF(AB249&lt;&gt;"OK","",IF(COUNTIFS($G$5:$G$404,G249&amp;"",$F$5:$F$404,F249&amp;"",$BE$5:$BE$404,BE249&amp;"",$AB$5:$AB$404,"OK")&gt;1,"同名あり",""))</f>
        <v/>
      </c>
      <c r="AW249" s="35">
        <f>IF(Q249="","",IF(ISNUMBER(Q249),Q249,IFERROR(DATEVALUE(SUBSTITUTE(SUBSTITUTE(ASC(Q249&amp;""),"-","/"),".","/")&amp;"/01"),"")))</f>
        <v/>
      </c>
      <c r="AX249" s="35">
        <f>IF(R249="","",IF(ISNUMBER(R249),R249,IFERROR(DATEVALUE(SUBSTITUTE(SUBSTITUTE(ASC(R249&amp;""),"-","/"),".","/")&amp;"/01"),"")))</f>
        <v/>
      </c>
      <c r="AY249" s="34">
        <f>IF(OR(AB249&lt;&gt;"OK",AW249=""),"",IF(AW249&gt;='01_設定'!$C$26,1,0))</f>
        <v/>
      </c>
      <c r="AZ249" s="34">
        <f>IF(AND(AB249="OK",AD249&lt;&gt;"除外"),COUNTIFS($AB$5:AB249,"OK",$AD$5:AD249,"&lt;&gt;除外"),"")</f>
        <v/>
      </c>
      <c r="BA249" s="34">
        <f>IF(OR(AZ249="",AI249=""),"",AI249+ROW()/1000000000)</f>
        <v/>
      </c>
      <c r="BB249" s="34">
        <f>IF(E249="","",IF(OR(TRIM(E249&amp;"")="-",TRIM(E249&amp;"")="－",TRIM(E249&amp;"")="ー"),"",TRIM(E249&amp;"")))</f>
        <v/>
      </c>
      <c r="BC249" s="34">
        <f>IF(AND(AB249="OK",BB249&lt;&gt;""),IF(COUNTIFS($BB$5:BB249,BB249,$AB$5:AB249,"OK")=1,1,""),"")</f>
        <v/>
      </c>
      <c r="BD249" s="34">
        <f>IF(BC249=1,COUNTIF($BC$5:BC249,1),"")</f>
        <v/>
      </c>
      <c r="BE249" s="34">
        <f>IF(BB249="","",IFERROR(INDEX('06_顧客別集計'!$G$5:$G$104,MATCH(BB249,'06_顧客別集計'!$C$5:$C$104,0)),BB249))</f>
        <v/>
      </c>
      <c r="BF249" s="34">
        <f>IF(AND(AZ249&lt;&gt;"",BE249&lt;&gt;""),IF(COUNTIFS($BE$5:BE249,BE249,$AZ$5:AZ249,"&gt;0")=1,1,""),"")</f>
        <v/>
      </c>
      <c r="BG249" s="34">
        <f>IF(BF249=1,COUNTIF($BF$5:BF249,1),"")</f>
        <v/>
      </c>
    </row>
    <row r="250">
      <c r="AB250">
        <f>IF(AND(A250="",G250=""),"",IF(ISNUMBER(SEARCH("##END",AM250)),"（終わりの印）",IF(ISNUMBER(SEARCH("##続き",AM250)),"（続きありの印）",IF(AM250="調査ID","（見出し行）",IF(AND(AM250&lt;&gt;"R1",AM250&lt;&gt;"R2"),"×表以外の行（集計されない）",IF(COUNTIF($AN$5:AN250,AN250)&gt;1,"△重複（集計されない）",IF(G250="","△タスク名なし",IF(ISNA(MATCH(AQ250,'M1_類型マスタ'!$A$5:$A$19,0)),"△類型が不正",IF(OR(AP250="",N(AP250)&lt;1,N(AP250)&gt;6),"△業務区分が不正",IF(OR(AS250="",AT250=""),"△回数・分が読めない",IF(SUMPRODUCT(--ISNUMBER(--T250:Z250))&lt;7,"△採点が足りない",IF(SUMPRODUCT((--T250:Z250&gt;2)+(--T250:Z250&lt;0))&gt;0,"△採点が範囲外","OK"))))))))))))</f>
        <v/>
      </c>
      <c r="AC250">
        <f>IF(AB250&lt;&gt;"OK","",TRIM(IF(AND(AU250&lt;&gt;"",N(AU250)&lt;=1),"根拠1件 ","")&amp;IF(AV250&lt;&gt;"","同名あり ","")&amp;IF(AND(NOT(ISNUMBER(N250)),N250&lt;&gt;""),"回数を換算 ","")&amp;IF(J250="","詳細なし ","")&amp;IF(AND(N(AP250)=1,BB250=""),"顧客名なし ","")))</f>
        <v/>
      </c>
      <c r="AD250" s="31" t="n"/>
      <c r="AE250" s="32" t="n"/>
      <c r="AF250" s="32" t="n"/>
      <c r="AG250" s="31" t="n"/>
      <c r="AH250">
        <f>IF(AB250&lt;&gt;"OK","",IF(AG250&lt;&gt;"",AG250,AJ250))</f>
        <v/>
      </c>
      <c r="AI250" s="33">
        <f>IF(AB250&lt;&gt;"OK","",IFERROR(IF(AE250&lt;&gt;"",AE250,AS250)*IF(AF250&lt;&gt;"",AF250,AT250)/60,""))</f>
        <v/>
      </c>
      <c r="AJ250">
        <f>IF(AB250&lt;&gt;"OK","",IF(OR(VALUE(T250)=2,VALUE(U250)=2,VALUE(V250)=2),"社内残置",IF(AND(VALUE(T250)=0,VALUE(W250)=0,VALUE(Y250)=0),"自動化候補",IF(AND(VALUE(U250)=0,VALUE(W250)&lt;=1,VALUE(X250)&lt;=1,VALUE(Y250)&lt;=1,VALUE(Z250)&lt;=1),"オフショア候補",IF(AND(VALUE(Y250)&lt;=1,VALUE(Z250)&lt;=1),"ニアショア候補","社内で手順化→再評価")))))</f>
        <v/>
      </c>
      <c r="AK250">
        <f>IF(AB250&lt;&gt;"OK","",14-SUMPRODUCT(--T250:Z250))</f>
        <v/>
      </c>
      <c r="AL250" s="33">
        <f>IF(AB250&lt;&gt;"OK","",AS250*AT250/60)</f>
        <v/>
      </c>
      <c r="AM250" s="34">
        <f>IF(A250="","",UPPER(TRIM(ASC(A250&amp;""))))</f>
        <v/>
      </c>
      <c r="AN250" s="34">
        <f>IF(AM250="","",AM250&amp;"-"&amp;B250)</f>
        <v/>
      </c>
      <c r="AO250" s="34">
        <f>IF(C250="","",IFERROR(VALUE(ASC(SUBSTITUTE(C250&amp;"","観点",""))),""))</f>
        <v/>
      </c>
      <c r="AP250" s="34">
        <f>IF(D250="","",IFERROR(VALUE(LEFT(TRIM(ASC(D250&amp;"")),1)),IFERROR(MATCH(TRIM(D250&amp;""),'M2_区分マスタ'!$I$5:$I$10,0),"")))</f>
        <v/>
      </c>
      <c r="AQ250" s="34">
        <f>IF(H250="","",UPPER(LEFT(TRIM(ASC(H250&amp;"")),3)))</f>
        <v/>
      </c>
      <c r="AR250" s="34">
        <f>IF(N250="","",IFERROR(VALUE(SUBSTITUTE(SUBSTITUTE(SUBSTITUTE(SUBSTITUTE(SUBSTITUTE(SUBSTITUTE(SUBSTITUTE(SUBSTITUTE(SUBSTITUTE(SUBSTITUTE(SUBSTITUTE(SUBSTITUTE(ASC(N250&amp;""),"約",""),"程度",""),"ほど",""),"回",""),"毎",""),"週",""),"月",""),"年",""),"日",""),"に",""),"/","")," ","")),""))</f>
        <v/>
      </c>
      <c r="AS250" s="34">
        <f>IF(N250="","",IF(ISNUMBER(N250),N250,IFERROR(VALUE(ASC(N250&amp;"")),IF(AR250&lt;&gt;"",AR250*IF(ISNUMBER(SEARCH("週",N250)),4.3,IF(ISNUMBER(SEARCH("年",N250)),1/12,IF(ISNUMBER(SEARCH("日",N250)),20,1))),IF(ISNUMBER(SEARCH("日",N250)),20,IF(ISNUMBER(SEARCH("週",N250)),4.3,IF(ISNUMBER(SEARCH("月",N250)),1,"")))))))</f>
        <v/>
      </c>
      <c r="AT250" s="34">
        <f>IF(O250="","",IF(ISNUMBER(O250),O250,IFERROR(VALUE(ASC(O250&amp;"")),IF(ISNUMBER(SEARCH("時間",O250)),IFERROR(VALUE(SUBSTITUTE(SUBSTITUTE(SUBSTITUTE(SUBSTITUTE(SUBSTITUTE(ASC(O250&amp;""),"約",""),"程度",""),"ほど",""),"時間","")," ",""))*60,""),IFERROR(VALUE(SUBSTITUTE(SUBSTITUTE(SUBSTITUTE(SUBSTITUTE(SUBSTITUTE(ASC(O250&amp;""),"約",""),"程度",""),"ほど",""),"分","")," ","")),"")))))</f>
        <v/>
      </c>
      <c r="AU250" s="34">
        <f>IF(P250="","",IF(ISNUMBER(P250),P250,IFERROR(VALUE(SUBSTITUTE(SUBSTITUTE(SUBSTITUTE(ASC(P250&amp;""),"約",""),"件","")," ","")),"")))</f>
        <v/>
      </c>
      <c r="AV250" s="34">
        <f>IF(AB250&lt;&gt;"OK","",IF(COUNTIFS($G$5:$G$404,G250&amp;"",$F$5:$F$404,F250&amp;"",$BE$5:$BE$404,BE250&amp;"",$AB$5:$AB$404,"OK")&gt;1,"同名あり",""))</f>
        <v/>
      </c>
      <c r="AW250" s="35">
        <f>IF(Q250="","",IF(ISNUMBER(Q250),Q250,IFERROR(DATEVALUE(SUBSTITUTE(SUBSTITUTE(ASC(Q250&amp;""),"-","/"),".","/")&amp;"/01"),"")))</f>
        <v/>
      </c>
      <c r="AX250" s="35">
        <f>IF(R250="","",IF(ISNUMBER(R250),R250,IFERROR(DATEVALUE(SUBSTITUTE(SUBSTITUTE(ASC(R250&amp;""),"-","/"),".","/")&amp;"/01"),"")))</f>
        <v/>
      </c>
      <c r="AY250" s="34">
        <f>IF(OR(AB250&lt;&gt;"OK",AW250=""),"",IF(AW250&gt;='01_設定'!$C$26,1,0))</f>
        <v/>
      </c>
      <c r="AZ250" s="34">
        <f>IF(AND(AB250="OK",AD250&lt;&gt;"除外"),COUNTIFS($AB$5:AB250,"OK",$AD$5:AD250,"&lt;&gt;除外"),"")</f>
        <v/>
      </c>
      <c r="BA250" s="34">
        <f>IF(OR(AZ250="",AI250=""),"",AI250+ROW()/1000000000)</f>
        <v/>
      </c>
      <c r="BB250" s="34">
        <f>IF(E250="","",IF(OR(TRIM(E250&amp;"")="-",TRIM(E250&amp;"")="－",TRIM(E250&amp;"")="ー"),"",TRIM(E250&amp;"")))</f>
        <v/>
      </c>
      <c r="BC250" s="34">
        <f>IF(AND(AB250="OK",BB250&lt;&gt;""),IF(COUNTIFS($BB$5:BB250,BB250,$AB$5:AB250,"OK")=1,1,""),"")</f>
        <v/>
      </c>
      <c r="BD250" s="34">
        <f>IF(BC250=1,COUNTIF($BC$5:BC250,1),"")</f>
        <v/>
      </c>
      <c r="BE250" s="34">
        <f>IF(BB250="","",IFERROR(INDEX('06_顧客別集計'!$G$5:$G$104,MATCH(BB250,'06_顧客別集計'!$C$5:$C$104,0)),BB250))</f>
        <v/>
      </c>
      <c r="BF250" s="34">
        <f>IF(AND(AZ250&lt;&gt;"",BE250&lt;&gt;""),IF(COUNTIFS($BE$5:BE250,BE250,$AZ$5:AZ250,"&gt;0")=1,1,""),"")</f>
        <v/>
      </c>
      <c r="BG250" s="34">
        <f>IF(BF250=1,COUNTIF($BF$5:BF250,1),"")</f>
        <v/>
      </c>
    </row>
    <row r="251">
      <c r="AB251">
        <f>IF(AND(A251="",G251=""),"",IF(ISNUMBER(SEARCH("##END",AM251)),"（終わりの印）",IF(ISNUMBER(SEARCH("##続き",AM251)),"（続きありの印）",IF(AM251="調査ID","（見出し行）",IF(AND(AM251&lt;&gt;"R1",AM251&lt;&gt;"R2"),"×表以外の行（集計されない）",IF(COUNTIF($AN$5:AN251,AN251)&gt;1,"△重複（集計されない）",IF(G251="","△タスク名なし",IF(ISNA(MATCH(AQ251,'M1_類型マスタ'!$A$5:$A$19,0)),"△類型が不正",IF(OR(AP251="",N(AP251)&lt;1,N(AP251)&gt;6),"△業務区分が不正",IF(OR(AS251="",AT251=""),"△回数・分が読めない",IF(SUMPRODUCT(--ISNUMBER(--T251:Z251))&lt;7,"△採点が足りない",IF(SUMPRODUCT((--T251:Z251&gt;2)+(--T251:Z251&lt;0))&gt;0,"△採点が範囲外","OK"))))))))))))</f>
        <v/>
      </c>
      <c r="AC251">
        <f>IF(AB251&lt;&gt;"OK","",TRIM(IF(AND(AU251&lt;&gt;"",N(AU251)&lt;=1),"根拠1件 ","")&amp;IF(AV251&lt;&gt;"","同名あり ","")&amp;IF(AND(NOT(ISNUMBER(N251)),N251&lt;&gt;""),"回数を換算 ","")&amp;IF(J251="","詳細なし ","")&amp;IF(AND(N(AP251)=1,BB251=""),"顧客名なし ","")))</f>
        <v/>
      </c>
      <c r="AD251" s="31" t="n"/>
      <c r="AE251" s="32" t="n"/>
      <c r="AF251" s="32" t="n"/>
      <c r="AG251" s="31" t="n"/>
      <c r="AH251">
        <f>IF(AB251&lt;&gt;"OK","",IF(AG251&lt;&gt;"",AG251,AJ251))</f>
        <v/>
      </c>
      <c r="AI251" s="33">
        <f>IF(AB251&lt;&gt;"OK","",IFERROR(IF(AE251&lt;&gt;"",AE251,AS251)*IF(AF251&lt;&gt;"",AF251,AT251)/60,""))</f>
        <v/>
      </c>
      <c r="AJ251">
        <f>IF(AB251&lt;&gt;"OK","",IF(OR(VALUE(T251)=2,VALUE(U251)=2,VALUE(V251)=2),"社内残置",IF(AND(VALUE(T251)=0,VALUE(W251)=0,VALUE(Y251)=0),"自動化候補",IF(AND(VALUE(U251)=0,VALUE(W251)&lt;=1,VALUE(X251)&lt;=1,VALUE(Y251)&lt;=1,VALUE(Z251)&lt;=1),"オフショア候補",IF(AND(VALUE(Y251)&lt;=1,VALUE(Z251)&lt;=1),"ニアショア候補","社内で手順化→再評価")))))</f>
        <v/>
      </c>
      <c r="AK251">
        <f>IF(AB251&lt;&gt;"OK","",14-SUMPRODUCT(--T251:Z251))</f>
        <v/>
      </c>
      <c r="AL251" s="33">
        <f>IF(AB251&lt;&gt;"OK","",AS251*AT251/60)</f>
        <v/>
      </c>
      <c r="AM251" s="34">
        <f>IF(A251="","",UPPER(TRIM(ASC(A251&amp;""))))</f>
        <v/>
      </c>
      <c r="AN251" s="34">
        <f>IF(AM251="","",AM251&amp;"-"&amp;B251)</f>
        <v/>
      </c>
      <c r="AO251" s="34">
        <f>IF(C251="","",IFERROR(VALUE(ASC(SUBSTITUTE(C251&amp;"","観点",""))),""))</f>
        <v/>
      </c>
      <c r="AP251" s="34">
        <f>IF(D251="","",IFERROR(VALUE(LEFT(TRIM(ASC(D251&amp;"")),1)),IFERROR(MATCH(TRIM(D251&amp;""),'M2_区分マスタ'!$I$5:$I$10,0),"")))</f>
        <v/>
      </c>
      <c r="AQ251" s="34">
        <f>IF(H251="","",UPPER(LEFT(TRIM(ASC(H251&amp;"")),3)))</f>
        <v/>
      </c>
      <c r="AR251" s="34">
        <f>IF(N251="","",IFERROR(VALUE(SUBSTITUTE(SUBSTITUTE(SUBSTITUTE(SUBSTITUTE(SUBSTITUTE(SUBSTITUTE(SUBSTITUTE(SUBSTITUTE(SUBSTITUTE(SUBSTITUTE(SUBSTITUTE(SUBSTITUTE(ASC(N251&amp;""),"約",""),"程度",""),"ほど",""),"回",""),"毎",""),"週",""),"月",""),"年",""),"日",""),"に",""),"/","")," ","")),""))</f>
        <v/>
      </c>
      <c r="AS251" s="34">
        <f>IF(N251="","",IF(ISNUMBER(N251),N251,IFERROR(VALUE(ASC(N251&amp;"")),IF(AR251&lt;&gt;"",AR251*IF(ISNUMBER(SEARCH("週",N251)),4.3,IF(ISNUMBER(SEARCH("年",N251)),1/12,IF(ISNUMBER(SEARCH("日",N251)),20,1))),IF(ISNUMBER(SEARCH("日",N251)),20,IF(ISNUMBER(SEARCH("週",N251)),4.3,IF(ISNUMBER(SEARCH("月",N251)),1,"")))))))</f>
        <v/>
      </c>
      <c r="AT251" s="34">
        <f>IF(O251="","",IF(ISNUMBER(O251),O251,IFERROR(VALUE(ASC(O251&amp;"")),IF(ISNUMBER(SEARCH("時間",O251)),IFERROR(VALUE(SUBSTITUTE(SUBSTITUTE(SUBSTITUTE(SUBSTITUTE(SUBSTITUTE(ASC(O251&amp;""),"約",""),"程度",""),"ほど",""),"時間","")," ",""))*60,""),IFERROR(VALUE(SUBSTITUTE(SUBSTITUTE(SUBSTITUTE(SUBSTITUTE(SUBSTITUTE(ASC(O251&amp;""),"約",""),"程度",""),"ほど",""),"分","")," ","")),"")))))</f>
        <v/>
      </c>
      <c r="AU251" s="34">
        <f>IF(P251="","",IF(ISNUMBER(P251),P251,IFERROR(VALUE(SUBSTITUTE(SUBSTITUTE(SUBSTITUTE(ASC(P251&amp;""),"約",""),"件","")," ","")),"")))</f>
        <v/>
      </c>
      <c r="AV251" s="34">
        <f>IF(AB251&lt;&gt;"OK","",IF(COUNTIFS($G$5:$G$404,G251&amp;"",$F$5:$F$404,F251&amp;"",$BE$5:$BE$404,BE251&amp;"",$AB$5:$AB$404,"OK")&gt;1,"同名あり",""))</f>
        <v/>
      </c>
      <c r="AW251" s="35">
        <f>IF(Q251="","",IF(ISNUMBER(Q251),Q251,IFERROR(DATEVALUE(SUBSTITUTE(SUBSTITUTE(ASC(Q251&amp;""),"-","/"),".","/")&amp;"/01"),"")))</f>
        <v/>
      </c>
      <c r="AX251" s="35">
        <f>IF(R251="","",IF(ISNUMBER(R251),R251,IFERROR(DATEVALUE(SUBSTITUTE(SUBSTITUTE(ASC(R251&amp;""),"-","/"),".","/")&amp;"/01"),"")))</f>
        <v/>
      </c>
      <c r="AY251" s="34">
        <f>IF(OR(AB251&lt;&gt;"OK",AW251=""),"",IF(AW251&gt;='01_設定'!$C$26,1,0))</f>
        <v/>
      </c>
      <c r="AZ251" s="34">
        <f>IF(AND(AB251="OK",AD251&lt;&gt;"除外"),COUNTIFS($AB$5:AB251,"OK",$AD$5:AD251,"&lt;&gt;除外"),"")</f>
        <v/>
      </c>
      <c r="BA251" s="34">
        <f>IF(OR(AZ251="",AI251=""),"",AI251+ROW()/1000000000)</f>
        <v/>
      </c>
      <c r="BB251" s="34">
        <f>IF(E251="","",IF(OR(TRIM(E251&amp;"")="-",TRIM(E251&amp;"")="－",TRIM(E251&amp;"")="ー"),"",TRIM(E251&amp;"")))</f>
        <v/>
      </c>
      <c r="BC251" s="34">
        <f>IF(AND(AB251="OK",BB251&lt;&gt;""),IF(COUNTIFS($BB$5:BB251,BB251,$AB$5:AB251,"OK")=1,1,""),"")</f>
        <v/>
      </c>
      <c r="BD251" s="34">
        <f>IF(BC251=1,COUNTIF($BC$5:BC251,1),"")</f>
        <v/>
      </c>
      <c r="BE251" s="34">
        <f>IF(BB251="","",IFERROR(INDEX('06_顧客別集計'!$G$5:$G$104,MATCH(BB251,'06_顧客別集計'!$C$5:$C$104,0)),BB251))</f>
        <v/>
      </c>
      <c r="BF251" s="34">
        <f>IF(AND(AZ251&lt;&gt;"",BE251&lt;&gt;""),IF(COUNTIFS($BE$5:BE251,BE251,$AZ$5:AZ251,"&gt;0")=1,1,""),"")</f>
        <v/>
      </c>
      <c r="BG251" s="34">
        <f>IF(BF251=1,COUNTIF($BF$5:BF251,1),"")</f>
        <v/>
      </c>
    </row>
    <row r="252">
      <c r="AB252">
        <f>IF(AND(A252="",G252=""),"",IF(ISNUMBER(SEARCH("##END",AM252)),"（終わりの印）",IF(ISNUMBER(SEARCH("##続き",AM252)),"（続きありの印）",IF(AM252="調査ID","（見出し行）",IF(AND(AM252&lt;&gt;"R1",AM252&lt;&gt;"R2"),"×表以外の行（集計されない）",IF(COUNTIF($AN$5:AN252,AN252)&gt;1,"△重複（集計されない）",IF(G252="","△タスク名なし",IF(ISNA(MATCH(AQ252,'M1_類型マスタ'!$A$5:$A$19,0)),"△類型が不正",IF(OR(AP252="",N(AP252)&lt;1,N(AP252)&gt;6),"△業務区分が不正",IF(OR(AS252="",AT252=""),"△回数・分が読めない",IF(SUMPRODUCT(--ISNUMBER(--T252:Z252))&lt;7,"△採点が足りない",IF(SUMPRODUCT((--T252:Z252&gt;2)+(--T252:Z252&lt;0))&gt;0,"△採点が範囲外","OK"))))))))))))</f>
        <v/>
      </c>
      <c r="AC252">
        <f>IF(AB252&lt;&gt;"OK","",TRIM(IF(AND(AU252&lt;&gt;"",N(AU252)&lt;=1),"根拠1件 ","")&amp;IF(AV252&lt;&gt;"","同名あり ","")&amp;IF(AND(NOT(ISNUMBER(N252)),N252&lt;&gt;""),"回数を換算 ","")&amp;IF(J252="","詳細なし ","")&amp;IF(AND(N(AP252)=1,BB252=""),"顧客名なし ","")))</f>
        <v/>
      </c>
      <c r="AD252" s="31" t="n"/>
      <c r="AE252" s="32" t="n"/>
      <c r="AF252" s="32" t="n"/>
      <c r="AG252" s="31" t="n"/>
      <c r="AH252">
        <f>IF(AB252&lt;&gt;"OK","",IF(AG252&lt;&gt;"",AG252,AJ252))</f>
        <v/>
      </c>
      <c r="AI252" s="33">
        <f>IF(AB252&lt;&gt;"OK","",IFERROR(IF(AE252&lt;&gt;"",AE252,AS252)*IF(AF252&lt;&gt;"",AF252,AT252)/60,""))</f>
        <v/>
      </c>
      <c r="AJ252">
        <f>IF(AB252&lt;&gt;"OK","",IF(OR(VALUE(T252)=2,VALUE(U252)=2,VALUE(V252)=2),"社内残置",IF(AND(VALUE(T252)=0,VALUE(W252)=0,VALUE(Y252)=0),"自動化候補",IF(AND(VALUE(U252)=0,VALUE(W252)&lt;=1,VALUE(X252)&lt;=1,VALUE(Y252)&lt;=1,VALUE(Z252)&lt;=1),"オフショア候補",IF(AND(VALUE(Y252)&lt;=1,VALUE(Z252)&lt;=1),"ニアショア候補","社内で手順化→再評価")))))</f>
        <v/>
      </c>
      <c r="AK252">
        <f>IF(AB252&lt;&gt;"OK","",14-SUMPRODUCT(--T252:Z252))</f>
        <v/>
      </c>
      <c r="AL252" s="33">
        <f>IF(AB252&lt;&gt;"OK","",AS252*AT252/60)</f>
        <v/>
      </c>
      <c r="AM252" s="34">
        <f>IF(A252="","",UPPER(TRIM(ASC(A252&amp;""))))</f>
        <v/>
      </c>
      <c r="AN252" s="34">
        <f>IF(AM252="","",AM252&amp;"-"&amp;B252)</f>
        <v/>
      </c>
      <c r="AO252" s="34">
        <f>IF(C252="","",IFERROR(VALUE(ASC(SUBSTITUTE(C252&amp;"","観点",""))),""))</f>
        <v/>
      </c>
      <c r="AP252" s="34">
        <f>IF(D252="","",IFERROR(VALUE(LEFT(TRIM(ASC(D252&amp;"")),1)),IFERROR(MATCH(TRIM(D252&amp;""),'M2_区分マスタ'!$I$5:$I$10,0),"")))</f>
        <v/>
      </c>
      <c r="AQ252" s="34">
        <f>IF(H252="","",UPPER(LEFT(TRIM(ASC(H252&amp;"")),3)))</f>
        <v/>
      </c>
      <c r="AR252" s="34">
        <f>IF(N252="","",IFERROR(VALUE(SUBSTITUTE(SUBSTITUTE(SUBSTITUTE(SUBSTITUTE(SUBSTITUTE(SUBSTITUTE(SUBSTITUTE(SUBSTITUTE(SUBSTITUTE(SUBSTITUTE(SUBSTITUTE(SUBSTITUTE(ASC(N252&amp;""),"約",""),"程度",""),"ほど",""),"回",""),"毎",""),"週",""),"月",""),"年",""),"日",""),"に",""),"/","")," ","")),""))</f>
        <v/>
      </c>
      <c r="AS252" s="34">
        <f>IF(N252="","",IF(ISNUMBER(N252),N252,IFERROR(VALUE(ASC(N252&amp;"")),IF(AR252&lt;&gt;"",AR252*IF(ISNUMBER(SEARCH("週",N252)),4.3,IF(ISNUMBER(SEARCH("年",N252)),1/12,IF(ISNUMBER(SEARCH("日",N252)),20,1))),IF(ISNUMBER(SEARCH("日",N252)),20,IF(ISNUMBER(SEARCH("週",N252)),4.3,IF(ISNUMBER(SEARCH("月",N252)),1,"")))))))</f>
        <v/>
      </c>
      <c r="AT252" s="34">
        <f>IF(O252="","",IF(ISNUMBER(O252),O252,IFERROR(VALUE(ASC(O252&amp;"")),IF(ISNUMBER(SEARCH("時間",O252)),IFERROR(VALUE(SUBSTITUTE(SUBSTITUTE(SUBSTITUTE(SUBSTITUTE(SUBSTITUTE(ASC(O252&amp;""),"約",""),"程度",""),"ほど",""),"時間","")," ",""))*60,""),IFERROR(VALUE(SUBSTITUTE(SUBSTITUTE(SUBSTITUTE(SUBSTITUTE(SUBSTITUTE(ASC(O252&amp;""),"約",""),"程度",""),"ほど",""),"分","")," ","")),"")))))</f>
        <v/>
      </c>
      <c r="AU252" s="34">
        <f>IF(P252="","",IF(ISNUMBER(P252),P252,IFERROR(VALUE(SUBSTITUTE(SUBSTITUTE(SUBSTITUTE(ASC(P252&amp;""),"約",""),"件","")," ","")),"")))</f>
        <v/>
      </c>
      <c r="AV252" s="34">
        <f>IF(AB252&lt;&gt;"OK","",IF(COUNTIFS($G$5:$G$404,G252&amp;"",$F$5:$F$404,F252&amp;"",$BE$5:$BE$404,BE252&amp;"",$AB$5:$AB$404,"OK")&gt;1,"同名あり",""))</f>
        <v/>
      </c>
      <c r="AW252" s="35">
        <f>IF(Q252="","",IF(ISNUMBER(Q252),Q252,IFERROR(DATEVALUE(SUBSTITUTE(SUBSTITUTE(ASC(Q252&amp;""),"-","/"),".","/")&amp;"/01"),"")))</f>
        <v/>
      </c>
      <c r="AX252" s="35">
        <f>IF(R252="","",IF(ISNUMBER(R252),R252,IFERROR(DATEVALUE(SUBSTITUTE(SUBSTITUTE(ASC(R252&amp;""),"-","/"),".","/")&amp;"/01"),"")))</f>
        <v/>
      </c>
      <c r="AY252" s="34">
        <f>IF(OR(AB252&lt;&gt;"OK",AW252=""),"",IF(AW252&gt;='01_設定'!$C$26,1,0))</f>
        <v/>
      </c>
      <c r="AZ252" s="34">
        <f>IF(AND(AB252="OK",AD252&lt;&gt;"除外"),COUNTIFS($AB$5:AB252,"OK",$AD$5:AD252,"&lt;&gt;除外"),"")</f>
        <v/>
      </c>
      <c r="BA252" s="34">
        <f>IF(OR(AZ252="",AI252=""),"",AI252+ROW()/1000000000)</f>
        <v/>
      </c>
      <c r="BB252" s="34">
        <f>IF(E252="","",IF(OR(TRIM(E252&amp;"")="-",TRIM(E252&amp;"")="－",TRIM(E252&amp;"")="ー"),"",TRIM(E252&amp;"")))</f>
        <v/>
      </c>
      <c r="BC252" s="34">
        <f>IF(AND(AB252="OK",BB252&lt;&gt;""),IF(COUNTIFS($BB$5:BB252,BB252,$AB$5:AB252,"OK")=1,1,""),"")</f>
        <v/>
      </c>
      <c r="BD252" s="34">
        <f>IF(BC252=1,COUNTIF($BC$5:BC252,1),"")</f>
        <v/>
      </c>
      <c r="BE252" s="34">
        <f>IF(BB252="","",IFERROR(INDEX('06_顧客別集計'!$G$5:$G$104,MATCH(BB252,'06_顧客別集計'!$C$5:$C$104,0)),BB252))</f>
        <v/>
      </c>
      <c r="BF252" s="34">
        <f>IF(AND(AZ252&lt;&gt;"",BE252&lt;&gt;""),IF(COUNTIFS($BE$5:BE252,BE252,$AZ$5:AZ252,"&gt;0")=1,1,""),"")</f>
        <v/>
      </c>
      <c r="BG252" s="34">
        <f>IF(BF252=1,COUNTIF($BF$5:BF252,1),"")</f>
        <v/>
      </c>
    </row>
    <row r="253">
      <c r="AB253">
        <f>IF(AND(A253="",G253=""),"",IF(ISNUMBER(SEARCH("##END",AM253)),"（終わりの印）",IF(ISNUMBER(SEARCH("##続き",AM253)),"（続きありの印）",IF(AM253="調査ID","（見出し行）",IF(AND(AM253&lt;&gt;"R1",AM253&lt;&gt;"R2"),"×表以外の行（集計されない）",IF(COUNTIF($AN$5:AN253,AN253)&gt;1,"△重複（集計されない）",IF(G253="","△タスク名なし",IF(ISNA(MATCH(AQ253,'M1_類型マスタ'!$A$5:$A$19,0)),"△類型が不正",IF(OR(AP253="",N(AP253)&lt;1,N(AP253)&gt;6),"△業務区分が不正",IF(OR(AS253="",AT253=""),"△回数・分が読めない",IF(SUMPRODUCT(--ISNUMBER(--T253:Z253))&lt;7,"△採点が足りない",IF(SUMPRODUCT((--T253:Z253&gt;2)+(--T253:Z253&lt;0))&gt;0,"△採点が範囲外","OK"))))))))))))</f>
        <v/>
      </c>
      <c r="AC253">
        <f>IF(AB253&lt;&gt;"OK","",TRIM(IF(AND(AU253&lt;&gt;"",N(AU253)&lt;=1),"根拠1件 ","")&amp;IF(AV253&lt;&gt;"","同名あり ","")&amp;IF(AND(NOT(ISNUMBER(N253)),N253&lt;&gt;""),"回数を換算 ","")&amp;IF(J253="","詳細なし ","")&amp;IF(AND(N(AP253)=1,BB253=""),"顧客名なし ","")))</f>
        <v/>
      </c>
      <c r="AD253" s="31" t="n"/>
      <c r="AE253" s="32" t="n"/>
      <c r="AF253" s="32" t="n"/>
      <c r="AG253" s="31" t="n"/>
      <c r="AH253">
        <f>IF(AB253&lt;&gt;"OK","",IF(AG253&lt;&gt;"",AG253,AJ253))</f>
        <v/>
      </c>
      <c r="AI253" s="33">
        <f>IF(AB253&lt;&gt;"OK","",IFERROR(IF(AE253&lt;&gt;"",AE253,AS253)*IF(AF253&lt;&gt;"",AF253,AT253)/60,""))</f>
        <v/>
      </c>
      <c r="AJ253">
        <f>IF(AB253&lt;&gt;"OK","",IF(OR(VALUE(T253)=2,VALUE(U253)=2,VALUE(V253)=2),"社内残置",IF(AND(VALUE(T253)=0,VALUE(W253)=0,VALUE(Y253)=0),"自動化候補",IF(AND(VALUE(U253)=0,VALUE(W253)&lt;=1,VALUE(X253)&lt;=1,VALUE(Y253)&lt;=1,VALUE(Z253)&lt;=1),"オフショア候補",IF(AND(VALUE(Y253)&lt;=1,VALUE(Z253)&lt;=1),"ニアショア候補","社内で手順化→再評価")))))</f>
        <v/>
      </c>
      <c r="AK253">
        <f>IF(AB253&lt;&gt;"OK","",14-SUMPRODUCT(--T253:Z253))</f>
        <v/>
      </c>
      <c r="AL253" s="33">
        <f>IF(AB253&lt;&gt;"OK","",AS253*AT253/60)</f>
        <v/>
      </c>
      <c r="AM253" s="34">
        <f>IF(A253="","",UPPER(TRIM(ASC(A253&amp;""))))</f>
        <v/>
      </c>
      <c r="AN253" s="34">
        <f>IF(AM253="","",AM253&amp;"-"&amp;B253)</f>
        <v/>
      </c>
      <c r="AO253" s="34">
        <f>IF(C253="","",IFERROR(VALUE(ASC(SUBSTITUTE(C253&amp;"","観点",""))),""))</f>
        <v/>
      </c>
      <c r="AP253" s="34">
        <f>IF(D253="","",IFERROR(VALUE(LEFT(TRIM(ASC(D253&amp;"")),1)),IFERROR(MATCH(TRIM(D253&amp;""),'M2_区分マスタ'!$I$5:$I$10,0),"")))</f>
        <v/>
      </c>
      <c r="AQ253" s="34">
        <f>IF(H253="","",UPPER(LEFT(TRIM(ASC(H253&amp;"")),3)))</f>
        <v/>
      </c>
      <c r="AR253" s="34">
        <f>IF(N253="","",IFERROR(VALUE(SUBSTITUTE(SUBSTITUTE(SUBSTITUTE(SUBSTITUTE(SUBSTITUTE(SUBSTITUTE(SUBSTITUTE(SUBSTITUTE(SUBSTITUTE(SUBSTITUTE(SUBSTITUTE(SUBSTITUTE(ASC(N253&amp;""),"約",""),"程度",""),"ほど",""),"回",""),"毎",""),"週",""),"月",""),"年",""),"日",""),"に",""),"/","")," ","")),""))</f>
        <v/>
      </c>
      <c r="AS253" s="34">
        <f>IF(N253="","",IF(ISNUMBER(N253),N253,IFERROR(VALUE(ASC(N253&amp;"")),IF(AR253&lt;&gt;"",AR253*IF(ISNUMBER(SEARCH("週",N253)),4.3,IF(ISNUMBER(SEARCH("年",N253)),1/12,IF(ISNUMBER(SEARCH("日",N253)),20,1))),IF(ISNUMBER(SEARCH("日",N253)),20,IF(ISNUMBER(SEARCH("週",N253)),4.3,IF(ISNUMBER(SEARCH("月",N253)),1,"")))))))</f>
        <v/>
      </c>
      <c r="AT253" s="34">
        <f>IF(O253="","",IF(ISNUMBER(O253),O253,IFERROR(VALUE(ASC(O253&amp;"")),IF(ISNUMBER(SEARCH("時間",O253)),IFERROR(VALUE(SUBSTITUTE(SUBSTITUTE(SUBSTITUTE(SUBSTITUTE(SUBSTITUTE(ASC(O253&amp;""),"約",""),"程度",""),"ほど",""),"時間","")," ",""))*60,""),IFERROR(VALUE(SUBSTITUTE(SUBSTITUTE(SUBSTITUTE(SUBSTITUTE(SUBSTITUTE(ASC(O253&amp;""),"約",""),"程度",""),"ほど",""),"分","")," ","")),"")))))</f>
        <v/>
      </c>
      <c r="AU253" s="34">
        <f>IF(P253="","",IF(ISNUMBER(P253),P253,IFERROR(VALUE(SUBSTITUTE(SUBSTITUTE(SUBSTITUTE(ASC(P253&amp;""),"約",""),"件","")," ","")),"")))</f>
        <v/>
      </c>
      <c r="AV253" s="34">
        <f>IF(AB253&lt;&gt;"OK","",IF(COUNTIFS($G$5:$G$404,G253&amp;"",$F$5:$F$404,F253&amp;"",$BE$5:$BE$404,BE253&amp;"",$AB$5:$AB$404,"OK")&gt;1,"同名あり",""))</f>
        <v/>
      </c>
      <c r="AW253" s="35">
        <f>IF(Q253="","",IF(ISNUMBER(Q253),Q253,IFERROR(DATEVALUE(SUBSTITUTE(SUBSTITUTE(ASC(Q253&amp;""),"-","/"),".","/")&amp;"/01"),"")))</f>
        <v/>
      </c>
      <c r="AX253" s="35">
        <f>IF(R253="","",IF(ISNUMBER(R253),R253,IFERROR(DATEVALUE(SUBSTITUTE(SUBSTITUTE(ASC(R253&amp;""),"-","/"),".","/")&amp;"/01"),"")))</f>
        <v/>
      </c>
      <c r="AY253" s="34">
        <f>IF(OR(AB253&lt;&gt;"OK",AW253=""),"",IF(AW253&gt;='01_設定'!$C$26,1,0))</f>
        <v/>
      </c>
      <c r="AZ253" s="34">
        <f>IF(AND(AB253="OK",AD253&lt;&gt;"除外"),COUNTIFS($AB$5:AB253,"OK",$AD$5:AD253,"&lt;&gt;除外"),"")</f>
        <v/>
      </c>
      <c r="BA253" s="34">
        <f>IF(OR(AZ253="",AI253=""),"",AI253+ROW()/1000000000)</f>
        <v/>
      </c>
      <c r="BB253" s="34">
        <f>IF(E253="","",IF(OR(TRIM(E253&amp;"")="-",TRIM(E253&amp;"")="－",TRIM(E253&amp;"")="ー"),"",TRIM(E253&amp;"")))</f>
        <v/>
      </c>
      <c r="BC253" s="34">
        <f>IF(AND(AB253="OK",BB253&lt;&gt;""),IF(COUNTIFS($BB$5:BB253,BB253,$AB$5:AB253,"OK")=1,1,""),"")</f>
        <v/>
      </c>
      <c r="BD253" s="34">
        <f>IF(BC253=1,COUNTIF($BC$5:BC253,1),"")</f>
        <v/>
      </c>
      <c r="BE253" s="34">
        <f>IF(BB253="","",IFERROR(INDEX('06_顧客別集計'!$G$5:$G$104,MATCH(BB253,'06_顧客別集計'!$C$5:$C$104,0)),BB253))</f>
        <v/>
      </c>
      <c r="BF253" s="34">
        <f>IF(AND(AZ253&lt;&gt;"",BE253&lt;&gt;""),IF(COUNTIFS($BE$5:BE253,BE253,$AZ$5:AZ253,"&gt;0")=1,1,""),"")</f>
        <v/>
      </c>
      <c r="BG253" s="34">
        <f>IF(BF253=1,COUNTIF($BF$5:BF253,1),"")</f>
        <v/>
      </c>
    </row>
    <row r="254">
      <c r="AB254">
        <f>IF(AND(A254="",G254=""),"",IF(ISNUMBER(SEARCH("##END",AM254)),"（終わりの印）",IF(ISNUMBER(SEARCH("##続き",AM254)),"（続きありの印）",IF(AM254="調査ID","（見出し行）",IF(AND(AM254&lt;&gt;"R1",AM254&lt;&gt;"R2"),"×表以外の行（集計されない）",IF(COUNTIF($AN$5:AN254,AN254)&gt;1,"△重複（集計されない）",IF(G254="","△タスク名なし",IF(ISNA(MATCH(AQ254,'M1_類型マスタ'!$A$5:$A$19,0)),"△類型が不正",IF(OR(AP254="",N(AP254)&lt;1,N(AP254)&gt;6),"△業務区分が不正",IF(OR(AS254="",AT254=""),"△回数・分が読めない",IF(SUMPRODUCT(--ISNUMBER(--T254:Z254))&lt;7,"△採点が足りない",IF(SUMPRODUCT((--T254:Z254&gt;2)+(--T254:Z254&lt;0))&gt;0,"△採点が範囲外","OK"))))))))))))</f>
        <v/>
      </c>
      <c r="AC254">
        <f>IF(AB254&lt;&gt;"OK","",TRIM(IF(AND(AU254&lt;&gt;"",N(AU254)&lt;=1),"根拠1件 ","")&amp;IF(AV254&lt;&gt;"","同名あり ","")&amp;IF(AND(NOT(ISNUMBER(N254)),N254&lt;&gt;""),"回数を換算 ","")&amp;IF(J254="","詳細なし ","")&amp;IF(AND(N(AP254)=1,BB254=""),"顧客名なし ","")))</f>
        <v/>
      </c>
      <c r="AD254" s="31" t="n"/>
      <c r="AE254" s="32" t="n"/>
      <c r="AF254" s="32" t="n"/>
      <c r="AG254" s="31" t="n"/>
      <c r="AH254">
        <f>IF(AB254&lt;&gt;"OK","",IF(AG254&lt;&gt;"",AG254,AJ254))</f>
        <v/>
      </c>
      <c r="AI254" s="33">
        <f>IF(AB254&lt;&gt;"OK","",IFERROR(IF(AE254&lt;&gt;"",AE254,AS254)*IF(AF254&lt;&gt;"",AF254,AT254)/60,""))</f>
        <v/>
      </c>
      <c r="AJ254">
        <f>IF(AB254&lt;&gt;"OK","",IF(OR(VALUE(T254)=2,VALUE(U254)=2,VALUE(V254)=2),"社内残置",IF(AND(VALUE(T254)=0,VALUE(W254)=0,VALUE(Y254)=0),"自動化候補",IF(AND(VALUE(U254)=0,VALUE(W254)&lt;=1,VALUE(X254)&lt;=1,VALUE(Y254)&lt;=1,VALUE(Z254)&lt;=1),"オフショア候補",IF(AND(VALUE(Y254)&lt;=1,VALUE(Z254)&lt;=1),"ニアショア候補","社内で手順化→再評価")))))</f>
        <v/>
      </c>
      <c r="AK254">
        <f>IF(AB254&lt;&gt;"OK","",14-SUMPRODUCT(--T254:Z254))</f>
        <v/>
      </c>
      <c r="AL254" s="33">
        <f>IF(AB254&lt;&gt;"OK","",AS254*AT254/60)</f>
        <v/>
      </c>
      <c r="AM254" s="34">
        <f>IF(A254="","",UPPER(TRIM(ASC(A254&amp;""))))</f>
        <v/>
      </c>
      <c r="AN254" s="34">
        <f>IF(AM254="","",AM254&amp;"-"&amp;B254)</f>
        <v/>
      </c>
      <c r="AO254" s="34">
        <f>IF(C254="","",IFERROR(VALUE(ASC(SUBSTITUTE(C254&amp;"","観点",""))),""))</f>
        <v/>
      </c>
      <c r="AP254" s="34">
        <f>IF(D254="","",IFERROR(VALUE(LEFT(TRIM(ASC(D254&amp;"")),1)),IFERROR(MATCH(TRIM(D254&amp;""),'M2_区分マスタ'!$I$5:$I$10,0),"")))</f>
        <v/>
      </c>
      <c r="AQ254" s="34">
        <f>IF(H254="","",UPPER(LEFT(TRIM(ASC(H254&amp;"")),3)))</f>
        <v/>
      </c>
      <c r="AR254" s="34">
        <f>IF(N254="","",IFERROR(VALUE(SUBSTITUTE(SUBSTITUTE(SUBSTITUTE(SUBSTITUTE(SUBSTITUTE(SUBSTITUTE(SUBSTITUTE(SUBSTITUTE(SUBSTITUTE(SUBSTITUTE(SUBSTITUTE(SUBSTITUTE(ASC(N254&amp;""),"約",""),"程度",""),"ほど",""),"回",""),"毎",""),"週",""),"月",""),"年",""),"日",""),"に",""),"/","")," ","")),""))</f>
        <v/>
      </c>
      <c r="AS254" s="34">
        <f>IF(N254="","",IF(ISNUMBER(N254),N254,IFERROR(VALUE(ASC(N254&amp;"")),IF(AR254&lt;&gt;"",AR254*IF(ISNUMBER(SEARCH("週",N254)),4.3,IF(ISNUMBER(SEARCH("年",N254)),1/12,IF(ISNUMBER(SEARCH("日",N254)),20,1))),IF(ISNUMBER(SEARCH("日",N254)),20,IF(ISNUMBER(SEARCH("週",N254)),4.3,IF(ISNUMBER(SEARCH("月",N254)),1,"")))))))</f>
        <v/>
      </c>
      <c r="AT254" s="34">
        <f>IF(O254="","",IF(ISNUMBER(O254),O254,IFERROR(VALUE(ASC(O254&amp;"")),IF(ISNUMBER(SEARCH("時間",O254)),IFERROR(VALUE(SUBSTITUTE(SUBSTITUTE(SUBSTITUTE(SUBSTITUTE(SUBSTITUTE(ASC(O254&amp;""),"約",""),"程度",""),"ほど",""),"時間","")," ",""))*60,""),IFERROR(VALUE(SUBSTITUTE(SUBSTITUTE(SUBSTITUTE(SUBSTITUTE(SUBSTITUTE(ASC(O254&amp;""),"約",""),"程度",""),"ほど",""),"分","")," ","")),"")))))</f>
        <v/>
      </c>
      <c r="AU254" s="34">
        <f>IF(P254="","",IF(ISNUMBER(P254),P254,IFERROR(VALUE(SUBSTITUTE(SUBSTITUTE(SUBSTITUTE(ASC(P254&amp;""),"約",""),"件","")," ","")),"")))</f>
        <v/>
      </c>
      <c r="AV254" s="34">
        <f>IF(AB254&lt;&gt;"OK","",IF(COUNTIFS($G$5:$G$404,G254&amp;"",$F$5:$F$404,F254&amp;"",$BE$5:$BE$404,BE254&amp;"",$AB$5:$AB$404,"OK")&gt;1,"同名あり",""))</f>
        <v/>
      </c>
      <c r="AW254" s="35">
        <f>IF(Q254="","",IF(ISNUMBER(Q254),Q254,IFERROR(DATEVALUE(SUBSTITUTE(SUBSTITUTE(ASC(Q254&amp;""),"-","/"),".","/")&amp;"/01"),"")))</f>
        <v/>
      </c>
      <c r="AX254" s="35">
        <f>IF(R254="","",IF(ISNUMBER(R254),R254,IFERROR(DATEVALUE(SUBSTITUTE(SUBSTITUTE(ASC(R254&amp;""),"-","/"),".","/")&amp;"/01"),"")))</f>
        <v/>
      </c>
      <c r="AY254" s="34">
        <f>IF(OR(AB254&lt;&gt;"OK",AW254=""),"",IF(AW254&gt;='01_設定'!$C$26,1,0))</f>
        <v/>
      </c>
      <c r="AZ254" s="34">
        <f>IF(AND(AB254="OK",AD254&lt;&gt;"除外"),COUNTIFS($AB$5:AB254,"OK",$AD$5:AD254,"&lt;&gt;除外"),"")</f>
        <v/>
      </c>
      <c r="BA254" s="34">
        <f>IF(OR(AZ254="",AI254=""),"",AI254+ROW()/1000000000)</f>
        <v/>
      </c>
      <c r="BB254" s="34">
        <f>IF(E254="","",IF(OR(TRIM(E254&amp;"")="-",TRIM(E254&amp;"")="－",TRIM(E254&amp;"")="ー"),"",TRIM(E254&amp;"")))</f>
        <v/>
      </c>
      <c r="BC254" s="34">
        <f>IF(AND(AB254="OK",BB254&lt;&gt;""),IF(COUNTIFS($BB$5:BB254,BB254,$AB$5:AB254,"OK")=1,1,""),"")</f>
        <v/>
      </c>
      <c r="BD254" s="34">
        <f>IF(BC254=1,COUNTIF($BC$5:BC254,1),"")</f>
        <v/>
      </c>
      <c r="BE254" s="34">
        <f>IF(BB254="","",IFERROR(INDEX('06_顧客別集計'!$G$5:$G$104,MATCH(BB254,'06_顧客別集計'!$C$5:$C$104,0)),BB254))</f>
        <v/>
      </c>
      <c r="BF254" s="34">
        <f>IF(AND(AZ254&lt;&gt;"",BE254&lt;&gt;""),IF(COUNTIFS($BE$5:BE254,BE254,$AZ$5:AZ254,"&gt;0")=1,1,""),"")</f>
        <v/>
      </c>
      <c r="BG254" s="34">
        <f>IF(BF254=1,COUNTIF($BF$5:BF254,1),"")</f>
        <v/>
      </c>
    </row>
    <row r="255">
      <c r="AB255">
        <f>IF(AND(A255="",G255=""),"",IF(ISNUMBER(SEARCH("##END",AM255)),"（終わりの印）",IF(ISNUMBER(SEARCH("##続き",AM255)),"（続きありの印）",IF(AM255="調査ID","（見出し行）",IF(AND(AM255&lt;&gt;"R1",AM255&lt;&gt;"R2"),"×表以外の行（集計されない）",IF(COUNTIF($AN$5:AN255,AN255)&gt;1,"△重複（集計されない）",IF(G255="","△タスク名なし",IF(ISNA(MATCH(AQ255,'M1_類型マスタ'!$A$5:$A$19,0)),"△類型が不正",IF(OR(AP255="",N(AP255)&lt;1,N(AP255)&gt;6),"△業務区分が不正",IF(OR(AS255="",AT255=""),"△回数・分が読めない",IF(SUMPRODUCT(--ISNUMBER(--T255:Z255))&lt;7,"△採点が足りない",IF(SUMPRODUCT((--T255:Z255&gt;2)+(--T255:Z255&lt;0))&gt;0,"△採点が範囲外","OK"))))))))))))</f>
        <v/>
      </c>
      <c r="AC255">
        <f>IF(AB255&lt;&gt;"OK","",TRIM(IF(AND(AU255&lt;&gt;"",N(AU255)&lt;=1),"根拠1件 ","")&amp;IF(AV255&lt;&gt;"","同名あり ","")&amp;IF(AND(NOT(ISNUMBER(N255)),N255&lt;&gt;""),"回数を換算 ","")&amp;IF(J255="","詳細なし ","")&amp;IF(AND(N(AP255)=1,BB255=""),"顧客名なし ","")))</f>
        <v/>
      </c>
      <c r="AD255" s="31" t="n"/>
      <c r="AE255" s="32" t="n"/>
      <c r="AF255" s="32" t="n"/>
      <c r="AG255" s="31" t="n"/>
      <c r="AH255">
        <f>IF(AB255&lt;&gt;"OK","",IF(AG255&lt;&gt;"",AG255,AJ255))</f>
        <v/>
      </c>
      <c r="AI255" s="33">
        <f>IF(AB255&lt;&gt;"OK","",IFERROR(IF(AE255&lt;&gt;"",AE255,AS255)*IF(AF255&lt;&gt;"",AF255,AT255)/60,""))</f>
        <v/>
      </c>
      <c r="AJ255">
        <f>IF(AB255&lt;&gt;"OK","",IF(OR(VALUE(T255)=2,VALUE(U255)=2,VALUE(V255)=2),"社内残置",IF(AND(VALUE(T255)=0,VALUE(W255)=0,VALUE(Y255)=0),"自動化候補",IF(AND(VALUE(U255)=0,VALUE(W255)&lt;=1,VALUE(X255)&lt;=1,VALUE(Y255)&lt;=1,VALUE(Z255)&lt;=1),"オフショア候補",IF(AND(VALUE(Y255)&lt;=1,VALUE(Z255)&lt;=1),"ニアショア候補","社内で手順化→再評価")))))</f>
        <v/>
      </c>
      <c r="AK255">
        <f>IF(AB255&lt;&gt;"OK","",14-SUMPRODUCT(--T255:Z255))</f>
        <v/>
      </c>
      <c r="AL255" s="33">
        <f>IF(AB255&lt;&gt;"OK","",AS255*AT255/60)</f>
        <v/>
      </c>
      <c r="AM255" s="34">
        <f>IF(A255="","",UPPER(TRIM(ASC(A255&amp;""))))</f>
        <v/>
      </c>
      <c r="AN255" s="34">
        <f>IF(AM255="","",AM255&amp;"-"&amp;B255)</f>
        <v/>
      </c>
      <c r="AO255" s="34">
        <f>IF(C255="","",IFERROR(VALUE(ASC(SUBSTITUTE(C255&amp;"","観点",""))),""))</f>
        <v/>
      </c>
      <c r="AP255" s="34">
        <f>IF(D255="","",IFERROR(VALUE(LEFT(TRIM(ASC(D255&amp;"")),1)),IFERROR(MATCH(TRIM(D255&amp;""),'M2_区分マスタ'!$I$5:$I$10,0),"")))</f>
        <v/>
      </c>
      <c r="AQ255" s="34">
        <f>IF(H255="","",UPPER(LEFT(TRIM(ASC(H255&amp;"")),3)))</f>
        <v/>
      </c>
      <c r="AR255" s="34">
        <f>IF(N255="","",IFERROR(VALUE(SUBSTITUTE(SUBSTITUTE(SUBSTITUTE(SUBSTITUTE(SUBSTITUTE(SUBSTITUTE(SUBSTITUTE(SUBSTITUTE(SUBSTITUTE(SUBSTITUTE(SUBSTITUTE(SUBSTITUTE(ASC(N255&amp;""),"約",""),"程度",""),"ほど",""),"回",""),"毎",""),"週",""),"月",""),"年",""),"日",""),"に",""),"/","")," ","")),""))</f>
        <v/>
      </c>
      <c r="AS255" s="34">
        <f>IF(N255="","",IF(ISNUMBER(N255),N255,IFERROR(VALUE(ASC(N255&amp;"")),IF(AR255&lt;&gt;"",AR255*IF(ISNUMBER(SEARCH("週",N255)),4.3,IF(ISNUMBER(SEARCH("年",N255)),1/12,IF(ISNUMBER(SEARCH("日",N255)),20,1))),IF(ISNUMBER(SEARCH("日",N255)),20,IF(ISNUMBER(SEARCH("週",N255)),4.3,IF(ISNUMBER(SEARCH("月",N255)),1,"")))))))</f>
        <v/>
      </c>
      <c r="AT255" s="34">
        <f>IF(O255="","",IF(ISNUMBER(O255),O255,IFERROR(VALUE(ASC(O255&amp;"")),IF(ISNUMBER(SEARCH("時間",O255)),IFERROR(VALUE(SUBSTITUTE(SUBSTITUTE(SUBSTITUTE(SUBSTITUTE(SUBSTITUTE(ASC(O255&amp;""),"約",""),"程度",""),"ほど",""),"時間","")," ",""))*60,""),IFERROR(VALUE(SUBSTITUTE(SUBSTITUTE(SUBSTITUTE(SUBSTITUTE(SUBSTITUTE(ASC(O255&amp;""),"約",""),"程度",""),"ほど",""),"分","")," ","")),"")))))</f>
        <v/>
      </c>
      <c r="AU255" s="34">
        <f>IF(P255="","",IF(ISNUMBER(P255),P255,IFERROR(VALUE(SUBSTITUTE(SUBSTITUTE(SUBSTITUTE(ASC(P255&amp;""),"約",""),"件","")," ","")),"")))</f>
        <v/>
      </c>
      <c r="AV255" s="34">
        <f>IF(AB255&lt;&gt;"OK","",IF(COUNTIFS($G$5:$G$404,G255&amp;"",$F$5:$F$404,F255&amp;"",$BE$5:$BE$404,BE255&amp;"",$AB$5:$AB$404,"OK")&gt;1,"同名あり",""))</f>
        <v/>
      </c>
      <c r="AW255" s="35">
        <f>IF(Q255="","",IF(ISNUMBER(Q255),Q255,IFERROR(DATEVALUE(SUBSTITUTE(SUBSTITUTE(ASC(Q255&amp;""),"-","/"),".","/")&amp;"/01"),"")))</f>
        <v/>
      </c>
      <c r="AX255" s="35">
        <f>IF(R255="","",IF(ISNUMBER(R255),R255,IFERROR(DATEVALUE(SUBSTITUTE(SUBSTITUTE(ASC(R255&amp;""),"-","/"),".","/")&amp;"/01"),"")))</f>
        <v/>
      </c>
      <c r="AY255" s="34">
        <f>IF(OR(AB255&lt;&gt;"OK",AW255=""),"",IF(AW255&gt;='01_設定'!$C$26,1,0))</f>
        <v/>
      </c>
      <c r="AZ255" s="34">
        <f>IF(AND(AB255="OK",AD255&lt;&gt;"除外"),COUNTIFS($AB$5:AB255,"OK",$AD$5:AD255,"&lt;&gt;除外"),"")</f>
        <v/>
      </c>
      <c r="BA255" s="34">
        <f>IF(OR(AZ255="",AI255=""),"",AI255+ROW()/1000000000)</f>
        <v/>
      </c>
      <c r="BB255" s="34">
        <f>IF(E255="","",IF(OR(TRIM(E255&amp;"")="-",TRIM(E255&amp;"")="－",TRIM(E255&amp;"")="ー"),"",TRIM(E255&amp;"")))</f>
        <v/>
      </c>
      <c r="BC255" s="34">
        <f>IF(AND(AB255="OK",BB255&lt;&gt;""),IF(COUNTIFS($BB$5:BB255,BB255,$AB$5:AB255,"OK")=1,1,""),"")</f>
        <v/>
      </c>
      <c r="BD255" s="34">
        <f>IF(BC255=1,COUNTIF($BC$5:BC255,1),"")</f>
        <v/>
      </c>
      <c r="BE255" s="34">
        <f>IF(BB255="","",IFERROR(INDEX('06_顧客別集計'!$G$5:$G$104,MATCH(BB255,'06_顧客別集計'!$C$5:$C$104,0)),BB255))</f>
        <v/>
      </c>
      <c r="BF255" s="34">
        <f>IF(AND(AZ255&lt;&gt;"",BE255&lt;&gt;""),IF(COUNTIFS($BE$5:BE255,BE255,$AZ$5:AZ255,"&gt;0")=1,1,""),"")</f>
        <v/>
      </c>
      <c r="BG255" s="34">
        <f>IF(BF255=1,COUNTIF($BF$5:BF255,1),"")</f>
        <v/>
      </c>
    </row>
    <row r="256">
      <c r="AB256">
        <f>IF(AND(A256="",G256=""),"",IF(ISNUMBER(SEARCH("##END",AM256)),"（終わりの印）",IF(ISNUMBER(SEARCH("##続き",AM256)),"（続きありの印）",IF(AM256="調査ID","（見出し行）",IF(AND(AM256&lt;&gt;"R1",AM256&lt;&gt;"R2"),"×表以外の行（集計されない）",IF(COUNTIF($AN$5:AN256,AN256)&gt;1,"△重複（集計されない）",IF(G256="","△タスク名なし",IF(ISNA(MATCH(AQ256,'M1_類型マスタ'!$A$5:$A$19,0)),"△類型が不正",IF(OR(AP256="",N(AP256)&lt;1,N(AP256)&gt;6),"△業務区分が不正",IF(OR(AS256="",AT256=""),"△回数・分が読めない",IF(SUMPRODUCT(--ISNUMBER(--T256:Z256))&lt;7,"△採点が足りない",IF(SUMPRODUCT((--T256:Z256&gt;2)+(--T256:Z256&lt;0))&gt;0,"△採点が範囲外","OK"))))))))))))</f>
        <v/>
      </c>
      <c r="AC256">
        <f>IF(AB256&lt;&gt;"OK","",TRIM(IF(AND(AU256&lt;&gt;"",N(AU256)&lt;=1),"根拠1件 ","")&amp;IF(AV256&lt;&gt;"","同名あり ","")&amp;IF(AND(NOT(ISNUMBER(N256)),N256&lt;&gt;""),"回数を換算 ","")&amp;IF(J256="","詳細なし ","")&amp;IF(AND(N(AP256)=1,BB256=""),"顧客名なし ","")))</f>
        <v/>
      </c>
      <c r="AD256" s="31" t="n"/>
      <c r="AE256" s="32" t="n"/>
      <c r="AF256" s="32" t="n"/>
      <c r="AG256" s="31" t="n"/>
      <c r="AH256">
        <f>IF(AB256&lt;&gt;"OK","",IF(AG256&lt;&gt;"",AG256,AJ256))</f>
        <v/>
      </c>
      <c r="AI256" s="33">
        <f>IF(AB256&lt;&gt;"OK","",IFERROR(IF(AE256&lt;&gt;"",AE256,AS256)*IF(AF256&lt;&gt;"",AF256,AT256)/60,""))</f>
        <v/>
      </c>
      <c r="AJ256">
        <f>IF(AB256&lt;&gt;"OK","",IF(OR(VALUE(T256)=2,VALUE(U256)=2,VALUE(V256)=2),"社内残置",IF(AND(VALUE(T256)=0,VALUE(W256)=0,VALUE(Y256)=0),"自動化候補",IF(AND(VALUE(U256)=0,VALUE(W256)&lt;=1,VALUE(X256)&lt;=1,VALUE(Y256)&lt;=1,VALUE(Z256)&lt;=1),"オフショア候補",IF(AND(VALUE(Y256)&lt;=1,VALUE(Z256)&lt;=1),"ニアショア候補","社内で手順化→再評価")))))</f>
        <v/>
      </c>
      <c r="AK256">
        <f>IF(AB256&lt;&gt;"OK","",14-SUMPRODUCT(--T256:Z256))</f>
        <v/>
      </c>
      <c r="AL256" s="33">
        <f>IF(AB256&lt;&gt;"OK","",AS256*AT256/60)</f>
        <v/>
      </c>
      <c r="AM256" s="34">
        <f>IF(A256="","",UPPER(TRIM(ASC(A256&amp;""))))</f>
        <v/>
      </c>
      <c r="AN256" s="34">
        <f>IF(AM256="","",AM256&amp;"-"&amp;B256)</f>
        <v/>
      </c>
      <c r="AO256" s="34">
        <f>IF(C256="","",IFERROR(VALUE(ASC(SUBSTITUTE(C256&amp;"","観点",""))),""))</f>
        <v/>
      </c>
      <c r="AP256" s="34">
        <f>IF(D256="","",IFERROR(VALUE(LEFT(TRIM(ASC(D256&amp;"")),1)),IFERROR(MATCH(TRIM(D256&amp;""),'M2_区分マスタ'!$I$5:$I$10,0),"")))</f>
        <v/>
      </c>
      <c r="AQ256" s="34">
        <f>IF(H256="","",UPPER(LEFT(TRIM(ASC(H256&amp;"")),3)))</f>
        <v/>
      </c>
      <c r="AR256" s="34">
        <f>IF(N256="","",IFERROR(VALUE(SUBSTITUTE(SUBSTITUTE(SUBSTITUTE(SUBSTITUTE(SUBSTITUTE(SUBSTITUTE(SUBSTITUTE(SUBSTITUTE(SUBSTITUTE(SUBSTITUTE(SUBSTITUTE(SUBSTITUTE(ASC(N256&amp;""),"約",""),"程度",""),"ほど",""),"回",""),"毎",""),"週",""),"月",""),"年",""),"日",""),"に",""),"/","")," ","")),""))</f>
        <v/>
      </c>
      <c r="AS256" s="34">
        <f>IF(N256="","",IF(ISNUMBER(N256),N256,IFERROR(VALUE(ASC(N256&amp;"")),IF(AR256&lt;&gt;"",AR256*IF(ISNUMBER(SEARCH("週",N256)),4.3,IF(ISNUMBER(SEARCH("年",N256)),1/12,IF(ISNUMBER(SEARCH("日",N256)),20,1))),IF(ISNUMBER(SEARCH("日",N256)),20,IF(ISNUMBER(SEARCH("週",N256)),4.3,IF(ISNUMBER(SEARCH("月",N256)),1,"")))))))</f>
        <v/>
      </c>
      <c r="AT256" s="34">
        <f>IF(O256="","",IF(ISNUMBER(O256),O256,IFERROR(VALUE(ASC(O256&amp;"")),IF(ISNUMBER(SEARCH("時間",O256)),IFERROR(VALUE(SUBSTITUTE(SUBSTITUTE(SUBSTITUTE(SUBSTITUTE(SUBSTITUTE(ASC(O256&amp;""),"約",""),"程度",""),"ほど",""),"時間","")," ",""))*60,""),IFERROR(VALUE(SUBSTITUTE(SUBSTITUTE(SUBSTITUTE(SUBSTITUTE(SUBSTITUTE(ASC(O256&amp;""),"約",""),"程度",""),"ほど",""),"分","")," ","")),"")))))</f>
        <v/>
      </c>
      <c r="AU256" s="34">
        <f>IF(P256="","",IF(ISNUMBER(P256),P256,IFERROR(VALUE(SUBSTITUTE(SUBSTITUTE(SUBSTITUTE(ASC(P256&amp;""),"約",""),"件","")," ","")),"")))</f>
        <v/>
      </c>
      <c r="AV256" s="34">
        <f>IF(AB256&lt;&gt;"OK","",IF(COUNTIFS($G$5:$G$404,G256&amp;"",$F$5:$F$404,F256&amp;"",$BE$5:$BE$404,BE256&amp;"",$AB$5:$AB$404,"OK")&gt;1,"同名あり",""))</f>
        <v/>
      </c>
      <c r="AW256" s="35">
        <f>IF(Q256="","",IF(ISNUMBER(Q256),Q256,IFERROR(DATEVALUE(SUBSTITUTE(SUBSTITUTE(ASC(Q256&amp;""),"-","/"),".","/")&amp;"/01"),"")))</f>
        <v/>
      </c>
      <c r="AX256" s="35">
        <f>IF(R256="","",IF(ISNUMBER(R256),R256,IFERROR(DATEVALUE(SUBSTITUTE(SUBSTITUTE(ASC(R256&amp;""),"-","/"),".","/")&amp;"/01"),"")))</f>
        <v/>
      </c>
      <c r="AY256" s="34">
        <f>IF(OR(AB256&lt;&gt;"OK",AW256=""),"",IF(AW256&gt;='01_設定'!$C$26,1,0))</f>
        <v/>
      </c>
      <c r="AZ256" s="34">
        <f>IF(AND(AB256="OK",AD256&lt;&gt;"除外"),COUNTIFS($AB$5:AB256,"OK",$AD$5:AD256,"&lt;&gt;除外"),"")</f>
        <v/>
      </c>
      <c r="BA256" s="34">
        <f>IF(OR(AZ256="",AI256=""),"",AI256+ROW()/1000000000)</f>
        <v/>
      </c>
      <c r="BB256" s="34">
        <f>IF(E256="","",IF(OR(TRIM(E256&amp;"")="-",TRIM(E256&amp;"")="－",TRIM(E256&amp;"")="ー"),"",TRIM(E256&amp;"")))</f>
        <v/>
      </c>
      <c r="BC256" s="34">
        <f>IF(AND(AB256="OK",BB256&lt;&gt;""),IF(COUNTIFS($BB$5:BB256,BB256,$AB$5:AB256,"OK")=1,1,""),"")</f>
        <v/>
      </c>
      <c r="BD256" s="34">
        <f>IF(BC256=1,COUNTIF($BC$5:BC256,1),"")</f>
        <v/>
      </c>
      <c r="BE256" s="34">
        <f>IF(BB256="","",IFERROR(INDEX('06_顧客別集計'!$G$5:$G$104,MATCH(BB256,'06_顧客別集計'!$C$5:$C$104,0)),BB256))</f>
        <v/>
      </c>
      <c r="BF256" s="34">
        <f>IF(AND(AZ256&lt;&gt;"",BE256&lt;&gt;""),IF(COUNTIFS($BE$5:BE256,BE256,$AZ$5:AZ256,"&gt;0")=1,1,""),"")</f>
        <v/>
      </c>
      <c r="BG256" s="34">
        <f>IF(BF256=1,COUNTIF($BF$5:BF256,1),"")</f>
        <v/>
      </c>
    </row>
    <row r="257">
      <c r="AB257">
        <f>IF(AND(A257="",G257=""),"",IF(ISNUMBER(SEARCH("##END",AM257)),"（終わりの印）",IF(ISNUMBER(SEARCH("##続き",AM257)),"（続きありの印）",IF(AM257="調査ID","（見出し行）",IF(AND(AM257&lt;&gt;"R1",AM257&lt;&gt;"R2"),"×表以外の行（集計されない）",IF(COUNTIF($AN$5:AN257,AN257)&gt;1,"△重複（集計されない）",IF(G257="","△タスク名なし",IF(ISNA(MATCH(AQ257,'M1_類型マスタ'!$A$5:$A$19,0)),"△類型が不正",IF(OR(AP257="",N(AP257)&lt;1,N(AP257)&gt;6),"△業務区分が不正",IF(OR(AS257="",AT257=""),"△回数・分が読めない",IF(SUMPRODUCT(--ISNUMBER(--T257:Z257))&lt;7,"△採点が足りない",IF(SUMPRODUCT((--T257:Z257&gt;2)+(--T257:Z257&lt;0))&gt;0,"△採点が範囲外","OK"))))))))))))</f>
        <v/>
      </c>
      <c r="AC257">
        <f>IF(AB257&lt;&gt;"OK","",TRIM(IF(AND(AU257&lt;&gt;"",N(AU257)&lt;=1),"根拠1件 ","")&amp;IF(AV257&lt;&gt;"","同名あり ","")&amp;IF(AND(NOT(ISNUMBER(N257)),N257&lt;&gt;""),"回数を換算 ","")&amp;IF(J257="","詳細なし ","")&amp;IF(AND(N(AP257)=1,BB257=""),"顧客名なし ","")))</f>
        <v/>
      </c>
      <c r="AD257" s="31" t="n"/>
      <c r="AE257" s="32" t="n"/>
      <c r="AF257" s="32" t="n"/>
      <c r="AG257" s="31" t="n"/>
      <c r="AH257">
        <f>IF(AB257&lt;&gt;"OK","",IF(AG257&lt;&gt;"",AG257,AJ257))</f>
        <v/>
      </c>
      <c r="AI257" s="33">
        <f>IF(AB257&lt;&gt;"OK","",IFERROR(IF(AE257&lt;&gt;"",AE257,AS257)*IF(AF257&lt;&gt;"",AF257,AT257)/60,""))</f>
        <v/>
      </c>
      <c r="AJ257">
        <f>IF(AB257&lt;&gt;"OK","",IF(OR(VALUE(T257)=2,VALUE(U257)=2,VALUE(V257)=2),"社内残置",IF(AND(VALUE(T257)=0,VALUE(W257)=0,VALUE(Y257)=0),"自動化候補",IF(AND(VALUE(U257)=0,VALUE(W257)&lt;=1,VALUE(X257)&lt;=1,VALUE(Y257)&lt;=1,VALUE(Z257)&lt;=1),"オフショア候補",IF(AND(VALUE(Y257)&lt;=1,VALUE(Z257)&lt;=1),"ニアショア候補","社内で手順化→再評価")))))</f>
        <v/>
      </c>
      <c r="AK257">
        <f>IF(AB257&lt;&gt;"OK","",14-SUMPRODUCT(--T257:Z257))</f>
        <v/>
      </c>
      <c r="AL257" s="33">
        <f>IF(AB257&lt;&gt;"OK","",AS257*AT257/60)</f>
        <v/>
      </c>
      <c r="AM257" s="34">
        <f>IF(A257="","",UPPER(TRIM(ASC(A257&amp;""))))</f>
        <v/>
      </c>
      <c r="AN257" s="34">
        <f>IF(AM257="","",AM257&amp;"-"&amp;B257)</f>
        <v/>
      </c>
      <c r="AO257" s="34">
        <f>IF(C257="","",IFERROR(VALUE(ASC(SUBSTITUTE(C257&amp;"","観点",""))),""))</f>
        <v/>
      </c>
      <c r="AP257" s="34">
        <f>IF(D257="","",IFERROR(VALUE(LEFT(TRIM(ASC(D257&amp;"")),1)),IFERROR(MATCH(TRIM(D257&amp;""),'M2_区分マスタ'!$I$5:$I$10,0),"")))</f>
        <v/>
      </c>
      <c r="AQ257" s="34">
        <f>IF(H257="","",UPPER(LEFT(TRIM(ASC(H257&amp;"")),3)))</f>
        <v/>
      </c>
      <c r="AR257" s="34">
        <f>IF(N257="","",IFERROR(VALUE(SUBSTITUTE(SUBSTITUTE(SUBSTITUTE(SUBSTITUTE(SUBSTITUTE(SUBSTITUTE(SUBSTITUTE(SUBSTITUTE(SUBSTITUTE(SUBSTITUTE(SUBSTITUTE(SUBSTITUTE(ASC(N257&amp;""),"約",""),"程度",""),"ほど",""),"回",""),"毎",""),"週",""),"月",""),"年",""),"日",""),"に",""),"/","")," ","")),""))</f>
        <v/>
      </c>
      <c r="AS257" s="34">
        <f>IF(N257="","",IF(ISNUMBER(N257),N257,IFERROR(VALUE(ASC(N257&amp;"")),IF(AR257&lt;&gt;"",AR257*IF(ISNUMBER(SEARCH("週",N257)),4.3,IF(ISNUMBER(SEARCH("年",N257)),1/12,IF(ISNUMBER(SEARCH("日",N257)),20,1))),IF(ISNUMBER(SEARCH("日",N257)),20,IF(ISNUMBER(SEARCH("週",N257)),4.3,IF(ISNUMBER(SEARCH("月",N257)),1,"")))))))</f>
        <v/>
      </c>
      <c r="AT257" s="34">
        <f>IF(O257="","",IF(ISNUMBER(O257),O257,IFERROR(VALUE(ASC(O257&amp;"")),IF(ISNUMBER(SEARCH("時間",O257)),IFERROR(VALUE(SUBSTITUTE(SUBSTITUTE(SUBSTITUTE(SUBSTITUTE(SUBSTITUTE(ASC(O257&amp;""),"約",""),"程度",""),"ほど",""),"時間","")," ",""))*60,""),IFERROR(VALUE(SUBSTITUTE(SUBSTITUTE(SUBSTITUTE(SUBSTITUTE(SUBSTITUTE(ASC(O257&amp;""),"約",""),"程度",""),"ほど",""),"分","")," ","")),"")))))</f>
        <v/>
      </c>
      <c r="AU257" s="34">
        <f>IF(P257="","",IF(ISNUMBER(P257),P257,IFERROR(VALUE(SUBSTITUTE(SUBSTITUTE(SUBSTITUTE(ASC(P257&amp;""),"約",""),"件","")," ","")),"")))</f>
        <v/>
      </c>
      <c r="AV257" s="34">
        <f>IF(AB257&lt;&gt;"OK","",IF(COUNTIFS($G$5:$G$404,G257&amp;"",$F$5:$F$404,F257&amp;"",$BE$5:$BE$404,BE257&amp;"",$AB$5:$AB$404,"OK")&gt;1,"同名あり",""))</f>
        <v/>
      </c>
      <c r="AW257" s="35">
        <f>IF(Q257="","",IF(ISNUMBER(Q257),Q257,IFERROR(DATEVALUE(SUBSTITUTE(SUBSTITUTE(ASC(Q257&amp;""),"-","/"),".","/")&amp;"/01"),"")))</f>
        <v/>
      </c>
      <c r="AX257" s="35">
        <f>IF(R257="","",IF(ISNUMBER(R257),R257,IFERROR(DATEVALUE(SUBSTITUTE(SUBSTITUTE(ASC(R257&amp;""),"-","/"),".","/")&amp;"/01"),"")))</f>
        <v/>
      </c>
      <c r="AY257" s="34">
        <f>IF(OR(AB257&lt;&gt;"OK",AW257=""),"",IF(AW257&gt;='01_設定'!$C$26,1,0))</f>
        <v/>
      </c>
      <c r="AZ257" s="34">
        <f>IF(AND(AB257="OK",AD257&lt;&gt;"除外"),COUNTIFS($AB$5:AB257,"OK",$AD$5:AD257,"&lt;&gt;除外"),"")</f>
        <v/>
      </c>
      <c r="BA257" s="34">
        <f>IF(OR(AZ257="",AI257=""),"",AI257+ROW()/1000000000)</f>
        <v/>
      </c>
      <c r="BB257" s="34">
        <f>IF(E257="","",IF(OR(TRIM(E257&amp;"")="-",TRIM(E257&amp;"")="－",TRIM(E257&amp;"")="ー"),"",TRIM(E257&amp;"")))</f>
        <v/>
      </c>
      <c r="BC257" s="34">
        <f>IF(AND(AB257="OK",BB257&lt;&gt;""),IF(COUNTIFS($BB$5:BB257,BB257,$AB$5:AB257,"OK")=1,1,""),"")</f>
        <v/>
      </c>
      <c r="BD257" s="34">
        <f>IF(BC257=1,COUNTIF($BC$5:BC257,1),"")</f>
        <v/>
      </c>
      <c r="BE257" s="34">
        <f>IF(BB257="","",IFERROR(INDEX('06_顧客別集計'!$G$5:$G$104,MATCH(BB257,'06_顧客別集計'!$C$5:$C$104,0)),BB257))</f>
        <v/>
      </c>
      <c r="BF257" s="34">
        <f>IF(AND(AZ257&lt;&gt;"",BE257&lt;&gt;""),IF(COUNTIFS($BE$5:BE257,BE257,$AZ$5:AZ257,"&gt;0")=1,1,""),"")</f>
        <v/>
      </c>
      <c r="BG257" s="34">
        <f>IF(BF257=1,COUNTIF($BF$5:BF257,1),"")</f>
        <v/>
      </c>
    </row>
    <row r="258">
      <c r="AB258">
        <f>IF(AND(A258="",G258=""),"",IF(ISNUMBER(SEARCH("##END",AM258)),"（終わりの印）",IF(ISNUMBER(SEARCH("##続き",AM258)),"（続きありの印）",IF(AM258="調査ID","（見出し行）",IF(AND(AM258&lt;&gt;"R1",AM258&lt;&gt;"R2"),"×表以外の行（集計されない）",IF(COUNTIF($AN$5:AN258,AN258)&gt;1,"△重複（集計されない）",IF(G258="","△タスク名なし",IF(ISNA(MATCH(AQ258,'M1_類型マスタ'!$A$5:$A$19,0)),"△類型が不正",IF(OR(AP258="",N(AP258)&lt;1,N(AP258)&gt;6),"△業務区分が不正",IF(OR(AS258="",AT258=""),"△回数・分が読めない",IF(SUMPRODUCT(--ISNUMBER(--T258:Z258))&lt;7,"△採点が足りない",IF(SUMPRODUCT((--T258:Z258&gt;2)+(--T258:Z258&lt;0))&gt;0,"△採点が範囲外","OK"))))))))))))</f>
        <v/>
      </c>
      <c r="AC258">
        <f>IF(AB258&lt;&gt;"OK","",TRIM(IF(AND(AU258&lt;&gt;"",N(AU258)&lt;=1),"根拠1件 ","")&amp;IF(AV258&lt;&gt;"","同名あり ","")&amp;IF(AND(NOT(ISNUMBER(N258)),N258&lt;&gt;""),"回数を換算 ","")&amp;IF(J258="","詳細なし ","")&amp;IF(AND(N(AP258)=1,BB258=""),"顧客名なし ","")))</f>
        <v/>
      </c>
      <c r="AD258" s="31" t="n"/>
      <c r="AE258" s="32" t="n"/>
      <c r="AF258" s="32" t="n"/>
      <c r="AG258" s="31" t="n"/>
      <c r="AH258">
        <f>IF(AB258&lt;&gt;"OK","",IF(AG258&lt;&gt;"",AG258,AJ258))</f>
        <v/>
      </c>
      <c r="AI258" s="33">
        <f>IF(AB258&lt;&gt;"OK","",IFERROR(IF(AE258&lt;&gt;"",AE258,AS258)*IF(AF258&lt;&gt;"",AF258,AT258)/60,""))</f>
        <v/>
      </c>
      <c r="AJ258">
        <f>IF(AB258&lt;&gt;"OK","",IF(OR(VALUE(T258)=2,VALUE(U258)=2,VALUE(V258)=2),"社内残置",IF(AND(VALUE(T258)=0,VALUE(W258)=0,VALUE(Y258)=0),"自動化候補",IF(AND(VALUE(U258)=0,VALUE(W258)&lt;=1,VALUE(X258)&lt;=1,VALUE(Y258)&lt;=1,VALUE(Z258)&lt;=1),"オフショア候補",IF(AND(VALUE(Y258)&lt;=1,VALUE(Z258)&lt;=1),"ニアショア候補","社内で手順化→再評価")))))</f>
        <v/>
      </c>
      <c r="AK258">
        <f>IF(AB258&lt;&gt;"OK","",14-SUMPRODUCT(--T258:Z258))</f>
        <v/>
      </c>
      <c r="AL258" s="33">
        <f>IF(AB258&lt;&gt;"OK","",AS258*AT258/60)</f>
        <v/>
      </c>
      <c r="AM258" s="34">
        <f>IF(A258="","",UPPER(TRIM(ASC(A258&amp;""))))</f>
        <v/>
      </c>
      <c r="AN258" s="34">
        <f>IF(AM258="","",AM258&amp;"-"&amp;B258)</f>
        <v/>
      </c>
      <c r="AO258" s="34">
        <f>IF(C258="","",IFERROR(VALUE(ASC(SUBSTITUTE(C258&amp;"","観点",""))),""))</f>
        <v/>
      </c>
      <c r="AP258" s="34">
        <f>IF(D258="","",IFERROR(VALUE(LEFT(TRIM(ASC(D258&amp;"")),1)),IFERROR(MATCH(TRIM(D258&amp;""),'M2_区分マスタ'!$I$5:$I$10,0),"")))</f>
        <v/>
      </c>
      <c r="AQ258" s="34">
        <f>IF(H258="","",UPPER(LEFT(TRIM(ASC(H258&amp;"")),3)))</f>
        <v/>
      </c>
      <c r="AR258" s="34">
        <f>IF(N258="","",IFERROR(VALUE(SUBSTITUTE(SUBSTITUTE(SUBSTITUTE(SUBSTITUTE(SUBSTITUTE(SUBSTITUTE(SUBSTITUTE(SUBSTITUTE(SUBSTITUTE(SUBSTITUTE(SUBSTITUTE(SUBSTITUTE(ASC(N258&amp;""),"約",""),"程度",""),"ほど",""),"回",""),"毎",""),"週",""),"月",""),"年",""),"日",""),"に",""),"/","")," ","")),""))</f>
        <v/>
      </c>
      <c r="AS258" s="34">
        <f>IF(N258="","",IF(ISNUMBER(N258),N258,IFERROR(VALUE(ASC(N258&amp;"")),IF(AR258&lt;&gt;"",AR258*IF(ISNUMBER(SEARCH("週",N258)),4.3,IF(ISNUMBER(SEARCH("年",N258)),1/12,IF(ISNUMBER(SEARCH("日",N258)),20,1))),IF(ISNUMBER(SEARCH("日",N258)),20,IF(ISNUMBER(SEARCH("週",N258)),4.3,IF(ISNUMBER(SEARCH("月",N258)),1,"")))))))</f>
        <v/>
      </c>
      <c r="AT258" s="34">
        <f>IF(O258="","",IF(ISNUMBER(O258),O258,IFERROR(VALUE(ASC(O258&amp;"")),IF(ISNUMBER(SEARCH("時間",O258)),IFERROR(VALUE(SUBSTITUTE(SUBSTITUTE(SUBSTITUTE(SUBSTITUTE(SUBSTITUTE(ASC(O258&amp;""),"約",""),"程度",""),"ほど",""),"時間","")," ",""))*60,""),IFERROR(VALUE(SUBSTITUTE(SUBSTITUTE(SUBSTITUTE(SUBSTITUTE(SUBSTITUTE(ASC(O258&amp;""),"約",""),"程度",""),"ほど",""),"分","")," ","")),"")))))</f>
        <v/>
      </c>
      <c r="AU258" s="34">
        <f>IF(P258="","",IF(ISNUMBER(P258),P258,IFERROR(VALUE(SUBSTITUTE(SUBSTITUTE(SUBSTITUTE(ASC(P258&amp;""),"約",""),"件","")," ","")),"")))</f>
        <v/>
      </c>
      <c r="AV258" s="34">
        <f>IF(AB258&lt;&gt;"OK","",IF(COUNTIFS($G$5:$G$404,G258&amp;"",$F$5:$F$404,F258&amp;"",$BE$5:$BE$404,BE258&amp;"",$AB$5:$AB$404,"OK")&gt;1,"同名あり",""))</f>
        <v/>
      </c>
      <c r="AW258" s="35">
        <f>IF(Q258="","",IF(ISNUMBER(Q258),Q258,IFERROR(DATEVALUE(SUBSTITUTE(SUBSTITUTE(ASC(Q258&amp;""),"-","/"),".","/")&amp;"/01"),"")))</f>
        <v/>
      </c>
      <c r="AX258" s="35">
        <f>IF(R258="","",IF(ISNUMBER(R258),R258,IFERROR(DATEVALUE(SUBSTITUTE(SUBSTITUTE(ASC(R258&amp;""),"-","/"),".","/")&amp;"/01"),"")))</f>
        <v/>
      </c>
      <c r="AY258" s="34">
        <f>IF(OR(AB258&lt;&gt;"OK",AW258=""),"",IF(AW258&gt;='01_設定'!$C$26,1,0))</f>
        <v/>
      </c>
      <c r="AZ258" s="34">
        <f>IF(AND(AB258="OK",AD258&lt;&gt;"除外"),COUNTIFS($AB$5:AB258,"OK",$AD$5:AD258,"&lt;&gt;除外"),"")</f>
        <v/>
      </c>
      <c r="BA258" s="34">
        <f>IF(OR(AZ258="",AI258=""),"",AI258+ROW()/1000000000)</f>
        <v/>
      </c>
      <c r="BB258" s="34">
        <f>IF(E258="","",IF(OR(TRIM(E258&amp;"")="-",TRIM(E258&amp;"")="－",TRIM(E258&amp;"")="ー"),"",TRIM(E258&amp;"")))</f>
        <v/>
      </c>
      <c r="BC258" s="34">
        <f>IF(AND(AB258="OK",BB258&lt;&gt;""),IF(COUNTIFS($BB$5:BB258,BB258,$AB$5:AB258,"OK")=1,1,""),"")</f>
        <v/>
      </c>
      <c r="BD258" s="34">
        <f>IF(BC258=1,COUNTIF($BC$5:BC258,1),"")</f>
        <v/>
      </c>
      <c r="BE258" s="34">
        <f>IF(BB258="","",IFERROR(INDEX('06_顧客別集計'!$G$5:$G$104,MATCH(BB258,'06_顧客別集計'!$C$5:$C$104,0)),BB258))</f>
        <v/>
      </c>
      <c r="BF258" s="34">
        <f>IF(AND(AZ258&lt;&gt;"",BE258&lt;&gt;""),IF(COUNTIFS($BE$5:BE258,BE258,$AZ$5:AZ258,"&gt;0")=1,1,""),"")</f>
        <v/>
      </c>
      <c r="BG258" s="34">
        <f>IF(BF258=1,COUNTIF($BF$5:BF258,1),"")</f>
        <v/>
      </c>
    </row>
    <row r="259">
      <c r="AB259">
        <f>IF(AND(A259="",G259=""),"",IF(ISNUMBER(SEARCH("##END",AM259)),"（終わりの印）",IF(ISNUMBER(SEARCH("##続き",AM259)),"（続きありの印）",IF(AM259="調査ID","（見出し行）",IF(AND(AM259&lt;&gt;"R1",AM259&lt;&gt;"R2"),"×表以外の行（集計されない）",IF(COUNTIF($AN$5:AN259,AN259)&gt;1,"△重複（集計されない）",IF(G259="","△タスク名なし",IF(ISNA(MATCH(AQ259,'M1_類型マスタ'!$A$5:$A$19,0)),"△類型が不正",IF(OR(AP259="",N(AP259)&lt;1,N(AP259)&gt;6),"△業務区分が不正",IF(OR(AS259="",AT259=""),"△回数・分が読めない",IF(SUMPRODUCT(--ISNUMBER(--T259:Z259))&lt;7,"△採点が足りない",IF(SUMPRODUCT((--T259:Z259&gt;2)+(--T259:Z259&lt;0))&gt;0,"△採点が範囲外","OK"))))))))))))</f>
        <v/>
      </c>
      <c r="AC259">
        <f>IF(AB259&lt;&gt;"OK","",TRIM(IF(AND(AU259&lt;&gt;"",N(AU259)&lt;=1),"根拠1件 ","")&amp;IF(AV259&lt;&gt;"","同名あり ","")&amp;IF(AND(NOT(ISNUMBER(N259)),N259&lt;&gt;""),"回数を換算 ","")&amp;IF(J259="","詳細なし ","")&amp;IF(AND(N(AP259)=1,BB259=""),"顧客名なし ","")))</f>
        <v/>
      </c>
      <c r="AD259" s="31" t="n"/>
      <c r="AE259" s="32" t="n"/>
      <c r="AF259" s="32" t="n"/>
      <c r="AG259" s="31" t="n"/>
      <c r="AH259">
        <f>IF(AB259&lt;&gt;"OK","",IF(AG259&lt;&gt;"",AG259,AJ259))</f>
        <v/>
      </c>
      <c r="AI259" s="33">
        <f>IF(AB259&lt;&gt;"OK","",IFERROR(IF(AE259&lt;&gt;"",AE259,AS259)*IF(AF259&lt;&gt;"",AF259,AT259)/60,""))</f>
        <v/>
      </c>
      <c r="AJ259">
        <f>IF(AB259&lt;&gt;"OK","",IF(OR(VALUE(T259)=2,VALUE(U259)=2,VALUE(V259)=2),"社内残置",IF(AND(VALUE(T259)=0,VALUE(W259)=0,VALUE(Y259)=0),"自動化候補",IF(AND(VALUE(U259)=0,VALUE(W259)&lt;=1,VALUE(X259)&lt;=1,VALUE(Y259)&lt;=1,VALUE(Z259)&lt;=1),"オフショア候補",IF(AND(VALUE(Y259)&lt;=1,VALUE(Z259)&lt;=1),"ニアショア候補","社内で手順化→再評価")))))</f>
        <v/>
      </c>
      <c r="AK259">
        <f>IF(AB259&lt;&gt;"OK","",14-SUMPRODUCT(--T259:Z259))</f>
        <v/>
      </c>
      <c r="AL259" s="33">
        <f>IF(AB259&lt;&gt;"OK","",AS259*AT259/60)</f>
        <v/>
      </c>
      <c r="AM259" s="34">
        <f>IF(A259="","",UPPER(TRIM(ASC(A259&amp;""))))</f>
        <v/>
      </c>
      <c r="AN259" s="34">
        <f>IF(AM259="","",AM259&amp;"-"&amp;B259)</f>
        <v/>
      </c>
      <c r="AO259" s="34">
        <f>IF(C259="","",IFERROR(VALUE(ASC(SUBSTITUTE(C259&amp;"","観点",""))),""))</f>
        <v/>
      </c>
      <c r="AP259" s="34">
        <f>IF(D259="","",IFERROR(VALUE(LEFT(TRIM(ASC(D259&amp;"")),1)),IFERROR(MATCH(TRIM(D259&amp;""),'M2_区分マスタ'!$I$5:$I$10,0),"")))</f>
        <v/>
      </c>
      <c r="AQ259" s="34">
        <f>IF(H259="","",UPPER(LEFT(TRIM(ASC(H259&amp;"")),3)))</f>
        <v/>
      </c>
      <c r="AR259" s="34">
        <f>IF(N259="","",IFERROR(VALUE(SUBSTITUTE(SUBSTITUTE(SUBSTITUTE(SUBSTITUTE(SUBSTITUTE(SUBSTITUTE(SUBSTITUTE(SUBSTITUTE(SUBSTITUTE(SUBSTITUTE(SUBSTITUTE(SUBSTITUTE(ASC(N259&amp;""),"約",""),"程度",""),"ほど",""),"回",""),"毎",""),"週",""),"月",""),"年",""),"日",""),"に",""),"/","")," ","")),""))</f>
        <v/>
      </c>
      <c r="AS259" s="34">
        <f>IF(N259="","",IF(ISNUMBER(N259),N259,IFERROR(VALUE(ASC(N259&amp;"")),IF(AR259&lt;&gt;"",AR259*IF(ISNUMBER(SEARCH("週",N259)),4.3,IF(ISNUMBER(SEARCH("年",N259)),1/12,IF(ISNUMBER(SEARCH("日",N259)),20,1))),IF(ISNUMBER(SEARCH("日",N259)),20,IF(ISNUMBER(SEARCH("週",N259)),4.3,IF(ISNUMBER(SEARCH("月",N259)),1,"")))))))</f>
        <v/>
      </c>
      <c r="AT259" s="34">
        <f>IF(O259="","",IF(ISNUMBER(O259),O259,IFERROR(VALUE(ASC(O259&amp;"")),IF(ISNUMBER(SEARCH("時間",O259)),IFERROR(VALUE(SUBSTITUTE(SUBSTITUTE(SUBSTITUTE(SUBSTITUTE(SUBSTITUTE(ASC(O259&amp;""),"約",""),"程度",""),"ほど",""),"時間","")," ",""))*60,""),IFERROR(VALUE(SUBSTITUTE(SUBSTITUTE(SUBSTITUTE(SUBSTITUTE(SUBSTITUTE(ASC(O259&amp;""),"約",""),"程度",""),"ほど",""),"分","")," ","")),"")))))</f>
        <v/>
      </c>
      <c r="AU259" s="34">
        <f>IF(P259="","",IF(ISNUMBER(P259),P259,IFERROR(VALUE(SUBSTITUTE(SUBSTITUTE(SUBSTITUTE(ASC(P259&amp;""),"約",""),"件","")," ","")),"")))</f>
        <v/>
      </c>
      <c r="AV259" s="34">
        <f>IF(AB259&lt;&gt;"OK","",IF(COUNTIFS($G$5:$G$404,G259&amp;"",$F$5:$F$404,F259&amp;"",$BE$5:$BE$404,BE259&amp;"",$AB$5:$AB$404,"OK")&gt;1,"同名あり",""))</f>
        <v/>
      </c>
      <c r="AW259" s="35">
        <f>IF(Q259="","",IF(ISNUMBER(Q259),Q259,IFERROR(DATEVALUE(SUBSTITUTE(SUBSTITUTE(ASC(Q259&amp;""),"-","/"),".","/")&amp;"/01"),"")))</f>
        <v/>
      </c>
      <c r="AX259" s="35">
        <f>IF(R259="","",IF(ISNUMBER(R259),R259,IFERROR(DATEVALUE(SUBSTITUTE(SUBSTITUTE(ASC(R259&amp;""),"-","/"),".","/")&amp;"/01"),"")))</f>
        <v/>
      </c>
      <c r="AY259" s="34">
        <f>IF(OR(AB259&lt;&gt;"OK",AW259=""),"",IF(AW259&gt;='01_設定'!$C$26,1,0))</f>
        <v/>
      </c>
      <c r="AZ259" s="34">
        <f>IF(AND(AB259="OK",AD259&lt;&gt;"除外"),COUNTIFS($AB$5:AB259,"OK",$AD$5:AD259,"&lt;&gt;除外"),"")</f>
        <v/>
      </c>
      <c r="BA259" s="34">
        <f>IF(OR(AZ259="",AI259=""),"",AI259+ROW()/1000000000)</f>
        <v/>
      </c>
      <c r="BB259" s="34">
        <f>IF(E259="","",IF(OR(TRIM(E259&amp;"")="-",TRIM(E259&amp;"")="－",TRIM(E259&amp;"")="ー"),"",TRIM(E259&amp;"")))</f>
        <v/>
      </c>
      <c r="BC259" s="34">
        <f>IF(AND(AB259="OK",BB259&lt;&gt;""),IF(COUNTIFS($BB$5:BB259,BB259,$AB$5:AB259,"OK")=1,1,""),"")</f>
        <v/>
      </c>
      <c r="BD259" s="34">
        <f>IF(BC259=1,COUNTIF($BC$5:BC259,1),"")</f>
        <v/>
      </c>
      <c r="BE259" s="34">
        <f>IF(BB259="","",IFERROR(INDEX('06_顧客別集計'!$G$5:$G$104,MATCH(BB259,'06_顧客別集計'!$C$5:$C$104,0)),BB259))</f>
        <v/>
      </c>
      <c r="BF259" s="34">
        <f>IF(AND(AZ259&lt;&gt;"",BE259&lt;&gt;""),IF(COUNTIFS($BE$5:BE259,BE259,$AZ$5:AZ259,"&gt;0")=1,1,""),"")</f>
        <v/>
      </c>
      <c r="BG259" s="34">
        <f>IF(BF259=1,COUNTIF($BF$5:BF259,1),"")</f>
        <v/>
      </c>
    </row>
    <row r="260">
      <c r="AB260">
        <f>IF(AND(A260="",G260=""),"",IF(ISNUMBER(SEARCH("##END",AM260)),"（終わりの印）",IF(ISNUMBER(SEARCH("##続き",AM260)),"（続きありの印）",IF(AM260="調査ID","（見出し行）",IF(AND(AM260&lt;&gt;"R1",AM260&lt;&gt;"R2"),"×表以外の行（集計されない）",IF(COUNTIF($AN$5:AN260,AN260)&gt;1,"△重複（集計されない）",IF(G260="","△タスク名なし",IF(ISNA(MATCH(AQ260,'M1_類型マスタ'!$A$5:$A$19,0)),"△類型が不正",IF(OR(AP260="",N(AP260)&lt;1,N(AP260)&gt;6),"△業務区分が不正",IF(OR(AS260="",AT260=""),"△回数・分が読めない",IF(SUMPRODUCT(--ISNUMBER(--T260:Z260))&lt;7,"△採点が足りない",IF(SUMPRODUCT((--T260:Z260&gt;2)+(--T260:Z260&lt;0))&gt;0,"△採点が範囲外","OK"))))))))))))</f>
        <v/>
      </c>
      <c r="AC260">
        <f>IF(AB260&lt;&gt;"OK","",TRIM(IF(AND(AU260&lt;&gt;"",N(AU260)&lt;=1),"根拠1件 ","")&amp;IF(AV260&lt;&gt;"","同名あり ","")&amp;IF(AND(NOT(ISNUMBER(N260)),N260&lt;&gt;""),"回数を換算 ","")&amp;IF(J260="","詳細なし ","")&amp;IF(AND(N(AP260)=1,BB260=""),"顧客名なし ","")))</f>
        <v/>
      </c>
      <c r="AD260" s="31" t="n"/>
      <c r="AE260" s="32" t="n"/>
      <c r="AF260" s="32" t="n"/>
      <c r="AG260" s="31" t="n"/>
      <c r="AH260">
        <f>IF(AB260&lt;&gt;"OK","",IF(AG260&lt;&gt;"",AG260,AJ260))</f>
        <v/>
      </c>
      <c r="AI260" s="33">
        <f>IF(AB260&lt;&gt;"OK","",IFERROR(IF(AE260&lt;&gt;"",AE260,AS260)*IF(AF260&lt;&gt;"",AF260,AT260)/60,""))</f>
        <v/>
      </c>
      <c r="AJ260">
        <f>IF(AB260&lt;&gt;"OK","",IF(OR(VALUE(T260)=2,VALUE(U260)=2,VALUE(V260)=2),"社内残置",IF(AND(VALUE(T260)=0,VALUE(W260)=0,VALUE(Y260)=0),"自動化候補",IF(AND(VALUE(U260)=0,VALUE(W260)&lt;=1,VALUE(X260)&lt;=1,VALUE(Y260)&lt;=1,VALUE(Z260)&lt;=1),"オフショア候補",IF(AND(VALUE(Y260)&lt;=1,VALUE(Z260)&lt;=1),"ニアショア候補","社内で手順化→再評価")))))</f>
        <v/>
      </c>
      <c r="AK260">
        <f>IF(AB260&lt;&gt;"OK","",14-SUMPRODUCT(--T260:Z260))</f>
        <v/>
      </c>
      <c r="AL260" s="33">
        <f>IF(AB260&lt;&gt;"OK","",AS260*AT260/60)</f>
        <v/>
      </c>
      <c r="AM260" s="34">
        <f>IF(A260="","",UPPER(TRIM(ASC(A260&amp;""))))</f>
        <v/>
      </c>
      <c r="AN260" s="34">
        <f>IF(AM260="","",AM260&amp;"-"&amp;B260)</f>
        <v/>
      </c>
      <c r="AO260" s="34">
        <f>IF(C260="","",IFERROR(VALUE(ASC(SUBSTITUTE(C260&amp;"","観点",""))),""))</f>
        <v/>
      </c>
      <c r="AP260" s="34">
        <f>IF(D260="","",IFERROR(VALUE(LEFT(TRIM(ASC(D260&amp;"")),1)),IFERROR(MATCH(TRIM(D260&amp;""),'M2_区分マスタ'!$I$5:$I$10,0),"")))</f>
        <v/>
      </c>
      <c r="AQ260" s="34">
        <f>IF(H260="","",UPPER(LEFT(TRIM(ASC(H260&amp;"")),3)))</f>
        <v/>
      </c>
      <c r="AR260" s="34">
        <f>IF(N260="","",IFERROR(VALUE(SUBSTITUTE(SUBSTITUTE(SUBSTITUTE(SUBSTITUTE(SUBSTITUTE(SUBSTITUTE(SUBSTITUTE(SUBSTITUTE(SUBSTITUTE(SUBSTITUTE(SUBSTITUTE(SUBSTITUTE(ASC(N260&amp;""),"約",""),"程度",""),"ほど",""),"回",""),"毎",""),"週",""),"月",""),"年",""),"日",""),"に",""),"/","")," ","")),""))</f>
        <v/>
      </c>
      <c r="AS260" s="34">
        <f>IF(N260="","",IF(ISNUMBER(N260),N260,IFERROR(VALUE(ASC(N260&amp;"")),IF(AR260&lt;&gt;"",AR260*IF(ISNUMBER(SEARCH("週",N260)),4.3,IF(ISNUMBER(SEARCH("年",N260)),1/12,IF(ISNUMBER(SEARCH("日",N260)),20,1))),IF(ISNUMBER(SEARCH("日",N260)),20,IF(ISNUMBER(SEARCH("週",N260)),4.3,IF(ISNUMBER(SEARCH("月",N260)),1,"")))))))</f>
        <v/>
      </c>
      <c r="AT260" s="34">
        <f>IF(O260="","",IF(ISNUMBER(O260),O260,IFERROR(VALUE(ASC(O260&amp;"")),IF(ISNUMBER(SEARCH("時間",O260)),IFERROR(VALUE(SUBSTITUTE(SUBSTITUTE(SUBSTITUTE(SUBSTITUTE(SUBSTITUTE(ASC(O260&amp;""),"約",""),"程度",""),"ほど",""),"時間","")," ",""))*60,""),IFERROR(VALUE(SUBSTITUTE(SUBSTITUTE(SUBSTITUTE(SUBSTITUTE(SUBSTITUTE(ASC(O260&amp;""),"約",""),"程度",""),"ほど",""),"分","")," ","")),"")))))</f>
        <v/>
      </c>
      <c r="AU260" s="34">
        <f>IF(P260="","",IF(ISNUMBER(P260),P260,IFERROR(VALUE(SUBSTITUTE(SUBSTITUTE(SUBSTITUTE(ASC(P260&amp;""),"約",""),"件","")," ","")),"")))</f>
        <v/>
      </c>
      <c r="AV260" s="34">
        <f>IF(AB260&lt;&gt;"OK","",IF(COUNTIFS($G$5:$G$404,G260&amp;"",$F$5:$F$404,F260&amp;"",$BE$5:$BE$404,BE260&amp;"",$AB$5:$AB$404,"OK")&gt;1,"同名あり",""))</f>
        <v/>
      </c>
      <c r="AW260" s="35">
        <f>IF(Q260="","",IF(ISNUMBER(Q260),Q260,IFERROR(DATEVALUE(SUBSTITUTE(SUBSTITUTE(ASC(Q260&amp;""),"-","/"),".","/")&amp;"/01"),"")))</f>
        <v/>
      </c>
      <c r="AX260" s="35">
        <f>IF(R260="","",IF(ISNUMBER(R260),R260,IFERROR(DATEVALUE(SUBSTITUTE(SUBSTITUTE(ASC(R260&amp;""),"-","/"),".","/")&amp;"/01"),"")))</f>
        <v/>
      </c>
      <c r="AY260" s="34">
        <f>IF(OR(AB260&lt;&gt;"OK",AW260=""),"",IF(AW260&gt;='01_設定'!$C$26,1,0))</f>
        <v/>
      </c>
      <c r="AZ260" s="34">
        <f>IF(AND(AB260="OK",AD260&lt;&gt;"除外"),COUNTIFS($AB$5:AB260,"OK",$AD$5:AD260,"&lt;&gt;除外"),"")</f>
        <v/>
      </c>
      <c r="BA260" s="34">
        <f>IF(OR(AZ260="",AI260=""),"",AI260+ROW()/1000000000)</f>
        <v/>
      </c>
      <c r="BB260" s="34">
        <f>IF(E260="","",IF(OR(TRIM(E260&amp;"")="-",TRIM(E260&amp;"")="－",TRIM(E260&amp;"")="ー"),"",TRIM(E260&amp;"")))</f>
        <v/>
      </c>
      <c r="BC260" s="34">
        <f>IF(AND(AB260="OK",BB260&lt;&gt;""),IF(COUNTIFS($BB$5:BB260,BB260,$AB$5:AB260,"OK")=1,1,""),"")</f>
        <v/>
      </c>
      <c r="BD260" s="34">
        <f>IF(BC260=1,COUNTIF($BC$5:BC260,1),"")</f>
        <v/>
      </c>
      <c r="BE260" s="34">
        <f>IF(BB260="","",IFERROR(INDEX('06_顧客別集計'!$G$5:$G$104,MATCH(BB260,'06_顧客別集計'!$C$5:$C$104,0)),BB260))</f>
        <v/>
      </c>
      <c r="BF260" s="34">
        <f>IF(AND(AZ260&lt;&gt;"",BE260&lt;&gt;""),IF(COUNTIFS($BE$5:BE260,BE260,$AZ$5:AZ260,"&gt;0")=1,1,""),"")</f>
        <v/>
      </c>
      <c r="BG260" s="34">
        <f>IF(BF260=1,COUNTIF($BF$5:BF260,1),"")</f>
        <v/>
      </c>
    </row>
    <row r="261">
      <c r="AB261">
        <f>IF(AND(A261="",G261=""),"",IF(ISNUMBER(SEARCH("##END",AM261)),"（終わりの印）",IF(ISNUMBER(SEARCH("##続き",AM261)),"（続きありの印）",IF(AM261="調査ID","（見出し行）",IF(AND(AM261&lt;&gt;"R1",AM261&lt;&gt;"R2"),"×表以外の行（集計されない）",IF(COUNTIF($AN$5:AN261,AN261)&gt;1,"△重複（集計されない）",IF(G261="","△タスク名なし",IF(ISNA(MATCH(AQ261,'M1_類型マスタ'!$A$5:$A$19,0)),"△類型が不正",IF(OR(AP261="",N(AP261)&lt;1,N(AP261)&gt;6),"△業務区分が不正",IF(OR(AS261="",AT261=""),"△回数・分が読めない",IF(SUMPRODUCT(--ISNUMBER(--T261:Z261))&lt;7,"△採点が足りない",IF(SUMPRODUCT((--T261:Z261&gt;2)+(--T261:Z261&lt;0))&gt;0,"△採点が範囲外","OK"))))))))))))</f>
        <v/>
      </c>
      <c r="AC261">
        <f>IF(AB261&lt;&gt;"OK","",TRIM(IF(AND(AU261&lt;&gt;"",N(AU261)&lt;=1),"根拠1件 ","")&amp;IF(AV261&lt;&gt;"","同名あり ","")&amp;IF(AND(NOT(ISNUMBER(N261)),N261&lt;&gt;""),"回数を換算 ","")&amp;IF(J261="","詳細なし ","")&amp;IF(AND(N(AP261)=1,BB261=""),"顧客名なし ","")))</f>
        <v/>
      </c>
      <c r="AD261" s="31" t="n"/>
      <c r="AE261" s="32" t="n"/>
      <c r="AF261" s="32" t="n"/>
      <c r="AG261" s="31" t="n"/>
      <c r="AH261">
        <f>IF(AB261&lt;&gt;"OK","",IF(AG261&lt;&gt;"",AG261,AJ261))</f>
        <v/>
      </c>
      <c r="AI261" s="33">
        <f>IF(AB261&lt;&gt;"OK","",IFERROR(IF(AE261&lt;&gt;"",AE261,AS261)*IF(AF261&lt;&gt;"",AF261,AT261)/60,""))</f>
        <v/>
      </c>
      <c r="AJ261">
        <f>IF(AB261&lt;&gt;"OK","",IF(OR(VALUE(T261)=2,VALUE(U261)=2,VALUE(V261)=2),"社内残置",IF(AND(VALUE(T261)=0,VALUE(W261)=0,VALUE(Y261)=0),"自動化候補",IF(AND(VALUE(U261)=0,VALUE(W261)&lt;=1,VALUE(X261)&lt;=1,VALUE(Y261)&lt;=1,VALUE(Z261)&lt;=1),"オフショア候補",IF(AND(VALUE(Y261)&lt;=1,VALUE(Z261)&lt;=1),"ニアショア候補","社内で手順化→再評価")))))</f>
        <v/>
      </c>
      <c r="AK261">
        <f>IF(AB261&lt;&gt;"OK","",14-SUMPRODUCT(--T261:Z261))</f>
        <v/>
      </c>
      <c r="AL261" s="33">
        <f>IF(AB261&lt;&gt;"OK","",AS261*AT261/60)</f>
        <v/>
      </c>
      <c r="AM261" s="34">
        <f>IF(A261="","",UPPER(TRIM(ASC(A261&amp;""))))</f>
        <v/>
      </c>
      <c r="AN261" s="34">
        <f>IF(AM261="","",AM261&amp;"-"&amp;B261)</f>
        <v/>
      </c>
      <c r="AO261" s="34">
        <f>IF(C261="","",IFERROR(VALUE(ASC(SUBSTITUTE(C261&amp;"","観点",""))),""))</f>
        <v/>
      </c>
      <c r="AP261" s="34">
        <f>IF(D261="","",IFERROR(VALUE(LEFT(TRIM(ASC(D261&amp;"")),1)),IFERROR(MATCH(TRIM(D261&amp;""),'M2_区分マスタ'!$I$5:$I$10,0),"")))</f>
        <v/>
      </c>
      <c r="AQ261" s="34">
        <f>IF(H261="","",UPPER(LEFT(TRIM(ASC(H261&amp;"")),3)))</f>
        <v/>
      </c>
      <c r="AR261" s="34">
        <f>IF(N261="","",IFERROR(VALUE(SUBSTITUTE(SUBSTITUTE(SUBSTITUTE(SUBSTITUTE(SUBSTITUTE(SUBSTITUTE(SUBSTITUTE(SUBSTITUTE(SUBSTITUTE(SUBSTITUTE(SUBSTITUTE(SUBSTITUTE(ASC(N261&amp;""),"約",""),"程度",""),"ほど",""),"回",""),"毎",""),"週",""),"月",""),"年",""),"日",""),"に",""),"/","")," ","")),""))</f>
        <v/>
      </c>
      <c r="AS261" s="34">
        <f>IF(N261="","",IF(ISNUMBER(N261),N261,IFERROR(VALUE(ASC(N261&amp;"")),IF(AR261&lt;&gt;"",AR261*IF(ISNUMBER(SEARCH("週",N261)),4.3,IF(ISNUMBER(SEARCH("年",N261)),1/12,IF(ISNUMBER(SEARCH("日",N261)),20,1))),IF(ISNUMBER(SEARCH("日",N261)),20,IF(ISNUMBER(SEARCH("週",N261)),4.3,IF(ISNUMBER(SEARCH("月",N261)),1,"")))))))</f>
        <v/>
      </c>
      <c r="AT261" s="34">
        <f>IF(O261="","",IF(ISNUMBER(O261),O261,IFERROR(VALUE(ASC(O261&amp;"")),IF(ISNUMBER(SEARCH("時間",O261)),IFERROR(VALUE(SUBSTITUTE(SUBSTITUTE(SUBSTITUTE(SUBSTITUTE(SUBSTITUTE(ASC(O261&amp;""),"約",""),"程度",""),"ほど",""),"時間","")," ",""))*60,""),IFERROR(VALUE(SUBSTITUTE(SUBSTITUTE(SUBSTITUTE(SUBSTITUTE(SUBSTITUTE(ASC(O261&amp;""),"約",""),"程度",""),"ほど",""),"分","")," ","")),"")))))</f>
        <v/>
      </c>
      <c r="AU261" s="34">
        <f>IF(P261="","",IF(ISNUMBER(P261),P261,IFERROR(VALUE(SUBSTITUTE(SUBSTITUTE(SUBSTITUTE(ASC(P261&amp;""),"約",""),"件","")," ","")),"")))</f>
        <v/>
      </c>
      <c r="AV261" s="34">
        <f>IF(AB261&lt;&gt;"OK","",IF(COUNTIFS($G$5:$G$404,G261&amp;"",$F$5:$F$404,F261&amp;"",$BE$5:$BE$404,BE261&amp;"",$AB$5:$AB$404,"OK")&gt;1,"同名あり",""))</f>
        <v/>
      </c>
      <c r="AW261" s="35">
        <f>IF(Q261="","",IF(ISNUMBER(Q261),Q261,IFERROR(DATEVALUE(SUBSTITUTE(SUBSTITUTE(ASC(Q261&amp;""),"-","/"),".","/")&amp;"/01"),"")))</f>
        <v/>
      </c>
      <c r="AX261" s="35">
        <f>IF(R261="","",IF(ISNUMBER(R261),R261,IFERROR(DATEVALUE(SUBSTITUTE(SUBSTITUTE(ASC(R261&amp;""),"-","/"),".","/")&amp;"/01"),"")))</f>
        <v/>
      </c>
      <c r="AY261" s="34">
        <f>IF(OR(AB261&lt;&gt;"OK",AW261=""),"",IF(AW261&gt;='01_設定'!$C$26,1,0))</f>
        <v/>
      </c>
      <c r="AZ261" s="34">
        <f>IF(AND(AB261="OK",AD261&lt;&gt;"除外"),COUNTIFS($AB$5:AB261,"OK",$AD$5:AD261,"&lt;&gt;除外"),"")</f>
        <v/>
      </c>
      <c r="BA261" s="34">
        <f>IF(OR(AZ261="",AI261=""),"",AI261+ROW()/1000000000)</f>
        <v/>
      </c>
      <c r="BB261" s="34">
        <f>IF(E261="","",IF(OR(TRIM(E261&amp;"")="-",TRIM(E261&amp;"")="－",TRIM(E261&amp;"")="ー"),"",TRIM(E261&amp;"")))</f>
        <v/>
      </c>
      <c r="BC261" s="34">
        <f>IF(AND(AB261="OK",BB261&lt;&gt;""),IF(COUNTIFS($BB$5:BB261,BB261,$AB$5:AB261,"OK")=1,1,""),"")</f>
        <v/>
      </c>
      <c r="BD261" s="34">
        <f>IF(BC261=1,COUNTIF($BC$5:BC261,1),"")</f>
        <v/>
      </c>
      <c r="BE261" s="34">
        <f>IF(BB261="","",IFERROR(INDEX('06_顧客別集計'!$G$5:$G$104,MATCH(BB261,'06_顧客別集計'!$C$5:$C$104,0)),BB261))</f>
        <v/>
      </c>
      <c r="BF261" s="34">
        <f>IF(AND(AZ261&lt;&gt;"",BE261&lt;&gt;""),IF(COUNTIFS($BE$5:BE261,BE261,$AZ$5:AZ261,"&gt;0")=1,1,""),"")</f>
        <v/>
      </c>
      <c r="BG261" s="34">
        <f>IF(BF261=1,COUNTIF($BF$5:BF261,1),"")</f>
        <v/>
      </c>
    </row>
    <row r="262">
      <c r="AB262">
        <f>IF(AND(A262="",G262=""),"",IF(ISNUMBER(SEARCH("##END",AM262)),"（終わりの印）",IF(ISNUMBER(SEARCH("##続き",AM262)),"（続きありの印）",IF(AM262="調査ID","（見出し行）",IF(AND(AM262&lt;&gt;"R1",AM262&lt;&gt;"R2"),"×表以外の行（集計されない）",IF(COUNTIF($AN$5:AN262,AN262)&gt;1,"△重複（集計されない）",IF(G262="","△タスク名なし",IF(ISNA(MATCH(AQ262,'M1_類型マスタ'!$A$5:$A$19,0)),"△類型が不正",IF(OR(AP262="",N(AP262)&lt;1,N(AP262)&gt;6),"△業務区分が不正",IF(OR(AS262="",AT262=""),"△回数・分が読めない",IF(SUMPRODUCT(--ISNUMBER(--T262:Z262))&lt;7,"△採点が足りない",IF(SUMPRODUCT((--T262:Z262&gt;2)+(--T262:Z262&lt;0))&gt;0,"△採点が範囲外","OK"))))))))))))</f>
        <v/>
      </c>
      <c r="AC262">
        <f>IF(AB262&lt;&gt;"OK","",TRIM(IF(AND(AU262&lt;&gt;"",N(AU262)&lt;=1),"根拠1件 ","")&amp;IF(AV262&lt;&gt;"","同名あり ","")&amp;IF(AND(NOT(ISNUMBER(N262)),N262&lt;&gt;""),"回数を換算 ","")&amp;IF(J262="","詳細なし ","")&amp;IF(AND(N(AP262)=1,BB262=""),"顧客名なし ","")))</f>
        <v/>
      </c>
      <c r="AD262" s="31" t="n"/>
      <c r="AE262" s="32" t="n"/>
      <c r="AF262" s="32" t="n"/>
      <c r="AG262" s="31" t="n"/>
      <c r="AH262">
        <f>IF(AB262&lt;&gt;"OK","",IF(AG262&lt;&gt;"",AG262,AJ262))</f>
        <v/>
      </c>
      <c r="AI262" s="33">
        <f>IF(AB262&lt;&gt;"OK","",IFERROR(IF(AE262&lt;&gt;"",AE262,AS262)*IF(AF262&lt;&gt;"",AF262,AT262)/60,""))</f>
        <v/>
      </c>
      <c r="AJ262">
        <f>IF(AB262&lt;&gt;"OK","",IF(OR(VALUE(T262)=2,VALUE(U262)=2,VALUE(V262)=2),"社内残置",IF(AND(VALUE(T262)=0,VALUE(W262)=0,VALUE(Y262)=0),"自動化候補",IF(AND(VALUE(U262)=0,VALUE(W262)&lt;=1,VALUE(X262)&lt;=1,VALUE(Y262)&lt;=1,VALUE(Z262)&lt;=1),"オフショア候補",IF(AND(VALUE(Y262)&lt;=1,VALUE(Z262)&lt;=1),"ニアショア候補","社内で手順化→再評価")))))</f>
        <v/>
      </c>
      <c r="AK262">
        <f>IF(AB262&lt;&gt;"OK","",14-SUMPRODUCT(--T262:Z262))</f>
        <v/>
      </c>
      <c r="AL262" s="33">
        <f>IF(AB262&lt;&gt;"OK","",AS262*AT262/60)</f>
        <v/>
      </c>
      <c r="AM262" s="34">
        <f>IF(A262="","",UPPER(TRIM(ASC(A262&amp;""))))</f>
        <v/>
      </c>
      <c r="AN262" s="34">
        <f>IF(AM262="","",AM262&amp;"-"&amp;B262)</f>
        <v/>
      </c>
      <c r="AO262" s="34">
        <f>IF(C262="","",IFERROR(VALUE(ASC(SUBSTITUTE(C262&amp;"","観点",""))),""))</f>
        <v/>
      </c>
      <c r="AP262" s="34">
        <f>IF(D262="","",IFERROR(VALUE(LEFT(TRIM(ASC(D262&amp;"")),1)),IFERROR(MATCH(TRIM(D262&amp;""),'M2_区分マスタ'!$I$5:$I$10,0),"")))</f>
        <v/>
      </c>
      <c r="AQ262" s="34">
        <f>IF(H262="","",UPPER(LEFT(TRIM(ASC(H262&amp;"")),3)))</f>
        <v/>
      </c>
      <c r="AR262" s="34">
        <f>IF(N262="","",IFERROR(VALUE(SUBSTITUTE(SUBSTITUTE(SUBSTITUTE(SUBSTITUTE(SUBSTITUTE(SUBSTITUTE(SUBSTITUTE(SUBSTITUTE(SUBSTITUTE(SUBSTITUTE(SUBSTITUTE(SUBSTITUTE(ASC(N262&amp;""),"約",""),"程度",""),"ほど",""),"回",""),"毎",""),"週",""),"月",""),"年",""),"日",""),"に",""),"/","")," ","")),""))</f>
        <v/>
      </c>
      <c r="AS262" s="34">
        <f>IF(N262="","",IF(ISNUMBER(N262),N262,IFERROR(VALUE(ASC(N262&amp;"")),IF(AR262&lt;&gt;"",AR262*IF(ISNUMBER(SEARCH("週",N262)),4.3,IF(ISNUMBER(SEARCH("年",N262)),1/12,IF(ISNUMBER(SEARCH("日",N262)),20,1))),IF(ISNUMBER(SEARCH("日",N262)),20,IF(ISNUMBER(SEARCH("週",N262)),4.3,IF(ISNUMBER(SEARCH("月",N262)),1,"")))))))</f>
        <v/>
      </c>
      <c r="AT262" s="34">
        <f>IF(O262="","",IF(ISNUMBER(O262),O262,IFERROR(VALUE(ASC(O262&amp;"")),IF(ISNUMBER(SEARCH("時間",O262)),IFERROR(VALUE(SUBSTITUTE(SUBSTITUTE(SUBSTITUTE(SUBSTITUTE(SUBSTITUTE(ASC(O262&amp;""),"約",""),"程度",""),"ほど",""),"時間","")," ",""))*60,""),IFERROR(VALUE(SUBSTITUTE(SUBSTITUTE(SUBSTITUTE(SUBSTITUTE(SUBSTITUTE(ASC(O262&amp;""),"約",""),"程度",""),"ほど",""),"分","")," ","")),"")))))</f>
        <v/>
      </c>
      <c r="AU262" s="34">
        <f>IF(P262="","",IF(ISNUMBER(P262),P262,IFERROR(VALUE(SUBSTITUTE(SUBSTITUTE(SUBSTITUTE(ASC(P262&amp;""),"約",""),"件","")," ","")),"")))</f>
        <v/>
      </c>
      <c r="AV262" s="34">
        <f>IF(AB262&lt;&gt;"OK","",IF(COUNTIFS($G$5:$G$404,G262&amp;"",$F$5:$F$404,F262&amp;"",$BE$5:$BE$404,BE262&amp;"",$AB$5:$AB$404,"OK")&gt;1,"同名あり",""))</f>
        <v/>
      </c>
      <c r="AW262" s="35">
        <f>IF(Q262="","",IF(ISNUMBER(Q262),Q262,IFERROR(DATEVALUE(SUBSTITUTE(SUBSTITUTE(ASC(Q262&amp;""),"-","/"),".","/")&amp;"/01"),"")))</f>
        <v/>
      </c>
      <c r="AX262" s="35">
        <f>IF(R262="","",IF(ISNUMBER(R262),R262,IFERROR(DATEVALUE(SUBSTITUTE(SUBSTITUTE(ASC(R262&amp;""),"-","/"),".","/")&amp;"/01"),"")))</f>
        <v/>
      </c>
      <c r="AY262" s="34">
        <f>IF(OR(AB262&lt;&gt;"OK",AW262=""),"",IF(AW262&gt;='01_設定'!$C$26,1,0))</f>
        <v/>
      </c>
      <c r="AZ262" s="34">
        <f>IF(AND(AB262="OK",AD262&lt;&gt;"除外"),COUNTIFS($AB$5:AB262,"OK",$AD$5:AD262,"&lt;&gt;除外"),"")</f>
        <v/>
      </c>
      <c r="BA262" s="34">
        <f>IF(OR(AZ262="",AI262=""),"",AI262+ROW()/1000000000)</f>
        <v/>
      </c>
      <c r="BB262" s="34">
        <f>IF(E262="","",IF(OR(TRIM(E262&amp;"")="-",TRIM(E262&amp;"")="－",TRIM(E262&amp;"")="ー"),"",TRIM(E262&amp;"")))</f>
        <v/>
      </c>
      <c r="BC262" s="34">
        <f>IF(AND(AB262="OK",BB262&lt;&gt;""),IF(COUNTIFS($BB$5:BB262,BB262,$AB$5:AB262,"OK")=1,1,""),"")</f>
        <v/>
      </c>
      <c r="BD262" s="34">
        <f>IF(BC262=1,COUNTIF($BC$5:BC262,1),"")</f>
        <v/>
      </c>
      <c r="BE262" s="34">
        <f>IF(BB262="","",IFERROR(INDEX('06_顧客別集計'!$G$5:$G$104,MATCH(BB262,'06_顧客別集計'!$C$5:$C$104,0)),BB262))</f>
        <v/>
      </c>
      <c r="BF262" s="34">
        <f>IF(AND(AZ262&lt;&gt;"",BE262&lt;&gt;""),IF(COUNTIFS($BE$5:BE262,BE262,$AZ$5:AZ262,"&gt;0")=1,1,""),"")</f>
        <v/>
      </c>
      <c r="BG262" s="34">
        <f>IF(BF262=1,COUNTIF($BF$5:BF262,1),"")</f>
        <v/>
      </c>
    </row>
    <row r="263">
      <c r="AB263">
        <f>IF(AND(A263="",G263=""),"",IF(ISNUMBER(SEARCH("##END",AM263)),"（終わりの印）",IF(ISNUMBER(SEARCH("##続き",AM263)),"（続きありの印）",IF(AM263="調査ID","（見出し行）",IF(AND(AM263&lt;&gt;"R1",AM263&lt;&gt;"R2"),"×表以外の行（集計されない）",IF(COUNTIF($AN$5:AN263,AN263)&gt;1,"△重複（集計されない）",IF(G263="","△タスク名なし",IF(ISNA(MATCH(AQ263,'M1_類型マスタ'!$A$5:$A$19,0)),"△類型が不正",IF(OR(AP263="",N(AP263)&lt;1,N(AP263)&gt;6),"△業務区分が不正",IF(OR(AS263="",AT263=""),"△回数・分が読めない",IF(SUMPRODUCT(--ISNUMBER(--T263:Z263))&lt;7,"△採点が足りない",IF(SUMPRODUCT((--T263:Z263&gt;2)+(--T263:Z263&lt;0))&gt;0,"△採点が範囲外","OK"))))))))))))</f>
        <v/>
      </c>
      <c r="AC263">
        <f>IF(AB263&lt;&gt;"OK","",TRIM(IF(AND(AU263&lt;&gt;"",N(AU263)&lt;=1),"根拠1件 ","")&amp;IF(AV263&lt;&gt;"","同名あり ","")&amp;IF(AND(NOT(ISNUMBER(N263)),N263&lt;&gt;""),"回数を換算 ","")&amp;IF(J263="","詳細なし ","")&amp;IF(AND(N(AP263)=1,BB263=""),"顧客名なし ","")))</f>
        <v/>
      </c>
      <c r="AD263" s="31" t="n"/>
      <c r="AE263" s="32" t="n"/>
      <c r="AF263" s="32" t="n"/>
      <c r="AG263" s="31" t="n"/>
      <c r="AH263">
        <f>IF(AB263&lt;&gt;"OK","",IF(AG263&lt;&gt;"",AG263,AJ263))</f>
        <v/>
      </c>
      <c r="AI263" s="33">
        <f>IF(AB263&lt;&gt;"OK","",IFERROR(IF(AE263&lt;&gt;"",AE263,AS263)*IF(AF263&lt;&gt;"",AF263,AT263)/60,""))</f>
        <v/>
      </c>
      <c r="AJ263">
        <f>IF(AB263&lt;&gt;"OK","",IF(OR(VALUE(T263)=2,VALUE(U263)=2,VALUE(V263)=2),"社内残置",IF(AND(VALUE(T263)=0,VALUE(W263)=0,VALUE(Y263)=0),"自動化候補",IF(AND(VALUE(U263)=0,VALUE(W263)&lt;=1,VALUE(X263)&lt;=1,VALUE(Y263)&lt;=1,VALUE(Z263)&lt;=1),"オフショア候補",IF(AND(VALUE(Y263)&lt;=1,VALUE(Z263)&lt;=1),"ニアショア候補","社内で手順化→再評価")))))</f>
        <v/>
      </c>
      <c r="AK263">
        <f>IF(AB263&lt;&gt;"OK","",14-SUMPRODUCT(--T263:Z263))</f>
        <v/>
      </c>
      <c r="AL263" s="33">
        <f>IF(AB263&lt;&gt;"OK","",AS263*AT263/60)</f>
        <v/>
      </c>
      <c r="AM263" s="34">
        <f>IF(A263="","",UPPER(TRIM(ASC(A263&amp;""))))</f>
        <v/>
      </c>
      <c r="AN263" s="34">
        <f>IF(AM263="","",AM263&amp;"-"&amp;B263)</f>
        <v/>
      </c>
      <c r="AO263" s="34">
        <f>IF(C263="","",IFERROR(VALUE(ASC(SUBSTITUTE(C263&amp;"","観点",""))),""))</f>
        <v/>
      </c>
      <c r="AP263" s="34">
        <f>IF(D263="","",IFERROR(VALUE(LEFT(TRIM(ASC(D263&amp;"")),1)),IFERROR(MATCH(TRIM(D263&amp;""),'M2_区分マスタ'!$I$5:$I$10,0),"")))</f>
        <v/>
      </c>
      <c r="AQ263" s="34">
        <f>IF(H263="","",UPPER(LEFT(TRIM(ASC(H263&amp;"")),3)))</f>
        <v/>
      </c>
      <c r="AR263" s="34">
        <f>IF(N263="","",IFERROR(VALUE(SUBSTITUTE(SUBSTITUTE(SUBSTITUTE(SUBSTITUTE(SUBSTITUTE(SUBSTITUTE(SUBSTITUTE(SUBSTITUTE(SUBSTITUTE(SUBSTITUTE(SUBSTITUTE(SUBSTITUTE(ASC(N263&amp;""),"約",""),"程度",""),"ほど",""),"回",""),"毎",""),"週",""),"月",""),"年",""),"日",""),"に",""),"/","")," ","")),""))</f>
        <v/>
      </c>
      <c r="AS263" s="34">
        <f>IF(N263="","",IF(ISNUMBER(N263),N263,IFERROR(VALUE(ASC(N263&amp;"")),IF(AR263&lt;&gt;"",AR263*IF(ISNUMBER(SEARCH("週",N263)),4.3,IF(ISNUMBER(SEARCH("年",N263)),1/12,IF(ISNUMBER(SEARCH("日",N263)),20,1))),IF(ISNUMBER(SEARCH("日",N263)),20,IF(ISNUMBER(SEARCH("週",N263)),4.3,IF(ISNUMBER(SEARCH("月",N263)),1,"")))))))</f>
        <v/>
      </c>
      <c r="AT263" s="34">
        <f>IF(O263="","",IF(ISNUMBER(O263),O263,IFERROR(VALUE(ASC(O263&amp;"")),IF(ISNUMBER(SEARCH("時間",O263)),IFERROR(VALUE(SUBSTITUTE(SUBSTITUTE(SUBSTITUTE(SUBSTITUTE(SUBSTITUTE(ASC(O263&amp;""),"約",""),"程度",""),"ほど",""),"時間","")," ",""))*60,""),IFERROR(VALUE(SUBSTITUTE(SUBSTITUTE(SUBSTITUTE(SUBSTITUTE(SUBSTITUTE(ASC(O263&amp;""),"約",""),"程度",""),"ほど",""),"分","")," ","")),"")))))</f>
        <v/>
      </c>
      <c r="AU263" s="34">
        <f>IF(P263="","",IF(ISNUMBER(P263),P263,IFERROR(VALUE(SUBSTITUTE(SUBSTITUTE(SUBSTITUTE(ASC(P263&amp;""),"約",""),"件","")," ","")),"")))</f>
        <v/>
      </c>
      <c r="AV263" s="34">
        <f>IF(AB263&lt;&gt;"OK","",IF(COUNTIFS($G$5:$G$404,G263&amp;"",$F$5:$F$404,F263&amp;"",$BE$5:$BE$404,BE263&amp;"",$AB$5:$AB$404,"OK")&gt;1,"同名あり",""))</f>
        <v/>
      </c>
      <c r="AW263" s="35">
        <f>IF(Q263="","",IF(ISNUMBER(Q263),Q263,IFERROR(DATEVALUE(SUBSTITUTE(SUBSTITUTE(ASC(Q263&amp;""),"-","/"),".","/")&amp;"/01"),"")))</f>
        <v/>
      </c>
      <c r="AX263" s="35">
        <f>IF(R263="","",IF(ISNUMBER(R263),R263,IFERROR(DATEVALUE(SUBSTITUTE(SUBSTITUTE(ASC(R263&amp;""),"-","/"),".","/")&amp;"/01"),"")))</f>
        <v/>
      </c>
      <c r="AY263" s="34">
        <f>IF(OR(AB263&lt;&gt;"OK",AW263=""),"",IF(AW263&gt;='01_設定'!$C$26,1,0))</f>
        <v/>
      </c>
      <c r="AZ263" s="34">
        <f>IF(AND(AB263="OK",AD263&lt;&gt;"除外"),COUNTIFS($AB$5:AB263,"OK",$AD$5:AD263,"&lt;&gt;除外"),"")</f>
        <v/>
      </c>
      <c r="BA263" s="34">
        <f>IF(OR(AZ263="",AI263=""),"",AI263+ROW()/1000000000)</f>
        <v/>
      </c>
      <c r="BB263" s="34">
        <f>IF(E263="","",IF(OR(TRIM(E263&amp;"")="-",TRIM(E263&amp;"")="－",TRIM(E263&amp;"")="ー"),"",TRIM(E263&amp;"")))</f>
        <v/>
      </c>
      <c r="BC263" s="34">
        <f>IF(AND(AB263="OK",BB263&lt;&gt;""),IF(COUNTIFS($BB$5:BB263,BB263,$AB$5:AB263,"OK")=1,1,""),"")</f>
        <v/>
      </c>
      <c r="BD263" s="34">
        <f>IF(BC263=1,COUNTIF($BC$5:BC263,1),"")</f>
        <v/>
      </c>
      <c r="BE263" s="34">
        <f>IF(BB263="","",IFERROR(INDEX('06_顧客別集計'!$G$5:$G$104,MATCH(BB263,'06_顧客別集計'!$C$5:$C$104,0)),BB263))</f>
        <v/>
      </c>
      <c r="BF263" s="34">
        <f>IF(AND(AZ263&lt;&gt;"",BE263&lt;&gt;""),IF(COUNTIFS($BE$5:BE263,BE263,$AZ$5:AZ263,"&gt;0")=1,1,""),"")</f>
        <v/>
      </c>
      <c r="BG263" s="34">
        <f>IF(BF263=1,COUNTIF($BF$5:BF263,1),"")</f>
        <v/>
      </c>
    </row>
    <row r="264">
      <c r="AB264">
        <f>IF(AND(A264="",G264=""),"",IF(ISNUMBER(SEARCH("##END",AM264)),"（終わりの印）",IF(ISNUMBER(SEARCH("##続き",AM264)),"（続きありの印）",IF(AM264="調査ID","（見出し行）",IF(AND(AM264&lt;&gt;"R1",AM264&lt;&gt;"R2"),"×表以外の行（集計されない）",IF(COUNTIF($AN$5:AN264,AN264)&gt;1,"△重複（集計されない）",IF(G264="","△タスク名なし",IF(ISNA(MATCH(AQ264,'M1_類型マスタ'!$A$5:$A$19,0)),"△類型が不正",IF(OR(AP264="",N(AP264)&lt;1,N(AP264)&gt;6),"△業務区分が不正",IF(OR(AS264="",AT264=""),"△回数・分が読めない",IF(SUMPRODUCT(--ISNUMBER(--T264:Z264))&lt;7,"△採点が足りない",IF(SUMPRODUCT((--T264:Z264&gt;2)+(--T264:Z264&lt;0))&gt;0,"△採点が範囲外","OK"))))))))))))</f>
        <v/>
      </c>
      <c r="AC264">
        <f>IF(AB264&lt;&gt;"OK","",TRIM(IF(AND(AU264&lt;&gt;"",N(AU264)&lt;=1),"根拠1件 ","")&amp;IF(AV264&lt;&gt;"","同名あり ","")&amp;IF(AND(NOT(ISNUMBER(N264)),N264&lt;&gt;""),"回数を換算 ","")&amp;IF(J264="","詳細なし ","")&amp;IF(AND(N(AP264)=1,BB264=""),"顧客名なし ","")))</f>
        <v/>
      </c>
      <c r="AD264" s="31" t="n"/>
      <c r="AE264" s="32" t="n"/>
      <c r="AF264" s="32" t="n"/>
      <c r="AG264" s="31" t="n"/>
      <c r="AH264">
        <f>IF(AB264&lt;&gt;"OK","",IF(AG264&lt;&gt;"",AG264,AJ264))</f>
        <v/>
      </c>
      <c r="AI264" s="33">
        <f>IF(AB264&lt;&gt;"OK","",IFERROR(IF(AE264&lt;&gt;"",AE264,AS264)*IF(AF264&lt;&gt;"",AF264,AT264)/60,""))</f>
        <v/>
      </c>
      <c r="AJ264">
        <f>IF(AB264&lt;&gt;"OK","",IF(OR(VALUE(T264)=2,VALUE(U264)=2,VALUE(V264)=2),"社内残置",IF(AND(VALUE(T264)=0,VALUE(W264)=0,VALUE(Y264)=0),"自動化候補",IF(AND(VALUE(U264)=0,VALUE(W264)&lt;=1,VALUE(X264)&lt;=1,VALUE(Y264)&lt;=1,VALUE(Z264)&lt;=1),"オフショア候補",IF(AND(VALUE(Y264)&lt;=1,VALUE(Z264)&lt;=1),"ニアショア候補","社内で手順化→再評価")))))</f>
        <v/>
      </c>
      <c r="AK264">
        <f>IF(AB264&lt;&gt;"OK","",14-SUMPRODUCT(--T264:Z264))</f>
        <v/>
      </c>
      <c r="AL264" s="33">
        <f>IF(AB264&lt;&gt;"OK","",AS264*AT264/60)</f>
        <v/>
      </c>
      <c r="AM264" s="34">
        <f>IF(A264="","",UPPER(TRIM(ASC(A264&amp;""))))</f>
        <v/>
      </c>
      <c r="AN264" s="34">
        <f>IF(AM264="","",AM264&amp;"-"&amp;B264)</f>
        <v/>
      </c>
      <c r="AO264" s="34">
        <f>IF(C264="","",IFERROR(VALUE(ASC(SUBSTITUTE(C264&amp;"","観点",""))),""))</f>
        <v/>
      </c>
      <c r="AP264" s="34">
        <f>IF(D264="","",IFERROR(VALUE(LEFT(TRIM(ASC(D264&amp;"")),1)),IFERROR(MATCH(TRIM(D264&amp;""),'M2_区分マスタ'!$I$5:$I$10,0),"")))</f>
        <v/>
      </c>
      <c r="AQ264" s="34">
        <f>IF(H264="","",UPPER(LEFT(TRIM(ASC(H264&amp;"")),3)))</f>
        <v/>
      </c>
      <c r="AR264" s="34">
        <f>IF(N264="","",IFERROR(VALUE(SUBSTITUTE(SUBSTITUTE(SUBSTITUTE(SUBSTITUTE(SUBSTITUTE(SUBSTITUTE(SUBSTITUTE(SUBSTITUTE(SUBSTITUTE(SUBSTITUTE(SUBSTITUTE(SUBSTITUTE(ASC(N264&amp;""),"約",""),"程度",""),"ほど",""),"回",""),"毎",""),"週",""),"月",""),"年",""),"日",""),"に",""),"/","")," ","")),""))</f>
        <v/>
      </c>
      <c r="AS264" s="34">
        <f>IF(N264="","",IF(ISNUMBER(N264),N264,IFERROR(VALUE(ASC(N264&amp;"")),IF(AR264&lt;&gt;"",AR264*IF(ISNUMBER(SEARCH("週",N264)),4.3,IF(ISNUMBER(SEARCH("年",N264)),1/12,IF(ISNUMBER(SEARCH("日",N264)),20,1))),IF(ISNUMBER(SEARCH("日",N264)),20,IF(ISNUMBER(SEARCH("週",N264)),4.3,IF(ISNUMBER(SEARCH("月",N264)),1,"")))))))</f>
        <v/>
      </c>
      <c r="AT264" s="34">
        <f>IF(O264="","",IF(ISNUMBER(O264),O264,IFERROR(VALUE(ASC(O264&amp;"")),IF(ISNUMBER(SEARCH("時間",O264)),IFERROR(VALUE(SUBSTITUTE(SUBSTITUTE(SUBSTITUTE(SUBSTITUTE(SUBSTITUTE(ASC(O264&amp;""),"約",""),"程度",""),"ほど",""),"時間","")," ",""))*60,""),IFERROR(VALUE(SUBSTITUTE(SUBSTITUTE(SUBSTITUTE(SUBSTITUTE(SUBSTITUTE(ASC(O264&amp;""),"約",""),"程度",""),"ほど",""),"分","")," ","")),"")))))</f>
        <v/>
      </c>
      <c r="AU264" s="34">
        <f>IF(P264="","",IF(ISNUMBER(P264),P264,IFERROR(VALUE(SUBSTITUTE(SUBSTITUTE(SUBSTITUTE(ASC(P264&amp;""),"約",""),"件","")," ","")),"")))</f>
        <v/>
      </c>
      <c r="AV264" s="34">
        <f>IF(AB264&lt;&gt;"OK","",IF(COUNTIFS($G$5:$G$404,G264&amp;"",$F$5:$F$404,F264&amp;"",$BE$5:$BE$404,BE264&amp;"",$AB$5:$AB$404,"OK")&gt;1,"同名あり",""))</f>
        <v/>
      </c>
      <c r="AW264" s="35">
        <f>IF(Q264="","",IF(ISNUMBER(Q264),Q264,IFERROR(DATEVALUE(SUBSTITUTE(SUBSTITUTE(ASC(Q264&amp;""),"-","/"),".","/")&amp;"/01"),"")))</f>
        <v/>
      </c>
      <c r="AX264" s="35">
        <f>IF(R264="","",IF(ISNUMBER(R264),R264,IFERROR(DATEVALUE(SUBSTITUTE(SUBSTITUTE(ASC(R264&amp;""),"-","/"),".","/")&amp;"/01"),"")))</f>
        <v/>
      </c>
      <c r="AY264" s="34">
        <f>IF(OR(AB264&lt;&gt;"OK",AW264=""),"",IF(AW264&gt;='01_設定'!$C$26,1,0))</f>
        <v/>
      </c>
      <c r="AZ264" s="34">
        <f>IF(AND(AB264="OK",AD264&lt;&gt;"除外"),COUNTIFS($AB$5:AB264,"OK",$AD$5:AD264,"&lt;&gt;除外"),"")</f>
        <v/>
      </c>
      <c r="BA264" s="34">
        <f>IF(OR(AZ264="",AI264=""),"",AI264+ROW()/1000000000)</f>
        <v/>
      </c>
      <c r="BB264" s="34">
        <f>IF(E264="","",IF(OR(TRIM(E264&amp;"")="-",TRIM(E264&amp;"")="－",TRIM(E264&amp;"")="ー"),"",TRIM(E264&amp;"")))</f>
        <v/>
      </c>
      <c r="BC264" s="34">
        <f>IF(AND(AB264="OK",BB264&lt;&gt;""),IF(COUNTIFS($BB$5:BB264,BB264,$AB$5:AB264,"OK")=1,1,""),"")</f>
        <v/>
      </c>
      <c r="BD264" s="34">
        <f>IF(BC264=1,COUNTIF($BC$5:BC264,1),"")</f>
        <v/>
      </c>
      <c r="BE264" s="34">
        <f>IF(BB264="","",IFERROR(INDEX('06_顧客別集計'!$G$5:$G$104,MATCH(BB264,'06_顧客別集計'!$C$5:$C$104,0)),BB264))</f>
        <v/>
      </c>
      <c r="BF264" s="34">
        <f>IF(AND(AZ264&lt;&gt;"",BE264&lt;&gt;""),IF(COUNTIFS($BE$5:BE264,BE264,$AZ$5:AZ264,"&gt;0")=1,1,""),"")</f>
        <v/>
      </c>
      <c r="BG264" s="34">
        <f>IF(BF264=1,COUNTIF($BF$5:BF264,1),"")</f>
        <v/>
      </c>
    </row>
    <row r="265">
      <c r="AB265">
        <f>IF(AND(A265="",G265=""),"",IF(ISNUMBER(SEARCH("##END",AM265)),"（終わりの印）",IF(ISNUMBER(SEARCH("##続き",AM265)),"（続きありの印）",IF(AM265="調査ID","（見出し行）",IF(AND(AM265&lt;&gt;"R1",AM265&lt;&gt;"R2"),"×表以外の行（集計されない）",IF(COUNTIF($AN$5:AN265,AN265)&gt;1,"△重複（集計されない）",IF(G265="","△タスク名なし",IF(ISNA(MATCH(AQ265,'M1_類型マスタ'!$A$5:$A$19,0)),"△類型が不正",IF(OR(AP265="",N(AP265)&lt;1,N(AP265)&gt;6),"△業務区分が不正",IF(OR(AS265="",AT265=""),"△回数・分が読めない",IF(SUMPRODUCT(--ISNUMBER(--T265:Z265))&lt;7,"△採点が足りない",IF(SUMPRODUCT((--T265:Z265&gt;2)+(--T265:Z265&lt;0))&gt;0,"△採点が範囲外","OK"))))))))))))</f>
        <v/>
      </c>
      <c r="AC265">
        <f>IF(AB265&lt;&gt;"OK","",TRIM(IF(AND(AU265&lt;&gt;"",N(AU265)&lt;=1),"根拠1件 ","")&amp;IF(AV265&lt;&gt;"","同名あり ","")&amp;IF(AND(NOT(ISNUMBER(N265)),N265&lt;&gt;""),"回数を換算 ","")&amp;IF(J265="","詳細なし ","")&amp;IF(AND(N(AP265)=1,BB265=""),"顧客名なし ","")))</f>
        <v/>
      </c>
      <c r="AD265" s="31" t="n"/>
      <c r="AE265" s="32" t="n"/>
      <c r="AF265" s="32" t="n"/>
      <c r="AG265" s="31" t="n"/>
      <c r="AH265">
        <f>IF(AB265&lt;&gt;"OK","",IF(AG265&lt;&gt;"",AG265,AJ265))</f>
        <v/>
      </c>
      <c r="AI265" s="33">
        <f>IF(AB265&lt;&gt;"OK","",IFERROR(IF(AE265&lt;&gt;"",AE265,AS265)*IF(AF265&lt;&gt;"",AF265,AT265)/60,""))</f>
        <v/>
      </c>
      <c r="AJ265">
        <f>IF(AB265&lt;&gt;"OK","",IF(OR(VALUE(T265)=2,VALUE(U265)=2,VALUE(V265)=2),"社内残置",IF(AND(VALUE(T265)=0,VALUE(W265)=0,VALUE(Y265)=0),"自動化候補",IF(AND(VALUE(U265)=0,VALUE(W265)&lt;=1,VALUE(X265)&lt;=1,VALUE(Y265)&lt;=1,VALUE(Z265)&lt;=1),"オフショア候補",IF(AND(VALUE(Y265)&lt;=1,VALUE(Z265)&lt;=1),"ニアショア候補","社内で手順化→再評価")))))</f>
        <v/>
      </c>
      <c r="AK265">
        <f>IF(AB265&lt;&gt;"OK","",14-SUMPRODUCT(--T265:Z265))</f>
        <v/>
      </c>
      <c r="AL265" s="33">
        <f>IF(AB265&lt;&gt;"OK","",AS265*AT265/60)</f>
        <v/>
      </c>
      <c r="AM265" s="34">
        <f>IF(A265="","",UPPER(TRIM(ASC(A265&amp;""))))</f>
        <v/>
      </c>
      <c r="AN265" s="34">
        <f>IF(AM265="","",AM265&amp;"-"&amp;B265)</f>
        <v/>
      </c>
      <c r="AO265" s="34">
        <f>IF(C265="","",IFERROR(VALUE(ASC(SUBSTITUTE(C265&amp;"","観点",""))),""))</f>
        <v/>
      </c>
      <c r="AP265" s="34">
        <f>IF(D265="","",IFERROR(VALUE(LEFT(TRIM(ASC(D265&amp;"")),1)),IFERROR(MATCH(TRIM(D265&amp;""),'M2_区分マスタ'!$I$5:$I$10,0),"")))</f>
        <v/>
      </c>
      <c r="AQ265" s="34">
        <f>IF(H265="","",UPPER(LEFT(TRIM(ASC(H265&amp;"")),3)))</f>
        <v/>
      </c>
      <c r="AR265" s="34">
        <f>IF(N265="","",IFERROR(VALUE(SUBSTITUTE(SUBSTITUTE(SUBSTITUTE(SUBSTITUTE(SUBSTITUTE(SUBSTITUTE(SUBSTITUTE(SUBSTITUTE(SUBSTITUTE(SUBSTITUTE(SUBSTITUTE(SUBSTITUTE(ASC(N265&amp;""),"約",""),"程度",""),"ほど",""),"回",""),"毎",""),"週",""),"月",""),"年",""),"日",""),"に",""),"/","")," ","")),""))</f>
        <v/>
      </c>
      <c r="AS265" s="34">
        <f>IF(N265="","",IF(ISNUMBER(N265),N265,IFERROR(VALUE(ASC(N265&amp;"")),IF(AR265&lt;&gt;"",AR265*IF(ISNUMBER(SEARCH("週",N265)),4.3,IF(ISNUMBER(SEARCH("年",N265)),1/12,IF(ISNUMBER(SEARCH("日",N265)),20,1))),IF(ISNUMBER(SEARCH("日",N265)),20,IF(ISNUMBER(SEARCH("週",N265)),4.3,IF(ISNUMBER(SEARCH("月",N265)),1,"")))))))</f>
        <v/>
      </c>
      <c r="AT265" s="34">
        <f>IF(O265="","",IF(ISNUMBER(O265),O265,IFERROR(VALUE(ASC(O265&amp;"")),IF(ISNUMBER(SEARCH("時間",O265)),IFERROR(VALUE(SUBSTITUTE(SUBSTITUTE(SUBSTITUTE(SUBSTITUTE(SUBSTITUTE(ASC(O265&amp;""),"約",""),"程度",""),"ほど",""),"時間","")," ",""))*60,""),IFERROR(VALUE(SUBSTITUTE(SUBSTITUTE(SUBSTITUTE(SUBSTITUTE(SUBSTITUTE(ASC(O265&amp;""),"約",""),"程度",""),"ほど",""),"分","")," ","")),"")))))</f>
        <v/>
      </c>
      <c r="AU265" s="34">
        <f>IF(P265="","",IF(ISNUMBER(P265),P265,IFERROR(VALUE(SUBSTITUTE(SUBSTITUTE(SUBSTITUTE(ASC(P265&amp;""),"約",""),"件","")," ","")),"")))</f>
        <v/>
      </c>
      <c r="AV265" s="34">
        <f>IF(AB265&lt;&gt;"OK","",IF(COUNTIFS($G$5:$G$404,G265&amp;"",$F$5:$F$404,F265&amp;"",$BE$5:$BE$404,BE265&amp;"",$AB$5:$AB$404,"OK")&gt;1,"同名あり",""))</f>
        <v/>
      </c>
      <c r="AW265" s="35">
        <f>IF(Q265="","",IF(ISNUMBER(Q265),Q265,IFERROR(DATEVALUE(SUBSTITUTE(SUBSTITUTE(ASC(Q265&amp;""),"-","/"),".","/")&amp;"/01"),"")))</f>
        <v/>
      </c>
      <c r="AX265" s="35">
        <f>IF(R265="","",IF(ISNUMBER(R265),R265,IFERROR(DATEVALUE(SUBSTITUTE(SUBSTITUTE(ASC(R265&amp;""),"-","/"),".","/")&amp;"/01"),"")))</f>
        <v/>
      </c>
      <c r="AY265" s="34">
        <f>IF(OR(AB265&lt;&gt;"OK",AW265=""),"",IF(AW265&gt;='01_設定'!$C$26,1,0))</f>
        <v/>
      </c>
      <c r="AZ265" s="34">
        <f>IF(AND(AB265="OK",AD265&lt;&gt;"除外"),COUNTIFS($AB$5:AB265,"OK",$AD$5:AD265,"&lt;&gt;除外"),"")</f>
        <v/>
      </c>
      <c r="BA265" s="34">
        <f>IF(OR(AZ265="",AI265=""),"",AI265+ROW()/1000000000)</f>
        <v/>
      </c>
      <c r="BB265" s="34">
        <f>IF(E265="","",IF(OR(TRIM(E265&amp;"")="-",TRIM(E265&amp;"")="－",TRIM(E265&amp;"")="ー"),"",TRIM(E265&amp;"")))</f>
        <v/>
      </c>
      <c r="BC265" s="34">
        <f>IF(AND(AB265="OK",BB265&lt;&gt;""),IF(COUNTIFS($BB$5:BB265,BB265,$AB$5:AB265,"OK")=1,1,""),"")</f>
        <v/>
      </c>
      <c r="BD265" s="34">
        <f>IF(BC265=1,COUNTIF($BC$5:BC265,1),"")</f>
        <v/>
      </c>
      <c r="BE265" s="34">
        <f>IF(BB265="","",IFERROR(INDEX('06_顧客別集計'!$G$5:$G$104,MATCH(BB265,'06_顧客別集計'!$C$5:$C$104,0)),BB265))</f>
        <v/>
      </c>
      <c r="BF265" s="34">
        <f>IF(AND(AZ265&lt;&gt;"",BE265&lt;&gt;""),IF(COUNTIFS($BE$5:BE265,BE265,$AZ$5:AZ265,"&gt;0")=1,1,""),"")</f>
        <v/>
      </c>
      <c r="BG265" s="34">
        <f>IF(BF265=1,COUNTIF($BF$5:BF265,1),"")</f>
        <v/>
      </c>
    </row>
    <row r="266">
      <c r="AB266">
        <f>IF(AND(A266="",G266=""),"",IF(ISNUMBER(SEARCH("##END",AM266)),"（終わりの印）",IF(ISNUMBER(SEARCH("##続き",AM266)),"（続きありの印）",IF(AM266="調査ID","（見出し行）",IF(AND(AM266&lt;&gt;"R1",AM266&lt;&gt;"R2"),"×表以外の行（集計されない）",IF(COUNTIF($AN$5:AN266,AN266)&gt;1,"△重複（集計されない）",IF(G266="","△タスク名なし",IF(ISNA(MATCH(AQ266,'M1_類型マスタ'!$A$5:$A$19,0)),"△類型が不正",IF(OR(AP266="",N(AP266)&lt;1,N(AP266)&gt;6),"△業務区分が不正",IF(OR(AS266="",AT266=""),"△回数・分が読めない",IF(SUMPRODUCT(--ISNUMBER(--T266:Z266))&lt;7,"△採点が足りない",IF(SUMPRODUCT((--T266:Z266&gt;2)+(--T266:Z266&lt;0))&gt;0,"△採点が範囲外","OK"))))))))))))</f>
        <v/>
      </c>
      <c r="AC266">
        <f>IF(AB266&lt;&gt;"OK","",TRIM(IF(AND(AU266&lt;&gt;"",N(AU266)&lt;=1),"根拠1件 ","")&amp;IF(AV266&lt;&gt;"","同名あり ","")&amp;IF(AND(NOT(ISNUMBER(N266)),N266&lt;&gt;""),"回数を換算 ","")&amp;IF(J266="","詳細なし ","")&amp;IF(AND(N(AP266)=1,BB266=""),"顧客名なし ","")))</f>
        <v/>
      </c>
      <c r="AD266" s="31" t="n"/>
      <c r="AE266" s="32" t="n"/>
      <c r="AF266" s="32" t="n"/>
      <c r="AG266" s="31" t="n"/>
      <c r="AH266">
        <f>IF(AB266&lt;&gt;"OK","",IF(AG266&lt;&gt;"",AG266,AJ266))</f>
        <v/>
      </c>
      <c r="AI266" s="33">
        <f>IF(AB266&lt;&gt;"OK","",IFERROR(IF(AE266&lt;&gt;"",AE266,AS266)*IF(AF266&lt;&gt;"",AF266,AT266)/60,""))</f>
        <v/>
      </c>
      <c r="AJ266">
        <f>IF(AB266&lt;&gt;"OK","",IF(OR(VALUE(T266)=2,VALUE(U266)=2,VALUE(V266)=2),"社内残置",IF(AND(VALUE(T266)=0,VALUE(W266)=0,VALUE(Y266)=0),"自動化候補",IF(AND(VALUE(U266)=0,VALUE(W266)&lt;=1,VALUE(X266)&lt;=1,VALUE(Y266)&lt;=1,VALUE(Z266)&lt;=1),"オフショア候補",IF(AND(VALUE(Y266)&lt;=1,VALUE(Z266)&lt;=1),"ニアショア候補","社内で手順化→再評価")))))</f>
        <v/>
      </c>
      <c r="AK266">
        <f>IF(AB266&lt;&gt;"OK","",14-SUMPRODUCT(--T266:Z266))</f>
        <v/>
      </c>
      <c r="AL266" s="33">
        <f>IF(AB266&lt;&gt;"OK","",AS266*AT266/60)</f>
        <v/>
      </c>
      <c r="AM266" s="34">
        <f>IF(A266="","",UPPER(TRIM(ASC(A266&amp;""))))</f>
        <v/>
      </c>
      <c r="AN266" s="34">
        <f>IF(AM266="","",AM266&amp;"-"&amp;B266)</f>
        <v/>
      </c>
      <c r="AO266" s="34">
        <f>IF(C266="","",IFERROR(VALUE(ASC(SUBSTITUTE(C266&amp;"","観点",""))),""))</f>
        <v/>
      </c>
      <c r="AP266" s="34">
        <f>IF(D266="","",IFERROR(VALUE(LEFT(TRIM(ASC(D266&amp;"")),1)),IFERROR(MATCH(TRIM(D266&amp;""),'M2_区分マスタ'!$I$5:$I$10,0),"")))</f>
        <v/>
      </c>
      <c r="AQ266" s="34">
        <f>IF(H266="","",UPPER(LEFT(TRIM(ASC(H266&amp;"")),3)))</f>
        <v/>
      </c>
      <c r="AR266" s="34">
        <f>IF(N266="","",IFERROR(VALUE(SUBSTITUTE(SUBSTITUTE(SUBSTITUTE(SUBSTITUTE(SUBSTITUTE(SUBSTITUTE(SUBSTITUTE(SUBSTITUTE(SUBSTITUTE(SUBSTITUTE(SUBSTITUTE(SUBSTITUTE(ASC(N266&amp;""),"約",""),"程度",""),"ほど",""),"回",""),"毎",""),"週",""),"月",""),"年",""),"日",""),"に",""),"/","")," ","")),""))</f>
        <v/>
      </c>
      <c r="AS266" s="34">
        <f>IF(N266="","",IF(ISNUMBER(N266),N266,IFERROR(VALUE(ASC(N266&amp;"")),IF(AR266&lt;&gt;"",AR266*IF(ISNUMBER(SEARCH("週",N266)),4.3,IF(ISNUMBER(SEARCH("年",N266)),1/12,IF(ISNUMBER(SEARCH("日",N266)),20,1))),IF(ISNUMBER(SEARCH("日",N266)),20,IF(ISNUMBER(SEARCH("週",N266)),4.3,IF(ISNUMBER(SEARCH("月",N266)),1,"")))))))</f>
        <v/>
      </c>
      <c r="AT266" s="34">
        <f>IF(O266="","",IF(ISNUMBER(O266),O266,IFERROR(VALUE(ASC(O266&amp;"")),IF(ISNUMBER(SEARCH("時間",O266)),IFERROR(VALUE(SUBSTITUTE(SUBSTITUTE(SUBSTITUTE(SUBSTITUTE(SUBSTITUTE(ASC(O266&amp;""),"約",""),"程度",""),"ほど",""),"時間","")," ",""))*60,""),IFERROR(VALUE(SUBSTITUTE(SUBSTITUTE(SUBSTITUTE(SUBSTITUTE(SUBSTITUTE(ASC(O266&amp;""),"約",""),"程度",""),"ほど",""),"分","")," ","")),"")))))</f>
        <v/>
      </c>
      <c r="AU266" s="34">
        <f>IF(P266="","",IF(ISNUMBER(P266),P266,IFERROR(VALUE(SUBSTITUTE(SUBSTITUTE(SUBSTITUTE(ASC(P266&amp;""),"約",""),"件","")," ","")),"")))</f>
        <v/>
      </c>
      <c r="AV266" s="34">
        <f>IF(AB266&lt;&gt;"OK","",IF(COUNTIFS($G$5:$G$404,G266&amp;"",$F$5:$F$404,F266&amp;"",$BE$5:$BE$404,BE266&amp;"",$AB$5:$AB$404,"OK")&gt;1,"同名あり",""))</f>
        <v/>
      </c>
      <c r="AW266" s="35">
        <f>IF(Q266="","",IF(ISNUMBER(Q266),Q266,IFERROR(DATEVALUE(SUBSTITUTE(SUBSTITUTE(ASC(Q266&amp;""),"-","/"),".","/")&amp;"/01"),"")))</f>
        <v/>
      </c>
      <c r="AX266" s="35">
        <f>IF(R266="","",IF(ISNUMBER(R266),R266,IFERROR(DATEVALUE(SUBSTITUTE(SUBSTITUTE(ASC(R266&amp;""),"-","/"),".","/")&amp;"/01"),"")))</f>
        <v/>
      </c>
      <c r="AY266" s="34">
        <f>IF(OR(AB266&lt;&gt;"OK",AW266=""),"",IF(AW266&gt;='01_設定'!$C$26,1,0))</f>
        <v/>
      </c>
      <c r="AZ266" s="34">
        <f>IF(AND(AB266="OK",AD266&lt;&gt;"除外"),COUNTIFS($AB$5:AB266,"OK",$AD$5:AD266,"&lt;&gt;除外"),"")</f>
        <v/>
      </c>
      <c r="BA266" s="34">
        <f>IF(OR(AZ266="",AI266=""),"",AI266+ROW()/1000000000)</f>
        <v/>
      </c>
      <c r="BB266" s="34">
        <f>IF(E266="","",IF(OR(TRIM(E266&amp;"")="-",TRIM(E266&amp;"")="－",TRIM(E266&amp;"")="ー"),"",TRIM(E266&amp;"")))</f>
        <v/>
      </c>
      <c r="BC266" s="34">
        <f>IF(AND(AB266="OK",BB266&lt;&gt;""),IF(COUNTIFS($BB$5:BB266,BB266,$AB$5:AB266,"OK")=1,1,""),"")</f>
        <v/>
      </c>
      <c r="BD266" s="34">
        <f>IF(BC266=1,COUNTIF($BC$5:BC266,1),"")</f>
        <v/>
      </c>
      <c r="BE266" s="34">
        <f>IF(BB266="","",IFERROR(INDEX('06_顧客別集計'!$G$5:$G$104,MATCH(BB266,'06_顧客別集計'!$C$5:$C$104,0)),BB266))</f>
        <v/>
      </c>
      <c r="BF266" s="34">
        <f>IF(AND(AZ266&lt;&gt;"",BE266&lt;&gt;""),IF(COUNTIFS($BE$5:BE266,BE266,$AZ$5:AZ266,"&gt;0")=1,1,""),"")</f>
        <v/>
      </c>
      <c r="BG266" s="34">
        <f>IF(BF266=1,COUNTIF($BF$5:BF266,1),"")</f>
        <v/>
      </c>
    </row>
    <row r="267">
      <c r="AB267">
        <f>IF(AND(A267="",G267=""),"",IF(ISNUMBER(SEARCH("##END",AM267)),"（終わりの印）",IF(ISNUMBER(SEARCH("##続き",AM267)),"（続きありの印）",IF(AM267="調査ID","（見出し行）",IF(AND(AM267&lt;&gt;"R1",AM267&lt;&gt;"R2"),"×表以外の行（集計されない）",IF(COUNTIF($AN$5:AN267,AN267)&gt;1,"△重複（集計されない）",IF(G267="","△タスク名なし",IF(ISNA(MATCH(AQ267,'M1_類型マスタ'!$A$5:$A$19,0)),"△類型が不正",IF(OR(AP267="",N(AP267)&lt;1,N(AP267)&gt;6),"△業務区分が不正",IF(OR(AS267="",AT267=""),"△回数・分が読めない",IF(SUMPRODUCT(--ISNUMBER(--T267:Z267))&lt;7,"△採点が足りない",IF(SUMPRODUCT((--T267:Z267&gt;2)+(--T267:Z267&lt;0))&gt;0,"△採点が範囲外","OK"))))))))))))</f>
        <v/>
      </c>
      <c r="AC267">
        <f>IF(AB267&lt;&gt;"OK","",TRIM(IF(AND(AU267&lt;&gt;"",N(AU267)&lt;=1),"根拠1件 ","")&amp;IF(AV267&lt;&gt;"","同名あり ","")&amp;IF(AND(NOT(ISNUMBER(N267)),N267&lt;&gt;""),"回数を換算 ","")&amp;IF(J267="","詳細なし ","")&amp;IF(AND(N(AP267)=1,BB267=""),"顧客名なし ","")))</f>
        <v/>
      </c>
      <c r="AD267" s="31" t="n"/>
      <c r="AE267" s="32" t="n"/>
      <c r="AF267" s="32" t="n"/>
      <c r="AG267" s="31" t="n"/>
      <c r="AH267">
        <f>IF(AB267&lt;&gt;"OK","",IF(AG267&lt;&gt;"",AG267,AJ267))</f>
        <v/>
      </c>
      <c r="AI267" s="33">
        <f>IF(AB267&lt;&gt;"OK","",IFERROR(IF(AE267&lt;&gt;"",AE267,AS267)*IF(AF267&lt;&gt;"",AF267,AT267)/60,""))</f>
        <v/>
      </c>
      <c r="AJ267">
        <f>IF(AB267&lt;&gt;"OK","",IF(OR(VALUE(T267)=2,VALUE(U267)=2,VALUE(V267)=2),"社内残置",IF(AND(VALUE(T267)=0,VALUE(W267)=0,VALUE(Y267)=0),"自動化候補",IF(AND(VALUE(U267)=0,VALUE(W267)&lt;=1,VALUE(X267)&lt;=1,VALUE(Y267)&lt;=1,VALUE(Z267)&lt;=1),"オフショア候補",IF(AND(VALUE(Y267)&lt;=1,VALUE(Z267)&lt;=1),"ニアショア候補","社内で手順化→再評価")))))</f>
        <v/>
      </c>
      <c r="AK267">
        <f>IF(AB267&lt;&gt;"OK","",14-SUMPRODUCT(--T267:Z267))</f>
        <v/>
      </c>
      <c r="AL267" s="33">
        <f>IF(AB267&lt;&gt;"OK","",AS267*AT267/60)</f>
        <v/>
      </c>
      <c r="AM267" s="34">
        <f>IF(A267="","",UPPER(TRIM(ASC(A267&amp;""))))</f>
        <v/>
      </c>
      <c r="AN267" s="34">
        <f>IF(AM267="","",AM267&amp;"-"&amp;B267)</f>
        <v/>
      </c>
      <c r="AO267" s="34">
        <f>IF(C267="","",IFERROR(VALUE(ASC(SUBSTITUTE(C267&amp;"","観点",""))),""))</f>
        <v/>
      </c>
      <c r="AP267" s="34">
        <f>IF(D267="","",IFERROR(VALUE(LEFT(TRIM(ASC(D267&amp;"")),1)),IFERROR(MATCH(TRIM(D267&amp;""),'M2_区分マスタ'!$I$5:$I$10,0),"")))</f>
        <v/>
      </c>
      <c r="AQ267" s="34">
        <f>IF(H267="","",UPPER(LEFT(TRIM(ASC(H267&amp;"")),3)))</f>
        <v/>
      </c>
      <c r="AR267" s="34">
        <f>IF(N267="","",IFERROR(VALUE(SUBSTITUTE(SUBSTITUTE(SUBSTITUTE(SUBSTITUTE(SUBSTITUTE(SUBSTITUTE(SUBSTITUTE(SUBSTITUTE(SUBSTITUTE(SUBSTITUTE(SUBSTITUTE(SUBSTITUTE(ASC(N267&amp;""),"約",""),"程度",""),"ほど",""),"回",""),"毎",""),"週",""),"月",""),"年",""),"日",""),"に",""),"/","")," ","")),""))</f>
        <v/>
      </c>
      <c r="AS267" s="34">
        <f>IF(N267="","",IF(ISNUMBER(N267),N267,IFERROR(VALUE(ASC(N267&amp;"")),IF(AR267&lt;&gt;"",AR267*IF(ISNUMBER(SEARCH("週",N267)),4.3,IF(ISNUMBER(SEARCH("年",N267)),1/12,IF(ISNUMBER(SEARCH("日",N267)),20,1))),IF(ISNUMBER(SEARCH("日",N267)),20,IF(ISNUMBER(SEARCH("週",N267)),4.3,IF(ISNUMBER(SEARCH("月",N267)),1,"")))))))</f>
        <v/>
      </c>
      <c r="AT267" s="34">
        <f>IF(O267="","",IF(ISNUMBER(O267),O267,IFERROR(VALUE(ASC(O267&amp;"")),IF(ISNUMBER(SEARCH("時間",O267)),IFERROR(VALUE(SUBSTITUTE(SUBSTITUTE(SUBSTITUTE(SUBSTITUTE(SUBSTITUTE(ASC(O267&amp;""),"約",""),"程度",""),"ほど",""),"時間","")," ",""))*60,""),IFERROR(VALUE(SUBSTITUTE(SUBSTITUTE(SUBSTITUTE(SUBSTITUTE(SUBSTITUTE(ASC(O267&amp;""),"約",""),"程度",""),"ほど",""),"分","")," ","")),"")))))</f>
        <v/>
      </c>
      <c r="AU267" s="34">
        <f>IF(P267="","",IF(ISNUMBER(P267),P267,IFERROR(VALUE(SUBSTITUTE(SUBSTITUTE(SUBSTITUTE(ASC(P267&amp;""),"約",""),"件","")," ","")),"")))</f>
        <v/>
      </c>
      <c r="AV267" s="34">
        <f>IF(AB267&lt;&gt;"OK","",IF(COUNTIFS($G$5:$G$404,G267&amp;"",$F$5:$F$404,F267&amp;"",$BE$5:$BE$404,BE267&amp;"",$AB$5:$AB$404,"OK")&gt;1,"同名あり",""))</f>
        <v/>
      </c>
      <c r="AW267" s="35">
        <f>IF(Q267="","",IF(ISNUMBER(Q267),Q267,IFERROR(DATEVALUE(SUBSTITUTE(SUBSTITUTE(ASC(Q267&amp;""),"-","/"),".","/")&amp;"/01"),"")))</f>
        <v/>
      </c>
      <c r="AX267" s="35">
        <f>IF(R267="","",IF(ISNUMBER(R267),R267,IFERROR(DATEVALUE(SUBSTITUTE(SUBSTITUTE(ASC(R267&amp;""),"-","/"),".","/")&amp;"/01"),"")))</f>
        <v/>
      </c>
      <c r="AY267" s="34">
        <f>IF(OR(AB267&lt;&gt;"OK",AW267=""),"",IF(AW267&gt;='01_設定'!$C$26,1,0))</f>
        <v/>
      </c>
      <c r="AZ267" s="34">
        <f>IF(AND(AB267="OK",AD267&lt;&gt;"除外"),COUNTIFS($AB$5:AB267,"OK",$AD$5:AD267,"&lt;&gt;除外"),"")</f>
        <v/>
      </c>
      <c r="BA267" s="34">
        <f>IF(OR(AZ267="",AI267=""),"",AI267+ROW()/1000000000)</f>
        <v/>
      </c>
      <c r="BB267" s="34">
        <f>IF(E267="","",IF(OR(TRIM(E267&amp;"")="-",TRIM(E267&amp;"")="－",TRIM(E267&amp;"")="ー"),"",TRIM(E267&amp;"")))</f>
        <v/>
      </c>
      <c r="BC267" s="34">
        <f>IF(AND(AB267="OK",BB267&lt;&gt;""),IF(COUNTIFS($BB$5:BB267,BB267,$AB$5:AB267,"OK")=1,1,""),"")</f>
        <v/>
      </c>
      <c r="BD267" s="34">
        <f>IF(BC267=1,COUNTIF($BC$5:BC267,1),"")</f>
        <v/>
      </c>
      <c r="BE267" s="34">
        <f>IF(BB267="","",IFERROR(INDEX('06_顧客別集計'!$G$5:$G$104,MATCH(BB267,'06_顧客別集計'!$C$5:$C$104,0)),BB267))</f>
        <v/>
      </c>
      <c r="BF267" s="34">
        <f>IF(AND(AZ267&lt;&gt;"",BE267&lt;&gt;""),IF(COUNTIFS($BE$5:BE267,BE267,$AZ$5:AZ267,"&gt;0")=1,1,""),"")</f>
        <v/>
      </c>
      <c r="BG267" s="34">
        <f>IF(BF267=1,COUNTIF($BF$5:BF267,1),"")</f>
        <v/>
      </c>
    </row>
    <row r="268">
      <c r="AB268">
        <f>IF(AND(A268="",G268=""),"",IF(ISNUMBER(SEARCH("##END",AM268)),"（終わりの印）",IF(ISNUMBER(SEARCH("##続き",AM268)),"（続きありの印）",IF(AM268="調査ID","（見出し行）",IF(AND(AM268&lt;&gt;"R1",AM268&lt;&gt;"R2"),"×表以外の行（集計されない）",IF(COUNTIF($AN$5:AN268,AN268)&gt;1,"△重複（集計されない）",IF(G268="","△タスク名なし",IF(ISNA(MATCH(AQ268,'M1_類型マスタ'!$A$5:$A$19,0)),"△類型が不正",IF(OR(AP268="",N(AP268)&lt;1,N(AP268)&gt;6),"△業務区分が不正",IF(OR(AS268="",AT268=""),"△回数・分が読めない",IF(SUMPRODUCT(--ISNUMBER(--T268:Z268))&lt;7,"△採点が足りない",IF(SUMPRODUCT((--T268:Z268&gt;2)+(--T268:Z268&lt;0))&gt;0,"△採点が範囲外","OK"))))))))))))</f>
        <v/>
      </c>
      <c r="AC268">
        <f>IF(AB268&lt;&gt;"OK","",TRIM(IF(AND(AU268&lt;&gt;"",N(AU268)&lt;=1),"根拠1件 ","")&amp;IF(AV268&lt;&gt;"","同名あり ","")&amp;IF(AND(NOT(ISNUMBER(N268)),N268&lt;&gt;""),"回数を換算 ","")&amp;IF(J268="","詳細なし ","")&amp;IF(AND(N(AP268)=1,BB268=""),"顧客名なし ","")))</f>
        <v/>
      </c>
      <c r="AD268" s="31" t="n"/>
      <c r="AE268" s="32" t="n"/>
      <c r="AF268" s="32" t="n"/>
      <c r="AG268" s="31" t="n"/>
      <c r="AH268">
        <f>IF(AB268&lt;&gt;"OK","",IF(AG268&lt;&gt;"",AG268,AJ268))</f>
        <v/>
      </c>
      <c r="AI268" s="33">
        <f>IF(AB268&lt;&gt;"OK","",IFERROR(IF(AE268&lt;&gt;"",AE268,AS268)*IF(AF268&lt;&gt;"",AF268,AT268)/60,""))</f>
        <v/>
      </c>
      <c r="AJ268">
        <f>IF(AB268&lt;&gt;"OK","",IF(OR(VALUE(T268)=2,VALUE(U268)=2,VALUE(V268)=2),"社内残置",IF(AND(VALUE(T268)=0,VALUE(W268)=0,VALUE(Y268)=0),"自動化候補",IF(AND(VALUE(U268)=0,VALUE(W268)&lt;=1,VALUE(X268)&lt;=1,VALUE(Y268)&lt;=1,VALUE(Z268)&lt;=1),"オフショア候補",IF(AND(VALUE(Y268)&lt;=1,VALUE(Z268)&lt;=1),"ニアショア候補","社内で手順化→再評価")))))</f>
        <v/>
      </c>
      <c r="AK268">
        <f>IF(AB268&lt;&gt;"OK","",14-SUMPRODUCT(--T268:Z268))</f>
        <v/>
      </c>
      <c r="AL268" s="33">
        <f>IF(AB268&lt;&gt;"OK","",AS268*AT268/60)</f>
        <v/>
      </c>
      <c r="AM268" s="34">
        <f>IF(A268="","",UPPER(TRIM(ASC(A268&amp;""))))</f>
        <v/>
      </c>
      <c r="AN268" s="34">
        <f>IF(AM268="","",AM268&amp;"-"&amp;B268)</f>
        <v/>
      </c>
      <c r="AO268" s="34">
        <f>IF(C268="","",IFERROR(VALUE(ASC(SUBSTITUTE(C268&amp;"","観点",""))),""))</f>
        <v/>
      </c>
      <c r="AP268" s="34">
        <f>IF(D268="","",IFERROR(VALUE(LEFT(TRIM(ASC(D268&amp;"")),1)),IFERROR(MATCH(TRIM(D268&amp;""),'M2_区分マスタ'!$I$5:$I$10,0),"")))</f>
        <v/>
      </c>
      <c r="AQ268" s="34">
        <f>IF(H268="","",UPPER(LEFT(TRIM(ASC(H268&amp;"")),3)))</f>
        <v/>
      </c>
      <c r="AR268" s="34">
        <f>IF(N268="","",IFERROR(VALUE(SUBSTITUTE(SUBSTITUTE(SUBSTITUTE(SUBSTITUTE(SUBSTITUTE(SUBSTITUTE(SUBSTITUTE(SUBSTITUTE(SUBSTITUTE(SUBSTITUTE(SUBSTITUTE(SUBSTITUTE(ASC(N268&amp;""),"約",""),"程度",""),"ほど",""),"回",""),"毎",""),"週",""),"月",""),"年",""),"日",""),"に",""),"/","")," ","")),""))</f>
        <v/>
      </c>
      <c r="AS268" s="34">
        <f>IF(N268="","",IF(ISNUMBER(N268),N268,IFERROR(VALUE(ASC(N268&amp;"")),IF(AR268&lt;&gt;"",AR268*IF(ISNUMBER(SEARCH("週",N268)),4.3,IF(ISNUMBER(SEARCH("年",N268)),1/12,IF(ISNUMBER(SEARCH("日",N268)),20,1))),IF(ISNUMBER(SEARCH("日",N268)),20,IF(ISNUMBER(SEARCH("週",N268)),4.3,IF(ISNUMBER(SEARCH("月",N268)),1,"")))))))</f>
        <v/>
      </c>
      <c r="AT268" s="34">
        <f>IF(O268="","",IF(ISNUMBER(O268),O268,IFERROR(VALUE(ASC(O268&amp;"")),IF(ISNUMBER(SEARCH("時間",O268)),IFERROR(VALUE(SUBSTITUTE(SUBSTITUTE(SUBSTITUTE(SUBSTITUTE(SUBSTITUTE(ASC(O268&amp;""),"約",""),"程度",""),"ほど",""),"時間","")," ",""))*60,""),IFERROR(VALUE(SUBSTITUTE(SUBSTITUTE(SUBSTITUTE(SUBSTITUTE(SUBSTITUTE(ASC(O268&amp;""),"約",""),"程度",""),"ほど",""),"分","")," ","")),"")))))</f>
        <v/>
      </c>
      <c r="AU268" s="34">
        <f>IF(P268="","",IF(ISNUMBER(P268),P268,IFERROR(VALUE(SUBSTITUTE(SUBSTITUTE(SUBSTITUTE(ASC(P268&amp;""),"約",""),"件","")," ","")),"")))</f>
        <v/>
      </c>
      <c r="AV268" s="34">
        <f>IF(AB268&lt;&gt;"OK","",IF(COUNTIFS($G$5:$G$404,G268&amp;"",$F$5:$F$404,F268&amp;"",$BE$5:$BE$404,BE268&amp;"",$AB$5:$AB$404,"OK")&gt;1,"同名あり",""))</f>
        <v/>
      </c>
      <c r="AW268" s="35">
        <f>IF(Q268="","",IF(ISNUMBER(Q268),Q268,IFERROR(DATEVALUE(SUBSTITUTE(SUBSTITUTE(ASC(Q268&amp;""),"-","/"),".","/")&amp;"/01"),"")))</f>
        <v/>
      </c>
      <c r="AX268" s="35">
        <f>IF(R268="","",IF(ISNUMBER(R268),R268,IFERROR(DATEVALUE(SUBSTITUTE(SUBSTITUTE(ASC(R268&amp;""),"-","/"),".","/")&amp;"/01"),"")))</f>
        <v/>
      </c>
      <c r="AY268" s="34">
        <f>IF(OR(AB268&lt;&gt;"OK",AW268=""),"",IF(AW268&gt;='01_設定'!$C$26,1,0))</f>
        <v/>
      </c>
      <c r="AZ268" s="34">
        <f>IF(AND(AB268="OK",AD268&lt;&gt;"除外"),COUNTIFS($AB$5:AB268,"OK",$AD$5:AD268,"&lt;&gt;除外"),"")</f>
        <v/>
      </c>
      <c r="BA268" s="34">
        <f>IF(OR(AZ268="",AI268=""),"",AI268+ROW()/1000000000)</f>
        <v/>
      </c>
      <c r="BB268" s="34">
        <f>IF(E268="","",IF(OR(TRIM(E268&amp;"")="-",TRIM(E268&amp;"")="－",TRIM(E268&amp;"")="ー"),"",TRIM(E268&amp;"")))</f>
        <v/>
      </c>
      <c r="BC268" s="34">
        <f>IF(AND(AB268="OK",BB268&lt;&gt;""),IF(COUNTIFS($BB$5:BB268,BB268,$AB$5:AB268,"OK")=1,1,""),"")</f>
        <v/>
      </c>
      <c r="BD268" s="34">
        <f>IF(BC268=1,COUNTIF($BC$5:BC268,1),"")</f>
        <v/>
      </c>
      <c r="BE268" s="34">
        <f>IF(BB268="","",IFERROR(INDEX('06_顧客別集計'!$G$5:$G$104,MATCH(BB268,'06_顧客別集計'!$C$5:$C$104,0)),BB268))</f>
        <v/>
      </c>
      <c r="BF268" s="34">
        <f>IF(AND(AZ268&lt;&gt;"",BE268&lt;&gt;""),IF(COUNTIFS($BE$5:BE268,BE268,$AZ$5:AZ268,"&gt;0")=1,1,""),"")</f>
        <v/>
      </c>
      <c r="BG268" s="34">
        <f>IF(BF268=1,COUNTIF($BF$5:BF268,1),"")</f>
        <v/>
      </c>
    </row>
    <row r="269">
      <c r="AB269">
        <f>IF(AND(A269="",G269=""),"",IF(ISNUMBER(SEARCH("##END",AM269)),"（終わりの印）",IF(ISNUMBER(SEARCH("##続き",AM269)),"（続きありの印）",IF(AM269="調査ID","（見出し行）",IF(AND(AM269&lt;&gt;"R1",AM269&lt;&gt;"R2"),"×表以外の行（集計されない）",IF(COUNTIF($AN$5:AN269,AN269)&gt;1,"△重複（集計されない）",IF(G269="","△タスク名なし",IF(ISNA(MATCH(AQ269,'M1_類型マスタ'!$A$5:$A$19,0)),"△類型が不正",IF(OR(AP269="",N(AP269)&lt;1,N(AP269)&gt;6),"△業務区分が不正",IF(OR(AS269="",AT269=""),"△回数・分が読めない",IF(SUMPRODUCT(--ISNUMBER(--T269:Z269))&lt;7,"△採点が足りない",IF(SUMPRODUCT((--T269:Z269&gt;2)+(--T269:Z269&lt;0))&gt;0,"△採点が範囲外","OK"))))))))))))</f>
        <v/>
      </c>
      <c r="AC269">
        <f>IF(AB269&lt;&gt;"OK","",TRIM(IF(AND(AU269&lt;&gt;"",N(AU269)&lt;=1),"根拠1件 ","")&amp;IF(AV269&lt;&gt;"","同名あり ","")&amp;IF(AND(NOT(ISNUMBER(N269)),N269&lt;&gt;""),"回数を換算 ","")&amp;IF(J269="","詳細なし ","")&amp;IF(AND(N(AP269)=1,BB269=""),"顧客名なし ","")))</f>
        <v/>
      </c>
      <c r="AD269" s="31" t="n"/>
      <c r="AE269" s="32" t="n"/>
      <c r="AF269" s="32" t="n"/>
      <c r="AG269" s="31" t="n"/>
      <c r="AH269">
        <f>IF(AB269&lt;&gt;"OK","",IF(AG269&lt;&gt;"",AG269,AJ269))</f>
        <v/>
      </c>
      <c r="AI269" s="33">
        <f>IF(AB269&lt;&gt;"OK","",IFERROR(IF(AE269&lt;&gt;"",AE269,AS269)*IF(AF269&lt;&gt;"",AF269,AT269)/60,""))</f>
        <v/>
      </c>
      <c r="AJ269">
        <f>IF(AB269&lt;&gt;"OK","",IF(OR(VALUE(T269)=2,VALUE(U269)=2,VALUE(V269)=2),"社内残置",IF(AND(VALUE(T269)=0,VALUE(W269)=0,VALUE(Y269)=0),"自動化候補",IF(AND(VALUE(U269)=0,VALUE(W269)&lt;=1,VALUE(X269)&lt;=1,VALUE(Y269)&lt;=1,VALUE(Z269)&lt;=1),"オフショア候補",IF(AND(VALUE(Y269)&lt;=1,VALUE(Z269)&lt;=1),"ニアショア候補","社内で手順化→再評価")))))</f>
        <v/>
      </c>
      <c r="AK269">
        <f>IF(AB269&lt;&gt;"OK","",14-SUMPRODUCT(--T269:Z269))</f>
        <v/>
      </c>
      <c r="AL269" s="33">
        <f>IF(AB269&lt;&gt;"OK","",AS269*AT269/60)</f>
        <v/>
      </c>
      <c r="AM269" s="34">
        <f>IF(A269="","",UPPER(TRIM(ASC(A269&amp;""))))</f>
        <v/>
      </c>
      <c r="AN269" s="34">
        <f>IF(AM269="","",AM269&amp;"-"&amp;B269)</f>
        <v/>
      </c>
      <c r="AO269" s="34">
        <f>IF(C269="","",IFERROR(VALUE(ASC(SUBSTITUTE(C269&amp;"","観点",""))),""))</f>
        <v/>
      </c>
      <c r="AP269" s="34">
        <f>IF(D269="","",IFERROR(VALUE(LEFT(TRIM(ASC(D269&amp;"")),1)),IFERROR(MATCH(TRIM(D269&amp;""),'M2_区分マスタ'!$I$5:$I$10,0),"")))</f>
        <v/>
      </c>
      <c r="AQ269" s="34">
        <f>IF(H269="","",UPPER(LEFT(TRIM(ASC(H269&amp;"")),3)))</f>
        <v/>
      </c>
      <c r="AR269" s="34">
        <f>IF(N269="","",IFERROR(VALUE(SUBSTITUTE(SUBSTITUTE(SUBSTITUTE(SUBSTITUTE(SUBSTITUTE(SUBSTITUTE(SUBSTITUTE(SUBSTITUTE(SUBSTITUTE(SUBSTITUTE(SUBSTITUTE(SUBSTITUTE(ASC(N269&amp;""),"約",""),"程度",""),"ほど",""),"回",""),"毎",""),"週",""),"月",""),"年",""),"日",""),"に",""),"/","")," ","")),""))</f>
        <v/>
      </c>
      <c r="AS269" s="34">
        <f>IF(N269="","",IF(ISNUMBER(N269),N269,IFERROR(VALUE(ASC(N269&amp;"")),IF(AR269&lt;&gt;"",AR269*IF(ISNUMBER(SEARCH("週",N269)),4.3,IF(ISNUMBER(SEARCH("年",N269)),1/12,IF(ISNUMBER(SEARCH("日",N269)),20,1))),IF(ISNUMBER(SEARCH("日",N269)),20,IF(ISNUMBER(SEARCH("週",N269)),4.3,IF(ISNUMBER(SEARCH("月",N269)),1,"")))))))</f>
        <v/>
      </c>
      <c r="AT269" s="34">
        <f>IF(O269="","",IF(ISNUMBER(O269),O269,IFERROR(VALUE(ASC(O269&amp;"")),IF(ISNUMBER(SEARCH("時間",O269)),IFERROR(VALUE(SUBSTITUTE(SUBSTITUTE(SUBSTITUTE(SUBSTITUTE(SUBSTITUTE(ASC(O269&amp;""),"約",""),"程度",""),"ほど",""),"時間","")," ",""))*60,""),IFERROR(VALUE(SUBSTITUTE(SUBSTITUTE(SUBSTITUTE(SUBSTITUTE(SUBSTITUTE(ASC(O269&amp;""),"約",""),"程度",""),"ほど",""),"分","")," ","")),"")))))</f>
        <v/>
      </c>
      <c r="AU269" s="34">
        <f>IF(P269="","",IF(ISNUMBER(P269),P269,IFERROR(VALUE(SUBSTITUTE(SUBSTITUTE(SUBSTITUTE(ASC(P269&amp;""),"約",""),"件","")," ","")),"")))</f>
        <v/>
      </c>
      <c r="AV269" s="34">
        <f>IF(AB269&lt;&gt;"OK","",IF(COUNTIFS($G$5:$G$404,G269&amp;"",$F$5:$F$404,F269&amp;"",$BE$5:$BE$404,BE269&amp;"",$AB$5:$AB$404,"OK")&gt;1,"同名あり",""))</f>
        <v/>
      </c>
      <c r="AW269" s="35">
        <f>IF(Q269="","",IF(ISNUMBER(Q269),Q269,IFERROR(DATEVALUE(SUBSTITUTE(SUBSTITUTE(ASC(Q269&amp;""),"-","/"),".","/")&amp;"/01"),"")))</f>
        <v/>
      </c>
      <c r="AX269" s="35">
        <f>IF(R269="","",IF(ISNUMBER(R269),R269,IFERROR(DATEVALUE(SUBSTITUTE(SUBSTITUTE(ASC(R269&amp;""),"-","/"),".","/")&amp;"/01"),"")))</f>
        <v/>
      </c>
      <c r="AY269" s="34">
        <f>IF(OR(AB269&lt;&gt;"OK",AW269=""),"",IF(AW269&gt;='01_設定'!$C$26,1,0))</f>
        <v/>
      </c>
      <c r="AZ269" s="34">
        <f>IF(AND(AB269="OK",AD269&lt;&gt;"除外"),COUNTIFS($AB$5:AB269,"OK",$AD$5:AD269,"&lt;&gt;除外"),"")</f>
        <v/>
      </c>
      <c r="BA269" s="34">
        <f>IF(OR(AZ269="",AI269=""),"",AI269+ROW()/1000000000)</f>
        <v/>
      </c>
      <c r="BB269" s="34">
        <f>IF(E269="","",IF(OR(TRIM(E269&amp;"")="-",TRIM(E269&amp;"")="－",TRIM(E269&amp;"")="ー"),"",TRIM(E269&amp;"")))</f>
        <v/>
      </c>
      <c r="BC269" s="34">
        <f>IF(AND(AB269="OK",BB269&lt;&gt;""),IF(COUNTIFS($BB$5:BB269,BB269,$AB$5:AB269,"OK")=1,1,""),"")</f>
        <v/>
      </c>
      <c r="BD269" s="34">
        <f>IF(BC269=1,COUNTIF($BC$5:BC269,1),"")</f>
        <v/>
      </c>
      <c r="BE269" s="34">
        <f>IF(BB269="","",IFERROR(INDEX('06_顧客別集計'!$G$5:$G$104,MATCH(BB269,'06_顧客別集計'!$C$5:$C$104,0)),BB269))</f>
        <v/>
      </c>
      <c r="BF269" s="34">
        <f>IF(AND(AZ269&lt;&gt;"",BE269&lt;&gt;""),IF(COUNTIFS($BE$5:BE269,BE269,$AZ$5:AZ269,"&gt;0")=1,1,""),"")</f>
        <v/>
      </c>
      <c r="BG269" s="34">
        <f>IF(BF269=1,COUNTIF($BF$5:BF269,1),"")</f>
        <v/>
      </c>
    </row>
    <row r="270">
      <c r="AB270">
        <f>IF(AND(A270="",G270=""),"",IF(ISNUMBER(SEARCH("##END",AM270)),"（終わりの印）",IF(ISNUMBER(SEARCH("##続き",AM270)),"（続きありの印）",IF(AM270="調査ID","（見出し行）",IF(AND(AM270&lt;&gt;"R1",AM270&lt;&gt;"R2"),"×表以外の行（集計されない）",IF(COUNTIF($AN$5:AN270,AN270)&gt;1,"△重複（集計されない）",IF(G270="","△タスク名なし",IF(ISNA(MATCH(AQ270,'M1_類型マスタ'!$A$5:$A$19,0)),"△類型が不正",IF(OR(AP270="",N(AP270)&lt;1,N(AP270)&gt;6),"△業務区分が不正",IF(OR(AS270="",AT270=""),"△回数・分が読めない",IF(SUMPRODUCT(--ISNUMBER(--T270:Z270))&lt;7,"△採点が足りない",IF(SUMPRODUCT((--T270:Z270&gt;2)+(--T270:Z270&lt;0))&gt;0,"△採点が範囲外","OK"))))))))))))</f>
        <v/>
      </c>
      <c r="AC270">
        <f>IF(AB270&lt;&gt;"OK","",TRIM(IF(AND(AU270&lt;&gt;"",N(AU270)&lt;=1),"根拠1件 ","")&amp;IF(AV270&lt;&gt;"","同名あり ","")&amp;IF(AND(NOT(ISNUMBER(N270)),N270&lt;&gt;""),"回数を換算 ","")&amp;IF(J270="","詳細なし ","")&amp;IF(AND(N(AP270)=1,BB270=""),"顧客名なし ","")))</f>
        <v/>
      </c>
      <c r="AD270" s="31" t="n"/>
      <c r="AE270" s="32" t="n"/>
      <c r="AF270" s="32" t="n"/>
      <c r="AG270" s="31" t="n"/>
      <c r="AH270">
        <f>IF(AB270&lt;&gt;"OK","",IF(AG270&lt;&gt;"",AG270,AJ270))</f>
        <v/>
      </c>
      <c r="AI270" s="33">
        <f>IF(AB270&lt;&gt;"OK","",IFERROR(IF(AE270&lt;&gt;"",AE270,AS270)*IF(AF270&lt;&gt;"",AF270,AT270)/60,""))</f>
        <v/>
      </c>
      <c r="AJ270">
        <f>IF(AB270&lt;&gt;"OK","",IF(OR(VALUE(T270)=2,VALUE(U270)=2,VALUE(V270)=2),"社内残置",IF(AND(VALUE(T270)=0,VALUE(W270)=0,VALUE(Y270)=0),"自動化候補",IF(AND(VALUE(U270)=0,VALUE(W270)&lt;=1,VALUE(X270)&lt;=1,VALUE(Y270)&lt;=1,VALUE(Z270)&lt;=1),"オフショア候補",IF(AND(VALUE(Y270)&lt;=1,VALUE(Z270)&lt;=1),"ニアショア候補","社内で手順化→再評価")))))</f>
        <v/>
      </c>
      <c r="AK270">
        <f>IF(AB270&lt;&gt;"OK","",14-SUMPRODUCT(--T270:Z270))</f>
        <v/>
      </c>
      <c r="AL270" s="33">
        <f>IF(AB270&lt;&gt;"OK","",AS270*AT270/60)</f>
        <v/>
      </c>
      <c r="AM270" s="34">
        <f>IF(A270="","",UPPER(TRIM(ASC(A270&amp;""))))</f>
        <v/>
      </c>
      <c r="AN270" s="34">
        <f>IF(AM270="","",AM270&amp;"-"&amp;B270)</f>
        <v/>
      </c>
      <c r="AO270" s="34">
        <f>IF(C270="","",IFERROR(VALUE(ASC(SUBSTITUTE(C270&amp;"","観点",""))),""))</f>
        <v/>
      </c>
      <c r="AP270" s="34">
        <f>IF(D270="","",IFERROR(VALUE(LEFT(TRIM(ASC(D270&amp;"")),1)),IFERROR(MATCH(TRIM(D270&amp;""),'M2_区分マスタ'!$I$5:$I$10,0),"")))</f>
        <v/>
      </c>
      <c r="AQ270" s="34">
        <f>IF(H270="","",UPPER(LEFT(TRIM(ASC(H270&amp;"")),3)))</f>
        <v/>
      </c>
      <c r="AR270" s="34">
        <f>IF(N270="","",IFERROR(VALUE(SUBSTITUTE(SUBSTITUTE(SUBSTITUTE(SUBSTITUTE(SUBSTITUTE(SUBSTITUTE(SUBSTITUTE(SUBSTITUTE(SUBSTITUTE(SUBSTITUTE(SUBSTITUTE(SUBSTITUTE(ASC(N270&amp;""),"約",""),"程度",""),"ほど",""),"回",""),"毎",""),"週",""),"月",""),"年",""),"日",""),"に",""),"/","")," ","")),""))</f>
        <v/>
      </c>
      <c r="AS270" s="34">
        <f>IF(N270="","",IF(ISNUMBER(N270),N270,IFERROR(VALUE(ASC(N270&amp;"")),IF(AR270&lt;&gt;"",AR270*IF(ISNUMBER(SEARCH("週",N270)),4.3,IF(ISNUMBER(SEARCH("年",N270)),1/12,IF(ISNUMBER(SEARCH("日",N270)),20,1))),IF(ISNUMBER(SEARCH("日",N270)),20,IF(ISNUMBER(SEARCH("週",N270)),4.3,IF(ISNUMBER(SEARCH("月",N270)),1,"")))))))</f>
        <v/>
      </c>
      <c r="AT270" s="34">
        <f>IF(O270="","",IF(ISNUMBER(O270),O270,IFERROR(VALUE(ASC(O270&amp;"")),IF(ISNUMBER(SEARCH("時間",O270)),IFERROR(VALUE(SUBSTITUTE(SUBSTITUTE(SUBSTITUTE(SUBSTITUTE(SUBSTITUTE(ASC(O270&amp;""),"約",""),"程度",""),"ほど",""),"時間","")," ",""))*60,""),IFERROR(VALUE(SUBSTITUTE(SUBSTITUTE(SUBSTITUTE(SUBSTITUTE(SUBSTITUTE(ASC(O270&amp;""),"約",""),"程度",""),"ほど",""),"分","")," ","")),"")))))</f>
        <v/>
      </c>
      <c r="AU270" s="34">
        <f>IF(P270="","",IF(ISNUMBER(P270),P270,IFERROR(VALUE(SUBSTITUTE(SUBSTITUTE(SUBSTITUTE(ASC(P270&amp;""),"約",""),"件","")," ","")),"")))</f>
        <v/>
      </c>
      <c r="AV270" s="34">
        <f>IF(AB270&lt;&gt;"OK","",IF(COUNTIFS($G$5:$G$404,G270&amp;"",$F$5:$F$404,F270&amp;"",$BE$5:$BE$404,BE270&amp;"",$AB$5:$AB$404,"OK")&gt;1,"同名あり",""))</f>
        <v/>
      </c>
      <c r="AW270" s="35">
        <f>IF(Q270="","",IF(ISNUMBER(Q270),Q270,IFERROR(DATEVALUE(SUBSTITUTE(SUBSTITUTE(ASC(Q270&amp;""),"-","/"),".","/")&amp;"/01"),"")))</f>
        <v/>
      </c>
      <c r="AX270" s="35">
        <f>IF(R270="","",IF(ISNUMBER(R270),R270,IFERROR(DATEVALUE(SUBSTITUTE(SUBSTITUTE(ASC(R270&amp;""),"-","/"),".","/")&amp;"/01"),"")))</f>
        <v/>
      </c>
      <c r="AY270" s="34">
        <f>IF(OR(AB270&lt;&gt;"OK",AW270=""),"",IF(AW270&gt;='01_設定'!$C$26,1,0))</f>
        <v/>
      </c>
      <c r="AZ270" s="34">
        <f>IF(AND(AB270="OK",AD270&lt;&gt;"除外"),COUNTIFS($AB$5:AB270,"OK",$AD$5:AD270,"&lt;&gt;除外"),"")</f>
        <v/>
      </c>
      <c r="BA270" s="34">
        <f>IF(OR(AZ270="",AI270=""),"",AI270+ROW()/1000000000)</f>
        <v/>
      </c>
      <c r="BB270" s="34">
        <f>IF(E270="","",IF(OR(TRIM(E270&amp;"")="-",TRIM(E270&amp;"")="－",TRIM(E270&amp;"")="ー"),"",TRIM(E270&amp;"")))</f>
        <v/>
      </c>
      <c r="BC270" s="34">
        <f>IF(AND(AB270="OK",BB270&lt;&gt;""),IF(COUNTIFS($BB$5:BB270,BB270,$AB$5:AB270,"OK")=1,1,""),"")</f>
        <v/>
      </c>
      <c r="BD270" s="34">
        <f>IF(BC270=1,COUNTIF($BC$5:BC270,1),"")</f>
        <v/>
      </c>
      <c r="BE270" s="34">
        <f>IF(BB270="","",IFERROR(INDEX('06_顧客別集計'!$G$5:$G$104,MATCH(BB270,'06_顧客別集計'!$C$5:$C$104,0)),BB270))</f>
        <v/>
      </c>
      <c r="BF270" s="34">
        <f>IF(AND(AZ270&lt;&gt;"",BE270&lt;&gt;""),IF(COUNTIFS($BE$5:BE270,BE270,$AZ$5:AZ270,"&gt;0")=1,1,""),"")</f>
        <v/>
      </c>
      <c r="BG270" s="34">
        <f>IF(BF270=1,COUNTIF($BF$5:BF270,1),"")</f>
        <v/>
      </c>
    </row>
    <row r="271">
      <c r="AB271">
        <f>IF(AND(A271="",G271=""),"",IF(ISNUMBER(SEARCH("##END",AM271)),"（終わりの印）",IF(ISNUMBER(SEARCH("##続き",AM271)),"（続きありの印）",IF(AM271="調査ID","（見出し行）",IF(AND(AM271&lt;&gt;"R1",AM271&lt;&gt;"R2"),"×表以外の行（集計されない）",IF(COUNTIF($AN$5:AN271,AN271)&gt;1,"△重複（集計されない）",IF(G271="","△タスク名なし",IF(ISNA(MATCH(AQ271,'M1_類型マスタ'!$A$5:$A$19,0)),"△類型が不正",IF(OR(AP271="",N(AP271)&lt;1,N(AP271)&gt;6),"△業務区分が不正",IF(OR(AS271="",AT271=""),"△回数・分が読めない",IF(SUMPRODUCT(--ISNUMBER(--T271:Z271))&lt;7,"△採点が足りない",IF(SUMPRODUCT((--T271:Z271&gt;2)+(--T271:Z271&lt;0))&gt;0,"△採点が範囲外","OK"))))))))))))</f>
        <v/>
      </c>
      <c r="AC271">
        <f>IF(AB271&lt;&gt;"OK","",TRIM(IF(AND(AU271&lt;&gt;"",N(AU271)&lt;=1),"根拠1件 ","")&amp;IF(AV271&lt;&gt;"","同名あり ","")&amp;IF(AND(NOT(ISNUMBER(N271)),N271&lt;&gt;""),"回数を換算 ","")&amp;IF(J271="","詳細なし ","")&amp;IF(AND(N(AP271)=1,BB271=""),"顧客名なし ","")))</f>
        <v/>
      </c>
      <c r="AD271" s="31" t="n"/>
      <c r="AE271" s="32" t="n"/>
      <c r="AF271" s="32" t="n"/>
      <c r="AG271" s="31" t="n"/>
      <c r="AH271">
        <f>IF(AB271&lt;&gt;"OK","",IF(AG271&lt;&gt;"",AG271,AJ271))</f>
        <v/>
      </c>
      <c r="AI271" s="33">
        <f>IF(AB271&lt;&gt;"OK","",IFERROR(IF(AE271&lt;&gt;"",AE271,AS271)*IF(AF271&lt;&gt;"",AF271,AT271)/60,""))</f>
        <v/>
      </c>
      <c r="AJ271">
        <f>IF(AB271&lt;&gt;"OK","",IF(OR(VALUE(T271)=2,VALUE(U271)=2,VALUE(V271)=2),"社内残置",IF(AND(VALUE(T271)=0,VALUE(W271)=0,VALUE(Y271)=0),"自動化候補",IF(AND(VALUE(U271)=0,VALUE(W271)&lt;=1,VALUE(X271)&lt;=1,VALUE(Y271)&lt;=1,VALUE(Z271)&lt;=1),"オフショア候補",IF(AND(VALUE(Y271)&lt;=1,VALUE(Z271)&lt;=1),"ニアショア候補","社内で手順化→再評価")))))</f>
        <v/>
      </c>
      <c r="AK271">
        <f>IF(AB271&lt;&gt;"OK","",14-SUMPRODUCT(--T271:Z271))</f>
        <v/>
      </c>
      <c r="AL271" s="33">
        <f>IF(AB271&lt;&gt;"OK","",AS271*AT271/60)</f>
        <v/>
      </c>
      <c r="AM271" s="34">
        <f>IF(A271="","",UPPER(TRIM(ASC(A271&amp;""))))</f>
        <v/>
      </c>
      <c r="AN271" s="34">
        <f>IF(AM271="","",AM271&amp;"-"&amp;B271)</f>
        <v/>
      </c>
      <c r="AO271" s="34">
        <f>IF(C271="","",IFERROR(VALUE(ASC(SUBSTITUTE(C271&amp;"","観点",""))),""))</f>
        <v/>
      </c>
      <c r="AP271" s="34">
        <f>IF(D271="","",IFERROR(VALUE(LEFT(TRIM(ASC(D271&amp;"")),1)),IFERROR(MATCH(TRIM(D271&amp;""),'M2_区分マスタ'!$I$5:$I$10,0),"")))</f>
        <v/>
      </c>
      <c r="AQ271" s="34">
        <f>IF(H271="","",UPPER(LEFT(TRIM(ASC(H271&amp;"")),3)))</f>
        <v/>
      </c>
      <c r="AR271" s="34">
        <f>IF(N271="","",IFERROR(VALUE(SUBSTITUTE(SUBSTITUTE(SUBSTITUTE(SUBSTITUTE(SUBSTITUTE(SUBSTITUTE(SUBSTITUTE(SUBSTITUTE(SUBSTITUTE(SUBSTITUTE(SUBSTITUTE(SUBSTITUTE(ASC(N271&amp;""),"約",""),"程度",""),"ほど",""),"回",""),"毎",""),"週",""),"月",""),"年",""),"日",""),"に",""),"/","")," ","")),""))</f>
        <v/>
      </c>
      <c r="AS271" s="34">
        <f>IF(N271="","",IF(ISNUMBER(N271),N271,IFERROR(VALUE(ASC(N271&amp;"")),IF(AR271&lt;&gt;"",AR271*IF(ISNUMBER(SEARCH("週",N271)),4.3,IF(ISNUMBER(SEARCH("年",N271)),1/12,IF(ISNUMBER(SEARCH("日",N271)),20,1))),IF(ISNUMBER(SEARCH("日",N271)),20,IF(ISNUMBER(SEARCH("週",N271)),4.3,IF(ISNUMBER(SEARCH("月",N271)),1,"")))))))</f>
        <v/>
      </c>
      <c r="AT271" s="34">
        <f>IF(O271="","",IF(ISNUMBER(O271),O271,IFERROR(VALUE(ASC(O271&amp;"")),IF(ISNUMBER(SEARCH("時間",O271)),IFERROR(VALUE(SUBSTITUTE(SUBSTITUTE(SUBSTITUTE(SUBSTITUTE(SUBSTITUTE(ASC(O271&amp;""),"約",""),"程度",""),"ほど",""),"時間","")," ",""))*60,""),IFERROR(VALUE(SUBSTITUTE(SUBSTITUTE(SUBSTITUTE(SUBSTITUTE(SUBSTITUTE(ASC(O271&amp;""),"約",""),"程度",""),"ほど",""),"分","")," ","")),"")))))</f>
        <v/>
      </c>
      <c r="AU271" s="34">
        <f>IF(P271="","",IF(ISNUMBER(P271),P271,IFERROR(VALUE(SUBSTITUTE(SUBSTITUTE(SUBSTITUTE(ASC(P271&amp;""),"約",""),"件","")," ","")),"")))</f>
        <v/>
      </c>
      <c r="AV271" s="34">
        <f>IF(AB271&lt;&gt;"OK","",IF(COUNTIFS($G$5:$G$404,G271&amp;"",$F$5:$F$404,F271&amp;"",$BE$5:$BE$404,BE271&amp;"",$AB$5:$AB$404,"OK")&gt;1,"同名あり",""))</f>
        <v/>
      </c>
      <c r="AW271" s="35">
        <f>IF(Q271="","",IF(ISNUMBER(Q271),Q271,IFERROR(DATEVALUE(SUBSTITUTE(SUBSTITUTE(ASC(Q271&amp;""),"-","/"),".","/")&amp;"/01"),"")))</f>
        <v/>
      </c>
      <c r="AX271" s="35">
        <f>IF(R271="","",IF(ISNUMBER(R271),R271,IFERROR(DATEVALUE(SUBSTITUTE(SUBSTITUTE(ASC(R271&amp;""),"-","/"),".","/")&amp;"/01"),"")))</f>
        <v/>
      </c>
      <c r="AY271" s="34">
        <f>IF(OR(AB271&lt;&gt;"OK",AW271=""),"",IF(AW271&gt;='01_設定'!$C$26,1,0))</f>
        <v/>
      </c>
      <c r="AZ271" s="34">
        <f>IF(AND(AB271="OK",AD271&lt;&gt;"除外"),COUNTIFS($AB$5:AB271,"OK",$AD$5:AD271,"&lt;&gt;除外"),"")</f>
        <v/>
      </c>
      <c r="BA271" s="34">
        <f>IF(OR(AZ271="",AI271=""),"",AI271+ROW()/1000000000)</f>
        <v/>
      </c>
      <c r="BB271" s="34">
        <f>IF(E271="","",IF(OR(TRIM(E271&amp;"")="-",TRIM(E271&amp;"")="－",TRIM(E271&amp;"")="ー"),"",TRIM(E271&amp;"")))</f>
        <v/>
      </c>
      <c r="BC271" s="34">
        <f>IF(AND(AB271="OK",BB271&lt;&gt;""),IF(COUNTIFS($BB$5:BB271,BB271,$AB$5:AB271,"OK")=1,1,""),"")</f>
        <v/>
      </c>
      <c r="BD271" s="34">
        <f>IF(BC271=1,COUNTIF($BC$5:BC271,1),"")</f>
        <v/>
      </c>
      <c r="BE271" s="34">
        <f>IF(BB271="","",IFERROR(INDEX('06_顧客別集計'!$G$5:$G$104,MATCH(BB271,'06_顧客別集計'!$C$5:$C$104,0)),BB271))</f>
        <v/>
      </c>
      <c r="BF271" s="34">
        <f>IF(AND(AZ271&lt;&gt;"",BE271&lt;&gt;""),IF(COUNTIFS($BE$5:BE271,BE271,$AZ$5:AZ271,"&gt;0")=1,1,""),"")</f>
        <v/>
      </c>
      <c r="BG271" s="34">
        <f>IF(BF271=1,COUNTIF($BF$5:BF271,1),"")</f>
        <v/>
      </c>
    </row>
    <row r="272">
      <c r="AB272">
        <f>IF(AND(A272="",G272=""),"",IF(ISNUMBER(SEARCH("##END",AM272)),"（終わりの印）",IF(ISNUMBER(SEARCH("##続き",AM272)),"（続きありの印）",IF(AM272="調査ID","（見出し行）",IF(AND(AM272&lt;&gt;"R1",AM272&lt;&gt;"R2"),"×表以外の行（集計されない）",IF(COUNTIF($AN$5:AN272,AN272)&gt;1,"△重複（集計されない）",IF(G272="","△タスク名なし",IF(ISNA(MATCH(AQ272,'M1_類型マスタ'!$A$5:$A$19,0)),"△類型が不正",IF(OR(AP272="",N(AP272)&lt;1,N(AP272)&gt;6),"△業務区分が不正",IF(OR(AS272="",AT272=""),"△回数・分が読めない",IF(SUMPRODUCT(--ISNUMBER(--T272:Z272))&lt;7,"△採点が足りない",IF(SUMPRODUCT((--T272:Z272&gt;2)+(--T272:Z272&lt;0))&gt;0,"△採点が範囲外","OK"))))))))))))</f>
        <v/>
      </c>
      <c r="AC272">
        <f>IF(AB272&lt;&gt;"OK","",TRIM(IF(AND(AU272&lt;&gt;"",N(AU272)&lt;=1),"根拠1件 ","")&amp;IF(AV272&lt;&gt;"","同名あり ","")&amp;IF(AND(NOT(ISNUMBER(N272)),N272&lt;&gt;""),"回数を換算 ","")&amp;IF(J272="","詳細なし ","")&amp;IF(AND(N(AP272)=1,BB272=""),"顧客名なし ","")))</f>
        <v/>
      </c>
      <c r="AD272" s="31" t="n"/>
      <c r="AE272" s="32" t="n"/>
      <c r="AF272" s="32" t="n"/>
      <c r="AG272" s="31" t="n"/>
      <c r="AH272">
        <f>IF(AB272&lt;&gt;"OK","",IF(AG272&lt;&gt;"",AG272,AJ272))</f>
        <v/>
      </c>
      <c r="AI272" s="33">
        <f>IF(AB272&lt;&gt;"OK","",IFERROR(IF(AE272&lt;&gt;"",AE272,AS272)*IF(AF272&lt;&gt;"",AF272,AT272)/60,""))</f>
        <v/>
      </c>
      <c r="AJ272">
        <f>IF(AB272&lt;&gt;"OK","",IF(OR(VALUE(T272)=2,VALUE(U272)=2,VALUE(V272)=2),"社内残置",IF(AND(VALUE(T272)=0,VALUE(W272)=0,VALUE(Y272)=0),"自動化候補",IF(AND(VALUE(U272)=0,VALUE(W272)&lt;=1,VALUE(X272)&lt;=1,VALUE(Y272)&lt;=1,VALUE(Z272)&lt;=1),"オフショア候補",IF(AND(VALUE(Y272)&lt;=1,VALUE(Z272)&lt;=1),"ニアショア候補","社内で手順化→再評価")))))</f>
        <v/>
      </c>
      <c r="AK272">
        <f>IF(AB272&lt;&gt;"OK","",14-SUMPRODUCT(--T272:Z272))</f>
        <v/>
      </c>
      <c r="AL272" s="33">
        <f>IF(AB272&lt;&gt;"OK","",AS272*AT272/60)</f>
        <v/>
      </c>
      <c r="AM272" s="34">
        <f>IF(A272="","",UPPER(TRIM(ASC(A272&amp;""))))</f>
        <v/>
      </c>
      <c r="AN272" s="34">
        <f>IF(AM272="","",AM272&amp;"-"&amp;B272)</f>
        <v/>
      </c>
      <c r="AO272" s="34">
        <f>IF(C272="","",IFERROR(VALUE(ASC(SUBSTITUTE(C272&amp;"","観点",""))),""))</f>
        <v/>
      </c>
      <c r="AP272" s="34">
        <f>IF(D272="","",IFERROR(VALUE(LEFT(TRIM(ASC(D272&amp;"")),1)),IFERROR(MATCH(TRIM(D272&amp;""),'M2_区分マスタ'!$I$5:$I$10,0),"")))</f>
        <v/>
      </c>
      <c r="AQ272" s="34">
        <f>IF(H272="","",UPPER(LEFT(TRIM(ASC(H272&amp;"")),3)))</f>
        <v/>
      </c>
      <c r="AR272" s="34">
        <f>IF(N272="","",IFERROR(VALUE(SUBSTITUTE(SUBSTITUTE(SUBSTITUTE(SUBSTITUTE(SUBSTITUTE(SUBSTITUTE(SUBSTITUTE(SUBSTITUTE(SUBSTITUTE(SUBSTITUTE(SUBSTITUTE(SUBSTITUTE(ASC(N272&amp;""),"約",""),"程度",""),"ほど",""),"回",""),"毎",""),"週",""),"月",""),"年",""),"日",""),"に",""),"/","")," ","")),""))</f>
        <v/>
      </c>
      <c r="AS272" s="34">
        <f>IF(N272="","",IF(ISNUMBER(N272),N272,IFERROR(VALUE(ASC(N272&amp;"")),IF(AR272&lt;&gt;"",AR272*IF(ISNUMBER(SEARCH("週",N272)),4.3,IF(ISNUMBER(SEARCH("年",N272)),1/12,IF(ISNUMBER(SEARCH("日",N272)),20,1))),IF(ISNUMBER(SEARCH("日",N272)),20,IF(ISNUMBER(SEARCH("週",N272)),4.3,IF(ISNUMBER(SEARCH("月",N272)),1,"")))))))</f>
        <v/>
      </c>
      <c r="AT272" s="34">
        <f>IF(O272="","",IF(ISNUMBER(O272),O272,IFERROR(VALUE(ASC(O272&amp;"")),IF(ISNUMBER(SEARCH("時間",O272)),IFERROR(VALUE(SUBSTITUTE(SUBSTITUTE(SUBSTITUTE(SUBSTITUTE(SUBSTITUTE(ASC(O272&amp;""),"約",""),"程度",""),"ほど",""),"時間","")," ",""))*60,""),IFERROR(VALUE(SUBSTITUTE(SUBSTITUTE(SUBSTITUTE(SUBSTITUTE(SUBSTITUTE(ASC(O272&amp;""),"約",""),"程度",""),"ほど",""),"分","")," ","")),"")))))</f>
        <v/>
      </c>
      <c r="AU272" s="34">
        <f>IF(P272="","",IF(ISNUMBER(P272),P272,IFERROR(VALUE(SUBSTITUTE(SUBSTITUTE(SUBSTITUTE(ASC(P272&amp;""),"約",""),"件","")," ","")),"")))</f>
        <v/>
      </c>
      <c r="AV272" s="34">
        <f>IF(AB272&lt;&gt;"OK","",IF(COUNTIFS($G$5:$G$404,G272&amp;"",$F$5:$F$404,F272&amp;"",$BE$5:$BE$404,BE272&amp;"",$AB$5:$AB$404,"OK")&gt;1,"同名あり",""))</f>
        <v/>
      </c>
      <c r="AW272" s="35">
        <f>IF(Q272="","",IF(ISNUMBER(Q272),Q272,IFERROR(DATEVALUE(SUBSTITUTE(SUBSTITUTE(ASC(Q272&amp;""),"-","/"),".","/")&amp;"/01"),"")))</f>
        <v/>
      </c>
      <c r="AX272" s="35">
        <f>IF(R272="","",IF(ISNUMBER(R272),R272,IFERROR(DATEVALUE(SUBSTITUTE(SUBSTITUTE(ASC(R272&amp;""),"-","/"),".","/")&amp;"/01"),"")))</f>
        <v/>
      </c>
      <c r="AY272" s="34">
        <f>IF(OR(AB272&lt;&gt;"OK",AW272=""),"",IF(AW272&gt;='01_設定'!$C$26,1,0))</f>
        <v/>
      </c>
      <c r="AZ272" s="34">
        <f>IF(AND(AB272="OK",AD272&lt;&gt;"除外"),COUNTIFS($AB$5:AB272,"OK",$AD$5:AD272,"&lt;&gt;除外"),"")</f>
        <v/>
      </c>
      <c r="BA272" s="34">
        <f>IF(OR(AZ272="",AI272=""),"",AI272+ROW()/1000000000)</f>
        <v/>
      </c>
      <c r="BB272" s="34">
        <f>IF(E272="","",IF(OR(TRIM(E272&amp;"")="-",TRIM(E272&amp;"")="－",TRIM(E272&amp;"")="ー"),"",TRIM(E272&amp;"")))</f>
        <v/>
      </c>
      <c r="BC272" s="34">
        <f>IF(AND(AB272="OK",BB272&lt;&gt;""),IF(COUNTIFS($BB$5:BB272,BB272,$AB$5:AB272,"OK")=1,1,""),"")</f>
        <v/>
      </c>
      <c r="BD272" s="34">
        <f>IF(BC272=1,COUNTIF($BC$5:BC272,1),"")</f>
        <v/>
      </c>
      <c r="BE272" s="34">
        <f>IF(BB272="","",IFERROR(INDEX('06_顧客別集計'!$G$5:$G$104,MATCH(BB272,'06_顧客別集計'!$C$5:$C$104,0)),BB272))</f>
        <v/>
      </c>
      <c r="BF272" s="34">
        <f>IF(AND(AZ272&lt;&gt;"",BE272&lt;&gt;""),IF(COUNTIFS($BE$5:BE272,BE272,$AZ$5:AZ272,"&gt;0")=1,1,""),"")</f>
        <v/>
      </c>
      <c r="BG272" s="34">
        <f>IF(BF272=1,COUNTIF($BF$5:BF272,1),"")</f>
        <v/>
      </c>
    </row>
    <row r="273">
      <c r="AB273">
        <f>IF(AND(A273="",G273=""),"",IF(ISNUMBER(SEARCH("##END",AM273)),"（終わりの印）",IF(ISNUMBER(SEARCH("##続き",AM273)),"（続きありの印）",IF(AM273="調査ID","（見出し行）",IF(AND(AM273&lt;&gt;"R1",AM273&lt;&gt;"R2"),"×表以外の行（集計されない）",IF(COUNTIF($AN$5:AN273,AN273)&gt;1,"△重複（集計されない）",IF(G273="","△タスク名なし",IF(ISNA(MATCH(AQ273,'M1_類型マスタ'!$A$5:$A$19,0)),"△類型が不正",IF(OR(AP273="",N(AP273)&lt;1,N(AP273)&gt;6),"△業務区分が不正",IF(OR(AS273="",AT273=""),"△回数・分が読めない",IF(SUMPRODUCT(--ISNUMBER(--T273:Z273))&lt;7,"△採点が足りない",IF(SUMPRODUCT((--T273:Z273&gt;2)+(--T273:Z273&lt;0))&gt;0,"△採点が範囲外","OK"))))))))))))</f>
        <v/>
      </c>
      <c r="AC273">
        <f>IF(AB273&lt;&gt;"OK","",TRIM(IF(AND(AU273&lt;&gt;"",N(AU273)&lt;=1),"根拠1件 ","")&amp;IF(AV273&lt;&gt;"","同名あり ","")&amp;IF(AND(NOT(ISNUMBER(N273)),N273&lt;&gt;""),"回数を換算 ","")&amp;IF(J273="","詳細なし ","")&amp;IF(AND(N(AP273)=1,BB273=""),"顧客名なし ","")))</f>
        <v/>
      </c>
      <c r="AD273" s="31" t="n"/>
      <c r="AE273" s="32" t="n"/>
      <c r="AF273" s="32" t="n"/>
      <c r="AG273" s="31" t="n"/>
      <c r="AH273">
        <f>IF(AB273&lt;&gt;"OK","",IF(AG273&lt;&gt;"",AG273,AJ273))</f>
        <v/>
      </c>
      <c r="AI273" s="33">
        <f>IF(AB273&lt;&gt;"OK","",IFERROR(IF(AE273&lt;&gt;"",AE273,AS273)*IF(AF273&lt;&gt;"",AF273,AT273)/60,""))</f>
        <v/>
      </c>
      <c r="AJ273">
        <f>IF(AB273&lt;&gt;"OK","",IF(OR(VALUE(T273)=2,VALUE(U273)=2,VALUE(V273)=2),"社内残置",IF(AND(VALUE(T273)=0,VALUE(W273)=0,VALUE(Y273)=0),"自動化候補",IF(AND(VALUE(U273)=0,VALUE(W273)&lt;=1,VALUE(X273)&lt;=1,VALUE(Y273)&lt;=1,VALUE(Z273)&lt;=1),"オフショア候補",IF(AND(VALUE(Y273)&lt;=1,VALUE(Z273)&lt;=1),"ニアショア候補","社内で手順化→再評価")))))</f>
        <v/>
      </c>
      <c r="AK273">
        <f>IF(AB273&lt;&gt;"OK","",14-SUMPRODUCT(--T273:Z273))</f>
        <v/>
      </c>
      <c r="AL273" s="33">
        <f>IF(AB273&lt;&gt;"OK","",AS273*AT273/60)</f>
        <v/>
      </c>
      <c r="AM273" s="34">
        <f>IF(A273="","",UPPER(TRIM(ASC(A273&amp;""))))</f>
        <v/>
      </c>
      <c r="AN273" s="34">
        <f>IF(AM273="","",AM273&amp;"-"&amp;B273)</f>
        <v/>
      </c>
      <c r="AO273" s="34">
        <f>IF(C273="","",IFERROR(VALUE(ASC(SUBSTITUTE(C273&amp;"","観点",""))),""))</f>
        <v/>
      </c>
      <c r="AP273" s="34">
        <f>IF(D273="","",IFERROR(VALUE(LEFT(TRIM(ASC(D273&amp;"")),1)),IFERROR(MATCH(TRIM(D273&amp;""),'M2_区分マスタ'!$I$5:$I$10,0),"")))</f>
        <v/>
      </c>
      <c r="AQ273" s="34">
        <f>IF(H273="","",UPPER(LEFT(TRIM(ASC(H273&amp;"")),3)))</f>
        <v/>
      </c>
      <c r="AR273" s="34">
        <f>IF(N273="","",IFERROR(VALUE(SUBSTITUTE(SUBSTITUTE(SUBSTITUTE(SUBSTITUTE(SUBSTITUTE(SUBSTITUTE(SUBSTITUTE(SUBSTITUTE(SUBSTITUTE(SUBSTITUTE(SUBSTITUTE(SUBSTITUTE(ASC(N273&amp;""),"約",""),"程度",""),"ほど",""),"回",""),"毎",""),"週",""),"月",""),"年",""),"日",""),"に",""),"/","")," ","")),""))</f>
        <v/>
      </c>
      <c r="AS273" s="34">
        <f>IF(N273="","",IF(ISNUMBER(N273),N273,IFERROR(VALUE(ASC(N273&amp;"")),IF(AR273&lt;&gt;"",AR273*IF(ISNUMBER(SEARCH("週",N273)),4.3,IF(ISNUMBER(SEARCH("年",N273)),1/12,IF(ISNUMBER(SEARCH("日",N273)),20,1))),IF(ISNUMBER(SEARCH("日",N273)),20,IF(ISNUMBER(SEARCH("週",N273)),4.3,IF(ISNUMBER(SEARCH("月",N273)),1,"")))))))</f>
        <v/>
      </c>
      <c r="AT273" s="34">
        <f>IF(O273="","",IF(ISNUMBER(O273),O273,IFERROR(VALUE(ASC(O273&amp;"")),IF(ISNUMBER(SEARCH("時間",O273)),IFERROR(VALUE(SUBSTITUTE(SUBSTITUTE(SUBSTITUTE(SUBSTITUTE(SUBSTITUTE(ASC(O273&amp;""),"約",""),"程度",""),"ほど",""),"時間","")," ",""))*60,""),IFERROR(VALUE(SUBSTITUTE(SUBSTITUTE(SUBSTITUTE(SUBSTITUTE(SUBSTITUTE(ASC(O273&amp;""),"約",""),"程度",""),"ほど",""),"分","")," ","")),"")))))</f>
        <v/>
      </c>
      <c r="AU273" s="34">
        <f>IF(P273="","",IF(ISNUMBER(P273),P273,IFERROR(VALUE(SUBSTITUTE(SUBSTITUTE(SUBSTITUTE(ASC(P273&amp;""),"約",""),"件","")," ","")),"")))</f>
        <v/>
      </c>
      <c r="AV273" s="34">
        <f>IF(AB273&lt;&gt;"OK","",IF(COUNTIFS($G$5:$G$404,G273&amp;"",$F$5:$F$404,F273&amp;"",$BE$5:$BE$404,BE273&amp;"",$AB$5:$AB$404,"OK")&gt;1,"同名あり",""))</f>
        <v/>
      </c>
      <c r="AW273" s="35">
        <f>IF(Q273="","",IF(ISNUMBER(Q273),Q273,IFERROR(DATEVALUE(SUBSTITUTE(SUBSTITUTE(ASC(Q273&amp;""),"-","/"),".","/")&amp;"/01"),"")))</f>
        <v/>
      </c>
      <c r="AX273" s="35">
        <f>IF(R273="","",IF(ISNUMBER(R273),R273,IFERROR(DATEVALUE(SUBSTITUTE(SUBSTITUTE(ASC(R273&amp;""),"-","/"),".","/")&amp;"/01"),"")))</f>
        <v/>
      </c>
      <c r="AY273" s="34">
        <f>IF(OR(AB273&lt;&gt;"OK",AW273=""),"",IF(AW273&gt;='01_設定'!$C$26,1,0))</f>
        <v/>
      </c>
      <c r="AZ273" s="34">
        <f>IF(AND(AB273="OK",AD273&lt;&gt;"除外"),COUNTIFS($AB$5:AB273,"OK",$AD$5:AD273,"&lt;&gt;除外"),"")</f>
        <v/>
      </c>
      <c r="BA273" s="34">
        <f>IF(OR(AZ273="",AI273=""),"",AI273+ROW()/1000000000)</f>
        <v/>
      </c>
      <c r="BB273" s="34">
        <f>IF(E273="","",IF(OR(TRIM(E273&amp;"")="-",TRIM(E273&amp;"")="－",TRIM(E273&amp;"")="ー"),"",TRIM(E273&amp;"")))</f>
        <v/>
      </c>
      <c r="BC273" s="34">
        <f>IF(AND(AB273="OK",BB273&lt;&gt;""),IF(COUNTIFS($BB$5:BB273,BB273,$AB$5:AB273,"OK")=1,1,""),"")</f>
        <v/>
      </c>
      <c r="BD273" s="34">
        <f>IF(BC273=1,COUNTIF($BC$5:BC273,1),"")</f>
        <v/>
      </c>
      <c r="BE273" s="34">
        <f>IF(BB273="","",IFERROR(INDEX('06_顧客別集計'!$G$5:$G$104,MATCH(BB273,'06_顧客別集計'!$C$5:$C$104,0)),BB273))</f>
        <v/>
      </c>
      <c r="BF273" s="34">
        <f>IF(AND(AZ273&lt;&gt;"",BE273&lt;&gt;""),IF(COUNTIFS($BE$5:BE273,BE273,$AZ$5:AZ273,"&gt;0")=1,1,""),"")</f>
        <v/>
      </c>
      <c r="BG273" s="34">
        <f>IF(BF273=1,COUNTIF($BF$5:BF273,1),"")</f>
        <v/>
      </c>
    </row>
    <row r="274">
      <c r="AB274">
        <f>IF(AND(A274="",G274=""),"",IF(ISNUMBER(SEARCH("##END",AM274)),"（終わりの印）",IF(ISNUMBER(SEARCH("##続き",AM274)),"（続きありの印）",IF(AM274="調査ID","（見出し行）",IF(AND(AM274&lt;&gt;"R1",AM274&lt;&gt;"R2"),"×表以外の行（集計されない）",IF(COUNTIF($AN$5:AN274,AN274)&gt;1,"△重複（集計されない）",IF(G274="","△タスク名なし",IF(ISNA(MATCH(AQ274,'M1_類型マスタ'!$A$5:$A$19,0)),"△類型が不正",IF(OR(AP274="",N(AP274)&lt;1,N(AP274)&gt;6),"△業務区分が不正",IF(OR(AS274="",AT274=""),"△回数・分が読めない",IF(SUMPRODUCT(--ISNUMBER(--T274:Z274))&lt;7,"△採点が足りない",IF(SUMPRODUCT((--T274:Z274&gt;2)+(--T274:Z274&lt;0))&gt;0,"△採点が範囲外","OK"))))))))))))</f>
        <v/>
      </c>
      <c r="AC274">
        <f>IF(AB274&lt;&gt;"OK","",TRIM(IF(AND(AU274&lt;&gt;"",N(AU274)&lt;=1),"根拠1件 ","")&amp;IF(AV274&lt;&gt;"","同名あり ","")&amp;IF(AND(NOT(ISNUMBER(N274)),N274&lt;&gt;""),"回数を換算 ","")&amp;IF(J274="","詳細なし ","")&amp;IF(AND(N(AP274)=1,BB274=""),"顧客名なし ","")))</f>
        <v/>
      </c>
      <c r="AD274" s="31" t="n"/>
      <c r="AE274" s="32" t="n"/>
      <c r="AF274" s="32" t="n"/>
      <c r="AG274" s="31" t="n"/>
      <c r="AH274">
        <f>IF(AB274&lt;&gt;"OK","",IF(AG274&lt;&gt;"",AG274,AJ274))</f>
        <v/>
      </c>
      <c r="AI274" s="33">
        <f>IF(AB274&lt;&gt;"OK","",IFERROR(IF(AE274&lt;&gt;"",AE274,AS274)*IF(AF274&lt;&gt;"",AF274,AT274)/60,""))</f>
        <v/>
      </c>
      <c r="AJ274">
        <f>IF(AB274&lt;&gt;"OK","",IF(OR(VALUE(T274)=2,VALUE(U274)=2,VALUE(V274)=2),"社内残置",IF(AND(VALUE(T274)=0,VALUE(W274)=0,VALUE(Y274)=0),"自動化候補",IF(AND(VALUE(U274)=0,VALUE(W274)&lt;=1,VALUE(X274)&lt;=1,VALUE(Y274)&lt;=1,VALUE(Z274)&lt;=1),"オフショア候補",IF(AND(VALUE(Y274)&lt;=1,VALUE(Z274)&lt;=1),"ニアショア候補","社内で手順化→再評価")))))</f>
        <v/>
      </c>
      <c r="AK274">
        <f>IF(AB274&lt;&gt;"OK","",14-SUMPRODUCT(--T274:Z274))</f>
        <v/>
      </c>
      <c r="AL274" s="33">
        <f>IF(AB274&lt;&gt;"OK","",AS274*AT274/60)</f>
        <v/>
      </c>
      <c r="AM274" s="34">
        <f>IF(A274="","",UPPER(TRIM(ASC(A274&amp;""))))</f>
        <v/>
      </c>
      <c r="AN274" s="34">
        <f>IF(AM274="","",AM274&amp;"-"&amp;B274)</f>
        <v/>
      </c>
      <c r="AO274" s="34">
        <f>IF(C274="","",IFERROR(VALUE(ASC(SUBSTITUTE(C274&amp;"","観点",""))),""))</f>
        <v/>
      </c>
      <c r="AP274" s="34">
        <f>IF(D274="","",IFERROR(VALUE(LEFT(TRIM(ASC(D274&amp;"")),1)),IFERROR(MATCH(TRIM(D274&amp;""),'M2_区分マスタ'!$I$5:$I$10,0),"")))</f>
        <v/>
      </c>
      <c r="AQ274" s="34">
        <f>IF(H274="","",UPPER(LEFT(TRIM(ASC(H274&amp;"")),3)))</f>
        <v/>
      </c>
      <c r="AR274" s="34">
        <f>IF(N274="","",IFERROR(VALUE(SUBSTITUTE(SUBSTITUTE(SUBSTITUTE(SUBSTITUTE(SUBSTITUTE(SUBSTITUTE(SUBSTITUTE(SUBSTITUTE(SUBSTITUTE(SUBSTITUTE(SUBSTITUTE(SUBSTITUTE(ASC(N274&amp;""),"約",""),"程度",""),"ほど",""),"回",""),"毎",""),"週",""),"月",""),"年",""),"日",""),"に",""),"/","")," ","")),""))</f>
        <v/>
      </c>
      <c r="AS274" s="34">
        <f>IF(N274="","",IF(ISNUMBER(N274),N274,IFERROR(VALUE(ASC(N274&amp;"")),IF(AR274&lt;&gt;"",AR274*IF(ISNUMBER(SEARCH("週",N274)),4.3,IF(ISNUMBER(SEARCH("年",N274)),1/12,IF(ISNUMBER(SEARCH("日",N274)),20,1))),IF(ISNUMBER(SEARCH("日",N274)),20,IF(ISNUMBER(SEARCH("週",N274)),4.3,IF(ISNUMBER(SEARCH("月",N274)),1,"")))))))</f>
        <v/>
      </c>
      <c r="AT274" s="34">
        <f>IF(O274="","",IF(ISNUMBER(O274),O274,IFERROR(VALUE(ASC(O274&amp;"")),IF(ISNUMBER(SEARCH("時間",O274)),IFERROR(VALUE(SUBSTITUTE(SUBSTITUTE(SUBSTITUTE(SUBSTITUTE(SUBSTITUTE(ASC(O274&amp;""),"約",""),"程度",""),"ほど",""),"時間","")," ",""))*60,""),IFERROR(VALUE(SUBSTITUTE(SUBSTITUTE(SUBSTITUTE(SUBSTITUTE(SUBSTITUTE(ASC(O274&amp;""),"約",""),"程度",""),"ほど",""),"分","")," ","")),"")))))</f>
        <v/>
      </c>
      <c r="AU274" s="34">
        <f>IF(P274="","",IF(ISNUMBER(P274),P274,IFERROR(VALUE(SUBSTITUTE(SUBSTITUTE(SUBSTITUTE(ASC(P274&amp;""),"約",""),"件","")," ","")),"")))</f>
        <v/>
      </c>
      <c r="AV274" s="34">
        <f>IF(AB274&lt;&gt;"OK","",IF(COUNTIFS($G$5:$G$404,G274&amp;"",$F$5:$F$404,F274&amp;"",$BE$5:$BE$404,BE274&amp;"",$AB$5:$AB$404,"OK")&gt;1,"同名あり",""))</f>
        <v/>
      </c>
      <c r="AW274" s="35">
        <f>IF(Q274="","",IF(ISNUMBER(Q274),Q274,IFERROR(DATEVALUE(SUBSTITUTE(SUBSTITUTE(ASC(Q274&amp;""),"-","/"),".","/")&amp;"/01"),"")))</f>
        <v/>
      </c>
      <c r="AX274" s="35">
        <f>IF(R274="","",IF(ISNUMBER(R274),R274,IFERROR(DATEVALUE(SUBSTITUTE(SUBSTITUTE(ASC(R274&amp;""),"-","/"),".","/")&amp;"/01"),"")))</f>
        <v/>
      </c>
      <c r="AY274" s="34">
        <f>IF(OR(AB274&lt;&gt;"OK",AW274=""),"",IF(AW274&gt;='01_設定'!$C$26,1,0))</f>
        <v/>
      </c>
      <c r="AZ274" s="34">
        <f>IF(AND(AB274="OK",AD274&lt;&gt;"除外"),COUNTIFS($AB$5:AB274,"OK",$AD$5:AD274,"&lt;&gt;除外"),"")</f>
        <v/>
      </c>
      <c r="BA274" s="34">
        <f>IF(OR(AZ274="",AI274=""),"",AI274+ROW()/1000000000)</f>
        <v/>
      </c>
      <c r="BB274" s="34">
        <f>IF(E274="","",IF(OR(TRIM(E274&amp;"")="-",TRIM(E274&amp;"")="－",TRIM(E274&amp;"")="ー"),"",TRIM(E274&amp;"")))</f>
        <v/>
      </c>
      <c r="BC274" s="34">
        <f>IF(AND(AB274="OK",BB274&lt;&gt;""),IF(COUNTIFS($BB$5:BB274,BB274,$AB$5:AB274,"OK")=1,1,""),"")</f>
        <v/>
      </c>
      <c r="BD274" s="34">
        <f>IF(BC274=1,COUNTIF($BC$5:BC274,1),"")</f>
        <v/>
      </c>
      <c r="BE274" s="34">
        <f>IF(BB274="","",IFERROR(INDEX('06_顧客別集計'!$G$5:$G$104,MATCH(BB274,'06_顧客別集計'!$C$5:$C$104,0)),BB274))</f>
        <v/>
      </c>
      <c r="BF274" s="34">
        <f>IF(AND(AZ274&lt;&gt;"",BE274&lt;&gt;""),IF(COUNTIFS($BE$5:BE274,BE274,$AZ$5:AZ274,"&gt;0")=1,1,""),"")</f>
        <v/>
      </c>
      <c r="BG274" s="34">
        <f>IF(BF274=1,COUNTIF($BF$5:BF274,1),"")</f>
        <v/>
      </c>
    </row>
    <row r="275">
      <c r="AB275">
        <f>IF(AND(A275="",G275=""),"",IF(ISNUMBER(SEARCH("##END",AM275)),"（終わりの印）",IF(ISNUMBER(SEARCH("##続き",AM275)),"（続きありの印）",IF(AM275="調査ID","（見出し行）",IF(AND(AM275&lt;&gt;"R1",AM275&lt;&gt;"R2"),"×表以外の行（集計されない）",IF(COUNTIF($AN$5:AN275,AN275)&gt;1,"△重複（集計されない）",IF(G275="","△タスク名なし",IF(ISNA(MATCH(AQ275,'M1_類型マスタ'!$A$5:$A$19,0)),"△類型が不正",IF(OR(AP275="",N(AP275)&lt;1,N(AP275)&gt;6),"△業務区分が不正",IF(OR(AS275="",AT275=""),"△回数・分が読めない",IF(SUMPRODUCT(--ISNUMBER(--T275:Z275))&lt;7,"△採点が足りない",IF(SUMPRODUCT((--T275:Z275&gt;2)+(--T275:Z275&lt;0))&gt;0,"△採点が範囲外","OK"))))))))))))</f>
        <v/>
      </c>
      <c r="AC275">
        <f>IF(AB275&lt;&gt;"OK","",TRIM(IF(AND(AU275&lt;&gt;"",N(AU275)&lt;=1),"根拠1件 ","")&amp;IF(AV275&lt;&gt;"","同名あり ","")&amp;IF(AND(NOT(ISNUMBER(N275)),N275&lt;&gt;""),"回数を換算 ","")&amp;IF(J275="","詳細なし ","")&amp;IF(AND(N(AP275)=1,BB275=""),"顧客名なし ","")))</f>
        <v/>
      </c>
      <c r="AD275" s="31" t="n"/>
      <c r="AE275" s="32" t="n"/>
      <c r="AF275" s="32" t="n"/>
      <c r="AG275" s="31" t="n"/>
      <c r="AH275">
        <f>IF(AB275&lt;&gt;"OK","",IF(AG275&lt;&gt;"",AG275,AJ275))</f>
        <v/>
      </c>
      <c r="AI275" s="33">
        <f>IF(AB275&lt;&gt;"OK","",IFERROR(IF(AE275&lt;&gt;"",AE275,AS275)*IF(AF275&lt;&gt;"",AF275,AT275)/60,""))</f>
        <v/>
      </c>
      <c r="AJ275">
        <f>IF(AB275&lt;&gt;"OK","",IF(OR(VALUE(T275)=2,VALUE(U275)=2,VALUE(V275)=2),"社内残置",IF(AND(VALUE(T275)=0,VALUE(W275)=0,VALUE(Y275)=0),"自動化候補",IF(AND(VALUE(U275)=0,VALUE(W275)&lt;=1,VALUE(X275)&lt;=1,VALUE(Y275)&lt;=1,VALUE(Z275)&lt;=1),"オフショア候補",IF(AND(VALUE(Y275)&lt;=1,VALUE(Z275)&lt;=1),"ニアショア候補","社内で手順化→再評価")))))</f>
        <v/>
      </c>
      <c r="AK275">
        <f>IF(AB275&lt;&gt;"OK","",14-SUMPRODUCT(--T275:Z275))</f>
        <v/>
      </c>
      <c r="AL275" s="33">
        <f>IF(AB275&lt;&gt;"OK","",AS275*AT275/60)</f>
        <v/>
      </c>
      <c r="AM275" s="34">
        <f>IF(A275="","",UPPER(TRIM(ASC(A275&amp;""))))</f>
        <v/>
      </c>
      <c r="AN275" s="34">
        <f>IF(AM275="","",AM275&amp;"-"&amp;B275)</f>
        <v/>
      </c>
      <c r="AO275" s="34">
        <f>IF(C275="","",IFERROR(VALUE(ASC(SUBSTITUTE(C275&amp;"","観点",""))),""))</f>
        <v/>
      </c>
      <c r="AP275" s="34">
        <f>IF(D275="","",IFERROR(VALUE(LEFT(TRIM(ASC(D275&amp;"")),1)),IFERROR(MATCH(TRIM(D275&amp;""),'M2_区分マスタ'!$I$5:$I$10,0),"")))</f>
        <v/>
      </c>
      <c r="AQ275" s="34">
        <f>IF(H275="","",UPPER(LEFT(TRIM(ASC(H275&amp;"")),3)))</f>
        <v/>
      </c>
      <c r="AR275" s="34">
        <f>IF(N275="","",IFERROR(VALUE(SUBSTITUTE(SUBSTITUTE(SUBSTITUTE(SUBSTITUTE(SUBSTITUTE(SUBSTITUTE(SUBSTITUTE(SUBSTITUTE(SUBSTITUTE(SUBSTITUTE(SUBSTITUTE(SUBSTITUTE(ASC(N275&amp;""),"約",""),"程度",""),"ほど",""),"回",""),"毎",""),"週",""),"月",""),"年",""),"日",""),"に",""),"/","")," ","")),""))</f>
        <v/>
      </c>
      <c r="AS275" s="34">
        <f>IF(N275="","",IF(ISNUMBER(N275),N275,IFERROR(VALUE(ASC(N275&amp;"")),IF(AR275&lt;&gt;"",AR275*IF(ISNUMBER(SEARCH("週",N275)),4.3,IF(ISNUMBER(SEARCH("年",N275)),1/12,IF(ISNUMBER(SEARCH("日",N275)),20,1))),IF(ISNUMBER(SEARCH("日",N275)),20,IF(ISNUMBER(SEARCH("週",N275)),4.3,IF(ISNUMBER(SEARCH("月",N275)),1,"")))))))</f>
        <v/>
      </c>
      <c r="AT275" s="34">
        <f>IF(O275="","",IF(ISNUMBER(O275),O275,IFERROR(VALUE(ASC(O275&amp;"")),IF(ISNUMBER(SEARCH("時間",O275)),IFERROR(VALUE(SUBSTITUTE(SUBSTITUTE(SUBSTITUTE(SUBSTITUTE(SUBSTITUTE(ASC(O275&amp;""),"約",""),"程度",""),"ほど",""),"時間","")," ",""))*60,""),IFERROR(VALUE(SUBSTITUTE(SUBSTITUTE(SUBSTITUTE(SUBSTITUTE(SUBSTITUTE(ASC(O275&amp;""),"約",""),"程度",""),"ほど",""),"分","")," ","")),"")))))</f>
        <v/>
      </c>
      <c r="AU275" s="34">
        <f>IF(P275="","",IF(ISNUMBER(P275),P275,IFERROR(VALUE(SUBSTITUTE(SUBSTITUTE(SUBSTITUTE(ASC(P275&amp;""),"約",""),"件","")," ","")),"")))</f>
        <v/>
      </c>
      <c r="AV275" s="34">
        <f>IF(AB275&lt;&gt;"OK","",IF(COUNTIFS($G$5:$G$404,G275&amp;"",$F$5:$F$404,F275&amp;"",$BE$5:$BE$404,BE275&amp;"",$AB$5:$AB$404,"OK")&gt;1,"同名あり",""))</f>
        <v/>
      </c>
      <c r="AW275" s="35">
        <f>IF(Q275="","",IF(ISNUMBER(Q275),Q275,IFERROR(DATEVALUE(SUBSTITUTE(SUBSTITUTE(ASC(Q275&amp;""),"-","/"),".","/")&amp;"/01"),"")))</f>
        <v/>
      </c>
      <c r="AX275" s="35">
        <f>IF(R275="","",IF(ISNUMBER(R275),R275,IFERROR(DATEVALUE(SUBSTITUTE(SUBSTITUTE(ASC(R275&amp;""),"-","/"),".","/")&amp;"/01"),"")))</f>
        <v/>
      </c>
      <c r="AY275" s="34">
        <f>IF(OR(AB275&lt;&gt;"OK",AW275=""),"",IF(AW275&gt;='01_設定'!$C$26,1,0))</f>
        <v/>
      </c>
      <c r="AZ275" s="34">
        <f>IF(AND(AB275="OK",AD275&lt;&gt;"除外"),COUNTIFS($AB$5:AB275,"OK",$AD$5:AD275,"&lt;&gt;除外"),"")</f>
        <v/>
      </c>
      <c r="BA275" s="34">
        <f>IF(OR(AZ275="",AI275=""),"",AI275+ROW()/1000000000)</f>
        <v/>
      </c>
      <c r="BB275" s="34">
        <f>IF(E275="","",IF(OR(TRIM(E275&amp;"")="-",TRIM(E275&amp;"")="－",TRIM(E275&amp;"")="ー"),"",TRIM(E275&amp;"")))</f>
        <v/>
      </c>
      <c r="BC275" s="34">
        <f>IF(AND(AB275="OK",BB275&lt;&gt;""),IF(COUNTIFS($BB$5:BB275,BB275,$AB$5:AB275,"OK")=1,1,""),"")</f>
        <v/>
      </c>
      <c r="BD275" s="34">
        <f>IF(BC275=1,COUNTIF($BC$5:BC275,1),"")</f>
        <v/>
      </c>
      <c r="BE275" s="34">
        <f>IF(BB275="","",IFERROR(INDEX('06_顧客別集計'!$G$5:$G$104,MATCH(BB275,'06_顧客別集計'!$C$5:$C$104,0)),BB275))</f>
        <v/>
      </c>
      <c r="BF275" s="34">
        <f>IF(AND(AZ275&lt;&gt;"",BE275&lt;&gt;""),IF(COUNTIFS($BE$5:BE275,BE275,$AZ$5:AZ275,"&gt;0")=1,1,""),"")</f>
        <v/>
      </c>
      <c r="BG275" s="34">
        <f>IF(BF275=1,COUNTIF($BF$5:BF275,1),"")</f>
        <v/>
      </c>
    </row>
    <row r="276">
      <c r="AB276">
        <f>IF(AND(A276="",G276=""),"",IF(ISNUMBER(SEARCH("##END",AM276)),"（終わりの印）",IF(ISNUMBER(SEARCH("##続き",AM276)),"（続きありの印）",IF(AM276="調査ID","（見出し行）",IF(AND(AM276&lt;&gt;"R1",AM276&lt;&gt;"R2"),"×表以外の行（集計されない）",IF(COUNTIF($AN$5:AN276,AN276)&gt;1,"△重複（集計されない）",IF(G276="","△タスク名なし",IF(ISNA(MATCH(AQ276,'M1_類型マスタ'!$A$5:$A$19,0)),"△類型が不正",IF(OR(AP276="",N(AP276)&lt;1,N(AP276)&gt;6),"△業務区分が不正",IF(OR(AS276="",AT276=""),"△回数・分が読めない",IF(SUMPRODUCT(--ISNUMBER(--T276:Z276))&lt;7,"△採点が足りない",IF(SUMPRODUCT((--T276:Z276&gt;2)+(--T276:Z276&lt;0))&gt;0,"△採点が範囲外","OK"))))))))))))</f>
        <v/>
      </c>
      <c r="AC276">
        <f>IF(AB276&lt;&gt;"OK","",TRIM(IF(AND(AU276&lt;&gt;"",N(AU276)&lt;=1),"根拠1件 ","")&amp;IF(AV276&lt;&gt;"","同名あり ","")&amp;IF(AND(NOT(ISNUMBER(N276)),N276&lt;&gt;""),"回数を換算 ","")&amp;IF(J276="","詳細なし ","")&amp;IF(AND(N(AP276)=1,BB276=""),"顧客名なし ","")))</f>
        <v/>
      </c>
      <c r="AD276" s="31" t="n"/>
      <c r="AE276" s="32" t="n"/>
      <c r="AF276" s="32" t="n"/>
      <c r="AG276" s="31" t="n"/>
      <c r="AH276">
        <f>IF(AB276&lt;&gt;"OK","",IF(AG276&lt;&gt;"",AG276,AJ276))</f>
        <v/>
      </c>
      <c r="AI276" s="33">
        <f>IF(AB276&lt;&gt;"OK","",IFERROR(IF(AE276&lt;&gt;"",AE276,AS276)*IF(AF276&lt;&gt;"",AF276,AT276)/60,""))</f>
        <v/>
      </c>
      <c r="AJ276">
        <f>IF(AB276&lt;&gt;"OK","",IF(OR(VALUE(T276)=2,VALUE(U276)=2,VALUE(V276)=2),"社内残置",IF(AND(VALUE(T276)=0,VALUE(W276)=0,VALUE(Y276)=0),"自動化候補",IF(AND(VALUE(U276)=0,VALUE(W276)&lt;=1,VALUE(X276)&lt;=1,VALUE(Y276)&lt;=1,VALUE(Z276)&lt;=1),"オフショア候補",IF(AND(VALUE(Y276)&lt;=1,VALUE(Z276)&lt;=1),"ニアショア候補","社内で手順化→再評価")))))</f>
        <v/>
      </c>
      <c r="AK276">
        <f>IF(AB276&lt;&gt;"OK","",14-SUMPRODUCT(--T276:Z276))</f>
        <v/>
      </c>
      <c r="AL276" s="33">
        <f>IF(AB276&lt;&gt;"OK","",AS276*AT276/60)</f>
        <v/>
      </c>
      <c r="AM276" s="34">
        <f>IF(A276="","",UPPER(TRIM(ASC(A276&amp;""))))</f>
        <v/>
      </c>
      <c r="AN276" s="34">
        <f>IF(AM276="","",AM276&amp;"-"&amp;B276)</f>
        <v/>
      </c>
      <c r="AO276" s="34">
        <f>IF(C276="","",IFERROR(VALUE(ASC(SUBSTITUTE(C276&amp;"","観点",""))),""))</f>
        <v/>
      </c>
      <c r="AP276" s="34">
        <f>IF(D276="","",IFERROR(VALUE(LEFT(TRIM(ASC(D276&amp;"")),1)),IFERROR(MATCH(TRIM(D276&amp;""),'M2_区分マスタ'!$I$5:$I$10,0),"")))</f>
        <v/>
      </c>
      <c r="AQ276" s="34">
        <f>IF(H276="","",UPPER(LEFT(TRIM(ASC(H276&amp;"")),3)))</f>
        <v/>
      </c>
      <c r="AR276" s="34">
        <f>IF(N276="","",IFERROR(VALUE(SUBSTITUTE(SUBSTITUTE(SUBSTITUTE(SUBSTITUTE(SUBSTITUTE(SUBSTITUTE(SUBSTITUTE(SUBSTITUTE(SUBSTITUTE(SUBSTITUTE(SUBSTITUTE(SUBSTITUTE(ASC(N276&amp;""),"約",""),"程度",""),"ほど",""),"回",""),"毎",""),"週",""),"月",""),"年",""),"日",""),"に",""),"/","")," ","")),""))</f>
        <v/>
      </c>
      <c r="AS276" s="34">
        <f>IF(N276="","",IF(ISNUMBER(N276),N276,IFERROR(VALUE(ASC(N276&amp;"")),IF(AR276&lt;&gt;"",AR276*IF(ISNUMBER(SEARCH("週",N276)),4.3,IF(ISNUMBER(SEARCH("年",N276)),1/12,IF(ISNUMBER(SEARCH("日",N276)),20,1))),IF(ISNUMBER(SEARCH("日",N276)),20,IF(ISNUMBER(SEARCH("週",N276)),4.3,IF(ISNUMBER(SEARCH("月",N276)),1,"")))))))</f>
        <v/>
      </c>
      <c r="AT276" s="34">
        <f>IF(O276="","",IF(ISNUMBER(O276),O276,IFERROR(VALUE(ASC(O276&amp;"")),IF(ISNUMBER(SEARCH("時間",O276)),IFERROR(VALUE(SUBSTITUTE(SUBSTITUTE(SUBSTITUTE(SUBSTITUTE(SUBSTITUTE(ASC(O276&amp;""),"約",""),"程度",""),"ほど",""),"時間","")," ",""))*60,""),IFERROR(VALUE(SUBSTITUTE(SUBSTITUTE(SUBSTITUTE(SUBSTITUTE(SUBSTITUTE(ASC(O276&amp;""),"約",""),"程度",""),"ほど",""),"分","")," ","")),"")))))</f>
        <v/>
      </c>
      <c r="AU276" s="34">
        <f>IF(P276="","",IF(ISNUMBER(P276),P276,IFERROR(VALUE(SUBSTITUTE(SUBSTITUTE(SUBSTITUTE(ASC(P276&amp;""),"約",""),"件","")," ","")),"")))</f>
        <v/>
      </c>
      <c r="AV276" s="34">
        <f>IF(AB276&lt;&gt;"OK","",IF(COUNTIFS($G$5:$G$404,G276&amp;"",$F$5:$F$404,F276&amp;"",$BE$5:$BE$404,BE276&amp;"",$AB$5:$AB$404,"OK")&gt;1,"同名あり",""))</f>
        <v/>
      </c>
      <c r="AW276" s="35">
        <f>IF(Q276="","",IF(ISNUMBER(Q276),Q276,IFERROR(DATEVALUE(SUBSTITUTE(SUBSTITUTE(ASC(Q276&amp;""),"-","/"),".","/")&amp;"/01"),"")))</f>
        <v/>
      </c>
      <c r="AX276" s="35">
        <f>IF(R276="","",IF(ISNUMBER(R276),R276,IFERROR(DATEVALUE(SUBSTITUTE(SUBSTITUTE(ASC(R276&amp;""),"-","/"),".","/")&amp;"/01"),"")))</f>
        <v/>
      </c>
      <c r="AY276" s="34">
        <f>IF(OR(AB276&lt;&gt;"OK",AW276=""),"",IF(AW276&gt;='01_設定'!$C$26,1,0))</f>
        <v/>
      </c>
      <c r="AZ276" s="34">
        <f>IF(AND(AB276="OK",AD276&lt;&gt;"除外"),COUNTIFS($AB$5:AB276,"OK",$AD$5:AD276,"&lt;&gt;除外"),"")</f>
        <v/>
      </c>
      <c r="BA276" s="34">
        <f>IF(OR(AZ276="",AI276=""),"",AI276+ROW()/1000000000)</f>
        <v/>
      </c>
      <c r="BB276" s="34">
        <f>IF(E276="","",IF(OR(TRIM(E276&amp;"")="-",TRIM(E276&amp;"")="－",TRIM(E276&amp;"")="ー"),"",TRIM(E276&amp;"")))</f>
        <v/>
      </c>
      <c r="BC276" s="34">
        <f>IF(AND(AB276="OK",BB276&lt;&gt;""),IF(COUNTIFS($BB$5:BB276,BB276,$AB$5:AB276,"OK")=1,1,""),"")</f>
        <v/>
      </c>
      <c r="BD276" s="34">
        <f>IF(BC276=1,COUNTIF($BC$5:BC276,1),"")</f>
        <v/>
      </c>
      <c r="BE276" s="34">
        <f>IF(BB276="","",IFERROR(INDEX('06_顧客別集計'!$G$5:$G$104,MATCH(BB276,'06_顧客別集計'!$C$5:$C$104,0)),BB276))</f>
        <v/>
      </c>
      <c r="BF276" s="34">
        <f>IF(AND(AZ276&lt;&gt;"",BE276&lt;&gt;""),IF(COUNTIFS($BE$5:BE276,BE276,$AZ$5:AZ276,"&gt;0")=1,1,""),"")</f>
        <v/>
      </c>
      <c r="BG276" s="34">
        <f>IF(BF276=1,COUNTIF($BF$5:BF276,1),"")</f>
        <v/>
      </c>
    </row>
    <row r="277">
      <c r="AB277">
        <f>IF(AND(A277="",G277=""),"",IF(ISNUMBER(SEARCH("##END",AM277)),"（終わりの印）",IF(ISNUMBER(SEARCH("##続き",AM277)),"（続きありの印）",IF(AM277="調査ID","（見出し行）",IF(AND(AM277&lt;&gt;"R1",AM277&lt;&gt;"R2"),"×表以外の行（集計されない）",IF(COUNTIF($AN$5:AN277,AN277)&gt;1,"△重複（集計されない）",IF(G277="","△タスク名なし",IF(ISNA(MATCH(AQ277,'M1_類型マスタ'!$A$5:$A$19,0)),"△類型が不正",IF(OR(AP277="",N(AP277)&lt;1,N(AP277)&gt;6),"△業務区分が不正",IF(OR(AS277="",AT277=""),"△回数・分が読めない",IF(SUMPRODUCT(--ISNUMBER(--T277:Z277))&lt;7,"△採点が足りない",IF(SUMPRODUCT((--T277:Z277&gt;2)+(--T277:Z277&lt;0))&gt;0,"△採点が範囲外","OK"))))))))))))</f>
        <v/>
      </c>
      <c r="AC277">
        <f>IF(AB277&lt;&gt;"OK","",TRIM(IF(AND(AU277&lt;&gt;"",N(AU277)&lt;=1),"根拠1件 ","")&amp;IF(AV277&lt;&gt;"","同名あり ","")&amp;IF(AND(NOT(ISNUMBER(N277)),N277&lt;&gt;""),"回数を換算 ","")&amp;IF(J277="","詳細なし ","")&amp;IF(AND(N(AP277)=1,BB277=""),"顧客名なし ","")))</f>
        <v/>
      </c>
      <c r="AD277" s="31" t="n"/>
      <c r="AE277" s="32" t="n"/>
      <c r="AF277" s="32" t="n"/>
      <c r="AG277" s="31" t="n"/>
      <c r="AH277">
        <f>IF(AB277&lt;&gt;"OK","",IF(AG277&lt;&gt;"",AG277,AJ277))</f>
        <v/>
      </c>
      <c r="AI277" s="33">
        <f>IF(AB277&lt;&gt;"OK","",IFERROR(IF(AE277&lt;&gt;"",AE277,AS277)*IF(AF277&lt;&gt;"",AF277,AT277)/60,""))</f>
        <v/>
      </c>
      <c r="AJ277">
        <f>IF(AB277&lt;&gt;"OK","",IF(OR(VALUE(T277)=2,VALUE(U277)=2,VALUE(V277)=2),"社内残置",IF(AND(VALUE(T277)=0,VALUE(W277)=0,VALUE(Y277)=0),"自動化候補",IF(AND(VALUE(U277)=0,VALUE(W277)&lt;=1,VALUE(X277)&lt;=1,VALUE(Y277)&lt;=1,VALUE(Z277)&lt;=1),"オフショア候補",IF(AND(VALUE(Y277)&lt;=1,VALUE(Z277)&lt;=1),"ニアショア候補","社内で手順化→再評価")))))</f>
        <v/>
      </c>
      <c r="AK277">
        <f>IF(AB277&lt;&gt;"OK","",14-SUMPRODUCT(--T277:Z277))</f>
        <v/>
      </c>
      <c r="AL277" s="33">
        <f>IF(AB277&lt;&gt;"OK","",AS277*AT277/60)</f>
        <v/>
      </c>
      <c r="AM277" s="34">
        <f>IF(A277="","",UPPER(TRIM(ASC(A277&amp;""))))</f>
        <v/>
      </c>
      <c r="AN277" s="34">
        <f>IF(AM277="","",AM277&amp;"-"&amp;B277)</f>
        <v/>
      </c>
      <c r="AO277" s="34">
        <f>IF(C277="","",IFERROR(VALUE(ASC(SUBSTITUTE(C277&amp;"","観点",""))),""))</f>
        <v/>
      </c>
      <c r="AP277" s="34">
        <f>IF(D277="","",IFERROR(VALUE(LEFT(TRIM(ASC(D277&amp;"")),1)),IFERROR(MATCH(TRIM(D277&amp;""),'M2_区分マスタ'!$I$5:$I$10,0),"")))</f>
        <v/>
      </c>
      <c r="AQ277" s="34">
        <f>IF(H277="","",UPPER(LEFT(TRIM(ASC(H277&amp;"")),3)))</f>
        <v/>
      </c>
      <c r="AR277" s="34">
        <f>IF(N277="","",IFERROR(VALUE(SUBSTITUTE(SUBSTITUTE(SUBSTITUTE(SUBSTITUTE(SUBSTITUTE(SUBSTITUTE(SUBSTITUTE(SUBSTITUTE(SUBSTITUTE(SUBSTITUTE(SUBSTITUTE(SUBSTITUTE(ASC(N277&amp;""),"約",""),"程度",""),"ほど",""),"回",""),"毎",""),"週",""),"月",""),"年",""),"日",""),"に",""),"/","")," ","")),""))</f>
        <v/>
      </c>
      <c r="AS277" s="34">
        <f>IF(N277="","",IF(ISNUMBER(N277),N277,IFERROR(VALUE(ASC(N277&amp;"")),IF(AR277&lt;&gt;"",AR277*IF(ISNUMBER(SEARCH("週",N277)),4.3,IF(ISNUMBER(SEARCH("年",N277)),1/12,IF(ISNUMBER(SEARCH("日",N277)),20,1))),IF(ISNUMBER(SEARCH("日",N277)),20,IF(ISNUMBER(SEARCH("週",N277)),4.3,IF(ISNUMBER(SEARCH("月",N277)),1,"")))))))</f>
        <v/>
      </c>
      <c r="AT277" s="34">
        <f>IF(O277="","",IF(ISNUMBER(O277),O277,IFERROR(VALUE(ASC(O277&amp;"")),IF(ISNUMBER(SEARCH("時間",O277)),IFERROR(VALUE(SUBSTITUTE(SUBSTITUTE(SUBSTITUTE(SUBSTITUTE(SUBSTITUTE(ASC(O277&amp;""),"約",""),"程度",""),"ほど",""),"時間","")," ",""))*60,""),IFERROR(VALUE(SUBSTITUTE(SUBSTITUTE(SUBSTITUTE(SUBSTITUTE(SUBSTITUTE(ASC(O277&amp;""),"約",""),"程度",""),"ほど",""),"分","")," ","")),"")))))</f>
        <v/>
      </c>
      <c r="AU277" s="34">
        <f>IF(P277="","",IF(ISNUMBER(P277),P277,IFERROR(VALUE(SUBSTITUTE(SUBSTITUTE(SUBSTITUTE(ASC(P277&amp;""),"約",""),"件","")," ","")),"")))</f>
        <v/>
      </c>
      <c r="AV277" s="34">
        <f>IF(AB277&lt;&gt;"OK","",IF(COUNTIFS($G$5:$G$404,G277&amp;"",$F$5:$F$404,F277&amp;"",$BE$5:$BE$404,BE277&amp;"",$AB$5:$AB$404,"OK")&gt;1,"同名あり",""))</f>
        <v/>
      </c>
      <c r="AW277" s="35">
        <f>IF(Q277="","",IF(ISNUMBER(Q277),Q277,IFERROR(DATEVALUE(SUBSTITUTE(SUBSTITUTE(ASC(Q277&amp;""),"-","/"),".","/")&amp;"/01"),"")))</f>
        <v/>
      </c>
      <c r="AX277" s="35">
        <f>IF(R277="","",IF(ISNUMBER(R277),R277,IFERROR(DATEVALUE(SUBSTITUTE(SUBSTITUTE(ASC(R277&amp;""),"-","/"),".","/")&amp;"/01"),"")))</f>
        <v/>
      </c>
      <c r="AY277" s="34">
        <f>IF(OR(AB277&lt;&gt;"OK",AW277=""),"",IF(AW277&gt;='01_設定'!$C$26,1,0))</f>
        <v/>
      </c>
      <c r="AZ277" s="34">
        <f>IF(AND(AB277="OK",AD277&lt;&gt;"除外"),COUNTIFS($AB$5:AB277,"OK",$AD$5:AD277,"&lt;&gt;除外"),"")</f>
        <v/>
      </c>
      <c r="BA277" s="34">
        <f>IF(OR(AZ277="",AI277=""),"",AI277+ROW()/1000000000)</f>
        <v/>
      </c>
      <c r="BB277" s="34">
        <f>IF(E277="","",IF(OR(TRIM(E277&amp;"")="-",TRIM(E277&amp;"")="－",TRIM(E277&amp;"")="ー"),"",TRIM(E277&amp;"")))</f>
        <v/>
      </c>
      <c r="BC277" s="34">
        <f>IF(AND(AB277="OK",BB277&lt;&gt;""),IF(COUNTIFS($BB$5:BB277,BB277,$AB$5:AB277,"OK")=1,1,""),"")</f>
        <v/>
      </c>
      <c r="BD277" s="34">
        <f>IF(BC277=1,COUNTIF($BC$5:BC277,1),"")</f>
        <v/>
      </c>
      <c r="BE277" s="34">
        <f>IF(BB277="","",IFERROR(INDEX('06_顧客別集計'!$G$5:$G$104,MATCH(BB277,'06_顧客別集計'!$C$5:$C$104,0)),BB277))</f>
        <v/>
      </c>
      <c r="BF277" s="34">
        <f>IF(AND(AZ277&lt;&gt;"",BE277&lt;&gt;""),IF(COUNTIFS($BE$5:BE277,BE277,$AZ$5:AZ277,"&gt;0")=1,1,""),"")</f>
        <v/>
      </c>
      <c r="BG277" s="34">
        <f>IF(BF277=1,COUNTIF($BF$5:BF277,1),"")</f>
        <v/>
      </c>
    </row>
    <row r="278">
      <c r="AB278">
        <f>IF(AND(A278="",G278=""),"",IF(ISNUMBER(SEARCH("##END",AM278)),"（終わりの印）",IF(ISNUMBER(SEARCH("##続き",AM278)),"（続きありの印）",IF(AM278="調査ID","（見出し行）",IF(AND(AM278&lt;&gt;"R1",AM278&lt;&gt;"R2"),"×表以外の行（集計されない）",IF(COUNTIF($AN$5:AN278,AN278)&gt;1,"△重複（集計されない）",IF(G278="","△タスク名なし",IF(ISNA(MATCH(AQ278,'M1_類型マスタ'!$A$5:$A$19,0)),"△類型が不正",IF(OR(AP278="",N(AP278)&lt;1,N(AP278)&gt;6),"△業務区分が不正",IF(OR(AS278="",AT278=""),"△回数・分が読めない",IF(SUMPRODUCT(--ISNUMBER(--T278:Z278))&lt;7,"△採点が足りない",IF(SUMPRODUCT((--T278:Z278&gt;2)+(--T278:Z278&lt;0))&gt;0,"△採点が範囲外","OK"))))))))))))</f>
        <v/>
      </c>
      <c r="AC278">
        <f>IF(AB278&lt;&gt;"OK","",TRIM(IF(AND(AU278&lt;&gt;"",N(AU278)&lt;=1),"根拠1件 ","")&amp;IF(AV278&lt;&gt;"","同名あり ","")&amp;IF(AND(NOT(ISNUMBER(N278)),N278&lt;&gt;""),"回数を換算 ","")&amp;IF(J278="","詳細なし ","")&amp;IF(AND(N(AP278)=1,BB278=""),"顧客名なし ","")))</f>
        <v/>
      </c>
      <c r="AD278" s="31" t="n"/>
      <c r="AE278" s="32" t="n"/>
      <c r="AF278" s="32" t="n"/>
      <c r="AG278" s="31" t="n"/>
      <c r="AH278">
        <f>IF(AB278&lt;&gt;"OK","",IF(AG278&lt;&gt;"",AG278,AJ278))</f>
        <v/>
      </c>
      <c r="AI278" s="33">
        <f>IF(AB278&lt;&gt;"OK","",IFERROR(IF(AE278&lt;&gt;"",AE278,AS278)*IF(AF278&lt;&gt;"",AF278,AT278)/60,""))</f>
        <v/>
      </c>
      <c r="AJ278">
        <f>IF(AB278&lt;&gt;"OK","",IF(OR(VALUE(T278)=2,VALUE(U278)=2,VALUE(V278)=2),"社内残置",IF(AND(VALUE(T278)=0,VALUE(W278)=0,VALUE(Y278)=0),"自動化候補",IF(AND(VALUE(U278)=0,VALUE(W278)&lt;=1,VALUE(X278)&lt;=1,VALUE(Y278)&lt;=1,VALUE(Z278)&lt;=1),"オフショア候補",IF(AND(VALUE(Y278)&lt;=1,VALUE(Z278)&lt;=1),"ニアショア候補","社内で手順化→再評価")))))</f>
        <v/>
      </c>
      <c r="AK278">
        <f>IF(AB278&lt;&gt;"OK","",14-SUMPRODUCT(--T278:Z278))</f>
        <v/>
      </c>
      <c r="AL278" s="33">
        <f>IF(AB278&lt;&gt;"OK","",AS278*AT278/60)</f>
        <v/>
      </c>
      <c r="AM278" s="34">
        <f>IF(A278="","",UPPER(TRIM(ASC(A278&amp;""))))</f>
        <v/>
      </c>
      <c r="AN278" s="34">
        <f>IF(AM278="","",AM278&amp;"-"&amp;B278)</f>
        <v/>
      </c>
      <c r="AO278" s="34">
        <f>IF(C278="","",IFERROR(VALUE(ASC(SUBSTITUTE(C278&amp;"","観点",""))),""))</f>
        <v/>
      </c>
      <c r="AP278" s="34">
        <f>IF(D278="","",IFERROR(VALUE(LEFT(TRIM(ASC(D278&amp;"")),1)),IFERROR(MATCH(TRIM(D278&amp;""),'M2_区分マスタ'!$I$5:$I$10,0),"")))</f>
        <v/>
      </c>
      <c r="AQ278" s="34">
        <f>IF(H278="","",UPPER(LEFT(TRIM(ASC(H278&amp;"")),3)))</f>
        <v/>
      </c>
      <c r="AR278" s="34">
        <f>IF(N278="","",IFERROR(VALUE(SUBSTITUTE(SUBSTITUTE(SUBSTITUTE(SUBSTITUTE(SUBSTITUTE(SUBSTITUTE(SUBSTITUTE(SUBSTITUTE(SUBSTITUTE(SUBSTITUTE(SUBSTITUTE(SUBSTITUTE(ASC(N278&amp;""),"約",""),"程度",""),"ほど",""),"回",""),"毎",""),"週",""),"月",""),"年",""),"日",""),"に",""),"/","")," ","")),""))</f>
        <v/>
      </c>
      <c r="AS278" s="34">
        <f>IF(N278="","",IF(ISNUMBER(N278),N278,IFERROR(VALUE(ASC(N278&amp;"")),IF(AR278&lt;&gt;"",AR278*IF(ISNUMBER(SEARCH("週",N278)),4.3,IF(ISNUMBER(SEARCH("年",N278)),1/12,IF(ISNUMBER(SEARCH("日",N278)),20,1))),IF(ISNUMBER(SEARCH("日",N278)),20,IF(ISNUMBER(SEARCH("週",N278)),4.3,IF(ISNUMBER(SEARCH("月",N278)),1,"")))))))</f>
        <v/>
      </c>
      <c r="AT278" s="34">
        <f>IF(O278="","",IF(ISNUMBER(O278),O278,IFERROR(VALUE(ASC(O278&amp;"")),IF(ISNUMBER(SEARCH("時間",O278)),IFERROR(VALUE(SUBSTITUTE(SUBSTITUTE(SUBSTITUTE(SUBSTITUTE(SUBSTITUTE(ASC(O278&amp;""),"約",""),"程度",""),"ほど",""),"時間","")," ",""))*60,""),IFERROR(VALUE(SUBSTITUTE(SUBSTITUTE(SUBSTITUTE(SUBSTITUTE(SUBSTITUTE(ASC(O278&amp;""),"約",""),"程度",""),"ほど",""),"分","")," ","")),"")))))</f>
        <v/>
      </c>
      <c r="AU278" s="34">
        <f>IF(P278="","",IF(ISNUMBER(P278),P278,IFERROR(VALUE(SUBSTITUTE(SUBSTITUTE(SUBSTITUTE(ASC(P278&amp;""),"約",""),"件","")," ","")),"")))</f>
        <v/>
      </c>
      <c r="AV278" s="34">
        <f>IF(AB278&lt;&gt;"OK","",IF(COUNTIFS($G$5:$G$404,G278&amp;"",$F$5:$F$404,F278&amp;"",$BE$5:$BE$404,BE278&amp;"",$AB$5:$AB$404,"OK")&gt;1,"同名あり",""))</f>
        <v/>
      </c>
      <c r="AW278" s="35">
        <f>IF(Q278="","",IF(ISNUMBER(Q278),Q278,IFERROR(DATEVALUE(SUBSTITUTE(SUBSTITUTE(ASC(Q278&amp;""),"-","/"),".","/")&amp;"/01"),"")))</f>
        <v/>
      </c>
      <c r="AX278" s="35">
        <f>IF(R278="","",IF(ISNUMBER(R278),R278,IFERROR(DATEVALUE(SUBSTITUTE(SUBSTITUTE(ASC(R278&amp;""),"-","/"),".","/")&amp;"/01"),"")))</f>
        <v/>
      </c>
      <c r="AY278" s="34">
        <f>IF(OR(AB278&lt;&gt;"OK",AW278=""),"",IF(AW278&gt;='01_設定'!$C$26,1,0))</f>
        <v/>
      </c>
      <c r="AZ278" s="34">
        <f>IF(AND(AB278="OK",AD278&lt;&gt;"除外"),COUNTIFS($AB$5:AB278,"OK",$AD$5:AD278,"&lt;&gt;除外"),"")</f>
        <v/>
      </c>
      <c r="BA278" s="34">
        <f>IF(OR(AZ278="",AI278=""),"",AI278+ROW()/1000000000)</f>
        <v/>
      </c>
      <c r="BB278" s="34">
        <f>IF(E278="","",IF(OR(TRIM(E278&amp;"")="-",TRIM(E278&amp;"")="－",TRIM(E278&amp;"")="ー"),"",TRIM(E278&amp;"")))</f>
        <v/>
      </c>
      <c r="BC278" s="34">
        <f>IF(AND(AB278="OK",BB278&lt;&gt;""),IF(COUNTIFS($BB$5:BB278,BB278,$AB$5:AB278,"OK")=1,1,""),"")</f>
        <v/>
      </c>
      <c r="BD278" s="34">
        <f>IF(BC278=1,COUNTIF($BC$5:BC278,1),"")</f>
        <v/>
      </c>
      <c r="BE278" s="34">
        <f>IF(BB278="","",IFERROR(INDEX('06_顧客別集計'!$G$5:$G$104,MATCH(BB278,'06_顧客別集計'!$C$5:$C$104,0)),BB278))</f>
        <v/>
      </c>
      <c r="BF278" s="34">
        <f>IF(AND(AZ278&lt;&gt;"",BE278&lt;&gt;""),IF(COUNTIFS($BE$5:BE278,BE278,$AZ$5:AZ278,"&gt;0")=1,1,""),"")</f>
        <v/>
      </c>
      <c r="BG278" s="34">
        <f>IF(BF278=1,COUNTIF($BF$5:BF278,1),"")</f>
        <v/>
      </c>
    </row>
    <row r="279">
      <c r="AB279">
        <f>IF(AND(A279="",G279=""),"",IF(ISNUMBER(SEARCH("##END",AM279)),"（終わりの印）",IF(ISNUMBER(SEARCH("##続き",AM279)),"（続きありの印）",IF(AM279="調査ID","（見出し行）",IF(AND(AM279&lt;&gt;"R1",AM279&lt;&gt;"R2"),"×表以外の行（集計されない）",IF(COUNTIF($AN$5:AN279,AN279)&gt;1,"△重複（集計されない）",IF(G279="","△タスク名なし",IF(ISNA(MATCH(AQ279,'M1_類型マスタ'!$A$5:$A$19,0)),"△類型が不正",IF(OR(AP279="",N(AP279)&lt;1,N(AP279)&gt;6),"△業務区分が不正",IF(OR(AS279="",AT279=""),"△回数・分が読めない",IF(SUMPRODUCT(--ISNUMBER(--T279:Z279))&lt;7,"△採点が足りない",IF(SUMPRODUCT((--T279:Z279&gt;2)+(--T279:Z279&lt;0))&gt;0,"△採点が範囲外","OK"))))))))))))</f>
        <v/>
      </c>
      <c r="AC279">
        <f>IF(AB279&lt;&gt;"OK","",TRIM(IF(AND(AU279&lt;&gt;"",N(AU279)&lt;=1),"根拠1件 ","")&amp;IF(AV279&lt;&gt;"","同名あり ","")&amp;IF(AND(NOT(ISNUMBER(N279)),N279&lt;&gt;""),"回数を換算 ","")&amp;IF(J279="","詳細なし ","")&amp;IF(AND(N(AP279)=1,BB279=""),"顧客名なし ","")))</f>
        <v/>
      </c>
      <c r="AD279" s="31" t="n"/>
      <c r="AE279" s="32" t="n"/>
      <c r="AF279" s="32" t="n"/>
      <c r="AG279" s="31" t="n"/>
      <c r="AH279">
        <f>IF(AB279&lt;&gt;"OK","",IF(AG279&lt;&gt;"",AG279,AJ279))</f>
        <v/>
      </c>
      <c r="AI279" s="33">
        <f>IF(AB279&lt;&gt;"OK","",IFERROR(IF(AE279&lt;&gt;"",AE279,AS279)*IF(AF279&lt;&gt;"",AF279,AT279)/60,""))</f>
        <v/>
      </c>
      <c r="AJ279">
        <f>IF(AB279&lt;&gt;"OK","",IF(OR(VALUE(T279)=2,VALUE(U279)=2,VALUE(V279)=2),"社内残置",IF(AND(VALUE(T279)=0,VALUE(W279)=0,VALUE(Y279)=0),"自動化候補",IF(AND(VALUE(U279)=0,VALUE(W279)&lt;=1,VALUE(X279)&lt;=1,VALUE(Y279)&lt;=1,VALUE(Z279)&lt;=1),"オフショア候補",IF(AND(VALUE(Y279)&lt;=1,VALUE(Z279)&lt;=1),"ニアショア候補","社内で手順化→再評価")))))</f>
        <v/>
      </c>
      <c r="AK279">
        <f>IF(AB279&lt;&gt;"OK","",14-SUMPRODUCT(--T279:Z279))</f>
        <v/>
      </c>
      <c r="AL279" s="33">
        <f>IF(AB279&lt;&gt;"OK","",AS279*AT279/60)</f>
        <v/>
      </c>
      <c r="AM279" s="34">
        <f>IF(A279="","",UPPER(TRIM(ASC(A279&amp;""))))</f>
        <v/>
      </c>
      <c r="AN279" s="34">
        <f>IF(AM279="","",AM279&amp;"-"&amp;B279)</f>
        <v/>
      </c>
      <c r="AO279" s="34">
        <f>IF(C279="","",IFERROR(VALUE(ASC(SUBSTITUTE(C279&amp;"","観点",""))),""))</f>
        <v/>
      </c>
      <c r="AP279" s="34">
        <f>IF(D279="","",IFERROR(VALUE(LEFT(TRIM(ASC(D279&amp;"")),1)),IFERROR(MATCH(TRIM(D279&amp;""),'M2_区分マスタ'!$I$5:$I$10,0),"")))</f>
        <v/>
      </c>
      <c r="AQ279" s="34">
        <f>IF(H279="","",UPPER(LEFT(TRIM(ASC(H279&amp;"")),3)))</f>
        <v/>
      </c>
      <c r="AR279" s="34">
        <f>IF(N279="","",IFERROR(VALUE(SUBSTITUTE(SUBSTITUTE(SUBSTITUTE(SUBSTITUTE(SUBSTITUTE(SUBSTITUTE(SUBSTITUTE(SUBSTITUTE(SUBSTITUTE(SUBSTITUTE(SUBSTITUTE(SUBSTITUTE(ASC(N279&amp;""),"約",""),"程度",""),"ほど",""),"回",""),"毎",""),"週",""),"月",""),"年",""),"日",""),"に",""),"/","")," ","")),""))</f>
        <v/>
      </c>
      <c r="AS279" s="34">
        <f>IF(N279="","",IF(ISNUMBER(N279),N279,IFERROR(VALUE(ASC(N279&amp;"")),IF(AR279&lt;&gt;"",AR279*IF(ISNUMBER(SEARCH("週",N279)),4.3,IF(ISNUMBER(SEARCH("年",N279)),1/12,IF(ISNUMBER(SEARCH("日",N279)),20,1))),IF(ISNUMBER(SEARCH("日",N279)),20,IF(ISNUMBER(SEARCH("週",N279)),4.3,IF(ISNUMBER(SEARCH("月",N279)),1,"")))))))</f>
        <v/>
      </c>
      <c r="AT279" s="34">
        <f>IF(O279="","",IF(ISNUMBER(O279),O279,IFERROR(VALUE(ASC(O279&amp;"")),IF(ISNUMBER(SEARCH("時間",O279)),IFERROR(VALUE(SUBSTITUTE(SUBSTITUTE(SUBSTITUTE(SUBSTITUTE(SUBSTITUTE(ASC(O279&amp;""),"約",""),"程度",""),"ほど",""),"時間","")," ",""))*60,""),IFERROR(VALUE(SUBSTITUTE(SUBSTITUTE(SUBSTITUTE(SUBSTITUTE(SUBSTITUTE(ASC(O279&amp;""),"約",""),"程度",""),"ほど",""),"分","")," ","")),"")))))</f>
        <v/>
      </c>
      <c r="AU279" s="34">
        <f>IF(P279="","",IF(ISNUMBER(P279),P279,IFERROR(VALUE(SUBSTITUTE(SUBSTITUTE(SUBSTITUTE(ASC(P279&amp;""),"約",""),"件","")," ","")),"")))</f>
        <v/>
      </c>
      <c r="AV279" s="34">
        <f>IF(AB279&lt;&gt;"OK","",IF(COUNTIFS($G$5:$G$404,G279&amp;"",$F$5:$F$404,F279&amp;"",$BE$5:$BE$404,BE279&amp;"",$AB$5:$AB$404,"OK")&gt;1,"同名あり",""))</f>
        <v/>
      </c>
      <c r="AW279" s="35">
        <f>IF(Q279="","",IF(ISNUMBER(Q279),Q279,IFERROR(DATEVALUE(SUBSTITUTE(SUBSTITUTE(ASC(Q279&amp;""),"-","/"),".","/")&amp;"/01"),"")))</f>
        <v/>
      </c>
      <c r="AX279" s="35">
        <f>IF(R279="","",IF(ISNUMBER(R279),R279,IFERROR(DATEVALUE(SUBSTITUTE(SUBSTITUTE(ASC(R279&amp;""),"-","/"),".","/")&amp;"/01"),"")))</f>
        <v/>
      </c>
      <c r="AY279" s="34">
        <f>IF(OR(AB279&lt;&gt;"OK",AW279=""),"",IF(AW279&gt;='01_設定'!$C$26,1,0))</f>
        <v/>
      </c>
      <c r="AZ279" s="34">
        <f>IF(AND(AB279="OK",AD279&lt;&gt;"除外"),COUNTIFS($AB$5:AB279,"OK",$AD$5:AD279,"&lt;&gt;除外"),"")</f>
        <v/>
      </c>
      <c r="BA279" s="34">
        <f>IF(OR(AZ279="",AI279=""),"",AI279+ROW()/1000000000)</f>
        <v/>
      </c>
      <c r="BB279" s="34">
        <f>IF(E279="","",IF(OR(TRIM(E279&amp;"")="-",TRIM(E279&amp;"")="－",TRIM(E279&amp;"")="ー"),"",TRIM(E279&amp;"")))</f>
        <v/>
      </c>
      <c r="BC279" s="34">
        <f>IF(AND(AB279="OK",BB279&lt;&gt;""),IF(COUNTIFS($BB$5:BB279,BB279,$AB$5:AB279,"OK")=1,1,""),"")</f>
        <v/>
      </c>
      <c r="BD279" s="34">
        <f>IF(BC279=1,COUNTIF($BC$5:BC279,1),"")</f>
        <v/>
      </c>
      <c r="BE279" s="34">
        <f>IF(BB279="","",IFERROR(INDEX('06_顧客別集計'!$G$5:$G$104,MATCH(BB279,'06_顧客別集計'!$C$5:$C$104,0)),BB279))</f>
        <v/>
      </c>
      <c r="BF279" s="34">
        <f>IF(AND(AZ279&lt;&gt;"",BE279&lt;&gt;""),IF(COUNTIFS($BE$5:BE279,BE279,$AZ$5:AZ279,"&gt;0")=1,1,""),"")</f>
        <v/>
      </c>
      <c r="BG279" s="34">
        <f>IF(BF279=1,COUNTIF($BF$5:BF279,1),"")</f>
        <v/>
      </c>
    </row>
    <row r="280">
      <c r="AB280">
        <f>IF(AND(A280="",G280=""),"",IF(ISNUMBER(SEARCH("##END",AM280)),"（終わりの印）",IF(ISNUMBER(SEARCH("##続き",AM280)),"（続きありの印）",IF(AM280="調査ID","（見出し行）",IF(AND(AM280&lt;&gt;"R1",AM280&lt;&gt;"R2"),"×表以外の行（集計されない）",IF(COUNTIF($AN$5:AN280,AN280)&gt;1,"△重複（集計されない）",IF(G280="","△タスク名なし",IF(ISNA(MATCH(AQ280,'M1_類型マスタ'!$A$5:$A$19,0)),"△類型が不正",IF(OR(AP280="",N(AP280)&lt;1,N(AP280)&gt;6),"△業務区分が不正",IF(OR(AS280="",AT280=""),"△回数・分が読めない",IF(SUMPRODUCT(--ISNUMBER(--T280:Z280))&lt;7,"△採点が足りない",IF(SUMPRODUCT((--T280:Z280&gt;2)+(--T280:Z280&lt;0))&gt;0,"△採点が範囲外","OK"))))))))))))</f>
        <v/>
      </c>
      <c r="AC280">
        <f>IF(AB280&lt;&gt;"OK","",TRIM(IF(AND(AU280&lt;&gt;"",N(AU280)&lt;=1),"根拠1件 ","")&amp;IF(AV280&lt;&gt;"","同名あり ","")&amp;IF(AND(NOT(ISNUMBER(N280)),N280&lt;&gt;""),"回数を換算 ","")&amp;IF(J280="","詳細なし ","")&amp;IF(AND(N(AP280)=1,BB280=""),"顧客名なし ","")))</f>
        <v/>
      </c>
      <c r="AD280" s="31" t="n"/>
      <c r="AE280" s="32" t="n"/>
      <c r="AF280" s="32" t="n"/>
      <c r="AG280" s="31" t="n"/>
      <c r="AH280">
        <f>IF(AB280&lt;&gt;"OK","",IF(AG280&lt;&gt;"",AG280,AJ280))</f>
        <v/>
      </c>
      <c r="AI280" s="33">
        <f>IF(AB280&lt;&gt;"OK","",IFERROR(IF(AE280&lt;&gt;"",AE280,AS280)*IF(AF280&lt;&gt;"",AF280,AT280)/60,""))</f>
        <v/>
      </c>
      <c r="AJ280">
        <f>IF(AB280&lt;&gt;"OK","",IF(OR(VALUE(T280)=2,VALUE(U280)=2,VALUE(V280)=2),"社内残置",IF(AND(VALUE(T280)=0,VALUE(W280)=0,VALUE(Y280)=0),"自動化候補",IF(AND(VALUE(U280)=0,VALUE(W280)&lt;=1,VALUE(X280)&lt;=1,VALUE(Y280)&lt;=1,VALUE(Z280)&lt;=1),"オフショア候補",IF(AND(VALUE(Y280)&lt;=1,VALUE(Z280)&lt;=1),"ニアショア候補","社内で手順化→再評価")))))</f>
        <v/>
      </c>
      <c r="AK280">
        <f>IF(AB280&lt;&gt;"OK","",14-SUMPRODUCT(--T280:Z280))</f>
        <v/>
      </c>
      <c r="AL280" s="33">
        <f>IF(AB280&lt;&gt;"OK","",AS280*AT280/60)</f>
        <v/>
      </c>
      <c r="AM280" s="34">
        <f>IF(A280="","",UPPER(TRIM(ASC(A280&amp;""))))</f>
        <v/>
      </c>
      <c r="AN280" s="34">
        <f>IF(AM280="","",AM280&amp;"-"&amp;B280)</f>
        <v/>
      </c>
      <c r="AO280" s="34">
        <f>IF(C280="","",IFERROR(VALUE(ASC(SUBSTITUTE(C280&amp;"","観点",""))),""))</f>
        <v/>
      </c>
      <c r="AP280" s="34">
        <f>IF(D280="","",IFERROR(VALUE(LEFT(TRIM(ASC(D280&amp;"")),1)),IFERROR(MATCH(TRIM(D280&amp;""),'M2_区分マスタ'!$I$5:$I$10,0),"")))</f>
        <v/>
      </c>
      <c r="AQ280" s="34">
        <f>IF(H280="","",UPPER(LEFT(TRIM(ASC(H280&amp;"")),3)))</f>
        <v/>
      </c>
      <c r="AR280" s="34">
        <f>IF(N280="","",IFERROR(VALUE(SUBSTITUTE(SUBSTITUTE(SUBSTITUTE(SUBSTITUTE(SUBSTITUTE(SUBSTITUTE(SUBSTITUTE(SUBSTITUTE(SUBSTITUTE(SUBSTITUTE(SUBSTITUTE(SUBSTITUTE(ASC(N280&amp;""),"約",""),"程度",""),"ほど",""),"回",""),"毎",""),"週",""),"月",""),"年",""),"日",""),"に",""),"/","")," ","")),""))</f>
        <v/>
      </c>
      <c r="AS280" s="34">
        <f>IF(N280="","",IF(ISNUMBER(N280),N280,IFERROR(VALUE(ASC(N280&amp;"")),IF(AR280&lt;&gt;"",AR280*IF(ISNUMBER(SEARCH("週",N280)),4.3,IF(ISNUMBER(SEARCH("年",N280)),1/12,IF(ISNUMBER(SEARCH("日",N280)),20,1))),IF(ISNUMBER(SEARCH("日",N280)),20,IF(ISNUMBER(SEARCH("週",N280)),4.3,IF(ISNUMBER(SEARCH("月",N280)),1,"")))))))</f>
        <v/>
      </c>
      <c r="AT280" s="34">
        <f>IF(O280="","",IF(ISNUMBER(O280),O280,IFERROR(VALUE(ASC(O280&amp;"")),IF(ISNUMBER(SEARCH("時間",O280)),IFERROR(VALUE(SUBSTITUTE(SUBSTITUTE(SUBSTITUTE(SUBSTITUTE(SUBSTITUTE(ASC(O280&amp;""),"約",""),"程度",""),"ほど",""),"時間","")," ",""))*60,""),IFERROR(VALUE(SUBSTITUTE(SUBSTITUTE(SUBSTITUTE(SUBSTITUTE(SUBSTITUTE(ASC(O280&amp;""),"約",""),"程度",""),"ほど",""),"分","")," ","")),"")))))</f>
        <v/>
      </c>
      <c r="AU280" s="34">
        <f>IF(P280="","",IF(ISNUMBER(P280),P280,IFERROR(VALUE(SUBSTITUTE(SUBSTITUTE(SUBSTITUTE(ASC(P280&amp;""),"約",""),"件","")," ","")),"")))</f>
        <v/>
      </c>
      <c r="AV280" s="34">
        <f>IF(AB280&lt;&gt;"OK","",IF(COUNTIFS($G$5:$G$404,G280&amp;"",$F$5:$F$404,F280&amp;"",$BE$5:$BE$404,BE280&amp;"",$AB$5:$AB$404,"OK")&gt;1,"同名あり",""))</f>
        <v/>
      </c>
      <c r="AW280" s="35">
        <f>IF(Q280="","",IF(ISNUMBER(Q280),Q280,IFERROR(DATEVALUE(SUBSTITUTE(SUBSTITUTE(ASC(Q280&amp;""),"-","/"),".","/")&amp;"/01"),"")))</f>
        <v/>
      </c>
      <c r="AX280" s="35">
        <f>IF(R280="","",IF(ISNUMBER(R280),R280,IFERROR(DATEVALUE(SUBSTITUTE(SUBSTITUTE(ASC(R280&amp;""),"-","/"),".","/")&amp;"/01"),"")))</f>
        <v/>
      </c>
      <c r="AY280" s="34">
        <f>IF(OR(AB280&lt;&gt;"OK",AW280=""),"",IF(AW280&gt;='01_設定'!$C$26,1,0))</f>
        <v/>
      </c>
      <c r="AZ280" s="34">
        <f>IF(AND(AB280="OK",AD280&lt;&gt;"除外"),COUNTIFS($AB$5:AB280,"OK",$AD$5:AD280,"&lt;&gt;除外"),"")</f>
        <v/>
      </c>
      <c r="BA280" s="34">
        <f>IF(OR(AZ280="",AI280=""),"",AI280+ROW()/1000000000)</f>
        <v/>
      </c>
      <c r="BB280" s="34">
        <f>IF(E280="","",IF(OR(TRIM(E280&amp;"")="-",TRIM(E280&amp;"")="－",TRIM(E280&amp;"")="ー"),"",TRIM(E280&amp;"")))</f>
        <v/>
      </c>
      <c r="BC280" s="34">
        <f>IF(AND(AB280="OK",BB280&lt;&gt;""),IF(COUNTIFS($BB$5:BB280,BB280,$AB$5:AB280,"OK")=1,1,""),"")</f>
        <v/>
      </c>
      <c r="BD280" s="34">
        <f>IF(BC280=1,COUNTIF($BC$5:BC280,1),"")</f>
        <v/>
      </c>
      <c r="BE280" s="34">
        <f>IF(BB280="","",IFERROR(INDEX('06_顧客別集計'!$G$5:$G$104,MATCH(BB280,'06_顧客別集計'!$C$5:$C$104,0)),BB280))</f>
        <v/>
      </c>
      <c r="BF280" s="34">
        <f>IF(AND(AZ280&lt;&gt;"",BE280&lt;&gt;""),IF(COUNTIFS($BE$5:BE280,BE280,$AZ$5:AZ280,"&gt;0")=1,1,""),"")</f>
        <v/>
      </c>
      <c r="BG280" s="34">
        <f>IF(BF280=1,COUNTIF($BF$5:BF280,1),"")</f>
        <v/>
      </c>
    </row>
    <row r="281">
      <c r="AB281">
        <f>IF(AND(A281="",G281=""),"",IF(ISNUMBER(SEARCH("##END",AM281)),"（終わりの印）",IF(ISNUMBER(SEARCH("##続き",AM281)),"（続きありの印）",IF(AM281="調査ID","（見出し行）",IF(AND(AM281&lt;&gt;"R1",AM281&lt;&gt;"R2"),"×表以外の行（集計されない）",IF(COUNTIF($AN$5:AN281,AN281)&gt;1,"△重複（集計されない）",IF(G281="","△タスク名なし",IF(ISNA(MATCH(AQ281,'M1_類型マスタ'!$A$5:$A$19,0)),"△類型が不正",IF(OR(AP281="",N(AP281)&lt;1,N(AP281)&gt;6),"△業務区分が不正",IF(OR(AS281="",AT281=""),"△回数・分が読めない",IF(SUMPRODUCT(--ISNUMBER(--T281:Z281))&lt;7,"△採点が足りない",IF(SUMPRODUCT((--T281:Z281&gt;2)+(--T281:Z281&lt;0))&gt;0,"△採点が範囲外","OK"))))))))))))</f>
        <v/>
      </c>
      <c r="AC281">
        <f>IF(AB281&lt;&gt;"OK","",TRIM(IF(AND(AU281&lt;&gt;"",N(AU281)&lt;=1),"根拠1件 ","")&amp;IF(AV281&lt;&gt;"","同名あり ","")&amp;IF(AND(NOT(ISNUMBER(N281)),N281&lt;&gt;""),"回数を換算 ","")&amp;IF(J281="","詳細なし ","")&amp;IF(AND(N(AP281)=1,BB281=""),"顧客名なし ","")))</f>
        <v/>
      </c>
      <c r="AD281" s="31" t="n"/>
      <c r="AE281" s="32" t="n"/>
      <c r="AF281" s="32" t="n"/>
      <c r="AG281" s="31" t="n"/>
      <c r="AH281">
        <f>IF(AB281&lt;&gt;"OK","",IF(AG281&lt;&gt;"",AG281,AJ281))</f>
        <v/>
      </c>
      <c r="AI281" s="33">
        <f>IF(AB281&lt;&gt;"OK","",IFERROR(IF(AE281&lt;&gt;"",AE281,AS281)*IF(AF281&lt;&gt;"",AF281,AT281)/60,""))</f>
        <v/>
      </c>
      <c r="AJ281">
        <f>IF(AB281&lt;&gt;"OK","",IF(OR(VALUE(T281)=2,VALUE(U281)=2,VALUE(V281)=2),"社内残置",IF(AND(VALUE(T281)=0,VALUE(W281)=0,VALUE(Y281)=0),"自動化候補",IF(AND(VALUE(U281)=0,VALUE(W281)&lt;=1,VALUE(X281)&lt;=1,VALUE(Y281)&lt;=1,VALUE(Z281)&lt;=1),"オフショア候補",IF(AND(VALUE(Y281)&lt;=1,VALUE(Z281)&lt;=1),"ニアショア候補","社内で手順化→再評価")))))</f>
        <v/>
      </c>
      <c r="AK281">
        <f>IF(AB281&lt;&gt;"OK","",14-SUMPRODUCT(--T281:Z281))</f>
        <v/>
      </c>
      <c r="AL281" s="33">
        <f>IF(AB281&lt;&gt;"OK","",AS281*AT281/60)</f>
        <v/>
      </c>
      <c r="AM281" s="34">
        <f>IF(A281="","",UPPER(TRIM(ASC(A281&amp;""))))</f>
        <v/>
      </c>
      <c r="AN281" s="34">
        <f>IF(AM281="","",AM281&amp;"-"&amp;B281)</f>
        <v/>
      </c>
      <c r="AO281" s="34">
        <f>IF(C281="","",IFERROR(VALUE(ASC(SUBSTITUTE(C281&amp;"","観点",""))),""))</f>
        <v/>
      </c>
      <c r="AP281" s="34">
        <f>IF(D281="","",IFERROR(VALUE(LEFT(TRIM(ASC(D281&amp;"")),1)),IFERROR(MATCH(TRIM(D281&amp;""),'M2_区分マスタ'!$I$5:$I$10,0),"")))</f>
        <v/>
      </c>
      <c r="AQ281" s="34">
        <f>IF(H281="","",UPPER(LEFT(TRIM(ASC(H281&amp;"")),3)))</f>
        <v/>
      </c>
      <c r="AR281" s="34">
        <f>IF(N281="","",IFERROR(VALUE(SUBSTITUTE(SUBSTITUTE(SUBSTITUTE(SUBSTITUTE(SUBSTITUTE(SUBSTITUTE(SUBSTITUTE(SUBSTITUTE(SUBSTITUTE(SUBSTITUTE(SUBSTITUTE(SUBSTITUTE(ASC(N281&amp;""),"約",""),"程度",""),"ほど",""),"回",""),"毎",""),"週",""),"月",""),"年",""),"日",""),"に",""),"/","")," ","")),""))</f>
        <v/>
      </c>
      <c r="AS281" s="34">
        <f>IF(N281="","",IF(ISNUMBER(N281),N281,IFERROR(VALUE(ASC(N281&amp;"")),IF(AR281&lt;&gt;"",AR281*IF(ISNUMBER(SEARCH("週",N281)),4.3,IF(ISNUMBER(SEARCH("年",N281)),1/12,IF(ISNUMBER(SEARCH("日",N281)),20,1))),IF(ISNUMBER(SEARCH("日",N281)),20,IF(ISNUMBER(SEARCH("週",N281)),4.3,IF(ISNUMBER(SEARCH("月",N281)),1,"")))))))</f>
        <v/>
      </c>
      <c r="AT281" s="34">
        <f>IF(O281="","",IF(ISNUMBER(O281),O281,IFERROR(VALUE(ASC(O281&amp;"")),IF(ISNUMBER(SEARCH("時間",O281)),IFERROR(VALUE(SUBSTITUTE(SUBSTITUTE(SUBSTITUTE(SUBSTITUTE(SUBSTITUTE(ASC(O281&amp;""),"約",""),"程度",""),"ほど",""),"時間","")," ",""))*60,""),IFERROR(VALUE(SUBSTITUTE(SUBSTITUTE(SUBSTITUTE(SUBSTITUTE(SUBSTITUTE(ASC(O281&amp;""),"約",""),"程度",""),"ほど",""),"分","")," ","")),"")))))</f>
        <v/>
      </c>
      <c r="AU281" s="34">
        <f>IF(P281="","",IF(ISNUMBER(P281),P281,IFERROR(VALUE(SUBSTITUTE(SUBSTITUTE(SUBSTITUTE(ASC(P281&amp;""),"約",""),"件","")," ","")),"")))</f>
        <v/>
      </c>
      <c r="AV281" s="34">
        <f>IF(AB281&lt;&gt;"OK","",IF(COUNTIFS($G$5:$G$404,G281&amp;"",$F$5:$F$404,F281&amp;"",$BE$5:$BE$404,BE281&amp;"",$AB$5:$AB$404,"OK")&gt;1,"同名あり",""))</f>
        <v/>
      </c>
      <c r="AW281" s="35">
        <f>IF(Q281="","",IF(ISNUMBER(Q281),Q281,IFERROR(DATEVALUE(SUBSTITUTE(SUBSTITUTE(ASC(Q281&amp;""),"-","/"),".","/")&amp;"/01"),"")))</f>
        <v/>
      </c>
      <c r="AX281" s="35">
        <f>IF(R281="","",IF(ISNUMBER(R281),R281,IFERROR(DATEVALUE(SUBSTITUTE(SUBSTITUTE(ASC(R281&amp;""),"-","/"),".","/")&amp;"/01"),"")))</f>
        <v/>
      </c>
      <c r="AY281" s="34">
        <f>IF(OR(AB281&lt;&gt;"OK",AW281=""),"",IF(AW281&gt;='01_設定'!$C$26,1,0))</f>
        <v/>
      </c>
      <c r="AZ281" s="34">
        <f>IF(AND(AB281="OK",AD281&lt;&gt;"除外"),COUNTIFS($AB$5:AB281,"OK",$AD$5:AD281,"&lt;&gt;除外"),"")</f>
        <v/>
      </c>
      <c r="BA281" s="34">
        <f>IF(OR(AZ281="",AI281=""),"",AI281+ROW()/1000000000)</f>
        <v/>
      </c>
      <c r="BB281" s="34">
        <f>IF(E281="","",IF(OR(TRIM(E281&amp;"")="-",TRIM(E281&amp;"")="－",TRIM(E281&amp;"")="ー"),"",TRIM(E281&amp;"")))</f>
        <v/>
      </c>
      <c r="BC281" s="34">
        <f>IF(AND(AB281="OK",BB281&lt;&gt;""),IF(COUNTIFS($BB$5:BB281,BB281,$AB$5:AB281,"OK")=1,1,""),"")</f>
        <v/>
      </c>
      <c r="BD281" s="34">
        <f>IF(BC281=1,COUNTIF($BC$5:BC281,1),"")</f>
        <v/>
      </c>
      <c r="BE281" s="34">
        <f>IF(BB281="","",IFERROR(INDEX('06_顧客別集計'!$G$5:$G$104,MATCH(BB281,'06_顧客別集計'!$C$5:$C$104,0)),BB281))</f>
        <v/>
      </c>
      <c r="BF281" s="34">
        <f>IF(AND(AZ281&lt;&gt;"",BE281&lt;&gt;""),IF(COUNTIFS($BE$5:BE281,BE281,$AZ$5:AZ281,"&gt;0")=1,1,""),"")</f>
        <v/>
      </c>
      <c r="BG281" s="34">
        <f>IF(BF281=1,COUNTIF($BF$5:BF281,1),"")</f>
        <v/>
      </c>
    </row>
    <row r="282">
      <c r="AB282">
        <f>IF(AND(A282="",G282=""),"",IF(ISNUMBER(SEARCH("##END",AM282)),"（終わりの印）",IF(ISNUMBER(SEARCH("##続き",AM282)),"（続きありの印）",IF(AM282="調査ID","（見出し行）",IF(AND(AM282&lt;&gt;"R1",AM282&lt;&gt;"R2"),"×表以外の行（集計されない）",IF(COUNTIF($AN$5:AN282,AN282)&gt;1,"△重複（集計されない）",IF(G282="","△タスク名なし",IF(ISNA(MATCH(AQ282,'M1_類型マスタ'!$A$5:$A$19,0)),"△類型が不正",IF(OR(AP282="",N(AP282)&lt;1,N(AP282)&gt;6),"△業務区分が不正",IF(OR(AS282="",AT282=""),"△回数・分が読めない",IF(SUMPRODUCT(--ISNUMBER(--T282:Z282))&lt;7,"△採点が足りない",IF(SUMPRODUCT((--T282:Z282&gt;2)+(--T282:Z282&lt;0))&gt;0,"△採点が範囲外","OK"))))))))))))</f>
        <v/>
      </c>
      <c r="AC282">
        <f>IF(AB282&lt;&gt;"OK","",TRIM(IF(AND(AU282&lt;&gt;"",N(AU282)&lt;=1),"根拠1件 ","")&amp;IF(AV282&lt;&gt;"","同名あり ","")&amp;IF(AND(NOT(ISNUMBER(N282)),N282&lt;&gt;""),"回数を換算 ","")&amp;IF(J282="","詳細なし ","")&amp;IF(AND(N(AP282)=1,BB282=""),"顧客名なし ","")))</f>
        <v/>
      </c>
      <c r="AD282" s="31" t="n"/>
      <c r="AE282" s="32" t="n"/>
      <c r="AF282" s="32" t="n"/>
      <c r="AG282" s="31" t="n"/>
      <c r="AH282">
        <f>IF(AB282&lt;&gt;"OK","",IF(AG282&lt;&gt;"",AG282,AJ282))</f>
        <v/>
      </c>
      <c r="AI282" s="33">
        <f>IF(AB282&lt;&gt;"OK","",IFERROR(IF(AE282&lt;&gt;"",AE282,AS282)*IF(AF282&lt;&gt;"",AF282,AT282)/60,""))</f>
        <v/>
      </c>
      <c r="AJ282">
        <f>IF(AB282&lt;&gt;"OK","",IF(OR(VALUE(T282)=2,VALUE(U282)=2,VALUE(V282)=2),"社内残置",IF(AND(VALUE(T282)=0,VALUE(W282)=0,VALUE(Y282)=0),"自動化候補",IF(AND(VALUE(U282)=0,VALUE(W282)&lt;=1,VALUE(X282)&lt;=1,VALUE(Y282)&lt;=1,VALUE(Z282)&lt;=1),"オフショア候補",IF(AND(VALUE(Y282)&lt;=1,VALUE(Z282)&lt;=1),"ニアショア候補","社内で手順化→再評価")))))</f>
        <v/>
      </c>
      <c r="AK282">
        <f>IF(AB282&lt;&gt;"OK","",14-SUMPRODUCT(--T282:Z282))</f>
        <v/>
      </c>
      <c r="AL282" s="33">
        <f>IF(AB282&lt;&gt;"OK","",AS282*AT282/60)</f>
        <v/>
      </c>
      <c r="AM282" s="34">
        <f>IF(A282="","",UPPER(TRIM(ASC(A282&amp;""))))</f>
        <v/>
      </c>
      <c r="AN282" s="34">
        <f>IF(AM282="","",AM282&amp;"-"&amp;B282)</f>
        <v/>
      </c>
      <c r="AO282" s="34">
        <f>IF(C282="","",IFERROR(VALUE(ASC(SUBSTITUTE(C282&amp;"","観点",""))),""))</f>
        <v/>
      </c>
      <c r="AP282" s="34">
        <f>IF(D282="","",IFERROR(VALUE(LEFT(TRIM(ASC(D282&amp;"")),1)),IFERROR(MATCH(TRIM(D282&amp;""),'M2_区分マスタ'!$I$5:$I$10,0),"")))</f>
        <v/>
      </c>
      <c r="AQ282" s="34">
        <f>IF(H282="","",UPPER(LEFT(TRIM(ASC(H282&amp;"")),3)))</f>
        <v/>
      </c>
      <c r="AR282" s="34">
        <f>IF(N282="","",IFERROR(VALUE(SUBSTITUTE(SUBSTITUTE(SUBSTITUTE(SUBSTITUTE(SUBSTITUTE(SUBSTITUTE(SUBSTITUTE(SUBSTITUTE(SUBSTITUTE(SUBSTITUTE(SUBSTITUTE(SUBSTITUTE(ASC(N282&amp;""),"約",""),"程度",""),"ほど",""),"回",""),"毎",""),"週",""),"月",""),"年",""),"日",""),"に",""),"/","")," ","")),""))</f>
        <v/>
      </c>
      <c r="AS282" s="34">
        <f>IF(N282="","",IF(ISNUMBER(N282),N282,IFERROR(VALUE(ASC(N282&amp;"")),IF(AR282&lt;&gt;"",AR282*IF(ISNUMBER(SEARCH("週",N282)),4.3,IF(ISNUMBER(SEARCH("年",N282)),1/12,IF(ISNUMBER(SEARCH("日",N282)),20,1))),IF(ISNUMBER(SEARCH("日",N282)),20,IF(ISNUMBER(SEARCH("週",N282)),4.3,IF(ISNUMBER(SEARCH("月",N282)),1,"")))))))</f>
        <v/>
      </c>
      <c r="AT282" s="34">
        <f>IF(O282="","",IF(ISNUMBER(O282),O282,IFERROR(VALUE(ASC(O282&amp;"")),IF(ISNUMBER(SEARCH("時間",O282)),IFERROR(VALUE(SUBSTITUTE(SUBSTITUTE(SUBSTITUTE(SUBSTITUTE(SUBSTITUTE(ASC(O282&amp;""),"約",""),"程度",""),"ほど",""),"時間","")," ",""))*60,""),IFERROR(VALUE(SUBSTITUTE(SUBSTITUTE(SUBSTITUTE(SUBSTITUTE(SUBSTITUTE(ASC(O282&amp;""),"約",""),"程度",""),"ほど",""),"分","")," ","")),"")))))</f>
        <v/>
      </c>
      <c r="AU282" s="34">
        <f>IF(P282="","",IF(ISNUMBER(P282),P282,IFERROR(VALUE(SUBSTITUTE(SUBSTITUTE(SUBSTITUTE(ASC(P282&amp;""),"約",""),"件","")," ","")),"")))</f>
        <v/>
      </c>
      <c r="AV282" s="34">
        <f>IF(AB282&lt;&gt;"OK","",IF(COUNTIFS($G$5:$G$404,G282&amp;"",$F$5:$F$404,F282&amp;"",$BE$5:$BE$404,BE282&amp;"",$AB$5:$AB$404,"OK")&gt;1,"同名あり",""))</f>
        <v/>
      </c>
      <c r="AW282" s="35">
        <f>IF(Q282="","",IF(ISNUMBER(Q282),Q282,IFERROR(DATEVALUE(SUBSTITUTE(SUBSTITUTE(ASC(Q282&amp;""),"-","/"),".","/")&amp;"/01"),"")))</f>
        <v/>
      </c>
      <c r="AX282" s="35">
        <f>IF(R282="","",IF(ISNUMBER(R282),R282,IFERROR(DATEVALUE(SUBSTITUTE(SUBSTITUTE(ASC(R282&amp;""),"-","/"),".","/")&amp;"/01"),"")))</f>
        <v/>
      </c>
      <c r="AY282" s="34">
        <f>IF(OR(AB282&lt;&gt;"OK",AW282=""),"",IF(AW282&gt;='01_設定'!$C$26,1,0))</f>
        <v/>
      </c>
      <c r="AZ282" s="34">
        <f>IF(AND(AB282="OK",AD282&lt;&gt;"除外"),COUNTIFS($AB$5:AB282,"OK",$AD$5:AD282,"&lt;&gt;除外"),"")</f>
        <v/>
      </c>
      <c r="BA282" s="34">
        <f>IF(OR(AZ282="",AI282=""),"",AI282+ROW()/1000000000)</f>
        <v/>
      </c>
      <c r="BB282" s="34">
        <f>IF(E282="","",IF(OR(TRIM(E282&amp;"")="-",TRIM(E282&amp;"")="－",TRIM(E282&amp;"")="ー"),"",TRIM(E282&amp;"")))</f>
        <v/>
      </c>
      <c r="BC282" s="34">
        <f>IF(AND(AB282="OK",BB282&lt;&gt;""),IF(COUNTIFS($BB$5:BB282,BB282,$AB$5:AB282,"OK")=1,1,""),"")</f>
        <v/>
      </c>
      <c r="BD282" s="34">
        <f>IF(BC282=1,COUNTIF($BC$5:BC282,1),"")</f>
        <v/>
      </c>
      <c r="BE282" s="34">
        <f>IF(BB282="","",IFERROR(INDEX('06_顧客別集計'!$G$5:$G$104,MATCH(BB282,'06_顧客別集計'!$C$5:$C$104,0)),BB282))</f>
        <v/>
      </c>
      <c r="BF282" s="34">
        <f>IF(AND(AZ282&lt;&gt;"",BE282&lt;&gt;""),IF(COUNTIFS($BE$5:BE282,BE282,$AZ$5:AZ282,"&gt;0")=1,1,""),"")</f>
        <v/>
      </c>
      <c r="BG282" s="34">
        <f>IF(BF282=1,COUNTIF($BF$5:BF282,1),"")</f>
        <v/>
      </c>
    </row>
    <row r="283">
      <c r="AB283">
        <f>IF(AND(A283="",G283=""),"",IF(ISNUMBER(SEARCH("##END",AM283)),"（終わりの印）",IF(ISNUMBER(SEARCH("##続き",AM283)),"（続きありの印）",IF(AM283="調査ID","（見出し行）",IF(AND(AM283&lt;&gt;"R1",AM283&lt;&gt;"R2"),"×表以外の行（集計されない）",IF(COUNTIF($AN$5:AN283,AN283)&gt;1,"△重複（集計されない）",IF(G283="","△タスク名なし",IF(ISNA(MATCH(AQ283,'M1_類型マスタ'!$A$5:$A$19,0)),"△類型が不正",IF(OR(AP283="",N(AP283)&lt;1,N(AP283)&gt;6),"△業務区分が不正",IF(OR(AS283="",AT283=""),"△回数・分が読めない",IF(SUMPRODUCT(--ISNUMBER(--T283:Z283))&lt;7,"△採点が足りない",IF(SUMPRODUCT((--T283:Z283&gt;2)+(--T283:Z283&lt;0))&gt;0,"△採点が範囲外","OK"))))))))))))</f>
        <v/>
      </c>
      <c r="AC283">
        <f>IF(AB283&lt;&gt;"OK","",TRIM(IF(AND(AU283&lt;&gt;"",N(AU283)&lt;=1),"根拠1件 ","")&amp;IF(AV283&lt;&gt;"","同名あり ","")&amp;IF(AND(NOT(ISNUMBER(N283)),N283&lt;&gt;""),"回数を換算 ","")&amp;IF(J283="","詳細なし ","")&amp;IF(AND(N(AP283)=1,BB283=""),"顧客名なし ","")))</f>
        <v/>
      </c>
      <c r="AD283" s="31" t="n"/>
      <c r="AE283" s="32" t="n"/>
      <c r="AF283" s="32" t="n"/>
      <c r="AG283" s="31" t="n"/>
      <c r="AH283">
        <f>IF(AB283&lt;&gt;"OK","",IF(AG283&lt;&gt;"",AG283,AJ283))</f>
        <v/>
      </c>
      <c r="AI283" s="33">
        <f>IF(AB283&lt;&gt;"OK","",IFERROR(IF(AE283&lt;&gt;"",AE283,AS283)*IF(AF283&lt;&gt;"",AF283,AT283)/60,""))</f>
        <v/>
      </c>
      <c r="AJ283">
        <f>IF(AB283&lt;&gt;"OK","",IF(OR(VALUE(T283)=2,VALUE(U283)=2,VALUE(V283)=2),"社内残置",IF(AND(VALUE(T283)=0,VALUE(W283)=0,VALUE(Y283)=0),"自動化候補",IF(AND(VALUE(U283)=0,VALUE(W283)&lt;=1,VALUE(X283)&lt;=1,VALUE(Y283)&lt;=1,VALUE(Z283)&lt;=1),"オフショア候補",IF(AND(VALUE(Y283)&lt;=1,VALUE(Z283)&lt;=1),"ニアショア候補","社内で手順化→再評価")))))</f>
        <v/>
      </c>
      <c r="AK283">
        <f>IF(AB283&lt;&gt;"OK","",14-SUMPRODUCT(--T283:Z283))</f>
        <v/>
      </c>
      <c r="AL283" s="33">
        <f>IF(AB283&lt;&gt;"OK","",AS283*AT283/60)</f>
        <v/>
      </c>
      <c r="AM283" s="34">
        <f>IF(A283="","",UPPER(TRIM(ASC(A283&amp;""))))</f>
        <v/>
      </c>
      <c r="AN283" s="34">
        <f>IF(AM283="","",AM283&amp;"-"&amp;B283)</f>
        <v/>
      </c>
      <c r="AO283" s="34">
        <f>IF(C283="","",IFERROR(VALUE(ASC(SUBSTITUTE(C283&amp;"","観点",""))),""))</f>
        <v/>
      </c>
      <c r="AP283" s="34">
        <f>IF(D283="","",IFERROR(VALUE(LEFT(TRIM(ASC(D283&amp;"")),1)),IFERROR(MATCH(TRIM(D283&amp;""),'M2_区分マスタ'!$I$5:$I$10,0),"")))</f>
        <v/>
      </c>
      <c r="AQ283" s="34">
        <f>IF(H283="","",UPPER(LEFT(TRIM(ASC(H283&amp;"")),3)))</f>
        <v/>
      </c>
      <c r="AR283" s="34">
        <f>IF(N283="","",IFERROR(VALUE(SUBSTITUTE(SUBSTITUTE(SUBSTITUTE(SUBSTITUTE(SUBSTITUTE(SUBSTITUTE(SUBSTITUTE(SUBSTITUTE(SUBSTITUTE(SUBSTITUTE(SUBSTITUTE(SUBSTITUTE(ASC(N283&amp;""),"約",""),"程度",""),"ほど",""),"回",""),"毎",""),"週",""),"月",""),"年",""),"日",""),"に",""),"/","")," ","")),""))</f>
        <v/>
      </c>
      <c r="AS283" s="34">
        <f>IF(N283="","",IF(ISNUMBER(N283),N283,IFERROR(VALUE(ASC(N283&amp;"")),IF(AR283&lt;&gt;"",AR283*IF(ISNUMBER(SEARCH("週",N283)),4.3,IF(ISNUMBER(SEARCH("年",N283)),1/12,IF(ISNUMBER(SEARCH("日",N283)),20,1))),IF(ISNUMBER(SEARCH("日",N283)),20,IF(ISNUMBER(SEARCH("週",N283)),4.3,IF(ISNUMBER(SEARCH("月",N283)),1,"")))))))</f>
        <v/>
      </c>
      <c r="AT283" s="34">
        <f>IF(O283="","",IF(ISNUMBER(O283),O283,IFERROR(VALUE(ASC(O283&amp;"")),IF(ISNUMBER(SEARCH("時間",O283)),IFERROR(VALUE(SUBSTITUTE(SUBSTITUTE(SUBSTITUTE(SUBSTITUTE(SUBSTITUTE(ASC(O283&amp;""),"約",""),"程度",""),"ほど",""),"時間","")," ",""))*60,""),IFERROR(VALUE(SUBSTITUTE(SUBSTITUTE(SUBSTITUTE(SUBSTITUTE(SUBSTITUTE(ASC(O283&amp;""),"約",""),"程度",""),"ほど",""),"分","")," ","")),"")))))</f>
        <v/>
      </c>
      <c r="AU283" s="34">
        <f>IF(P283="","",IF(ISNUMBER(P283),P283,IFERROR(VALUE(SUBSTITUTE(SUBSTITUTE(SUBSTITUTE(ASC(P283&amp;""),"約",""),"件","")," ","")),"")))</f>
        <v/>
      </c>
      <c r="AV283" s="34">
        <f>IF(AB283&lt;&gt;"OK","",IF(COUNTIFS($G$5:$G$404,G283&amp;"",$F$5:$F$404,F283&amp;"",$BE$5:$BE$404,BE283&amp;"",$AB$5:$AB$404,"OK")&gt;1,"同名あり",""))</f>
        <v/>
      </c>
      <c r="AW283" s="35">
        <f>IF(Q283="","",IF(ISNUMBER(Q283),Q283,IFERROR(DATEVALUE(SUBSTITUTE(SUBSTITUTE(ASC(Q283&amp;""),"-","/"),".","/")&amp;"/01"),"")))</f>
        <v/>
      </c>
      <c r="AX283" s="35">
        <f>IF(R283="","",IF(ISNUMBER(R283),R283,IFERROR(DATEVALUE(SUBSTITUTE(SUBSTITUTE(ASC(R283&amp;""),"-","/"),".","/")&amp;"/01"),"")))</f>
        <v/>
      </c>
      <c r="AY283" s="34">
        <f>IF(OR(AB283&lt;&gt;"OK",AW283=""),"",IF(AW283&gt;='01_設定'!$C$26,1,0))</f>
        <v/>
      </c>
      <c r="AZ283" s="34">
        <f>IF(AND(AB283="OK",AD283&lt;&gt;"除外"),COUNTIFS($AB$5:AB283,"OK",$AD$5:AD283,"&lt;&gt;除外"),"")</f>
        <v/>
      </c>
      <c r="BA283" s="34">
        <f>IF(OR(AZ283="",AI283=""),"",AI283+ROW()/1000000000)</f>
        <v/>
      </c>
      <c r="BB283" s="34">
        <f>IF(E283="","",IF(OR(TRIM(E283&amp;"")="-",TRIM(E283&amp;"")="－",TRIM(E283&amp;"")="ー"),"",TRIM(E283&amp;"")))</f>
        <v/>
      </c>
      <c r="BC283" s="34">
        <f>IF(AND(AB283="OK",BB283&lt;&gt;""),IF(COUNTIFS($BB$5:BB283,BB283,$AB$5:AB283,"OK")=1,1,""),"")</f>
        <v/>
      </c>
      <c r="BD283" s="34">
        <f>IF(BC283=1,COUNTIF($BC$5:BC283,1),"")</f>
        <v/>
      </c>
      <c r="BE283" s="34">
        <f>IF(BB283="","",IFERROR(INDEX('06_顧客別集計'!$G$5:$G$104,MATCH(BB283,'06_顧客別集計'!$C$5:$C$104,0)),BB283))</f>
        <v/>
      </c>
      <c r="BF283" s="34">
        <f>IF(AND(AZ283&lt;&gt;"",BE283&lt;&gt;""),IF(COUNTIFS($BE$5:BE283,BE283,$AZ$5:AZ283,"&gt;0")=1,1,""),"")</f>
        <v/>
      </c>
      <c r="BG283" s="34">
        <f>IF(BF283=1,COUNTIF($BF$5:BF283,1),"")</f>
        <v/>
      </c>
    </row>
    <row r="284">
      <c r="AB284">
        <f>IF(AND(A284="",G284=""),"",IF(ISNUMBER(SEARCH("##END",AM284)),"（終わりの印）",IF(ISNUMBER(SEARCH("##続き",AM284)),"（続きありの印）",IF(AM284="調査ID","（見出し行）",IF(AND(AM284&lt;&gt;"R1",AM284&lt;&gt;"R2"),"×表以外の行（集計されない）",IF(COUNTIF($AN$5:AN284,AN284)&gt;1,"△重複（集計されない）",IF(G284="","△タスク名なし",IF(ISNA(MATCH(AQ284,'M1_類型マスタ'!$A$5:$A$19,0)),"△類型が不正",IF(OR(AP284="",N(AP284)&lt;1,N(AP284)&gt;6),"△業務区分が不正",IF(OR(AS284="",AT284=""),"△回数・分が読めない",IF(SUMPRODUCT(--ISNUMBER(--T284:Z284))&lt;7,"△採点が足りない",IF(SUMPRODUCT((--T284:Z284&gt;2)+(--T284:Z284&lt;0))&gt;0,"△採点が範囲外","OK"))))))))))))</f>
        <v/>
      </c>
      <c r="AC284">
        <f>IF(AB284&lt;&gt;"OK","",TRIM(IF(AND(AU284&lt;&gt;"",N(AU284)&lt;=1),"根拠1件 ","")&amp;IF(AV284&lt;&gt;"","同名あり ","")&amp;IF(AND(NOT(ISNUMBER(N284)),N284&lt;&gt;""),"回数を換算 ","")&amp;IF(J284="","詳細なし ","")&amp;IF(AND(N(AP284)=1,BB284=""),"顧客名なし ","")))</f>
        <v/>
      </c>
      <c r="AD284" s="31" t="n"/>
      <c r="AE284" s="32" t="n"/>
      <c r="AF284" s="32" t="n"/>
      <c r="AG284" s="31" t="n"/>
      <c r="AH284">
        <f>IF(AB284&lt;&gt;"OK","",IF(AG284&lt;&gt;"",AG284,AJ284))</f>
        <v/>
      </c>
      <c r="AI284" s="33">
        <f>IF(AB284&lt;&gt;"OK","",IFERROR(IF(AE284&lt;&gt;"",AE284,AS284)*IF(AF284&lt;&gt;"",AF284,AT284)/60,""))</f>
        <v/>
      </c>
      <c r="AJ284">
        <f>IF(AB284&lt;&gt;"OK","",IF(OR(VALUE(T284)=2,VALUE(U284)=2,VALUE(V284)=2),"社内残置",IF(AND(VALUE(T284)=0,VALUE(W284)=0,VALUE(Y284)=0),"自動化候補",IF(AND(VALUE(U284)=0,VALUE(W284)&lt;=1,VALUE(X284)&lt;=1,VALUE(Y284)&lt;=1,VALUE(Z284)&lt;=1),"オフショア候補",IF(AND(VALUE(Y284)&lt;=1,VALUE(Z284)&lt;=1),"ニアショア候補","社内で手順化→再評価")))))</f>
        <v/>
      </c>
      <c r="AK284">
        <f>IF(AB284&lt;&gt;"OK","",14-SUMPRODUCT(--T284:Z284))</f>
        <v/>
      </c>
      <c r="AL284" s="33">
        <f>IF(AB284&lt;&gt;"OK","",AS284*AT284/60)</f>
        <v/>
      </c>
      <c r="AM284" s="34">
        <f>IF(A284="","",UPPER(TRIM(ASC(A284&amp;""))))</f>
        <v/>
      </c>
      <c r="AN284" s="34">
        <f>IF(AM284="","",AM284&amp;"-"&amp;B284)</f>
        <v/>
      </c>
      <c r="AO284" s="34">
        <f>IF(C284="","",IFERROR(VALUE(ASC(SUBSTITUTE(C284&amp;"","観点",""))),""))</f>
        <v/>
      </c>
      <c r="AP284" s="34">
        <f>IF(D284="","",IFERROR(VALUE(LEFT(TRIM(ASC(D284&amp;"")),1)),IFERROR(MATCH(TRIM(D284&amp;""),'M2_区分マスタ'!$I$5:$I$10,0),"")))</f>
        <v/>
      </c>
      <c r="AQ284" s="34">
        <f>IF(H284="","",UPPER(LEFT(TRIM(ASC(H284&amp;"")),3)))</f>
        <v/>
      </c>
      <c r="AR284" s="34">
        <f>IF(N284="","",IFERROR(VALUE(SUBSTITUTE(SUBSTITUTE(SUBSTITUTE(SUBSTITUTE(SUBSTITUTE(SUBSTITUTE(SUBSTITUTE(SUBSTITUTE(SUBSTITUTE(SUBSTITUTE(SUBSTITUTE(SUBSTITUTE(ASC(N284&amp;""),"約",""),"程度",""),"ほど",""),"回",""),"毎",""),"週",""),"月",""),"年",""),"日",""),"に",""),"/","")," ","")),""))</f>
        <v/>
      </c>
      <c r="AS284" s="34">
        <f>IF(N284="","",IF(ISNUMBER(N284),N284,IFERROR(VALUE(ASC(N284&amp;"")),IF(AR284&lt;&gt;"",AR284*IF(ISNUMBER(SEARCH("週",N284)),4.3,IF(ISNUMBER(SEARCH("年",N284)),1/12,IF(ISNUMBER(SEARCH("日",N284)),20,1))),IF(ISNUMBER(SEARCH("日",N284)),20,IF(ISNUMBER(SEARCH("週",N284)),4.3,IF(ISNUMBER(SEARCH("月",N284)),1,"")))))))</f>
        <v/>
      </c>
      <c r="AT284" s="34">
        <f>IF(O284="","",IF(ISNUMBER(O284),O284,IFERROR(VALUE(ASC(O284&amp;"")),IF(ISNUMBER(SEARCH("時間",O284)),IFERROR(VALUE(SUBSTITUTE(SUBSTITUTE(SUBSTITUTE(SUBSTITUTE(SUBSTITUTE(ASC(O284&amp;""),"約",""),"程度",""),"ほど",""),"時間","")," ",""))*60,""),IFERROR(VALUE(SUBSTITUTE(SUBSTITUTE(SUBSTITUTE(SUBSTITUTE(SUBSTITUTE(ASC(O284&amp;""),"約",""),"程度",""),"ほど",""),"分","")," ","")),"")))))</f>
        <v/>
      </c>
      <c r="AU284" s="34">
        <f>IF(P284="","",IF(ISNUMBER(P284),P284,IFERROR(VALUE(SUBSTITUTE(SUBSTITUTE(SUBSTITUTE(ASC(P284&amp;""),"約",""),"件","")," ","")),"")))</f>
        <v/>
      </c>
      <c r="AV284" s="34">
        <f>IF(AB284&lt;&gt;"OK","",IF(COUNTIFS($G$5:$G$404,G284&amp;"",$F$5:$F$404,F284&amp;"",$BE$5:$BE$404,BE284&amp;"",$AB$5:$AB$404,"OK")&gt;1,"同名あり",""))</f>
        <v/>
      </c>
      <c r="AW284" s="35">
        <f>IF(Q284="","",IF(ISNUMBER(Q284),Q284,IFERROR(DATEVALUE(SUBSTITUTE(SUBSTITUTE(ASC(Q284&amp;""),"-","/"),".","/")&amp;"/01"),"")))</f>
        <v/>
      </c>
      <c r="AX284" s="35">
        <f>IF(R284="","",IF(ISNUMBER(R284),R284,IFERROR(DATEVALUE(SUBSTITUTE(SUBSTITUTE(ASC(R284&amp;""),"-","/"),".","/")&amp;"/01"),"")))</f>
        <v/>
      </c>
      <c r="AY284" s="34">
        <f>IF(OR(AB284&lt;&gt;"OK",AW284=""),"",IF(AW284&gt;='01_設定'!$C$26,1,0))</f>
        <v/>
      </c>
      <c r="AZ284" s="34">
        <f>IF(AND(AB284="OK",AD284&lt;&gt;"除外"),COUNTIFS($AB$5:AB284,"OK",$AD$5:AD284,"&lt;&gt;除外"),"")</f>
        <v/>
      </c>
      <c r="BA284" s="34">
        <f>IF(OR(AZ284="",AI284=""),"",AI284+ROW()/1000000000)</f>
        <v/>
      </c>
      <c r="BB284" s="34">
        <f>IF(E284="","",IF(OR(TRIM(E284&amp;"")="-",TRIM(E284&amp;"")="－",TRIM(E284&amp;"")="ー"),"",TRIM(E284&amp;"")))</f>
        <v/>
      </c>
      <c r="BC284" s="34">
        <f>IF(AND(AB284="OK",BB284&lt;&gt;""),IF(COUNTIFS($BB$5:BB284,BB284,$AB$5:AB284,"OK")=1,1,""),"")</f>
        <v/>
      </c>
      <c r="BD284" s="34">
        <f>IF(BC284=1,COUNTIF($BC$5:BC284,1),"")</f>
        <v/>
      </c>
      <c r="BE284" s="34">
        <f>IF(BB284="","",IFERROR(INDEX('06_顧客別集計'!$G$5:$G$104,MATCH(BB284,'06_顧客別集計'!$C$5:$C$104,0)),BB284))</f>
        <v/>
      </c>
      <c r="BF284" s="34">
        <f>IF(AND(AZ284&lt;&gt;"",BE284&lt;&gt;""),IF(COUNTIFS($BE$5:BE284,BE284,$AZ$5:AZ284,"&gt;0")=1,1,""),"")</f>
        <v/>
      </c>
      <c r="BG284" s="34">
        <f>IF(BF284=1,COUNTIF($BF$5:BF284,1),"")</f>
        <v/>
      </c>
    </row>
    <row r="285">
      <c r="AB285">
        <f>IF(AND(A285="",G285=""),"",IF(ISNUMBER(SEARCH("##END",AM285)),"（終わりの印）",IF(ISNUMBER(SEARCH("##続き",AM285)),"（続きありの印）",IF(AM285="調査ID","（見出し行）",IF(AND(AM285&lt;&gt;"R1",AM285&lt;&gt;"R2"),"×表以外の行（集計されない）",IF(COUNTIF($AN$5:AN285,AN285)&gt;1,"△重複（集計されない）",IF(G285="","△タスク名なし",IF(ISNA(MATCH(AQ285,'M1_類型マスタ'!$A$5:$A$19,0)),"△類型が不正",IF(OR(AP285="",N(AP285)&lt;1,N(AP285)&gt;6),"△業務区分が不正",IF(OR(AS285="",AT285=""),"△回数・分が読めない",IF(SUMPRODUCT(--ISNUMBER(--T285:Z285))&lt;7,"△採点が足りない",IF(SUMPRODUCT((--T285:Z285&gt;2)+(--T285:Z285&lt;0))&gt;0,"△採点が範囲外","OK"))))))))))))</f>
        <v/>
      </c>
      <c r="AC285">
        <f>IF(AB285&lt;&gt;"OK","",TRIM(IF(AND(AU285&lt;&gt;"",N(AU285)&lt;=1),"根拠1件 ","")&amp;IF(AV285&lt;&gt;"","同名あり ","")&amp;IF(AND(NOT(ISNUMBER(N285)),N285&lt;&gt;""),"回数を換算 ","")&amp;IF(J285="","詳細なし ","")&amp;IF(AND(N(AP285)=1,BB285=""),"顧客名なし ","")))</f>
        <v/>
      </c>
      <c r="AD285" s="31" t="n"/>
      <c r="AE285" s="32" t="n"/>
      <c r="AF285" s="32" t="n"/>
      <c r="AG285" s="31" t="n"/>
      <c r="AH285">
        <f>IF(AB285&lt;&gt;"OK","",IF(AG285&lt;&gt;"",AG285,AJ285))</f>
        <v/>
      </c>
      <c r="AI285" s="33">
        <f>IF(AB285&lt;&gt;"OK","",IFERROR(IF(AE285&lt;&gt;"",AE285,AS285)*IF(AF285&lt;&gt;"",AF285,AT285)/60,""))</f>
        <v/>
      </c>
      <c r="AJ285">
        <f>IF(AB285&lt;&gt;"OK","",IF(OR(VALUE(T285)=2,VALUE(U285)=2,VALUE(V285)=2),"社内残置",IF(AND(VALUE(T285)=0,VALUE(W285)=0,VALUE(Y285)=0),"自動化候補",IF(AND(VALUE(U285)=0,VALUE(W285)&lt;=1,VALUE(X285)&lt;=1,VALUE(Y285)&lt;=1,VALUE(Z285)&lt;=1),"オフショア候補",IF(AND(VALUE(Y285)&lt;=1,VALUE(Z285)&lt;=1),"ニアショア候補","社内で手順化→再評価")))))</f>
        <v/>
      </c>
      <c r="AK285">
        <f>IF(AB285&lt;&gt;"OK","",14-SUMPRODUCT(--T285:Z285))</f>
        <v/>
      </c>
      <c r="AL285" s="33">
        <f>IF(AB285&lt;&gt;"OK","",AS285*AT285/60)</f>
        <v/>
      </c>
      <c r="AM285" s="34">
        <f>IF(A285="","",UPPER(TRIM(ASC(A285&amp;""))))</f>
        <v/>
      </c>
      <c r="AN285" s="34">
        <f>IF(AM285="","",AM285&amp;"-"&amp;B285)</f>
        <v/>
      </c>
      <c r="AO285" s="34">
        <f>IF(C285="","",IFERROR(VALUE(ASC(SUBSTITUTE(C285&amp;"","観点",""))),""))</f>
        <v/>
      </c>
      <c r="AP285" s="34">
        <f>IF(D285="","",IFERROR(VALUE(LEFT(TRIM(ASC(D285&amp;"")),1)),IFERROR(MATCH(TRIM(D285&amp;""),'M2_区分マスタ'!$I$5:$I$10,0),"")))</f>
        <v/>
      </c>
      <c r="AQ285" s="34">
        <f>IF(H285="","",UPPER(LEFT(TRIM(ASC(H285&amp;"")),3)))</f>
        <v/>
      </c>
      <c r="AR285" s="34">
        <f>IF(N285="","",IFERROR(VALUE(SUBSTITUTE(SUBSTITUTE(SUBSTITUTE(SUBSTITUTE(SUBSTITUTE(SUBSTITUTE(SUBSTITUTE(SUBSTITUTE(SUBSTITUTE(SUBSTITUTE(SUBSTITUTE(SUBSTITUTE(ASC(N285&amp;""),"約",""),"程度",""),"ほど",""),"回",""),"毎",""),"週",""),"月",""),"年",""),"日",""),"に",""),"/","")," ","")),""))</f>
        <v/>
      </c>
      <c r="AS285" s="34">
        <f>IF(N285="","",IF(ISNUMBER(N285),N285,IFERROR(VALUE(ASC(N285&amp;"")),IF(AR285&lt;&gt;"",AR285*IF(ISNUMBER(SEARCH("週",N285)),4.3,IF(ISNUMBER(SEARCH("年",N285)),1/12,IF(ISNUMBER(SEARCH("日",N285)),20,1))),IF(ISNUMBER(SEARCH("日",N285)),20,IF(ISNUMBER(SEARCH("週",N285)),4.3,IF(ISNUMBER(SEARCH("月",N285)),1,"")))))))</f>
        <v/>
      </c>
      <c r="AT285" s="34">
        <f>IF(O285="","",IF(ISNUMBER(O285),O285,IFERROR(VALUE(ASC(O285&amp;"")),IF(ISNUMBER(SEARCH("時間",O285)),IFERROR(VALUE(SUBSTITUTE(SUBSTITUTE(SUBSTITUTE(SUBSTITUTE(SUBSTITUTE(ASC(O285&amp;""),"約",""),"程度",""),"ほど",""),"時間","")," ",""))*60,""),IFERROR(VALUE(SUBSTITUTE(SUBSTITUTE(SUBSTITUTE(SUBSTITUTE(SUBSTITUTE(ASC(O285&amp;""),"約",""),"程度",""),"ほど",""),"分","")," ","")),"")))))</f>
        <v/>
      </c>
      <c r="AU285" s="34">
        <f>IF(P285="","",IF(ISNUMBER(P285),P285,IFERROR(VALUE(SUBSTITUTE(SUBSTITUTE(SUBSTITUTE(ASC(P285&amp;""),"約",""),"件","")," ","")),"")))</f>
        <v/>
      </c>
      <c r="AV285" s="34">
        <f>IF(AB285&lt;&gt;"OK","",IF(COUNTIFS($G$5:$G$404,G285&amp;"",$F$5:$F$404,F285&amp;"",$BE$5:$BE$404,BE285&amp;"",$AB$5:$AB$404,"OK")&gt;1,"同名あり",""))</f>
        <v/>
      </c>
      <c r="AW285" s="35">
        <f>IF(Q285="","",IF(ISNUMBER(Q285),Q285,IFERROR(DATEVALUE(SUBSTITUTE(SUBSTITUTE(ASC(Q285&amp;""),"-","/"),".","/")&amp;"/01"),"")))</f>
        <v/>
      </c>
      <c r="AX285" s="35">
        <f>IF(R285="","",IF(ISNUMBER(R285),R285,IFERROR(DATEVALUE(SUBSTITUTE(SUBSTITUTE(ASC(R285&amp;""),"-","/"),".","/")&amp;"/01"),"")))</f>
        <v/>
      </c>
      <c r="AY285" s="34">
        <f>IF(OR(AB285&lt;&gt;"OK",AW285=""),"",IF(AW285&gt;='01_設定'!$C$26,1,0))</f>
        <v/>
      </c>
      <c r="AZ285" s="34">
        <f>IF(AND(AB285="OK",AD285&lt;&gt;"除外"),COUNTIFS($AB$5:AB285,"OK",$AD$5:AD285,"&lt;&gt;除外"),"")</f>
        <v/>
      </c>
      <c r="BA285" s="34">
        <f>IF(OR(AZ285="",AI285=""),"",AI285+ROW()/1000000000)</f>
        <v/>
      </c>
      <c r="BB285" s="34">
        <f>IF(E285="","",IF(OR(TRIM(E285&amp;"")="-",TRIM(E285&amp;"")="－",TRIM(E285&amp;"")="ー"),"",TRIM(E285&amp;"")))</f>
        <v/>
      </c>
      <c r="BC285" s="34">
        <f>IF(AND(AB285="OK",BB285&lt;&gt;""),IF(COUNTIFS($BB$5:BB285,BB285,$AB$5:AB285,"OK")=1,1,""),"")</f>
        <v/>
      </c>
      <c r="BD285" s="34">
        <f>IF(BC285=1,COUNTIF($BC$5:BC285,1),"")</f>
        <v/>
      </c>
      <c r="BE285" s="34">
        <f>IF(BB285="","",IFERROR(INDEX('06_顧客別集計'!$G$5:$G$104,MATCH(BB285,'06_顧客別集計'!$C$5:$C$104,0)),BB285))</f>
        <v/>
      </c>
      <c r="BF285" s="34">
        <f>IF(AND(AZ285&lt;&gt;"",BE285&lt;&gt;""),IF(COUNTIFS($BE$5:BE285,BE285,$AZ$5:AZ285,"&gt;0")=1,1,""),"")</f>
        <v/>
      </c>
      <c r="BG285" s="34">
        <f>IF(BF285=1,COUNTIF($BF$5:BF285,1),"")</f>
        <v/>
      </c>
    </row>
    <row r="286">
      <c r="AB286">
        <f>IF(AND(A286="",G286=""),"",IF(ISNUMBER(SEARCH("##END",AM286)),"（終わりの印）",IF(ISNUMBER(SEARCH("##続き",AM286)),"（続きありの印）",IF(AM286="調査ID","（見出し行）",IF(AND(AM286&lt;&gt;"R1",AM286&lt;&gt;"R2"),"×表以外の行（集計されない）",IF(COUNTIF($AN$5:AN286,AN286)&gt;1,"△重複（集計されない）",IF(G286="","△タスク名なし",IF(ISNA(MATCH(AQ286,'M1_類型マスタ'!$A$5:$A$19,0)),"△類型が不正",IF(OR(AP286="",N(AP286)&lt;1,N(AP286)&gt;6),"△業務区分が不正",IF(OR(AS286="",AT286=""),"△回数・分が読めない",IF(SUMPRODUCT(--ISNUMBER(--T286:Z286))&lt;7,"△採点が足りない",IF(SUMPRODUCT((--T286:Z286&gt;2)+(--T286:Z286&lt;0))&gt;0,"△採点が範囲外","OK"))))))))))))</f>
        <v/>
      </c>
      <c r="AC286">
        <f>IF(AB286&lt;&gt;"OK","",TRIM(IF(AND(AU286&lt;&gt;"",N(AU286)&lt;=1),"根拠1件 ","")&amp;IF(AV286&lt;&gt;"","同名あり ","")&amp;IF(AND(NOT(ISNUMBER(N286)),N286&lt;&gt;""),"回数を換算 ","")&amp;IF(J286="","詳細なし ","")&amp;IF(AND(N(AP286)=1,BB286=""),"顧客名なし ","")))</f>
        <v/>
      </c>
      <c r="AD286" s="31" t="n"/>
      <c r="AE286" s="32" t="n"/>
      <c r="AF286" s="32" t="n"/>
      <c r="AG286" s="31" t="n"/>
      <c r="AH286">
        <f>IF(AB286&lt;&gt;"OK","",IF(AG286&lt;&gt;"",AG286,AJ286))</f>
        <v/>
      </c>
      <c r="AI286" s="33">
        <f>IF(AB286&lt;&gt;"OK","",IFERROR(IF(AE286&lt;&gt;"",AE286,AS286)*IF(AF286&lt;&gt;"",AF286,AT286)/60,""))</f>
        <v/>
      </c>
      <c r="AJ286">
        <f>IF(AB286&lt;&gt;"OK","",IF(OR(VALUE(T286)=2,VALUE(U286)=2,VALUE(V286)=2),"社内残置",IF(AND(VALUE(T286)=0,VALUE(W286)=0,VALUE(Y286)=0),"自動化候補",IF(AND(VALUE(U286)=0,VALUE(W286)&lt;=1,VALUE(X286)&lt;=1,VALUE(Y286)&lt;=1,VALUE(Z286)&lt;=1),"オフショア候補",IF(AND(VALUE(Y286)&lt;=1,VALUE(Z286)&lt;=1),"ニアショア候補","社内で手順化→再評価")))))</f>
        <v/>
      </c>
      <c r="AK286">
        <f>IF(AB286&lt;&gt;"OK","",14-SUMPRODUCT(--T286:Z286))</f>
        <v/>
      </c>
      <c r="AL286" s="33">
        <f>IF(AB286&lt;&gt;"OK","",AS286*AT286/60)</f>
        <v/>
      </c>
      <c r="AM286" s="34">
        <f>IF(A286="","",UPPER(TRIM(ASC(A286&amp;""))))</f>
        <v/>
      </c>
      <c r="AN286" s="34">
        <f>IF(AM286="","",AM286&amp;"-"&amp;B286)</f>
        <v/>
      </c>
      <c r="AO286" s="34">
        <f>IF(C286="","",IFERROR(VALUE(ASC(SUBSTITUTE(C286&amp;"","観点",""))),""))</f>
        <v/>
      </c>
      <c r="AP286" s="34">
        <f>IF(D286="","",IFERROR(VALUE(LEFT(TRIM(ASC(D286&amp;"")),1)),IFERROR(MATCH(TRIM(D286&amp;""),'M2_区分マスタ'!$I$5:$I$10,0),"")))</f>
        <v/>
      </c>
      <c r="AQ286" s="34">
        <f>IF(H286="","",UPPER(LEFT(TRIM(ASC(H286&amp;"")),3)))</f>
        <v/>
      </c>
      <c r="AR286" s="34">
        <f>IF(N286="","",IFERROR(VALUE(SUBSTITUTE(SUBSTITUTE(SUBSTITUTE(SUBSTITUTE(SUBSTITUTE(SUBSTITUTE(SUBSTITUTE(SUBSTITUTE(SUBSTITUTE(SUBSTITUTE(SUBSTITUTE(SUBSTITUTE(ASC(N286&amp;""),"約",""),"程度",""),"ほど",""),"回",""),"毎",""),"週",""),"月",""),"年",""),"日",""),"に",""),"/","")," ","")),""))</f>
        <v/>
      </c>
      <c r="AS286" s="34">
        <f>IF(N286="","",IF(ISNUMBER(N286),N286,IFERROR(VALUE(ASC(N286&amp;"")),IF(AR286&lt;&gt;"",AR286*IF(ISNUMBER(SEARCH("週",N286)),4.3,IF(ISNUMBER(SEARCH("年",N286)),1/12,IF(ISNUMBER(SEARCH("日",N286)),20,1))),IF(ISNUMBER(SEARCH("日",N286)),20,IF(ISNUMBER(SEARCH("週",N286)),4.3,IF(ISNUMBER(SEARCH("月",N286)),1,"")))))))</f>
        <v/>
      </c>
      <c r="AT286" s="34">
        <f>IF(O286="","",IF(ISNUMBER(O286),O286,IFERROR(VALUE(ASC(O286&amp;"")),IF(ISNUMBER(SEARCH("時間",O286)),IFERROR(VALUE(SUBSTITUTE(SUBSTITUTE(SUBSTITUTE(SUBSTITUTE(SUBSTITUTE(ASC(O286&amp;""),"約",""),"程度",""),"ほど",""),"時間","")," ",""))*60,""),IFERROR(VALUE(SUBSTITUTE(SUBSTITUTE(SUBSTITUTE(SUBSTITUTE(SUBSTITUTE(ASC(O286&amp;""),"約",""),"程度",""),"ほど",""),"分","")," ","")),"")))))</f>
        <v/>
      </c>
      <c r="AU286" s="34">
        <f>IF(P286="","",IF(ISNUMBER(P286),P286,IFERROR(VALUE(SUBSTITUTE(SUBSTITUTE(SUBSTITUTE(ASC(P286&amp;""),"約",""),"件","")," ","")),"")))</f>
        <v/>
      </c>
      <c r="AV286" s="34">
        <f>IF(AB286&lt;&gt;"OK","",IF(COUNTIFS($G$5:$G$404,G286&amp;"",$F$5:$F$404,F286&amp;"",$BE$5:$BE$404,BE286&amp;"",$AB$5:$AB$404,"OK")&gt;1,"同名あり",""))</f>
        <v/>
      </c>
      <c r="AW286" s="35">
        <f>IF(Q286="","",IF(ISNUMBER(Q286),Q286,IFERROR(DATEVALUE(SUBSTITUTE(SUBSTITUTE(ASC(Q286&amp;""),"-","/"),".","/")&amp;"/01"),"")))</f>
        <v/>
      </c>
      <c r="AX286" s="35">
        <f>IF(R286="","",IF(ISNUMBER(R286),R286,IFERROR(DATEVALUE(SUBSTITUTE(SUBSTITUTE(ASC(R286&amp;""),"-","/"),".","/")&amp;"/01"),"")))</f>
        <v/>
      </c>
      <c r="AY286" s="34">
        <f>IF(OR(AB286&lt;&gt;"OK",AW286=""),"",IF(AW286&gt;='01_設定'!$C$26,1,0))</f>
        <v/>
      </c>
      <c r="AZ286" s="34">
        <f>IF(AND(AB286="OK",AD286&lt;&gt;"除外"),COUNTIFS($AB$5:AB286,"OK",$AD$5:AD286,"&lt;&gt;除外"),"")</f>
        <v/>
      </c>
      <c r="BA286" s="34">
        <f>IF(OR(AZ286="",AI286=""),"",AI286+ROW()/1000000000)</f>
        <v/>
      </c>
      <c r="BB286" s="34">
        <f>IF(E286="","",IF(OR(TRIM(E286&amp;"")="-",TRIM(E286&amp;"")="－",TRIM(E286&amp;"")="ー"),"",TRIM(E286&amp;"")))</f>
        <v/>
      </c>
      <c r="BC286" s="34">
        <f>IF(AND(AB286="OK",BB286&lt;&gt;""),IF(COUNTIFS($BB$5:BB286,BB286,$AB$5:AB286,"OK")=1,1,""),"")</f>
        <v/>
      </c>
      <c r="BD286" s="34">
        <f>IF(BC286=1,COUNTIF($BC$5:BC286,1),"")</f>
        <v/>
      </c>
      <c r="BE286" s="34">
        <f>IF(BB286="","",IFERROR(INDEX('06_顧客別集計'!$G$5:$G$104,MATCH(BB286,'06_顧客別集計'!$C$5:$C$104,0)),BB286))</f>
        <v/>
      </c>
      <c r="BF286" s="34">
        <f>IF(AND(AZ286&lt;&gt;"",BE286&lt;&gt;""),IF(COUNTIFS($BE$5:BE286,BE286,$AZ$5:AZ286,"&gt;0")=1,1,""),"")</f>
        <v/>
      </c>
      <c r="BG286" s="34">
        <f>IF(BF286=1,COUNTIF($BF$5:BF286,1),"")</f>
        <v/>
      </c>
    </row>
    <row r="287">
      <c r="AB287">
        <f>IF(AND(A287="",G287=""),"",IF(ISNUMBER(SEARCH("##END",AM287)),"（終わりの印）",IF(ISNUMBER(SEARCH("##続き",AM287)),"（続きありの印）",IF(AM287="調査ID","（見出し行）",IF(AND(AM287&lt;&gt;"R1",AM287&lt;&gt;"R2"),"×表以外の行（集計されない）",IF(COUNTIF($AN$5:AN287,AN287)&gt;1,"△重複（集計されない）",IF(G287="","△タスク名なし",IF(ISNA(MATCH(AQ287,'M1_類型マスタ'!$A$5:$A$19,0)),"△類型が不正",IF(OR(AP287="",N(AP287)&lt;1,N(AP287)&gt;6),"△業務区分が不正",IF(OR(AS287="",AT287=""),"△回数・分が読めない",IF(SUMPRODUCT(--ISNUMBER(--T287:Z287))&lt;7,"△採点が足りない",IF(SUMPRODUCT((--T287:Z287&gt;2)+(--T287:Z287&lt;0))&gt;0,"△採点が範囲外","OK"))))))))))))</f>
        <v/>
      </c>
      <c r="AC287">
        <f>IF(AB287&lt;&gt;"OK","",TRIM(IF(AND(AU287&lt;&gt;"",N(AU287)&lt;=1),"根拠1件 ","")&amp;IF(AV287&lt;&gt;"","同名あり ","")&amp;IF(AND(NOT(ISNUMBER(N287)),N287&lt;&gt;""),"回数を換算 ","")&amp;IF(J287="","詳細なし ","")&amp;IF(AND(N(AP287)=1,BB287=""),"顧客名なし ","")))</f>
        <v/>
      </c>
      <c r="AD287" s="31" t="n"/>
      <c r="AE287" s="32" t="n"/>
      <c r="AF287" s="32" t="n"/>
      <c r="AG287" s="31" t="n"/>
      <c r="AH287">
        <f>IF(AB287&lt;&gt;"OK","",IF(AG287&lt;&gt;"",AG287,AJ287))</f>
        <v/>
      </c>
      <c r="AI287" s="33">
        <f>IF(AB287&lt;&gt;"OK","",IFERROR(IF(AE287&lt;&gt;"",AE287,AS287)*IF(AF287&lt;&gt;"",AF287,AT287)/60,""))</f>
        <v/>
      </c>
      <c r="AJ287">
        <f>IF(AB287&lt;&gt;"OK","",IF(OR(VALUE(T287)=2,VALUE(U287)=2,VALUE(V287)=2),"社内残置",IF(AND(VALUE(T287)=0,VALUE(W287)=0,VALUE(Y287)=0),"自動化候補",IF(AND(VALUE(U287)=0,VALUE(W287)&lt;=1,VALUE(X287)&lt;=1,VALUE(Y287)&lt;=1,VALUE(Z287)&lt;=1),"オフショア候補",IF(AND(VALUE(Y287)&lt;=1,VALUE(Z287)&lt;=1),"ニアショア候補","社内で手順化→再評価")))))</f>
        <v/>
      </c>
      <c r="AK287">
        <f>IF(AB287&lt;&gt;"OK","",14-SUMPRODUCT(--T287:Z287))</f>
        <v/>
      </c>
      <c r="AL287" s="33">
        <f>IF(AB287&lt;&gt;"OK","",AS287*AT287/60)</f>
        <v/>
      </c>
      <c r="AM287" s="34">
        <f>IF(A287="","",UPPER(TRIM(ASC(A287&amp;""))))</f>
        <v/>
      </c>
      <c r="AN287" s="34">
        <f>IF(AM287="","",AM287&amp;"-"&amp;B287)</f>
        <v/>
      </c>
      <c r="AO287" s="34">
        <f>IF(C287="","",IFERROR(VALUE(ASC(SUBSTITUTE(C287&amp;"","観点",""))),""))</f>
        <v/>
      </c>
      <c r="AP287" s="34">
        <f>IF(D287="","",IFERROR(VALUE(LEFT(TRIM(ASC(D287&amp;"")),1)),IFERROR(MATCH(TRIM(D287&amp;""),'M2_区分マスタ'!$I$5:$I$10,0),"")))</f>
        <v/>
      </c>
      <c r="AQ287" s="34">
        <f>IF(H287="","",UPPER(LEFT(TRIM(ASC(H287&amp;"")),3)))</f>
        <v/>
      </c>
      <c r="AR287" s="34">
        <f>IF(N287="","",IFERROR(VALUE(SUBSTITUTE(SUBSTITUTE(SUBSTITUTE(SUBSTITUTE(SUBSTITUTE(SUBSTITUTE(SUBSTITUTE(SUBSTITUTE(SUBSTITUTE(SUBSTITUTE(SUBSTITUTE(SUBSTITUTE(ASC(N287&amp;""),"約",""),"程度",""),"ほど",""),"回",""),"毎",""),"週",""),"月",""),"年",""),"日",""),"に",""),"/","")," ","")),""))</f>
        <v/>
      </c>
      <c r="AS287" s="34">
        <f>IF(N287="","",IF(ISNUMBER(N287),N287,IFERROR(VALUE(ASC(N287&amp;"")),IF(AR287&lt;&gt;"",AR287*IF(ISNUMBER(SEARCH("週",N287)),4.3,IF(ISNUMBER(SEARCH("年",N287)),1/12,IF(ISNUMBER(SEARCH("日",N287)),20,1))),IF(ISNUMBER(SEARCH("日",N287)),20,IF(ISNUMBER(SEARCH("週",N287)),4.3,IF(ISNUMBER(SEARCH("月",N287)),1,"")))))))</f>
        <v/>
      </c>
      <c r="AT287" s="34">
        <f>IF(O287="","",IF(ISNUMBER(O287),O287,IFERROR(VALUE(ASC(O287&amp;"")),IF(ISNUMBER(SEARCH("時間",O287)),IFERROR(VALUE(SUBSTITUTE(SUBSTITUTE(SUBSTITUTE(SUBSTITUTE(SUBSTITUTE(ASC(O287&amp;""),"約",""),"程度",""),"ほど",""),"時間","")," ",""))*60,""),IFERROR(VALUE(SUBSTITUTE(SUBSTITUTE(SUBSTITUTE(SUBSTITUTE(SUBSTITUTE(ASC(O287&amp;""),"約",""),"程度",""),"ほど",""),"分","")," ","")),"")))))</f>
        <v/>
      </c>
      <c r="AU287" s="34">
        <f>IF(P287="","",IF(ISNUMBER(P287),P287,IFERROR(VALUE(SUBSTITUTE(SUBSTITUTE(SUBSTITUTE(ASC(P287&amp;""),"約",""),"件","")," ","")),"")))</f>
        <v/>
      </c>
      <c r="AV287" s="34">
        <f>IF(AB287&lt;&gt;"OK","",IF(COUNTIFS($G$5:$G$404,G287&amp;"",$F$5:$F$404,F287&amp;"",$BE$5:$BE$404,BE287&amp;"",$AB$5:$AB$404,"OK")&gt;1,"同名あり",""))</f>
        <v/>
      </c>
      <c r="AW287" s="35">
        <f>IF(Q287="","",IF(ISNUMBER(Q287),Q287,IFERROR(DATEVALUE(SUBSTITUTE(SUBSTITUTE(ASC(Q287&amp;""),"-","/"),".","/")&amp;"/01"),"")))</f>
        <v/>
      </c>
      <c r="AX287" s="35">
        <f>IF(R287="","",IF(ISNUMBER(R287),R287,IFERROR(DATEVALUE(SUBSTITUTE(SUBSTITUTE(ASC(R287&amp;""),"-","/"),".","/")&amp;"/01"),"")))</f>
        <v/>
      </c>
      <c r="AY287" s="34">
        <f>IF(OR(AB287&lt;&gt;"OK",AW287=""),"",IF(AW287&gt;='01_設定'!$C$26,1,0))</f>
        <v/>
      </c>
      <c r="AZ287" s="34">
        <f>IF(AND(AB287="OK",AD287&lt;&gt;"除外"),COUNTIFS($AB$5:AB287,"OK",$AD$5:AD287,"&lt;&gt;除外"),"")</f>
        <v/>
      </c>
      <c r="BA287" s="34">
        <f>IF(OR(AZ287="",AI287=""),"",AI287+ROW()/1000000000)</f>
        <v/>
      </c>
      <c r="BB287" s="34">
        <f>IF(E287="","",IF(OR(TRIM(E287&amp;"")="-",TRIM(E287&amp;"")="－",TRIM(E287&amp;"")="ー"),"",TRIM(E287&amp;"")))</f>
        <v/>
      </c>
      <c r="BC287" s="34">
        <f>IF(AND(AB287="OK",BB287&lt;&gt;""),IF(COUNTIFS($BB$5:BB287,BB287,$AB$5:AB287,"OK")=1,1,""),"")</f>
        <v/>
      </c>
      <c r="BD287" s="34">
        <f>IF(BC287=1,COUNTIF($BC$5:BC287,1),"")</f>
        <v/>
      </c>
      <c r="BE287" s="34">
        <f>IF(BB287="","",IFERROR(INDEX('06_顧客別集計'!$G$5:$G$104,MATCH(BB287,'06_顧客別集計'!$C$5:$C$104,0)),BB287))</f>
        <v/>
      </c>
      <c r="BF287" s="34">
        <f>IF(AND(AZ287&lt;&gt;"",BE287&lt;&gt;""),IF(COUNTIFS($BE$5:BE287,BE287,$AZ$5:AZ287,"&gt;0")=1,1,""),"")</f>
        <v/>
      </c>
      <c r="BG287" s="34">
        <f>IF(BF287=1,COUNTIF($BF$5:BF287,1),"")</f>
        <v/>
      </c>
    </row>
    <row r="288">
      <c r="AB288">
        <f>IF(AND(A288="",G288=""),"",IF(ISNUMBER(SEARCH("##END",AM288)),"（終わりの印）",IF(ISNUMBER(SEARCH("##続き",AM288)),"（続きありの印）",IF(AM288="調査ID","（見出し行）",IF(AND(AM288&lt;&gt;"R1",AM288&lt;&gt;"R2"),"×表以外の行（集計されない）",IF(COUNTIF($AN$5:AN288,AN288)&gt;1,"△重複（集計されない）",IF(G288="","△タスク名なし",IF(ISNA(MATCH(AQ288,'M1_類型マスタ'!$A$5:$A$19,0)),"△類型が不正",IF(OR(AP288="",N(AP288)&lt;1,N(AP288)&gt;6),"△業務区分が不正",IF(OR(AS288="",AT288=""),"△回数・分が読めない",IF(SUMPRODUCT(--ISNUMBER(--T288:Z288))&lt;7,"△採点が足りない",IF(SUMPRODUCT((--T288:Z288&gt;2)+(--T288:Z288&lt;0))&gt;0,"△採点が範囲外","OK"))))))))))))</f>
        <v/>
      </c>
      <c r="AC288">
        <f>IF(AB288&lt;&gt;"OK","",TRIM(IF(AND(AU288&lt;&gt;"",N(AU288)&lt;=1),"根拠1件 ","")&amp;IF(AV288&lt;&gt;"","同名あり ","")&amp;IF(AND(NOT(ISNUMBER(N288)),N288&lt;&gt;""),"回数を換算 ","")&amp;IF(J288="","詳細なし ","")&amp;IF(AND(N(AP288)=1,BB288=""),"顧客名なし ","")))</f>
        <v/>
      </c>
      <c r="AD288" s="31" t="n"/>
      <c r="AE288" s="32" t="n"/>
      <c r="AF288" s="32" t="n"/>
      <c r="AG288" s="31" t="n"/>
      <c r="AH288">
        <f>IF(AB288&lt;&gt;"OK","",IF(AG288&lt;&gt;"",AG288,AJ288))</f>
        <v/>
      </c>
      <c r="AI288" s="33">
        <f>IF(AB288&lt;&gt;"OK","",IFERROR(IF(AE288&lt;&gt;"",AE288,AS288)*IF(AF288&lt;&gt;"",AF288,AT288)/60,""))</f>
        <v/>
      </c>
      <c r="AJ288">
        <f>IF(AB288&lt;&gt;"OK","",IF(OR(VALUE(T288)=2,VALUE(U288)=2,VALUE(V288)=2),"社内残置",IF(AND(VALUE(T288)=0,VALUE(W288)=0,VALUE(Y288)=0),"自動化候補",IF(AND(VALUE(U288)=0,VALUE(W288)&lt;=1,VALUE(X288)&lt;=1,VALUE(Y288)&lt;=1,VALUE(Z288)&lt;=1),"オフショア候補",IF(AND(VALUE(Y288)&lt;=1,VALUE(Z288)&lt;=1),"ニアショア候補","社内で手順化→再評価")))))</f>
        <v/>
      </c>
      <c r="AK288">
        <f>IF(AB288&lt;&gt;"OK","",14-SUMPRODUCT(--T288:Z288))</f>
        <v/>
      </c>
      <c r="AL288" s="33">
        <f>IF(AB288&lt;&gt;"OK","",AS288*AT288/60)</f>
        <v/>
      </c>
      <c r="AM288" s="34">
        <f>IF(A288="","",UPPER(TRIM(ASC(A288&amp;""))))</f>
        <v/>
      </c>
      <c r="AN288" s="34">
        <f>IF(AM288="","",AM288&amp;"-"&amp;B288)</f>
        <v/>
      </c>
      <c r="AO288" s="34">
        <f>IF(C288="","",IFERROR(VALUE(ASC(SUBSTITUTE(C288&amp;"","観点",""))),""))</f>
        <v/>
      </c>
      <c r="AP288" s="34">
        <f>IF(D288="","",IFERROR(VALUE(LEFT(TRIM(ASC(D288&amp;"")),1)),IFERROR(MATCH(TRIM(D288&amp;""),'M2_区分マスタ'!$I$5:$I$10,0),"")))</f>
        <v/>
      </c>
      <c r="AQ288" s="34">
        <f>IF(H288="","",UPPER(LEFT(TRIM(ASC(H288&amp;"")),3)))</f>
        <v/>
      </c>
      <c r="AR288" s="34">
        <f>IF(N288="","",IFERROR(VALUE(SUBSTITUTE(SUBSTITUTE(SUBSTITUTE(SUBSTITUTE(SUBSTITUTE(SUBSTITUTE(SUBSTITUTE(SUBSTITUTE(SUBSTITUTE(SUBSTITUTE(SUBSTITUTE(SUBSTITUTE(ASC(N288&amp;""),"約",""),"程度",""),"ほど",""),"回",""),"毎",""),"週",""),"月",""),"年",""),"日",""),"に",""),"/","")," ","")),""))</f>
        <v/>
      </c>
      <c r="AS288" s="34">
        <f>IF(N288="","",IF(ISNUMBER(N288),N288,IFERROR(VALUE(ASC(N288&amp;"")),IF(AR288&lt;&gt;"",AR288*IF(ISNUMBER(SEARCH("週",N288)),4.3,IF(ISNUMBER(SEARCH("年",N288)),1/12,IF(ISNUMBER(SEARCH("日",N288)),20,1))),IF(ISNUMBER(SEARCH("日",N288)),20,IF(ISNUMBER(SEARCH("週",N288)),4.3,IF(ISNUMBER(SEARCH("月",N288)),1,"")))))))</f>
        <v/>
      </c>
      <c r="AT288" s="34">
        <f>IF(O288="","",IF(ISNUMBER(O288),O288,IFERROR(VALUE(ASC(O288&amp;"")),IF(ISNUMBER(SEARCH("時間",O288)),IFERROR(VALUE(SUBSTITUTE(SUBSTITUTE(SUBSTITUTE(SUBSTITUTE(SUBSTITUTE(ASC(O288&amp;""),"約",""),"程度",""),"ほど",""),"時間","")," ",""))*60,""),IFERROR(VALUE(SUBSTITUTE(SUBSTITUTE(SUBSTITUTE(SUBSTITUTE(SUBSTITUTE(ASC(O288&amp;""),"約",""),"程度",""),"ほど",""),"分","")," ","")),"")))))</f>
        <v/>
      </c>
      <c r="AU288" s="34">
        <f>IF(P288="","",IF(ISNUMBER(P288),P288,IFERROR(VALUE(SUBSTITUTE(SUBSTITUTE(SUBSTITUTE(ASC(P288&amp;""),"約",""),"件","")," ","")),"")))</f>
        <v/>
      </c>
      <c r="AV288" s="34">
        <f>IF(AB288&lt;&gt;"OK","",IF(COUNTIFS($G$5:$G$404,G288&amp;"",$F$5:$F$404,F288&amp;"",$BE$5:$BE$404,BE288&amp;"",$AB$5:$AB$404,"OK")&gt;1,"同名あり",""))</f>
        <v/>
      </c>
      <c r="AW288" s="35">
        <f>IF(Q288="","",IF(ISNUMBER(Q288),Q288,IFERROR(DATEVALUE(SUBSTITUTE(SUBSTITUTE(ASC(Q288&amp;""),"-","/"),".","/")&amp;"/01"),"")))</f>
        <v/>
      </c>
      <c r="AX288" s="35">
        <f>IF(R288="","",IF(ISNUMBER(R288),R288,IFERROR(DATEVALUE(SUBSTITUTE(SUBSTITUTE(ASC(R288&amp;""),"-","/"),".","/")&amp;"/01"),"")))</f>
        <v/>
      </c>
      <c r="AY288" s="34">
        <f>IF(OR(AB288&lt;&gt;"OK",AW288=""),"",IF(AW288&gt;='01_設定'!$C$26,1,0))</f>
        <v/>
      </c>
      <c r="AZ288" s="34">
        <f>IF(AND(AB288="OK",AD288&lt;&gt;"除外"),COUNTIFS($AB$5:AB288,"OK",$AD$5:AD288,"&lt;&gt;除外"),"")</f>
        <v/>
      </c>
      <c r="BA288" s="34">
        <f>IF(OR(AZ288="",AI288=""),"",AI288+ROW()/1000000000)</f>
        <v/>
      </c>
      <c r="BB288" s="34">
        <f>IF(E288="","",IF(OR(TRIM(E288&amp;"")="-",TRIM(E288&amp;"")="－",TRIM(E288&amp;"")="ー"),"",TRIM(E288&amp;"")))</f>
        <v/>
      </c>
      <c r="BC288" s="34">
        <f>IF(AND(AB288="OK",BB288&lt;&gt;""),IF(COUNTIFS($BB$5:BB288,BB288,$AB$5:AB288,"OK")=1,1,""),"")</f>
        <v/>
      </c>
      <c r="BD288" s="34">
        <f>IF(BC288=1,COUNTIF($BC$5:BC288,1),"")</f>
        <v/>
      </c>
      <c r="BE288" s="34">
        <f>IF(BB288="","",IFERROR(INDEX('06_顧客別集計'!$G$5:$G$104,MATCH(BB288,'06_顧客別集計'!$C$5:$C$104,0)),BB288))</f>
        <v/>
      </c>
      <c r="BF288" s="34">
        <f>IF(AND(AZ288&lt;&gt;"",BE288&lt;&gt;""),IF(COUNTIFS($BE$5:BE288,BE288,$AZ$5:AZ288,"&gt;0")=1,1,""),"")</f>
        <v/>
      </c>
      <c r="BG288" s="34">
        <f>IF(BF288=1,COUNTIF($BF$5:BF288,1),"")</f>
        <v/>
      </c>
    </row>
    <row r="289">
      <c r="AB289">
        <f>IF(AND(A289="",G289=""),"",IF(ISNUMBER(SEARCH("##END",AM289)),"（終わりの印）",IF(ISNUMBER(SEARCH("##続き",AM289)),"（続きありの印）",IF(AM289="調査ID","（見出し行）",IF(AND(AM289&lt;&gt;"R1",AM289&lt;&gt;"R2"),"×表以外の行（集計されない）",IF(COUNTIF($AN$5:AN289,AN289)&gt;1,"△重複（集計されない）",IF(G289="","△タスク名なし",IF(ISNA(MATCH(AQ289,'M1_類型マスタ'!$A$5:$A$19,0)),"△類型が不正",IF(OR(AP289="",N(AP289)&lt;1,N(AP289)&gt;6),"△業務区分が不正",IF(OR(AS289="",AT289=""),"△回数・分が読めない",IF(SUMPRODUCT(--ISNUMBER(--T289:Z289))&lt;7,"△採点が足りない",IF(SUMPRODUCT((--T289:Z289&gt;2)+(--T289:Z289&lt;0))&gt;0,"△採点が範囲外","OK"))))))))))))</f>
        <v/>
      </c>
      <c r="AC289">
        <f>IF(AB289&lt;&gt;"OK","",TRIM(IF(AND(AU289&lt;&gt;"",N(AU289)&lt;=1),"根拠1件 ","")&amp;IF(AV289&lt;&gt;"","同名あり ","")&amp;IF(AND(NOT(ISNUMBER(N289)),N289&lt;&gt;""),"回数を換算 ","")&amp;IF(J289="","詳細なし ","")&amp;IF(AND(N(AP289)=1,BB289=""),"顧客名なし ","")))</f>
        <v/>
      </c>
      <c r="AD289" s="31" t="n"/>
      <c r="AE289" s="32" t="n"/>
      <c r="AF289" s="32" t="n"/>
      <c r="AG289" s="31" t="n"/>
      <c r="AH289">
        <f>IF(AB289&lt;&gt;"OK","",IF(AG289&lt;&gt;"",AG289,AJ289))</f>
        <v/>
      </c>
      <c r="AI289" s="33">
        <f>IF(AB289&lt;&gt;"OK","",IFERROR(IF(AE289&lt;&gt;"",AE289,AS289)*IF(AF289&lt;&gt;"",AF289,AT289)/60,""))</f>
        <v/>
      </c>
      <c r="AJ289">
        <f>IF(AB289&lt;&gt;"OK","",IF(OR(VALUE(T289)=2,VALUE(U289)=2,VALUE(V289)=2),"社内残置",IF(AND(VALUE(T289)=0,VALUE(W289)=0,VALUE(Y289)=0),"自動化候補",IF(AND(VALUE(U289)=0,VALUE(W289)&lt;=1,VALUE(X289)&lt;=1,VALUE(Y289)&lt;=1,VALUE(Z289)&lt;=1),"オフショア候補",IF(AND(VALUE(Y289)&lt;=1,VALUE(Z289)&lt;=1),"ニアショア候補","社内で手順化→再評価")))))</f>
        <v/>
      </c>
      <c r="AK289">
        <f>IF(AB289&lt;&gt;"OK","",14-SUMPRODUCT(--T289:Z289))</f>
        <v/>
      </c>
      <c r="AL289" s="33">
        <f>IF(AB289&lt;&gt;"OK","",AS289*AT289/60)</f>
        <v/>
      </c>
      <c r="AM289" s="34">
        <f>IF(A289="","",UPPER(TRIM(ASC(A289&amp;""))))</f>
        <v/>
      </c>
      <c r="AN289" s="34">
        <f>IF(AM289="","",AM289&amp;"-"&amp;B289)</f>
        <v/>
      </c>
      <c r="AO289" s="34">
        <f>IF(C289="","",IFERROR(VALUE(ASC(SUBSTITUTE(C289&amp;"","観点",""))),""))</f>
        <v/>
      </c>
      <c r="AP289" s="34">
        <f>IF(D289="","",IFERROR(VALUE(LEFT(TRIM(ASC(D289&amp;"")),1)),IFERROR(MATCH(TRIM(D289&amp;""),'M2_区分マスタ'!$I$5:$I$10,0),"")))</f>
        <v/>
      </c>
      <c r="AQ289" s="34">
        <f>IF(H289="","",UPPER(LEFT(TRIM(ASC(H289&amp;"")),3)))</f>
        <v/>
      </c>
      <c r="AR289" s="34">
        <f>IF(N289="","",IFERROR(VALUE(SUBSTITUTE(SUBSTITUTE(SUBSTITUTE(SUBSTITUTE(SUBSTITUTE(SUBSTITUTE(SUBSTITUTE(SUBSTITUTE(SUBSTITUTE(SUBSTITUTE(SUBSTITUTE(SUBSTITUTE(ASC(N289&amp;""),"約",""),"程度",""),"ほど",""),"回",""),"毎",""),"週",""),"月",""),"年",""),"日",""),"に",""),"/","")," ","")),""))</f>
        <v/>
      </c>
      <c r="AS289" s="34">
        <f>IF(N289="","",IF(ISNUMBER(N289),N289,IFERROR(VALUE(ASC(N289&amp;"")),IF(AR289&lt;&gt;"",AR289*IF(ISNUMBER(SEARCH("週",N289)),4.3,IF(ISNUMBER(SEARCH("年",N289)),1/12,IF(ISNUMBER(SEARCH("日",N289)),20,1))),IF(ISNUMBER(SEARCH("日",N289)),20,IF(ISNUMBER(SEARCH("週",N289)),4.3,IF(ISNUMBER(SEARCH("月",N289)),1,"")))))))</f>
        <v/>
      </c>
      <c r="AT289" s="34">
        <f>IF(O289="","",IF(ISNUMBER(O289),O289,IFERROR(VALUE(ASC(O289&amp;"")),IF(ISNUMBER(SEARCH("時間",O289)),IFERROR(VALUE(SUBSTITUTE(SUBSTITUTE(SUBSTITUTE(SUBSTITUTE(SUBSTITUTE(ASC(O289&amp;""),"約",""),"程度",""),"ほど",""),"時間","")," ",""))*60,""),IFERROR(VALUE(SUBSTITUTE(SUBSTITUTE(SUBSTITUTE(SUBSTITUTE(SUBSTITUTE(ASC(O289&amp;""),"約",""),"程度",""),"ほど",""),"分","")," ","")),"")))))</f>
        <v/>
      </c>
      <c r="AU289" s="34">
        <f>IF(P289="","",IF(ISNUMBER(P289),P289,IFERROR(VALUE(SUBSTITUTE(SUBSTITUTE(SUBSTITUTE(ASC(P289&amp;""),"約",""),"件","")," ","")),"")))</f>
        <v/>
      </c>
      <c r="AV289" s="34">
        <f>IF(AB289&lt;&gt;"OK","",IF(COUNTIFS($G$5:$G$404,G289&amp;"",$F$5:$F$404,F289&amp;"",$BE$5:$BE$404,BE289&amp;"",$AB$5:$AB$404,"OK")&gt;1,"同名あり",""))</f>
        <v/>
      </c>
      <c r="AW289" s="35">
        <f>IF(Q289="","",IF(ISNUMBER(Q289),Q289,IFERROR(DATEVALUE(SUBSTITUTE(SUBSTITUTE(ASC(Q289&amp;""),"-","/"),".","/")&amp;"/01"),"")))</f>
        <v/>
      </c>
      <c r="AX289" s="35">
        <f>IF(R289="","",IF(ISNUMBER(R289),R289,IFERROR(DATEVALUE(SUBSTITUTE(SUBSTITUTE(ASC(R289&amp;""),"-","/"),".","/")&amp;"/01"),"")))</f>
        <v/>
      </c>
      <c r="AY289" s="34">
        <f>IF(OR(AB289&lt;&gt;"OK",AW289=""),"",IF(AW289&gt;='01_設定'!$C$26,1,0))</f>
        <v/>
      </c>
      <c r="AZ289" s="34">
        <f>IF(AND(AB289="OK",AD289&lt;&gt;"除外"),COUNTIFS($AB$5:AB289,"OK",$AD$5:AD289,"&lt;&gt;除外"),"")</f>
        <v/>
      </c>
      <c r="BA289" s="34">
        <f>IF(OR(AZ289="",AI289=""),"",AI289+ROW()/1000000000)</f>
        <v/>
      </c>
      <c r="BB289" s="34">
        <f>IF(E289="","",IF(OR(TRIM(E289&amp;"")="-",TRIM(E289&amp;"")="－",TRIM(E289&amp;"")="ー"),"",TRIM(E289&amp;"")))</f>
        <v/>
      </c>
      <c r="BC289" s="34">
        <f>IF(AND(AB289="OK",BB289&lt;&gt;""),IF(COUNTIFS($BB$5:BB289,BB289,$AB$5:AB289,"OK")=1,1,""),"")</f>
        <v/>
      </c>
      <c r="BD289" s="34">
        <f>IF(BC289=1,COUNTIF($BC$5:BC289,1),"")</f>
        <v/>
      </c>
      <c r="BE289" s="34">
        <f>IF(BB289="","",IFERROR(INDEX('06_顧客別集計'!$G$5:$G$104,MATCH(BB289,'06_顧客別集計'!$C$5:$C$104,0)),BB289))</f>
        <v/>
      </c>
      <c r="BF289" s="34">
        <f>IF(AND(AZ289&lt;&gt;"",BE289&lt;&gt;""),IF(COUNTIFS($BE$5:BE289,BE289,$AZ$5:AZ289,"&gt;0")=1,1,""),"")</f>
        <v/>
      </c>
      <c r="BG289" s="34">
        <f>IF(BF289=1,COUNTIF($BF$5:BF289,1),"")</f>
        <v/>
      </c>
    </row>
    <row r="290">
      <c r="AB290">
        <f>IF(AND(A290="",G290=""),"",IF(ISNUMBER(SEARCH("##END",AM290)),"（終わりの印）",IF(ISNUMBER(SEARCH("##続き",AM290)),"（続きありの印）",IF(AM290="調査ID","（見出し行）",IF(AND(AM290&lt;&gt;"R1",AM290&lt;&gt;"R2"),"×表以外の行（集計されない）",IF(COUNTIF($AN$5:AN290,AN290)&gt;1,"△重複（集計されない）",IF(G290="","△タスク名なし",IF(ISNA(MATCH(AQ290,'M1_類型マスタ'!$A$5:$A$19,0)),"△類型が不正",IF(OR(AP290="",N(AP290)&lt;1,N(AP290)&gt;6),"△業務区分が不正",IF(OR(AS290="",AT290=""),"△回数・分が読めない",IF(SUMPRODUCT(--ISNUMBER(--T290:Z290))&lt;7,"△採点が足りない",IF(SUMPRODUCT((--T290:Z290&gt;2)+(--T290:Z290&lt;0))&gt;0,"△採点が範囲外","OK"))))))))))))</f>
        <v/>
      </c>
      <c r="AC290">
        <f>IF(AB290&lt;&gt;"OK","",TRIM(IF(AND(AU290&lt;&gt;"",N(AU290)&lt;=1),"根拠1件 ","")&amp;IF(AV290&lt;&gt;"","同名あり ","")&amp;IF(AND(NOT(ISNUMBER(N290)),N290&lt;&gt;""),"回数を換算 ","")&amp;IF(J290="","詳細なし ","")&amp;IF(AND(N(AP290)=1,BB290=""),"顧客名なし ","")))</f>
        <v/>
      </c>
      <c r="AD290" s="31" t="n"/>
      <c r="AE290" s="32" t="n"/>
      <c r="AF290" s="32" t="n"/>
      <c r="AG290" s="31" t="n"/>
      <c r="AH290">
        <f>IF(AB290&lt;&gt;"OK","",IF(AG290&lt;&gt;"",AG290,AJ290))</f>
        <v/>
      </c>
      <c r="AI290" s="33">
        <f>IF(AB290&lt;&gt;"OK","",IFERROR(IF(AE290&lt;&gt;"",AE290,AS290)*IF(AF290&lt;&gt;"",AF290,AT290)/60,""))</f>
        <v/>
      </c>
      <c r="AJ290">
        <f>IF(AB290&lt;&gt;"OK","",IF(OR(VALUE(T290)=2,VALUE(U290)=2,VALUE(V290)=2),"社内残置",IF(AND(VALUE(T290)=0,VALUE(W290)=0,VALUE(Y290)=0),"自動化候補",IF(AND(VALUE(U290)=0,VALUE(W290)&lt;=1,VALUE(X290)&lt;=1,VALUE(Y290)&lt;=1,VALUE(Z290)&lt;=1),"オフショア候補",IF(AND(VALUE(Y290)&lt;=1,VALUE(Z290)&lt;=1),"ニアショア候補","社内で手順化→再評価")))))</f>
        <v/>
      </c>
      <c r="AK290">
        <f>IF(AB290&lt;&gt;"OK","",14-SUMPRODUCT(--T290:Z290))</f>
        <v/>
      </c>
      <c r="AL290" s="33">
        <f>IF(AB290&lt;&gt;"OK","",AS290*AT290/60)</f>
        <v/>
      </c>
      <c r="AM290" s="34">
        <f>IF(A290="","",UPPER(TRIM(ASC(A290&amp;""))))</f>
        <v/>
      </c>
      <c r="AN290" s="34">
        <f>IF(AM290="","",AM290&amp;"-"&amp;B290)</f>
        <v/>
      </c>
      <c r="AO290" s="34">
        <f>IF(C290="","",IFERROR(VALUE(ASC(SUBSTITUTE(C290&amp;"","観点",""))),""))</f>
        <v/>
      </c>
      <c r="AP290" s="34">
        <f>IF(D290="","",IFERROR(VALUE(LEFT(TRIM(ASC(D290&amp;"")),1)),IFERROR(MATCH(TRIM(D290&amp;""),'M2_区分マスタ'!$I$5:$I$10,0),"")))</f>
        <v/>
      </c>
      <c r="AQ290" s="34">
        <f>IF(H290="","",UPPER(LEFT(TRIM(ASC(H290&amp;"")),3)))</f>
        <v/>
      </c>
      <c r="AR290" s="34">
        <f>IF(N290="","",IFERROR(VALUE(SUBSTITUTE(SUBSTITUTE(SUBSTITUTE(SUBSTITUTE(SUBSTITUTE(SUBSTITUTE(SUBSTITUTE(SUBSTITUTE(SUBSTITUTE(SUBSTITUTE(SUBSTITUTE(SUBSTITUTE(ASC(N290&amp;""),"約",""),"程度",""),"ほど",""),"回",""),"毎",""),"週",""),"月",""),"年",""),"日",""),"に",""),"/","")," ","")),""))</f>
        <v/>
      </c>
      <c r="AS290" s="34">
        <f>IF(N290="","",IF(ISNUMBER(N290),N290,IFERROR(VALUE(ASC(N290&amp;"")),IF(AR290&lt;&gt;"",AR290*IF(ISNUMBER(SEARCH("週",N290)),4.3,IF(ISNUMBER(SEARCH("年",N290)),1/12,IF(ISNUMBER(SEARCH("日",N290)),20,1))),IF(ISNUMBER(SEARCH("日",N290)),20,IF(ISNUMBER(SEARCH("週",N290)),4.3,IF(ISNUMBER(SEARCH("月",N290)),1,"")))))))</f>
        <v/>
      </c>
      <c r="AT290" s="34">
        <f>IF(O290="","",IF(ISNUMBER(O290),O290,IFERROR(VALUE(ASC(O290&amp;"")),IF(ISNUMBER(SEARCH("時間",O290)),IFERROR(VALUE(SUBSTITUTE(SUBSTITUTE(SUBSTITUTE(SUBSTITUTE(SUBSTITUTE(ASC(O290&amp;""),"約",""),"程度",""),"ほど",""),"時間","")," ",""))*60,""),IFERROR(VALUE(SUBSTITUTE(SUBSTITUTE(SUBSTITUTE(SUBSTITUTE(SUBSTITUTE(ASC(O290&amp;""),"約",""),"程度",""),"ほど",""),"分","")," ","")),"")))))</f>
        <v/>
      </c>
      <c r="AU290" s="34">
        <f>IF(P290="","",IF(ISNUMBER(P290),P290,IFERROR(VALUE(SUBSTITUTE(SUBSTITUTE(SUBSTITUTE(ASC(P290&amp;""),"約",""),"件","")," ","")),"")))</f>
        <v/>
      </c>
      <c r="AV290" s="34">
        <f>IF(AB290&lt;&gt;"OK","",IF(COUNTIFS($G$5:$G$404,G290&amp;"",$F$5:$F$404,F290&amp;"",$BE$5:$BE$404,BE290&amp;"",$AB$5:$AB$404,"OK")&gt;1,"同名あり",""))</f>
        <v/>
      </c>
      <c r="AW290" s="35">
        <f>IF(Q290="","",IF(ISNUMBER(Q290),Q290,IFERROR(DATEVALUE(SUBSTITUTE(SUBSTITUTE(ASC(Q290&amp;""),"-","/"),".","/")&amp;"/01"),"")))</f>
        <v/>
      </c>
      <c r="AX290" s="35">
        <f>IF(R290="","",IF(ISNUMBER(R290),R290,IFERROR(DATEVALUE(SUBSTITUTE(SUBSTITUTE(ASC(R290&amp;""),"-","/"),".","/")&amp;"/01"),"")))</f>
        <v/>
      </c>
      <c r="AY290" s="34">
        <f>IF(OR(AB290&lt;&gt;"OK",AW290=""),"",IF(AW290&gt;='01_設定'!$C$26,1,0))</f>
        <v/>
      </c>
      <c r="AZ290" s="34">
        <f>IF(AND(AB290="OK",AD290&lt;&gt;"除外"),COUNTIFS($AB$5:AB290,"OK",$AD$5:AD290,"&lt;&gt;除外"),"")</f>
        <v/>
      </c>
      <c r="BA290" s="34">
        <f>IF(OR(AZ290="",AI290=""),"",AI290+ROW()/1000000000)</f>
        <v/>
      </c>
      <c r="BB290" s="34">
        <f>IF(E290="","",IF(OR(TRIM(E290&amp;"")="-",TRIM(E290&amp;"")="－",TRIM(E290&amp;"")="ー"),"",TRIM(E290&amp;"")))</f>
        <v/>
      </c>
      <c r="BC290" s="34">
        <f>IF(AND(AB290="OK",BB290&lt;&gt;""),IF(COUNTIFS($BB$5:BB290,BB290,$AB$5:AB290,"OK")=1,1,""),"")</f>
        <v/>
      </c>
      <c r="BD290" s="34">
        <f>IF(BC290=1,COUNTIF($BC$5:BC290,1),"")</f>
        <v/>
      </c>
      <c r="BE290" s="34">
        <f>IF(BB290="","",IFERROR(INDEX('06_顧客別集計'!$G$5:$G$104,MATCH(BB290,'06_顧客別集計'!$C$5:$C$104,0)),BB290))</f>
        <v/>
      </c>
      <c r="BF290" s="34">
        <f>IF(AND(AZ290&lt;&gt;"",BE290&lt;&gt;""),IF(COUNTIFS($BE$5:BE290,BE290,$AZ$5:AZ290,"&gt;0")=1,1,""),"")</f>
        <v/>
      </c>
      <c r="BG290" s="34">
        <f>IF(BF290=1,COUNTIF($BF$5:BF290,1),"")</f>
        <v/>
      </c>
    </row>
    <row r="291">
      <c r="AB291">
        <f>IF(AND(A291="",G291=""),"",IF(ISNUMBER(SEARCH("##END",AM291)),"（終わりの印）",IF(ISNUMBER(SEARCH("##続き",AM291)),"（続きありの印）",IF(AM291="調査ID","（見出し行）",IF(AND(AM291&lt;&gt;"R1",AM291&lt;&gt;"R2"),"×表以外の行（集計されない）",IF(COUNTIF($AN$5:AN291,AN291)&gt;1,"△重複（集計されない）",IF(G291="","△タスク名なし",IF(ISNA(MATCH(AQ291,'M1_類型マスタ'!$A$5:$A$19,0)),"△類型が不正",IF(OR(AP291="",N(AP291)&lt;1,N(AP291)&gt;6),"△業務区分が不正",IF(OR(AS291="",AT291=""),"△回数・分が読めない",IF(SUMPRODUCT(--ISNUMBER(--T291:Z291))&lt;7,"△採点が足りない",IF(SUMPRODUCT((--T291:Z291&gt;2)+(--T291:Z291&lt;0))&gt;0,"△採点が範囲外","OK"))))))))))))</f>
        <v/>
      </c>
      <c r="AC291">
        <f>IF(AB291&lt;&gt;"OK","",TRIM(IF(AND(AU291&lt;&gt;"",N(AU291)&lt;=1),"根拠1件 ","")&amp;IF(AV291&lt;&gt;"","同名あり ","")&amp;IF(AND(NOT(ISNUMBER(N291)),N291&lt;&gt;""),"回数を換算 ","")&amp;IF(J291="","詳細なし ","")&amp;IF(AND(N(AP291)=1,BB291=""),"顧客名なし ","")))</f>
        <v/>
      </c>
      <c r="AD291" s="31" t="n"/>
      <c r="AE291" s="32" t="n"/>
      <c r="AF291" s="32" t="n"/>
      <c r="AG291" s="31" t="n"/>
      <c r="AH291">
        <f>IF(AB291&lt;&gt;"OK","",IF(AG291&lt;&gt;"",AG291,AJ291))</f>
        <v/>
      </c>
      <c r="AI291" s="33">
        <f>IF(AB291&lt;&gt;"OK","",IFERROR(IF(AE291&lt;&gt;"",AE291,AS291)*IF(AF291&lt;&gt;"",AF291,AT291)/60,""))</f>
        <v/>
      </c>
      <c r="AJ291">
        <f>IF(AB291&lt;&gt;"OK","",IF(OR(VALUE(T291)=2,VALUE(U291)=2,VALUE(V291)=2),"社内残置",IF(AND(VALUE(T291)=0,VALUE(W291)=0,VALUE(Y291)=0),"自動化候補",IF(AND(VALUE(U291)=0,VALUE(W291)&lt;=1,VALUE(X291)&lt;=1,VALUE(Y291)&lt;=1,VALUE(Z291)&lt;=1),"オフショア候補",IF(AND(VALUE(Y291)&lt;=1,VALUE(Z291)&lt;=1),"ニアショア候補","社内で手順化→再評価")))))</f>
        <v/>
      </c>
      <c r="AK291">
        <f>IF(AB291&lt;&gt;"OK","",14-SUMPRODUCT(--T291:Z291))</f>
        <v/>
      </c>
      <c r="AL291" s="33">
        <f>IF(AB291&lt;&gt;"OK","",AS291*AT291/60)</f>
        <v/>
      </c>
      <c r="AM291" s="34">
        <f>IF(A291="","",UPPER(TRIM(ASC(A291&amp;""))))</f>
        <v/>
      </c>
      <c r="AN291" s="34">
        <f>IF(AM291="","",AM291&amp;"-"&amp;B291)</f>
        <v/>
      </c>
      <c r="AO291" s="34">
        <f>IF(C291="","",IFERROR(VALUE(ASC(SUBSTITUTE(C291&amp;"","観点",""))),""))</f>
        <v/>
      </c>
      <c r="AP291" s="34">
        <f>IF(D291="","",IFERROR(VALUE(LEFT(TRIM(ASC(D291&amp;"")),1)),IFERROR(MATCH(TRIM(D291&amp;""),'M2_区分マスタ'!$I$5:$I$10,0),"")))</f>
        <v/>
      </c>
      <c r="AQ291" s="34">
        <f>IF(H291="","",UPPER(LEFT(TRIM(ASC(H291&amp;"")),3)))</f>
        <v/>
      </c>
      <c r="AR291" s="34">
        <f>IF(N291="","",IFERROR(VALUE(SUBSTITUTE(SUBSTITUTE(SUBSTITUTE(SUBSTITUTE(SUBSTITUTE(SUBSTITUTE(SUBSTITUTE(SUBSTITUTE(SUBSTITUTE(SUBSTITUTE(SUBSTITUTE(SUBSTITUTE(ASC(N291&amp;""),"約",""),"程度",""),"ほど",""),"回",""),"毎",""),"週",""),"月",""),"年",""),"日",""),"に",""),"/","")," ","")),""))</f>
        <v/>
      </c>
      <c r="AS291" s="34">
        <f>IF(N291="","",IF(ISNUMBER(N291),N291,IFERROR(VALUE(ASC(N291&amp;"")),IF(AR291&lt;&gt;"",AR291*IF(ISNUMBER(SEARCH("週",N291)),4.3,IF(ISNUMBER(SEARCH("年",N291)),1/12,IF(ISNUMBER(SEARCH("日",N291)),20,1))),IF(ISNUMBER(SEARCH("日",N291)),20,IF(ISNUMBER(SEARCH("週",N291)),4.3,IF(ISNUMBER(SEARCH("月",N291)),1,"")))))))</f>
        <v/>
      </c>
      <c r="AT291" s="34">
        <f>IF(O291="","",IF(ISNUMBER(O291),O291,IFERROR(VALUE(ASC(O291&amp;"")),IF(ISNUMBER(SEARCH("時間",O291)),IFERROR(VALUE(SUBSTITUTE(SUBSTITUTE(SUBSTITUTE(SUBSTITUTE(SUBSTITUTE(ASC(O291&amp;""),"約",""),"程度",""),"ほど",""),"時間","")," ",""))*60,""),IFERROR(VALUE(SUBSTITUTE(SUBSTITUTE(SUBSTITUTE(SUBSTITUTE(SUBSTITUTE(ASC(O291&amp;""),"約",""),"程度",""),"ほど",""),"分","")," ","")),"")))))</f>
        <v/>
      </c>
      <c r="AU291" s="34">
        <f>IF(P291="","",IF(ISNUMBER(P291),P291,IFERROR(VALUE(SUBSTITUTE(SUBSTITUTE(SUBSTITUTE(ASC(P291&amp;""),"約",""),"件","")," ","")),"")))</f>
        <v/>
      </c>
      <c r="AV291" s="34">
        <f>IF(AB291&lt;&gt;"OK","",IF(COUNTIFS($G$5:$G$404,G291&amp;"",$F$5:$F$404,F291&amp;"",$BE$5:$BE$404,BE291&amp;"",$AB$5:$AB$404,"OK")&gt;1,"同名あり",""))</f>
        <v/>
      </c>
      <c r="AW291" s="35">
        <f>IF(Q291="","",IF(ISNUMBER(Q291),Q291,IFERROR(DATEVALUE(SUBSTITUTE(SUBSTITUTE(ASC(Q291&amp;""),"-","/"),".","/")&amp;"/01"),"")))</f>
        <v/>
      </c>
      <c r="AX291" s="35">
        <f>IF(R291="","",IF(ISNUMBER(R291),R291,IFERROR(DATEVALUE(SUBSTITUTE(SUBSTITUTE(ASC(R291&amp;""),"-","/"),".","/")&amp;"/01"),"")))</f>
        <v/>
      </c>
      <c r="AY291" s="34">
        <f>IF(OR(AB291&lt;&gt;"OK",AW291=""),"",IF(AW291&gt;='01_設定'!$C$26,1,0))</f>
        <v/>
      </c>
      <c r="AZ291" s="34">
        <f>IF(AND(AB291="OK",AD291&lt;&gt;"除外"),COUNTIFS($AB$5:AB291,"OK",$AD$5:AD291,"&lt;&gt;除外"),"")</f>
        <v/>
      </c>
      <c r="BA291" s="34">
        <f>IF(OR(AZ291="",AI291=""),"",AI291+ROW()/1000000000)</f>
        <v/>
      </c>
      <c r="BB291" s="34">
        <f>IF(E291="","",IF(OR(TRIM(E291&amp;"")="-",TRIM(E291&amp;"")="－",TRIM(E291&amp;"")="ー"),"",TRIM(E291&amp;"")))</f>
        <v/>
      </c>
      <c r="BC291" s="34">
        <f>IF(AND(AB291="OK",BB291&lt;&gt;""),IF(COUNTIFS($BB$5:BB291,BB291,$AB$5:AB291,"OK")=1,1,""),"")</f>
        <v/>
      </c>
      <c r="BD291" s="34">
        <f>IF(BC291=1,COUNTIF($BC$5:BC291,1),"")</f>
        <v/>
      </c>
      <c r="BE291" s="34">
        <f>IF(BB291="","",IFERROR(INDEX('06_顧客別集計'!$G$5:$G$104,MATCH(BB291,'06_顧客別集計'!$C$5:$C$104,0)),BB291))</f>
        <v/>
      </c>
      <c r="BF291" s="34">
        <f>IF(AND(AZ291&lt;&gt;"",BE291&lt;&gt;""),IF(COUNTIFS($BE$5:BE291,BE291,$AZ$5:AZ291,"&gt;0")=1,1,""),"")</f>
        <v/>
      </c>
      <c r="BG291" s="34">
        <f>IF(BF291=1,COUNTIF($BF$5:BF291,1),"")</f>
        <v/>
      </c>
    </row>
    <row r="292">
      <c r="AB292">
        <f>IF(AND(A292="",G292=""),"",IF(ISNUMBER(SEARCH("##END",AM292)),"（終わりの印）",IF(ISNUMBER(SEARCH("##続き",AM292)),"（続きありの印）",IF(AM292="調査ID","（見出し行）",IF(AND(AM292&lt;&gt;"R1",AM292&lt;&gt;"R2"),"×表以外の行（集計されない）",IF(COUNTIF($AN$5:AN292,AN292)&gt;1,"△重複（集計されない）",IF(G292="","△タスク名なし",IF(ISNA(MATCH(AQ292,'M1_類型マスタ'!$A$5:$A$19,0)),"△類型が不正",IF(OR(AP292="",N(AP292)&lt;1,N(AP292)&gt;6),"△業務区分が不正",IF(OR(AS292="",AT292=""),"△回数・分が読めない",IF(SUMPRODUCT(--ISNUMBER(--T292:Z292))&lt;7,"△採点が足りない",IF(SUMPRODUCT((--T292:Z292&gt;2)+(--T292:Z292&lt;0))&gt;0,"△採点が範囲外","OK"))))))))))))</f>
        <v/>
      </c>
      <c r="AC292">
        <f>IF(AB292&lt;&gt;"OK","",TRIM(IF(AND(AU292&lt;&gt;"",N(AU292)&lt;=1),"根拠1件 ","")&amp;IF(AV292&lt;&gt;"","同名あり ","")&amp;IF(AND(NOT(ISNUMBER(N292)),N292&lt;&gt;""),"回数を換算 ","")&amp;IF(J292="","詳細なし ","")&amp;IF(AND(N(AP292)=1,BB292=""),"顧客名なし ","")))</f>
        <v/>
      </c>
      <c r="AD292" s="31" t="n"/>
      <c r="AE292" s="32" t="n"/>
      <c r="AF292" s="32" t="n"/>
      <c r="AG292" s="31" t="n"/>
      <c r="AH292">
        <f>IF(AB292&lt;&gt;"OK","",IF(AG292&lt;&gt;"",AG292,AJ292))</f>
        <v/>
      </c>
      <c r="AI292" s="33">
        <f>IF(AB292&lt;&gt;"OK","",IFERROR(IF(AE292&lt;&gt;"",AE292,AS292)*IF(AF292&lt;&gt;"",AF292,AT292)/60,""))</f>
        <v/>
      </c>
      <c r="AJ292">
        <f>IF(AB292&lt;&gt;"OK","",IF(OR(VALUE(T292)=2,VALUE(U292)=2,VALUE(V292)=2),"社内残置",IF(AND(VALUE(T292)=0,VALUE(W292)=0,VALUE(Y292)=0),"自動化候補",IF(AND(VALUE(U292)=0,VALUE(W292)&lt;=1,VALUE(X292)&lt;=1,VALUE(Y292)&lt;=1,VALUE(Z292)&lt;=1),"オフショア候補",IF(AND(VALUE(Y292)&lt;=1,VALUE(Z292)&lt;=1),"ニアショア候補","社内で手順化→再評価")))))</f>
        <v/>
      </c>
      <c r="AK292">
        <f>IF(AB292&lt;&gt;"OK","",14-SUMPRODUCT(--T292:Z292))</f>
        <v/>
      </c>
      <c r="AL292" s="33">
        <f>IF(AB292&lt;&gt;"OK","",AS292*AT292/60)</f>
        <v/>
      </c>
      <c r="AM292" s="34">
        <f>IF(A292="","",UPPER(TRIM(ASC(A292&amp;""))))</f>
        <v/>
      </c>
      <c r="AN292" s="34">
        <f>IF(AM292="","",AM292&amp;"-"&amp;B292)</f>
        <v/>
      </c>
      <c r="AO292" s="34">
        <f>IF(C292="","",IFERROR(VALUE(ASC(SUBSTITUTE(C292&amp;"","観点",""))),""))</f>
        <v/>
      </c>
      <c r="AP292" s="34">
        <f>IF(D292="","",IFERROR(VALUE(LEFT(TRIM(ASC(D292&amp;"")),1)),IFERROR(MATCH(TRIM(D292&amp;""),'M2_区分マスタ'!$I$5:$I$10,0),"")))</f>
        <v/>
      </c>
      <c r="AQ292" s="34">
        <f>IF(H292="","",UPPER(LEFT(TRIM(ASC(H292&amp;"")),3)))</f>
        <v/>
      </c>
      <c r="AR292" s="34">
        <f>IF(N292="","",IFERROR(VALUE(SUBSTITUTE(SUBSTITUTE(SUBSTITUTE(SUBSTITUTE(SUBSTITUTE(SUBSTITUTE(SUBSTITUTE(SUBSTITUTE(SUBSTITUTE(SUBSTITUTE(SUBSTITUTE(SUBSTITUTE(ASC(N292&amp;""),"約",""),"程度",""),"ほど",""),"回",""),"毎",""),"週",""),"月",""),"年",""),"日",""),"に",""),"/","")," ","")),""))</f>
        <v/>
      </c>
      <c r="AS292" s="34">
        <f>IF(N292="","",IF(ISNUMBER(N292),N292,IFERROR(VALUE(ASC(N292&amp;"")),IF(AR292&lt;&gt;"",AR292*IF(ISNUMBER(SEARCH("週",N292)),4.3,IF(ISNUMBER(SEARCH("年",N292)),1/12,IF(ISNUMBER(SEARCH("日",N292)),20,1))),IF(ISNUMBER(SEARCH("日",N292)),20,IF(ISNUMBER(SEARCH("週",N292)),4.3,IF(ISNUMBER(SEARCH("月",N292)),1,"")))))))</f>
        <v/>
      </c>
      <c r="AT292" s="34">
        <f>IF(O292="","",IF(ISNUMBER(O292),O292,IFERROR(VALUE(ASC(O292&amp;"")),IF(ISNUMBER(SEARCH("時間",O292)),IFERROR(VALUE(SUBSTITUTE(SUBSTITUTE(SUBSTITUTE(SUBSTITUTE(SUBSTITUTE(ASC(O292&amp;""),"約",""),"程度",""),"ほど",""),"時間","")," ",""))*60,""),IFERROR(VALUE(SUBSTITUTE(SUBSTITUTE(SUBSTITUTE(SUBSTITUTE(SUBSTITUTE(ASC(O292&amp;""),"約",""),"程度",""),"ほど",""),"分","")," ","")),"")))))</f>
        <v/>
      </c>
      <c r="AU292" s="34">
        <f>IF(P292="","",IF(ISNUMBER(P292),P292,IFERROR(VALUE(SUBSTITUTE(SUBSTITUTE(SUBSTITUTE(ASC(P292&amp;""),"約",""),"件","")," ","")),"")))</f>
        <v/>
      </c>
      <c r="AV292" s="34">
        <f>IF(AB292&lt;&gt;"OK","",IF(COUNTIFS($G$5:$G$404,G292&amp;"",$F$5:$F$404,F292&amp;"",$BE$5:$BE$404,BE292&amp;"",$AB$5:$AB$404,"OK")&gt;1,"同名あり",""))</f>
        <v/>
      </c>
      <c r="AW292" s="35">
        <f>IF(Q292="","",IF(ISNUMBER(Q292),Q292,IFERROR(DATEVALUE(SUBSTITUTE(SUBSTITUTE(ASC(Q292&amp;""),"-","/"),".","/")&amp;"/01"),"")))</f>
        <v/>
      </c>
      <c r="AX292" s="35">
        <f>IF(R292="","",IF(ISNUMBER(R292),R292,IFERROR(DATEVALUE(SUBSTITUTE(SUBSTITUTE(ASC(R292&amp;""),"-","/"),".","/")&amp;"/01"),"")))</f>
        <v/>
      </c>
      <c r="AY292" s="34">
        <f>IF(OR(AB292&lt;&gt;"OK",AW292=""),"",IF(AW292&gt;='01_設定'!$C$26,1,0))</f>
        <v/>
      </c>
      <c r="AZ292" s="34">
        <f>IF(AND(AB292="OK",AD292&lt;&gt;"除外"),COUNTIFS($AB$5:AB292,"OK",$AD$5:AD292,"&lt;&gt;除外"),"")</f>
        <v/>
      </c>
      <c r="BA292" s="34">
        <f>IF(OR(AZ292="",AI292=""),"",AI292+ROW()/1000000000)</f>
        <v/>
      </c>
      <c r="BB292" s="34">
        <f>IF(E292="","",IF(OR(TRIM(E292&amp;"")="-",TRIM(E292&amp;"")="－",TRIM(E292&amp;"")="ー"),"",TRIM(E292&amp;"")))</f>
        <v/>
      </c>
      <c r="BC292" s="34">
        <f>IF(AND(AB292="OK",BB292&lt;&gt;""),IF(COUNTIFS($BB$5:BB292,BB292,$AB$5:AB292,"OK")=1,1,""),"")</f>
        <v/>
      </c>
      <c r="BD292" s="34">
        <f>IF(BC292=1,COUNTIF($BC$5:BC292,1),"")</f>
        <v/>
      </c>
      <c r="BE292" s="34">
        <f>IF(BB292="","",IFERROR(INDEX('06_顧客別集計'!$G$5:$G$104,MATCH(BB292,'06_顧客別集計'!$C$5:$C$104,0)),BB292))</f>
        <v/>
      </c>
      <c r="BF292" s="34">
        <f>IF(AND(AZ292&lt;&gt;"",BE292&lt;&gt;""),IF(COUNTIFS($BE$5:BE292,BE292,$AZ$5:AZ292,"&gt;0")=1,1,""),"")</f>
        <v/>
      </c>
      <c r="BG292" s="34">
        <f>IF(BF292=1,COUNTIF($BF$5:BF292,1),"")</f>
        <v/>
      </c>
    </row>
    <row r="293">
      <c r="AB293">
        <f>IF(AND(A293="",G293=""),"",IF(ISNUMBER(SEARCH("##END",AM293)),"（終わりの印）",IF(ISNUMBER(SEARCH("##続き",AM293)),"（続きありの印）",IF(AM293="調査ID","（見出し行）",IF(AND(AM293&lt;&gt;"R1",AM293&lt;&gt;"R2"),"×表以外の行（集計されない）",IF(COUNTIF($AN$5:AN293,AN293)&gt;1,"△重複（集計されない）",IF(G293="","△タスク名なし",IF(ISNA(MATCH(AQ293,'M1_類型マスタ'!$A$5:$A$19,0)),"△類型が不正",IF(OR(AP293="",N(AP293)&lt;1,N(AP293)&gt;6),"△業務区分が不正",IF(OR(AS293="",AT293=""),"△回数・分が読めない",IF(SUMPRODUCT(--ISNUMBER(--T293:Z293))&lt;7,"△採点が足りない",IF(SUMPRODUCT((--T293:Z293&gt;2)+(--T293:Z293&lt;0))&gt;0,"△採点が範囲外","OK"))))))))))))</f>
        <v/>
      </c>
      <c r="AC293">
        <f>IF(AB293&lt;&gt;"OK","",TRIM(IF(AND(AU293&lt;&gt;"",N(AU293)&lt;=1),"根拠1件 ","")&amp;IF(AV293&lt;&gt;"","同名あり ","")&amp;IF(AND(NOT(ISNUMBER(N293)),N293&lt;&gt;""),"回数を換算 ","")&amp;IF(J293="","詳細なし ","")&amp;IF(AND(N(AP293)=1,BB293=""),"顧客名なし ","")))</f>
        <v/>
      </c>
      <c r="AD293" s="31" t="n"/>
      <c r="AE293" s="32" t="n"/>
      <c r="AF293" s="32" t="n"/>
      <c r="AG293" s="31" t="n"/>
      <c r="AH293">
        <f>IF(AB293&lt;&gt;"OK","",IF(AG293&lt;&gt;"",AG293,AJ293))</f>
        <v/>
      </c>
      <c r="AI293" s="33">
        <f>IF(AB293&lt;&gt;"OK","",IFERROR(IF(AE293&lt;&gt;"",AE293,AS293)*IF(AF293&lt;&gt;"",AF293,AT293)/60,""))</f>
        <v/>
      </c>
      <c r="AJ293">
        <f>IF(AB293&lt;&gt;"OK","",IF(OR(VALUE(T293)=2,VALUE(U293)=2,VALUE(V293)=2),"社内残置",IF(AND(VALUE(T293)=0,VALUE(W293)=0,VALUE(Y293)=0),"自動化候補",IF(AND(VALUE(U293)=0,VALUE(W293)&lt;=1,VALUE(X293)&lt;=1,VALUE(Y293)&lt;=1,VALUE(Z293)&lt;=1),"オフショア候補",IF(AND(VALUE(Y293)&lt;=1,VALUE(Z293)&lt;=1),"ニアショア候補","社内で手順化→再評価")))))</f>
        <v/>
      </c>
      <c r="AK293">
        <f>IF(AB293&lt;&gt;"OK","",14-SUMPRODUCT(--T293:Z293))</f>
        <v/>
      </c>
      <c r="AL293" s="33">
        <f>IF(AB293&lt;&gt;"OK","",AS293*AT293/60)</f>
        <v/>
      </c>
      <c r="AM293" s="34">
        <f>IF(A293="","",UPPER(TRIM(ASC(A293&amp;""))))</f>
        <v/>
      </c>
      <c r="AN293" s="34">
        <f>IF(AM293="","",AM293&amp;"-"&amp;B293)</f>
        <v/>
      </c>
      <c r="AO293" s="34">
        <f>IF(C293="","",IFERROR(VALUE(ASC(SUBSTITUTE(C293&amp;"","観点",""))),""))</f>
        <v/>
      </c>
      <c r="AP293" s="34">
        <f>IF(D293="","",IFERROR(VALUE(LEFT(TRIM(ASC(D293&amp;"")),1)),IFERROR(MATCH(TRIM(D293&amp;""),'M2_区分マスタ'!$I$5:$I$10,0),"")))</f>
        <v/>
      </c>
      <c r="AQ293" s="34">
        <f>IF(H293="","",UPPER(LEFT(TRIM(ASC(H293&amp;"")),3)))</f>
        <v/>
      </c>
      <c r="AR293" s="34">
        <f>IF(N293="","",IFERROR(VALUE(SUBSTITUTE(SUBSTITUTE(SUBSTITUTE(SUBSTITUTE(SUBSTITUTE(SUBSTITUTE(SUBSTITUTE(SUBSTITUTE(SUBSTITUTE(SUBSTITUTE(SUBSTITUTE(SUBSTITUTE(ASC(N293&amp;""),"約",""),"程度",""),"ほど",""),"回",""),"毎",""),"週",""),"月",""),"年",""),"日",""),"に",""),"/","")," ","")),""))</f>
        <v/>
      </c>
      <c r="AS293" s="34">
        <f>IF(N293="","",IF(ISNUMBER(N293),N293,IFERROR(VALUE(ASC(N293&amp;"")),IF(AR293&lt;&gt;"",AR293*IF(ISNUMBER(SEARCH("週",N293)),4.3,IF(ISNUMBER(SEARCH("年",N293)),1/12,IF(ISNUMBER(SEARCH("日",N293)),20,1))),IF(ISNUMBER(SEARCH("日",N293)),20,IF(ISNUMBER(SEARCH("週",N293)),4.3,IF(ISNUMBER(SEARCH("月",N293)),1,"")))))))</f>
        <v/>
      </c>
      <c r="AT293" s="34">
        <f>IF(O293="","",IF(ISNUMBER(O293),O293,IFERROR(VALUE(ASC(O293&amp;"")),IF(ISNUMBER(SEARCH("時間",O293)),IFERROR(VALUE(SUBSTITUTE(SUBSTITUTE(SUBSTITUTE(SUBSTITUTE(SUBSTITUTE(ASC(O293&amp;""),"約",""),"程度",""),"ほど",""),"時間","")," ",""))*60,""),IFERROR(VALUE(SUBSTITUTE(SUBSTITUTE(SUBSTITUTE(SUBSTITUTE(SUBSTITUTE(ASC(O293&amp;""),"約",""),"程度",""),"ほど",""),"分","")," ","")),"")))))</f>
        <v/>
      </c>
      <c r="AU293" s="34">
        <f>IF(P293="","",IF(ISNUMBER(P293),P293,IFERROR(VALUE(SUBSTITUTE(SUBSTITUTE(SUBSTITUTE(ASC(P293&amp;""),"約",""),"件","")," ","")),"")))</f>
        <v/>
      </c>
      <c r="AV293" s="34">
        <f>IF(AB293&lt;&gt;"OK","",IF(COUNTIFS($G$5:$G$404,G293&amp;"",$F$5:$F$404,F293&amp;"",$BE$5:$BE$404,BE293&amp;"",$AB$5:$AB$404,"OK")&gt;1,"同名あり",""))</f>
        <v/>
      </c>
      <c r="AW293" s="35">
        <f>IF(Q293="","",IF(ISNUMBER(Q293),Q293,IFERROR(DATEVALUE(SUBSTITUTE(SUBSTITUTE(ASC(Q293&amp;""),"-","/"),".","/")&amp;"/01"),"")))</f>
        <v/>
      </c>
      <c r="AX293" s="35">
        <f>IF(R293="","",IF(ISNUMBER(R293),R293,IFERROR(DATEVALUE(SUBSTITUTE(SUBSTITUTE(ASC(R293&amp;""),"-","/"),".","/")&amp;"/01"),"")))</f>
        <v/>
      </c>
      <c r="AY293" s="34">
        <f>IF(OR(AB293&lt;&gt;"OK",AW293=""),"",IF(AW293&gt;='01_設定'!$C$26,1,0))</f>
        <v/>
      </c>
      <c r="AZ293" s="34">
        <f>IF(AND(AB293="OK",AD293&lt;&gt;"除外"),COUNTIFS($AB$5:AB293,"OK",$AD$5:AD293,"&lt;&gt;除外"),"")</f>
        <v/>
      </c>
      <c r="BA293" s="34">
        <f>IF(OR(AZ293="",AI293=""),"",AI293+ROW()/1000000000)</f>
        <v/>
      </c>
      <c r="BB293" s="34">
        <f>IF(E293="","",IF(OR(TRIM(E293&amp;"")="-",TRIM(E293&amp;"")="－",TRIM(E293&amp;"")="ー"),"",TRIM(E293&amp;"")))</f>
        <v/>
      </c>
      <c r="BC293" s="34">
        <f>IF(AND(AB293="OK",BB293&lt;&gt;""),IF(COUNTIFS($BB$5:BB293,BB293,$AB$5:AB293,"OK")=1,1,""),"")</f>
        <v/>
      </c>
      <c r="BD293" s="34">
        <f>IF(BC293=1,COUNTIF($BC$5:BC293,1),"")</f>
        <v/>
      </c>
      <c r="BE293" s="34">
        <f>IF(BB293="","",IFERROR(INDEX('06_顧客別集計'!$G$5:$G$104,MATCH(BB293,'06_顧客別集計'!$C$5:$C$104,0)),BB293))</f>
        <v/>
      </c>
      <c r="BF293" s="34">
        <f>IF(AND(AZ293&lt;&gt;"",BE293&lt;&gt;""),IF(COUNTIFS($BE$5:BE293,BE293,$AZ$5:AZ293,"&gt;0")=1,1,""),"")</f>
        <v/>
      </c>
      <c r="BG293" s="34">
        <f>IF(BF293=1,COUNTIF($BF$5:BF293,1),"")</f>
        <v/>
      </c>
    </row>
    <row r="294">
      <c r="AB294">
        <f>IF(AND(A294="",G294=""),"",IF(ISNUMBER(SEARCH("##END",AM294)),"（終わりの印）",IF(ISNUMBER(SEARCH("##続き",AM294)),"（続きありの印）",IF(AM294="調査ID","（見出し行）",IF(AND(AM294&lt;&gt;"R1",AM294&lt;&gt;"R2"),"×表以外の行（集計されない）",IF(COUNTIF($AN$5:AN294,AN294)&gt;1,"△重複（集計されない）",IF(G294="","△タスク名なし",IF(ISNA(MATCH(AQ294,'M1_類型マスタ'!$A$5:$A$19,0)),"△類型が不正",IF(OR(AP294="",N(AP294)&lt;1,N(AP294)&gt;6),"△業務区分が不正",IF(OR(AS294="",AT294=""),"△回数・分が読めない",IF(SUMPRODUCT(--ISNUMBER(--T294:Z294))&lt;7,"△採点が足りない",IF(SUMPRODUCT((--T294:Z294&gt;2)+(--T294:Z294&lt;0))&gt;0,"△採点が範囲外","OK"))))))))))))</f>
        <v/>
      </c>
      <c r="AC294">
        <f>IF(AB294&lt;&gt;"OK","",TRIM(IF(AND(AU294&lt;&gt;"",N(AU294)&lt;=1),"根拠1件 ","")&amp;IF(AV294&lt;&gt;"","同名あり ","")&amp;IF(AND(NOT(ISNUMBER(N294)),N294&lt;&gt;""),"回数を換算 ","")&amp;IF(J294="","詳細なし ","")&amp;IF(AND(N(AP294)=1,BB294=""),"顧客名なし ","")))</f>
        <v/>
      </c>
      <c r="AD294" s="31" t="n"/>
      <c r="AE294" s="32" t="n"/>
      <c r="AF294" s="32" t="n"/>
      <c r="AG294" s="31" t="n"/>
      <c r="AH294">
        <f>IF(AB294&lt;&gt;"OK","",IF(AG294&lt;&gt;"",AG294,AJ294))</f>
        <v/>
      </c>
      <c r="AI294" s="33">
        <f>IF(AB294&lt;&gt;"OK","",IFERROR(IF(AE294&lt;&gt;"",AE294,AS294)*IF(AF294&lt;&gt;"",AF294,AT294)/60,""))</f>
        <v/>
      </c>
      <c r="AJ294">
        <f>IF(AB294&lt;&gt;"OK","",IF(OR(VALUE(T294)=2,VALUE(U294)=2,VALUE(V294)=2),"社内残置",IF(AND(VALUE(T294)=0,VALUE(W294)=0,VALUE(Y294)=0),"自動化候補",IF(AND(VALUE(U294)=0,VALUE(W294)&lt;=1,VALUE(X294)&lt;=1,VALUE(Y294)&lt;=1,VALUE(Z294)&lt;=1),"オフショア候補",IF(AND(VALUE(Y294)&lt;=1,VALUE(Z294)&lt;=1),"ニアショア候補","社内で手順化→再評価")))))</f>
        <v/>
      </c>
      <c r="AK294">
        <f>IF(AB294&lt;&gt;"OK","",14-SUMPRODUCT(--T294:Z294))</f>
        <v/>
      </c>
      <c r="AL294" s="33">
        <f>IF(AB294&lt;&gt;"OK","",AS294*AT294/60)</f>
        <v/>
      </c>
      <c r="AM294" s="34">
        <f>IF(A294="","",UPPER(TRIM(ASC(A294&amp;""))))</f>
        <v/>
      </c>
      <c r="AN294" s="34">
        <f>IF(AM294="","",AM294&amp;"-"&amp;B294)</f>
        <v/>
      </c>
      <c r="AO294" s="34">
        <f>IF(C294="","",IFERROR(VALUE(ASC(SUBSTITUTE(C294&amp;"","観点",""))),""))</f>
        <v/>
      </c>
      <c r="AP294" s="34">
        <f>IF(D294="","",IFERROR(VALUE(LEFT(TRIM(ASC(D294&amp;"")),1)),IFERROR(MATCH(TRIM(D294&amp;""),'M2_区分マスタ'!$I$5:$I$10,0),"")))</f>
        <v/>
      </c>
      <c r="AQ294" s="34">
        <f>IF(H294="","",UPPER(LEFT(TRIM(ASC(H294&amp;"")),3)))</f>
        <v/>
      </c>
      <c r="AR294" s="34">
        <f>IF(N294="","",IFERROR(VALUE(SUBSTITUTE(SUBSTITUTE(SUBSTITUTE(SUBSTITUTE(SUBSTITUTE(SUBSTITUTE(SUBSTITUTE(SUBSTITUTE(SUBSTITUTE(SUBSTITUTE(SUBSTITUTE(SUBSTITUTE(ASC(N294&amp;""),"約",""),"程度",""),"ほど",""),"回",""),"毎",""),"週",""),"月",""),"年",""),"日",""),"に",""),"/","")," ","")),""))</f>
        <v/>
      </c>
      <c r="AS294" s="34">
        <f>IF(N294="","",IF(ISNUMBER(N294),N294,IFERROR(VALUE(ASC(N294&amp;"")),IF(AR294&lt;&gt;"",AR294*IF(ISNUMBER(SEARCH("週",N294)),4.3,IF(ISNUMBER(SEARCH("年",N294)),1/12,IF(ISNUMBER(SEARCH("日",N294)),20,1))),IF(ISNUMBER(SEARCH("日",N294)),20,IF(ISNUMBER(SEARCH("週",N294)),4.3,IF(ISNUMBER(SEARCH("月",N294)),1,"")))))))</f>
        <v/>
      </c>
      <c r="AT294" s="34">
        <f>IF(O294="","",IF(ISNUMBER(O294),O294,IFERROR(VALUE(ASC(O294&amp;"")),IF(ISNUMBER(SEARCH("時間",O294)),IFERROR(VALUE(SUBSTITUTE(SUBSTITUTE(SUBSTITUTE(SUBSTITUTE(SUBSTITUTE(ASC(O294&amp;""),"約",""),"程度",""),"ほど",""),"時間","")," ",""))*60,""),IFERROR(VALUE(SUBSTITUTE(SUBSTITUTE(SUBSTITUTE(SUBSTITUTE(SUBSTITUTE(ASC(O294&amp;""),"約",""),"程度",""),"ほど",""),"分","")," ","")),"")))))</f>
        <v/>
      </c>
      <c r="AU294" s="34">
        <f>IF(P294="","",IF(ISNUMBER(P294),P294,IFERROR(VALUE(SUBSTITUTE(SUBSTITUTE(SUBSTITUTE(ASC(P294&amp;""),"約",""),"件","")," ","")),"")))</f>
        <v/>
      </c>
      <c r="AV294" s="34">
        <f>IF(AB294&lt;&gt;"OK","",IF(COUNTIFS($G$5:$G$404,G294&amp;"",$F$5:$F$404,F294&amp;"",$BE$5:$BE$404,BE294&amp;"",$AB$5:$AB$404,"OK")&gt;1,"同名あり",""))</f>
        <v/>
      </c>
      <c r="AW294" s="35">
        <f>IF(Q294="","",IF(ISNUMBER(Q294),Q294,IFERROR(DATEVALUE(SUBSTITUTE(SUBSTITUTE(ASC(Q294&amp;""),"-","/"),".","/")&amp;"/01"),"")))</f>
        <v/>
      </c>
      <c r="AX294" s="35">
        <f>IF(R294="","",IF(ISNUMBER(R294),R294,IFERROR(DATEVALUE(SUBSTITUTE(SUBSTITUTE(ASC(R294&amp;""),"-","/"),".","/")&amp;"/01"),"")))</f>
        <v/>
      </c>
      <c r="AY294" s="34">
        <f>IF(OR(AB294&lt;&gt;"OK",AW294=""),"",IF(AW294&gt;='01_設定'!$C$26,1,0))</f>
        <v/>
      </c>
      <c r="AZ294" s="34">
        <f>IF(AND(AB294="OK",AD294&lt;&gt;"除外"),COUNTIFS($AB$5:AB294,"OK",$AD$5:AD294,"&lt;&gt;除外"),"")</f>
        <v/>
      </c>
      <c r="BA294" s="34">
        <f>IF(OR(AZ294="",AI294=""),"",AI294+ROW()/1000000000)</f>
        <v/>
      </c>
      <c r="BB294" s="34">
        <f>IF(E294="","",IF(OR(TRIM(E294&amp;"")="-",TRIM(E294&amp;"")="－",TRIM(E294&amp;"")="ー"),"",TRIM(E294&amp;"")))</f>
        <v/>
      </c>
      <c r="BC294" s="34">
        <f>IF(AND(AB294="OK",BB294&lt;&gt;""),IF(COUNTIFS($BB$5:BB294,BB294,$AB$5:AB294,"OK")=1,1,""),"")</f>
        <v/>
      </c>
      <c r="BD294" s="34">
        <f>IF(BC294=1,COUNTIF($BC$5:BC294,1),"")</f>
        <v/>
      </c>
      <c r="BE294" s="34">
        <f>IF(BB294="","",IFERROR(INDEX('06_顧客別集計'!$G$5:$G$104,MATCH(BB294,'06_顧客別集計'!$C$5:$C$104,0)),BB294))</f>
        <v/>
      </c>
      <c r="BF294" s="34">
        <f>IF(AND(AZ294&lt;&gt;"",BE294&lt;&gt;""),IF(COUNTIFS($BE$5:BE294,BE294,$AZ$5:AZ294,"&gt;0")=1,1,""),"")</f>
        <v/>
      </c>
      <c r="BG294" s="34">
        <f>IF(BF294=1,COUNTIF($BF$5:BF294,1),"")</f>
        <v/>
      </c>
    </row>
    <row r="295">
      <c r="AB295">
        <f>IF(AND(A295="",G295=""),"",IF(ISNUMBER(SEARCH("##END",AM295)),"（終わりの印）",IF(ISNUMBER(SEARCH("##続き",AM295)),"（続きありの印）",IF(AM295="調査ID","（見出し行）",IF(AND(AM295&lt;&gt;"R1",AM295&lt;&gt;"R2"),"×表以外の行（集計されない）",IF(COUNTIF($AN$5:AN295,AN295)&gt;1,"△重複（集計されない）",IF(G295="","△タスク名なし",IF(ISNA(MATCH(AQ295,'M1_類型マスタ'!$A$5:$A$19,0)),"△類型が不正",IF(OR(AP295="",N(AP295)&lt;1,N(AP295)&gt;6),"△業務区分が不正",IF(OR(AS295="",AT295=""),"△回数・分が読めない",IF(SUMPRODUCT(--ISNUMBER(--T295:Z295))&lt;7,"△採点が足りない",IF(SUMPRODUCT((--T295:Z295&gt;2)+(--T295:Z295&lt;0))&gt;0,"△採点が範囲外","OK"))))))))))))</f>
        <v/>
      </c>
      <c r="AC295">
        <f>IF(AB295&lt;&gt;"OK","",TRIM(IF(AND(AU295&lt;&gt;"",N(AU295)&lt;=1),"根拠1件 ","")&amp;IF(AV295&lt;&gt;"","同名あり ","")&amp;IF(AND(NOT(ISNUMBER(N295)),N295&lt;&gt;""),"回数を換算 ","")&amp;IF(J295="","詳細なし ","")&amp;IF(AND(N(AP295)=1,BB295=""),"顧客名なし ","")))</f>
        <v/>
      </c>
      <c r="AD295" s="31" t="n"/>
      <c r="AE295" s="32" t="n"/>
      <c r="AF295" s="32" t="n"/>
      <c r="AG295" s="31" t="n"/>
      <c r="AH295">
        <f>IF(AB295&lt;&gt;"OK","",IF(AG295&lt;&gt;"",AG295,AJ295))</f>
        <v/>
      </c>
      <c r="AI295" s="33">
        <f>IF(AB295&lt;&gt;"OK","",IFERROR(IF(AE295&lt;&gt;"",AE295,AS295)*IF(AF295&lt;&gt;"",AF295,AT295)/60,""))</f>
        <v/>
      </c>
      <c r="AJ295">
        <f>IF(AB295&lt;&gt;"OK","",IF(OR(VALUE(T295)=2,VALUE(U295)=2,VALUE(V295)=2),"社内残置",IF(AND(VALUE(T295)=0,VALUE(W295)=0,VALUE(Y295)=0),"自動化候補",IF(AND(VALUE(U295)=0,VALUE(W295)&lt;=1,VALUE(X295)&lt;=1,VALUE(Y295)&lt;=1,VALUE(Z295)&lt;=1),"オフショア候補",IF(AND(VALUE(Y295)&lt;=1,VALUE(Z295)&lt;=1),"ニアショア候補","社内で手順化→再評価")))))</f>
        <v/>
      </c>
      <c r="AK295">
        <f>IF(AB295&lt;&gt;"OK","",14-SUMPRODUCT(--T295:Z295))</f>
        <v/>
      </c>
      <c r="AL295" s="33">
        <f>IF(AB295&lt;&gt;"OK","",AS295*AT295/60)</f>
        <v/>
      </c>
      <c r="AM295" s="34">
        <f>IF(A295="","",UPPER(TRIM(ASC(A295&amp;""))))</f>
        <v/>
      </c>
      <c r="AN295" s="34">
        <f>IF(AM295="","",AM295&amp;"-"&amp;B295)</f>
        <v/>
      </c>
      <c r="AO295" s="34">
        <f>IF(C295="","",IFERROR(VALUE(ASC(SUBSTITUTE(C295&amp;"","観点",""))),""))</f>
        <v/>
      </c>
      <c r="AP295" s="34">
        <f>IF(D295="","",IFERROR(VALUE(LEFT(TRIM(ASC(D295&amp;"")),1)),IFERROR(MATCH(TRIM(D295&amp;""),'M2_区分マスタ'!$I$5:$I$10,0),"")))</f>
        <v/>
      </c>
      <c r="AQ295" s="34">
        <f>IF(H295="","",UPPER(LEFT(TRIM(ASC(H295&amp;"")),3)))</f>
        <v/>
      </c>
      <c r="AR295" s="34">
        <f>IF(N295="","",IFERROR(VALUE(SUBSTITUTE(SUBSTITUTE(SUBSTITUTE(SUBSTITUTE(SUBSTITUTE(SUBSTITUTE(SUBSTITUTE(SUBSTITUTE(SUBSTITUTE(SUBSTITUTE(SUBSTITUTE(SUBSTITUTE(ASC(N295&amp;""),"約",""),"程度",""),"ほど",""),"回",""),"毎",""),"週",""),"月",""),"年",""),"日",""),"に",""),"/","")," ","")),""))</f>
        <v/>
      </c>
      <c r="AS295" s="34">
        <f>IF(N295="","",IF(ISNUMBER(N295),N295,IFERROR(VALUE(ASC(N295&amp;"")),IF(AR295&lt;&gt;"",AR295*IF(ISNUMBER(SEARCH("週",N295)),4.3,IF(ISNUMBER(SEARCH("年",N295)),1/12,IF(ISNUMBER(SEARCH("日",N295)),20,1))),IF(ISNUMBER(SEARCH("日",N295)),20,IF(ISNUMBER(SEARCH("週",N295)),4.3,IF(ISNUMBER(SEARCH("月",N295)),1,"")))))))</f>
        <v/>
      </c>
      <c r="AT295" s="34">
        <f>IF(O295="","",IF(ISNUMBER(O295),O295,IFERROR(VALUE(ASC(O295&amp;"")),IF(ISNUMBER(SEARCH("時間",O295)),IFERROR(VALUE(SUBSTITUTE(SUBSTITUTE(SUBSTITUTE(SUBSTITUTE(SUBSTITUTE(ASC(O295&amp;""),"約",""),"程度",""),"ほど",""),"時間","")," ",""))*60,""),IFERROR(VALUE(SUBSTITUTE(SUBSTITUTE(SUBSTITUTE(SUBSTITUTE(SUBSTITUTE(ASC(O295&amp;""),"約",""),"程度",""),"ほど",""),"分","")," ","")),"")))))</f>
        <v/>
      </c>
      <c r="AU295" s="34">
        <f>IF(P295="","",IF(ISNUMBER(P295),P295,IFERROR(VALUE(SUBSTITUTE(SUBSTITUTE(SUBSTITUTE(ASC(P295&amp;""),"約",""),"件","")," ","")),"")))</f>
        <v/>
      </c>
      <c r="AV295" s="34">
        <f>IF(AB295&lt;&gt;"OK","",IF(COUNTIFS($G$5:$G$404,G295&amp;"",$F$5:$F$404,F295&amp;"",$BE$5:$BE$404,BE295&amp;"",$AB$5:$AB$404,"OK")&gt;1,"同名あり",""))</f>
        <v/>
      </c>
      <c r="AW295" s="35">
        <f>IF(Q295="","",IF(ISNUMBER(Q295),Q295,IFERROR(DATEVALUE(SUBSTITUTE(SUBSTITUTE(ASC(Q295&amp;""),"-","/"),".","/")&amp;"/01"),"")))</f>
        <v/>
      </c>
      <c r="AX295" s="35">
        <f>IF(R295="","",IF(ISNUMBER(R295),R295,IFERROR(DATEVALUE(SUBSTITUTE(SUBSTITUTE(ASC(R295&amp;""),"-","/"),".","/")&amp;"/01"),"")))</f>
        <v/>
      </c>
      <c r="AY295" s="34">
        <f>IF(OR(AB295&lt;&gt;"OK",AW295=""),"",IF(AW295&gt;='01_設定'!$C$26,1,0))</f>
        <v/>
      </c>
      <c r="AZ295" s="34">
        <f>IF(AND(AB295="OK",AD295&lt;&gt;"除外"),COUNTIFS($AB$5:AB295,"OK",$AD$5:AD295,"&lt;&gt;除外"),"")</f>
        <v/>
      </c>
      <c r="BA295" s="34">
        <f>IF(OR(AZ295="",AI295=""),"",AI295+ROW()/1000000000)</f>
        <v/>
      </c>
      <c r="BB295" s="34">
        <f>IF(E295="","",IF(OR(TRIM(E295&amp;"")="-",TRIM(E295&amp;"")="－",TRIM(E295&amp;"")="ー"),"",TRIM(E295&amp;"")))</f>
        <v/>
      </c>
      <c r="BC295" s="34">
        <f>IF(AND(AB295="OK",BB295&lt;&gt;""),IF(COUNTIFS($BB$5:BB295,BB295,$AB$5:AB295,"OK")=1,1,""),"")</f>
        <v/>
      </c>
      <c r="BD295" s="34">
        <f>IF(BC295=1,COUNTIF($BC$5:BC295,1),"")</f>
        <v/>
      </c>
      <c r="BE295" s="34">
        <f>IF(BB295="","",IFERROR(INDEX('06_顧客別集計'!$G$5:$G$104,MATCH(BB295,'06_顧客別集計'!$C$5:$C$104,0)),BB295))</f>
        <v/>
      </c>
      <c r="BF295" s="34">
        <f>IF(AND(AZ295&lt;&gt;"",BE295&lt;&gt;""),IF(COUNTIFS($BE$5:BE295,BE295,$AZ$5:AZ295,"&gt;0")=1,1,""),"")</f>
        <v/>
      </c>
      <c r="BG295" s="34">
        <f>IF(BF295=1,COUNTIF($BF$5:BF295,1),"")</f>
        <v/>
      </c>
    </row>
    <row r="296">
      <c r="AB296">
        <f>IF(AND(A296="",G296=""),"",IF(ISNUMBER(SEARCH("##END",AM296)),"（終わりの印）",IF(ISNUMBER(SEARCH("##続き",AM296)),"（続きありの印）",IF(AM296="調査ID","（見出し行）",IF(AND(AM296&lt;&gt;"R1",AM296&lt;&gt;"R2"),"×表以外の行（集計されない）",IF(COUNTIF($AN$5:AN296,AN296)&gt;1,"△重複（集計されない）",IF(G296="","△タスク名なし",IF(ISNA(MATCH(AQ296,'M1_類型マスタ'!$A$5:$A$19,0)),"△類型が不正",IF(OR(AP296="",N(AP296)&lt;1,N(AP296)&gt;6),"△業務区分が不正",IF(OR(AS296="",AT296=""),"△回数・分が読めない",IF(SUMPRODUCT(--ISNUMBER(--T296:Z296))&lt;7,"△採点が足りない",IF(SUMPRODUCT((--T296:Z296&gt;2)+(--T296:Z296&lt;0))&gt;0,"△採点が範囲外","OK"))))))))))))</f>
        <v/>
      </c>
      <c r="AC296">
        <f>IF(AB296&lt;&gt;"OK","",TRIM(IF(AND(AU296&lt;&gt;"",N(AU296)&lt;=1),"根拠1件 ","")&amp;IF(AV296&lt;&gt;"","同名あり ","")&amp;IF(AND(NOT(ISNUMBER(N296)),N296&lt;&gt;""),"回数を換算 ","")&amp;IF(J296="","詳細なし ","")&amp;IF(AND(N(AP296)=1,BB296=""),"顧客名なし ","")))</f>
        <v/>
      </c>
      <c r="AD296" s="31" t="n"/>
      <c r="AE296" s="32" t="n"/>
      <c r="AF296" s="32" t="n"/>
      <c r="AG296" s="31" t="n"/>
      <c r="AH296">
        <f>IF(AB296&lt;&gt;"OK","",IF(AG296&lt;&gt;"",AG296,AJ296))</f>
        <v/>
      </c>
      <c r="AI296" s="33">
        <f>IF(AB296&lt;&gt;"OK","",IFERROR(IF(AE296&lt;&gt;"",AE296,AS296)*IF(AF296&lt;&gt;"",AF296,AT296)/60,""))</f>
        <v/>
      </c>
      <c r="AJ296">
        <f>IF(AB296&lt;&gt;"OK","",IF(OR(VALUE(T296)=2,VALUE(U296)=2,VALUE(V296)=2),"社内残置",IF(AND(VALUE(T296)=0,VALUE(W296)=0,VALUE(Y296)=0),"自動化候補",IF(AND(VALUE(U296)=0,VALUE(W296)&lt;=1,VALUE(X296)&lt;=1,VALUE(Y296)&lt;=1,VALUE(Z296)&lt;=1),"オフショア候補",IF(AND(VALUE(Y296)&lt;=1,VALUE(Z296)&lt;=1),"ニアショア候補","社内で手順化→再評価")))))</f>
        <v/>
      </c>
      <c r="AK296">
        <f>IF(AB296&lt;&gt;"OK","",14-SUMPRODUCT(--T296:Z296))</f>
        <v/>
      </c>
      <c r="AL296" s="33">
        <f>IF(AB296&lt;&gt;"OK","",AS296*AT296/60)</f>
        <v/>
      </c>
      <c r="AM296" s="34">
        <f>IF(A296="","",UPPER(TRIM(ASC(A296&amp;""))))</f>
        <v/>
      </c>
      <c r="AN296" s="34">
        <f>IF(AM296="","",AM296&amp;"-"&amp;B296)</f>
        <v/>
      </c>
      <c r="AO296" s="34">
        <f>IF(C296="","",IFERROR(VALUE(ASC(SUBSTITUTE(C296&amp;"","観点",""))),""))</f>
        <v/>
      </c>
      <c r="AP296" s="34">
        <f>IF(D296="","",IFERROR(VALUE(LEFT(TRIM(ASC(D296&amp;"")),1)),IFERROR(MATCH(TRIM(D296&amp;""),'M2_区分マスタ'!$I$5:$I$10,0),"")))</f>
        <v/>
      </c>
      <c r="AQ296" s="34">
        <f>IF(H296="","",UPPER(LEFT(TRIM(ASC(H296&amp;"")),3)))</f>
        <v/>
      </c>
      <c r="AR296" s="34">
        <f>IF(N296="","",IFERROR(VALUE(SUBSTITUTE(SUBSTITUTE(SUBSTITUTE(SUBSTITUTE(SUBSTITUTE(SUBSTITUTE(SUBSTITUTE(SUBSTITUTE(SUBSTITUTE(SUBSTITUTE(SUBSTITUTE(SUBSTITUTE(ASC(N296&amp;""),"約",""),"程度",""),"ほど",""),"回",""),"毎",""),"週",""),"月",""),"年",""),"日",""),"に",""),"/","")," ","")),""))</f>
        <v/>
      </c>
      <c r="AS296" s="34">
        <f>IF(N296="","",IF(ISNUMBER(N296),N296,IFERROR(VALUE(ASC(N296&amp;"")),IF(AR296&lt;&gt;"",AR296*IF(ISNUMBER(SEARCH("週",N296)),4.3,IF(ISNUMBER(SEARCH("年",N296)),1/12,IF(ISNUMBER(SEARCH("日",N296)),20,1))),IF(ISNUMBER(SEARCH("日",N296)),20,IF(ISNUMBER(SEARCH("週",N296)),4.3,IF(ISNUMBER(SEARCH("月",N296)),1,"")))))))</f>
        <v/>
      </c>
      <c r="AT296" s="34">
        <f>IF(O296="","",IF(ISNUMBER(O296),O296,IFERROR(VALUE(ASC(O296&amp;"")),IF(ISNUMBER(SEARCH("時間",O296)),IFERROR(VALUE(SUBSTITUTE(SUBSTITUTE(SUBSTITUTE(SUBSTITUTE(SUBSTITUTE(ASC(O296&amp;""),"約",""),"程度",""),"ほど",""),"時間","")," ",""))*60,""),IFERROR(VALUE(SUBSTITUTE(SUBSTITUTE(SUBSTITUTE(SUBSTITUTE(SUBSTITUTE(ASC(O296&amp;""),"約",""),"程度",""),"ほど",""),"分","")," ","")),"")))))</f>
        <v/>
      </c>
      <c r="AU296" s="34">
        <f>IF(P296="","",IF(ISNUMBER(P296),P296,IFERROR(VALUE(SUBSTITUTE(SUBSTITUTE(SUBSTITUTE(ASC(P296&amp;""),"約",""),"件","")," ","")),"")))</f>
        <v/>
      </c>
      <c r="AV296" s="34">
        <f>IF(AB296&lt;&gt;"OK","",IF(COUNTIFS($G$5:$G$404,G296&amp;"",$F$5:$F$404,F296&amp;"",$BE$5:$BE$404,BE296&amp;"",$AB$5:$AB$404,"OK")&gt;1,"同名あり",""))</f>
        <v/>
      </c>
      <c r="AW296" s="35">
        <f>IF(Q296="","",IF(ISNUMBER(Q296),Q296,IFERROR(DATEVALUE(SUBSTITUTE(SUBSTITUTE(ASC(Q296&amp;""),"-","/"),".","/")&amp;"/01"),"")))</f>
        <v/>
      </c>
      <c r="AX296" s="35">
        <f>IF(R296="","",IF(ISNUMBER(R296),R296,IFERROR(DATEVALUE(SUBSTITUTE(SUBSTITUTE(ASC(R296&amp;""),"-","/"),".","/")&amp;"/01"),"")))</f>
        <v/>
      </c>
      <c r="AY296" s="34">
        <f>IF(OR(AB296&lt;&gt;"OK",AW296=""),"",IF(AW296&gt;='01_設定'!$C$26,1,0))</f>
        <v/>
      </c>
      <c r="AZ296" s="34">
        <f>IF(AND(AB296="OK",AD296&lt;&gt;"除外"),COUNTIFS($AB$5:AB296,"OK",$AD$5:AD296,"&lt;&gt;除外"),"")</f>
        <v/>
      </c>
      <c r="BA296" s="34">
        <f>IF(OR(AZ296="",AI296=""),"",AI296+ROW()/1000000000)</f>
        <v/>
      </c>
      <c r="BB296" s="34">
        <f>IF(E296="","",IF(OR(TRIM(E296&amp;"")="-",TRIM(E296&amp;"")="－",TRIM(E296&amp;"")="ー"),"",TRIM(E296&amp;"")))</f>
        <v/>
      </c>
      <c r="BC296" s="34">
        <f>IF(AND(AB296="OK",BB296&lt;&gt;""),IF(COUNTIFS($BB$5:BB296,BB296,$AB$5:AB296,"OK")=1,1,""),"")</f>
        <v/>
      </c>
      <c r="BD296" s="34">
        <f>IF(BC296=1,COUNTIF($BC$5:BC296,1),"")</f>
        <v/>
      </c>
      <c r="BE296" s="34">
        <f>IF(BB296="","",IFERROR(INDEX('06_顧客別集計'!$G$5:$G$104,MATCH(BB296,'06_顧客別集計'!$C$5:$C$104,0)),BB296))</f>
        <v/>
      </c>
      <c r="BF296" s="34">
        <f>IF(AND(AZ296&lt;&gt;"",BE296&lt;&gt;""),IF(COUNTIFS($BE$5:BE296,BE296,$AZ$5:AZ296,"&gt;0")=1,1,""),"")</f>
        <v/>
      </c>
      <c r="BG296" s="34">
        <f>IF(BF296=1,COUNTIF($BF$5:BF296,1),"")</f>
        <v/>
      </c>
    </row>
    <row r="297">
      <c r="AB297">
        <f>IF(AND(A297="",G297=""),"",IF(ISNUMBER(SEARCH("##END",AM297)),"（終わりの印）",IF(ISNUMBER(SEARCH("##続き",AM297)),"（続きありの印）",IF(AM297="調査ID","（見出し行）",IF(AND(AM297&lt;&gt;"R1",AM297&lt;&gt;"R2"),"×表以外の行（集計されない）",IF(COUNTIF($AN$5:AN297,AN297)&gt;1,"△重複（集計されない）",IF(G297="","△タスク名なし",IF(ISNA(MATCH(AQ297,'M1_類型マスタ'!$A$5:$A$19,0)),"△類型が不正",IF(OR(AP297="",N(AP297)&lt;1,N(AP297)&gt;6),"△業務区分が不正",IF(OR(AS297="",AT297=""),"△回数・分が読めない",IF(SUMPRODUCT(--ISNUMBER(--T297:Z297))&lt;7,"△採点が足りない",IF(SUMPRODUCT((--T297:Z297&gt;2)+(--T297:Z297&lt;0))&gt;0,"△採点が範囲外","OK"))))))))))))</f>
        <v/>
      </c>
      <c r="AC297">
        <f>IF(AB297&lt;&gt;"OK","",TRIM(IF(AND(AU297&lt;&gt;"",N(AU297)&lt;=1),"根拠1件 ","")&amp;IF(AV297&lt;&gt;"","同名あり ","")&amp;IF(AND(NOT(ISNUMBER(N297)),N297&lt;&gt;""),"回数を換算 ","")&amp;IF(J297="","詳細なし ","")&amp;IF(AND(N(AP297)=1,BB297=""),"顧客名なし ","")))</f>
        <v/>
      </c>
      <c r="AD297" s="31" t="n"/>
      <c r="AE297" s="32" t="n"/>
      <c r="AF297" s="32" t="n"/>
      <c r="AG297" s="31" t="n"/>
      <c r="AH297">
        <f>IF(AB297&lt;&gt;"OK","",IF(AG297&lt;&gt;"",AG297,AJ297))</f>
        <v/>
      </c>
      <c r="AI297" s="33">
        <f>IF(AB297&lt;&gt;"OK","",IFERROR(IF(AE297&lt;&gt;"",AE297,AS297)*IF(AF297&lt;&gt;"",AF297,AT297)/60,""))</f>
        <v/>
      </c>
      <c r="AJ297">
        <f>IF(AB297&lt;&gt;"OK","",IF(OR(VALUE(T297)=2,VALUE(U297)=2,VALUE(V297)=2),"社内残置",IF(AND(VALUE(T297)=0,VALUE(W297)=0,VALUE(Y297)=0),"自動化候補",IF(AND(VALUE(U297)=0,VALUE(W297)&lt;=1,VALUE(X297)&lt;=1,VALUE(Y297)&lt;=1,VALUE(Z297)&lt;=1),"オフショア候補",IF(AND(VALUE(Y297)&lt;=1,VALUE(Z297)&lt;=1),"ニアショア候補","社内で手順化→再評価")))))</f>
        <v/>
      </c>
      <c r="AK297">
        <f>IF(AB297&lt;&gt;"OK","",14-SUMPRODUCT(--T297:Z297))</f>
        <v/>
      </c>
      <c r="AL297" s="33">
        <f>IF(AB297&lt;&gt;"OK","",AS297*AT297/60)</f>
        <v/>
      </c>
      <c r="AM297" s="34">
        <f>IF(A297="","",UPPER(TRIM(ASC(A297&amp;""))))</f>
        <v/>
      </c>
      <c r="AN297" s="34">
        <f>IF(AM297="","",AM297&amp;"-"&amp;B297)</f>
        <v/>
      </c>
      <c r="AO297" s="34">
        <f>IF(C297="","",IFERROR(VALUE(ASC(SUBSTITUTE(C297&amp;"","観点",""))),""))</f>
        <v/>
      </c>
      <c r="AP297" s="34">
        <f>IF(D297="","",IFERROR(VALUE(LEFT(TRIM(ASC(D297&amp;"")),1)),IFERROR(MATCH(TRIM(D297&amp;""),'M2_区分マスタ'!$I$5:$I$10,0),"")))</f>
        <v/>
      </c>
      <c r="AQ297" s="34">
        <f>IF(H297="","",UPPER(LEFT(TRIM(ASC(H297&amp;"")),3)))</f>
        <v/>
      </c>
      <c r="AR297" s="34">
        <f>IF(N297="","",IFERROR(VALUE(SUBSTITUTE(SUBSTITUTE(SUBSTITUTE(SUBSTITUTE(SUBSTITUTE(SUBSTITUTE(SUBSTITUTE(SUBSTITUTE(SUBSTITUTE(SUBSTITUTE(SUBSTITUTE(SUBSTITUTE(ASC(N297&amp;""),"約",""),"程度",""),"ほど",""),"回",""),"毎",""),"週",""),"月",""),"年",""),"日",""),"に",""),"/","")," ","")),""))</f>
        <v/>
      </c>
      <c r="AS297" s="34">
        <f>IF(N297="","",IF(ISNUMBER(N297),N297,IFERROR(VALUE(ASC(N297&amp;"")),IF(AR297&lt;&gt;"",AR297*IF(ISNUMBER(SEARCH("週",N297)),4.3,IF(ISNUMBER(SEARCH("年",N297)),1/12,IF(ISNUMBER(SEARCH("日",N297)),20,1))),IF(ISNUMBER(SEARCH("日",N297)),20,IF(ISNUMBER(SEARCH("週",N297)),4.3,IF(ISNUMBER(SEARCH("月",N297)),1,"")))))))</f>
        <v/>
      </c>
      <c r="AT297" s="34">
        <f>IF(O297="","",IF(ISNUMBER(O297),O297,IFERROR(VALUE(ASC(O297&amp;"")),IF(ISNUMBER(SEARCH("時間",O297)),IFERROR(VALUE(SUBSTITUTE(SUBSTITUTE(SUBSTITUTE(SUBSTITUTE(SUBSTITUTE(ASC(O297&amp;""),"約",""),"程度",""),"ほど",""),"時間","")," ",""))*60,""),IFERROR(VALUE(SUBSTITUTE(SUBSTITUTE(SUBSTITUTE(SUBSTITUTE(SUBSTITUTE(ASC(O297&amp;""),"約",""),"程度",""),"ほど",""),"分","")," ","")),"")))))</f>
        <v/>
      </c>
      <c r="AU297" s="34">
        <f>IF(P297="","",IF(ISNUMBER(P297),P297,IFERROR(VALUE(SUBSTITUTE(SUBSTITUTE(SUBSTITUTE(ASC(P297&amp;""),"約",""),"件","")," ","")),"")))</f>
        <v/>
      </c>
      <c r="AV297" s="34">
        <f>IF(AB297&lt;&gt;"OK","",IF(COUNTIFS($G$5:$G$404,G297&amp;"",$F$5:$F$404,F297&amp;"",$BE$5:$BE$404,BE297&amp;"",$AB$5:$AB$404,"OK")&gt;1,"同名あり",""))</f>
        <v/>
      </c>
      <c r="AW297" s="35">
        <f>IF(Q297="","",IF(ISNUMBER(Q297),Q297,IFERROR(DATEVALUE(SUBSTITUTE(SUBSTITUTE(ASC(Q297&amp;""),"-","/"),".","/")&amp;"/01"),"")))</f>
        <v/>
      </c>
      <c r="AX297" s="35">
        <f>IF(R297="","",IF(ISNUMBER(R297),R297,IFERROR(DATEVALUE(SUBSTITUTE(SUBSTITUTE(ASC(R297&amp;""),"-","/"),".","/")&amp;"/01"),"")))</f>
        <v/>
      </c>
      <c r="AY297" s="34">
        <f>IF(OR(AB297&lt;&gt;"OK",AW297=""),"",IF(AW297&gt;='01_設定'!$C$26,1,0))</f>
        <v/>
      </c>
      <c r="AZ297" s="34">
        <f>IF(AND(AB297="OK",AD297&lt;&gt;"除外"),COUNTIFS($AB$5:AB297,"OK",$AD$5:AD297,"&lt;&gt;除外"),"")</f>
        <v/>
      </c>
      <c r="BA297" s="34">
        <f>IF(OR(AZ297="",AI297=""),"",AI297+ROW()/1000000000)</f>
        <v/>
      </c>
      <c r="BB297" s="34">
        <f>IF(E297="","",IF(OR(TRIM(E297&amp;"")="-",TRIM(E297&amp;"")="－",TRIM(E297&amp;"")="ー"),"",TRIM(E297&amp;"")))</f>
        <v/>
      </c>
      <c r="BC297" s="34">
        <f>IF(AND(AB297="OK",BB297&lt;&gt;""),IF(COUNTIFS($BB$5:BB297,BB297,$AB$5:AB297,"OK")=1,1,""),"")</f>
        <v/>
      </c>
      <c r="BD297" s="34">
        <f>IF(BC297=1,COUNTIF($BC$5:BC297,1),"")</f>
        <v/>
      </c>
      <c r="BE297" s="34">
        <f>IF(BB297="","",IFERROR(INDEX('06_顧客別集計'!$G$5:$G$104,MATCH(BB297,'06_顧客別集計'!$C$5:$C$104,0)),BB297))</f>
        <v/>
      </c>
      <c r="BF297" s="34">
        <f>IF(AND(AZ297&lt;&gt;"",BE297&lt;&gt;""),IF(COUNTIFS($BE$5:BE297,BE297,$AZ$5:AZ297,"&gt;0")=1,1,""),"")</f>
        <v/>
      </c>
      <c r="BG297" s="34">
        <f>IF(BF297=1,COUNTIF($BF$5:BF297,1),"")</f>
        <v/>
      </c>
    </row>
    <row r="298">
      <c r="AB298">
        <f>IF(AND(A298="",G298=""),"",IF(ISNUMBER(SEARCH("##END",AM298)),"（終わりの印）",IF(ISNUMBER(SEARCH("##続き",AM298)),"（続きありの印）",IF(AM298="調査ID","（見出し行）",IF(AND(AM298&lt;&gt;"R1",AM298&lt;&gt;"R2"),"×表以外の行（集計されない）",IF(COUNTIF($AN$5:AN298,AN298)&gt;1,"△重複（集計されない）",IF(G298="","△タスク名なし",IF(ISNA(MATCH(AQ298,'M1_類型マスタ'!$A$5:$A$19,0)),"△類型が不正",IF(OR(AP298="",N(AP298)&lt;1,N(AP298)&gt;6),"△業務区分が不正",IF(OR(AS298="",AT298=""),"△回数・分が読めない",IF(SUMPRODUCT(--ISNUMBER(--T298:Z298))&lt;7,"△採点が足りない",IF(SUMPRODUCT((--T298:Z298&gt;2)+(--T298:Z298&lt;0))&gt;0,"△採点が範囲外","OK"))))))))))))</f>
        <v/>
      </c>
      <c r="AC298">
        <f>IF(AB298&lt;&gt;"OK","",TRIM(IF(AND(AU298&lt;&gt;"",N(AU298)&lt;=1),"根拠1件 ","")&amp;IF(AV298&lt;&gt;"","同名あり ","")&amp;IF(AND(NOT(ISNUMBER(N298)),N298&lt;&gt;""),"回数を換算 ","")&amp;IF(J298="","詳細なし ","")&amp;IF(AND(N(AP298)=1,BB298=""),"顧客名なし ","")))</f>
        <v/>
      </c>
      <c r="AD298" s="31" t="n"/>
      <c r="AE298" s="32" t="n"/>
      <c r="AF298" s="32" t="n"/>
      <c r="AG298" s="31" t="n"/>
      <c r="AH298">
        <f>IF(AB298&lt;&gt;"OK","",IF(AG298&lt;&gt;"",AG298,AJ298))</f>
        <v/>
      </c>
      <c r="AI298" s="33">
        <f>IF(AB298&lt;&gt;"OK","",IFERROR(IF(AE298&lt;&gt;"",AE298,AS298)*IF(AF298&lt;&gt;"",AF298,AT298)/60,""))</f>
        <v/>
      </c>
      <c r="AJ298">
        <f>IF(AB298&lt;&gt;"OK","",IF(OR(VALUE(T298)=2,VALUE(U298)=2,VALUE(V298)=2),"社内残置",IF(AND(VALUE(T298)=0,VALUE(W298)=0,VALUE(Y298)=0),"自動化候補",IF(AND(VALUE(U298)=0,VALUE(W298)&lt;=1,VALUE(X298)&lt;=1,VALUE(Y298)&lt;=1,VALUE(Z298)&lt;=1),"オフショア候補",IF(AND(VALUE(Y298)&lt;=1,VALUE(Z298)&lt;=1),"ニアショア候補","社内で手順化→再評価")))))</f>
        <v/>
      </c>
      <c r="AK298">
        <f>IF(AB298&lt;&gt;"OK","",14-SUMPRODUCT(--T298:Z298))</f>
        <v/>
      </c>
      <c r="AL298" s="33">
        <f>IF(AB298&lt;&gt;"OK","",AS298*AT298/60)</f>
        <v/>
      </c>
      <c r="AM298" s="34">
        <f>IF(A298="","",UPPER(TRIM(ASC(A298&amp;""))))</f>
        <v/>
      </c>
      <c r="AN298" s="34">
        <f>IF(AM298="","",AM298&amp;"-"&amp;B298)</f>
        <v/>
      </c>
      <c r="AO298" s="34">
        <f>IF(C298="","",IFERROR(VALUE(ASC(SUBSTITUTE(C298&amp;"","観点",""))),""))</f>
        <v/>
      </c>
      <c r="AP298" s="34">
        <f>IF(D298="","",IFERROR(VALUE(LEFT(TRIM(ASC(D298&amp;"")),1)),IFERROR(MATCH(TRIM(D298&amp;""),'M2_区分マスタ'!$I$5:$I$10,0),"")))</f>
        <v/>
      </c>
      <c r="AQ298" s="34">
        <f>IF(H298="","",UPPER(LEFT(TRIM(ASC(H298&amp;"")),3)))</f>
        <v/>
      </c>
      <c r="AR298" s="34">
        <f>IF(N298="","",IFERROR(VALUE(SUBSTITUTE(SUBSTITUTE(SUBSTITUTE(SUBSTITUTE(SUBSTITUTE(SUBSTITUTE(SUBSTITUTE(SUBSTITUTE(SUBSTITUTE(SUBSTITUTE(SUBSTITUTE(SUBSTITUTE(ASC(N298&amp;""),"約",""),"程度",""),"ほど",""),"回",""),"毎",""),"週",""),"月",""),"年",""),"日",""),"に",""),"/","")," ","")),""))</f>
        <v/>
      </c>
      <c r="AS298" s="34">
        <f>IF(N298="","",IF(ISNUMBER(N298),N298,IFERROR(VALUE(ASC(N298&amp;"")),IF(AR298&lt;&gt;"",AR298*IF(ISNUMBER(SEARCH("週",N298)),4.3,IF(ISNUMBER(SEARCH("年",N298)),1/12,IF(ISNUMBER(SEARCH("日",N298)),20,1))),IF(ISNUMBER(SEARCH("日",N298)),20,IF(ISNUMBER(SEARCH("週",N298)),4.3,IF(ISNUMBER(SEARCH("月",N298)),1,"")))))))</f>
        <v/>
      </c>
      <c r="AT298" s="34">
        <f>IF(O298="","",IF(ISNUMBER(O298),O298,IFERROR(VALUE(ASC(O298&amp;"")),IF(ISNUMBER(SEARCH("時間",O298)),IFERROR(VALUE(SUBSTITUTE(SUBSTITUTE(SUBSTITUTE(SUBSTITUTE(SUBSTITUTE(ASC(O298&amp;""),"約",""),"程度",""),"ほど",""),"時間","")," ",""))*60,""),IFERROR(VALUE(SUBSTITUTE(SUBSTITUTE(SUBSTITUTE(SUBSTITUTE(SUBSTITUTE(ASC(O298&amp;""),"約",""),"程度",""),"ほど",""),"分","")," ","")),"")))))</f>
        <v/>
      </c>
      <c r="AU298" s="34">
        <f>IF(P298="","",IF(ISNUMBER(P298),P298,IFERROR(VALUE(SUBSTITUTE(SUBSTITUTE(SUBSTITUTE(ASC(P298&amp;""),"約",""),"件","")," ","")),"")))</f>
        <v/>
      </c>
      <c r="AV298" s="34">
        <f>IF(AB298&lt;&gt;"OK","",IF(COUNTIFS($G$5:$G$404,G298&amp;"",$F$5:$F$404,F298&amp;"",$BE$5:$BE$404,BE298&amp;"",$AB$5:$AB$404,"OK")&gt;1,"同名あり",""))</f>
        <v/>
      </c>
      <c r="AW298" s="35">
        <f>IF(Q298="","",IF(ISNUMBER(Q298),Q298,IFERROR(DATEVALUE(SUBSTITUTE(SUBSTITUTE(ASC(Q298&amp;""),"-","/"),".","/")&amp;"/01"),"")))</f>
        <v/>
      </c>
      <c r="AX298" s="35">
        <f>IF(R298="","",IF(ISNUMBER(R298),R298,IFERROR(DATEVALUE(SUBSTITUTE(SUBSTITUTE(ASC(R298&amp;""),"-","/"),".","/")&amp;"/01"),"")))</f>
        <v/>
      </c>
      <c r="AY298" s="34">
        <f>IF(OR(AB298&lt;&gt;"OK",AW298=""),"",IF(AW298&gt;='01_設定'!$C$26,1,0))</f>
        <v/>
      </c>
      <c r="AZ298" s="34">
        <f>IF(AND(AB298="OK",AD298&lt;&gt;"除外"),COUNTIFS($AB$5:AB298,"OK",$AD$5:AD298,"&lt;&gt;除外"),"")</f>
        <v/>
      </c>
      <c r="BA298" s="34">
        <f>IF(OR(AZ298="",AI298=""),"",AI298+ROW()/1000000000)</f>
        <v/>
      </c>
      <c r="BB298" s="34">
        <f>IF(E298="","",IF(OR(TRIM(E298&amp;"")="-",TRIM(E298&amp;"")="－",TRIM(E298&amp;"")="ー"),"",TRIM(E298&amp;"")))</f>
        <v/>
      </c>
      <c r="BC298" s="34">
        <f>IF(AND(AB298="OK",BB298&lt;&gt;""),IF(COUNTIFS($BB$5:BB298,BB298,$AB$5:AB298,"OK")=1,1,""),"")</f>
        <v/>
      </c>
      <c r="BD298" s="34">
        <f>IF(BC298=1,COUNTIF($BC$5:BC298,1),"")</f>
        <v/>
      </c>
      <c r="BE298" s="34">
        <f>IF(BB298="","",IFERROR(INDEX('06_顧客別集計'!$G$5:$G$104,MATCH(BB298,'06_顧客別集計'!$C$5:$C$104,0)),BB298))</f>
        <v/>
      </c>
      <c r="BF298" s="34">
        <f>IF(AND(AZ298&lt;&gt;"",BE298&lt;&gt;""),IF(COUNTIFS($BE$5:BE298,BE298,$AZ$5:AZ298,"&gt;0")=1,1,""),"")</f>
        <v/>
      </c>
      <c r="BG298" s="34">
        <f>IF(BF298=1,COUNTIF($BF$5:BF298,1),"")</f>
        <v/>
      </c>
    </row>
    <row r="299">
      <c r="AB299">
        <f>IF(AND(A299="",G299=""),"",IF(ISNUMBER(SEARCH("##END",AM299)),"（終わりの印）",IF(ISNUMBER(SEARCH("##続き",AM299)),"（続きありの印）",IF(AM299="調査ID","（見出し行）",IF(AND(AM299&lt;&gt;"R1",AM299&lt;&gt;"R2"),"×表以外の行（集計されない）",IF(COUNTIF($AN$5:AN299,AN299)&gt;1,"△重複（集計されない）",IF(G299="","△タスク名なし",IF(ISNA(MATCH(AQ299,'M1_類型マスタ'!$A$5:$A$19,0)),"△類型が不正",IF(OR(AP299="",N(AP299)&lt;1,N(AP299)&gt;6),"△業務区分が不正",IF(OR(AS299="",AT299=""),"△回数・分が読めない",IF(SUMPRODUCT(--ISNUMBER(--T299:Z299))&lt;7,"△採点が足りない",IF(SUMPRODUCT((--T299:Z299&gt;2)+(--T299:Z299&lt;0))&gt;0,"△採点が範囲外","OK"))))))))))))</f>
        <v/>
      </c>
      <c r="AC299">
        <f>IF(AB299&lt;&gt;"OK","",TRIM(IF(AND(AU299&lt;&gt;"",N(AU299)&lt;=1),"根拠1件 ","")&amp;IF(AV299&lt;&gt;"","同名あり ","")&amp;IF(AND(NOT(ISNUMBER(N299)),N299&lt;&gt;""),"回数を換算 ","")&amp;IF(J299="","詳細なし ","")&amp;IF(AND(N(AP299)=1,BB299=""),"顧客名なし ","")))</f>
        <v/>
      </c>
      <c r="AD299" s="31" t="n"/>
      <c r="AE299" s="32" t="n"/>
      <c r="AF299" s="32" t="n"/>
      <c r="AG299" s="31" t="n"/>
      <c r="AH299">
        <f>IF(AB299&lt;&gt;"OK","",IF(AG299&lt;&gt;"",AG299,AJ299))</f>
        <v/>
      </c>
      <c r="AI299" s="33">
        <f>IF(AB299&lt;&gt;"OK","",IFERROR(IF(AE299&lt;&gt;"",AE299,AS299)*IF(AF299&lt;&gt;"",AF299,AT299)/60,""))</f>
        <v/>
      </c>
      <c r="AJ299">
        <f>IF(AB299&lt;&gt;"OK","",IF(OR(VALUE(T299)=2,VALUE(U299)=2,VALUE(V299)=2),"社内残置",IF(AND(VALUE(T299)=0,VALUE(W299)=0,VALUE(Y299)=0),"自動化候補",IF(AND(VALUE(U299)=0,VALUE(W299)&lt;=1,VALUE(X299)&lt;=1,VALUE(Y299)&lt;=1,VALUE(Z299)&lt;=1),"オフショア候補",IF(AND(VALUE(Y299)&lt;=1,VALUE(Z299)&lt;=1),"ニアショア候補","社内で手順化→再評価")))))</f>
        <v/>
      </c>
      <c r="AK299">
        <f>IF(AB299&lt;&gt;"OK","",14-SUMPRODUCT(--T299:Z299))</f>
        <v/>
      </c>
      <c r="AL299" s="33">
        <f>IF(AB299&lt;&gt;"OK","",AS299*AT299/60)</f>
        <v/>
      </c>
      <c r="AM299" s="34">
        <f>IF(A299="","",UPPER(TRIM(ASC(A299&amp;""))))</f>
        <v/>
      </c>
      <c r="AN299" s="34">
        <f>IF(AM299="","",AM299&amp;"-"&amp;B299)</f>
        <v/>
      </c>
      <c r="AO299" s="34">
        <f>IF(C299="","",IFERROR(VALUE(ASC(SUBSTITUTE(C299&amp;"","観点",""))),""))</f>
        <v/>
      </c>
      <c r="AP299" s="34">
        <f>IF(D299="","",IFERROR(VALUE(LEFT(TRIM(ASC(D299&amp;"")),1)),IFERROR(MATCH(TRIM(D299&amp;""),'M2_区分マスタ'!$I$5:$I$10,0),"")))</f>
        <v/>
      </c>
      <c r="AQ299" s="34">
        <f>IF(H299="","",UPPER(LEFT(TRIM(ASC(H299&amp;"")),3)))</f>
        <v/>
      </c>
      <c r="AR299" s="34">
        <f>IF(N299="","",IFERROR(VALUE(SUBSTITUTE(SUBSTITUTE(SUBSTITUTE(SUBSTITUTE(SUBSTITUTE(SUBSTITUTE(SUBSTITUTE(SUBSTITUTE(SUBSTITUTE(SUBSTITUTE(SUBSTITUTE(SUBSTITUTE(ASC(N299&amp;""),"約",""),"程度",""),"ほど",""),"回",""),"毎",""),"週",""),"月",""),"年",""),"日",""),"に",""),"/","")," ","")),""))</f>
        <v/>
      </c>
      <c r="AS299" s="34">
        <f>IF(N299="","",IF(ISNUMBER(N299),N299,IFERROR(VALUE(ASC(N299&amp;"")),IF(AR299&lt;&gt;"",AR299*IF(ISNUMBER(SEARCH("週",N299)),4.3,IF(ISNUMBER(SEARCH("年",N299)),1/12,IF(ISNUMBER(SEARCH("日",N299)),20,1))),IF(ISNUMBER(SEARCH("日",N299)),20,IF(ISNUMBER(SEARCH("週",N299)),4.3,IF(ISNUMBER(SEARCH("月",N299)),1,"")))))))</f>
        <v/>
      </c>
      <c r="AT299" s="34">
        <f>IF(O299="","",IF(ISNUMBER(O299),O299,IFERROR(VALUE(ASC(O299&amp;"")),IF(ISNUMBER(SEARCH("時間",O299)),IFERROR(VALUE(SUBSTITUTE(SUBSTITUTE(SUBSTITUTE(SUBSTITUTE(SUBSTITUTE(ASC(O299&amp;""),"約",""),"程度",""),"ほど",""),"時間","")," ",""))*60,""),IFERROR(VALUE(SUBSTITUTE(SUBSTITUTE(SUBSTITUTE(SUBSTITUTE(SUBSTITUTE(ASC(O299&amp;""),"約",""),"程度",""),"ほど",""),"分","")," ","")),"")))))</f>
        <v/>
      </c>
      <c r="AU299" s="34">
        <f>IF(P299="","",IF(ISNUMBER(P299),P299,IFERROR(VALUE(SUBSTITUTE(SUBSTITUTE(SUBSTITUTE(ASC(P299&amp;""),"約",""),"件","")," ","")),"")))</f>
        <v/>
      </c>
      <c r="AV299" s="34">
        <f>IF(AB299&lt;&gt;"OK","",IF(COUNTIFS($G$5:$G$404,G299&amp;"",$F$5:$F$404,F299&amp;"",$BE$5:$BE$404,BE299&amp;"",$AB$5:$AB$404,"OK")&gt;1,"同名あり",""))</f>
        <v/>
      </c>
      <c r="AW299" s="35">
        <f>IF(Q299="","",IF(ISNUMBER(Q299),Q299,IFERROR(DATEVALUE(SUBSTITUTE(SUBSTITUTE(ASC(Q299&amp;""),"-","/"),".","/")&amp;"/01"),"")))</f>
        <v/>
      </c>
      <c r="AX299" s="35">
        <f>IF(R299="","",IF(ISNUMBER(R299),R299,IFERROR(DATEVALUE(SUBSTITUTE(SUBSTITUTE(ASC(R299&amp;""),"-","/"),".","/")&amp;"/01"),"")))</f>
        <v/>
      </c>
      <c r="AY299" s="34">
        <f>IF(OR(AB299&lt;&gt;"OK",AW299=""),"",IF(AW299&gt;='01_設定'!$C$26,1,0))</f>
        <v/>
      </c>
      <c r="AZ299" s="34">
        <f>IF(AND(AB299="OK",AD299&lt;&gt;"除外"),COUNTIFS($AB$5:AB299,"OK",$AD$5:AD299,"&lt;&gt;除外"),"")</f>
        <v/>
      </c>
      <c r="BA299" s="34">
        <f>IF(OR(AZ299="",AI299=""),"",AI299+ROW()/1000000000)</f>
        <v/>
      </c>
      <c r="BB299" s="34">
        <f>IF(E299="","",IF(OR(TRIM(E299&amp;"")="-",TRIM(E299&amp;"")="－",TRIM(E299&amp;"")="ー"),"",TRIM(E299&amp;"")))</f>
        <v/>
      </c>
      <c r="BC299" s="34">
        <f>IF(AND(AB299="OK",BB299&lt;&gt;""),IF(COUNTIFS($BB$5:BB299,BB299,$AB$5:AB299,"OK")=1,1,""),"")</f>
        <v/>
      </c>
      <c r="BD299" s="34">
        <f>IF(BC299=1,COUNTIF($BC$5:BC299,1),"")</f>
        <v/>
      </c>
      <c r="BE299" s="34">
        <f>IF(BB299="","",IFERROR(INDEX('06_顧客別集計'!$G$5:$G$104,MATCH(BB299,'06_顧客別集計'!$C$5:$C$104,0)),BB299))</f>
        <v/>
      </c>
      <c r="BF299" s="34">
        <f>IF(AND(AZ299&lt;&gt;"",BE299&lt;&gt;""),IF(COUNTIFS($BE$5:BE299,BE299,$AZ$5:AZ299,"&gt;0")=1,1,""),"")</f>
        <v/>
      </c>
      <c r="BG299" s="34">
        <f>IF(BF299=1,COUNTIF($BF$5:BF299,1),"")</f>
        <v/>
      </c>
    </row>
    <row r="300">
      <c r="AB300">
        <f>IF(AND(A300="",G300=""),"",IF(ISNUMBER(SEARCH("##END",AM300)),"（終わりの印）",IF(ISNUMBER(SEARCH("##続き",AM300)),"（続きありの印）",IF(AM300="調査ID","（見出し行）",IF(AND(AM300&lt;&gt;"R1",AM300&lt;&gt;"R2"),"×表以外の行（集計されない）",IF(COUNTIF($AN$5:AN300,AN300)&gt;1,"△重複（集計されない）",IF(G300="","△タスク名なし",IF(ISNA(MATCH(AQ300,'M1_類型マスタ'!$A$5:$A$19,0)),"△類型が不正",IF(OR(AP300="",N(AP300)&lt;1,N(AP300)&gt;6),"△業務区分が不正",IF(OR(AS300="",AT300=""),"△回数・分が読めない",IF(SUMPRODUCT(--ISNUMBER(--T300:Z300))&lt;7,"△採点が足りない",IF(SUMPRODUCT((--T300:Z300&gt;2)+(--T300:Z300&lt;0))&gt;0,"△採点が範囲外","OK"))))))))))))</f>
        <v/>
      </c>
      <c r="AC300">
        <f>IF(AB300&lt;&gt;"OK","",TRIM(IF(AND(AU300&lt;&gt;"",N(AU300)&lt;=1),"根拠1件 ","")&amp;IF(AV300&lt;&gt;"","同名あり ","")&amp;IF(AND(NOT(ISNUMBER(N300)),N300&lt;&gt;""),"回数を換算 ","")&amp;IF(J300="","詳細なし ","")&amp;IF(AND(N(AP300)=1,BB300=""),"顧客名なし ","")))</f>
        <v/>
      </c>
      <c r="AD300" s="31" t="n"/>
      <c r="AE300" s="32" t="n"/>
      <c r="AF300" s="32" t="n"/>
      <c r="AG300" s="31" t="n"/>
      <c r="AH300">
        <f>IF(AB300&lt;&gt;"OK","",IF(AG300&lt;&gt;"",AG300,AJ300))</f>
        <v/>
      </c>
      <c r="AI300" s="33">
        <f>IF(AB300&lt;&gt;"OK","",IFERROR(IF(AE300&lt;&gt;"",AE300,AS300)*IF(AF300&lt;&gt;"",AF300,AT300)/60,""))</f>
        <v/>
      </c>
      <c r="AJ300">
        <f>IF(AB300&lt;&gt;"OK","",IF(OR(VALUE(T300)=2,VALUE(U300)=2,VALUE(V300)=2),"社内残置",IF(AND(VALUE(T300)=0,VALUE(W300)=0,VALUE(Y300)=0),"自動化候補",IF(AND(VALUE(U300)=0,VALUE(W300)&lt;=1,VALUE(X300)&lt;=1,VALUE(Y300)&lt;=1,VALUE(Z300)&lt;=1),"オフショア候補",IF(AND(VALUE(Y300)&lt;=1,VALUE(Z300)&lt;=1),"ニアショア候補","社内で手順化→再評価")))))</f>
        <v/>
      </c>
      <c r="AK300">
        <f>IF(AB300&lt;&gt;"OK","",14-SUMPRODUCT(--T300:Z300))</f>
        <v/>
      </c>
      <c r="AL300" s="33">
        <f>IF(AB300&lt;&gt;"OK","",AS300*AT300/60)</f>
        <v/>
      </c>
      <c r="AM300" s="34">
        <f>IF(A300="","",UPPER(TRIM(ASC(A300&amp;""))))</f>
        <v/>
      </c>
      <c r="AN300" s="34">
        <f>IF(AM300="","",AM300&amp;"-"&amp;B300)</f>
        <v/>
      </c>
      <c r="AO300" s="34">
        <f>IF(C300="","",IFERROR(VALUE(ASC(SUBSTITUTE(C300&amp;"","観点",""))),""))</f>
        <v/>
      </c>
      <c r="AP300" s="34">
        <f>IF(D300="","",IFERROR(VALUE(LEFT(TRIM(ASC(D300&amp;"")),1)),IFERROR(MATCH(TRIM(D300&amp;""),'M2_区分マスタ'!$I$5:$I$10,0),"")))</f>
        <v/>
      </c>
      <c r="AQ300" s="34">
        <f>IF(H300="","",UPPER(LEFT(TRIM(ASC(H300&amp;"")),3)))</f>
        <v/>
      </c>
      <c r="AR300" s="34">
        <f>IF(N300="","",IFERROR(VALUE(SUBSTITUTE(SUBSTITUTE(SUBSTITUTE(SUBSTITUTE(SUBSTITUTE(SUBSTITUTE(SUBSTITUTE(SUBSTITUTE(SUBSTITUTE(SUBSTITUTE(SUBSTITUTE(SUBSTITUTE(ASC(N300&amp;""),"約",""),"程度",""),"ほど",""),"回",""),"毎",""),"週",""),"月",""),"年",""),"日",""),"に",""),"/","")," ","")),""))</f>
        <v/>
      </c>
      <c r="AS300" s="34">
        <f>IF(N300="","",IF(ISNUMBER(N300),N300,IFERROR(VALUE(ASC(N300&amp;"")),IF(AR300&lt;&gt;"",AR300*IF(ISNUMBER(SEARCH("週",N300)),4.3,IF(ISNUMBER(SEARCH("年",N300)),1/12,IF(ISNUMBER(SEARCH("日",N300)),20,1))),IF(ISNUMBER(SEARCH("日",N300)),20,IF(ISNUMBER(SEARCH("週",N300)),4.3,IF(ISNUMBER(SEARCH("月",N300)),1,"")))))))</f>
        <v/>
      </c>
      <c r="AT300" s="34">
        <f>IF(O300="","",IF(ISNUMBER(O300),O300,IFERROR(VALUE(ASC(O300&amp;"")),IF(ISNUMBER(SEARCH("時間",O300)),IFERROR(VALUE(SUBSTITUTE(SUBSTITUTE(SUBSTITUTE(SUBSTITUTE(SUBSTITUTE(ASC(O300&amp;""),"約",""),"程度",""),"ほど",""),"時間","")," ",""))*60,""),IFERROR(VALUE(SUBSTITUTE(SUBSTITUTE(SUBSTITUTE(SUBSTITUTE(SUBSTITUTE(ASC(O300&amp;""),"約",""),"程度",""),"ほど",""),"分","")," ","")),"")))))</f>
        <v/>
      </c>
      <c r="AU300" s="34">
        <f>IF(P300="","",IF(ISNUMBER(P300),P300,IFERROR(VALUE(SUBSTITUTE(SUBSTITUTE(SUBSTITUTE(ASC(P300&amp;""),"約",""),"件","")," ","")),"")))</f>
        <v/>
      </c>
      <c r="AV300" s="34">
        <f>IF(AB300&lt;&gt;"OK","",IF(COUNTIFS($G$5:$G$404,G300&amp;"",$F$5:$F$404,F300&amp;"",$BE$5:$BE$404,BE300&amp;"",$AB$5:$AB$404,"OK")&gt;1,"同名あり",""))</f>
        <v/>
      </c>
      <c r="AW300" s="35">
        <f>IF(Q300="","",IF(ISNUMBER(Q300),Q300,IFERROR(DATEVALUE(SUBSTITUTE(SUBSTITUTE(ASC(Q300&amp;""),"-","/"),".","/")&amp;"/01"),"")))</f>
        <v/>
      </c>
      <c r="AX300" s="35">
        <f>IF(R300="","",IF(ISNUMBER(R300),R300,IFERROR(DATEVALUE(SUBSTITUTE(SUBSTITUTE(ASC(R300&amp;""),"-","/"),".","/")&amp;"/01"),"")))</f>
        <v/>
      </c>
      <c r="AY300" s="34">
        <f>IF(OR(AB300&lt;&gt;"OK",AW300=""),"",IF(AW300&gt;='01_設定'!$C$26,1,0))</f>
        <v/>
      </c>
      <c r="AZ300" s="34">
        <f>IF(AND(AB300="OK",AD300&lt;&gt;"除外"),COUNTIFS($AB$5:AB300,"OK",$AD$5:AD300,"&lt;&gt;除外"),"")</f>
        <v/>
      </c>
      <c r="BA300" s="34">
        <f>IF(OR(AZ300="",AI300=""),"",AI300+ROW()/1000000000)</f>
        <v/>
      </c>
      <c r="BB300" s="34">
        <f>IF(E300="","",IF(OR(TRIM(E300&amp;"")="-",TRIM(E300&amp;"")="－",TRIM(E300&amp;"")="ー"),"",TRIM(E300&amp;"")))</f>
        <v/>
      </c>
      <c r="BC300" s="34">
        <f>IF(AND(AB300="OK",BB300&lt;&gt;""),IF(COUNTIFS($BB$5:BB300,BB300,$AB$5:AB300,"OK")=1,1,""),"")</f>
        <v/>
      </c>
      <c r="BD300" s="34">
        <f>IF(BC300=1,COUNTIF($BC$5:BC300,1),"")</f>
        <v/>
      </c>
      <c r="BE300" s="34">
        <f>IF(BB300="","",IFERROR(INDEX('06_顧客別集計'!$G$5:$G$104,MATCH(BB300,'06_顧客別集計'!$C$5:$C$104,0)),BB300))</f>
        <v/>
      </c>
      <c r="BF300" s="34">
        <f>IF(AND(AZ300&lt;&gt;"",BE300&lt;&gt;""),IF(COUNTIFS($BE$5:BE300,BE300,$AZ$5:AZ300,"&gt;0")=1,1,""),"")</f>
        <v/>
      </c>
      <c r="BG300" s="34">
        <f>IF(BF300=1,COUNTIF($BF$5:BF300,1),"")</f>
        <v/>
      </c>
    </row>
    <row r="301">
      <c r="AB301">
        <f>IF(AND(A301="",G301=""),"",IF(ISNUMBER(SEARCH("##END",AM301)),"（終わりの印）",IF(ISNUMBER(SEARCH("##続き",AM301)),"（続きありの印）",IF(AM301="調査ID","（見出し行）",IF(AND(AM301&lt;&gt;"R1",AM301&lt;&gt;"R2"),"×表以外の行（集計されない）",IF(COUNTIF($AN$5:AN301,AN301)&gt;1,"△重複（集計されない）",IF(G301="","△タスク名なし",IF(ISNA(MATCH(AQ301,'M1_類型マスタ'!$A$5:$A$19,0)),"△類型が不正",IF(OR(AP301="",N(AP301)&lt;1,N(AP301)&gt;6),"△業務区分が不正",IF(OR(AS301="",AT301=""),"△回数・分が読めない",IF(SUMPRODUCT(--ISNUMBER(--T301:Z301))&lt;7,"△採点が足りない",IF(SUMPRODUCT((--T301:Z301&gt;2)+(--T301:Z301&lt;0))&gt;0,"△採点が範囲外","OK"))))))))))))</f>
        <v/>
      </c>
      <c r="AC301">
        <f>IF(AB301&lt;&gt;"OK","",TRIM(IF(AND(AU301&lt;&gt;"",N(AU301)&lt;=1),"根拠1件 ","")&amp;IF(AV301&lt;&gt;"","同名あり ","")&amp;IF(AND(NOT(ISNUMBER(N301)),N301&lt;&gt;""),"回数を換算 ","")&amp;IF(J301="","詳細なし ","")&amp;IF(AND(N(AP301)=1,BB301=""),"顧客名なし ","")))</f>
        <v/>
      </c>
      <c r="AD301" s="31" t="n"/>
      <c r="AE301" s="32" t="n"/>
      <c r="AF301" s="32" t="n"/>
      <c r="AG301" s="31" t="n"/>
      <c r="AH301">
        <f>IF(AB301&lt;&gt;"OK","",IF(AG301&lt;&gt;"",AG301,AJ301))</f>
        <v/>
      </c>
      <c r="AI301" s="33">
        <f>IF(AB301&lt;&gt;"OK","",IFERROR(IF(AE301&lt;&gt;"",AE301,AS301)*IF(AF301&lt;&gt;"",AF301,AT301)/60,""))</f>
        <v/>
      </c>
      <c r="AJ301">
        <f>IF(AB301&lt;&gt;"OK","",IF(OR(VALUE(T301)=2,VALUE(U301)=2,VALUE(V301)=2),"社内残置",IF(AND(VALUE(T301)=0,VALUE(W301)=0,VALUE(Y301)=0),"自動化候補",IF(AND(VALUE(U301)=0,VALUE(W301)&lt;=1,VALUE(X301)&lt;=1,VALUE(Y301)&lt;=1,VALUE(Z301)&lt;=1),"オフショア候補",IF(AND(VALUE(Y301)&lt;=1,VALUE(Z301)&lt;=1),"ニアショア候補","社内で手順化→再評価")))))</f>
        <v/>
      </c>
      <c r="AK301">
        <f>IF(AB301&lt;&gt;"OK","",14-SUMPRODUCT(--T301:Z301))</f>
        <v/>
      </c>
      <c r="AL301" s="33">
        <f>IF(AB301&lt;&gt;"OK","",AS301*AT301/60)</f>
        <v/>
      </c>
      <c r="AM301" s="34">
        <f>IF(A301="","",UPPER(TRIM(ASC(A301&amp;""))))</f>
        <v/>
      </c>
      <c r="AN301" s="34">
        <f>IF(AM301="","",AM301&amp;"-"&amp;B301)</f>
        <v/>
      </c>
      <c r="AO301" s="34">
        <f>IF(C301="","",IFERROR(VALUE(ASC(SUBSTITUTE(C301&amp;"","観点",""))),""))</f>
        <v/>
      </c>
      <c r="AP301" s="34">
        <f>IF(D301="","",IFERROR(VALUE(LEFT(TRIM(ASC(D301&amp;"")),1)),IFERROR(MATCH(TRIM(D301&amp;""),'M2_区分マスタ'!$I$5:$I$10,0),"")))</f>
        <v/>
      </c>
      <c r="AQ301" s="34">
        <f>IF(H301="","",UPPER(LEFT(TRIM(ASC(H301&amp;"")),3)))</f>
        <v/>
      </c>
      <c r="AR301" s="34">
        <f>IF(N301="","",IFERROR(VALUE(SUBSTITUTE(SUBSTITUTE(SUBSTITUTE(SUBSTITUTE(SUBSTITUTE(SUBSTITUTE(SUBSTITUTE(SUBSTITUTE(SUBSTITUTE(SUBSTITUTE(SUBSTITUTE(SUBSTITUTE(ASC(N301&amp;""),"約",""),"程度",""),"ほど",""),"回",""),"毎",""),"週",""),"月",""),"年",""),"日",""),"に",""),"/","")," ","")),""))</f>
        <v/>
      </c>
      <c r="AS301" s="34">
        <f>IF(N301="","",IF(ISNUMBER(N301),N301,IFERROR(VALUE(ASC(N301&amp;"")),IF(AR301&lt;&gt;"",AR301*IF(ISNUMBER(SEARCH("週",N301)),4.3,IF(ISNUMBER(SEARCH("年",N301)),1/12,IF(ISNUMBER(SEARCH("日",N301)),20,1))),IF(ISNUMBER(SEARCH("日",N301)),20,IF(ISNUMBER(SEARCH("週",N301)),4.3,IF(ISNUMBER(SEARCH("月",N301)),1,"")))))))</f>
        <v/>
      </c>
      <c r="AT301" s="34">
        <f>IF(O301="","",IF(ISNUMBER(O301),O301,IFERROR(VALUE(ASC(O301&amp;"")),IF(ISNUMBER(SEARCH("時間",O301)),IFERROR(VALUE(SUBSTITUTE(SUBSTITUTE(SUBSTITUTE(SUBSTITUTE(SUBSTITUTE(ASC(O301&amp;""),"約",""),"程度",""),"ほど",""),"時間","")," ",""))*60,""),IFERROR(VALUE(SUBSTITUTE(SUBSTITUTE(SUBSTITUTE(SUBSTITUTE(SUBSTITUTE(ASC(O301&amp;""),"約",""),"程度",""),"ほど",""),"分","")," ","")),"")))))</f>
        <v/>
      </c>
      <c r="AU301" s="34">
        <f>IF(P301="","",IF(ISNUMBER(P301),P301,IFERROR(VALUE(SUBSTITUTE(SUBSTITUTE(SUBSTITUTE(ASC(P301&amp;""),"約",""),"件","")," ","")),"")))</f>
        <v/>
      </c>
      <c r="AV301" s="34">
        <f>IF(AB301&lt;&gt;"OK","",IF(COUNTIFS($G$5:$G$404,G301&amp;"",$F$5:$F$404,F301&amp;"",$BE$5:$BE$404,BE301&amp;"",$AB$5:$AB$404,"OK")&gt;1,"同名あり",""))</f>
        <v/>
      </c>
      <c r="AW301" s="35">
        <f>IF(Q301="","",IF(ISNUMBER(Q301),Q301,IFERROR(DATEVALUE(SUBSTITUTE(SUBSTITUTE(ASC(Q301&amp;""),"-","/"),".","/")&amp;"/01"),"")))</f>
        <v/>
      </c>
      <c r="AX301" s="35">
        <f>IF(R301="","",IF(ISNUMBER(R301),R301,IFERROR(DATEVALUE(SUBSTITUTE(SUBSTITUTE(ASC(R301&amp;""),"-","/"),".","/")&amp;"/01"),"")))</f>
        <v/>
      </c>
      <c r="AY301" s="34">
        <f>IF(OR(AB301&lt;&gt;"OK",AW301=""),"",IF(AW301&gt;='01_設定'!$C$26,1,0))</f>
        <v/>
      </c>
      <c r="AZ301" s="34">
        <f>IF(AND(AB301="OK",AD301&lt;&gt;"除外"),COUNTIFS($AB$5:AB301,"OK",$AD$5:AD301,"&lt;&gt;除外"),"")</f>
        <v/>
      </c>
      <c r="BA301" s="34">
        <f>IF(OR(AZ301="",AI301=""),"",AI301+ROW()/1000000000)</f>
        <v/>
      </c>
      <c r="BB301" s="34">
        <f>IF(E301="","",IF(OR(TRIM(E301&amp;"")="-",TRIM(E301&amp;"")="－",TRIM(E301&amp;"")="ー"),"",TRIM(E301&amp;"")))</f>
        <v/>
      </c>
      <c r="BC301" s="34">
        <f>IF(AND(AB301="OK",BB301&lt;&gt;""),IF(COUNTIFS($BB$5:BB301,BB301,$AB$5:AB301,"OK")=1,1,""),"")</f>
        <v/>
      </c>
      <c r="BD301" s="34">
        <f>IF(BC301=1,COUNTIF($BC$5:BC301,1),"")</f>
        <v/>
      </c>
      <c r="BE301" s="34">
        <f>IF(BB301="","",IFERROR(INDEX('06_顧客別集計'!$G$5:$G$104,MATCH(BB301,'06_顧客別集計'!$C$5:$C$104,0)),BB301))</f>
        <v/>
      </c>
      <c r="BF301" s="34">
        <f>IF(AND(AZ301&lt;&gt;"",BE301&lt;&gt;""),IF(COUNTIFS($BE$5:BE301,BE301,$AZ$5:AZ301,"&gt;0")=1,1,""),"")</f>
        <v/>
      </c>
      <c r="BG301" s="34">
        <f>IF(BF301=1,COUNTIF($BF$5:BF301,1),"")</f>
        <v/>
      </c>
    </row>
    <row r="302">
      <c r="AB302">
        <f>IF(AND(A302="",G302=""),"",IF(ISNUMBER(SEARCH("##END",AM302)),"（終わりの印）",IF(ISNUMBER(SEARCH("##続き",AM302)),"（続きありの印）",IF(AM302="調査ID","（見出し行）",IF(AND(AM302&lt;&gt;"R1",AM302&lt;&gt;"R2"),"×表以外の行（集計されない）",IF(COUNTIF($AN$5:AN302,AN302)&gt;1,"△重複（集計されない）",IF(G302="","△タスク名なし",IF(ISNA(MATCH(AQ302,'M1_類型マスタ'!$A$5:$A$19,0)),"△類型が不正",IF(OR(AP302="",N(AP302)&lt;1,N(AP302)&gt;6),"△業務区分が不正",IF(OR(AS302="",AT302=""),"△回数・分が読めない",IF(SUMPRODUCT(--ISNUMBER(--T302:Z302))&lt;7,"△採点が足りない",IF(SUMPRODUCT((--T302:Z302&gt;2)+(--T302:Z302&lt;0))&gt;0,"△採点が範囲外","OK"))))))))))))</f>
        <v/>
      </c>
      <c r="AC302">
        <f>IF(AB302&lt;&gt;"OK","",TRIM(IF(AND(AU302&lt;&gt;"",N(AU302)&lt;=1),"根拠1件 ","")&amp;IF(AV302&lt;&gt;"","同名あり ","")&amp;IF(AND(NOT(ISNUMBER(N302)),N302&lt;&gt;""),"回数を換算 ","")&amp;IF(J302="","詳細なし ","")&amp;IF(AND(N(AP302)=1,BB302=""),"顧客名なし ","")))</f>
        <v/>
      </c>
      <c r="AD302" s="31" t="n"/>
      <c r="AE302" s="32" t="n"/>
      <c r="AF302" s="32" t="n"/>
      <c r="AG302" s="31" t="n"/>
      <c r="AH302">
        <f>IF(AB302&lt;&gt;"OK","",IF(AG302&lt;&gt;"",AG302,AJ302))</f>
        <v/>
      </c>
      <c r="AI302" s="33">
        <f>IF(AB302&lt;&gt;"OK","",IFERROR(IF(AE302&lt;&gt;"",AE302,AS302)*IF(AF302&lt;&gt;"",AF302,AT302)/60,""))</f>
        <v/>
      </c>
      <c r="AJ302">
        <f>IF(AB302&lt;&gt;"OK","",IF(OR(VALUE(T302)=2,VALUE(U302)=2,VALUE(V302)=2),"社内残置",IF(AND(VALUE(T302)=0,VALUE(W302)=0,VALUE(Y302)=0),"自動化候補",IF(AND(VALUE(U302)=0,VALUE(W302)&lt;=1,VALUE(X302)&lt;=1,VALUE(Y302)&lt;=1,VALUE(Z302)&lt;=1),"オフショア候補",IF(AND(VALUE(Y302)&lt;=1,VALUE(Z302)&lt;=1),"ニアショア候補","社内で手順化→再評価")))))</f>
        <v/>
      </c>
      <c r="AK302">
        <f>IF(AB302&lt;&gt;"OK","",14-SUMPRODUCT(--T302:Z302))</f>
        <v/>
      </c>
      <c r="AL302" s="33">
        <f>IF(AB302&lt;&gt;"OK","",AS302*AT302/60)</f>
        <v/>
      </c>
      <c r="AM302" s="34">
        <f>IF(A302="","",UPPER(TRIM(ASC(A302&amp;""))))</f>
        <v/>
      </c>
      <c r="AN302" s="34">
        <f>IF(AM302="","",AM302&amp;"-"&amp;B302)</f>
        <v/>
      </c>
      <c r="AO302" s="34">
        <f>IF(C302="","",IFERROR(VALUE(ASC(SUBSTITUTE(C302&amp;"","観点",""))),""))</f>
        <v/>
      </c>
      <c r="AP302" s="34">
        <f>IF(D302="","",IFERROR(VALUE(LEFT(TRIM(ASC(D302&amp;"")),1)),IFERROR(MATCH(TRIM(D302&amp;""),'M2_区分マスタ'!$I$5:$I$10,0),"")))</f>
        <v/>
      </c>
      <c r="AQ302" s="34">
        <f>IF(H302="","",UPPER(LEFT(TRIM(ASC(H302&amp;"")),3)))</f>
        <v/>
      </c>
      <c r="AR302" s="34">
        <f>IF(N302="","",IFERROR(VALUE(SUBSTITUTE(SUBSTITUTE(SUBSTITUTE(SUBSTITUTE(SUBSTITUTE(SUBSTITUTE(SUBSTITUTE(SUBSTITUTE(SUBSTITUTE(SUBSTITUTE(SUBSTITUTE(SUBSTITUTE(ASC(N302&amp;""),"約",""),"程度",""),"ほど",""),"回",""),"毎",""),"週",""),"月",""),"年",""),"日",""),"に",""),"/","")," ","")),""))</f>
        <v/>
      </c>
      <c r="AS302" s="34">
        <f>IF(N302="","",IF(ISNUMBER(N302),N302,IFERROR(VALUE(ASC(N302&amp;"")),IF(AR302&lt;&gt;"",AR302*IF(ISNUMBER(SEARCH("週",N302)),4.3,IF(ISNUMBER(SEARCH("年",N302)),1/12,IF(ISNUMBER(SEARCH("日",N302)),20,1))),IF(ISNUMBER(SEARCH("日",N302)),20,IF(ISNUMBER(SEARCH("週",N302)),4.3,IF(ISNUMBER(SEARCH("月",N302)),1,"")))))))</f>
        <v/>
      </c>
      <c r="AT302" s="34">
        <f>IF(O302="","",IF(ISNUMBER(O302),O302,IFERROR(VALUE(ASC(O302&amp;"")),IF(ISNUMBER(SEARCH("時間",O302)),IFERROR(VALUE(SUBSTITUTE(SUBSTITUTE(SUBSTITUTE(SUBSTITUTE(SUBSTITUTE(ASC(O302&amp;""),"約",""),"程度",""),"ほど",""),"時間","")," ",""))*60,""),IFERROR(VALUE(SUBSTITUTE(SUBSTITUTE(SUBSTITUTE(SUBSTITUTE(SUBSTITUTE(ASC(O302&amp;""),"約",""),"程度",""),"ほど",""),"分","")," ","")),"")))))</f>
        <v/>
      </c>
      <c r="AU302" s="34">
        <f>IF(P302="","",IF(ISNUMBER(P302),P302,IFERROR(VALUE(SUBSTITUTE(SUBSTITUTE(SUBSTITUTE(ASC(P302&amp;""),"約",""),"件","")," ","")),"")))</f>
        <v/>
      </c>
      <c r="AV302" s="34">
        <f>IF(AB302&lt;&gt;"OK","",IF(COUNTIFS($G$5:$G$404,G302&amp;"",$F$5:$F$404,F302&amp;"",$BE$5:$BE$404,BE302&amp;"",$AB$5:$AB$404,"OK")&gt;1,"同名あり",""))</f>
        <v/>
      </c>
      <c r="AW302" s="35">
        <f>IF(Q302="","",IF(ISNUMBER(Q302),Q302,IFERROR(DATEVALUE(SUBSTITUTE(SUBSTITUTE(ASC(Q302&amp;""),"-","/"),".","/")&amp;"/01"),"")))</f>
        <v/>
      </c>
      <c r="AX302" s="35">
        <f>IF(R302="","",IF(ISNUMBER(R302),R302,IFERROR(DATEVALUE(SUBSTITUTE(SUBSTITUTE(ASC(R302&amp;""),"-","/"),".","/")&amp;"/01"),"")))</f>
        <v/>
      </c>
      <c r="AY302" s="34">
        <f>IF(OR(AB302&lt;&gt;"OK",AW302=""),"",IF(AW302&gt;='01_設定'!$C$26,1,0))</f>
        <v/>
      </c>
      <c r="AZ302" s="34">
        <f>IF(AND(AB302="OK",AD302&lt;&gt;"除外"),COUNTIFS($AB$5:AB302,"OK",$AD$5:AD302,"&lt;&gt;除外"),"")</f>
        <v/>
      </c>
      <c r="BA302" s="34">
        <f>IF(OR(AZ302="",AI302=""),"",AI302+ROW()/1000000000)</f>
        <v/>
      </c>
      <c r="BB302" s="34">
        <f>IF(E302="","",IF(OR(TRIM(E302&amp;"")="-",TRIM(E302&amp;"")="－",TRIM(E302&amp;"")="ー"),"",TRIM(E302&amp;"")))</f>
        <v/>
      </c>
      <c r="BC302" s="34">
        <f>IF(AND(AB302="OK",BB302&lt;&gt;""),IF(COUNTIFS($BB$5:BB302,BB302,$AB$5:AB302,"OK")=1,1,""),"")</f>
        <v/>
      </c>
      <c r="BD302" s="34">
        <f>IF(BC302=1,COUNTIF($BC$5:BC302,1),"")</f>
        <v/>
      </c>
      <c r="BE302" s="34">
        <f>IF(BB302="","",IFERROR(INDEX('06_顧客別集計'!$G$5:$G$104,MATCH(BB302,'06_顧客別集計'!$C$5:$C$104,0)),BB302))</f>
        <v/>
      </c>
      <c r="BF302" s="34">
        <f>IF(AND(AZ302&lt;&gt;"",BE302&lt;&gt;""),IF(COUNTIFS($BE$5:BE302,BE302,$AZ$5:AZ302,"&gt;0")=1,1,""),"")</f>
        <v/>
      </c>
      <c r="BG302" s="34">
        <f>IF(BF302=1,COUNTIF($BF$5:BF302,1),"")</f>
        <v/>
      </c>
    </row>
    <row r="303">
      <c r="AB303">
        <f>IF(AND(A303="",G303=""),"",IF(ISNUMBER(SEARCH("##END",AM303)),"（終わりの印）",IF(ISNUMBER(SEARCH("##続き",AM303)),"（続きありの印）",IF(AM303="調査ID","（見出し行）",IF(AND(AM303&lt;&gt;"R1",AM303&lt;&gt;"R2"),"×表以外の行（集計されない）",IF(COUNTIF($AN$5:AN303,AN303)&gt;1,"△重複（集計されない）",IF(G303="","△タスク名なし",IF(ISNA(MATCH(AQ303,'M1_類型マスタ'!$A$5:$A$19,0)),"△類型が不正",IF(OR(AP303="",N(AP303)&lt;1,N(AP303)&gt;6),"△業務区分が不正",IF(OR(AS303="",AT303=""),"△回数・分が読めない",IF(SUMPRODUCT(--ISNUMBER(--T303:Z303))&lt;7,"△採点が足りない",IF(SUMPRODUCT((--T303:Z303&gt;2)+(--T303:Z303&lt;0))&gt;0,"△採点が範囲外","OK"))))))))))))</f>
        <v/>
      </c>
      <c r="AC303">
        <f>IF(AB303&lt;&gt;"OK","",TRIM(IF(AND(AU303&lt;&gt;"",N(AU303)&lt;=1),"根拠1件 ","")&amp;IF(AV303&lt;&gt;"","同名あり ","")&amp;IF(AND(NOT(ISNUMBER(N303)),N303&lt;&gt;""),"回数を換算 ","")&amp;IF(J303="","詳細なし ","")&amp;IF(AND(N(AP303)=1,BB303=""),"顧客名なし ","")))</f>
        <v/>
      </c>
      <c r="AD303" s="31" t="n"/>
      <c r="AE303" s="32" t="n"/>
      <c r="AF303" s="32" t="n"/>
      <c r="AG303" s="31" t="n"/>
      <c r="AH303">
        <f>IF(AB303&lt;&gt;"OK","",IF(AG303&lt;&gt;"",AG303,AJ303))</f>
        <v/>
      </c>
      <c r="AI303" s="33">
        <f>IF(AB303&lt;&gt;"OK","",IFERROR(IF(AE303&lt;&gt;"",AE303,AS303)*IF(AF303&lt;&gt;"",AF303,AT303)/60,""))</f>
        <v/>
      </c>
      <c r="AJ303">
        <f>IF(AB303&lt;&gt;"OK","",IF(OR(VALUE(T303)=2,VALUE(U303)=2,VALUE(V303)=2),"社内残置",IF(AND(VALUE(T303)=0,VALUE(W303)=0,VALUE(Y303)=0),"自動化候補",IF(AND(VALUE(U303)=0,VALUE(W303)&lt;=1,VALUE(X303)&lt;=1,VALUE(Y303)&lt;=1,VALUE(Z303)&lt;=1),"オフショア候補",IF(AND(VALUE(Y303)&lt;=1,VALUE(Z303)&lt;=1),"ニアショア候補","社内で手順化→再評価")))))</f>
        <v/>
      </c>
      <c r="AK303">
        <f>IF(AB303&lt;&gt;"OK","",14-SUMPRODUCT(--T303:Z303))</f>
        <v/>
      </c>
      <c r="AL303" s="33">
        <f>IF(AB303&lt;&gt;"OK","",AS303*AT303/60)</f>
        <v/>
      </c>
      <c r="AM303" s="34">
        <f>IF(A303="","",UPPER(TRIM(ASC(A303&amp;""))))</f>
        <v/>
      </c>
      <c r="AN303" s="34">
        <f>IF(AM303="","",AM303&amp;"-"&amp;B303)</f>
        <v/>
      </c>
      <c r="AO303" s="34">
        <f>IF(C303="","",IFERROR(VALUE(ASC(SUBSTITUTE(C303&amp;"","観点",""))),""))</f>
        <v/>
      </c>
      <c r="AP303" s="34">
        <f>IF(D303="","",IFERROR(VALUE(LEFT(TRIM(ASC(D303&amp;"")),1)),IFERROR(MATCH(TRIM(D303&amp;""),'M2_区分マスタ'!$I$5:$I$10,0),"")))</f>
        <v/>
      </c>
      <c r="AQ303" s="34">
        <f>IF(H303="","",UPPER(LEFT(TRIM(ASC(H303&amp;"")),3)))</f>
        <v/>
      </c>
      <c r="AR303" s="34">
        <f>IF(N303="","",IFERROR(VALUE(SUBSTITUTE(SUBSTITUTE(SUBSTITUTE(SUBSTITUTE(SUBSTITUTE(SUBSTITUTE(SUBSTITUTE(SUBSTITUTE(SUBSTITUTE(SUBSTITUTE(SUBSTITUTE(SUBSTITUTE(ASC(N303&amp;""),"約",""),"程度",""),"ほど",""),"回",""),"毎",""),"週",""),"月",""),"年",""),"日",""),"に",""),"/","")," ","")),""))</f>
        <v/>
      </c>
      <c r="AS303" s="34">
        <f>IF(N303="","",IF(ISNUMBER(N303),N303,IFERROR(VALUE(ASC(N303&amp;"")),IF(AR303&lt;&gt;"",AR303*IF(ISNUMBER(SEARCH("週",N303)),4.3,IF(ISNUMBER(SEARCH("年",N303)),1/12,IF(ISNUMBER(SEARCH("日",N303)),20,1))),IF(ISNUMBER(SEARCH("日",N303)),20,IF(ISNUMBER(SEARCH("週",N303)),4.3,IF(ISNUMBER(SEARCH("月",N303)),1,"")))))))</f>
        <v/>
      </c>
      <c r="AT303" s="34">
        <f>IF(O303="","",IF(ISNUMBER(O303),O303,IFERROR(VALUE(ASC(O303&amp;"")),IF(ISNUMBER(SEARCH("時間",O303)),IFERROR(VALUE(SUBSTITUTE(SUBSTITUTE(SUBSTITUTE(SUBSTITUTE(SUBSTITUTE(ASC(O303&amp;""),"約",""),"程度",""),"ほど",""),"時間","")," ",""))*60,""),IFERROR(VALUE(SUBSTITUTE(SUBSTITUTE(SUBSTITUTE(SUBSTITUTE(SUBSTITUTE(ASC(O303&amp;""),"約",""),"程度",""),"ほど",""),"分","")," ","")),"")))))</f>
        <v/>
      </c>
      <c r="AU303" s="34">
        <f>IF(P303="","",IF(ISNUMBER(P303),P303,IFERROR(VALUE(SUBSTITUTE(SUBSTITUTE(SUBSTITUTE(ASC(P303&amp;""),"約",""),"件","")," ","")),"")))</f>
        <v/>
      </c>
      <c r="AV303" s="34">
        <f>IF(AB303&lt;&gt;"OK","",IF(COUNTIFS($G$5:$G$404,G303&amp;"",$F$5:$F$404,F303&amp;"",$BE$5:$BE$404,BE303&amp;"",$AB$5:$AB$404,"OK")&gt;1,"同名あり",""))</f>
        <v/>
      </c>
      <c r="AW303" s="35">
        <f>IF(Q303="","",IF(ISNUMBER(Q303),Q303,IFERROR(DATEVALUE(SUBSTITUTE(SUBSTITUTE(ASC(Q303&amp;""),"-","/"),".","/")&amp;"/01"),"")))</f>
        <v/>
      </c>
      <c r="AX303" s="35">
        <f>IF(R303="","",IF(ISNUMBER(R303),R303,IFERROR(DATEVALUE(SUBSTITUTE(SUBSTITUTE(ASC(R303&amp;""),"-","/"),".","/")&amp;"/01"),"")))</f>
        <v/>
      </c>
      <c r="AY303" s="34">
        <f>IF(OR(AB303&lt;&gt;"OK",AW303=""),"",IF(AW303&gt;='01_設定'!$C$26,1,0))</f>
        <v/>
      </c>
      <c r="AZ303" s="34">
        <f>IF(AND(AB303="OK",AD303&lt;&gt;"除外"),COUNTIFS($AB$5:AB303,"OK",$AD$5:AD303,"&lt;&gt;除外"),"")</f>
        <v/>
      </c>
      <c r="BA303" s="34">
        <f>IF(OR(AZ303="",AI303=""),"",AI303+ROW()/1000000000)</f>
        <v/>
      </c>
      <c r="BB303" s="34">
        <f>IF(E303="","",IF(OR(TRIM(E303&amp;"")="-",TRIM(E303&amp;"")="－",TRIM(E303&amp;"")="ー"),"",TRIM(E303&amp;"")))</f>
        <v/>
      </c>
      <c r="BC303" s="34">
        <f>IF(AND(AB303="OK",BB303&lt;&gt;""),IF(COUNTIFS($BB$5:BB303,BB303,$AB$5:AB303,"OK")=1,1,""),"")</f>
        <v/>
      </c>
      <c r="BD303" s="34">
        <f>IF(BC303=1,COUNTIF($BC$5:BC303,1),"")</f>
        <v/>
      </c>
      <c r="BE303" s="34">
        <f>IF(BB303="","",IFERROR(INDEX('06_顧客別集計'!$G$5:$G$104,MATCH(BB303,'06_顧客別集計'!$C$5:$C$104,0)),BB303))</f>
        <v/>
      </c>
      <c r="BF303" s="34">
        <f>IF(AND(AZ303&lt;&gt;"",BE303&lt;&gt;""),IF(COUNTIFS($BE$5:BE303,BE303,$AZ$5:AZ303,"&gt;0")=1,1,""),"")</f>
        <v/>
      </c>
      <c r="BG303" s="34">
        <f>IF(BF303=1,COUNTIF($BF$5:BF303,1),"")</f>
        <v/>
      </c>
    </row>
    <row r="304">
      <c r="AB304">
        <f>IF(AND(A304="",G304=""),"",IF(ISNUMBER(SEARCH("##END",AM304)),"（終わりの印）",IF(ISNUMBER(SEARCH("##続き",AM304)),"（続きありの印）",IF(AM304="調査ID","（見出し行）",IF(AND(AM304&lt;&gt;"R1",AM304&lt;&gt;"R2"),"×表以外の行（集計されない）",IF(COUNTIF($AN$5:AN304,AN304)&gt;1,"△重複（集計されない）",IF(G304="","△タスク名なし",IF(ISNA(MATCH(AQ304,'M1_類型マスタ'!$A$5:$A$19,0)),"△類型が不正",IF(OR(AP304="",N(AP304)&lt;1,N(AP304)&gt;6),"△業務区分が不正",IF(OR(AS304="",AT304=""),"△回数・分が読めない",IF(SUMPRODUCT(--ISNUMBER(--T304:Z304))&lt;7,"△採点が足りない",IF(SUMPRODUCT((--T304:Z304&gt;2)+(--T304:Z304&lt;0))&gt;0,"△採点が範囲外","OK"))))))))))))</f>
        <v/>
      </c>
      <c r="AC304">
        <f>IF(AB304&lt;&gt;"OK","",TRIM(IF(AND(AU304&lt;&gt;"",N(AU304)&lt;=1),"根拠1件 ","")&amp;IF(AV304&lt;&gt;"","同名あり ","")&amp;IF(AND(NOT(ISNUMBER(N304)),N304&lt;&gt;""),"回数を換算 ","")&amp;IF(J304="","詳細なし ","")&amp;IF(AND(N(AP304)=1,BB304=""),"顧客名なし ","")))</f>
        <v/>
      </c>
      <c r="AD304" s="31" t="n"/>
      <c r="AE304" s="32" t="n"/>
      <c r="AF304" s="32" t="n"/>
      <c r="AG304" s="31" t="n"/>
      <c r="AH304">
        <f>IF(AB304&lt;&gt;"OK","",IF(AG304&lt;&gt;"",AG304,AJ304))</f>
        <v/>
      </c>
      <c r="AI304" s="33">
        <f>IF(AB304&lt;&gt;"OK","",IFERROR(IF(AE304&lt;&gt;"",AE304,AS304)*IF(AF304&lt;&gt;"",AF304,AT304)/60,""))</f>
        <v/>
      </c>
      <c r="AJ304">
        <f>IF(AB304&lt;&gt;"OK","",IF(OR(VALUE(T304)=2,VALUE(U304)=2,VALUE(V304)=2),"社内残置",IF(AND(VALUE(T304)=0,VALUE(W304)=0,VALUE(Y304)=0),"自動化候補",IF(AND(VALUE(U304)=0,VALUE(W304)&lt;=1,VALUE(X304)&lt;=1,VALUE(Y304)&lt;=1,VALUE(Z304)&lt;=1),"オフショア候補",IF(AND(VALUE(Y304)&lt;=1,VALUE(Z304)&lt;=1),"ニアショア候補","社内で手順化→再評価")))))</f>
        <v/>
      </c>
      <c r="AK304">
        <f>IF(AB304&lt;&gt;"OK","",14-SUMPRODUCT(--T304:Z304))</f>
        <v/>
      </c>
      <c r="AL304" s="33">
        <f>IF(AB304&lt;&gt;"OK","",AS304*AT304/60)</f>
        <v/>
      </c>
      <c r="AM304" s="34">
        <f>IF(A304="","",UPPER(TRIM(ASC(A304&amp;""))))</f>
        <v/>
      </c>
      <c r="AN304" s="34">
        <f>IF(AM304="","",AM304&amp;"-"&amp;B304)</f>
        <v/>
      </c>
      <c r="AO304" s="34">
        <f>IF(C304="","",IFERROR(VALUE(ASC(SUBSTITUTE(C304&amp;"","観点",""))),""))</f>
        <v/>
      </c>
      <c r="AP304" s="34">
        <f>IF(D304="","",IFERROR(VALUE(LEFT(TRIM(ASC(D304&amp;"")),1)),IFERROR(MATCH(TRIM(D304&amp;""),'M2_区分マスタ'!$I$5:$I$10,0),"")))</f>
        <v/>
      </c>
      <c r="AQ304" s="34">
        <f>IF(H304="","",UPPER(LEFT(TRIM(ASC(H304&amp;"")),3)))</f>
        <v/>
      </c>
      <c r="AR304" s="34">
        <f>IF(N304="","",IFERROR(VALUE(SUBSTITUTE(SUBSTITUTE(SUBSTITUTE(SUBSTITUTE(SUBSTITUTE(SUBSTITUTE(SUBSTITUTE(SUBSTITUTE(SUBSTITUTE(SUBSTITUTE(SUBSTITUTE(SUBSTITUTE(ASC(N304&amp;""),"約",""),"程度",""),"ほど",""),"回",""),"毎",""),"週",""),"月",""),"年",""),"日",""),"に",""),"/","")," ","")),""))</f>
        <v/>
      </c>
      <c r="AS304" s="34">
        <f>IF(N304="","",IF(ISNUMBER(N304),N304,IFERROR(VALUE(ASC(N304&amp;"")),IF(AR304&lt;&gt;"",AR304*IF(ISNUMBER(SEARCH("週",N304)),4.3,IF(ISNUMBER(SEARCH("年",N304)),1/12,IF(ISNUMBER(SEARCH("日",N304)),20,1))),IF(ISNUMBER(SEARCH("日",N304)),20,IF(ISNUMBER(SEARCH("週",N304)),4.3,IF(ISNUMBER(SEARCH("月",N304)),1,"")))))))</f>
        <v/>
      </c>
      <c r="AT304" s="34">
        <f>IF(O304="","",IF(ISNUMBER(O304),O304,IFERROR(VALUE(ASC(O304&amp;"")),IF(ISNUMBER(SEARCH("時間",O304)),IFERROR(VALUE(SUBSTITUTE(SUBSTITUTE(SUBSTITUTE(SUBSTITUTE(SUBSTITUTE(ASC(O304&amp;""),"約",""),"程度",""),"ほど",""),"時間","")," ",""))*60,""),IFERROR(VALUE(SUBSTITUTE(SUBSTITUTE(SUBSTITUTE(SUBSTITUTE(SUBSTITUTE(ASC(O304&amp;""),"約",""),"程度",""),"ほど",""),"分","")," ","")),"")))))</f>
        <v/>
      </c>
      <c r="AU304" s="34">
        <f>IF(P304="","",IF(ISNUMBER(P304),P304,IFERROR(VALUE(SUBSTITUTE(SUBSTITUTE(SUBSTITUTE(ASC(P304&amp;""),"約",""),"件","")," ","")),"")))</f>
        <v/>
      </c>
      <c r="AV304" s="34">
        <f>IF(AB304&lt;&gt;"OK","",IF(COUNTIFS($G$5:$G$404,G304&amp;"",$F$5:$F$404,F304&amp;"",$BE$5:$BE$404,BE304&amp;"",$AB$5:$AB$404,"OK")&gt;1,"同名あり",""))</f>
        <v/>
      </c>
      <c r="AW304" s="35">
        <f>IF(Q304="","",IF(ISNUMBER(Q304),Q304,IFERROR(DATEVALUE(SUBSTITUTE(SUBSTITUTE(ASC(Q304&amp;""),"-","/"),".","/")&amp;"/01"),"")))</f>
        <v/>
      </c>
      <c r="AX304" s="35">
        <f>IF(R304="","",IF(ISNUMBER(R304),R304,IFERROR(DATEVALUE(SUBSTITUTE(SUBSTITUTE(ASC(R304&amp;""),"-","/"),".","/")&amp;"/01"),"")))</f>
        <v/>
      </c>
      <c r="AY304" s="34">
        <f>IF(OR(AB304&lt;&gt;"OK",AW304=""),"",IF(AW304&gt;='01_設定'!$C$26,1,0))</f>
        <v/>
      </c>
      <c r="AZ304" s="34">
        <f>IF(AND(AB304="OK",AD304&lt;&gt;"除外"),COUNTIFS($AB$5:AB304,"OK",$AD$5:AD304,"&lt;&gt;除外"),"")</f>
        <v/>
      </c>
      <c r="BA304" s="34">
        <f>IF(OR(AZ304="",AI304=""),"",AI304+ROW()/1000000000)</f>
        <v/>
      </c>
      <c r="BB304" s="34">
        <f>IF(E304="","",IF(OR(TRIM(E304&amp;"")="-",TRIM(E304&amp;"")="－",TRIM(E304&amp;"")="ー"),"",TRIM(E304&amp;"")))</f>
        <v/>
      </c>
      <c r="BC304" s="34">
        <f>IF(AND(AB304="OK",BB304&lt;&gt;""),IF(COUNTIFS($BB$5:BB304,BB304,$AB$5:AB304,"OK")=1,1,""),"")</f>
        <v/>
      </c>
      <c r="BD304" s="34">
        <f>IF(BC304=1,COUNTIF($BC$5:BC304,1),"")</f>
        <v/>
      </c>
      <c r="BE304" s="34">
        <f>IF(BB304="","",IFERROR(INDEX('06_顧客別集計'!$G$5:$G$104,MATCH(BB304,'06_顧客別集計'!$C$5:$C$104,0)),BB304))</f>
        <v/>
      </c>
      <c r="BF304" s="34">
        <f>IF(AND(AZ304&lt;&gt;"",BE304&lt;&gt;""),IF(COUNTIFS($BE$5:BE304,BE304,$AZ$5:AZ304,"&gt;0")=1,1,""),"")</f>
        <v/>
      </c>
      <c r="BG304" s="34">
        <f>IF(BF304=1,COUNTIF($BF$5:BF304,1),"")</f>
        <v/>
      </c>
    </row>
    <row r="305">
      <c r="AB305">
        <f>IF(AND(A305="",G305=""),"",IF(ISNUMBER(SEARCH("##END",AM305)),"（終わりの印）",IF(ISNUMBER(SEARCH("##続き",AM305)),"（続きありの印）",IF(AM305="調査ID","（見出し行）",IF(AND(AM305&lt;&gt;"R1",AM305&lt;&gt;"R2"),"×表以外の行（集計されない）",IF(COUNTIF($AN$5:AN305,AN305)&gt;1,"△重複（集計されない）",IF(G305="","△タスク名なし",IF(ISNA(MATCH(AQ305,'M1_類型マスタ'!$A$5:$A$19,0)),"△類型が不正",IF(OR(AP305="",N(AP305)&lt;1,N(AP305)&gt;6),"△業務区分が不正",IF(OR(AS305="",AT305=""),"△回数・分が読めない",IF(SUMPRODUCT(--ISNUMBER(--T305:Z305))&lt;7,"△採点が足りない",IF(SUMPRODUCT((--T305:Z305&gt;2)+(--T305:Z305&lt;0))&gt;0,"△採点が範囲外","OK"))))))))))))</f>
        <v/>
      </c>
      <c r="AC305">
        <f>IF(AB305&lt;&gt;"OK","",TRIM(IF(AND(AU305&lt;&gt;"",N(AU305)&lt;=1),"根拠1件 ","")&amp;IF(AV305&lt;&gt;"","同名あり ","")&amp;IF(AND(NOT(ISNUMBER(N305)),N305&lt;&gt;""),"回数を換算 ","")&amp;IF(J305="","詳細なし ","")&amp;IF(AND(N(AP305)=1,BB305=""),"顧客名なし ","")))</f>
        <v/>
      </c>
      <c r="AD305" s="31" t="n"/>
      <c r="AE305" s="32" t="n"/>
      <c r="AF305" s="32" t="n"/>
      <c r="AG305" s="31" t="n"/>
      <c r="AH305">
        <f>IF(AB305&lt;&gt;"OK","",IF(AG305&lt;&gt;"",AG305,AJ305))</f>
        <v/>
      </c>
      <c r="AI305" s="33">
        <f>IF(AB305&lt;&gt;"OK","",IFERROR(IF(AE305&lt;&gt;"",AE305,AS305)*IF(AF305&lt;&gt;"",AF305,AT305)/60,""))</f>
        <v/>
      </c>
      <c r="AJ305">
        <f>IF(AB305&lt;&gt;"OK","",IF(OR(VALUE(T305)=2,VALUE(U305)=2,VALUE(V305)=2),"社内残置",IF(AND(VALUE(T305)=0,VALUE(W305)=0,VALUE(Y305)=0),"自動化候補",IF(AND(VALUE(U305)=0,VALUE(W305)&lt;=1,VALUE(X305)&lt;=1,VALUE(Y305)&lt;=1,VALUE(Z305)&lt;=1),"オフショア候補",IF(AND(VALUE(Y305)&lt;=1,VALUE(Z305)&lt;=1),"ニアショア候補","社内で手順化→再評価")))))</f>
        <v/>
      </c>
      <c r="AK305">
        <f>IF(AB305&lt;&gt;"OK","",14-SUMPRODUCT(--T305:Z305))</f>
        <v/>
      </c>
      <c r="AL305" s="33">
        <f>IF(AB305&lt;&gt;"OK","",AS305*AT305/60)</f>
        <v/>
      </c>
      <c r="AM305" s="34">
        <f>IF(A305="","",UPPER(TRIM(ASC(A305&amp;""))))</f>
        <v/>
      </c>
      <c r="AN305" s="34">
        <f>IF(AM305="","",AM305&amp;"-"&amp;B305)</f>
        <v/>
      </c>
      <c r="AO305" s="34">
        <f>IF(C305="","",IFERROR(VALUE(ASC(SUBSTITUTE(C305&amp;"","観点",""))),""))</f>
        <v/>
      </c>
      <c r="AP305" s="34">
        <f>IF(D305="","",IFERROR(VALUE(LEFT(TRIM(ASC(D305&amp;"")),1)),IFERROR(MATCH(TRIM(D305&amp;""),'M2_区分マスタ'!$I$5:$I$10,0),"")))</f>
        <v/>
      </c>
      <c r="AQ305" s="34">
        <f>IF(H305="","",UPPER(LEFT(TRIM(ASC(H305&amp;"")),3)))</f>
        <v/>
      </c>
      <c r="AR305" s="34">
        <f>IF(N305="","",IFERROR(VALUE(SUBSTITUTE(SUBSTITUTE(SUBSTITUTE(SUBSTITUTE(SUBSTITUTE(SUBSTITUTE(SUBSTITUTE(SUBSTITUTE(SUBSTITUTE(SUBSTITUTE(SUBSTITUTE(SUBSTITUTE(ASC(N305&amp;""),"約",""),"程度",""),"ほど",""),"回",""),"毎",""),"週",""),"月",""),"年",""),"日",""),"に",""),"/","")," ","")),""))</f>
        <v/>
      </c>
      <c r="AS305" s="34">
        <f>IF(N305="","",IF(ISNUMBER(N305),N305,IFERROR(VALUE(ASC(N305&amp;"")),IF(AR305&lt;&gt;"",AR305*IF(ISNUMBER(SEARCH("週",N305)),4.3,IF(ISNUMBER(SEARCH("年",N305)),1/12,IF(ISNUMBER(SEARCH("日",N305)),20,1))),IF(ISNUMBER(SEARCH("日",N305)),20,IF(ISNUMBER(SEARCH("週",N305)),4.3,IF(ISNUMBER(SEARCH("月",N305)),1,"")))))))</f>
        <v/>
      </c>
      <c r="AT305" s="34">
        <f>IF(O305="","",IF(ISNUMBER(O305),O305,IFERROR(VALUE(ASC(O305&amp;"")),IF(ISNUMBER(SEARCH("時間",O305)),IFERROR(VALUE(SUBSTITUTE(SUBSTITUTE(SUBSTITUTE(SUBSTITUTE(SUBSTITUTE(ASC(O305&amp;""),"約",""),"程度",""),"ほど",""),"時間","")," ",""))*60,""),IFERROR(VALUE(SUBSTITUTE(SUBSTITUTE(SUBSTITUTE(SUBSTITUTE(SUBSTITUTE(ASC(O305&amp;""),"約",""),"程度",""),"ほど",""),"分","")," ","")),"")))))</f>
        <v/>
      </c>
      <c r="AU305" s="34">
        <f>IF(P305="","",IF(ISNUMBER(P305),P305,IFERROR(VALUE(SUBSTITUTE(SUBSTITUTE(SUBSTITUTE(ASC(P305&amp;""),"約",""),"件","")," ","")),"")))</f>
        <v/>
      </c>
      <c r="AV305" s="34">
        <f>IF(AB305&lt;&gt;"OK","",IF(COUNTIFS($G$5:$G$404,G305&amp;"",$F$5:$F$404,F305&amp;"",$BE$5:$BE$404,BE305&amp;"",$AB$5:$AB$404,"OK")&gt;1,"同名あり",""))</f>
        <v/>
      </c>
      <c r="AW305" s="35">
        <f>IF(Q305="","",IF(ISNUMBER(Q305),Q305,IFERROR(DATEVALUE(SUBSTITUTE(SUBSTITUTE(ASC(Q305&amp;""),"-","/"),".","/")&amp;"/01"),"")))</f>
        <v/>
      </c>
      <c r="AX305" s="35">
        <f>IF(R305="","",IF(ISNUMBER(R305),R305,IFERROR(DATEVALUE(SUBSTITUTE(SUBSTITUTE(ASC(R305&amp;""),"-","/"),".","/")&amp;"/01"),"")))</f>
        <v/>
      </c>
      <c r="AY305" s="34">
        <f>IF(OR(AB305&lt;&gt;"OK",AW305=""),"",IF(AW305&gt;='01_設定'!$C$26,1,0))</f>
        <v/>
      </c>
      <c r="AZ305" s="34">
        <f>IF(AND(AB305="OK",AD305&lt;&gt;"除外"),COUNTIFS($AB$5:AB305,"OK",$AD$5:AD305,"&lt;&gt;除外"),"")</f>
        <v/>
      </c>
      <c r="BA305" s="34">
        <f>IF(OR(AZ305="",AI305=""),"",AI305+ROW()/1000000000)</f>
        <v/>
      </c>
      <c r="BB305" s="34">
        <f>IF(E305="","",IF(OR(TRIM(E305&amp;"")="-",TRIM(E305&amp;"")="－",TRIM(E305&amp;"")="ー"),"",TRIM(E305&amp;"")))</f>
        <v/>
      </c>
      <c r="BC305" s="34">
        <f>IF(AND(AB305="OK",BB305&lt;&gt;""),IF(COUNTIFS($BB$5:BB305,BB305,$AB$5:AB305,"OK")=1,1,""),"")</f>
        <v/>
      </c>
      <c r="BD305" s="34">
        <f>IF(BC305=1,COUNTIF($BC$5:BC305,1),"")</f>
        <v/>
      </c>
      <c r="BE305" s="34">
        <f>IF(BB305="","",IFERROR(INDEX('06_顧客別集計'!$G$5:$G$104,MATCH(BB305,'06_顧客別集計'!$C$5:$C$104,0)),BB305))</f>
        <v/>
      </c>
      <c r="BF305" s="34">
        <f>IF(AND(AZ305&lt;&gt;"",BE305&lt;&gt;""),IF(COUNTIFS($BE$5:BE305,BE305,$AZ$5:AZ305,"&gt;0")=1,1,""),"")</f>
        <v/>
      </c>
      <c r="BG305" s="34">
        <f>IF(BF305=1,COUNTIF($BF$5:BF305,1),"")</f>
        <v/>
      </c>
    </row>
    <row r="306">
      <c r="AB306">
        <f>IF(AND(A306="",G306=""),"",IF(ISNUMBER(SEARCH("##END",AM306)),"（終わりの印）",IF(ISNUMBER(SEARCH("##続き",AM306)),"（続きありの印）",IF(AM306="調査ID","（見出し行）",IF(AND(AM306&lt;&gt;"R1",AM306&lt;&gt;"R2"),"×表以外の行（集計されない）",IF(COUNTIF($AN$5:AN306,AN306)&gt;1,"△重複（集計されない）",IF(G306="","△タスク名なし",IF(ISNA(MATCH(AQ306,'M1_類型マスタ'!$A$5:$A$19,0)),"△類型が不正",IF(OR(AP306="",N(AP306)&lt;1,N(AP306)&gt;6),"△業務区分が不正",IF(OR(AS306="",AT306=""),"△回数・分が読めない",IF(SUMPRODUCT(--ISNUMBER(--T306:Z306))&lt;7,"△採点が足りない",IF(SUMPRODUCT((--T306:Z306&gt;2)+(--T306:Z306&lt;0))&gt;0,"△採点が範囲外","OK"))))))))))))</f>
        <v/>
      </c>
      <c r="AC306">
        <f>IF(AB306&lt;&gt;"OK","",TRIM(IF(AND(AU306&lt;&gt;"",N(AU306)&lt;=1),"根拠1件 ","")&amp;IF(AV306&lt;&gt;"","同名あり ","")&amp;IF(AND(NOT(ISNUMBER(N306)),N306&lt;&gt;""),"回数を換算 ","")&amp;IF(J306="","詳細なし ","")&amp;IF(AND(N(AP306)=1,BB306=""),"顧客名なし ","")))</f>
        <v/>
      </c>
      <c r="AD306" s="31" t="n"/>
      <c r="AE306" s="32" t="n"/>
      <c r="AF306" s="32" t="n"/>
      <c r="AG306" s="31" t="n"/>
      <c r="AH306">
        <f>IF(AB306&lt;&gt;"OK","",IF(AG306&lt;&gt;"",AG306,AJ306))</f>
        <v/>
      </c>
      <c r="AI306" s="33">
        <f>IF(AB306&lt;&gt;"OK","",IFERROR(IF(AE306&lt;&gt;"",AE306,AS306)*IF(AF306&lt;&gt;"",AF306,AT306)/60,""))</f>
        <v/>
      </c>
      <c r="AJ306">
        <f>IF(AB306&lt;&gt;"OK","",IF(OR(VALUE(T306)=2,VALUE(U306)=2,VALUE(V306)=2),"社内残置",IF(AND(VALUE(T306)=0,VALUE(W306)=0,VALUE(Y306)=0),"自動化候補",IF(AND(VALUE(U306)=0,VALUE(W306)&lt;=1,VALUE(X306)&lt;=1,VALUE(Y306)&lt;=1,VALUE(Z306)&lt;=1),"オフショア候補",IF(AND(VALUE(Y306)&lt;=1,VALUE(Z306)&lt;=1),"ニアショア候補","社内で手順化→再評価")))))</f>
        <v/>
      </c>
      <c r="AK306">
        <f>IF(AB306&lt;&gt;"OK","",14-SUMPRODUCT(--T306:Z306))</f>
        <v/>
      </c>
      <c r="AL306" s="33">
        <f>IF(AB306&lt;&gt;"OK","",AS306*AT306/60)</f>
        <v/>
      </c>
      <c r="AM306" s="34">
        <f>IF(A306="","",UPPER(TRIM(ASC(A306&amp;""))))</f>
        <v/>
      </c>
      <c r="AN306" s="34">
        <f>IF(AM306="","",AM306&amp;"-"&amp;B306)</f>
        <v/>
      </c>
      <c r="AO306" s="34">
        <f>IF(C306="","",IFERROR(VALUE(ASC(SUBSTITUTE(C306&amp;"","観点",""))),""))</f>
        <v/>
      </c>
      <c r="AP306" s="34">
        <f>IF(D306="","",IFERROR(VALUE(LEFT(TRIM(ASC(D306&amp;"")),1)),IFERROR(MATCH(TRIM(D306&amp;""),'M2_区分マスタ'!$I$5:$I$10,0),"")))</f>
        <v/>
      </c>
      <c r="AQ306" s="34">
        <f>IF(H306="","",UPPER(LEFT(TRIM(ASC(H306&amp;"")),3)))</f>
        <v/>
      </c>
      <c r="AR306" s="34">
        <f>IF(N306="","",IFERROR(VALUE(SUBSTITUTE(SUBSTITUTE(SUBSTITUTE(SUBSTITUTE(SUBSTITUTE(SUBSTITUTE(SUBSTITUTE(SUBSTITUTE(SUBSTITUTE(SUBSTITUTE(SUBSTITUTE(SUBSTITUTE(ASC(N306&amp;""),"約",""),"程度",""),"ほど",""),"回",""),"毎",""),"週",""),"月",""),"年",""),"日",""),"に",""),"/","")," ","")),""))</f>
        <v/>
      </c>
      <c r="AS306" s="34">
        <f>IF(N306="","",IF(ISNUMBER(N306),N306,IFERROR(VALUE(ASC(N306&amp;"")),IF(AR306&lt;&gt;"",AR306*IF(ISNUMBER(SEARCH("週",N306)),4.3,IF(ISNUMBER(SEARCH("年",N306)),1/12,IF(ISNUMBER(SEARCH("日",N306)),20,1))),IF(ISNUMBER(SEARCH("日",N306)),20,IF(ISNUMBER(SEARCH("週",N306)),4.3,IF(ISNUMBER(SEARCH("月",N306)),1,"")))))))</f>
        <v/>
      </c>
      <c r="AT306" s="34">
        <f>IF(O306="","",IF(ISNUMBER(O306),O306,IFERROR(VALUE(ASC(O306&amp;"")),IF(ISNUMBER(SEARCH("時間",O306)),IFERROR(VALUE(SUBSTITUTE(SUBSTITUTE(SUBSTITUTE(SUBSTITUTE(SUBSTITUTE(ASC(O306&amp;""),"約",""),"程度",""),"ほど",""),"時間","")," ",""))*60,""),IFERROR(VALUE(SUBSTITUTE(SUBSTITUTE(SUBSTITUTE(SUBSTITUTE(SUBSTITUTE(ASC(O306&amp;""),"約",""),"程度",""),"ほど",""),"分","")," ","")),"")))))</f>
        <v/>
      </c>
      <c r="AU306" s="34">
        <f>IF(P306="","",IF(ISNUMBER(P306),P306,IFERROR(VALUE(SUBSTITUTE(SUBSTITUTE(SUBSTITUTE(ASC(P306&amp;""),"約",""),"件","")," ","")),"")))</f>
        <v/>
      </c>
      <c r="AV306" s="34">
        <f>IF(AB306&lt;&gt;"OK","",IF(COUNTIFS($G$5:$G$404,G306&amp;"",$F$5:$F$404,F306&amp;"",$BE$5:$BE$404,BE306&amp;"",$AB$5:$AB$404,"OK")&gt;1,"同名あり",""))</f>
        <v/>
      </c>
      <c r="AW306" s="35">
        <f>IF(Q306="","",IF(ISNUMBER(Q306),Q306,IFERROR(DATEVALUE(SUBSTITUTE(SUBSTITUTE(ASC(Q306&amp;""),"-","/"),".","/")&amp;"/01"),"")))</f>
        <v/>
      </c>
      <c r="AX306" s="35">
        <f>IF(R306="","",IF(ISNUMBER(R306),R306,IFERROR(DATEVALUE(SUBSTITUTE(SUBSTITUTE(ASC(R306&amp;""),"-","/"),".","/")&amp;"/01"),"")))</f>
        <v/>
      </c>
      <c r="AY306" s="34">
        <f>IF(OR(AB306&lt;&gt;"OK",AW306=""),"",IF(AW306&gt;='01_設定'!$C$26,1,0))</f>
        <v/>
      </c>
      <c r="AZ306" s="34">
        <f>IF(AND(AB306="OK",AD306&lt;&gt;"除外"),COUNTIFS($AB$5:AB306,"OK",$AD$5:AD306,"&lt;&gt;除外"),"")</f>
        <v/>
      </c>
      <c r="BA306" s="34">
        <f>IF(OR(AZ306="",AI306=""),"",AI306+ROW()/1000000000)</f>
        <v/>
      </c>
      <c r="BB306" s="34">
        <f>IF(E306="","",IF(OR(TRIM(E306&amp;"")="-",TRIM(E306&amp;"")="－",TRIM(E306&amp;"")="ー"),"",TRIM(E306&amp;"")))</f>
        <v/>
      </c>
      <c r="BC306" s="34">
        <f>IF(AND(AB306="OK",BB306&lt;&gt;""),IF(COUNTIFS($BB$5:BB306,BB306,$AB$5:AB306,"OK")=1,1,""),"")</f>
        <v/>
      </c>
      <c r="BD306" s="34">
        <f>IF(BC306=1,COUNTIF($BC$5:BC306,1),"")</f>
        <v/>
      </c>
      <c r="BE306" s="34">
        <f>IF(BB306="","",IFERROR(INDEX('06_顧客別集計'!$G$5:$G$104,MATCH(BB306,'06_顧客別集計'!$C$5:$C$104,0)),BB306))</f>
        <v/>
      </c>
      <c r="BF306" s="34">
        <f>IF(AND(AZ306&lt;&gt;"",BE306&lt;&gt;""),IF(COUNTIFS($BE$5:BE306,BE306,$AZ$5:AZ306,"&gt;0")=1,1,""),"")</f>
        <v/>
      </c>
      <c r="BG306" s="34">
        <f>IF(BF306=1,COUNTIF($BF$5:BF306,1),"")</f>
        <v/>
      </c>
    </row>
    <row r="307">
      <c r="AB307">
        <f>IF(AND(A307="",G307=""),"",IF(ISNUMBER(SEARCH("##END",AM307)),"（終わりの印）",IF(ISNUMBER(SEARCH("##続き",AM307)),"（続きありの印）",IF(AM307="調査ID","（見出し行）",IF(AND(AM307&lt;&gt;"R1",AM307&lt;&gt;"R2"),"×表以外の行（集計されない）",IF(COUNTIF($AN$5:AN307,AN307)&gt;1,"△重複（集計されない）",IF(G307="","△タスク名なし",IF(ISNA(MATCH(AQ307,'M1_類型マスタ'!$A$5:$A$19,0)),"△類型が不正",IF(OR(AP307="",N(AP307)&lt;1,N(AP307)&gt;6),"△業務区分が不正",IF(OR(AS307="",AT307=""),"△回数・分が読めない",IF(SUMPRODUCT(--ISNUMBER(--T307:Z307))&lt;7,"△採点が足りない",IF(SUMPRODUCT((--T307:Z307&gt;2)+(--T307:Z307&lt;0))&gt;0,"△採点が範囲外","OK"))))))))))))</f>
        <v/>
      </c>
      <c r="AC307">
        <f>IF(AB307&lt;&gt;"OK","",TRIM(IF(AND(AU307&lt;&gt;"",N(AU307)&lt;=1),"根拠1件 ","")&amp;IF(AV307&lt;&gt;"","同名あり ","")&amp;IF(AND(NOT(ISNUMBER(N307)),N307&lt;&gt;""),"回数を換算 ","")&amp;IF(J307="","詳細なし ","")&amp;IF(AND(N(AP307)=1,BB307=""),"顧客名なし ","")))</f>
        <v/>
      </c>
      <c r="AD307" s="31" t="n"/>
      <c r="AE307" s="32" t="n"/>
      <c r="AF307" s="32" t="n"/>
      <c r="AG307" s="31" t="n"/>
      <c r="AH307">
        <f>IF(AB307&lt;&gt;"OK","",IF(AG307&lt;&gt;"",AG307,AJ307))</f>
        <v/>
      </c>
      <c r="AI307" s="33">
        <f>IF(AB307&lt;&gt;"OK","",IFERROR(IF(AE307&lt;&gt;"",AE307,AS307)*IF(AF307&lt;&gt;"",AF307,AT307)/60,""))</f>
        <v/>
      </c>
      <c r="AJ307">
        <f>IF(AB307&lt;&gt;"OK","",IF(OR(VALUE(T307)=2,VALUE(U307)=2,VALUE(V307)=2),"社内残置",IF(AND(VALUE(T307)=0,VALUE(W307)=0,VALUE(Y307)=0),"自動化候補",IF(AND(VALUE(U307)=0,VALUE(W307)&lt;=1,VALUE(X307)&lt;=1,VALUE(Y307)&lt;=1,VALUE(Z307)&lt;=1),"オフショア候補",IF(AND(VALUE(Y307)&lt;=1,VALUE(Z307)&lt;=1),"ニアショア候補","社内で手順化→再評価")))))</f>
        <v/>
      </c>
      <c r="AK307">
        <f>IF(AB307&lt;&gt;"OK","",14-SUMPRODUCT(--T307:Z307))</f>
        <v/>
      </c>
      <c r="AL307" s="33">
        <f>IF(AB307&lt;&gt;"OK","",AS307*AT307/60)</f>
        <v/>
      </c>
      <c r="AM307" s="34">
        <f>IF(A307="","",UPPER(TRIM(ASC(A307&amp;""))))</f>
        <v/>
      </c>
      <c r="AN307" s="34">
        <f>IF(AM307="","",AM307&amp;"-"&amp;B307)</f>
        <v/>
      </c>
      <c r="AO307" s="34">
        <f>IF(C307="","",IFERROR(VALUE(ASC(SUBSTITUTE(C307&amp;"","観点",""))),""))</f>
        <v/>
      </c>
      <c r="AP307" s="34">
        <f>IF(D307="","",IFERROR(VALUE(LEFT(TRIM(ASC(D307&amp;"")),1)),IFERROR(MATCH(TRIM(D307&amp;""),'M2_区分マスタ'!$I$5:$I$10,0),"")))</f>
        <v/>
      </c>
      <c r="AQ307" s="34">
        <f>IF(H307="","",UPPER(LEFT(TRIM(ASC(H307&amp;"")),3)))</f>
        <v/>
      </c>
      <c r="AR307" s="34">
        <f>IF(N307="","",IFERROR(VALUE(SUBSTITUTE(SUBSTITUTE(SUBSTITUTE(SUBSTITUTE(SUBSTITUTE(SUBSTITUTE(SUBSTITUTE(SUBSTITUTE(SUBSTITUTE(SUBSTITUTE(SUBSTITUTE(SUBSTITUTE(ASC(N307&amp;""),"約",""),"程度",""),"ほど",""),"回",""),"毎",""),"週",""),"月",""),"年",""),"日",""),"に",""),"/","")," ","")),""))</f>
        <v/>
      </c>
      <c r="AS307" s="34">
        <f>IF(N307="","",IF(ISNUMBER(N307),N307,IFERROR(VALUE(ASC(N307&amp;"")),IF(AR307&lt;&gt;"",AR307*IF(ISNUMBER(SEARCH("週",N307)),4.3,IF(ISNUMBER(SEARCH("年",N307)),1/12,IF(ISNUMBER(SEARCH("日",N307)),20,1))),IF(ISNUMBER(SEARCH("日",N307)),20,IF(ISNUMBER(SEARCH("週",N307)),4.3,IF(ISNUMBER(SEARCH("月",N307)),1,"")))))))</f>
        <v/>
      </c>
      <c r="AT307" s="34">
        <f>IF(O307="","",IF(ISNUMBER(O307),O307,IFERROR(VALUE(ASC(O307&amp;"")),IF(ISNUMBER(SEARCH("時間",O307)),IFERROR(VALUE(SUBSTITUTE(SUBSTITUTE(SUBSTITUTE(SUBSTITUTE(SUBSTITUTE(ASC(O307&amp;""),"約",""),"程度",""),"ほど",""),"時間","")," ",""))*60,""),IFERROR(VALUE(SUBSTITUTE(SUBSTITUTE(SUBSTITUTE(SUBSTITUTE(SUBSTITUTE(ASC(O307&amp;""),"約",""),"程度",""),"ほど",""),"分","")," ","")),"")))))</f>
        <v/>
      </c>
      <c r="AU307" s="34">
        <f>IF(P307="","",IF(ISNUMBER(P307),P307,IFERROR(VALUE(SUBSTITUTE(SUBSTITUTE(SUBSTITUTE(ASC(P307&amp;""),"約",""),"件","")," ","")),"")))</f>
        <v/>
      </c>
      <c r="AV307" s="34">
        <f>IF(AB307&lt;&gt;"OK","",IF(COUNTIFS($G$5:$G$404,G307&amp;"",$F$5:$F$404,F307&amp;"",$BE$5:$BE$404,BE307&amp;"",$AB$5:$AB$404,"OK")&gt;1,"同名あり",""))</f>
        <v/>
      </c>
      <c r="AW307" s="35">
        <f>IF(Q307="","",IF(ISNUMBER(Q307),Q307,IFERROR(DATEVALUE(SUBSTITUTE(SUBSTITUTE(ASC(Q307&amp;""),"-","/"),".","/")&amp;"/01"),"")))</f>
        <v/>
      </c>
      <c r="AX307" s="35">
        <f>IF(R307="","",IF(ISNUMBER(R307),R307,IFERROR(DATEVALUE(SUBSTITUTE(SUBSTITUTE(ASC(R307&amp;""),"-","/"),".","/")&amp;"/01"),"")))</f>
        <v/>
      </c>
      <c r="AY307" s="34">
        <f>IF(OR(AB307&lt;&gt;"OK",AW307=""),"",IF(AW307&gt;='01_設定'!$C$26,1,0))</f>
        <v/>
      </c>
      <c r="AZ307" s="34">
        <f>IF(AND(AB307="OK",AD307&lt;&gt;"除外"),COUNTIFS($AB$5:AB307,"OK",$AD$5:AD307,"&lt;&gt;除外"),"")</f>
        <v/>
      </c>
      <c r="BA307" s="34">
        <f>IF(OR(AZ307="",AI307=""),"",AI307+ROW()/1000000000)</f>
        <v/>
      </c>
      <c r="BB307" s="34">
        <f>IF(E307="","",IF(OR(TRIM(E307&amp;"")="-",TRIM(E307&amp;"")="－",TRIM(E307&amp;"")="ー"),"",TRIM(E307&amp;"")))</f>
        <v/>
      </c>
      <c r="BC307" s="34">
        <f>IF(AND(AB307="OK",BB307&lt;&gt;""),IF(COUNTIFS($BB$5:BB307,BB307,$AB$5:AB307,"OK")=1,1,""),"")</f>
        <v/>
      </c>
      <c r="BD307" s="34">
        <f>IF(BC307=1,COUNTIF($BC$5:BC307,1),"")</f>
        <v/>
      </c>
      <c r="BE307" s="34">
        <f>IF(BB307="","",IFERROR(INDEX('06_顧客別集計'!$G$5:$G$104,MATCH(BB307,'06_顧客別集計'!$C$5:$C$104,0)),BB307))</f>
        <v/>
      </c>
      <c r="BF307" s="34">
        <f>IF(AND(AZ307&lt;&gt;"",BE307&lt;&gt;""),IF(COUNTIFS($BE$5:BE307,BE307,$AZ$5:AZ307,"&gt;0")=1,1,""),"")</f>
        <v/>
      </c>
      <c r="BG307" s="34">
        <f>IF(BF307=1,COUNTIF($BF$5:BF307,1),"")</f>
        <v/>
      </c>
    </row>
    <row r="308">
      <c r="AB308">
        <f>IF(AND(A308="",G308=""),"",IF(ISNUMBER(SEARCH("##END",AM308)),"（終わりの印）",IF(ISNUMBER(SEARCH("##続き",AM308)),"（続きありの印）",IF(AM308="調査ID","（見出し行）",IF(AND(AM308&lt;&gt;"R1",AM308&lt;&gt;"R2"),"×表以外の行（集計されない）",IF(COUNTIF($AN$5:AN308,AN308)&gt;1,"△重複（集計されない）",IF(G308="","△タスク名なし",IF(ISNA(MATCH(AQ308,'M1_類型マスタ'!$A$5:$A$19,0)),"△類型が不正",IF(OR(AP308="",N(AP308)&lt;1,N(AP308)&gt;6),"△業務区分が不正",IF(OR(AS308="",AT308=""),"△回数・分が読めない",IF(SUMPRODUCT(--ISNUMBER(--T308:Z308))&lt;7,"△採点が足りない",IF(SUMPRODUCT((--T308:Z308&gt;2)+(--T308:Z308&lt;0))&gt;0,"△採点が範囲外","OK"))))))))))))</f>
        <v/>
      </c>
      <c r="AC308">
        <f>IF(AB308&lt;&gt;"OK","",TRIM(IF(AND(AU308&lt;&gt;"",N(AU308)&lt;=1),"根拠1件 ","")&amp;IF(AV308&lt;&gt;"","同名あり ","")&amp;IF(AND(NOT(ISNUMBER(N308)),N308&lt;&gt;""),"回数を換算 ","")&amp;IF(J308="","詳細なし ","")&amp;IF(AND(N(AP308)=1,BB308=""),"顧客名なし ","")))</f>
        <v/>
      </c>
      <c r="AD308" s="31" t="n"/>
      <c r="AE308" s="32" t="n"/>
      <c r="AF308" s="32" t="n"/>
      <c r="AG308" s="31" t="n"/>
      <c r="AH308">
        <f>IF(AB308&lt;&gt;"OK","",IF(AG308&lt;&gt;"",AG308,AJ308))</f>
        <v/>
      </c>
      <c r="AI308" s="33">
        <f>IF(AB308&lt;&gt;"OK","",IFERROR(IF(AE308&lt;&gt;"",AE308,AS308)*IF(AF308&lt;&gt;"",AF308,AT308)/60,""))</f>
        <v/>
      </c>
      <c r="AJ308">
        <f>IF(AB308&lt;&gt;"OK","",IF(OR(VALUE(T308)=2,VALUE(U308)=2,VALUE(V308)=2),"社内残置",IF(AND(VALUE(T308)=0,VALUE(W308)=0,VALUE(Y308)=0),"自動化候補",IF(AND(VALUE(U308)=0,VALUE(W308)&lt;=1,VALUE(X308)&lt;=1,VALUE(Y308)&lt;=1,VALUE(Z308)&lt;=1),"オフショア候補",IF(AND(VALUE(Y308)&lt;=1,VALUE(Z308)&lt;=1),"ニアショア候補","社内で手順化→再評価")))))</f>
        <v/>
      </c>
      <c r="AK308">
        <f>IF(AB308&lt;&gt;"OK","",14-SUMPRODUCT(--T308:Z308))</f>
        <v/>
      </c>
      <c r="AL308" s="33">
        <f>IF(AB308&lt;&gt;"OK","",AS308*AT308/60)</f>
        <v/>
      </c>
      <c r="AM308" s="34">
        <f>IF(A308="","",UPPER(TRIM(ASC(A308&amp;""))))</f>
        <v/>
      </c>
      <c r="AN308" s="34">
        <f>IF(AM308="","",AM308&amp;"-"&amp;B308)</f>
        <v/>
      </c>
      <c r="AO308" s="34">
        <f>IF(C308="","",IFERROR(VALUE(ASC(SUBSTITUTE(C308&amp;"","観点",""))),""))</f>
        <v/>
      </c>
      <c r="AP308" s="34">
        <f>IF(D308="","",IFERROR(VALUE(LEFT(TRIM(ASC(D308&amp;"")),1)),IFERROR(MATCH(TRIM(D308&amp;""),'M2_区分マスタ'!$I$5:$I$10,0),"")))</f>
        <v/>
      </c>
      <c r="AQ308" s="34">
        <f>IF(H308="","",UPPER(LEFT(TRIM(ASC(H308&amp;"")),3)))</f>
        <v/>
      </c>
      <c r="AR308" s="34">
        <f>IF(N308="","",IFERROR(VALUE(SUBSTITUTE(SUBSTITUTE(SUBSTITUTE(SUBSTITUTE(SUBSTITUTE(SUBSTITUTE(SUBSTITUTE(SUBSTITUTE(SUBSTITUTE(SUBSTITUTE(SUBSTITUTE(SUBSTITUTE(ASC(N308&amp;""),"約",""),"程度",""),"ほど",""),"回",""),"毎",""),"週",""),"月",""),"年",""),"日",""),"に",""),"/","")," ","")),""))</f>
        <v/>
      </c>
      <c r="AS308" s="34">
        <f>IF(N308="","",IF(ISNUMBER(N308),N308,IFERROR(VALUE(ASC(N308&amp;"")),IF(AR308&lt;&gt;"",AR308*IF(ISNUMBER(SEARCH("週",N308)),4.3,IF(ISNUMBER(SEARCH("年",N308)),1/12,IF(ISNUMBER(SEARCH("日",N308)),20,1))),IF(ISNUMBER(SEARCH("日",N308)),20,IF(ISNUMBER(SEARCH("週",N308)),4.3,IF(ISNUMBER(SEARCH("月",N308)),1,"")))))))</f>
        <v/>
      </c>
      <c r="AT308" s="34">
        <f>IF(O308="","",IF(ISNUMBER(O308),O308,IFERROR(VALUE(ASC(O308&amp;"")),IF(ISNUMBER(SEARCH("時間",O308)),IFERROR(VALUE(SUBSTITUTE(SUBSTITUTE(SUBSTITUTE(SUBSTITUTE(SUBSTITUTE(ASC(O308&amp;""),"約",""),"程度",""),"ほど",""),"時間","")," ",""))*60,""),IFERROR(VALUE(SUBSTITUTE(SUBSTITUTE(SUBSTITUTE(SUBSTITUTE(SUBSTITUTE(ASC(O308&amp;""),"約",""),"程度",""),"ほど",""),"分","")," ","")),"")))))</f>
        <v/>
      </c>
      <c r="AU308" s="34">
        <f>IF(P308="","",IF(ISNUMBER(P308),P308,IFERROR(VALUE(SUBSTITUTE(SUBSTITUTE(SUBSTITUTE(ASC(P308&amp;""),"約",""),"件","")," ","")),"")))</f>
        <v/>
      </c>
      <c r="AV308" s="34">
        <f>IF(AB308&lt;&gt;"OK","",IF(COUNTIFS($G$5:$G$404,G308&amp;"",$F$5:$F$404,F308&amp;"",$BE$5:$BE$404,BE308&amp;"",$AB$5:$AB$404,"OK")&gt;1,"同名あり",""))</f>
        <v/>
      </c>
      <c r="AW308" s="35">
        <f>IF(Q308="","",IF(ISNUMBER(Q308),Q308,IFERROR(DATEVALUE(SUBSTITUTE(SUBSTITUTE(ASC(Q308&amp;""),"-","/"),".","/")&amp;"/01"),"")))</f>
        <v/>
      </c>
      <c r="AX308" s="35">
        <f>IF(R308="","",IF(ISNUMBER(R308),R308,IFERROR(DATEVALUE(SUBSTITUTE(SUBSTITUTE(ASC(R308&amp;""),"-","/"),".","/")&amp;"/01"),"")))</f>
        <v/>
      </c>
      <c r="AY308" s="34">
        <f>IF(OR(AB308&lt;&gt;"OK",AW308=""),"",IF(AW308&gt;='01_設定'!$C$26,1,0))</f>
        <v/>
      </c>
      <c r="AZ308" s="34">
        <f>IF(AND(AB308="OK",AD308&lt;&gt;"除外"),COUNTIFS($AB$5:AB308,"OK",$AD$5:AD308,"&lt;&gt;除外"),"")</f>
        <v/>
      </c>
      <c r="BA308" s="34">
        <f>IF(OR(AZ308="",AI308=""),"",AI308+ROW()/1000000000)</f>
        <v/>
      </c>
      <c r="BB308" s="34">
        <f>IF(E308="","",IF(OR(TRIM(E308&amp;"")="-",TRIM(E308&amp;"")="－",TRIM(E308&amp;"")="ー"),"",TRIM(E308&amp;"")))</f>
        <v/>
      </c>
      <c r="BC308" s="34">
        <f>IF(AND(AB308="OK",BB308&lt;&gt;""),IF(COUNTIFS($BB$5:BB308,BB308,$AB$5:AB308,"OK")=1,1,""),"")</f>
        <v/>
      </c>
      <c r="BD308" s="34">
        <f>IF(BC308=1,COUNTIF($BC$5:BC308,1),"")</f>
        <v/>
      </c>
      <c r="BE308" s="34">
        <f>IF(BB308="","",IFERROR(INDEX('06_顧客別集計'!$G$5:$G$104,MATCH(BB308,'06_顧客別集計'!$C$5:$C$104,0)),BB308))</f>
        <v/>
      </c>
      <c r="BF308" s="34">
        <f>IF(AND(AZ308&lt;&gt;"",BE308&lt;&gt;""),IF(COUNTIFS($BE$5:BE308,BE308,$AZ$5:AZ308,"&gt;0")=1,1,""),"")</f>
        <v/>
      </c>
      <c r="BG308" s="34">
        <f>IF(BF308=1,COUNTIF($BF$5:BF308,1),"")</f>
        <v/>
      </c>
    </row>
    <row r="309">
      <c r="AB309">
        <f>IF(AND(A309="",G309=""),"",IF(ISNUMBER(SEARCH("##END",AM309)),"（終わりの印）",IF(ISNUMBER(SEARCH("##続き",AM309)),"（続きありの印）",IF(AM309="調査ID","（見出し行）",IF(AND(AM309&lt;&gt;"R1",AM309&lt;&gt;"R2"),"×表以外の行（集計されない）",IF(COUNTIF($AN$5:AN309,AN309)&gt;1,"△重複（集計されない）",IF(G309="","△タスク名なし",IF(ISNA(MATCH(AQ309,'M1_類型マスタ'!$A$5:$A$19,0)),"△類型が不正",IF(OR(AP309="",N(AP309)&lt;1,N(AP309)&gt;6),"△業務区分が不正",IF(OR(AS309="",AT309=""),"△回数・分が読めない",IF(SUMPRODUCT(--ISNUMBER(--T309:Z309))&lt;7,"△採点が足りない",IF(SUMPRODUCT((--T309:Z309&gt;2)+(--T309:Z309&lt;0))&gt;0,"△採点が範囲外","OK"))))))))))))</f>
        <v/>
      </c>
      <c r="AC309">
        <f>IF(AB309&lt;&gt;"OK","",TRIM(IF(AND(AU309&lt;&gt;"",N(AU309)&lt;=1),"根拠1件 ","")&amp;IF(AV309&lt;&gt;"","同名あり ","")&amp;IF(AND(NOT(ISNUMBER(N309)),N309&lt;&gt;""),"回数を換算 ","")&amp;IF(J309="","詳細なし ","")&amp;IF(AND(N(AP309)=1,BB309=""),"顧客名なし ","")))</f>
        <v/>
      </c>
      <c r="AD309" s="31" t="n"/>
      <c r="AE309" s="32" t="n"/>
      <c r="AF309" s="32" t="n"/>
      <c r="AG309" s="31" t="n"/>
      <c r="AH309">
        <f>IF(AB309&lt;&gt;"OK","",IF(AG309&lt;&gt;"",AG309,AJ309))</f>
        <v/>
      </c>
      <c r="AI309" s="33">
        <f>IF(AB309&lt;&gt;"OK","",IFERROR(IF(AE309&lt;&gt;"",AE309,AS309)*IF(AF309&lt;&gt;"",AF309,AT309)/60,""))</f>
        <v/>
      </c>
      <c r="AJ309">
        <f>IF(AB309&lt;&gt;"OK","",IF(OR(VALUE(T309)=2,VALUE(U309)=2,VALUE(V309)=2),"社内残置",IF(AND(VALUE(T309)=0,VALUE(W309)=0,VALUE(Y309)=0),"自動化候補",IF(AND(VALUE(U309)=0,VALUE(W309)&lt;=1,VALUE(X309)&lt;=1,VALUE(Y309)&lt;=1,VALUE(Z309)&lt;=1),"オフショア候補",IF(AND(VALUE(Y309)&lt;=1,VALUE(Z309)&lt;=1),"ニアショア候補","社内で手順化→再評価")))))</f>
        <v/>
      </c>
      <c r="AK309">
        <f>IF(AB309&lt;&gt;"OK","",14-SUMPRODUCT(--T309:Z309))</f>
        <v/>
      </c>
      <c r="AL309" s="33">
        <f>IF(AB309&lt;&gt;"OK","",AS309*AT309/60)</f>
        <v/>
      </c>
      <c r="AM309" s="34">
        <f>IF(A309="","",UPPER(TRIM(ASC(A309&amp;""))))</f>
        <v/>
      </c>
      <c r="AN309" s="34">
        <f>IF(AM309="","",AM309&amp;"-"&amp;B309)</f>
        <v/>
      </c>
      <c r="AO309" s="34">
        <f>IF(C309="","",IFERROR(VALUE(ASC(SUBSTITUTE(C309&amp;"","観点",""))),""))</f>
        <v/>
      </c>
      <c r="AP309" s="34">
        <f>IF(D309="","",IFERROR(VALUE(LEFT(TRIM(ASC(D309&amp;"")),1)),IFERROR(MATCH(TRIM(D309&amp;""),'M2_区分マスタ'!$I$5:$I$10,0),"")))</f>
        <v/>
      </c>
      <c r="AQ309" s="34">
        <f>IF(H309="","",UPPER(LEFT(TRIM(ASC(H309&amp;"")),3)))</f>
        <v/>
      </c>
      <c r="AR309" s="34">
        <f>IF(N309="","",IFERROR(VALUE(SUBSTITUTE(SUBSTITUTE(SUBSTITUTE(SUBSTITUTE(SUBSTITUTE(SUBSTITUTE(SUBSTITUTE(SUBSTITUTE(SUBSTITUTE(SUBSTITUTE(SUBSTITUTE(SUBSTITUTE(ASC(N309&amp;""),"約",""),"程度",""),"ほど",""),"回",""),"毎",""),"週",""),"月",""),"年",""),"日",""),"に",""),"/","")," ","")),""))</f>
        <v/>
      </c>
      <c r="AS309" s="34">
        <f>IF(N309="","",IF(ISNUMBER(N309),N309,IFERROR(VALUE(ASC(N309&amp;"")),IF(AR309&lt;&gt;"",AR309*IF(ISNUMBER(SEARCH("週",N309)),4.3,IF(ISNUMBER(SEARCH("年",N309)),1/12,IF(ISNUMBER(SEARCH("日",N309)),20,1))),IF(ISNUMBER(SEARCH("日",N309)),20,IF(ISNUMBER(SEARCH("週",N309)),4.3,IF(ISNUMBER(SEARCH("月",N309)),1,"")))))))</f>
        <v/>
      </c>
      <c r="AT309" s="34">
        <f>IF(O309="","",IF(ISNUMBER(O309),O309,IFERROR(VALUE(ASC(O309&amp;"")),IF(ISNUMBER(SEARCH("時間",O309)),IFERROR(VALUE(SUBSTITUTE(SUBSTITUTE(SUBSTITUTE(SUBSTITUTE(SUBSTITUTE(ASC(O309&amp;""),"約",""),"程度",""),"ほど",""),"時間","")," ",""))*60,""),IFERROR(VALUE(SUBSTITUTE(SUBSTITUTE(SUBSTITUTE(SUBSTITUTE(SUBSTITUTE(ASC(O309&amp;""),"約",""),"程度",""),"ほど",""),"分","")," ","")),"")))))</f>
        <v/>
      </c>
      <c r="AU309" s="34">
        <f>IF(P309="","",IF(ISNUMBER(P309),P309,IFERROR(VALUE(SUBSTITUTE(SUBSTITUTE(SUBSTITUTE(ASC(P309&amp;""),"約",""),"件","")," ","")),"")))</f>
        <v/>
      </c>
      <c r="AV309" s="34">
        <f>IF(AB309&lt;&gt;"OK","",IF(COUNTIFS($G$5:$G$404,G309&amp;"",$F$5:$F$404,F309&amp;"",$BE$5:$BE$404,BE309&amp;"",$AB$5:$AB$404,"OK")&gt;1,"同名あり",""))</f>
        <v/>
      </c>
      <c r="AW309" s="35">
        <f>IF(Q309="","",IF(ISNUMBER(Q309),Q309,IFERROR(DATEVALUE(SUBSTITUTE(SUBSTITUTE(ASC(Q309&amp;""),"-","/"),".","/")&amp;"/01"),"")))</f>
        <v/>
      </c>
      <c r="AX309" s="35">
        <f>IF(R309="","",IF(ISNUMBER(R309),R309,IFERROR(DATEVALUE(SUBSTITUTE(SUBSTITUTE(ASC(R309&amp;""),"-","/"),".","/")&amp;"/01"),"")))</f>
        <v/>
      </c>
      <c r="AY309" s="34">
        <f>IF(OR(AB309&lt;&gt;"OK",AW309=""),"",IF(AW309&gt;='01_設定'!$C$26,1,0))</f>
        <v/>
      </c>
      <c r="AZ309" s="34">
        <f>IF(AND(AB309="OK",AD309&lt;&gt;"除外"),COUNTIFS($AB$5:AB309,"OK",$AD$5:AD309,"&lt;&gt;除外"),"")</f>
        <v/>
      </c>
      <c r="BA309" s="34">
        <f>IF(OR(AZ309="",AI309=""),"",AI309+ROW()/1000000000)</f>
        <v/>
      </c>
      <c r="BB309" s="34">
        <f>IF(E309="","",IF(OR(TRIM(E309&amp;"")="-",TRIM(E309&amp;"")="－",TRIM(E309&amp;"")="ー"),"",TRIM(E309&amp;"")))</f>
        <v/>
      </c>
      <c r="BC309" s="34">
        <f>IF(AND(AB309="OK",BB309&lt;&gt;""),IF(COUNTIFS($BB$5:BB309,BB309,$AB$5:AB309,"OK")=1,1,""),"")</f>
        <v/>
      </c>
      <c r="BD309" s="34">
        <f>IF(BC309=1,COUNTIF($BC$5:BC309,1),"")</f>
        <v/>
      </c>
      <c r="BE309" s="34">
        <f>IF(BB309="","",IFERROR(INDEX('06_顧客別集計'!$G$5:$G$104,MATCH(BB309,'06_顧客別集計'!$C$5:$C$104,0)),BB309))</f>
        <v/>
      </c>
      <c r="BF309" s="34">
        <f>IF(AND(AZ309&lt;&gt;"",BE309&lt;&gt;""),IF(COUNTIFS($BE$5:BE309,BE309,$AZ$5:AZ309,"&gt;0")=1,1,""),"")</f>
        <v/>
      </c>
      <c r="BG309" s="34">
        <f>IF(BF309=1,COUNTIF($BF$5:BF309,1),"")</f>
        <v/>
      </c>
    </row>
    <row r="310">
      <c r="AB310">
        <f>IF(AND(A310="",G310=""),"",IF(ISNUMBER(SEARCH("##END",AM310)),"（終わりの印）",IF(ISNUMBER(SEARCH("##続き",AM310)),"（続きありの印）",IF(AM310="調査ID","（見出し行）",IF(AND(AM310&lt;&gt;"R1",AM310&lt;&gt;"R2"),"×表以外の行（集計されない）",IF(COUNTIF($AN$5:AN310,AN310)&gt;1,"△重複（集計されない）",IF(G310="","△タスク名なし",IF(ISNA(MATCH(AQ310,'M1_類型マスタ'!$A$5:$A$19,0)),"△類型が不正",IF(OR(AP310="",N(AP310)&lt;1,N(AP310)&gt;6),"△業務区分が不正",IF(OR(AS310="",AT310=""),"△回数・分が読めない",IF(SUMPRODUCT(--ISNUMBER(--T310:Z310))&lt;7,"△採点が足りない",IF(SUMPRODUCT((--T310:Z310&gt;2)+(--T310:Z310&lt;0))&gt;0,"△採点が範囲外","OK"))))))))))))</f>
        <v/>
      </c>
      <c r="AC310">
        <f>IF(AB310&lt;&gt;"OK","",TRIM(IF(AND(AU310&lt;&gt;"",N(AU310)&lt;=1),"根拠1件 ","")&amp;IF(AV310&lt;&gt;"","同名あり ","")&amp;IF(AND(NOT(ISNUMBER(N310)),N310&lt;&gt;""),"回数を換算 ","")&amp;IF(J310="","詳細なし ","")&amp;IF(AND(N(AP310)=1,BB310=""),"顧客名なし ","")))</f>
        <v/>
      </c>
      <c r="AD310" s="31" t="n"/>
      <c r="AE310" s="32" t="n"/>
      <c r="AF310" s="32" t="n"/>
      <c r="AG310" s="31" t="n"/>
      <c r="AH310">
        <f>IF(AB310&lt;&gt;"OK","",IF(AG310&lt;&gt;"",AG310,AJ310))</f>
        <v/>
      </c>
      <c r="AI310" s="33">
        <f>IF(AB310&lt;&gt;"OK","",IFERROR(IF(AE310&lt;&gt;"",AE310,AS310)*IF(AF310&lt;&gt;"",AF310,AT310)/60,""))</f>
        <v/>
      </c>
      <c r="AJ310">
        <f>IF(AB310&lt;&gt;"OK","",IF(OR(VALUE(T310)=2,VALUE(U310)=2,VALUE(V310)=2),"社内残置",IF(AND(VALUE(T310)=0,VALUE(W310)=0,VALUE(Y310)=0),"自動化候補",IF(AND(VALUE(U310)=0,VALUE(W310)&lt;=1,VALUE(X310)&lt;=1,VALUE(Y310)&lt;=1,VALUE(Z310)&lt;=1),"オフショア候補",IF(AND(VALUE(Y310)&lt;=1,VALUE(Z310)&lt;=1),"ニアショア候補","社内で手順化→再評価")))))</f>
        <v/>
      </c>
      <c r="AK310">
        <f>IF(AB310&lt;&gt;"OK","",14-SUMPRODUCT(--T310:Z310))</f>
        <v/>
      </c>
      <c r="AL310" s="33">
        <f>IF(AB310&lt;&gt;"OK","",AS310*AT310/60)</f>
        <v/>
      </c>
      <c r="AM310" s="34">
        <f>IF(A310="","",UPPER(TRIM(ASC(A310&amp;""))))</f>
        <v/>
      </c>
      <c r="AN310" s="34">
        <f>IF(AM310="","",AM310&amp;"-"&amp;B310)</f>
        <v/>
      </c>
      <c r="AO310" s="34">
        <f>IF(C310="","",IFERROR(VALUE(ASC(SUBSTITUTE(C310&amp;"","観点",""))),""))</f>
        <v/>
      </c>
      <c r="AP310" s="34">
        <f>IF(D310="","",IFERROR(VALUE(LEFT(TRIM(ASC(D310&amp;"")),1)),IFERROR(MATCH(TRIM(D310&amp;""),'M2_区分マスタ'!$I$5:$I$10,0),"")))</f>
        <v/>
      </c>
      <c r="AQ310" s="34">
        <f>IF(H310="","",UPPER(LEFT(TRIM(ASC(H310&amp;"")),3)))</f>
        <v/>
      </c>
      <c r="AR310" s="34">
        <f>IF(N310="","",IFERROR(VALUE(SUBSTITUTE(SUBSTITUTE(SUBSTITUTE(SUBSTITUTE(SUBSTITUTE(SUBSTITUTE(SUBSTITUTE(SUBSTITUTE(SUBSTITUTE(SUBSTITUTE(SUBSTITUTE(SUBSTITUTE(ASC(N310&amp;""),"約",""),"程度",""),"ほど",""),"回",""),"毎",""),"週",""),"月",""),"年",""),"日",""),"に",""),"/","")," ","")),""))</f>
        <v/>
      </c>
      <c r="AS310" s="34">
        <f>IF(N310="","",IF(ISNUMBER(N310),N310,IFERROR(VALUE(ASC(N310&amp;"")),IF(AR310&lt;&gt;"",AR310*IF(ISNUMBER(SEARCH("週",N310)),4.3,IF(ISNUMBER(SEARCH("年",N310)),1/12,IF(ISNUMBER(SEARCH("日",N310)),20,1))),IF(ISNUMBER(SEARCH("日",N310)),20,IF(ISNUMBER(SEARCH("週",N310)),4.3,IF(ISNUMBER(SEARCH("月",N310)),1,"")))))))</f>
        <v/>
      </c>
      <c r="AT310" s="34">
        <f>IF(O310="","",IF(ISNUMBER(O310),O310,IFERROR(VALUE(ASC(O310&amp;"")),IF(ISNUMBER(SEARCH("時間",O310)),IFERROR(VALUE(SUBSTITUTE(SUBSTITUTE(SUBSTITUTE(SUBSTITUTE(SUBSTITUTE(ASC(O310&amp;""),"約",""),"程度",""),"ほど",""),"時間","")," ",""))*60,""),IFERROR(VALUE(SUBSTITUTE(SUBSTITUTE(SUBSTITUTE(SUBSTITUTE(SUBSTITUTE(ASC(O310&amp;""),"約",""),"程度",""),"ほど",""),"分","")," ","")),"")))))</f>
        <v/>
      </c>
      <c r="AU310" s="34">
        <f>IF(P310="","",IF(ISNUMBER(P310),P310,IFERROR(VALUE(SUBSTITUTE(SUBSTITUTE(SUBSTITUTE(ASC(P310&amp;""),"約",""),"件","")," ","")),"")))</f>
        <v/>
      </c>
      <c r="AV310" s="34">
        <f>IF(AB310&lt;&gt;"OK","",IF(COUNTIFS($G$5:$G$404,G310&amp;"",$F$5:$F$404,F310&amp;"",$BE$5:$BE$404,BE310&amp;"",$AB$5:$AB$404,"OK")&gt;1,"同名あり",""))</f>
        <v/>
      </c>
      <c r="AW310" s="35">
        <f>IF(Q310="","",IF(ISNUMBER(Q310),Q310,IFERROR(DATEVALUE(SUBSTITUTE(SUBSTITUTE(ASC(Q310&amp;""),"-","/"),".","/")&amp;"/01"),"")))</f>
        <v/>
      </c>
      <c r="AX310" s="35">
        <f>IF(R310="","",IF(ISNUMBER(R310),R310,IFERROR(DATEVALUE(SUBSTITUTE(SUBSTITUTE(ASC(R310&amp;""),"-","/"),".","/")&amp;"/01"),"")))</f>
        <v/>
      </c>
      <c r="AY310" s="34">
        <f>IF(OR(AB310&lt;&gt;"OK",AW310=""),"",IF(AW310&gt;='01_設定'!$C$26,1,0))</f>
        <v/>
      </c>
      <c r="AZ310" s="34">
        <f>IF(AND(AB310="OK",AD310&lt;&gt;"除外"),COUNTIFS($AB$5:AB310,"OK",$AD$5:AD310,"&lt;&gt;除外"),"")</f>
        <v/>
      </c>
      <c r="BA310" s="34">
        <f>IF(OR(AZ310="",AI310=""),"",AI310+ROW()/1000000000)</f>
        <v/>
      </c>
      <c r="BB310" s="34">
        <f>IF(E310="","",IF(OR(TRIM(E310&amp;"")="-",TRIM(E310&amp;"")="－",TRIM(E310&amp;"")="ー"),"",TRIM(E310&amp;"")))</f>
        <v/>
      </c>
      <c r="BC310" s="34">
        <f>IF(AND(AB310="OK",BB310&lt;&gt;""),IF(COUNTIFS($BB$5:BB310,BB310,$AB$5:AB310,"OK")=1,1,""),"")</f>
        <v/>
      </c>
      <c r="BD310" s="34">
        <f>IF(BC310=1,COUNTIF($BC$5:BC310,1),"")</f>
        <v/>
      </c>
      <c r="BE310" s="34">
        <f>IF(BB310="","",IFERROR(INDEX('06_顧客別集計'!$G$5:$G$104,MATCH(BB310,'06_顧客別集計'!$C$5:$C$104,0)),BB310))</f>
        <v/>
      </c>
      <c r="BF310" s="34">
        <f>IF(AND(AZ310&lt;&gt;"",BE310&lt;&gt;""),IF(COUNTIFS($BE$5:BE310,BE310,$AZ$5:AZ310,"&gt;0")=1,1,""),"")</f>
        <v/>
      </c>
      <c r="BG310" s="34">
        <f>IF(BF310=1,COUNTIF($BF$5:BF310,1),"")</f>
        <v/>
      </c>
    </row>
    <row r="311">
      <c r="AB311">
        <f>IF(AND(A311="",G311=""),"",IF(ISNUMBER(SEARCH("##END",AM311)),"（終わりの印）",IF(ISNUMBER(SEARCH("##続き",AM311)),"（続きありの印）",IF(AM311="調査ID","（見出し行）",IF(AND(AM311&lt;&gt;"R1",AM311&lt;&gt;"R2"),"×表以外の行（集計されない）",IF(COUNTIF($AN$5:AN311,AN311)&gt;1,"△重複（集計されない）",IF(G311="","△タスク名なし",IF(ISNA(MATCH(AQ311,'M1_類型マスタ'!$A$5:$A$19,0)),"△類型が不正",IF(OR(AP311="",N(AP311)&lt;1,N(AP311)&gt;6),"△業務区分が不正",IF(OR(AS311="",AT311=""),"△回数・分が読めない",IF(SUMPRODUCT(--ISNUMBER(--T311:Z311))&lt;7,"△採点が足りない",IF(SUMPRODUCT((--T311:Z311&gt;2)+(--T311:Z311&lt;0))&gt;0,"△採点が範囲外","OK"))))))))))))</f>
        <v/>
      </c>
      <c r="AC311">
        <f>IF(AB311&lt;&gt;"OK","",TRIM(IF(AND(AU311&lt;&gt;"",N(AU311)&lt;=1),"根拠1件 ","")&amp;IF(AV311&lt;&gt;"","同名あり ","")&amp;IF(AND(NOT(ISNUMBER(N311)),N311&lt;&gt;""),"回数を換算 ","")&amp;IF(J311="","詳細なし ","")&amp;IF(AND(N(AP311)=1,BB311=""),"顧客名なし ","")))</f>
        <v/>
      </c>
      <c r="AD311" s="31" t="n"/>
      <c r="AE311" s="32" t="n"/>
      <c r="AF311" s="32" t="n"/>
      <c r="AG311" s="31" t="n"/>
      <c r="AH311">
        <f>IF(AB311&lt;&gt;"OK","",IF(AG311&lt;&gt;"",AG311,AJ311))</f>
        <v/>
      </c>
      <c r="AI311" s="33">
        <f>IF(AB311&lt;&gt;"OK","",IFERROR(IF(AE311&lt;&gt;"",AE311,AS311)*IF(AF311&lt;&gt;"",AF311,AT311)/60,""))</f>
        <v/>
      </c>
      <c r="AJ311">
        <f>IF(AB311&lt;&gt;"OK","",IF(OR(VALUE(T311)=2,VALUE(U311)=2,VALUE(V311)=2),"社内残置",IF(AND(VALUE(T311)=0,VALUE(W311)=0,VALUE(Y311)=0),"自動化候補",IF(AND(VALUE(U311)=0,VALUE(W311)&lt;=1,VALUE(X311)&lt;=1,VALUE(Y311)&lt;=1,VALUE(Z311)&lt;=1),"オフショア候補",IF(AND(VALUE(Y311)&lt;=1,VALUE(Z311)&lt;=1),"ニアショア候補","社内で手順化→再評価")))))</f>
        <v/>
      </c>
      <c r="AK311">
        <f>IF(AB311&lt;&gt;"OK","",14-SUMPRODUCT(--T311:Z311))</f>
        <v/>
      </c>
      <c r="AL311" s="33">
        <f>IF(AB311&lt;&gt;"OK","",AS311*AT311/60)</f>
        <v/>
      </c>
      <c r="AM311" s="34">
        <f>IF(A311="","",UPPER(TRIM(ASC(A311&amp;""))))</f>
        <v/>
      </c>
      <c r="AN311" s="34">
        <f>IF(AM311="","",AM311&amp;"-"&amp;B311)</f>
        <v/>
      </c>
      <c r="AO311" s="34">
        <f>IF(C311="","",IFERROR(VALUE(ASC(SUBSTITUTE(C311&amp;"","観点",""))),""))</f>
        <v/>
      </c>
      <c r="AP311" s="34">
        <f>IF(D311="","",IFERROR(VALUE(LEFT(TRIM(ASC(D311&amp;"")),1)),IFERROR(MATCH(TRIM(D311&amp;""),'M2_区分マスタ'!$I$5:$I$10,0),"")))</f>
        <v/>
      </c>
      <c r="AQ311" s="34">
        <f>IF(H311="","",UPPER(LEFT(TRIM(ASC(H311&amp;"")),3)))</f>
        <v/>
      </c>
      <c r="AR311" s="34">
        <f>IF(N311="","",IFERROR(VALUE(SUBSTITUTE(SUBSTITUTE(SUBSTITUTE(SUBSTITUTE(SUBSTITUTE(SUBSTITUTE(SUBSTITUTE(SUBSTITUTE(SUBSTITUTE(SUBSTITUTE(SUBSTITUTE(SUBSTITUTE(ASC(N311&amp;""),"約",""),"程度",""),"ほど",""),"回",""),"毎",""),"週",""),"月",""),"年",""),"日",""),"に",""),"/","")," ","")),""))</f>
        <v/>
      </c>
      <c r="AS311" s="34">
        <f>IF(N311="","",IF(ISNUMBER(N311),N311,IFERROR(VALUE(ASC(N311&amp;"")),IF(AR311&lt;&gt;"",AR311*IF(ISNUMBER(SEARCH("週",N311)),4.3,IF(ISNUMBER(SEARCH("年",N311)),1/12,IF(ISNUMBER(SEARCH("日",N311)),20,1))),IF(ISNUMBER(SEARCH("日",N311)),20,IF(ISNUMBER(SEARCH("週",N311)),4.3,IF(ISNUMBER(SEARCH("月",N311)),1,"")))))))</f>
        <v/>
      </c>
      <c r="AT311" s="34">
        <f>IF(O311="","",IF(ISNUMBER(O311),O311,IFERROR(VALUE(ASC(O311&amp;"")),IF(ISNUMBER(SEARCH("時間",O311)),IFERROR(VALUE(SUBSTITUTE(SUBSTITUTE(SUBSTITUTE(SUBSTITUTE(SUBSTITUTE(ASC(O311&amp;""),"約",""),"程度",""),"ほど",""),"時間","")," ",""))*60,""),IFERROR(VALUE(SUBSTITUTE(SUBSTITUTE(SUBSTITUTE(SUBSTITUTE(SUBSTITUTE(ASC(O311&amp;""),"約",""),"程度",""),"ほど",""),"分","")," ","")),"")))))</f>
        <v/>
      </c>
      <c r="AU311" s="34">
        <f>IF(P311="","",IF(ISNUMBER(P311),P311,IFERROR(VALUE(SUBSTITUTE(SUBSTITUTE(SUBSTITUTE(ASC(P311&amp;""),"約",""),"件","")," ","")),"")))</f>
        <v/>
      </c>
      <c r="AV311" s="34">
        <f>IF(AB311&lt;&gt;"OK","",IF(COUNTIFS($G$5:$G$404,G311&amp;"",$F$5:$F$404,F311&amp;"",$BE$5:$BE$404,BE311&amp;"",$AB$5:$AB$404,"OK")&gt;1,"同名あり",""))</f>
        <v/>
      </c>
      <c r="AW311" s="35">
        <f>IF(Q311="","",IF(ISNUMBER(Q311),Q311,IFERROR(DATEVALUE(SUBSTITUTE(SUBSTITUTE(ASC(Q311&amp;""),"-","/"),".","/")&amp;"/01"),"")))</f>
        <v/>
      </c>
      <c r="AX311" s="35">
        <f>IF(R311="","",IF(ISNUMBER(R311),R311,IFERROR(DATEVALUE(SUBSTITUTE(SUBSTITUTE(ASC(R311&amp;""),"-","/"),".","/")&amp;"/01"),"")))</f>
        <v/>
      </c>
      <c r="AY311" s="34">
        <f>IF(OR(AB311&lt;&gt;"OK",AW311=""),"",IF(AW311&gt;='01_設定'!$C$26,1,0))</f>
        <v/>
      </c>
      <c r="AZ311" s="34">
        <f>IF(AND(AB311="OK",AD311&lt;&gt;"除外"),COUNTIFS($AB$5:AB311,"OK",$AD$5:AD311,"&lt;&gt;除外"),"")</f>
        <v/>
      </c>
      <c r="BA311" s="34">
        <f>IF(OR(AZ311="",AI311=""),"",AI311+ROW()/1000000000)</f>
        <v/>
      </c>
      <c r="BB311" s="34">
        <f>IF(E311="","",IF(OR(TRIM(E311&amp;"")="-",TRIM(E311&amp;"")="－",TRIM(E311&amp;"")="ー"),"",TRIM(E311&amp;"")))</f>
        <v/>
      </c>
      <c r="BC311" s="34">
        <f>IF(AND(AB311="OK",BB311&lt;&gt;""),IF(COUNTIFS($BB$5:BB311,BB311,$AB$5:AB311,"OK")=1,1,""),"")</f>
        <v/>
      </c>
      <c r="BD311" s="34">
        <f>IF(BC311=1,COUNTIF($BC$5:BC311,1),"")</f>
        <v/>
      </c>
      <c r="BE311" s="34">
        <f>IF(BB311="","",IFERROR(INDEX('06_顧客別集計'!$G$5:$G$104,MATCH(BB311,'06_顧客別集計'!$C$5:$C$104,0)),BB311))</f>
        <v/>
      </c>
      <c r="BF311" s="34">
        <f>IF(AND(AZ311&lt;&gt;"",BE311&lt;&gt;""),IF(COUNTIFS($BE$5:BE311,BE311,$AZ$5:AZ311,"&gt;0")=1,1,""),"")</f>
        <v/>
      </c>
      <c r="BG311" s="34">
        <f>IF(BF311=1,COUNTIF($BF$5:BF311,1),"")</f>
        <v/>
      </c>
    </row>
    <row r="312">
      <c r="AB312">
        <f>IF(AND(A312="",G312=""),"",IF(ISNUMBER(SEARCH("##END",AM312)),"（終わりの印）",IF(ISNUMBER(SEARCH("##続き",AM312)),"（続きありの印）",IF(AM312="調査ID","（見出し行）",IF(AND(AM312&lt;&gt;"R1",AM312&lt;&gt;"R2"),"×表以外の行（集計されない）",IF(COUNTIF($AN$5:AN312,AN312)&gt;1,"△重複（集計されない）",IF(G312="","△タスク名なし",IF(ISNA(MATCH(AQ312,'M1_類型マスタ'!$A$5:$A$19,0)),"△類型が不正",IF(OR(AP312="",N(AP312)&lt;1,N(AP312)&gt;6),"△業務区分が不正",IF(OR(AS312="",AT312=""),"△回数・分が読めない",IF(SUMPRODUCT(--ISNUMBER(--T312:Z312))&lt;7,"△採点が足りない",IF(SUMPRODUCT((--T312:Z312&gt;2)+(--T312:Z312&lt;0))&gt;0,"△採点が範囲外","OK"))))))))))))</f>
        <v/>
      </c>
      <c r="AC312">
        <f>IF(AB312&lt;&gt;"OK","",TRIM(IF(AND(AU312&lt;&gt;"",N(AU312)&lt;=1),"根拠1件 ","")&amp;IF(AV312&lt;&gt;"","同名あり ","")&amp;IF(AND(NOT(ISNUMBER(N312)),N312&lt;&gt;""),"回数を換算 ","")&amp;IF(J312="","詳細なし ","")&amp;IF(AND(N(AP312)=1,BB312=""),"顧客名なし ","")))</f>
        <v/>
      </c>
      <c r="AD312" s="31" t="n"/>
      <c r="AE312" s="32" t="n"/>
      <c r="AF312" s="32" t="n"/>
      <c r="AG312" s="31" t="n"/>
      <c r="AH312">
        <f>IF(AB312&lt;&gt;"OK","",IF(AG312&lt;&gt;"",AG312,AJ312))</f>
        <v/>
      </c>
      <c r="AI312" s="33">
        <f>IF(AB312&lt;&gt;"OK","",IFERROR(IF(AE312&lt;&gt;"",AE312,AS312)*IF(AF312&lt;&gt;"",AF312,AT312)/60,""))</f>
        <v/>
      </c>
      <c r="AJ312">
        <f>IF(AB312&lt;&gt;"OK","",IF(OR(VALUE(T312)=2,VALUE(U312)=2,VALUE(V312)=2),"社内残置",IF(AND(VALUE(T312)=0,VALUE(W312)=0,VALUE(Y312)=0),"自動化候補",IF(AND(VALUE(U312)=0,VALUE(W312)&lt;=1,VALUE(X312)&lt;=1,VALUE(Y312)&lt;=1,VALUE(Z312)&lt;=1),"オフショア候補",IF(AND(VALUE(Y312)&lt;=1,VALUE(Z312)&lt;=1),"ニアショア候補","社内で手順化→再評価")))))</f>
        <v/>
      </c>
      <c r="AK312">
        <f>IF(AB312&lt;&gt;"OK","",14-SUMPRODUCT(--T312:Z312))</f>
        <v/>
      </c>
      <c r="AL312" s="33">
        <f>IF(AB312&lt;&gt;"OK","",AS312*AT312/60)</f>
        <v/>
      </c>
      <c r="AM312" s="34">
        <f>IF(A312="","",UPPER(TRIM(ASC(A312&amp;""))))</f>
        <v/>
      </c>
      <c r="AN312" s="34">
        <f>IF(AM312="","",AM312&amp;"-"&amp;B312)</f>
        <v/>
      </c>
      <c r="AO312" s="34">
        <f>IF(C312="","",IFERROR(VALUE(ASC(SUBSTITUTE(C312&amp;"","観点",""))),""))</f>
        <v/>
      </c>
      <c r="AP312" s="34">
        <f>IF(D312="","",IFERROR(VALUE(LEFT(TRIM(ASC(D312&amp;"")),1)),IFERROR(MATCH(TRIM(D312&amp;""),'M2_区分マスタ'!$I$5:$I$10,0),"")))</f>
        <v/>
      </c>
      <c r="AQ312" s="34">
        <f>IF(H312="","",UPPER(LEFT(TRIM(ASC(H312&amp;"")),3)))</f>
        <v/>
      </c>
      <c r="AR312" s="34">
        <f>IF(N312="","",IFERROR(VALUE(SUBSTITUTE(SUBSTITUTE(SUBSTITUTE(SUBSTITUTE(SUBSTITUTE(SUBSTITUTE(SUBSTITUTE(SUBSTITUTE(SUBSTITUTE(SUBSTITUTE(SUBSTITUTE(SUBSTITUTE(ASC(N312&amp;""),"約",""),"程度",""),"ほど",""),"回",""),"毎",""),"週",""),"月",""),"年",""),"日",""),"に",""),"/","")," ","")),""))</f>
        <v/>
      </c>
      <c r="AS312" s="34">
        <f>IF(N312="","",IF(ISNUMBER(N312),N312,IFERROR(VALUE(ASC(N312&amp;"")),IF(AR312&lt;&gt;"",AR312*IF(ISNUMBER(SEARCH("週",N312)),4.3,IF(ISNUMBER(SEARCH("年",N312)),1/12,IF(ISNUMBER(SEARCH("日",N312)),20,1))),IF(ISNUMBER(SEARCH("日",N312)),20,IF(ISNUMBER(SEARCH("週",N312)),4.3,IF(ISNUMBER(SEARCH("月",N312)),1,"")))))))</f>
        <v/>
      </c>
      <c r="AT312" s="34">
        <f>IF(O312="","",IF(ISNUMBER(O312),O312,IFERROR(VALUE(ASC(O312&amp;"")),IF(ISNUMBER(SEARCH("時間",O312)),IFERROR(VALUE(SUBSTITUTE(SUBSTITUTE(SUBSTITUTE(SUBSTITUTE(SUBSTITUTE(ASC(O312&amp;""),"約",""),"程度",""),"ほど",""),"時間","")," ",""))*60,""),IFERROR(VALUE(SUBSTITUTE(SUBSTITUTE(SUBSTITUTE(SUBSTITUTE(SUBSTITUTE(ASC(O312&amp;""),"約",""),"程度",""),"ほど",""),"分","")," ","")),"")))))</f>
        <v/>
      </c>
      <c r="AU312" s="34">
        <f>IF(P312="","",IF(ISNUMBER(P312),P312,IFERROR(VALUE(SUBSTITUTE(SUBSTITUTE(SUBSTITUTE(ASC(P312&amp;""),"約",""),"件","")," ","")),"")))</f>
        <v/>
      </c>
      <c r="AV312" s="34">
        <f>IF(AB312&lt;&gt;"OK","",IF(COUNTIFS($G$5:$G$404,G312&amp;"",$F$5:$F$404,F312&amp;"",$BE$5:$BE$404,BE312&amp;"",$AB$5:$AB$404,"OK")&gt;1,"同名あり",""))</f>
        <v/>
      </c>
      <c r="AW312" s="35">
        <f>IF(Q312="","",IF(ISNUMBER(Q312),Q312,IFERROR(DATEVALUE(SUBSTITUTE(SUBSTITUTE(ASC(Q312&amp;""),"-","/"),".","/")&amp;"/01"),"")))</f>
        <v/>
      </c>
      <c r="AX312" s="35">
        <f>IF(R312="","",IF(ISNUMBER(R312),R312,IFERROR(DATEVALUE(SUBSTITUTE(SUBSTITUTE(ASC(R312&amp;""),"-","/"),".","/")&amp;"/01"),"")))</f>
        <v/>
      </c>
      <c r="AY312" s="34">
        <f>IF(OR(AB312&lt;&gt;"OK",AW312=""),"",IF(AW312&gt;='01_設定'!$C$26,1,0))</f>
        <v/>
      </c>
      <c r="AZ312" s="34">
        <f>IF(AND(AB312="OK",AD312&lt;&gt;"除外"),COUNTIFS($AB$5:AB312,"OK",$AD$5:AD312,"&lt;&gt;除外"),"")</f>
        <v/>
      </c>
      <c r="BA312" s="34">
        <f>IF(OR(AZ312="",AI312=""),"",AI312+ROW()/1000000000)</f>
        <v/>
      </c>
      <c r="BB312" s="34">
        <f>IF(E312="","",IF(OR(TRIM(E312&amp;"")="-",TRIM(E312&amp;"")="－",TRIM(E312&amp;"")="ー"),"",TRIM(E312&amp;"")))</f>
        <v/>
      </c>
      <c r="BC312" s="34">
        <f>IF(AND(AB312="OK",BB312&lt;&gt;""),IF(COUNTIFS($BB$5:BB312,BB312,$AB$5:AB312,"OK")=1,1,""),"")</f>
        <v/>
      </c>
      <c r="BD312" s="34">
        <f>IF(BC312=1,COUNTIF($BC$5:BC312,1),"")</f>
        <v/>
      </c>
      <c r="BE312" s="34">
        <f>IF(BB312="","",IFERROR(INDEX('06_顧客別集計'!$G$5:$G$104,MATCH(BB312,'06_顧客別集計'!$C$5:$C$104,0)),BB312))</f>
        <v/>
      </c>
      <c r="BF312" s="34">
        <f>IF(AND(AZ312&lt;&gt;"",BE312&lt;&gt;""),IF(COUNTIFS($BE$5:BE312,BE312,$AZ$5:AZ312,"&gt;0")=1,1,""),"")</f>
        <v/>
      </c>
      <c r="BG312" s="34">
        <f>IF(BF312=1,COUNTIF($BF$5:BF312,1),"")</f>
        <v/>
      </c>
    </row>
    <row r="313">
      <c r="AB313">
        <f>IF(AND(A313="",G313=""),"",IF(ISNUMBER(SEARCH("##END",AM313)),"（終わりの印）",IF(ISNUMBER(SEARCH("##続き",AM313)),"（続きありの印）",IF(AM313="調査ID","（見出し行）",IF(AND(AM313&lt;&gt;"R1",AM313&lt;&gt;"R2"),"×表以外の行（集計されない）",IF(COUNTIF($AN$5:AN313,AN313)&gt;1,"△重複（集計されない）",IF(G313="","△タスク名なし",IF(ISNA(MATCH(AQ313,'M1_類型マスタ'!$A$5:$A$19,0)),"△類型が不正",IF(OR(AP313="",N(AP313)&lt;1,N(AP313)&gt;6),"△業務区分が不正",IF(OR(AS313="",AT313=""),"△回数・分が読めない",IF(SUMPRODUCT(--ISNUMBER(--T313:Z313))&lt;7,"△採点が足りない",IF(SUMPRODUCT((--T313:Z313&gt;2)+(--T313:Z313&lt;0))&gt;0,"△採点が範囲外","OK"))))))))))))</f>
        <v/>
      </c>
      <c r="AC313">
        <f>IF(AB313&lt;&gt;"OK","",TRIM(IF(AND(AU313&lt;&gt;"",N(AU313)&lt;=1),"根拠1件 ","")&amp;IF(AV313&lt;&gt;"","同名あり ","")&amp;IF(AND(NOT(ISNUMBER(N313)),N313&lt;&gt;""),"回数を換算 ","")&amp;IF(J313="","詳細なし ","")&amp;IF(AND(N(AP313)=1,BB313=""),"顧客名なし ","")))</f>
        <v/>
      </c>
      <c r="AD313" s="31" t="n"/>
      <c r="AE313" s="32" t="n"/>
      <c r="AF313" s="32" t="n"/>
      <c r="AG313" s="31" t="n"/>
      <c r="AH313">
        <f>IF(AB313&lt;&gt;"OK","",IF(AG313&lt;&gt;"",AG313,AJ313))</f>
        <v/>
      </c>
      <c r="AI313" s="33">
        <f>IF(AB313&lt;&gt;"OK","",IFERROR(IF(AE313&lt;&gt;"",AE313,AS313)*IF(AF313&lt;&gt;"",AF313,AT313)/60,""))</f>
        <v/>
      </c>
      <c r="AJ313">
        <f>IF(AB313&lt;&gt;"OK","",IF(OR(VALUE(T313)=2,VALUE(U313)=2,VALUE(V313)=2),"社内残置",IF(AND(VALUE(T313)=0,VALUE(W313)=0,VALUE(Y313)=0),"自動化候補",IF(AND(VALUE(U313)=0,VALUE(W313)&lt;=1,VALUE(X313)&lt;=1,VALUE(Y313)&lt;=1,VALUE(Z313)&lt;=1),"オフショア候補",IF(AND(VALUE(Y313)&lt;=1,VALUE(Z313)&lt;=1),"ニアショア候補","社内で手順化→再評価")))))</f>
        <v/>
      </c>
      <c r="AK313">
        <f>IF(AB313&lt;&gt;"OK","",14-SUMPRODUCT(--T313:Z313))</f>
        <v/>
      </c>
      <c r="AL313" s="33">
        <f>IF(AB313&lt;&gt;"OK","",AS313*AT313/60)</f>
        <v/>
      </c>
      <c r="AM313" s="34">
        <f>IF(A313="","",UPPER(TRIM(ASC(A313&amp;""))))</f>
        <v/>
      </c>
      <c r="AN313" s="34">
        <f>IF(AM313="","",AM313&amp;"-"&amp;B313)</f>
        <v/>
      </c>
      <c r="AO313" s="34">
        <f>IF(C313="","",IFERROR(VALUE(ASC(SUBSTITUTE(C313&amp;"","観点",""))),""))</f>
        <v/>
      </c>
      <c r="AP313" s="34">
        <f>IF(D313="","",IFERROR(VALUE(LEFT(TRIM(ASC(D313&amp;"")),1)),IFERROR(MATCH(TRIM(D313&amp;""),'M2_区分マスタ'!$I$5:$I$10,0),"")))</f>
        <v/>
      </c>
      <c r="AQ313" s="34">
        <f>IF(H313="","",UPPER(LEFT(TRIM(ASC(H313&amp;"")),3)))</f>
        <v/>
      </c>
      <c r="AR313" s="34">
        <f>IF(N313="","",IFERROR(VALUE(SUBSTITUTE(SUBSTITUTE(SUBSTITUTE(SUBSTITUTE(SUBSTITUTE(SUBSTITUTE(SUBSTITUTE(SUBSTITUTE(SUBSTITUTE(SUBSTITUTE(SUBSTITUTE(SUBSTITUTE(ASC(N313&amp;""),"約",""),"程度",""),"ほど",""),"回",""),"毎",""),"週",""),"月",""),"年",""),"日",""),"に",""),"/","")," ","")),""))</f>
        <v/>
      </c>
      <c r="AS313" s="34">
        <f>IF(N313="","",IF(ISNUMBER(N313),N313,IFERROR(VALUE(ASC(N313&amp;"")),IF(AR313&lt;&gt;"",AR313*IF(ISNUMBER(SEARCH("週",N313)),4.3,IF(ISNUMBER(SEARCH("年",N313)),1/12,IF(ISNUMBER(SEARCH("日",N313)),20,1))),IF(ISNUMBER(SEARCH("日",N313)),20,IF(ISNUMBER(SEARCH("週",N313)),4.3,IF(ISNUMBER(SEARCH("月",N313)),1,"")))))))</f>
        <v/>
      </c>
      <c r="AT313" s="34">
        <f>IF(O313="","",IF(ISNUMBER(O313),O313,IFERROR(VALUE(ASC(O313&amp;"")),IF(ISNUMBER(SEARCH("時間",O313)),IFERROR(VALUE(SUBSTITUTE(SUBSTITUTE(SUBSTITUTE(SUBSTITUTE(SUBSTITUTE(ASC(O313&amp;""),"約",""),"程度",""),"ほど",""),"時間","")," ",""))*60,""),IFERROR(VALUE(SUBSTITUTE(SUBSTITUTE(SUBSTITUTE(SUBSTITUTE(SUBSTITUTE(ASC(O313&amp;""),"約",""),"程度",""),"ほど",""),"分","")," ","")),"")))))</f>
        <v/>
      </c>
      <c r="AU313" s="34">
        <f>IF(P313="","",IF(ISNUMBER(P313),P313,IFERROR(VALUE(SUBSTITUTE(SUBSTITUTE(SUBSTITUTE(ASC(P313&amp;""),"約",""),"件","")," ","")),"")))</f>
        <v/>
      </c>
      <c r="AV313" s="34">
        <f>IF(AB313&lt;&gt;"OK","",IF(COUNTIFS($G$5:$G$404,G313&amp;"",$F$5:$F$404,F313&amp;"",$BE$5:$BE$404,BE313&amp;"",$AB$5:$AB$404,"OK")&gt;1,"同名あり",""))</f>
        <v/>
      </c>
      <c r="AW313" s="35">
        <f>IF(Q313="","",IF(ISNUMBER(Q313),Q313,IFERROR(DATEVALUE(SUBSTITUTE(SUBSTITUTE(ASC(Q313&amp;""),"-","/"),".","/")&amp;"/01"),"")))</f>
        <v/>
      </c>
      <c r="AX313" s="35">
        <f>IF(R313="","",IF(ISNUMBER(R313),R313,IFERROR(DATEVALUE(SUBSTITUTE(SUBSTITUTE(ASC(R313&amp;""),"-","/"),".","/")&amp;"/01"),"")))</f>
        <v/>
      </c>
      <c r="AY313" s="34">
        <f>IF(OR(AB313&lt;&gt;"OK",AW313=""),"",IF(AW313&gt;='01_設定'!$C$26,1,0))</f>
        <v/>
      </c>
      <c r="AZ313" s="34">
        <f>IF(AND(AB313="OK",AD313&lt;&gt;"除外"),COUNTIFS($AB$5:AB313,"OK",$AD$5:AD313,"&lt;&gt;除外"),"")</f>
        <v/>
      </c>
      <c r="BA313" s="34">
        <f>IF(OR(AZ313="",AI313=""),"",AI313+ROW()/1000000000)</f>
        <v/>
      </c>
      <c r="BB313" s="34">
        <f>IF(E313="","",IF(OR(TRIM(E313&amp;"")="-",TRIM(E313&amp;"")="－",TRIM(E313&amp;"")="ー"),"",TRIM(E313&amp;"")))</f>
        <v/>
      </c>
      <c r="BC313" s="34">
        <f>IF(AND(AB313="OK",BB313&lt;&gt;""),IF(COUNTIFS($BB$5:BB313,BB313,$AB$5:AB313,"OK")=1,1,""),"")</f>
        <v/>
      </c>
      <c r="BD313" s="34">
        <f>IF(BC313=1,COUNTIF($BC$5:BC313,1),"")</f>
        <v/>
      </c>
      <c r="BE313" s="34">
        <f>IF(BB313="","",IFERROR(INDEX('06_顧客別集計'!$G$5:$G$104,MATCH(BB313,'06_顧客別集計'!$C$5:$C$104,0)),BB313))</f>
        <v/>
      </c>
      <c r="BF313" s="34">
        <f>IF(AND(AZ313&lt;&gt;"",BE313&lt;&gt;""),IF(COUNTIFS($BE$5:BE313,BE313,$AZ$5:AZ313,"&gt;0")=1,1,""),"")</f>
        <v/>
      </c>
      <c r="BG313" s="34">
        <f>IF(BF313=1,COUNTIF($BF$5:BF313,1),"")</f>
        <v/>
      </c>
    </row>
    <row r="314">
      <c r="AB314">
        <f>IF(AND(A314="",G314=""),"",IF(ISNUMBER(SEARCH("##END",AM314)),"（終わりの印）",IF(ISNUMBER(SEARCH("##続き",AM314)),"（続きありの印）",IF(AM314="調査ID","（見出し行）",IF(AND(AM314&lt;&gt;"R1",AM314&lt;&gt;"R2"),"×表以外の行（集計されない）",IF(COUNTIF($AN$5:AN314,AN314)&gt;1,"△重複（集計されない）",IF(G314="","△タスク名なし",IF(ISNA(MATCH(AQ314,'M1_類型マスタ'!$A$5:$A$19,0)),"△類型が不正",IF(OR(AP314="",N(AP314)&lt;1,N(AP314)&gt;6),"△業務区分が不正",IF(OR(AS314="",AT314=""),"△回数・分が読めない",IF(SUMPRODUCT(--ISNUMBER(--T314:Z314))&lt;7,"△採点が足りない",IF(SUMPRODUCT((--T314:Z314&gt;2)+(--T314:Z314&lt;0))&gt;0,"△採点が範囲外","OK"))))))))))))</f>
        <v/>
      </c>
      <c r="AC314">
        <f>IF(AB314&lt;&gt;"OK","",TRIM(IF(AND(AU314&lt;&gt;"",N(AU314)&lt;=1),"根拠1件 ","")&amp;IF(AV314&lt;&gt;"","同名あり ","")&amp;IF(AND(NOT(ISNUMBER(N314)),N314&lt;&gt;""),"回数を換算 ","")&amp;IF(J314="","詳細なし ","")&amp;IF(AND(N(AP314)=1,BB314=""),"顧客名なし ","")))</f>
        <v/>
      </c>
      <c r="AD314" s="31" t="n"/>
      <c r="AE314" s="32" t="n"/>
      <c r="AF314" s="32" t="n"/>
      <c r="AG314" s="31" t="n"/>
      <c r="AH314">
        <f>IF(AB314&lt;&gt;"OK","",IF(AG314&lt;&gt;"",AG314,AJ314))</f>
        <v/>
      </c>
      <c r="AI314" s="33">
        <f>IF(AB314&lt;&gt;"OK","",IFERROR(IF(AE314&lt;&gt;"",AE314,AS314)*IF(AF314&lt;&gt;"",AF314,AT314)/60,""))</f>
        <v/>
      </c>
      <c r="AJ314">
        <f>IF(AB314&lt;&gt;"OK","",IF(OR(VALUE(T314)=2,VALUE(U314)=2,VALUE(V314)=2),"社内残置",IF(AND(VALUE(T314)=0,VALUE(W314)=0,VALUE(Y314)=0),"自動化候補",IF(AND(VALUE(U314)=0,VALUE(W314)&lt;=1,VALUE(X314)&lt;=1,VALUE(Y314)&lt;=1,VALUE(Z314)&lt;=1),"オフショア候補",IF(AND(VALUE(Y314)&lt;=1,VALUE(Z314)&lt;=1),"ニアショア候補","社内で手順化→再評価")))))</f>
        <v/>
      </c>
      <c r="AK314">
        <f>IF(AB314&lt;&gt;"OK","",14-SUMPRODUCT(--T314:Z314))</f>
        <v/>
      </c>
      <c r="AL314" s="33">
        <f>IF(AB314&lt;&gt;"OK","",AS314*AT314/60)</f>
        <v/>
      </c>
      <c r="AM314" s="34">
        <f>IF(A314="","",UPPER(TRIM(ASC(A314&amp;""))))</f>
        <v/>
      </c>
      <c r="AN314" s="34">
        <f>IF(AM314="","",AM314&amp;"-"&amp;B314)</f>
        <v/>
      </c>
      <c r="AO314" s="34">
        <f>IF(C314="","",IFERROR(VALUE(ASC(SUBSTITUTE(C314&amp;"","観点",""))),""))</f>
        <v/>
      </c>
      <c r="AP314" s="34">
        <f>IF(D314="","",IFERROR(VALUE(LEFT(TRIM(ASC(D314&amp;"")),1)),IFERROR(MATCH(TRIM(D314&amp;""),'M2_区分マスタ'!$I$5:$I$10,0),"")))</f>
        <v/>
      </c>
      <c r="AQ314" s="34">
        <f>IF(H314="","",UPPER(LEFT(TRIM(ASC(H314&amp;"")),3)))</f>
        <v/>
      </c>
      <c r="AR314" s="34">
        <f>IF(N314="","",IFERROR(VALUE(SUBSTITUTE(SUBSTITUTE(SUBSTITUTE(SUBSTITUTE(SUBSTITUTE(SUBSTITUTE(SUBSTITUTE(SUBSTITUTE(SUBSTITUTE(SUBSTITUTE(SUBSTITUTE(SUBSTITUTE(ASC(N314&amp;""),"約",""),"程度",""),"ほど",""),"回",""),"毎",""),"週",""),"月",""),"年",""),"日",""),"に",""),"/","")," ","")),""))</f>
        <v/>
      </c>
      <c r="AS314" s="34">
        <f>IF(N314="","",IF(ISNUMBER(N314),N314,IFERROR(VALUE(ASC(N314&amp;"")),IF(AR314&lt;&gt;"",AR314*IF(ISNUMBER(SEARCH("週",N314)),4.3,IF(ISNUMBER(SEARCH("年",N314)),1/12,IF(ISNUMBER(SEARCH("日",N314)),20,1))),IF(ISNUMBER(SEARCH("日",N314)),20,IF(ISNUMBER(SEARCH("週",N314)),4.3,IF(ISNUMBER(SEARCH("月",N314)),1,"")))))))</f>
        <v/>
      </c>
      <c r="AT314" s="34">
        <f>IF(O314="","",IF(ISNUMBER(O314),O314,IFERROR(VALUE(ASC(O314&amp;"")),IF(ISNUMBER(SEARCH("時間",O314)),IFERROR(VALUE(SUBSTITUTE(SUBSTITUTE(SUBSTITUTE(SUBSTITUTE(SUBSTITUTE(ASC(O314&amp;""),"約",""),"程度",""),"ほど",""),"時間","")," ",""))*60,""),IFERROR(VALUE(SUBSTITUTE(SUBSTITUTE(SUBSTITUTE(SUBSTITUTE(SUBSTITUTE(ASC(O314&amp;""),"約",""),"程度",""),"ほど",""),"分","")," ","")),"")))))</f>
        <v/>
      </c>
      <c r="AU314" s="34">
        <f>IF(P314="","",IF(ISNUMBER(P314),P314,IFERROR(VALUE(SUBSTITUTE(SUBSTITUTE(SUBSTITUTE(ASC(P314&amp;""),"約",""),"件","")," ","")),"")))</f>
        <v/>
      </c>
      <c r="AV314" s="34">
        <f>IF(AB314&lt;&gt;"OK","",IF(COUNTIFS($G$5:$G$404,G314&amp;"",$F$5:$F$404,F314&amp;"",$BE$5:$BE$404,BE314&amp;"",$AB$5:$AB$404,"OK")&gt;1,"同名あり",""))</f>
        <v/>
      </c>
      <c r="AW314" s="35">
        <f>IF(Q314="","",IF(ISNUMBER(Q314),Q314,IFERROR(DATEVALUE(SUBSTITUTE(SUBSTITUTE(ASC(Q314&amp;""),"-","/"),".","/")&amp;"/01"),"")))</f>
        <v/>
      </c>
      <c r="AX314" s="35">
        <f>IF(R314="","",IF(ISNUMBER(R314),R314,IFERROR(DATEVALUE(SUBSTITUTE(SUBSTITUTE(ASC(R314&amp;""),"-","/"),".","/")&amp;"/01"),"")))</f>
        <v/>
      </c>
      <c r="AY314" s="34">
        <f>IF(OR(AB314&lt;&gt;"OK",AW314=""),"",IF(AW314&gt;='01_設定'!$C$26,1,0))</f>
        <v/>
      </c>
      <c r="AZ314" s="34">
        <f>IF(AND(AB314="OK",AD314&lt;&gt;"除外"),COUNTIFS($AB$5:AB314,"OK",$AD$5:AD314,"&lt;&gt;除外"),"")</f>
        <v/>
      </c>
      <c r="BA314" s="34">
        <f>IF(OR(AZ314="",AI314=""),"",AI314+ROW()/1000000000)</f>
        <v/>
      </c>
      <c r="BB314" s="34">
        <f>IF(E314="","",IF(OR(TRIM(E314&amp;"")="-",TRIM(E314&amp;"")="－",TRIM(E314&amp;"")="ー"),"",TRIM(E314&amp;"")))</f>
        <v/>
      </c>
      <c r="BC314" s="34">
        <f>IF(AND(AB314="OK",BB314&lt;&gt;""),IF(COUNTIFS($BB$5:BB314,BB314,$AB$5:AB314,"OK")=1,1,""),"")</f>
        <v/>
      </c>
      <c r="BD314" s="34">
        <f>IF(BC314=1,COUNTIF($BC$5:BC314,1),"")</f>
        <v/>
      </c>
      <c r="BE314" s="34">
        <f>IF(BB314="","",IFERROR(INDEX('06_顧客別集計'!$G$5:$G$104,MATCH(BB314,'06_顧客別集計'!$C$5:$C$104,0)),BB314))</f>
        <v/>
      </c>
      <c r="BF314" s="34">
        <f>IF(AND(AZ314&lt;&gt;"",BE314&lt;&gt;""),IF(COUNTIFS($BE$5:BE314,BE314,$AZ$5:AZ314,"&gt;0")=1,1,""),"")</f>
        <v/>
      </c>
      <c r="BG314" s="34">
        <f>IF(BF314=1,COUNTIF($BF$5:BF314,1),"")</f>
        <v/>
      </c>
    </row>
    <row r="315">
      <c r="AB315">
        <f>IF(AND(A315="",G315=""),"",IF(ISNUMBER(SEARCH("##END",AM315)),"（終わりの印）",IF(ISNUMBER(SEARCH("##続き",AM315)),"（続きありの印）",IF(AM315="調査ID","（見出し行）",IF(AND(AM315&lt;&gt;"R1",AM315&lt;&gt;"R2"),"×表以外の行（集計されない）",IF(COUNTIF($AN$5:AN315,AN315)&gt;1,"△重複（集計されない）",IF(G315="","△タスク名なし",IF(ISNA(MATCH(AQ315,'M1_類型マスタ'!$A$5:$A$19,0)),"△類型が不正",IF(OR(AP315="",N(AP315)&lt;1,N(AP315)&gt;6),"△業務区分が不正",IF(OR(AS315="",AT315=""),"△回数・分が読めない",IF(SUMPRODUCT(--ISNUMBER(--T315:Z315))&lt;7,"△採点が足りない",IF(SUMPRODUCT((--T315:Z315&gt;2)+(--T315:Z315&lt;0))&gt;0,"△採点が範囲外","OK"))))))))))))</f>
        <v/>
      </c>
      <c r="AC315">
        <f>IF(AB315&lt;&gt;"OK","",TRIM(IF(AND(AU315&lt;&gt;"",N(AU315)&lt;=1),"根拠1件 ","")&amp;IF(AV315&lt;&gt;"","同名あり ","")&amp;IF(AND(NOT(ISNUMBER(N315)),N315&lt;&gt;""),"回数を換算 ","")&amp;IF(J315="","詳細なし ","")&amp;IF(AND(N(AP315)=1,BB315=""),"顧客名なし ","")))</f>
        <v/>
      </c>
      <c r="AD315" s="31" t="n"/>
      <c r="AE315" s="32" t="n"/>
      <c r="AF315" s="32" t="n"/>
      <c r="AG315" s="31" t="n"/>
      <c r="AH315">
        <f>IF(AB315&lt;&gt;"OK","",IF(AG315&lt;&gt;"",AG315,AJ315))</f>
        <v/>
      </c>
      <c r="AI315" s="33">
        <f>IF(AB315&lt;&gt;"OK","",IFERROR(IF(AE315&lt;&gt;"",AE315,AS315)*IF(AF315&lt;&gt;"",AF315,AT315)/60,""))</f>
        <v/>
      </c>
      <c r="AJ315">
        <f>IF(AB315&lt;&gt;"OK","",IF(OR(VALUE(T315)=2,VALUE(U315)=2,VALUE(V315)=2),"社内残置",IF(AND(VALUE(T315)=0,VALUE(W315)=0,VALUE(Y315)=0),"自動化候補",IF(AND(VALUE(U315)=0,VALUE(W315)&lt;=1,VALUE(X315)&lt;=1,VALUE(Y315)&lt;=1,VALUE(Z315)&lt;=1),"オフショア候補",IF(AND(VALUE(Y315)&lt;=1,VALUE(Z315)&lt;=1),"ニアショア候補","社内で手順化→再評価")))))</f>
        <v/>
      </c>
      <c r="AK315">
        <f>IF(AB315&lt;&gt;"OK","",14-SUMPRODUCT(--T315:Z315))</f>
        <v/>
      </c>
      <c r="AL315" s="33">
        <f>IF(AB315&lt;&gt;"OK","",AS315*AT315/60)</f>
        <v/>
      </c>
      <c r="AM315" s="34">
        <f>IF(A315="","",UPPER(TRIM(ASC(A315&amp;""))))</f>
        <v/>
      </c>
      <c r="AN315" s="34">
        <f>IF(AM315="","",AM315&amp;"-"&amp;B315)</f>
        <v/>
      </c>
      <c r="AO315" s="34">
        <f>IF(C315="","",IFERROR(VALUE(ASC(SUBSTITUTE(C315&amp;"","観点",""))),""))</f>
        <v/>
      </c>
      <c r="AP315" s="34">
        <f>IF(D315="","",IFERROR(VALUE(LEFT(TRIM(ASC(D315&amp;"")),1)),IFERROR(MATCH(TRIM(D315&amp;""),'M2_区分マスタ'!$I$5:$I$10,0),"")))</f>
        <v/>
      </c>
      <c r="AQ315" s="34">
        <f>IF(H315="","",UPPER(LEFT(TRIM(ASC(H315&amp;"")),3)))</f>
        <v/>
      </c>
      <c r="AR315" s="34">
        <f>IF(N315="","",IFERROR(VALUE(SUBSTITUTE(SUBSTITUTE(SUBSTITUTE(SUBSTITUTE(SUBSTITUTE(SUBSTITUTE(SUBSTITUTE(SUBSTITUTE(SUBSTITUTE(SUBSTITUTE(SUBSTITUTE(SUBSTITUTE(ASC(N315&amp;""),"約",""),"程度",""),"ほど",""),"回",""),"毎",""),"週",""),"月",""),"年",""),"日",""),"に",""),"/","")," ","")),""))</f>
        <v/>
      </c>
      <c r="AS315" s="34">
        <f>IF(N315="","",IF(ISNUMBER(N315),N315,IFERROR(VALUE(ASC(N315&amp;"")),IF(AR315&lt;&gt;"",AR315*IF(ISNUMBER(SEARCH("週",N315)),4.3,IF(ISNUMBER(SEARCH("年",N315)),1/12,IF(ISNUMBER(SEARCH("日",N315)),20,1))),IF(ISNUMBER(SEARCH("日",N315)),20,IF(ISNUMBER(SEARCH("週",N315)),4.3,IF(ISNUMBER(SEARCH("月",N315)),1,"")))))))</f>
        <v/>
      </c>
      <c r="AT315" s="34">
        <f>IF(O315="","",IF(ISNUMBER(O315),O315,IFERROR(VALUE(ASC(O315&amp;"")),IF(ISNUMBER(SEARCH("時間",O315)),IFERROR(VALUE(SUBSTITUTE(SUBSTITUTE(SUBSTITUTE(SUBSTITUTE(SUBSTITUTE(ASC(O315&amp;""),"約",""),"程度",""),"ほど",""),"時間","")," ",""))*60,""),IFERROR(VALUE(SUBSTITUTE(SUBSTITUTE(SUBSTITUTE(SUBSTITUTE(SUBSTITUTE(ASC(O315&amp;""),"約",""),"程度",""),"ほど",""),"分","")," ","")),"")))))</f>
        <v/>
      </c>
      <c r="AU315" s="34">
        <f>IF(P315="","",IF(ISNUMBER(P315),P315,IFERROR(VALUE(SUBSTITUTE(SUBSTITUTE(SUBSTITUTE(ASC(P315&amp;""),"約",""),"件","")," ","")),"")))</f>
        <v/>
      </c>
      <c r="AV315" s="34">
        <f>IF(AB315&lt;&gt;"OK","",IF(COUNTIFS($G$5:$G$404,G315&amp;"",$F$5:$F$404,F315&amp;"",$BE$5:$BE$404,BE315&amp;"",$AB$5:$AB$404,"OK")&gt;1,"同名あり",""))</f>
        <v/>
      </c>
      <c r="AW315" s="35">
        <f>IF(Q315="","",IF(ISNUMBER(Q315),Q315,IFERROR(DATEVALUE(SUBSTITUTE(SUBSTITUTE(ASC(Q315&amp;""),"-","/"),".","/")&amp;"/01"),"")))</f>
        <v/>
      </c>
      <c r="AX315" s="35">
        <f>IF(R315="","",IF(ISNUMBER(R315),R315,IFERROR(DATEVALUE(SUBSTITUTE(SUBSTITUTE(ASC(R315&amp;""),"-","/"),".","/")&amp;"/01"),"")))</f>
        <v/>
      </c>
      <c r="AY315" s="34">
        <f>IF(OR(AB315&lt;&gt;"OK",AW315=""),"",IF(AW315&gt;='01_設定'!$C$26,1,0))</f>
        <v/>
      </c>
      <c r="AZ315" s="34">
        <f>IF(AND(AB315="OK",AD315&lt;&gt;"除外"),COUNTIFS($AB$5:AB315,"OK",$AD$5:AD315,"&lt;&gt;除外"),"")</f>
        <v/>
      </c>
      <c r="BA315" s="34">
        <f>IF(OR(AZ315="",AI315=""),"",AI315+ROW()/1000000000)</f>
        <v/>
      </c>
      <c r="BB315" s="34">
        <f>IF(E315="","",IF(OR(TRIM(E315&amp;"")="-",TRIM(E315&amp;"")="－",TRIM(E315&amp;"")="ー"),"",TRIM(E315&amp;"")))</f>
        <v/>
      </c>
      <c r="BC315" s="34">
        <f>IF(AND(AB315="OK",BB315&lt;&gt;""),IF(COUNTIFS($BB$5:BB315,BB315,$AB$5:AB315,"OK")=1,1,""),"")</f>
        <v/>
      </c>
      <c r="BD315" s="34">
        <f>IF(BC315=1,COUNTIF($BC$5:BC315,1),"")</f>
        <v/>
      </c>
      <c r="BE315" s="34">
        <f>IF(BB315="","",IFERROR(INDEX('06_顧客別集計'!$G$5:$G$104,MATCH(BB315,'06_顧客別集計'!$C$5:$C$104,0)),BB315))</f>
        <v/>
      </c>
      <c r="BF315" s="34">
        <f>IF(AND(AZ315&lt;&gt;"",BE315&lt;&gt;""),IF(COUNTIFS($BE$5:BE315,BE315,$AZ$5:AZ315,"&gt;0")=1,1,""),"")</f>
        <v/>
      </c>
      <c r="BG315" s="34">
        <f>IF(BF315=1,COUNTIF($BF$5:BF315,1),"")</f>
        <v/>
      </c>
    </row>
    <row r="316">
      <c r="AB316">
        <f>IF(AND(A316="",G316=""),"",IF(ISNUMBER(SEARCH("##END",AM316)),"（終わりの印）",IF(ISNUMBER(SEARCH("##続き",AM316)),"（続きありの印）",IF(AM316="調査ID","（見出し行）",IF(AND(AM316&lt;&gt;"R1",AM316&lt;&gt;"R2"),"×表以外の行（集計されない）",IF(COUNTIF($AN$5:AN316,AN316)&gt;1,"△重複（集計されない）",IF(G316="","△タスク名なし",IF(ISNA(MATCH(AQ316,'M1_類型マスタ'!$A$5:$A$19,0)),"△類型が不正",IF(OR(AP316="",N(AP316)&lt;1,N(AP316)&gt;6),"△業務区分が不正",IF(OR(AS316="",AT316=""),"△回数・分が読めない",IF(SUMPRODUCT(--ISNUMBER(--T316:Z316))&lt;7,"△採点が足りない",IF(SUMPRODUCT((--T316:Z316&gt;2)+(--T316:Z316&lt;0))&gt;0,"△採点が範囲外","OK"))))))))))))</f>
        <v/>
      </c>
      <c r="AC316">
        <f>IF(AB316&lt;&gt;"OK","",TRIM(IF(AND(AU316&lt;&gt;"",N(AU316)&lt;=1),"根拠1件 ","")&amp;IF(AV316&lt;&gt;"","同名あり ","")&amp;IF(AND(NOT(ISNUMBER(N316)),N316&lt;&gt;""),"回数を換算 ","")&amp;IF(J316="","詳細なし ","")&amp;IF(AND(N(AP316)=1,BB316=""),"顧客名なし ","")))</f>
        <v/>
      </c>
      <c r="AD316" s="31" t="n"/>
      <c r="AE316" s="32" t="n"/>
      <c r="AF316" s="32" t="n"/>
      <c r="AG316" s="31" t="n"/>
      <c r="AH316">
        <f>IF(AB316&lt;&gt;"OK","",IF(AG316&lt;&gt;"",AG316,AJ316))</f>
        <v/>
      </c>
      <c r="AI316" s="33">
        <f>IF(AB316&lt;&gt;"OK","",IFERROR(IF(AE316&lt;&gt;"",AE316,AS316)*IF(AF316&lt;&gt;"",AF316,AT316)/60,""))</f>
        <v/>
      </c>
      <c r="AJ316">
        <f>IF(AB316&lt;&gt;"OK","",IF(OR(VALUE(T316)=2,VALUE(U316)=2,VALUE(V316)=2),"社内残置",IF(AND(VALUE(T316)=0,VALUE(W316)=0,VALUE(Y316)=0),"自動化候補",IF(AND(VALUE(U316)=0,VALUE(W316)&lt;=1,VALUE(X316)&lt;=1,VALUE(Y316)&lt;=1,VALUE(Z316)&lt;=1),"オフショア候補",IF(AND(VALUE(Y316)&lt;=1,VALUE(Z316)&lt;=1),"ニアショア候補","社内で手順化→再評価")))))</f>
        <v/>
      </c>
      <c r="AK316">
        <f>IF(AB316&lt;&gt;"OK","",14-SUMPRODUCT(--T316:Z316))</f>
        <v/>
      </c>
      <c r="AL316" s="33">
        <f>IF(AB316&lt;&gt;"OK","",AS316*AT316/60)</f>
        <v/>
      </c>
      <c r="AM316" s="34">
        <f>IF(A316="","",UPPER(TRIM(ASC(A316&amp;""))))</f>
        <v/>
      </c>
      <c r="AN316" s="34">
        <f>IF(AM316="","",AM316&amp;"-"&amp;B316)</f>
        <v/>
      </c>
      <c r="AO316" s="34">
        <f>IF(C316="","",IFERROR(VALUE(ASC(SUBSTITUTE(C316&amp;"","観点",""))),""))</f>
        <v/>
      </c>
      <c r="AP316" s="34">
        <f>IF(D316="","",IFERROR(VALUE(LEFT(TRIM(ASC(D316&amp;"")),1)),IFERROR(MATCH(TRIM(D316&amp;""),'M2_区分マスタ'!$I$5:$I$10,0),"")))</f>
        <v/>
      </c>
      <c r="AQ316" s="34">
        <f>IF(H316="","",UPPER(LEFT(TRIM(ASC(H316&amp;"")),3)))</f>
        <v/>
      </c>
      <c r="AR316" s="34">
        <f>IF(N316="","",IFERROR(VALUE(SUBSTITUTE(SUBSTITUTE(SUBSTITUTE(SUBSTITUTE(SUBSTITUTE(SUBSTITUTE(SUBSTITUTE(SUBSTITUTE(SUBSTITUTE(SUBSTITUTE(SUBSTITUTE(SUBSTITUTE(ASC(N316&amp;""),"約",""),"程度",""),"ほど",""),"回",""),"毎",""),"週",""),"月",""),"年",""),"日",""),"に",""),"/","")," ","")),""))</f>
        <v/>
      </c>
      <c r="AS316" s="34">
        <f>IF(N316="","",IF(ISNUMBER(N316),N316,IFERROR(VALUE(ASC(N316&amp;"")),IF(AR316&lt;&gt;"",AR316*IF(ISNUMBER(SEARCH("週",N316)),4.3,IF(ISNUMBER(SEARCH("年",N316)),1/12,IF(ISNUMBER(SEARCH("日",N316)),20,1))),IF(ISNUMBER(SEARCH("日",N316)),20,IF(ISNUMBER(SEARCH("週",N316)),4.3,IF(ISNUMBER(SEARCH("月",N316)),1,"")))))))</f>
        <v/>
      </c>
      <c r="AT316" s="34">
        <f>IF(O316="","",IF(ISNUMBER(O316),O316,IFERROR(VALUE(ASC(O316&amp;"")),IF(ISNUMBER(SEARCH("時間",O316)),IFERROR(VALUE(SUBSTITUTE(SUBSTITUTE(SUBSTITUTE(SUBSTITUTE(SUBSTITUTE(ASC(O316&amp;""),"約",""),"程度",""),"ほど",""),"時間","")," ",""))*60,""),IFERROR(VALUE(SUBSTITUTE(SUBSTITUTE(SUBSTITUTE(SUBSTITUTE(SUBSTITUTE(ASC(O316&amp;""),"約",""),"程度",""),"ほど",""),"分","")," ","")),"")))))</f>
        <v/>
      </c>
      <c r="AU316" s="34">
        <f>IF(P316="","",IF(ISNUMBER(P316),P316,IFERROR(VALUE(SUBSTITUTE(SUBSTITUTE(SUBSTITUTE(ASC(P316&amp;""),"約",""),"件","")," ","")),"")))</f>
        <v/>
      </c>
      <c r="AV316" s="34">
        <f>IF(AB316&lt;&gt;"OK","",IF(COUNTIFS($G$5:$G$404,G316&amp;"",$F$5:$F$404,F316&amp;"",$BE$5:$BE$404,BE316&amp;"",$AB$5:$AB$404,"OK")&gt;1,"同名あり",""))</f>
        <v/>
      </c>
      <c r="AW316" s="35">
        <f>IF(Q316="","",IF(ISNUMBER(Q316),Q316,IFERROR(DATEVALUE(SUBSTITUTE(SUBSTITUTE(ASC(Q316&amp;""),"-","/"),".","/")&amp;"/01"),"")))</f>
        <v/>
      </c>
      <c r="AX316" s="35">
        <f>IF(R316="","",IF(ISNUMBER(R316),R316,IFERROR(DATEVALUE(SUBSTITUTE(SUBSTITUTE(ASC(R316&amp;""),"-","/"),".","/")&amp;"/01"),"")))</f>
        <v/>
      </c>
      <c r="AY316" s="34">
        <f>IF(OR(AB316&lt;&gt;"OK",AW316=""),"",IF(AW316&gt;='01_設定'!$C$26,1,0))</f>
        <v/>
      </c>
      <c r="AZ316" s="34">
        <f>IF(AND(AB316="OK",AD316&lt;&gt;"除外"),COUNTIFS($AB$5:AB316,"OK",$AD$5:AD316,"&lt;&gt;除外"),"")</f>
        <v/>
      </c>
      <c r="BA316" s="34">
        <f>IF(OR(AZ316="",AI316=""),"",AI316+ROW()/1000000000)</f>
        <v/>
      </c>
      <c r="BB316" s="34">
        <f>IF(E316="","",IF(OR(TRIM(E316&amp;"")="-",TRIM(E316&amp;"")="－",TRIM(E316&amp;"")="ー"),"",TRIM(E316&amp;"")))</f>
        <v/>
      </c>
      <c r="BC316" s="34">
        <f>IF(AND(AB316="OK",BB316&lt;&gt;""),IF(COUNTIFS($BB$5:BB316,BB316,$AB$5:AB316,"OK")=1,1,""),"")</f>
        <v/>
      </c>
      <c r="BD316" s="34">
        <f>IF(BC316=1,COUNTIF($BC$5:BC316,1),"")</f>
        <v/>
      </c>
      <c r="BE316" s="34">
        <f>IF(BB316="","",IFERROR(INDEX('06_顧客別集計'!$G$5:$G$104,MATCH(BB316,'06_顧客別集計'!$C$5:$C$104,0)),BB316))</f>
        <v/>
      </c>
      <c r="BF316" s="34">
        <f>IF(AND(AZ316&lt;&gt;"",BE316&lt;&gt;""),IF(COUNTIFS($BE$5:BE316,BE316,$AZ$5:AZ316,"&gt;0")=1,1,""),"")</f>
        <v/>
      </c>
      <c r="BG316" s="34">
        <f>IF(BF316=1,COUNTIF($BF$5:BF316,1),"")</f>
        <v/>
      </c>
    </row>
    <row r="317">
      <c r="AB317">
        <f>IF(AND(A317="",G317=""),"",IF(ISNUMBER(SEARCH("##END",AM317)),"（終わりの印）",IF(ISNUMBER(SEARCH("##続き",AM317)),"（続きありの印）",IF(AM317="調査ID","（見出し行）",IF(AND(AM317&lt;&gt;"R1",AM317&lt;&gt;"R2"),"×表以外の行（集計されない）",IF(COUNTIF($AN$5:AN317,AN317)&gt;1,"△重複（集計されない）",IF(G317="","△タスク名なし",IF(ISNA(MATCH(AQ317,'M1_類型マスタ'!$A$5:$A$19,0)),"△類型が不正",IF(OR(AP317="",N(AP317)&lt;1,N(AP317)&gt;6),"△業務区分が不正",IF(OR(AS317="",AT317=""),"△回数・分が読めない",IF(SUMPRODUCT(--ISNUMBER(--T317:Z317))&lt;7,"△採点が足りない",IF(SUMPRODUCT((--T317:Z317&gt;2)+(--T317:Z317&lt;0))&gt;0,"△採点が範囲外","OK"))))))))))))</f>
        <v/>
      </c>
      <c r="AC317">
        <f>IF(AB317&lt;&gt;"OK","",TRIM(IF(AND(AU317&lt;&gt;"",N(AU317)&lt;=1),"根拠1件 ","")&amp;IF(AV317&lt;&gt;"","同名あり ","")&amp;IF(AND(NOT(ISNUMBER(N317)),N317&lt;&gt;""),"回数を換算 ","")&amp;IF(J317="","詳細なし ","")&amp;IF(AND(N(AP317)=1,BB317=""),"顧客名なし ","")))</f>
        <v/>
      </c>
      <c r="AD317" s="31" t="n"/>
      <c r="AE317" s="32" t="n"/>
      <c r="AF317" s="32" t="n"/>
      <c r="AG317" s="31" t="n"/>
      <c r="AH317">
        <f>IF(AB317&lt;&gt;"OK","",IF(AG317&lt;&gt;"",AG317,AJ317))</f>
        <v/>
      </c>
      <c r="AI317" s="33">
        <f>IF(AB317&lt;&gt;"OK","",IFERROR(IF(AE317&lt;&gt;"",AE317,AS317)*IF(AF317&lt;&gt;"",AF317,AT317)/60,""))</f>
        <v/>
      </c>
      <c r="AJ317">
        <f>IF(AB317&lt;&gt;"OK","",IF(OR(VALUE(T317)=2,VALUE(U317)=2,VALUE(V317)=2),"社内残置",IF(AND(VALUE(T317)=0,VALUE(W317)=0,VALUE(Y317)=0),"自動化候補",IF(AND(VALUE(U317)=0,VALUE(W317)&lt;=1,VALUE(X317)&lt;=1,VALUE(Y317)&lt;=1,VALUE(Z317)&lt;=1),"オフショア候補",IF(AND(VALUE(Y317)&lt;=1,VALUE(Z317)&lt;=1),"ニアショア候補","社内で手順化→再評価")))))</f>
        <v/>
      </c>
      <c r="AK317">
        <f>IF(AB317&lt;&gt;"OK","",14-SUMPRODUCT(--T317:Z317))</f>
        <v/>
      </c>
      <c r="AL317" s="33">
        <f>IF(AB317&lt;&gt;"OK","",AS317*AT317/60)</f>
        <v/>
      </c>
      <c r="AM317" s="34">
        <f>IF(A317="","",UPPER(TRIM(ASC(A317&amp;""))))</f>
        <v/>
      </c>
      <c r="AN317" s="34">
        <f>IF(AM317="","",AM317&amp;"-"&amp;B317)</f>
        <v/>
      </c>
      <c r="AO317" s="34">
        <f>IF(C317="","",IFERROR(VALUE(ASC(SUBSTITUTE(C317&amp;"","観点",""))),""))</f>
        <v/>
      </c>
      <c r="AP317" s="34">
        <f>IF(D317="","",IFERROR(VALUE(LEFT(TRIM(ASC(D317&amp;"")),1)),IFERROR(MATCH(TRIM(D317&amp;""),'M2_区分マスタ'!$I$5:$I$10,0),"")))</f>
        <v/>
      </c>
      <c r="AQ317" s="34">
        <f>IF(H317="","",UPPER(LEFT(TRIM(ASC(H317&amp;"")),3)))</f>
        <v/>
      </c>
      <c r="AR317" s="34">
        <f>IF(N317="","",IFERROR(VALUE(SUBSTITUTE(SUBSTITUTE(SUBSTITUTE(SUBSTITUTE(SUBSTITUTE(SUBSTITUTE(SUBSTITUTE(SUBSTITUTE(SUBSTITUTE(SUBSTITUTE(SUBSTITUTE(SUBSTITUTE(ASC(N317&amp;""),"約",""),"程度",""),"ほど",""),"回",""),"毎",""),"週",""),"月",""),"年",""),"日",""),"に",""),"/","")," ","")),""))</f>
        <v/>
      </c>
      <c r="AS317" s="34">
        <f>IF(N317="","",IF(ISNUMBER(N317),N317,IFERROR(VALUE(ASC(N317&amp;"")),IF(AR317&lt;&gt;"",AR317*IF(ISNUMBER(SEARCH("週",N317)),4.3,IF(ISNUMBER(SEARCH("年",N317)),1/12,IF(ISNUMBER(SEARCH("日",N317)),20,1))),IF(ISNUMBER(SEARCH("日",N317)),20,IF(ISNUMBER(SEARCH("週",N317)),4.3,IF(ISNUMBER(SEARCH("月",N317)),1,"")))))))</f>
        <v/>
      </c>
      <c r="AT317" s="34">
        <f>IF(O317="","",IF(ISNUMBER(O317),O317,IFERROR(VALUE(ASC(O317&amp;"")),IF(ISNUMBER(SEARCH("時間",O317)),IFERROR(VALUE(SUBSTITUTE(SUBSTITUTE(SUBSTITUTE(SUBSTITUTE(SUBSTITUTE(ASC(O317&amp;""),"約",""),"程度",""),"ほど",""),"時間","")," ",""))*60,""),IFERROR(VALUE(SUBSTITUTE(SUBSTITUTE(SUBSTITUTE(SUBSTITUTE(SUBSTITUTE(ASC(O317&amp;""),"約",""),"程度",""),"ほど",""),"分","")," ","")),"")))))</f>
        <v/>
      </c>
      <c r="AU317" s="34">
        <f>IF(P317="","",IF(ISNUMBER(P317),P317,IFERROR(VALUE(SUBSTITUTE(SUBSTITUTE(SUBSTITUTE(ASC(P317&amp;""),"約",""),"件","")," ","")),"")))</f>
        <v/>
      </c>
      <c r="AV317" s="34">
        <f>IF(AB317&lt;&gt;"OK","",IF(COUNTIFS($G$5:$G$404,G317&amp;"",$F$5:$F$404,F317&amp;"",$BE$5:$BE$404,BE317&amp;"",$AB$5:$AB$404,"OK")&gt;1,"同名あり",""))</f>
        <v/>
      </c>
      <c r="AW317" s="35">
        <f>IF(Q317="","",IF(ISNUMBER(Q317),Q317,IFERROR(DATEVALUE(SUBSTITUTE(SUBSTITUTE(ASC(Q317&amp;""),"-","/"),".","/")&amp;"/01"),"")))</f>
        <v/>
      </c>
      <c r="AX317" s="35">
        <f>IF(R317="","",IF(ISNUMBER(R317),R317,IFERROR(DATEVALUE(SUBSTITUTE(SUBSTITUTE(ASC(R317&amp;""),"-","/"),".","/")&amp;"/01"),"")))</f>
        <v/>
      </c>
      <c r="AY317" s="34">
        <f>IF(OR(AB317&lt;&gt;"OK",AW317=""),"",IF(AW317&gt;='01_設定'!$C$26,1,0))</f>
        <v/>
      </c>
      <c r="AZ317" s="34">
        <f>IF(AND(AB317="OK",AD317&lt;&gt;"除外"),COUNTIFS($AB$5:AB317,"OK",$AD$5:AD317,"&lt;&gt;除外"),"")</f>
        <v/>
      </c>
      <c r="BA317" s="34">
        <f>IF(OR(AZ317="",AI317=""),"",AI317+ROW()/1000000000)</f>
        <v/>
      </c>
      <c r="BB317" s="34">
        <f>IF(E317="","",IF(OR(TRIM(E317&amp;"")="-",TRIM(E317&amp;"")="－",TRIM(E317&amp;"")="ー"),"",TRIM(E317&amp;"")))</f>
        <v/>
      </c>
      <c r="BC317" s="34">
        <f>IF(AND(AB317="OK",BB317&lt;&gt;""),IF(COUNTIFS($BB$5:BB317,BB317,$AB$5:AB317,"OK")=1,1,""),"")</f>
        <v/>
      </c>
      <c r="BD317" s="34">
        <f>IF(BC317=1,COUNTIF($BC$5:BC317,1),"")</f>
        <v/>
      </c>
      <c r="BE317" s="34">
        <f>IF(BB317="","",IFERROR(INDEX('06_顧客別集計'!$G$5:$G$104,MATCH(BB317,'06_顧客別集計'!$C$5:$C$104,0)),BB317))</f>
        <v/>
      </c>
      <c r="BF317" s="34">
        <f>IF(AND(AZ317&lt;&gt;"",BE317&lt;&gt;""),IF(COUNTIFS($BE$5:BE317,BE317,$AZ$5:AZ317,"&gt;0")=1,1,""),"")</f>
        <v/>
      </c>
      <c r="BG317" s="34">
        <f>IF(BF317=1,COUNTIF($BF$5:BF317,1),"")</f>
        <v/>
      </c>
    </row>
    <row r="318">
      <c r="AB318">
        <f>IF(AND(A318="",G318=""),"",IF(ISNUMBER(SEARCH("##END",AM318)),"（終わりの印）",IF(ISNUMBER(SEARCH("##続き",AM318)),"（続きありの印）",IF(AM318="調査ID","（見出し行）",IF(AND(AM318&lt;&gt;"R1",AM318&lt;&gt;"R2"),"×表以外の行（集計されない）",IF(COUNTIF($AN$5:AN318,AN318)&gt;1,"△重複（集計されない）",IF(G318="","△タスク名なし",IF(ISNA(MATCH(AQ318,'M1_類型マスタ'!$A$5:$A$19,0)),"△類型が不正",IF(OR(AP318="",N(AP318)&lt;1,N(AP318)&gt;6),"△業務区分が不正",IF(OR(AS318="",AT318=""),"△回数・分が読めない",IF(SUMPRODUCT(--ISNUMBER(--T318:Z318))&lt;7,"△採点が足りない",IF(SUMPRODUCT((--T318:Z318&gt;2)+(--T318:Z318&lt;0))&gt;0,"△採点が範囲外","OK"))))))))))))</f>
        <v/>
      </c>
      <c r="AC318">
        <f>IF(AB318&lt;&gt;"OK","",TRIM(IF(AND(AU318&lt;&gt;"",N(AU318)&lt;=1),"根拠1件 ","")&amp;IF(AV318&lt;&gt;"","同名あり ","")&amp;IF(AND(NOT(ISNUMBER(N318)),N318&lt;&gt;""),"回数を換算 ","")&amp;IF(J318="","詳細なし ","")&amp;IF(AND(N(AP318)=1,BB318=""),"顧客名なし ","")))</f>
        <v/>
      </c>
      <c r="AD318" s="31" t="n"/>
      <c r="AE318" s="32" t="n"/>
      <c r="AF318" s="32" t="n"/>
      <c r="AG318" s="31" t="n"/>
      <c r="AH318">
        <f>IF(AB318&lt;&gt;"OK","",IF(AG318&lt;&gt;"",AG318,AJ318))</f>
        <v/>
      </c>
      <c r="AI318" s="33">
        <f>IF(AB318&lt;&gt;"OK","",IFERROR(IF(AE318&lt;&gt;"",AE318,AS318)*IF(AF318&lt;&gt;"",AF318,AT318)/60,""))</f>
        <v/>
      </c>
      <c r="AJ318">
        <f>IF(AB318&lt;&gt;"OK","",IF(OR(VALUE(T318)=2,VALUE(U318)=2,VALUE(V318)=2),"社内残置",IF(AND(VALUE(T318)=0,VALUE(W318)=0,VALUE(Y318)=0),"自動化候補",IF(AND(VALUE(U318)=0,VALUE(W318)&lt;=1,VALUE(X318)&lt;=1,VALUE(Y318)&lt;=1,VALUE(Z318)&lt;=1),"オフショア候補",IF(AND(VALUE(Y318)&lt;=1,VALUE(Z318)&lt;=1),"ニアショア候補","社内で手順化→再評価")))))</f>
        <v/>
      </c>
      <c r="AK318">
        <f>IF(AB318&lt;&gt;"OK","",14-SUMPRODUCT(--T318:Z318))</f>
        <v/>
      </c>
      <c r="AL318" s="33">
        <f>IF(AB318&lt;&gt;"OK","",AS318*AT318/60)</f>
        <v/>
      </c>
      <c r="AM318" s="34">
        <f>IF(A318="","",UPPER(TRIM(ASC(A318&amp;""))))</f>
        <v/>
      </c>
      <c r="AN318" s="34">
        <f>IF(AM318="","",AM318&amp;"-"&amp;B318)</f>
        <v/>
      </c>
      <c r="AO318" s="34">
        <f>IF(C318="","",IFERROR(VALUE(ASC(SUBSTITUTE(C318&amp;"","観点",""))),""))</f>
        <v/>
      </c>
      <c r="AP318" s="34">
        <f>IF(D318="","",IFERROR(VALUE(LEFT(TRIM(ASC(D318&amp;"")),1)),IFERROR(MATCH(TRIM(D318&amp;""),'M2_区分マスタ'!$I$5:$I$10,0),"")))</f>
        <v/>
      </c>
      <c r="AQ318" s="34">
        <f>IF(H318="","",UPPER(LEFT(TRIM(ASC(H318&amp;"")),3)))</f>
        <v/>
      </c>
      <c r="AR318" s="34">
        <f>IF(N318="","",IFERROR(VALUE(SUBSTITUTE(SUBSTITUTE(SUBSTITUTE(SUBSTITUTE(SUBSTITUTE(SUBSTITUTE(SUBSTITUTE(SUBSTITUTE(SUBSTITUTE(SUBSTITUTE(SUBSTITUTE(SUBSTITUTE(ASC(N318&amp;""),"約",""),"程度",""),"ほど",""),"回",""),"毎",""),"週",""),"月",""),"年",""),"日",""),"に",""),"/","")," ","")),""))</f>
        <v/>
      </c>
      <c r="AS318" s="34">
        <f>IF(N318="","",IF(ISNUMBER(N318),N318,IFERROR(VALUE(ASC(N318&amp;"")),IF(AR318&lt;&gt;"",AR318*IF(ISNUMBER(SEARCH("週",N318)),4.3,IF(ISNUMBER(SEARCH("年",N318)),1/12,IF(ISNUMBER(SEARCH("日",N318)),20,1))),IF(ISNUMBER(SEARCH("日",N318)),20,IF(ISNUMBER(SEARCH("週",N318)),4.3,IF(ISNUMBER(SEARCH("月",N318)),1,"")))))))</f>
        <v/>
      </c>
      <c r="AT318" s="34">
        <f>IF(O318="","",IF(ISNUMBER(O318),O318,IFERROR(VALUE(ASC(O318&amp;"")),IF(ISNUMBER(SEARCH("時間",O318)),IFERROR(VALUE(SUBSTITUTE(SUBSTITUTE(SUBSTITUTE(SUBSTITUTE(SUBSTITUTE(ASC(O318&amp;""),"約",""),"程度",""),"ほど",""),"時間","")," ",""))*60,""),IFERROR(VALUE(SUBSTITUTE(SUBSTITUTE(SUBSTITUTE(SUBSTITUTE(SUBSTITUTE(ASC(O318&amp;""),"約",""),"程度",""),"ほど",""),"分","")," ","")),"")))))</f>
        <v/>
      </c>
      <c r="AU318" s="34">
        <f>IF(P318="","",IF(ISNUMBER(P318),P318,IFERROR(VALUE(SUBSTITUTE(SUBSTITUTE(SUBSTITUTE(ASC(P318&amp;""),"約",""),"件","")," ","")),"")))</f>
        <v/>
      </c>
      <c r="AV318" s="34">
        <f>IF(AB318&lt;&gt;"OK","",IF(COUNTIFS($G$5:$G$404,G318&amp;"",$F$5:$F$404,F318&amp;"",$BE$5:$BE$404,BE318&amp;"",$AB$5:$AB$404,"OK")&gt;1,"同名あり",""))</f>
        <v/>
      </c>
      <c r="AW318" s="35">
        <f>IF(Q318="","",IF(ISNUMBER(Q318),Q318,IFERROR(DATEVALUE(SUBSTITUTE(SUBSTITUTE(ASC(Q318&amp;""),"-","/"),".","/")&amp;"/01"),"")))</f>
        <v/>
      </c>
      <c r="AX318" s="35">
        <f>IF(R318="","",IF(ISNUMBER(R318),R318,IFERROR(DATEVALUE(SUBSTITUTE(SUBSTITUTE(ASC(R318&amp;""),"-","/"),".","/")&amp;"/01"),"")))</f>
        <v/>
      </c>
      <c r="AY318" s="34">
        <f>IF(OR(AB318&lt;&gt;"OK",AW318=""),"",IF(AW318&gt;='01_設定'!$C$26,1,0))</f>
        <v/>
      </c>
      <c r="AZ318" s="34">
        <f>IF(AND(AB318="OK",AD318&lt;&gt;"除外"),COUNTIFS($AB$5:AB318,"OK",$AD$5:AD318,"&lt;&gt;除外"),"")</f>
        <v/>
      </c>
      <c r="BA318" s="34">
        <f>IF(OR(AZ318="",AI318=""),"",AI318+ROW()/1000000000)</f>
        <v/>
      </c>
      <c r="BB318" s="34">
        <f>IF(E318="","",IF(OR(TRIM(E318&amp;"")="-",TRIM(E318&amp;"")="－",TRIM(E318&amp;"")="ー"),"",TRIM(E318&amp;"")))</f>
        <v/>
      </c>
      <c r="BC318" s="34">
        <f>IF(AND(AB318="OK",BB318&lt;&gt;""),IF(COUNTIFS($BB$5:BB318,BB318,$AB$5:AB318,"OK")=1,1,""),"")</f>
        <v/>
      </c>
      <c r="BD318" s="34">
        <f>IF(BC318=1,COUNTIF($BC$5:BC318,1),"")</f>
        <v/>
      </c>
      <c r="BE318" s="34">
        <f>IF(BB318="","",IFERROR(INDEX('06_顧客別集計'!$G$5:$G$104,MATCH(BB318,'06_顧客別集計'!$C$5:$C$104,0)),BB318))</f>
        <v/>
      </c>
      <c r="BF318" s="34">
        <f>IF(AND(AZ318&lt;&gt;"",BE318&lt;&gt;""),IF(COUNTIFS($BE$5:BE318,BE318,$AZ$5:AZ318,"&gt;0")=1,1,""),"")</f>
        <v/>
      </c>
      <c r="BG318" s="34">
        <f>IF(BF318=1,COUNTIF($BF$5:BF318,1),"")</f>
        <v/>
      </c>
    </row>
    <row r="319">
      <c r="AB319">
        <f>IF(AND(A319="",G319=""),"",IF(ISNUMBER(SEARCH("##END",AM319)),"（終わりの印）",IF(ISNUMBER(SEARCH("##続き",AM319)),"（続きありの印）",IF(AM319="調査ID","（見出し行）",IF(AND(AM319&lt;&gt;"R1",AM319&lt;&gt;"R2"),"×表以外の行（集計されない）",IF(COUNTIF($AN$5:AN319,AN319)&gt;1,"△重複（集計されない）",IF(G319="","△タスク名なし",IF(ISNA(MATCH(AQ319,'M1_類型マスタ'!$A$5:$A$19,0)),"△類型が不正",IF(OR(AP319="",N(AP319)&lt;1,N(AP319)&gt;6),"△業務区分が不正",IF(OR(AS319="",AT319=""),"△回数・分が読めない",IF(SUMPRODUCT(--ISNUMBER(--T319:Z319))&lt;7,"△採点が足りない",IF(SUMPRODUCT((--T319:Z319&gt;2)+(--T319:Z319&lt;0))&gt;0,"△採点が範囲外","OK"))))))))))))</f>
        <v/>
      </c>
      <c r="AC319">
        <f>IF(AB319&lt;&gt;"OK","",TRIM(IF(AND(AU319&lt;&gt;"",N(AU319)&lt;=1),"根拠1件 ","")&amp;IF(AV319&lt;&gt;"","同名あり ","")&amp;IF(AND(NOT(ISNUMBER(N319)),N319&lt;&gt;""),"回数を換算 ","")&amp;IF(J319="","詳細なし ","")&amp;IF(AND(N(AP319)=1,BB319=""),"顧客名なし ","")))</f>
        <v/>
      </c>
      <c r="AD319" s="31" t="n"/>
      <c r="AE319" s="32" t="n"/>
      <c r="AF319" s="32" t="n"/>
      <c r="AG319" s="31" t="n"/>
      <c r="AH319">
        <f>IF(AB319&lt;&gt;"OK","",IF(AG319&lt;&gt;"",AG319,AJ319))</f>
        <v/>
      </c>
      <c r="AI319" s="33">
        <f>IF(AB319&lt;&gt;"OK","",IFERROR(IF(AE319&lt;&gt;"",AE319,AS319)*IF(AF319&lt;&gt;"",AF319,AT319)/60,""))</f>
        <v/>
      </c>
      <c r="AJ319">
        <f>IF(AB319&lt;&gt;"OK","",IF(OR(VALUE(T319)=2,VALUE(U319)=2,VALUE(V319)=2),"社内残置",IF(AND(VALUE(T319)=0,VALUE(W319)=0,VALUE(Y319)=0),"自動化候補",IF(AND(VALUE(U319)=0,VALUE(W319)&lt;=1,VALUE(X319)&lt;=1,VALUE(Y319)&lt;=1,VALUE(Z319)&lt;=1),"オフショア候補",IF(AND(VALUE(Y319)&lt;=1,VALUE(Z319)&lt;=1),"ニアショア候補","社内で手順化→再評価")))))</f>
        <v/>
      </c>
      <c r="AK319">
        <f>IF(AB319&lt;&gt;"OK","",14-SUMPRODUCT(--T319:Z319))</f>
        <v/>
      </c>
      <c r="AL319" s="33">
        <f>IF(AB319&lt;&gt;"OK","",AS319*AT319/60)</f>
        <v/>
      </c>
      <c r="AM319" s="34">
        <f>IF(A319="","",UPPER(TRIM(ASC(A319&amp;""))))</f>
        <v/>
      </c>
      <c r="AN319" s="34">
        <f>IF(AM319="","",AM319&amp;"-"&amp;B319)</f>
        <v/>
      </c>
      <c r="AO319" s="34">
        <f>IF(C319="","",IFERROR(VALUE(ASC(SUBSTITUTE(C319&amp;"","観点",""))),""))</f>
        <v/>
      </c>
      <c r="AP319" s="34">
        <f>IF(D319="","",IFERROR(VALUE(LEFT(TRIM(ASC(D319&amp;"")),1)),IFERROR(MATCH(TRIM(D319&amp;""),'M2_区分マスタ'!$I$5:$I$10,0),"")))</f>
        <v/>
      </c>
      <c r="AQ319" s="34">
        <f>IF(H319="","",UPPER(LEFT(TRIM(ASC(H319&amp;"")),3)))</f>
        <v/>
      </c>
      <c r="AR319" s="34">
        <f>IF(N319="","",IFERROR(VALUE(SUBSTITUTE(SUBSTITUTE(SUBSTITUTE(SUBSTITUTE(SUBSTITUTE(SUBSTITUTE(SUBSTITUTE(SUBSTITUTE(SUBSTITUTE(SUBSTITUTE(SUBSTITUTE(SUBSTITUTE(ASC(N319&amp;""),"約",""),"程度",""),"ほど",""),"回",""),"毎",""),"週",""),"月",""),"年",""),"日",""),"に",""),"/","")," ","")),""))</f>
        <v/>
      </c>
      <c r="AS319" s="34">
        <f>IF(N319="","",IF(ISNUMBER(N319),N319,IFERROR(VALUE(ASC(N319&amp;"")),IF(AR319&lt;&gt;"",AR319*IF(ISNUMBER(SEARCH("週",N319)),4.3,IF(ISNUMBER(SEARCH("年",N319)),1/12,IF(ISNUMBER(SEARCH("日",N319)),20,1))),IF(ISNUMBER(SEARCH("日",N319)),20,IF(ISNUMBER(SEARCH("週",N319)),4.3,IF(ISNUMBER(SEARCH("月",N319)),1,"")))))))</f>
        <v/>
      </c>
      <c r="AT319" s="34">
        <f>IF(O319="","",IF(ISNUMBER(O319),O319,IFERROR(VALUE(ASC(O319&amp;"")),IF(ISNUMBER(SEARCH("時間",O319)),IFERROR(VALUE(SUBSTITUTE(SUBSTITUTE(SUBSTITUTE(SUBSTITUTE(SUBSTITUTE(ASC(O319&amp;""),"約",""),"程度",""),"ほど",""),"時間","")," ",""))*60,""),IFERROR(VALUE(SUBSTITUTE(SUBSTITUTE(SUBSTITUTE(SUBSTITUTE(SUBSTITUTE(ASC(O319&amp;""),"約",""),"程度",""),"ほど",""),"分","")," ","")),"")))))</f>
        <v/>
      </c>
      <c r="AU319" s="34">
        <f>IF(P319="","",IF(ISNUMBER(P319),P319,IFERROR(VALUE(SUBSTITUTE(SUBSTITUTE(SUBSTITUTE(ASC(P319&amp;""),"約",""),"件","")," ","")),"")))</f>
        <v/>
      </c>
      <c r="AV319" s="34">
        <f>IF(AB319&lt;&gt;"OK","",IF(COUNTIFS($G$5:$G$404,G319&amp;"",$F$5:$F$404,F319&amp;"",$BE$5:$BE$404,BE319&amp;"",$AB$5:$AB$404,"OK")&gt;1,"同名あり",""))</f>
        <v/>
      </c>
      <c r="AW319" s="35">
        <f>IF(Q319="","",IF(ISNUMBER(Q319),Q319,IFERROR(DATEVALUE(SUBSTITUTE(SUBSTITUTE(ASC(Q319&amp;""),"-","/"),".","/")&amp;"/01"),"")))</f>
        <v/>
      </c>
      <c r="AX319" s="35">
        <f>IF(R319="","",IF(ISNUMBER(R319),R319,IFERROR(DATEVALUE(SUBSTITUTE(SUBSTITUTE(ASC(R319&amp;""),"-","/"),".","/")&amp;"/01"),"")))</f>
        <v/>
      </c>
      <c r="AY319" s="34">
        <f>IF(OR(AB319&lt;&gt;"OK",AW319=""),"",IF(AW319&gt;='01_設定'!$C$26,1,0))</f>
        <v/>
      </c>
      <c r="AZ319" s="34">
        <f>IF(AND(AB319="OK",AD319&lt;&gt;"除外"),COUNTIFS($AB$5:AB319,"OK",$AD$5:AD319,"&lt;&gt;除外"),"")</f>
        <v/>
      </c>
      <c r="BA319" s="34">
        <f>IF(OR(AZ319="",AI319=""),"",AI319+ROW()/1000000000)</f>
        <v/>
      </c>
      <c r="BB319" s="34">
        <f>IF(E319="","",IF(OR(TRIM(E319&amp;"")="-",TRIM(E319&amp;"")="－",TRIM(E319&amp;"")="ー"),"",TRIM(E319&amp;"")))</f>
        <v/>
      </c>
      <c r="BC319" s="34">
        <f>IF(AND(AB319="OK",BB319&lt;&gt;""),IF(COUNTIFS($BB$5:BB319,BB319,$AB$5:AB319,"OK")=1,1,""),"")</f>
        <v/>
      </c>
      <c r="BD319" s="34">
        <f>IF(BC319=1,COUNTIF($BC$5:BC319,1),"")</f>
        <v/>
      </c>
      <c r="BE319" s="34">
        <f>IF(BB319="","",IFERROR(INDEX('06_顧客別集計'!$G$5:$G$104,MATCH(BB319,'06_顧客別集計'!$C$5:$C$104,0)),BB319))</f>
        <v/>
      </c>
      <c r="BF319" s="34">
        <f>IF(AND(AZ319&lt;&gt;"",BE319&lt;&gt;""),IF(COUNTIFS($BE$5:BE319,BE319,$AZ$5:AZ319,"&gt;0")=1,1,""),"")</f>
        <v/>
      </c>
      <c r="BG319" s="34">
        <f>IF(BF319=1,COUNTIF($BF$5:BF319,1),"")</f>
        <v/>
      </c>
    </row>
    <row r="320">
      <c r="AB320">
        <f>IF(AND(A320="",G320=""),"",IF(ISNUMBER(SEARCH("##END",AM320)),"（終わりの印）",IF(ISNUMBER(SEARCH("##続き",AM320)),"（続きありの印）",IF(AM320="調査ID","（見出し行）",IF(AND(AM320&lt;&gt;"R1",AM320&lt;&gt;"R2"),"×表以外の行（集計されない）",IF(COUNTIF($AN$5:AN320,AN320)&gt;1,"△重複（集計されない）",IF(G320="","△タスク名なし",IF(ISNA(MATCH(AQ320,'M1_類型マスタ'!$A$5:$A$19,0)),"△類型が不正",IF(OR(AP320="",N(AP320)&lt;1,N(AP320)&gt;6),"△業務区分が不正",IF(OR(AS320="",AT320=""),"△回数・分が読めない",IF(SUMPRODUCT(--ISNUMBER(--T320:Z320))&lt;7,"△採点が足りない",IF(SUMPRODUCT((--T320:Z320&gt;2)+(--T320:Z320&lt;0))&gt;0,"△採点が範囲外","OK"))))))))))))</f>
        <v/>
      </c>
      <c r="AC320">
        <f>IF(AB320&lt;&gt;"OK","",TRIM(IF(AND(AU320&lt;&gt;"",N(AU320)&lt;=1),"根拠1件 ","")&amp;IF(AV320&lt;&gt;"","同名あり ","")&amp;IF(AND(NOT(ISNUMBER(N320)),N320&lt;&gt;""),"回数を換算 ","")&amp;IF(J320="","詳細なし ","")&amp;IF(AND(N(AP320)=1,BB320=""),"顧客名なし ","")))</f>
        <v/>
      </c>
      <c r="AD320" s="31" t="n"/>
      <c r="AE320" s="32" t="n"/>
      <c r="AF320" s="32" t="n"/>
      <c r="AG320" s="31" t="n"/>
      <c r="AH320">
        <f>IF(AB320&lt;&gt;"OK","",IF(AG320&lt;&gt;"",AG320,AJ320))</f>
        <v/>
      </c>
      <c r="AI320" s="33">
        <f>IF(AB320&lt;&gt;"OK","",IFERROR(IF(AE320&lt;&gt;"",AE320,AS320)*IF(AF320&lt;&gt;"",AF320,AT320)/60,""))</f>
        <v/>
      </c>
      <c r="AJ320">
        <f>IF(AB320&lt;&gt;"OK","",IF(OR(VALUE(T320)=2,VALUE(U320)=2,VALUE(V320)=2),"社内残置",IF(AND(VALUE(T320)=0,VALUE(W320)=0,VALUE(Y320)=0),"自動化候補",IF(AND(VALUE(U320)=0,VALUE(W320)&lt;=1,VALUE(X320)&lt;=1,VALUE(Y320)&lt;=1,VALUE(Z320)&lt;=1),"オフショア候補",IF(AND(VALUE(Y320)&lt;=1,VALUE(Z320)&lt;=1),"ニアショア候補","社内で手順化→再評価")))))</f>
        <v/>
      </c>
      <c r="AK320">
        <f>IF(AB320&lt;&gt;"OK","",14-SUMPRODUCT(--T320:Z320))</f>
        <v/>
      </c>
      <c r="AL320" s="33">
        <f>IF(AB320&lt;&gt;"OK","",AS320*AT320/60)</f>
        <v/>
      </c>
      <c r="AM320" s="34">
        <f>IF(A320="","",UPPER(TRIM(ASC(A320&amp;""))))</f>
        <v/>
      </c>
      <c r="AN320" s="34">
        <f>IF(AM320="","",AM320&amp;"-"&amp;B320)</f>
        <v/>
      </c>
      <c r="AO320" s="34">
        <f>IF(C320="","",IFERROR(VALUE(ASC(SUBSTITUTE(C320&amp;"","観点",""))),""))</f>
        <v/>
      </c>
      <c r="AP320" s="34">
        <f>IF(D320="","",IFERROR(VALUE(LEFT(TRIM(ASC(D320&amp;"")),1)),IFERROR(MATCH(TRIM(D320&amp;""),'M2_区分マスタ'!$I$5:$I$10,0),"")))</f>
        <v/>
      </c>
      <c r="AQ320" s="34">
        <f>IF(H320="","",UPPER(LEFT(TRIM(ASC(H320&amp;"")),3)))</f>
        <v/>
      </c>
      <c r="AR320" s="34">
        <f>IF(N320="","",IFERROR(VALUE(SUBSTITUTE(SUBSTITUTE(SUBSTITUTE(SUBSTITUTE(SUBSTITUTE(SUBSTITUTE(SUBSTITUTE(SUBSTITUTE(SUBSTITUTE(SUBSTITUTE(SUBSTITUTE(SUBSTITUTE(ASC(N320&amp;""),"約",""),"程度",""),"ほど",""),"回",""),"毎",""),"週",""),"月",""),"年",""),"日",""),"に",""),"/","")," ","")),""))</f>
        <v/>
      </c>
      <c r="AS320" s="34">
        <f>IF(N320="","",IF(ISNUMBER(N320),N320,IFERROR(VALUE(ASC(N320&amp;"")),IF(AR320&lt;&gt;"",AR320*IF(ISNUMBER(SEARCH("週",N320)),4.3,IF(ISNUMBER(SEARCH("年",N320)),1/12,IF(ISNUMBER(SEARCH("日",N320)),20,1))),IF(ISNUMBER(SEARCH("日",N320)),20,IF(ISNUMBER(SEARCH("週",N320)),4.3,IF(ISNUMBER(SEARCH("月",N320)),1,"")))))))</f>
        <v/>
      </c>
      <c r="AT320" s="34">
        <f>IF(O320="","",IF(ISNUMBER(O320),O320,IFERROR(VALUE(ASC(O320&amp;"")),IF(ISNUMBER(SEARCH("時間",O320)),IFERROR(VALUE(SUBSTITUTE(SUBSTITUTE(SUBSTITUTE(SUBSTITUTE(SUBSTITUTE(ASC(O320&amp;""),"約",""),"程度",""),"ほど",""),"時間","")," ",""))*60,""),IFERROR(VALUE(SUBSTITUTE(SUBSTITUTE(SUBSTITUTE(SUBSTITUTE(SUBSTITUTE(ASC(O320&amp;""),"約",""),"程度",""),"ほど",""),"分","")," ","")),"")))))</f>
        <v/>
      </c>
      <c r="AU320" s="34">
        <f>IF(P320="","",IF(ISNUMBER(P320),P320,IFERROR(VALUE(SUBSTITUTE(SUBSTITUTE(SUBSTITUTE(ASC(P320&amp;""),"約",""),"件","")," ","")),"")))</f>
        <v/>
      </c>
      <c r="AV320" s="34">
        <f>IF(AB320&lt;&gt;"OK","",IF(COUNTIFS($G$5:$G$404,G320&amp;"",$F$5:$F$404,F320&amp;"",$BE$5:$BE$404,BE320&amp;"",$AB$5:$AB$404,"OK")&gt;1,"同名あり",""))</f>
        <v/>
      </c>
      <c r="AW320" s="35">
        <f>IF(Q320="","",IF(ISNUMBER(Q320),Q320,IFERROR(DATEVALUE(SUBSTITUTE(SUBSTITUTE(ASC(Q320&amp;""),"-","/"),".","/")&amp;"/01"),"")))</f>
        <v/>
      </c>
      <c r="AX320" s="35">
        <f>IF(R320="","",IF(ISNUMBER(R320),R320,IFERROR(DATEVALUE(SUBSTITUTE(SUBSTITUTE(ASC(R320&amp;""),"-","/"),".","/")&amp;"/01"),"")))</f>
        <v/>
      </c>
      <c r="AY320" s="34">
        <f>IF(OR(AB320&lt;&gt;"OK",AW320=""),"",IF(AW320&gt;='01_設定'!$C$26,1,0))</f>
        <v/>
      </c>
      <c r="AZ320" s="34">
        <f>IF(AND(AB320="OK",AD320&lt;&gt;"除外"),COUNTIFS($AB$5:AB320,"OK",$AD$5:AD320,"&lt;&gt;除外"),"")</f>
        <v/>
      </c>
      <c r="BA320" s="34">
        <f>IF(OR(AZ320="",AI320=""),"",AI320+ROW()/1000000000)</f>
        <v/>
      </c>
      <c r="BB320" s="34">
        <f>IF(E320="","",IF(OR(TRIM(E320&amp;"")="-",TRIM(E320&amp;"")="－",TRIM(E320&amp;"")="ー"),"",TRIM(E320&amp;"")))</f>
        <v/>
      </c>
      <c r="BC320" s="34">
        <f>IF(AND(AB320="OK",BB320&lt;&gt;""),IF(COUNTIFS($BB$5:BB320,BB320,$AB$5:AB320,"OK")=1,1,""),"")</f>
        <v/>
      </c>
      <c r="BD320" s="34">
        <f>IF(BC320=1,COUNTIF($BC$5:BC320,1),"")</f>
        <v/>
      </c>
      <c r="BE320" s="34">
        <f>IF(BB320="","",IFERROR(INDEX('06_顧客別集計'!$G$5:$G$104,MATCH(BB320,'06_顧客別集計'!$C$5:$C$104,0)),BB320))</f>
        <v/>
      </c>
      <c r="BF320" s="34">
        <f>IF(AND(AZ320&lt;&gt;"",BE320&lt;&gt;""),IF(COUNTIFS($BE$5:BE320,BE320,$AZ$5:AZ320,"&gt;0")=1,1,""),"")</f>
        <v/>
      </c>
      <c r="BG320" s="34">
        <f>IF(BF320=1,COUNTIF($BF$5:BF320,1),"")</f>
        <v/>
      </c>
    </row>
    <row r="321">
      <c r="AB321">
        <f>IF(AND(A321="",G321=""),"",IF(ISNUMBER(SEARCH("##END",AM321)),"（終わりの印）",IF(ISNUMBER(SEARCH("##続き",AM321)),"（続きありの印）",IF(AM321="調査ID","（見出し行）",IF(AND(AM321&lt;&gt;"R1",AM321&lt;&gt;"R2"),"×表以外の行（集計されない）",IF(COUNTIF($AN$5:AN321,AN321)&gt;1,"△重複（集計されない）",IF(G321="","△タスク名なし",IF(ISNA(MATCH(AQ321,'M1_類型マスタ'!$A$5:$A$19,0)),"△類型が不正",IF(OR(AP321="",N(AP321)&lt;1,N(AP321)&gt;6),"△業務区分が不正",IF(OR(AS321="",AT321=""),"△回数・分が読めない",IF(SUMPRODUCT(--ISNUMBER(--T321:Z321))&lt;7,"△採点が足りない",IF(SUMPRODUCT((--T321:Z321&gt;2)+(--T321:Z321&lt;0))&gt;0,"△採点が範囲外","OK"))))))))))))</f>
        <v/>
      </c>
      <c r="AC321">
        <f>IF(AB321&lt;&gt;"OK","",TRIM(IF(AND(AU321&lt;&gt;"",N(AU321)&lt;=1),"根拠1件 ","")&amp;IF(AV321&lt;&gt;"","同名あり ","")&amp;IF(AND(NOT(ISNUMBER(N321)),N321&lt;&gt;""),"回数を換算 ","")&amp;IF(J321="","詳細なし ","")&amp;IF(AND(N(AP321)=1,BB321=""),"顧客名なし ","")))</f>
        <v/>
      </c>
      <c r="AD321" s="31" t="n"/>
      <c r="AE321" s="32" t="n"/>
      <c r="AF321" s="32" t="n"/>
      <c r="AG321" s="31" t="n"/>
      <c r="AH321">
        <f>IF(AB321&lt;&gt;"OK","",IF(AG321&lt;&gt;"",AG321,AJ321))</f>
        <v/>
      </c>
      <c r="AI321" s="33">
        <f>IF(AB321&lt;&gt;"OK","",IFERROR(IF(AE321&lt;&gt;"",AE321,AS321)*IF(AF321&lt;&gt;"",AF321,AT321)/60,""))</f>
        <v/>
      </c>
      <c r="AJ321">
        <f>IF(AB321&lt;&gt;"OK","",IF(OR(VALUE(T321)=2,VALUE(U321)=2,VALUE(V321)=2),"社内残置",IF(AND(VALUE(T321)=0,VALUE(W321)=0,VALUE(Y321)=0),"自動化候補",IF(AND(VALUE(U321)=0,VALUE(W321)&lt;=1,VALUE(X321)&lt;=1,VALUE(Y321)&lt;=1,VALUE(Z321)&lt;=1),"オフショア候補",IF(AND(VALUE(Y321)&lt;=1,VALUE(Z321)&lt;=1),"ニアショア候補","社内で手順化→再評価")))))</f>
        <v/>
      </c>
      <c r="AK321">
        <f>IF(AB321&lt;&gt;"OK","",14-SUMPRODUCT(--T321:Z321))</f>
        <v/>
      </c>
      <c r="AL321" s="33">
        <f>IF(AB321&lt;&gt;"OK","",AS321*AT321/60)</f>
        <v/>
      </c>
      <c r="AM321" s="34">
        <f>IF(A321="","",UPPER(TRIM(ASC(A321&amp;""))))</f>
        <v/>
      </c>
      <c r="AN321" s="34">
        <f>IF(AM321="","",AM321&amp;"-"&amp;B321)</f>
        <v/>
      </c>
      <c r="AO321" s="34">
        <f>IF(C321="","",IFERROR(VALUE(ASC(SUBSTITUTE(C321&amp;"","観点",""))),""))</f>
        <v/>
      </c>
      <c r="AP321" s="34">
        <f>IF(D321="","",IFERROR(VALUE(LEFT(TRIM(ASC(D321&amp;"")),1)),IFERROR(MATCH(TRIM(D321&amp;""),'M2_区分マスタ'!$I$5:$I$10,0),"")))</f>
        <v/>
      </c>
      <c r="AQ321" s="34">
        <f>IF(H321="","",UPPER(LEFT(TRIM(ASC(H321&amp;"")),3)))</f>
        <v/>
      </c>
      <c r="AR321" s="34">
        <f>IF(N321="","",IFERROR(VALUE(SUBSTITUTE(SUBSTITUTE(SUBSTITUTE(SUBSTITUTE(SUBSTITUTE(SUBSTITUTE(SUBSTITUTE(SUBSTITUTE(SUBSTITUTE(SUBSTITUTE(SUBSTITUTE(SUBSTITUTE(ASC(N321&amp;""),"約",""),"程度",""),"ほど",""),"回",""),"毎",""),"週",""),"月",""),"年",""),"日",""),"に",""),"/","")," ","")),""))</f>
        <v/>
      </c>
      <c r="AS321" s="34">
        <f>IF(N321="","",IF(ISNUMBER(N321),N321,IFERROR(VALUE(ASC(N321&amp;"")),IF(AR321&lt;&gt;"",AR321*IF(ISNUMBER(SEARCH("週",N321)),4.3,IF(ISNUMBER(SEARCH("年",N321)),1/12,IF(ISNUMBER(SEARCH("日",N321)),20,1))),IF(ISNUMBER(SEARCH("日",N321)),20,IF(ISNUMBER(SEARCH("週",N321)),4.3,IF(ISNUMBER(SEARCH("月",N321)),1,"")))))))</f>
        <v/>
      </c>
      <c r="AT321" s="34">
        <f>IF(O321="","",IF(ISNUMBER(O321),O321,IFERROR(VALUE(ASC(O321&amp;"")),IF(ISNUMBER(SEARCH("時間",O321)),IFERROR(VALUE(SUBSTITUTE(SUBSTITUTE(SUBSTITUTE(SUBSTITUTE(SUBSTITUTE(ASC(O321&amp;""),"約",""),"程度",""),"ほど",""),"時間","")," ",""))*60,""),IFERROR(VALUE(SUBSTITUTE(SUBSTITUTE(SUBSTITUTE(SUBSTITUTE(SUBSTITUTE(ASC(O321&amp;""),"約",""),"程度",""),"ほど",""),"分","")," ","")),"")))))</f>
        <v/>
      </c>
      <c r="AU321" s="34">
        <f>IF(P321="","",IF(ISNUMBER(P321),P321,IFERROR(VALUE(SUBSTITUTE(SUBSTITUTE(SUBSTITUTE(ASC(P321&amp;""),"約",""),"件","")," ","")),"")))</f>
        <v/>
      </c>
      <c r="AV321" s="34">
        <f>IF(AB321&lt;&gt;"OK","",IF(COUNTIFS($G$5:$G$404,G321&amp;"",$F$5:$F$404,F321&amp;"",$BE$5:$BE$404,BE321&amp;"",$AB$5:$AB$404,"OK")&gt;1,"同名あり",""))</f>
        <v/>
      </c>
      <c r="AW321" s="35">
        <f>IF(Q321="","",IF(ISNUMBER(Q321),Q321,IFERROR(DATEVALUE(SUBSTITUTE(SUBSTITUTE(ASC(Q321&amp;""),"-","/"),".","/")&amp;"/01"),"")))</f>
        <v/>
      </c>
      <c r="AX321" s="35">
        <f>IF(R321="","",IF(ISNUMBER(R321),R321,IFERROR(DATEVALUE(SUBSTITUTE(SUBSTITUTE(ASC(R321&amp;""),"-","/"),".","/")&amp;"/01"),"")))</f>
        <v/>
      </c>
      <c r="AY321" s="34">
        <f>IF(OR(AB321&lt;&gt;"OK",AW321=""),"",IF(AW321&gt;='01_設定'!$C$26,1,0))</f>
        <v/>
      </c>
      <c r="AZ321" s="34">
        <f>IF(AND(AB321="OK",AD321&lt;&gt;"除外"),COUNTIFS($AB$5:AB321,"OK",$AD$5:AD321,"&lt;&gt;除外"),"")</f>
        <v/>
      </c>
      <c r="BA321" s="34">
        <f>IF(OR(AZ321="",AI321=""),"",AI321+ROW()/1000000000)</f>
        <v/>
      </c>
      <c r="BB321" s="34">
        <f>IF(E321="","",IF(OR(TRIM(E321&amp;"")="-",TRIM(E321&amp;"")="－",TRIM(E321&amp;"")="ー"),"",TRIM(E321&amp;"")))</f>
        <v/>
      </c>
      <c r="BC321" s="34">
        <f>IF(AND(AB321="OK",BB321&lt;&gt;""),IF(COUNTIFS($BB$5:BB321,BB321,$AB$5:AB321,"OK")=1,1,""),"")</f>
        <v/>
      </c>
      <c r="BD321" s="34">
        <f>IF(BC321=1,COUNTIF($BC$5:BC321,1),"")</f>
        <v/>
      </c>
      <c r="BE321" s="34">
        <f>IF(BB321="","",IFERROR(INDEX('06_顧客別集計'!$G$5:$G$104,MATCH(BB321,'06_顧客別集計'!$C$5:$C$104,0)),BB321))</f>
        <v/>
      </c>
      <c r="BF321" s="34">
        <f>IF(AND(AZ321&lt;&gt;"",BE321&lt;&gt;""),IF(COUNTIFS($BE$5:BE321,BE321,$AZ$5:AZ321,"&gt;0")=1,1,""),"")</f>
        <v/>
      </c>
      <c r="BG321" s="34">
        <f>IF(BF321=1,COUNTIF($BF$5:BF321,1),"")</f>
        <v/>
      </c>
    </row>
    <row r="322">
      <c r="AB322">
        <f>IF(AND(A322="",G322=""),"",IF(ISNUMBER(SEARCH("##END",AM322)),"（終わりの印）",IF(ISNUMBER(SEARCH("##続き",AM322)),"（続きありの印）",IF(AM322="調査ID","（見出し行）",IF(AND(AM322&lt;&gt;"R1",AM322&lt;&gt;"R2"),"×表以外の行（集計されない）",IF(COUNTIF($AN$5:AN322,AN322)&gt;1,"△重複（集計されない）",IF(G322="","△タスク名なし",IF(ISNA(MATCH(AQ322,'M1_類型マスタ'!$A$5:$A$19,0)),"△類型が不正",IF(OR(AP322="",N(AP322)&lt;1,N(AP322)&gt;6),"△業務区分が不正",IF(OR(AS322="",AT322=""),"△回数・分が読めない",IF(SUMPRODUCT(--ISNUMBER(--T322:Z322))&lt;7,"△採点が足りない",IF(SUMPRODUCT((--T322:Z322&gt;2)+(--T322:Z322&lt;0))&gt;0,"△採点が範囲外","OK"))))))))))))</f>
        <v/>
      </c>
      <c r="AC322">
        <f>IF(AB322&lt;&gt;"OK","",TRIM(IF(AND(AU322&lt;&gt;"",N(AU322)&lt;=1),"根拠1件 ","")&amp;IF(AV322&lt;&gt;"","同名あり ","")&amp;IF(AND(NOT(ISNUMBER(N322)),N322&lt;&gt;""),"回数を換算 ","")&amp;IF(J322="","詳細なし ","")&amp;IF(AND(N(AP322)=1,BB322=""),"顧客名なし ","")))</f>
        <v/>
      </c>
      <c r="AD322" s="31" t="n"/>
      <c r="AE322" s="32" t="n"/>
      <c r="AF322" s="32" t="n"/>
      <c r="AG322" s="31" t="n"/>
      <c r="AH322">
        <f>IF(AB322&lt;&gt;"OK","",IF(AG322&lt;&gt;"",AG322,AJ322))</f>
        <v/>
      </c>
      <c r="AI322" s="33">
        <f>IF(AB322&lt;&gt;"OK","",IFERROR(IF(AE322&lt;&gt;"",AE322,AS322)*IF(AF322&lt;&gt;"",AF322,AT322)/60,""))</f>
        <v/>
      </c>
      <c r="AJ322">
        <f>IF(AB322&lt;&gt;"OK","",IF(OR(VALUE(T322)=2,VALUE(U322)=2,VALUE(V322)=2),"社内残置",IF(AND(VALUE(T322)=0,VALUE(W322)=0,VALUE(Y322)=0),"自動化候補",IF(AND(VALUE(U322)=0,VALUE(W322)&lt;=1,VALUE(X322)&lt;=1,VALUE(Y322)&lt;=1,VALUE(Z322)&lt;=1),"オフショア候補",IF(AND(VALUE(Y322)&lt;=1,VALUE(Z322)&lt;=1),"ニアショア候補","社内で手順化→再評価")))))</f>
        <v/>
      </c>
      <c r="AK322">
        <f>IF(AB322&lt;&gt;"OK","",14-SUMPRODUCT(--T322:Z322))</f>
        <v/>
      </c>
      <c r="AL322" s="33">
        <f>IF(AB322&lt;&gt;"OK","",AS322*AT322/60)</f>
        <v/>
      </c>
      <c r="AM322" s="34">
        <f>IF(A322="","",UPPER(TRIM(ASC(A322&amp;""))))</f>
        <v/>
      </c>
      <c r="AN322" s="34">
        <f>IF(AM322="","",AM322&amp;"-"&amp;B322)</f>
        <v/>
      </c>
      <c r="AO322" s="34">
        <f>IF(C322="","",IFERROR(VALUE(ASC(SUBSTITUTE(C322&amp;"","観点",""))),""))</f>
        <v/>
      </c>
      <c r="AP322" s="34">
        <f>IF(D322="","",IFERROR(VALUE(LEFT(TRIM(ASC(D322&amp;"")),1)),IFERROR(MATCH(TRIM(D322&amp;""),'M2_区分マスタ'!$I$5:$I$10,0),"")))</f>
        <v/>
      </c>
      <c r="AQ322" s="34">
        <f>IF(H322="","",UPPER(LEFT(TRIM(ASC(H322&amp;"")),3)))</f>
        <v/>
      </c>
      <c r="AR322" s="34">
        <f>IF(N322="","",IFERROR(VALUE(SUBSTITUTE(SUBSTITUTE(SUBSTITUTE(SUBSTITUTE(SUBSTITUTE(SUBSTITUTE(SUBSTITUTE(SUBSTITUTE(SUBSTITUTE(SUBSTITUTE(SUBSTITUTE(SUBSTITUTE(ASC(N322&amp;""),"約",""),"程度",""),"ほど",""),"回",""),"毎",""),"週",""),"月",""),"年",""),"日",""),"に",""),"/","")," ","")),""))</f>
        <v/>
      </c>
      <c r="AS322" s="34">
        <f>IF(N322="","",IF(ISNUMBER(N322),N322,IFERROR(VALUE(ASC(N322&amp;"")),IF(AR322&lt;&gt;"",AR322*IF(ISNUMBER(SEARCH("週",N322)),4.3,IF(ISNUMBER(SEARCH("年",N322)),1/12,IF(ISNUMBER(SEARCH("日",N322)),20,1))),IF(ISNUMBER(SEARCH("日",N322)),20,IF(ISNUMBER(SEARCH("週",N322)),4.3,IF(ISNUMBER(SEARCH("月",N322)),1,"")))))))</f>
        <v/>
      </c>
      <c r="AT322" s="34">
        <f>IF(O322="","",IF(ISNUMBER(O322),O322,IFERROR(VALUE(ASC(O322&amp;"")),IF(ISNUMBER(SEARCH("時間",O322)),IFERROR(VALUE(SUBSTITUTE(SUBSTITUTE(SUBSTITUTE(SUBSTITUTE(SUBSTITUTE(ASC(O322&amp;""),"約",""),"程度",""),"ほど",""),"時間","")," ",""))*60,""),IFERROR(VALUE(SUBSTITUTE(SUBSTITUTE(SUBSTITUTE(SUBSTITUTE(SUBSTITUTE(ASC(O322&amp;""),"約",""),"程度",""),"ほど",""),"分","")," ","")),"")))))</f>
        <v/>
      </c>
      <c r="AU322" s="34">
        <f>IF(P322="","",IF(ISNUMBER(P322),P322,IFERROR(VALUE(SUBSTITUTE(SUBSTITUTE(SUBSTITUTE(ASC(P322&amp;""),"約",""),"件","")," ","")),"")))</f>
        <v/>
      </c>
      <c r="AV322" s="34">
        <f>IF(AB322&lt;&gt;"OK","",IF(COUNTIFS($G$5:$G$404,G322&amp;"",$F$5:$F$404,F322&amp;"",$BE$5:$BE$404,BE322&amp;"",$AB$5:$AB$404,"OK")&gt;1,"同名あり",""))</f>
        <v/>
      </c>
      <c r="AW322" s="35">
        <f>IF(Q322="","",IF(ISNUMBER(Q322),Q322,IFERROR(DATEVALUE(SUBSTITUTE(SUBSTITUTE(ASC(Q322&amp;""),"-","/"),".","/")&amp;"/01"),"")))</f>
        <v/>
      </c>
      <c r="AX322" s="35">
        <f>IF(R322="","",IF(ISNUMBER(R322),R322,IFERROR(DATEVALUE(SUBSTITUTE(SUBSTITUTE(ASC(R322&amp;""),"-","/"),".","/")&amp;"/01"),"")))</f>
        <v/>
      </c>
      <c r="AY322" s="34">
        <f>IF(OR(AB322&lt;&gt;"OK",AW322=""),"",IF(AW322&gt;='01_設定'!$C$26,1,0))</f>
        <v/>
      </c>
      <c r="AZ322" s="34">
        <f>IF(AND(AB322="OK",AD322&lt;&gt;"除外"),COUNTIFS($AB$5:AB322,"OK",$AD$5:AD322,"&lt;&gt;除外"),"")</f>
        <v/>
      </c>
      <c r="BA322" s="34">
        <f>IF(OR(AZ322="",AI322=""),"",AI322+ROW()/1000000000)</f>
        <v/>
      </c>
      <c r="BB322" s="34">
        <f>IF(E322="","",IF(OR(TRIM(E322&amp;"")="-",TRIM(E322&amp;"")="－",TRIM(E322&amp;"")="ー"),"",TRIM(E322&amp;"")))</f>
        <v/>
      </c>
      <c r="BC322" s="34">
        <f>IF(AND(AB322="OK",BB322&lt;&gt;""),IF(COUNTIFS($BB$5:BB322,BB322,$AB$5:AB322,"OK")=1,1,""),"")</f>
        <v/>
      </c>
      <c r="BD322" s="34">
        <f>IF(BC322=1,COUNTIF($BC$5:BC322,1),"")</f>
        <v/>
      </c>
      <c r="BE322" s="34">
        <f>IF(BB322="","",IFERROR(INDEX('06_顧客別集計'!$G$5:$G$104,MATCH(BB322,'06_顧客別集計'!$C$5:$C$104,0)),BB322))</f>
        <v/>
      </c>
      <c r="BF322" s="34">
        <f>IF(AND(AZ322&lt;&gt;"",BE322&lt;&gt;""),IF(COUNTIFS($BE$5:BE322,BE322,$AZ$5:AZ322,"&gt;0")=1,1,""),"")</f>
        <v/>
      </c>
      <c r="BG322" s="34">
        <f>IF(BF322=1,COUNTIF($BF$5:BF322,1),"")</f>
        <v/>
      </c>
    </row>
    <row r="323">
      <c r="AB323">
        <f>IF(AND(A323="",G323=""),"",IF(ISNUMBER(SEARCH("##END",AM323)),"（終わりの印）",IF(ISNUMBER(SEARCH("##続き",AM323)),"（続きありの印）",IF(AM323="調査ID","（見出し行）",IF(AND(AM323&lt;&gt;"R1",AM323&lt;&gt;"R2"),"×表以外の行（集計されない）",IF(COUNTIF($AN$5:AN323,AN323)&gt;1,"△重複（集計されない）",IF(G323="","△タスク名なし",IF(ISNA(MATCH(AQ323,'M1_類型マスタ'!$A$5:$A$19,0)),"△類型が不正",IF(OR(AP323="",N(AP323)&lt;1,N(AP323)&gt;6),"△業務区分が不正",IF(OR(AS323="",AT323=""),"△回数・分が読めない",IF(SUMPRODUCT(--ISNUMBER(--T323:Z323))&lt;7,"△採点が足りない",IF(SUMPRODUCT((--T323:Z323&gt;2)+(--T323:Z323&lt;0))&gt;0,"△採点が範囲外","OK"))))))))))))</f>
        <v/>
      </c>
      <c r="AC323">
        <f>IF(AB323&lt;&gt;"OK","",TRIM(IF(AND(AU323&lt;&gt;"",N(AU323)&lt;=1),"根拠1件 ","")&amp;IF(AV323&lt;&gt;"","同名あり ","")&amp;IF(AND(NOT(ISNUMBER(N323)),N323&lt;&gt;""),"回数を換算 ","")&amp;IF(J323="","詳細なし ","")&amp;IF(AND(N(AP323)=1,BB323=""),"顧客名なし ","")))</f>
        <v/>
      </c>
      <c r="AD323" s="31" t="n"/>
      <c r="AE323" s="32" t="n"/>
      <c r="AF323" s="32" t="n"/>
      <c r="AG323" s="31" t="n"/>
      <c r="AH323">
        <f>IF(AB323&lt;&gt;"OK","",IF(AG323&lt;&gt;"",AG323,AJ323))</f>
        <v/>
      </c>
      <c r="AI323" s="33">
        <f>IF(AB323&lt;&gt;"OK","",IFERROR(IF(AE323&lt;&gt;"",AE323,AS323)*IF(AF323&lt;&gt;"",AF323,AT323)/60,""))</f>
        <v/>
      </c>
      <c r="AJ323">
        <f>IF(AB323&lt;&gt;"OK","",IF(OR(VALUE(T323)=2,VALUE(U323)=2,VALUE(V323)=2),"社内残置",IF(AND(VALUE(T323)=0,VALUE(W323)=0,VALUE(Y323)=0),"自動化候補",IF(AND(VALUE(U323)=0,VALUE(W323)&lt;=1,VALUE(X323)&lt;=1,VALUE(Y323)&lt;=1,VALUE(Z323)&lt;=1),"オフショア候補",IF(AND(VALUE(Y323)&lt;=1,VALUE(Z323)&lt;=1),"ニアショア候補","社内で手順化→再評価")))))</f>
        <v/>
      </c>
      <c r="AK323">
        <f>IF(AB323&lt;&gt;"OK","",14-SUMPRODUCT(--T323:Z323))</f>
        <v/>
      </c>
      <c r="AL323" s="33">
        <f>IF(AB323&lt;&gt;"OK","",AS323*AT323/60)</f>
        <v/>
      </c>
      <c r="AM323" s="34">
        <f>IF(A323="","",UPPER(TRIM(ASC(A323&amp;""))))</f>
        <v/>
      </c>
      <c r="AN323" s="34">
        <f>IF(AM323="","",AM323&amp;"-"&amp;B323)</f>
        <v/>
      </c>
      <c r="AO323" s="34">
        <f>IF(C323="","",IFERROR(VALUE(ASC(SUBSTITUTE(C323&amp;"","観点",""))),""))</f>
        <v/>
      </c>
      <c r="AP323" s="34">
        <f>IF(D323="","",IFERROR(VALUE(LEFT(TRIM(ASC(D323&amp;"")),1)),IFERROR(MATCH(TRIM(D323&amp;""),'M2_区分マスタ'!$I$5:$I$10,0),"")))</f>
        <v/>
      </c>
      <c r="AQ323" s="34">
        <f>IF(H323="","",UPPER(LEFT(TRIM(ASC(H323&amp;"")),3)))</f>
        <v/>
      </c>
      <c r="AR323" s="34">
        <f>IF(N323="","",IFERROR(VALUE(SUBSTITUTE(SUBSTITUTE(SUBSTITUTE(SUBSTITUTE(SUBSTITUTE(SUBSTITUTE(SUBSTITUTE(SUBSTITUTE(SUBSTITUTE(SUBSTITUTE(SUBSTITUTE(SUBSTITUTE(ASC(N323&amp;""),"約",""),"程度",""),"ほど",""),"回",""),"毎",""),"週",""),"月",""),"年",""),"日",""),"に",""),"/","")," ","")),""))</f>
        <v/>
      </c>
      <c r="AS323" s="34">
        <f>IF(N323="","",IF(ISNUMBER(N323),N323,IFERROR(VALUE(ASC(N323&amp;"")),IF(AR323&lt;&gt;"",AR323*IF(ISNUMBER(SEARCH("週",N323)),4.3,IF(ISNUMBER(SEARCH("年",N323)),1/12,IF(ISNUMBER(SEARCH("日",N323)),20,1))),IF(ISNUMBER(SEARCH("日",N323)),20,IF(ISNUMBER(SEARCH("週",N323)),4.3,IF(ISNUMBER(SEARCH("月",N323)),1,"")))))))</f>
        <v/>
      </c>
      <c r="AT323" s="34">
        <f>IF(O323="","",IF(ISNUMBER(O323),O323,IFERROR(VALUE(ASC(O323&amp;"")),IF(ISNUMBER(SEARCH("時間",O323)),IFERROR(VALUE(SUBSTITUTE(SUBSTITUTE(SUBSTITUTE(SUBSTITUTE(SUBSTITUTE(ASC(O323&amp;""),"約",""),"程度",""),"ほど",""),"時間","")," ",""))*60,""),IFERROR(VALUE(SUBSTITUTE(SUBSTITUTE(SUBSTITUTE(SUBSTITUTE(SUBSTITUTE(ASC(O323&amp;""),"約",""),"程度",""),"ほど",""),"分","")," ","")),"")))))</f>
        <v/>
      </c>
      <c r="AU323" s="34">
        <f>IF(P323="","",IF(ISNUMBER(P323),P323,IFERROR(VALUE(SUBSTITUTE(SUBSTITUTE(SUBSTITUTE(ASC(P323&amp;""),"約",""),"件","")," ","")),"")))</f>
        <v/>
      </c>
      <c r="AV323" s="34">
        <f>IF(AB323&lt;&gt;"OK","",IF(COUNTIFS($G$5:$G$404,G323&amp;"",$F$5:$F$404,F323&amp;"",$BE$5:$BE$404,BE323&amp;"",$AB$5:$AB$404,"OK")&gt;1,"同名あり",""))</f>
        <v/>
      </c>
      <c r="AW323" s="35">
        <f>IF(Q323="","",IF(ISNUMBER(Q323),Q323,IFERROR(DATEVALUE(SUBSTITUTE(SUBSTITUTE(ASC(Q323&amp;""),"-","/"),".","/")&amp;"/01"),"")))</f>
        <v/>
      </c>
      <c r="AX323" s="35">
        <f>IF(R323="","",IF(ISNUMBER(R323),R323,IFERROR(DATEVALUE(SUBSTITUTE(SUBSTITUTE(ASC(R323&amp;""),"-","/"),".","/")&amp;"/01"),"")))</f>
        <v/>
      </c>
      <c r="AY323" s="34">
        <f>IF(OR(AB323&lt;&gt;"OK",AW323=""),"",IF(AW323&gt;='01_設定'!$C$26,1,0))</f>
        <v/>
      </c>
      <c r="AZ323" s="34">
        <f>IF(AND(AB323="OK",AD323&lt;&gt;"除外"),COUNTIFS($AB$5:AB323,"OK",$AD$5:AD323,"&lt;&gt;除外"),"")</f>
        <v/>
      </c>
      <c r="BA323" s="34">
        <f>IF(OR(AZ323="",AI323=""),"",AI323+ROW()/1000000000)</f>
        <v/>
      </c>
      <c r="BB323" s="34">
        <f>IF(E323="","",IF(OR(TRIM(E323&amp;"")="-",TRIM(E323&amp;"")="－",TRIM(E323&amp;"")="ー"),"",TRIM(E323&amp;"")))</f>
        <v/>
      </c>
      <c r="BC323" s="34">
        <f>IF(AND(AB323="OK",BB323&lt;&gt;""),IF(COUNTIFS($BB$5:BB323,BB323,$AB$5:AB323,"OK")=1,1,""),"")</f>
        <v/>
      </c>
      <c r="BD323" s="34">
        <f>IF(BC323=1,COUNTIF($BC$5:BC323,1),"")</f>
        <v/>
      </c>
      <c r="BE323" s="34">
        <f>IF(BB323="","",IFERROR(INDEX('06_顧客別集計'!$G$5:$G$104,MATCH(BB323,'06_顧客別集計'!$C$5:$C$104,0)),BB323))</f>
        <v/>
      </c>
      <c r="BF323" s="34">
        <f>IF(AND(AZ323&lt;&gt;"",BE323&lt;&gt;""),IF(COUNTIFS($BE$5:BE323,BE323,$AZ$5:AZ323,"&gt;0")=1,1,""),"")</f>
        <v/>
      </c>
      <c r="BG323" s="34">
        <f>IF(BF323=1,COUNTIF($BF$5:BF323,1),"")</f>
        <v/>
      </c>
    </row>
    <row r="324">
      <c r="AB324">
        <f>IF(AND(A324="",G324=""),"",IF(ISNUMBER(SEARCH("##END",AM324)),"（終わりの印）",IF(ISNUMBER(SEARCH("##続き",AM324)),"（続きありの印）",IF(AM324="調査ID","（見出し行）",IF(AND(AM324&lt;&gt;"R1",AM324&lt;&gt;"R2"),"×表以外の行（集計されない）",IF(COUNTIF($AN$5:AN324,AN324)&gt;1,"△重複（集計されない）",IF(G324="","△タスク名なし",IF(ISNA(MATCH(AQ324,'M1_類型マスタ'!$A$5:$A$19,0)),"△類型が不正",IF(OR(AP324="",N(AP324)&lt;1,N(AP324)&gt;6),"△業務区分が不正",IF(OR(AS324="",AT324=""),"△回数・分が読めない",IF(SUMPRODUCT(--ISNUMBER(--T324:Z324))&lt;7,"△採点が足りない",IF(SUMPRODUCT((--T324:Z324&gt;2)+(--T324:Z324&lt;0))&gt;0,"△採点が範囲外","OK"))))))))))))</f>
        <v/>
      </c>
      <c r="AC324">
        <f>IF(AB324&lt;&gt;"OK","",TRIM(IF(AND(AU324&lt;&gt;"",N(AU324)&lt;=1),"根拠1件 ","")&amp;IF(AV324&lt;&gt;"","同名あり ","")&amp;IF(AND(NOT(ISNUMBER(N324)),N324&lt;&gt;""),"回数を換算 ","")&amp;IF(J324="","詳細なし ","")&amp;IF(AND(N(AP324)=1,BB324=""),"顧客名なし ","")))</f>
        <v/>
      </c>
      <c r="AD324" s="31" t="n"/>
      <c r="AE324" s="32" t="n"/>
      <c r="AF324" s="32" t="n"/>
      <c r="AG324" s="31" t="n"/>
      <c r="AH324">
        <f>IF(AB324&lt;&gt;"OK","",IF(AG324&lt;&gt;"",AG324,AJ324))</f>
        <v/>
      </c>
      <c r="AI324" s="33">
        <f>IF(AB324&lt;&gt;"OK","",IFERROR(IF(AE324&lt;&gt;"",AE324,AS324)*IF(AF324&lt;&gt;"",AF324,AT324)/60,""))</f>
        <v/>
      </c>
      <c r="AJ324">
        <f>IF(AB324&lt;&gt;"OK","",IF(OR(VALUE(T324)=2,VALUE(U324)=2,VALUE(V324)=2),"社内残置",IF(AND(VALUE(T324)=0,VALUE(W324)=0,VALUE(Y324)=0),"自動化候補",IF(AND(VALUE(U324)=0,VALUE(W324)&lt;=1,VALUE(X324)&lt;=1,VALUE(Y324)&lt;=1,VALUE(Z324)&lt;=1),"オフショア候補",IF(AND(VALUE(Y324)&lt;=1,VALUE(Z324)&lt;=1),"ニアショア候補","社内で手順化→再評価")))))</f>
        <v/>
      </c>
      <c r="AK324">
        <f>IF(AB324&lt;&gt;"OK","",14-SUMPRODUCT(--T324:Z324))</f>
        <v/>
      </c>
      <c r="AL324" s="33">
        <f>IF(AB324&lt;&gt;"OK","",AS324*AT324/60)</f>
        <v/>
      </c>
      <c r="AM324" s="34">
        <f>IF(A324="","",UPPER(TRIM(ASC(A324&amp;""))))</f>
        <v/>
      </c>
      <c r="AN324" s="34">
        <f>IF(AM324="","",AM324&amp;"-"&amp;B324)</f>
        <v/>
      </c>
      <c r="AO324" s="34">
        <f>IF(C324="","",IFERROR(VALUE(ASC(SUBSTITUTE(C324&amp;"","観点",""))),""))</f>
        <v/>
      </c>
      <c r="AP324" s="34">
        <f>IF(D324="","",IFERROR(VALUE(LEFT(TRIM(ASC(D324&amp;"")),1)),IFERROR(MATCH(TRIM(D324&amp;""),'M2_区分マスタ'!$I$5:$I$10,0),"")))</f>
        <v/>
      </c>
      <c r="AQ324" s="34">
        <f>IF(H324="","",UPPER(LEFT(TRIM(ASC(H324&amp;"")),3)))</f>
        <v/>
      </c>
      <c r="AR324" s="34">
        <f>IF(N324="","",IFERROR(VALUE(SUBSTITUTE(SUBSTITUTE(SUBSTITUTE(SUBSTITUTE(SUBSTITUTE(SUBSTITUTE(SUBSTITUTE(SUBSTITUTE(SUBSTITUTE(SUBSTITUTE(SUBSTITUTE(SUBSTITUTE(ASC(N324&amp;""),"約",""),"程度",""),"ほど",""),"回",""),"毎",""),"週",""),"月",""),"年",""),"日",""),"に",""),"/","")," ","")),""))</f>
        <v/>
      </c>
      <c r="AS324" s="34">
        <f>IF(N324="","",IF(ISNUMBER(N324),N324,IFERROR(VALUE(ASC(N324&amp;"")),IF(AR324&lt;&gt;"",AR324*IF(ISNUMBER(SEARCH("週",N324)),4.3,IF(ISNUMBER(SEARCH("年",N324)),1/12,IF(ISNUMBER(SEARCH("日",N324)),20,1))),IF(ISNUMBER(SEARCH("日",N324)),20,IF(ISNUMBER(SEARCH("週",N324)),4.3,IF(ISNUMBER(SEARCH("月",N324)),1,"")))))))</f>
        <v/>
      </c>
      <c r="AT324" s="34">
        <f>IF(O324="","",IF(ISNUMBER(O324),O324,IFERROR(VALUE(ASC(O324&amp;"")),IF(ISNUMBER(SEARCH("時間",O324)),IFERROR(VALUE(SUBSTITUTE(SUBSTITUTE(SUBSTITUTE(SUBSTITUTE(SUBSTITUTE(ASC(O324&amp;""),"約",""),"程度",""),"ほど",""),"時間","")," ",""))*60,""),IFERROR(VALUE(SUBSTITUTE(SUBSTITUTE(SUBSTITUTE(SUBSTITUTE(SUBSTITUTE(ASC(O324&amp;""),"約",""),"程度",""),"ほど",""),"分","")," ","")),"")))))</f>
        <v/>
      </c>
      <c r="AU324" s="34">
        <f>IF(P324="","",IF(ISNUMBER(P324),P324,IFERROR(VALUE(SUBSTITUTE(SUBSTITUTE(SUBSTITUTE(ASC(P324&amp;""),"約",""),"件","")," ","")),"")))</f>
        <v/>
      </c>
      <c r="AV324" s="34">
        <f>IF(AB324&lt;&gt;"OK","",IF(COUNTIFS($G$5:$G$404,G324&amp;"",$F$5:$F$404,F324&amp;"",$BE$5:$BE$404,BE324&amp;"",$AB$5:$AB$404,"OK")&gt;1,"同名あり",""))</f>
        <v/>
      </c>
      <c r="AW324" s="35">
        <f>IF(Q324="","",IF(ISNUMBER(Q324),Q324,IFERROR(DATEVALUE(SUBSTITUTE(SUBSTITUTE(ASC(Q324&amp;""),"-","/"),".","/")&amp;"/01"),"")))</f>
        <v/>
      </c>
      <c r="AX324" s="35">
        <f>IF(R324="","",IF(ISNUMBER(R324),R324,IFERROR(DATEVALUE(SUBSTITUTE(SUBSTITUTE(ASC(R324&amp;""),"-","/"),".","/")&amp;"/01"),"")))</f>
        <v/>
      </c>
      <c r="AY324" s="34">
        <f>IF(OR(AB324&lt;&gt;"OK",AW324=""),"",IF(AW324&gt;='01_設定'!$C$26,1,0))</f>
        <v/>
      </c>
      <c r="AZ324" s="34">
        <f>IF(AND(AB324="OK",AD324&lt;&gt;"除外"),COUNTIFS($AB$5:AB324,"OK",$AD$5:AD324,"&lt;&gt;除外"),"")</f>
        <v/>
      </c>
      <c r="BA324" s="34">
        <f>IF(OR(AZ324="",AI324=""),"",AI324+ROW()/1000000000)</f>
        <v/>
      </c>
      <c r="BB324" s="34">
        <f>IF(E324="","",IF(OR(TRIM(E324&amp;"")="-",TRIM(E324&amp;"")="－",TRIM(E324&amp;"")="ー"),"",TRIM(E324&amp;"")))</f>
        <v/>
      </c>
      <c r="BC324" s="34">
        <f>IF(AND(AB324="OK",BB324&lt;&gt;""),IF(COUNTIFS($BB$5:BB324,BB324,$AB$5:AB324,"OK")=1,1,""),"")</f>
        <v/>
      </c>
      <c r="BD324" s="34">
        <f>IF(BC324=1,COUNTIF($BC$5:BC324,1),"")</f>
        <v/>
      </c>
      <c r="BE324" s="34">
        <f>IF(BB324="","",IFERROR(INDEX('06_顧客別集計'!$G$5:$G$104,MATCH(BB324,'06_顧客別集計'!$C$5:$C$104,0)),BB324))</f>
        <v/>
      </c>
      <c r="BF324" s="34">
        <f>IF(AND(AZ324&lt;&gt;"",BE324&lt;&gt;""),IF(COUNTIFS($BE$5:BE324,BE324,$AZ$5:AZ324,"&gt;0")=1,1,""),"")</f>
        <v/>
      </c>
      <c r="BG324" s="34">
        <f>IF(BF324=1,COUNTIF($BF$5:BF324,1),"")</f>
        <v/>
      </c>
    </row>
    <row r="325">
      <c r="AB325">
        <f>IF(AND(A325="",G325=""),"",IF(ISNUMBER(SEARCH("##END",AM325)),"（終わりの印）",IF(ISNUMBER(SEARCH("##続き",AM325)),"（続きありの印）",IF(AM325="調査ID","（見出し行）",IF(AND(AM325&lt;&gt;"R1",AM325&lt;&gt;"R2"),"×表以外の行（集計されない）",IF(COUNTIF($AN$5:AN325,AN325)&gt;1,"△重複（集計されない）",IF(G325="","△タスク名なし",IF(ISNA(MATCH(AQ325,'M1_類型マスタ'!$A$5:$A$19,0)),"△類型が不正",IF(OR(AP325="",N(AP325)&lt;1,N(AP325)&gt;6),"△業務区分が不正",IF(OR(AS325="",AT325=""),"△回数・分が読めない",IF(SUMPRODUCT(--ISNUMBER(--T325:Z325))&lt;7,"△採点が足りない",IF(SUMPRODUCT((--T325:Z325&gt;2)+(--T325:Z325&lt;0))&gt;0,"△採点が範囲外","OK"))))))))))))</f>
        <v/>
      </c>
      <c r="AC325">
        <f>IF(AB325&lt;&gt;"OK","",TRIM(IF(AND(AU325&lt;&gt;"",N(AU325)&lt;=1),"根拠1件 ","")&amp;IF(AV325&lt;&gt;"","同名あり ","")&amp;IF(AND(NOT(ISNUMBER(N325)),N325&lt;&gt;""),"回数を換算 ","")&amp;IF(J325="","詳細なし ","")&amp;IF(AND(N(AP325)=1,BB325=""),"顧客名なし ","")))</f>
        <v/>
      </c>
      <c r="AD325" s="31" t="n"/>
      <c r="AE325" s="32" t="n"/>
      <c r="AF325" s="32" t="n"/>
      <c r="AG325" s="31" t="n"/>
      <c r="AH325">
        <f>IF(AB325&lt;&gt;"OK","",IF(AG325&lt;&gt;"",AG325,AJ325))</f>
        <v/>
      </c>
      <c r="AI325" s="33">
        <f>IF(AB325&lt;&gt;"OK","",IFERROR(IF(AE325&lt;&gt;"",AE325,AS325)*IF(AF325&lt;&gt;"",AF325,AT325)/60,""))</f>
        <v/>
      </c>
      <c r="AJ325">
        <f>IF(AB325&lt;&gt;"OK","",IF(OR(VALUE(T325)=2,VALUE(U325)=2,VALUE(V325)=2),"社内残置",IF(AND(VALUE(T325)=0,VALUE(W325)=0,VALUE(Y325)=0),"自動化候補",IF(AND(VALUE(U325)=0,VALUE(W325)&lt;=1,VALUE(X325)&lt;=1,VALUE(Y325)&lt;=1,VALUE(Z325)&lt;=1),"オフショア候補",IF(AND(VALUE(Y325)&lt;=1,VALUE(Z325)&lt;=1),"ニアショア候補","社内で手順化→再評価")))))</f>
        <v/>
      </c>
      <c r="AK325">
        <f>IF(AB325&lt;&gt;"OK","",14-SUMPRODUCT(--T325:Z325))</f>
        <v/>
      </c>
      <c r="AL325" s="33">
        <f>IF(AB325&lt;&gt;"OK","",AS325*AT325/60)</f>
        <v/>
      </c>
      <c r="AM325" s="34">
        <f>IF(A325="","",UPPER(TRIM(ASC(A325&amp;""))))</f>
        <v/>
      </c>
      <c r="AN325" s="34">
        <f>IF(AM325="","",AM325&amp;"-"&amp;B325)</f>
        <v/>
      </c>
      <c r="AO325" s="34">
        <f>IF(C325="","",IFERROR(VALUE(ASC(SUBSTITUTE(C325&amp;"","観点",""))),""))</f>
        <v/>
      </c>
      <c r="AP325" s="34">
        <f>IF(D325="","",IFERROR(VALUE(LEFT(TRIM(ASC(D325&amp;"")),1)),IFERROR(MATCH(TRIM(D325&amp;""),'M2_区分マスタ'!$I$5:$I$10,0),"")))</f>
        <v/>
      </c>
      <c r="AQ325" s="34">
        <f>IF(H325="","",UPPER(LEFT(TRIM(ASC(H325&amp;"")),3)))</f>
        <v/>
      </c>
      <c r="AR325" s="34">
        <f>IF(N325="","",IFERROR(VALUE(SUBSTITUTE(SUBSTITUTE(SUBSTITUTE(SUBSTITUTE(SUBSTITUTE(SUBSTITUTE(SUBSTITUTE(SUBSTITUTE(SUBSTITUTE(SUBSTITUTE(SUBSTITUTE(SUBSTITUTE(ASC(N325&amp;""),"約",""),"程度",""),"ほど",""),"回",""),"毎",""),"週",""),"月",""),"年",""),"日",""),"に",""),"/","")," ","")),""))</f>
        <v/>
      </c>
      <c r="AS325" s="34">
        <f>IF(N325="","",IF(ISNUMBER(N325),N325,IFERROR(VALUE(ASC(N325&amp;"")),IF(AR325&lt;&gt;"",AR325*IF(ISNUMBER(SEARCH("週",N325)),4.3,IF(ISNUMBER(SEARCH("年",N325)),1/12,IF(ISNUMBER(SEARCH("日",N325)),20,1))),IF(ISNUMBER(SEARCH("日",N325)),20,IF(ISNUMBER(SEARCH("週",N325)),4.3,IF(ISNUMBER(SEARCH("月",N325)),1,"")))))))</f>
        <v/>
      </c>
      <c r="AT325" s="34">
        <f>IF(O325="","",IF(ISNUMBER(O325),O325,IFERROR(VALUE(ASC(O325&amp;"")),IF(ISNUMBER(SEARCH("時間",O325)),IFERROR(VALUE(SUBSTITUTE(SUBSTITUTE(SUBSTITUTE(SUBSTITUTE(SUBSTITUTE(ASC(O325&amp;""),"約",""),"程度",""),"ほど",""),"時間","")," ",""))*60,""),IFERROR(VALUE(SUBSTITUTE(SUBSTITUTE(SUBSTITUTE(SUBSTITUTE(SUBSTITUTE(ASC(O325&amp;""),"約",""),"程度",""),"ほど",""),"分","")," ","")),"")))))</f>
        <v/>
      </c>
      <c r="AU325" s="34">
        <f>IF(P325="","",IF(ISNUMBER(P325),P325,IFERROR(VALUE(SUBSTITUTE(SUBSTITUTE(SUBSTITUTE(ASC(P325&amp;""),"約",""),"件","")," ","")),"")))</f>
        <v/>
      </c>
      <c r="AV325" s="34">
        <f>IF(AB325&lt;&gt;"OK","",IF(COUNTIFS($G$5:$G$404,G325&amp;"",$F$5:$F$404,F325&amp;"",$BE$5:$BE$404,BE325&amp;"",$AB$5:$AB$404,"OK")&gt;1,"同名あり",""))</f>
        <v/>
      </c>
      <c r="AW325" s="35">
        <f>IF(Q325="","",IF(ISNUMBER(Q325),Q325,IFERROR(DATEVALUE(SUBSTITUTE(SUBSTITUTE(ASC(Q325&amp;""),"-","/"),".","/")&amp;"/01"),"")))</f>
        <v/>
      </c>
      <c r="AX325" s="35">
        <f>IF(R325="","",IF(ISNUMBER(R325),R325,IFERROR(DATEVALUE(SUBSTITUTE(SUBSTITUTE(ASC(R325&amp;""),"-","/"),".","/")&amp;"/01"),"")))</f>
        <v/>
      </c>
      <c r="AY325" s="34">
        <f>IF(OR(AB325&lt;&gt;"OK",AW325=""),"",IF(AW325&gt;='01_設定'!$C$26,1,0))</f>
        <v/>
      </c>
      <c r="AZ325" s="34">
        <f>IF(AND(AB325="OK",AD325&lt;&gt;"除外"),COUNTIFS($AB$5:AB325,"OK",$AD$5:AD325,"&lt;&gt;除外"),"")</f>
        <v/>
      </c>
      <c r="BA325" s="34">
        <f>IF(OR(AZ325="",AI325=""),"",AI325+ROW()/1000000000)</f>
        <v/>
      </c>
      <c r="BB325" s="34">
        <f>IF(E325="","",IF(OR(TRIM(E325&amp;"")="-",TRIM(E325&amp;"")="－",TRIM(E325&amp;"")="ー"),"",TRIM(E325&amp;"")))</f>
        <v/>
      </c>
      <c r="BC325" s="34">
        <f>IF(AND(AB325="OK",BB325&lt;&gt;""),IF(COUNTIFS($BB$5:BB325,BB325,$AB$5:AB325,"OK")=1,1,""),"")</f>
        <v/>
      </c>
      <c r="BD325" s="34">
        <f>IF(BC325=1,COUNTIF($BC$5:BC325,1),"")</f>
        <v/>
      </c>
      <c r="BE325" s="34">
        <f>IF(BB325="","",IFERROR(INDEX('06_顧客別集計'!$G$5:$G$104,MATCH(BB325,'06_顧客別集計'!$C$5:$C$104,0)),BB325))</f>
        <v/>
      </c>
      <c r="BF325" s="34">
        <f>IF(AND(AZ325&lt;&gt;"",BE325&lt;&gt;""),IF(COUNTIFS($BE$5:BE325,BE325,$AZ$5:AZ325,"&gt;0")=1,1,""),"")</f>
        <v/>
      </c>
      <c r="BG325" s="34">
        <f>IF(BF325=1,COUNTIF($BF$5:BF325,1),"")</f>
        <v/>
      </c>
    </row>
    <row r="326">
      <c r="AB326">
        <f>IF(AND(A326="",G326=""),"",IF(ISNUMBER(SEARCH("##END",AM326)),"（終わりの印）",IF(ISNUMBER(SEARCH("##続き",AM326)),"（続きありの印）",IF(AM326="調査ID","（見出し行）",IF(AND(AM326&lt;&gt;"R1",AM326&lt;&gt;"R2"),"×表以外の行（集計されない）",IF(COUNTIF($AN$5:AN326,AN326)&gt;1,"△重複（集計されない）",IF(G326="","△タスク名なし",IF(ISNA(MATCH(AQ326,'M1_類型マスタ'!$A$5:$A$19,0)),"△類型が不正",IF(OR(AP326="",N(AP326)&lt;1,N(AP326)&gt;6),"△業務区分が不正",IF(OR(AS326="",AT326=""),"△回数・分が読めない",IF(SUMPRODUCT(--ISNUMBER(--T326:Z326))&lt;7,"△採点が足りない",IF(SUMPRODUCT((--T326:Z326&gt;2)+(--T326:Z326&lt;0))&gt;0,"△採点が範囲外","OK"))))))))))))</f>
        <v/>
      </c>
      <c r="AC326">
        <f>IF(AB326&lt;&gt;"OK","",TRIM(IF(AND(AU326&lt;&gt;"",N(AU326)&lt;=1),"根拠1件 ","")&amp;IF(AV326&lt;&gt;"","同名あり ","")&amp;IF(AND(NOT(ISNUMBER(N326)),N326&lt;&gt;""),"回数を換算 ","")&amp;IF(J326="","詳細なし ","")&amp;IF(AND(N(AP326)=1,BB326=""),"顧客名なし ","")))</f>
        <v/>
      </c>
      <c r="AD326" s="31" t="n"/>
      <c r="AE326" s="32" t="n"/>
      <c r="AF326" s="32" t="n"/>
      <c r="AG326" s="31" t="n"/>
      <c r="AH326">
        <f>IF(AB326&lt;&gt;"OK","",IF(AG326&lt;&gt;"",AG326,AJ326))</f>
        <v/>
      </c>
      <c r="AI326" s="33">
        <f>IF(AB326&lt;&gt;"OK","",IFERROR(IF(AE326&lt;&gt;"",AE326,AS326)*IF(AF326&lt;&gt;"",AF326,AT326)/60,""))</f>
        <v/>
      </c>
      <c r="AJ326">
        <f>IF(AB326&lt;&gt;"OK","",IF(OR(VALUE(T326)=2,VALUE(U326)=2,VALUE(V326)=2),"社内残置",IF(AND(VALUE(T326)=0,VALUE(W326)=0,VALUE(Y326)=0),"自動化候補",IF(AND(VALUE(U326)=0,VALUE(W326)&lt;=1,VALUE(X326)&lt;=1,VALUE(Y326)&lt;=1,VALUE(Z326)&lt;=1),"オフショア候補",IF(AND(VALUE(Y326)&lt;=1,VALUE(Z326)&lt;=1),"ニアショア候補","社内で手順化→再評価")))))</f>
        <v/>
      </c>
      <c r="AK326">
        <f>IF(AB326&lt;&gt;"OK","",14-SUMPRODUCT(--T326:Z326))</f>
        <v/>
      </c>
      <c r="AL326" s="33">
        <f>IF(AB326&lt;&gt;"OK","",AS326*AT326/60)</f>
        <v/>
      </c>
      <c r="AM326" s="34">
        <f>IF(A326="","",UPPER(TRIM(ASC(A326&amp;""))))</f>
        <v/>
      </c>
      <c r="AN326" s="34">
        <f>IF(AM326="","",AM326&amp;"-"&amp;B326)</f>
        <v/>
      </c>
      <c r="AO326" s="34">
        <f>IF(C326="","",IFERROR(VALUE(ASC(SUBSTITUTE(C326&amp;"","観点",""))),""))</f>
        <v/>
      </c>
      <c r="AP326" s="34">
        <f>IF(D326="","",IFERROR(VALUE(LEFT(TRIM(ASC(D326&amp;"")),1)),IFERROR(MATCH(TRIM(D326&amp;""),'M2_区分マスタ'!$I$5:$I$10,0),"")))</f>
        <v/>
      </c>
      <c r="AQ326" s="34">
        <f>IF(H326="","",UPPER(LEFT(TRIM(ASC(H326&amp;"")),3)))</f>
        <v/>
      </c>
      <c r="AR326" s="34">
        <f>IF(N326="","",IFERROR(VALUE(SUBSTITUTE(SUBSTITUTE(SUBSTITUTE(SUBSTITUTE(SUBSTITUTE(SUBSTITUTE(SUBSTITUTE(SUBSTITUTE(SUBSTITUTE(SUBSTITUTE(SUBSTITUTE(SUBSTITUTE(ASC(N326&amp;""),"約",""),"程度",""),"ほど",""),"回",""),"毎",""),"週",""),"月",""),"年",""),"日",""),"に",""),"/","")," ","")),""))</f>
        <v/>
      </c>
      <c r="AS326" s="34">
        <f>IF(N326="","",IF(ISNUMBER(N326),N326,IFERROR(VALUE(ASC(N326&amp;"")),IF(AR326&lt;&gt;"",AR326*IF(ISNUMBER(SEARCH("週",N326)),4.3,IF(ISNUMBER(SEARCH("年",N326)),1/12,IF(ISNUMBER(SEARCH("日",N326)),20,1))),IF(ISNUMBER(SEARCH("日",N326)),20,IF(ISNUMBER(SEARCH("週",N326)),4.3,IF(ISNUMBER(SEARCH("月",N326)),1,"")))))))</f>
        <v/>
      </c>
      <c r="AT326" s="34">
        <f>IF(O326="","",IF(ISNUMBER(O326),O326,IFERROR(VALUE(ASC(O326&amp;"")),IF(ISNUMBER(SEARCH("時間",O326)),IFERROR(VALUE(SUBSTITUTE(SUBSTITUTE(SUBSTITUTE(SUBSTITUTE(SUBSTITUTE(ASC(O326&amp;""),"約",""),"程度",""),"ほど",""),"時間","")," ",""))*60,""),IFERROR(VALUE(SUBSTITUTE(SUBSTITUTE(SUBSTITUTE(SUBSTITUTE(SUBSTITUTE(ASC(O326&amp;""),"約",""),"程度",""),"ほど",""),"分","")," ","")),"")))))</f>
        <v/>
      </c>
      <c r="AU326" s="34">
        <f>IF(P326="","",IF(ISNUMBER(P326),P326,IFERROR(VALUE(SUBSTITUTE(SUBSTITUTE(SUBSTITUTE(ASC(P326&amp;""),"約",""),"件","")," ","")),"")))</f>
        <v/>
      </c>
      <c r="AV326" s="34">
        <f>IF(AB326&lt;&gt;"OK","",IF(COUNTIFS($G$5:$G$404,G326&amp;"",$F$5:$F$404,F326&amp;"",$BE$5:$BE$404,BE326&amp;"",$AB$5:$AB$404,"OK")&gt;1,"同名あり",""))</f>
        <v/>
      </c>
      <c r="AW326" s="35">
        <f>IF(Q326="","",IF(ISNUMBER(Q326),Q326,IFERROR(DATEVALUE(SUBSTITUTE(SUBSTITUTE(ASC(Q326&amp;""),"-","/"),".","/")&amp;"/01"),"")))</f>
        <v/>
      </c>
      <c r="AX326" s="35">
        <f>IF(R326="","",IF(ISNUMBER(R326),R326,IFERROR(DATEVALUE(SUBSTITUTE(SUBSTITUTE(ASC(R326&amp;""),"-","/"),".","/")&amp;"/01"),"")))</f>
        <v/>
      </c>
      <c r="AY326" s="34">
        <f>IF(OR(AB326&lt;&gt;"OK",AW326=""),"",IF(AW326&gt;='01_設定'!$C$26,1,0))</f>
        <v/>
      </c>
      <c r="AZ326" s="34">
        <f>IF(AND(AB326="OK",AD326&lt;&gt;"除外"),COUNTIFS($AB$5:AB326,"OK",$AD$5:AD326,"&lt;&gt;除外"),"")</f>
        <v/>
      </c>
      <c r="BA326" s="34">
        <f>IF(OR(AZ326="",AI326=""),"",AI326+ROW()/1000000000)</f>
        <v/>
      </c>
      <c r="BB326" s="34">
        <f>IF(E326="","",IF(OR(TRIM(E326&amp;"")="-",TRIM(E326&amp;"")="－",TRIM(E326&amp;"")="ー"),"",TRIM(E326&amp;"")))</f>
        <v/>
      </c>
      <c r="BC326" s="34">
        <f>IF(AND(AB326="OK",BB326&lt;&gt;""),IF(COUNTIFS($BB$5:BB326,BB326,$AB$5:AB326,"OK")=1,1,""),"")</f>
        <v/>
      </c>
      <c r="BD326" s="34">
        <f>IF(BC326=1,COUNTIF($BC$5:BC326,1),"")</f>
        <v/>
      </c>
      <c r="BE326" s="34">
        <f>IF(BB326="","",IFERROR(INDEX('06_顧客別集計'!$G$5:$G$104,MATCH(BB326,'06_顧客別集計'!$C$5:$C$104,0)),BB326))</f>
        <v/>
      </c>
      <c r="BF326" s="34">
        <f>IF(AND(AZ326&lt;&gt;"",BE326&lt;&gt;""),IF(COUNTIFS($BE$5:BE326,BE326,$AZ$5:AZ326,"&gt;0")=1,1,""),"")</f>
        <v/>
      </c>
      <c r="BG326" s="34">
        <f>IF(BF326=1,COUNTIF($BF$5:BF326,1),"")</f>
        <v/>
      </c>
    </row>
    <row r="327">
      <c r="AB327">
        <f>IF(AND(A327="",G327=""),"",IF(ISNUMBER(SEARCH("##END",AM327)),"（終わりの印）",IF(ISNUMBER(SEARCH("##続き",AM327)),"（続きありの印）",IF(AM327="調査ID","（見出し行）",IF(AND(AM327&lt;&gt;"R1",AM327&lt;&gt;"R2"),"×表以外の行（集計されない）",IF(COUNTIF($AN$5:AN327,AN327)&gt;1,"△重複（集計されない）",IF(G327="","△タスク名なし",IF(ISNA(MATCH(AQ327,'M1_類型マスタ'!$A$5:$A$19,0)),"△類型が不正",IF(OR(AP327="",N(AP327)&lt;1,N(AP327)&gt;6),"△業務区分が不正",IF(OR(AS327="",AT327=""),"△回数・分が読めない",IF(SUMPRODUCT(--ISNUMBER(--T327:Z327))&lt;7,"△採点が足りない",IF(SUMPRODUCT((--T327:Z327&gt;2)+(--T327:Z327&lt;0))&gt;0,"△採点が範囲外","OK"))))))))))))</f>
        <v/>
      </c>
      <c r="AC327">
        <f>IF(AB327&lt;&gt;"OK","",TRIM(IF(AND(AU327&lt;&gt;"",N(AU327)&lt;=1),"根拠1件 ","")&amp;IF(AV327&lt;&gt;"","同名あり ","")&amp;IF(AND(NOT(ISNUMBER(N327)),N327&lt;&gt;""),"回数を換算 ","")&amp;IF(J327="","詳細なし ","")&amp;IF(AND(N(AP327)=1,BB327=""),"顧客名なし ","")))</f>
        <v/>
      </c>
      <c r="AD327" s="31" t="n"/>
      <c r="AE327" s="32" t="n"/>
      <c r="AF327" s="32" t="n"/>
      <c r="AG327" s="31" t="n"/>
      <c r="AH327">
        <f>IF(AB327&lt;&gt;"OK","",IF(AG327&lt;&gt;"",AG327,AJ327))</f>
        <v/>
      </c>
      <c r="AI327" s="33">
        <f>IF(AB327&lt;&gt;"OK","",IFERROR(IF(AE327&lt;&gt;"",AE327,AS327)*IF(AF327&lt;&gt;"",AF327,AT327)/60,""))</f>
        <v/>
      </c>
      <c r="AJ327">
        <f>IF(AB327&lt;&gt;"OK","",IF(OR(VALUE(T327)=2,VALUE(U327)=2,VALUE(V327)=2),"社内残置",IF(AND(VALUE(T327)=0,VALUE(W327)=0,VALUE(Y327)=0),"自動化候補",IF(AND(VALUE(U327)=0,VALUE(W327)&lt;=1,VALUE(X327)&lt;=1,VALUE(Y327)&lt;=1,VALUE(Z327)&lt;=1),"オフショア候補",IF(AND(VALUE(Y327)&lt;=1,VALUE(Z327)&lt;=1),"ニアショア候補","社内で手順化→再評価")))))</f>
        <v/>
      </c>
      <c r="AK327">
        <f>IF(AB327&lt;&gt;"OK","",14-SUMPRODUCT(--T327:Z327))</f>
        <v/>
      </c>
      <c r="AL327" s="33">
        <f>IF(AB327&lt;&gt;"OK","",AS327*AT327/60)</f>
        <v/>
      </c>
      <c r="AM327" s="34">
        <f>IF(A327="","",UPPER(TRIM(ASC(A327&amp;""))))</f>
        <v/>
      </c>
      <c r="AN327" s="34">
        <f>IF(AM327="","",AM327&amp;"-"&amp;B327)</f>
        <v/>
      </c>
      <c r="AO327" s="34">
        <f>IF(C327="","",IFERROR(VALUE(ASC(SUBSTITUTE(C327&amp;"","観点",""))),""))</f>
        <v/>
      </c>
      <c r="AP327" s="34">
        <f>IF(D327="","",IFERROR(VALUE(LEFT(TRIM(ASC(D327&amp;"")),1)),IFERROR(MATCH(TRIM(D327&amp;""),'M2_区分マスタ'!$I$5:$I$10,0),"")))</f>
        <v/>
      </c>
      <c r="AQ327" s="34">
        <f>IF(H327="","",UPPER(LEFT(TRIM(ASC(H327&amp;"")),3)))</f>
        <v/>
      </c>
      <c r="AR327" s="34">
        <f>IF(N327="","",IFERROR(VALUE(SUBSTITUTE(SUBSTITUTE(SUBSTITUTE(SUBSTITUTE(SUBSTITUTE(SUBSTITUTE(SUBSTITUTE(SUBSTITUTE(SUBSTITUTE(SUBSTITUTE(SUBSTITUTE(SUBSTITUTE(ASC(N327&amp;""),"約",""),"程度",""),"ほど",""),"回",""),"毎",""),"週",""),"月",""),"年",""),"日",""),"に",""),"/","")," ","")),""))</f>
        <v/>
      </c>
      <c r="AS327" s="34">
        <f>IF(N327="","",IF(ISNUMBER(N327),N327,IFERROR(VALUE(ASC(N327&amp;"")),IF(AR327&lt;&gt;"",AR327*IF(ISNUMBER(SEARCH("週",N327)),4.3,IF(ISNUMBER(SEARCH("年",N327)),1/12,IF(ISNUMBER(SEARCH("日",N327)),20,1))),IF(ISNUMBER(SEARCH("日",N327)),20,IF(ISNUMBER(SEARCH("週",N327)),4.3,IF(ISNUMBER(SEARCH("月",N327)),1,"")))))))</f>
        <v/>
      </c>
      <c r="AT327" s="34">
        <f>IF(O327="","",IF(ISNUMBER(O327),O327,IFERROR(VALUE(ASC(O327&amp;"")),IF(ISNUMBER(SEARCH("時間",O327)),IFERROR(VALUE(SUBSTITUTE(SUBSTITUTE(SUBSTITUTE(SUBSTITUTE(SUBSTITUTE(ASC(O327&amp;""),"約",""),"程度",""),"ほど",""),"時間","")," ",""))*60,""),IFERROR(VALUE(SUBSTITUTE(SUBSTITUTE(SUBSTITUTE(SUBSTITUTE(SUBSTITUTE(ASC(O327&amp;""),"約",""),"程度",""),"ほど",""),"分","")," ","")),"")))))</f>
        <v/>
      </c>
      <c r="AU327" s="34">
        <f>IF(P327="","",IF(ISNUMBER(P327),P327,IFERROR(VALUE(SUBSTITUTE(SUBSTITUTE(SUBSTITUTE(ASC(P327&amp;""),"約",""),"件","")," ","")),"")))</f>
        <v/>
      </c>
      <c r="AV327" s="34">
        <f>IF(AB327&lt;&gt;"OK","",IF(COUNTIFS($G$5:$G$404,G327&amp;"",$F$5:$F$404,F327&amp;"",$BE$5:$BE$404,BE327&amp;"",$AB$5:$AB$404,"OK")&gt;1,"同名あり",""))</f>
        <v/>
      </c>
      <c r="AW327" s="35">
        <f>IF(Q327="","",IF(ISNUMBER(Q327),Q327,IFERROR(DATEVALUE(SUBSTITUTE(SUBSTITUTE(ASC(Q327&amp;""),"-","/"),".","/")&amp;"/01"),"")))</f>
        <v/>
      </c>
      <c r="AX327" s="35">
        <f>IF(R327="","",IF(ISNUMBER(R327),R327,IFERROR(DATEVALUE(SUBSTITUTE(SUBSTITUTE(ASC(R327&amp;""),"-","/"),".","/")&amp;"/01"),"")))</f>
        <v/>
      </c>
      <c r="AY327" s="34">
        <f>IF(OR(AB327&lt;&gt;"OK",AW327=""),"",IF(AW327&gt;='01_設定'!$C$26,1,0))</f>
        <v/>
      </c>
      <c r="AZ327" s="34">
        <f>IF(AND(AB327="OK",AD327&lt;&gt;"除外"),COUNTIFS($AB$5:AB327,"OK",$AD$5:AD327,"&lt;&gt;除外"),"")</f>
        <v/>
      </c>
      <c r="BA327" s="34">
        <f>IF(OR(AZ327="",AI327=""),"",AI327+ROW()/1000000000)</f>
        <v/>
      </c>
      <c r="BB327" s="34">
        <f>IF(E327="","",IF(OR(TRIM(E327&amp;"")="-",TRIM(E327&amp;"")="－",TRIM(E327&amp;"")="ー"),"",TRIM(E327&amp;"")))</f>
        <v/>
      </c>
      <c r="BC327" s="34">
        <f>IF(AND(AB327="OK",BB327&lt;&gt;""),IF(COUNTIFS($BB$5:BB327,BB327,$AB$5:AB327,"OK")=1,1,""),"")</f>
        <v/>
      </c>
      <c r="BD327" s="34">
        <f>IF(BC327=1,COUNTIF($BC$5:BC327,1),"")</f>
        <v/>
      </c>
      <c r="BE327" s="34">
        <f>IF(BB327="","",IFERROR(INDEX('06_顧客別集計'!$G$5:$G$104,MATCH(BB327,'06_顧客別集計'!$C$5:$C$104,0)),BB327))</f>
        <v/>
      </c>
      <c r="BF327" s="34">
        <f>IF(AND(AZ327&lt;&gt;"",BE327&lt;&gt;""),IF(COUNTIFS($BE$5:BE327,BE327,$AZ$5:AZ327,"&gt;0")=1,1,""),"")</f>
        <v/>
      </c>
      <c r="BG327" s="34">
        <f>IF(BF327=1,COUNTIF($BF$5:BF327,1),"")</f>
        <v/>
      </c>
    </row>
    <row r="328">
      <c r="AB328">
        <f>IF(AND(A328="",G328=""),"",IF(ISNUMBER(SEARCH("##END",AM328)),"（終わりの印）",IF(ISNUMBER(SEARCH("##続き",AM328)),"（続きありの印）",IF(AM328="調査ID","（見出し行）",IF(AND(AM328&lt;&gt;"R1",AM328&lt;&gt;"R2"),"×表以外の行（集計されない）",IF(COUNTIF($AN$5:AN328,AN328)&gt;1,"△重複（集計されない）",IF(G328="","△タスク名なし",IF(ISNA(MATCH(AQ328,'M1_類型マスタ'!$A$5:$A$19,0)),"△類型が不正",IF(OR(AP328="",N(AP328)&lt;1,N(AP328)&gt;6),"△業務区分が不正",IF(OR(AS328="",AT328=""),"△回数・分が読めない",IF(SUMPRODUCT(--ISNUMBER(--T328:Z328))&lt;7,"△採点が足りない",IF(SUMPRODUCT((--T328:Z328&gt;2)+(--T328:Z328&lt;0))&gt;0,"△採点が範囲外","OK"))))))))))))</f>
        <v/>
      </c>
      <c r="AC328">
        <f>IF(AB328&lt;&gt;"OK","",TRIM(IF(AND(AU328&lt;&gt;"",N(AU328)&lt;=1),"根拠1件 ","")&amp;IF(AV328&lt;&gt;"","同名あり ","")&amp;IF(AND(NOT(ISNUMBER(N328)),N328&lt;&gt;""),"回数を換算 ","")&amp;IF(J328="","詳細なし ","")&amp;IF(AND(N(AP328)=1,BB328=""),"顧客名なし ","")))</f>
        <v/>
      </c>
      <c r="AD328" s="31" t="n"/>
      <c r="AE328" s="32" t="n"/>
      <c r="AF328" s="32" t="n"/>
      <c r="AG328" s="31" t="n"/>
      <c r="AH328">
        <f>IF(AB328&lt;&gt;"OK","",IF(AG328&lt;&gt;"",AG328,AJ328))</f>
        <v/>
      </c>
      <c r="AI328" s="33">
        <f>IF(AB328&lt;&gt;"OK","",IFERROR(IF(AE328&lt;&gt;"",AE328,AS328)*IF(AF328&lt;&gt;"",AF328,AT328)/60,""))</f>
        <v/>
      </c>
      <c r="AJ328">
        <f>IF(AB328&lt;&gt;"OK","",IF(OR(VALUE(T328)=2,VALUE(U328)=2,VALUE(V328)=2),"社内残置",IF(AND(VALUE(T328)=0,VALUE(W328)=0,VALUE(Y328)=0),"自動化候補",IF(AND(VALUE(U328)=0,VALUE(W328)&lt;=1,VALUE(X328)&lt;=1,VALUE(Y328)&lt;=1,VALUE(Z328)&lt;=1),"オフショア候補",IF(AND(VALUE(Y328)&lt;=1,VALUE(Z328)&lt;=1),"ニアショア候補","社内で手順化→再評価")))))</f>
        <v/>
      </c>
      <c r="AK328">
        <f>IF(AB328&lt;&gt;"OK","",14-SUMPRODUCT(--T328:Z328))</f>
        <v/>
      </c>
      <c r="AL328" s="33">
        <f>IF(AB328&lt;&gt;"OK","",AS328*AT328/60)</f>
        <v/>
      </c>
      <c r="AM328" s="34">
        <f>IF(A328="","",UPPER(TRIM(ASC(A328&amp;""))))</f>
        <v/>
      </c>
      <c r="AN328" s="34">
        <f>IF(AM328="","",AM328&amp;"-"&amp;B328)</f>
        <v/>
      </c>
      <c r="AO328" s="34">
        <f>IF(C328="","",IFERROR(VALUE(ASC(SUBSTITUTE(C328&amp;"","観点",""))),""))</f>
        <v/>
      </c>
      <c r="AP328" s="34">
        <f>IF(D328="","",IFERROR(VALUE(LEFT(TRIM(ASC(D328&amp;"")),1)),IFERROR(MATCH(TRIM(D328&amp;""),'M2_区分マスタ'!$I$5:$I$10,0),"")))</f>
        <v/>
      </c>
      <c r="AQ328" s="34">
        <f>IF(H328="","",UPPER(LEFT(TRIM(ASC(H328&amp;"")),3)))</f>
        <v/>
      </c>
      <c r="AR328" s="34">
        <f>IF(N328="","",IFERROR(VALUE(SUBSTITUTE(SUBSTITUTE(SUBSTITUTE(SUBSTITUTE(SUBSTITUTE(SUBSTITUTE(SUBSTITUTE(SUBSTITUTE(SUBSTITUTE(SUBSTITUTE(SUBSTITUTE(SUBSTITUTE(ASC(N328&amp;""),"約",""),"程度",""),"ほど",""),"回",""),"毎",""),"週",""),"月",""),"年",""),"日",""),"に",""),"/","")," ","")),""))</f>
        <v/>
      </c>
      <c r="AS328" s="34">
        <f>IF(N328="","",IF(ISNUMBER(N328),N328,IFERROR(VALUE(ASC(N328&amp;"")),IF(AR328&lt;&gt;"",AR328*IF(ISNUMBER(SEARCH("週",N328)),4.3,IF(ISNUMBER(SEARCH("年",N328)),1/12,IF(ISNUMBER(SEARCH("日",N328)),20,1))),IF(ISNUMBER(SEARCH("日",N328)),20,IF(ISNUMBER(SEARCH("週",N328)),4.3,IF(ISNUMBER(SEARCH("月",N328)),1,"")))))))</f>
        <v/>
      </c>
      <c r="AT328" s="34">
        <f>IF(O328="","",IF(ISNUMBER(O328),O328,IFERROR(VALUE(ASC(O328&amp;"")),IF(ISNUMBER(SEARCH("時間",O328)),IFERROR(VALUE(SUBSTITUTE(SUBSTITUTE(SUBSTITUTE(SUBSTITUTE(SUBSTITUTE(ASC(O328&amp;""),"約",""),"程度",""),"ほど",""),"時間","")," ",""))*60,""),IFERROR(VALUE(SUBSTITUTE(SUBSTITUTE(SUBSTITUTE(SUBSTITUTE(SUBSTITUTE(ASC(O328&amp;""),"約",""),"程度",""),"ほど",""),"分","")," ","")),"")))))</f>
        <v/>
      </c>
      <c r="AU328" s="34">
        <f>IF(P328="","",IF(ISNUMBER(P328),P328,IFERROR(VALUE(SUBSTITUTE(SUBSTITUTE(SUBSTITUTE(ASC(P328&amp;""),"約",""),"件","")," ","")),"")))</f>
        <v/>
      </c>
      <c r="AV328" s="34">
        <f>IF(AB328&lt;&gt;"OK","",IF(COUNTIFS($G$5:$G$404,G328&amp;"",$F$5:$F$404,F328&amp;"",$BE$5:$BE$404,BE328&amp;"",$AB$5:$AB$404,"OK")&gt;1,"同名あり",""))</f>
        <v/>
      </c>
      <c r="AW328" s="35">
        <f>IF(Q328="","",IF(ISNUMBER(Q328),Q328,IFERROR(DATEVALUE(SUBSTITUTE(SUBSTITUTE(ASC(Q328&amp;""),"-","/"),".","/")&amp;"/01"),"")))</f>
        <v/>
      </c>
      <c r="AX328" s="35">
        <f>IF(R328="","",IF(ISNUMBER(R328),R328,IFERROR(DATEVALUE(SUBSTITUTE(SUBSTITUTE(ASC(R328&amp;""),"-","/"),".","/")&amp;"/01"),"")))</f>
        <v/>
      </c>
      <c r="AY328" s="34">
        <f>IF(OR(AB328&lt;&gt;"OK",AW328=""),"",IF(AW328&gt;='01_設定'!$C$26,1,0))</f>
        <v/>
      </c>
      <c r="AZ328" s="34">
        <f>IF(AND(AB328="OK",AD328&lt;&gt;"除外"),COUNTIFS($AB$5:AB328,"OK",$AD$5:AD328,"&lt;&gt;除外"),"")</f>
        <v/>
      </c>
      <c r="BA328" s="34">
        <f>IF(OR(AZ328="",AI328=""),"",AI328+ROW()/1000000000)</f>
        <v/>
      </c>
      <c r="BB328" s="34">
        <f>IF(E328="","",IF(OR(TRIM(E328&amp;"")="-",TRIM(E328&amp;"")="－",TRIM(E328&amp;"")="ー"),"",TRIM(E328&amp;"")))</f>
        <v/>
      </c>
      <c r="BC328" s="34">
        <f>IF(AND(AB328="OK",BB328&lt;&gt;""),IF(COUNTIFS($BB$5:BB328,BB328,$AB$5:AB328,"OK")=1,1,""),"")</f>
        <v/>
      </c>
      <c r="BD328" s="34">
        <f>IF(BC328=1,COUNTIF($BC$5:BC328,1),"")</f>
        <v/>
      </c>
      <c r="BE328" s="34">
        <f>IF(BB328="","",IFERROR(INDEX('06_顧客別集計'!$G$5:$G$104,MATCH(BB328,'06_顧客別集計'!$C$5:$C$104,0)),BB328))</f>
        <v/>
      </c>
      <c r="BF328" s="34">
        <f>IF(AND(AZ328&lt;&gt;"",BE328&lt;&gt;""),IF(COUNTIFS($BE$5:BE328,BE328,$AZ$5:AZ328,"&gt;0")=1,1,""),"")</f>
        <v/>
      </c>
      <c r="BG328" s="34">
        <f>IF(BF328=1,COUNTIF($BF$5:BF328,1),"")</f>
        <v/>
      </c>
    </row>
    <row r="329">
      <c r="AB329">
        <f>IF(AND(A329="",G329=""),"",IF(ISNUMBER(SEARCH("##END",AM329)),"（終わりの印）",IF(ISNUMBER(SEARCH("##続き",AM329)),"（続きありの印）",IF(AM329="調査ID","（見出し行）",IF(AND(AM329&lt;&gt;"R1",AM329&lt;&gt;"R2"),"×表以外の行（集計されない）",IF(COUNTIF($AN$5:AN329,AN329)&gt;1,"△重複（集計されない）",IF(G329="","△タスク名なし",IF(ISNA(MATCH(AQ329,'M1_類型マスタ'!$A$5:$A$19,0)),"△類型が不正",IF(OR(AP329="",N(AP329)&lt;1,N(AP329)&gt;6),"△業務区分が不正",IF(OR(AS329="",AT329=""),"△回数・分が読めない",IF(SUMPRODUCT(--ISNUMBER(--T329:Z329))&lt;7,"△採点が足りない",IF(SUMPRODUCT((--T329:Z329&gt;2)+(--T329:Z329&lt;0))&gt;0,"△採点が範囲外","OK"))))))))))))</f>
        <v/>
      </c>
      <c r="AC329">
        <f>IF(AB329&lt;&gt;"OK","",TRIM(IF(AND(AU329&lt;&gt;"",N(AU329)&lt;=1),"根拠1件 ","")&amp;IF(AV329&lt;&gt;"","同名あり ","")&amp;IF(AND(NOT(ISNUMBER(N329)),N329&lt;&gt;""),"回数を換算 ","")&amp;IF(J329="","詳細なし ","")&amp;IF(AND(N(AP329)=1,BB329=""),"顧客名なし ","")))</f>
        <v/>
      </c>
      <c r="AD329" s="31" t="n"/>
      <c r="AE329" s="32" t="n"/>
      <c r="AF329" s="32" t="n"/>
      <c r="AG329" s="31" t="n"/>
      <c r="AH329">
        <f>IF(AB329&lt;&gt;"OK","",IF(AG329&lt;&gt;"",AG329,AJ329))</f>
        <v/>
      </c>
      <c r="AI329" s="33">
        <f>IF(AB329&lt;&gt;"OK","",IFERROR(IF(AE329&lt;&gt;"",AE329,AS329)*IF(AF329&lt;&gt;"",AF329,AT329)/60,""))</f>
        <v/>
      </c>
      <c r="AJ329">
        <f>IF(AB329&lt;&gt;"OK","",IF(OR(VALUE(T329)=2,VALUE(U329)=2,VALUE(V329)=2),"社内残置",IF(AND(VALUE(T329)=0,VALUE(W329)=0,VALUE(Y329)=0),"自動化候補",IF(AND(VALUE(U329)=0,VALUE(W329)&lt;=1,VALUE(X329)&lt;=1,VALUE(Y329)&lt;=1,VALUE(Z329)&lt;=1),"オフショア候補",IF(AND(VALUE(Y329)&lt;=1,VALUE(Z329)&lt;=1),"ニアショア候補","社内で手順化→再評価")))))</f>
        <v/>
      </c>
      <c r="AK329">
        <f>IF(AB329&lt;&gt;"OK","",14-SUMPRODUCT(--T329:Z329))</f>
        <v/>
      </c>
      <c r="AL329" s="33">
        <f>IF(AB329&lt;&gt;"OK","",AS329*AT329/60)</f>
        <v/>
      </c>
      <c r="AM329" s="34">
        <f>IF(A329="","",UPPER(TRIM(ASC(A329&amp;""))))</f>
        <v/>
      </c>
      <c r="AN329" s="34">
        <f>IF(AM329="","",AM329&amp;"-"&amp;B329)</f>
        <v/>
      </c>
      <c r="AO329" s="34">
        <f>IF(C329="","",IFERROR(VALUE(ASC(SUBSTITUTE(C329&amp;"","観点",""))),""))</f>
        <v/>
      </c>
      <c r="AP329" s="34">
        <f>IF(D329="","",IFERROR(VALUE(LEFT(TRIM(ASC(D329&amp;"")),1)),IFERROR(MATCH(TRIM(D329&amp;""),'M2_区分マスタ'!$I$5:$I$10,0),"")))</f>
        <v/>
      </c>
      <c r="AQ329" s="34">
        <f>IF(H329="","",UPPER(LEFT(TRIM(ASC(H329&amp;"")),3)))</f>
        <v/>
      </c>
      <c r="AR329" s="34">
        <f>IF(N329="","",IFERROR(VALUE(SUBSTITUTE(SUBSTITUTE(SUBSTITUTE(SUBSTITUTE(SUBSTITUTE(SUBSTITUTE(SUBSTITUTE(SUBSTITUTE(SUBSTITUTE(SUBSTITUTE(SUBSTITUTE(SUBSTITUTE(ASC(N329&amp;""),"約",""),"程度",""),"ほど",""),"回",""),"毎",""),"週",""),"月",""),"年",""),"日",""),"に",""),"/","")," ","")),""))</f>
        <v/>
      </c>
      <c r="AS329" s="34">
        <f>IF(N329="","",IF(ISNUMBER(N329),N329,IFERROR(VALUE(ASC(N329&amp;"")),IF(AR329&lt;&gt;"",AR329*IF(ISNUMBER(SEARCH("週",N329)),4.3,IF(ISNUMBER(SEARCH("年",N329)),1/12,IF(ISNUMBER(SEARCH("日",N329)),20,1))),IF(ISNUMBER(SEARCH("日",N329)),20,IF(ISNUMBER(SEARCH("週",N329)),4.3,IF(ISNUMBER(SEARCH("月",N329)),1,"")))))))</f>
        <v/>
      </c>
      <c r="AT329" s="34">
        <f>IF(O329="","",IF(ISNUMBER(O329),O329,IFERROR(VALUE(ASC(O329&amp;"")),IF(ISNUMBER(SEARCH("時間",O329)),IFERROR(VALUE(SUBSTITUTE(SUBSTITUTE(SUBSTITUTE(SUBSTITUTE(SUBSTITUTE(ASC(O329&amp;""),"約",""),"程度",""),"ほど",""),"時間","")," ",""))*60,""),IFERROR(VALUE(SUBSTITUTE(SUBSTITUTE(SUBSTITUTE(SUBSTITUTE(SUBSTITUTE(ASC(O329&amp;""),"約",""),"程度",""),"ほど",""),"分","")," ","")),"")))))</f>
        <v/>
      </c>
      <c r="AU329" s="34">
        <f>IF(P329="","",IF(ISNUMBER(P329),P329,IFERROR(VALUE(SUBSTITUTE(SUBSTITUTE(SUBSTITUTE(ASC(P329&amp;""),"約",""),"件","")," ","")),"")))</f>
        <v/>
      </c>
      <c r="AV329" s="34">
        <f>IF(AB329&lt;&gt;"OK","",IF(COUNTIFS($G$5:$G$404,G329&amp;"",$F$5:$F$404,F329&amp;"",$BE$5:$BE$404,BE329&amp;"",$AB$5:$AB$404,"OK")&gt;1,"同名あり",""))</f>
        <v/>
      </c>
      <c r="AW329" s="35">
        <f>IF(Q329="","",IF(ISNUMBER(Q329),Q329,IFERROR(DATEVALUE(SUBSTITUTE(SUBSTITUTE(ASC(Q329&amp;""),"-","/"),".","/")&amp;"/01"),"")))</f>
        <v/>
      </c>
      <c r="AX329" s="35">
        <f>IF(R329="","",IF(ISNUMBER(R329),R329,IFERROR(DATEVALUE(SUBSTITUTE(SUBSTITUTE(ASC(R329&amp;""),"-","/"),".","/")&amp;"/01"),"")))</f>
        <v/>
      </c>
      <c r="AY329" s="34">
        <f>IF(OR(AB329&lt;&gt;"OK",AW329=""),"",IF(AW329&gt;='01_設定'!$C$26,1,0))</f>
        <v/>
      </c>
      <c r="AZ329" s="34">
        <f>IF(AND(AB329="OK",AD329&lt;&gt;"除外"),COUNTIFS($AB$5:AB329,"OK",$AD$5:AD329,"&lt;&gt;除外"),"")</f>
        <v/>
      </c>
      <c r="BA329" s="34">
        <f>IF(OR(AZ329="",AI329=""),"",AI329+ROW()/1000000000)</f>
        <v/>
      </c>
      <c r="BB329" s="34">
        <f>IF(E329="","",IF(OR(TRIM(E329&amp;"")="-",TRIM(E329&amp;"")="－",TRIM(E329&amp;"")="ー"),"",TRIM(E329&amp;"")))</f>
        <v/>
      </c>
      <c r="BC329" s="34">
        <f>IF(AND(AB329="OK",BB329&lt;&gt;""),IF(COUNTIFS($BB$5:BB329,BB329,$AB$5:AB329,"OK")=1,1,""),"")</f>
        <v/>
      </c>
      <c r="BD329" s="34">
        <f>IF(BC329=1,COUNTIF($BC$5:BC329,1),"")</f>
        <v/>
      </c>
      <c r="BE329" s="34">
        <f>IF(BB329="","",IFERROR(INDEX('06_顧客別集計'!$G$5:$G$104,MATCH(BB329,'06_顧客別集計'!$C$5:$C$104,0)),BB329))</f>
        <v/>
      </c>
      <c r="BF329" s="34">
        <f>IF(AND(AZ329&lt;&gt;"",BE329&lt;&gt;""),IF(COUNTIFS($BE$5:BE329,BE329,$AZ$5:AZ329,"&gt;0")=1,1,""),"")</f>
        <v/>
      </c>
      <c r="BG329" s="34">
        <f>IF(BF329=1,COUNTIF($BF$5:BF329,1),"")</f>
        <v/>
      </c>
    </row>
    <row r="330">
      <c r="AB330">
        <f>IF(AND(A330="",G330=""),"",IF(ISNUMBER(SEARCH("##END",AM330)),"（終わりの印）",IF(ISNUMBER(SEARCH("##続き",AM330)),"（続きありの印）",IF(AM330="調査ID","（見出し行）",IF(AND(AM330&lt;&gt;"R1",AM330&lt;&gt;"R2"),"×表以外の行（集計されない）",IF(COUNTIF($AN$5:AN330,AN330)&gt;1,"△重複（集計されない）",IF(G330="","△タスク名なし",IF(ISNA(MATCH(AQ330,'M1_類型マスタ'!$A$5:$A$19,0)),"△類型が不正",IF(OR(AP330="",N(AP330)&lt;1,N(AP330)&gt;6),"△業務区分が不正",IF(OR(AS330="",AT330=""),"△回数・分が読めない",IF(SUMPRODUCT(--ISNUMBER(--T330:Z330))&lt;7,"△採点が足りない",IF(SUMPRODUCT((--T330:Z330&gt;2)+(--T330:Z330&lt;0))&gt;0,"△採点が範囲外","OK"))))))))))))</f>
        <v/>
      </c>
      <c r="AC330">
        <f>IF(AB330&lt;&gt;"OK","",TRIM(IF(AND(AU330&lt;&gt;"",N(AU330)&lt;=1),"根拠1件 ","")&amp;IF(AV330&lt;&gt;"","同名あり ","")&amp;IF(AND(NOT(ISNUMBER(N330)),N330&lt;&gt;""),"回数を換算 ","")&amp;IF(J330="","詳細なし ","")&amp;IF(AND(N(AP330)=1,BB330=""),"顧客名なし ","")))</f>
        <v/>
      </c>
      <c r="AD330" s="31" t="n"/>
      <c r="AE330" s="32" t="n"/>
      <c r="AF330" s="32" t="n"/>
      <c r="AG330" s="31" t="n"/>
      <c r="AH330">
        <f>IF(AB330&lt;&gt;"OK","",IF(AG330&lt;&gt;"",AG330,AJ330))</f>
        <v/>
      </c>
      <c r="AI330" s="33">
        <f>IF(AB330&lt;&gt;"OK","",IFERROR(IF(AE330&lt;&gt;"",AE330,AS330)*IF(AF330&lt;&gt;"",AF330,AT330)/60,""))</f>
        <v/>
      </c>
      <c r="AJ330">
        <f>IF(AB330&lt;&gt;"OK","",IF(OR(VALUE(T330)=2,VALUE(U330)=2,VALUE(V330)=2),"社内残置",IF(AND(VALUE(T330)=0,VALUE(W330)=0,VALUE(Y330)=0),"自動化候補",IF(AND(VALUE(U330)=0,VALUE(W330)&lt;=1,VALUE(X330)&lt;=1,VALUE(Y330)&lt;=1,VALUE(Z330)&lt;=1),"オフショア候補",IF(AND(VALUE(Y330)&lt;=1,VALUE(Z330)&lt;=1),"ニアショア候補","社内で手順化→再評価")))))</f>
        <v/>
      </c>
      <c r="AK330">
        <f>IF(AB330&lt;&gt;"OK","",14-SUMPRODUCT(--T330:Z330))</f>
        <v/>
      </c>
      <c r="AL330" s="33">
        <f>IF(AB330&lt;&gt;"OK","",AS330*AT330/60)</f>
        <v/>
      </c>
      <c r="AM330" s="34">
        <f>IF(A330="","",UPPER(TRIM(ASC(A330&amp;""))))</f>
        <v/>
      </c>
      <c r="AN330" s="34">
        <f>IF(AM330="","",AM330&amp;"-"&amp;B330)</f>
        <v/>
      </c>
      <c r="AO330" s="34">
        <f>IF(C330="","",IFERROR(VALUE(ASC(SUBSTITUTE(C330&amp;"","観点",""))),""))</f>
        <v/>
      </c>
      <c r="AP330" s="34">
        <f>IF(D330="","",IFERROR(VALUE(LEFT(TRIM(ASC(D330&amp;"")),1)),IFERROR(MATCH(TRIM(D330&amp;""),'M2_区分マスタ'!$I$5:$I$10,0),"")))</f>
        <v/>
      </c>
      <c r="AQ330" s="34">
        <f>IF(H330="","",UPPER(LEFT(TRIM(ASC(H330&amp;"")),3)))</f>
        <v/>
      </c>
      <c r="AR330" s="34">
        <f>IF(N330="","",IFERROR(VALUE(SUBSTITUTE(SUBSTITUTE(SUBSTITUTE(SUBSTITUTE(SUBSTITUTE(SUBSTITUTE(SUBSTITUTE(SUBSTITUTE(SUBSTITUTE(SUBSTITUTE(SUBSTITUTE(SUBSTITUTE(ASC(N330&amp;""),"約",""),"程度",""),"ほど",""),"回",""),"毎",""),"週",""),"月",""),"年",""),"日",""),"に",""),"/","")," ","")),""))</f>
        <v/>
      </c>
      <c r="AS330" s="34">
        <f>IF(N330="","",IF(ISNUMBER(N330),N330,IFERROR(VALUE(ASC(N330&amp;"")),IF(AR330&lt;&gt;"",AR330*IF(ISNUMBER(SEARCH("週",N330)),4.3,IF(ISNUMBER(SEARCH("年",N330)),1/12,IF(ISNUMBER(SEARCH("日",N330)),20,1))),IF(ISNUMBER(SEARCH("日",N330)),20,IF(ISNUMBER(SEARCH("週",N330)),4.3,IF(ISNUMBER(SEARCH("月",N330)),1,"")))))))</f>
        <v/>
      </c>
      <c r="AT330" s="34">
        <f>IF(O330="","",IF(ISNUMBER(O330),O330,IFERROR(VALUE(ASC(O330&amp;"")),IF(ISNUMBER(SEARCH("時間",O330)),IFERROR(VALUE(SUBSTITUTE(SUBSTITUTE(SUBSTITUTE(SUBSTITUTE(SUBSTITUTE(ASC(O330&amp;""),"約",""),"程度",""),"ほど",""),"時間","")," ",""))*60,""),IFERROR(VALUE(SUBSTITUTE(SUBSTITUTE(SUBSTITUTE(SUBSTITUTE(SUBSTITUTE(ASC(O330&amp;""),"約",""),"程度",""),"ほど",""),"分","")," ","")),"")))))</f>
        <v/>
      </c>
      <c r="AU330" s="34">
        <f>IF(P330="","",IF(ISNUMBER(P330),P330,IFERROR(VALUE(SUBSTITUTE(SUBSTITUTE(SUBSTITUTE(ASC(P330&amp;""),"約",""),"件","")," ","")),"")))</f>
        <v/>
      </c>
      <c r="AV330" s="34">
        <f>IF(AB330&lt;&gt;"OK","",IF(COUNTIFS($G$5:$G$404,G330&amp;"",$F$5:$F$404,F330&amp;"",$BE$5:$BE$404,BE330&amp;"",$AB$5:$AB$404,"OK")&gt;1,"同名あり",""))</f>
        <v/>
      </c>
      <c r="AW330" s="35">
        <f>IF(Q330="","",IF(ISNUMBER(Q330),Q330,IFERROR(DATEVALUE(SUBSTITUTE(SUBSTITUTE(ASC(Q330&amp;""),"-","/"),".","/")&amp;"/01"),"")))</f>
        <v/>
      </c>
      <c r="AX330" s="35">
        <f>IF(R330="","",IF(ISNUMBER(R330),R330,IFERROR(DATEVALUE(SUBSTITUTE(SUBSTITUTE(ASC(R330&amp;""),"-","/"),".","/")&amp;"/01"),"")))</f>
        <v/>
      </c>
      <c r="AY330" s="34">
        <f>IF(OR(AB330&lt;&gt;"OK",AW330=""),"",IF(AW330&gt;='01_設定'!$C$26,1,0))</f>
        <v/>
      </c>
      <c r="AZ330" s="34">
        <f>IF(AND(AB330="OK",AD330&lt;&gt;"除外"),COUNTIFS($AB$5:AB330,"OK",$AD$5:AD330,"&lt;&gt;除外"),"")</f>
        <v/>
      </c>
      <c r="BA330" s="34">
        <f>IF(OR(AZ330="",AI330=""),"",AI330+ROW()/1000000000)</f>
        <v/>
      </c>
      <c r="BB330" s="34">
        <f>IF(E330="","",IF(OR(TRIM(E330&amp;"")="-",TRIM(E330&amp;"")="－",TRIM(E330&amp;"")="ー"),"",TRIM(E330&amp;"")))</f>
        <v/>
      </c>
      <c r="BC330" s="34">
        <f>IF(AND(AB330="OK",BB330&lt;&gt;""),IF(COUNTIFS($BB$5:BB330,BB330,$AB$5:AB330,"OK")=1,1,""),"")</f>
        <v/>
      </c>
      <c r="BD330" s="34">
        <f>IF(BC330=1,COUNTIF($BC$5:BC330,1),"")</f>
        <v/>
      </c>
      <c r="BE330" s="34">
        <f>IF(BB330="","",IFERROR(INDEX('06_顧客別集計'!$G$5:$G$104,MATCH(BB330,'06_顧客別集計'!$C$5:$C$104,0)),BB330))</f>
        <v/>
      </c>
      <c r="BF330" s="34">
        <f>IF(AND(AZ330&lt;&gt;"",BE330&lt;&gt;""),IF(COUNTIFS($BE$5:BE330,BE330,$AZ$5:AZ330,"&gt;0")=1,1,""),"")</f>
        <v/>
      </c>
      <c r="BG330" s="34">
        <f>IF(BF330=1,COUNTIF($BF$5:BF330,1),"")</f>
        <v/>
      </c>
    </row>
    <row r="331">
      <c r="AB331">
        <f>IF(AND(A331="",G331=""),"",IF(ISNUMBER(SEARCH("##END",AM331)),"（終わりの印）",IF(ISNUMBER(SEARCH("##続き",AM331)),"（続きありの印）",IF(AM331="調査ID","（見出し行）",IF(AND(AM331&lt;&gt;"R1",AM331&lt;&gt;"R2"),"×表以外の行（集計されない）",IF(COUNTIF($AN$5:AN331,AN331)&gt;1,"△重複（集計されない）",IF(G331="","△タスク名なし",IF(ISNA(MATCH(AQ331,'M1_類型マスタ'!$A$5:$A$19,0)),"△類型が不正",IF(OR(AP331="",N(AP331)&lt;1,N(AP331)&gt;6),"△業務区分が不正",IF(OR(AS331="",AT331=""),"△回数・分が読めない",IF(SUMPRODUCT(--ISNUMBER(--T331:Z331))&lt;7,"△採点が足りない",IF(SUMPRODUCT((--T331:Z331&gt;2)+(--T331:Z331&lt;0))&gt;0,"△採点が範囲外","OK"))))))))))))</f>
        <v/>
      </c>
      <c r="AC331">
        <f>IF(AB331&lt;&gt;"OK","",TRIM(IF(AND(AU331&lt;&gt;"",N(AU331)&lt;=1),"根拠1件 ","")&amp;IF(AV331&lt;&gt;"","同名あり ","")&amp;IF(AND(NOT(ISNUMBER(N331)),N331&lt;&gt;""),"回数を換算 ","")&amp;IF(J331="","詳細なし ","")&amp;IF(AND(N(AP331)=1,BB331=""),"顧客名なし ","")))</f>
        <v/>
      </c>
      <c r="AD331" s="31" t="n"/>
      <c r="AE331" s="32" t="n"/>
      <c r="AF331" s="32" t="n"/>
      <c r="AG331" s="31" t="n"/>
      <c r="AH331">
        <f>IF(AB331&lt;&gt;"OK","",IF(AG331&lt;&gt;"",AG331,AJ331))</f>
        <v/>
      </c>
      <c r="AI331" s="33">
        <f>IF(AB331&lt;&gt;"OK","",IFERROR(IF(AE331&lt;&gt;"",AE331,AS331)*IF(AF331&lt;&gt;"",AF331,AT331)/60,""))</f>
        <v/>
      </c>
      <c r="AJ331">
        <f>IF(AB331&lt;&gt;"OK","",IF(OR(VALUE(T331)=2,VALUE(U331)=2,VALUE(V331)=2),"社内残置",IF(AND(VALUE(T331)=0,VALUE(W331)=0,VALUE(Y331)=0),"自動化候補",IF(AND(VALUE(U331)=0,VALUE(W331)&lt;=1,VALUE(X331)&lt;=1,VALUE(Y331)&lt;=1,VALUE(Z331)&lt;=1),"オフショア候補",IF(AND(VALUE(Y331)&lt;=1,VALUE(Z331)&lt;=1),"ニアショア候補","社内で手順化→再評価")))))</f>
        <v/>
      </c>
      <c r="AK331">
        <f>IF(AB331&lt;&gt;"OK","",14-SUMPRODUCT(--T331:Z331))</f>
        <v/>
      </c>
      <c r="AL331" s="33">
        <f>IF(AB331&lt;&gt;"OK","",AS331*AT331/60)</f>
        <v/>
      </c>
      <c r="AM331" s="34">
        <f>IF(A331="","",UPPER(TRIM(ASC(A331&amp;""))))</f>
        <v/>
      </c>
      <c r="AN331" s="34">
        <f>IF(AM331="","",AM331&amp;"-"&amp;B331)</f>
        <v/>
      </c>
      <c r="AO331" s="34">
        <f>IF(C331="","",IFERROR(VALUE(ASC(SUBSTITUTE(C331&amp;"","観点",""))),""))</f>
        <v/>
      </c>
      <c r="AP331" s="34">
        <f>IF(D331="","",IFERROR(VALUE(LEFT(TRIM(ASC(D331&amp;"")),1)),IFERROR(MATCH(TRIM(D331&amp;""),'M2_区分マスタ'!$I$5:$I$10,0),"")))</f>
        <v/>
      </c>
      <c r="AQ331" s="34">
        <f>IF(H331="","",UPPER(LEFT(TRIM(ASC(H331&amp;"")),3)))</f>
        <v/>
      </c>
      <c r="AR331" s="34">
        <f>IF(N331="","",IFERROR(VALUE(SUBSTITUTE(SUBSTITUTE(SUBSTITUTE(SUBSTITUTE(SUBSTITUTE(SUBSTITUTE(SUBSTITUTE(SUBSTITUTE(SUBSTITUTE(SUBSTITUTE(SUBSTITUTE(SUBSTITUTE(ASC(N331&amp;""),"約",""),"程度",""),"ほど",""),"回",""),"毎",""),"週",""),"月",""),"年",""),"日",""),"に",""),"/","")," ","")),""))</f>
        <v/>
      </c>
      <c r="AS331" s="34">
        <f>IF(N331="","",IF(ISNUMBER(N331),N331,IFERROR(VALUE(ASC(N331&amp;"")),IF(AR331&lt;&gt;"",AR331*IF(ISNUMBER(SEARCH("週",N331)),4.3,IF(ISNUMBER(SEARCH("年",N331)),1/12,IF(ISNUMBER(SEARCH("日",N331)),20,1))),IF(ISNUMBER(SEARCH("日",N331)),20,IF(ISNUMBER(SEARCH("週",N331)),4.3,IF(ISNUMBER(SEARCH("月",N331)),1,"")))))))</f>
        <v/>
      </c>
      <c r="AT331" s="34">
        <f>IF(O331="","",IF(ISNUMBER(O331),O331,IFERROR(VALUE(ASC(O331&amp;"")),IF(ISNUMBER(SEARCH("時間",O331)),IFERROR(VALUE(SUBSTITUTE(SUBSTITUTE(SUBSTITUTE(SUBSTITUTE(SUBSTITUTE(ASC(O331&amp;""),"約",""),"程度",""),"ほど",""),"時間","")," ",""))*60,""),IFERROR(VALUE(SUBSTITUTE(SUBSTITUTE(SUBSTITUTE(SUBSTITUTE(SUBSTITUTE(ASC(O331&amp;""),"約",""),"程度",""),"ほど",""),"分","")," ","")),"")))))</f>
        <v/>
      </c>
      <c r="AU331" s="34">
        <f>IF(P331="","",IF(ISNUMBER(P331),P331,IFERROR(VALUE(SUBSTITUTE(SUBSTITUTE(SUBSTITUTE(ASC(P331&amp;""),"約",""),"件","")," ","")),"")))</f>
        <v/>
      </c>
      <c r="AV331" s="34">
        <f>IF(AB331&lt;&gt;"OK","",IF(COUNTIFS($G$5:$G$404,G331&amp;"",$F$5:$F$404,F331&amp;"",$BE$5:$BE$404,BE331&amp;"",$AB$5:$AB$404,"OK")&gt;1,"同名あり",""))</f>
        <v/>
      </c>
      <c r="AW331" s="35">
        <f>IF(Q331="","",IF(ISNUMBER(Q331),Q331,IFERROR(DATEVALUE(SUBSTITUTE(SUBSTITUTE(ASC(Q331&amp;""),"-","/"),".","/")&amp;"/01"),"")))</f>
        <v/>
      </c>
      <c r="AX331" s="35">
        <f>IF(R331="","",IF(ISNUMBER(R331),R331,IFERROR(DATEVALUE(SUBSTITUTE(SUBSTITUTE(ASC(R331&amp;""),"-","/"),".","/")&amp;"/01"),"")))</f>
        <v/>
      </c>
      <c r="AY331" s="34">
        <f>IF(OR(AB331&lt;&gt;"OK",AW331=""),"",IF(AW331&gt;='01_設定'!$C$26,1,0))</f>
        <v/>
      </c>
      <c r="AZ331" s="34">
        <f>IF(AND(AB331="OK",AD331&lt;&gt;"除外"),COUNTIFS($AB$5:AB331,"OK",$AD$5:AD331,"&lt;&gt;除外"),"")</f>
        <v/>
      </c>
      <c r="BA331" s="34">
        <f>IF(OR(AZ331="",AI331=""),"",AI331+ROW()/1000000000)</f>
        <v/>
      </c>
      <c r="BB331" s="34">
        <f>IF(E331="","",IF(OR(TRIM(E331&amp;"")="-",TRIM(E331&amp;"")="－",TRIM(E331&amp;"")="ー"),"",TRIM(E331&amp;"")))</f>
        <v/>
      </c>
      <c r="BC331" s="34">
        <f>IF(AND(AB331="OK",BB331&lt;&gt;""),IF(COUNTIFS($BB$5:BB331,BB331,$AB$5:AB331,"OK")=1,1,""),"")</f>
        <v/>
      </c>
      <c r="BD331" s="34">
        <f>IF(BC331=1,COUNTIF($BC$5:BC331,1),"")</f>
        <v/>
      </c>
      <c r="BE331" s="34">
        <f>IF(BB331="","",IFERROR(INDEX('06_顧客別集計'!$G$5:$G$104,MATCH(BB331,'06_顧客別集計'!$C$5:$C$104,0)),BB331))</f>
        <v/>
      </c>
      <c r="BF331" s="34">
        <f>IF(AND(AZ331&lt;&gt;"",BE331&lt;&gt;""),IF(COUNTIFS($BE$5:BE331,BE331,$AZ$5:AZ331,"&gt;0")=1,1,""),"")</f>
        <v/>
      </c>
      <c r="BG331" s="34">
        <f>IF(BF331=1,COUNTIF($BF$5:BF331,1),"")</f>
        <v/>
      </c>
    </row>
    <row r="332">
      <c r="AB332">
        <f>IF(AND(A332="",G332=""),"",IF(ISNUMBER(SEARCH("##END",AM332)),"（終わりの印）",IF(ISNUMBER(SEARCH("##続き",AM332)),"（続きありの印）",IF(AM332="調査ID","（見出し行）",IF(AND(AM332&lt;&gt;"R1",AM332&lt;&gt;"R2"),"×表以外の行（集計されない）",IF(COUNTIF($AN$5:AN332,AN332)&gt;1,"△重複（集計されない）",IF(G332="","△タスク名なし",IF(ISNA(MATCH(AQ332,'M1_類型マスタ'!$A$5:$A$19,0)),"△類型が不正",IF(OR(AP332="",N(AP332)&lt;1,N(AP332)&gt;6),"△業務区分が不正",IF(OR(AS332="",AT332=""),"△回数・分が読めない",IF(SUMPRODUCT(--ISNUMBER(--T332:Z332))&lt;7,"△採点が足りない",IF(SUMPRODUCT((--T332:Z332&gt;2)+(--T332:Z332&lt;0))&gt;0,"△採点が範囲外","OK"))))))))))))</f>
        <v/>
      </c>
      <c r="AC332">
        <f>IF(AB332&lt;&gt;"OK","",TRIM(IF(AND(AU332&lt;&gt;"",N(AU332)&lt;=1),"根拠1件 ","")&amp;IF(AV332&lt;&gt;"","同名あり ","")&amp;IF(AND(NOT(ISNUMBER(N332)),N332&lt;&gt;""),"回数を換算 ","")&amp;IF(J332="","詳細なし ","")&amp;IF(AND(N(AP332)=1,BB332=""),"顧客名なし ","")))</f>
        <v/>
      </c>
      <c r="AD332" s="31" t="n"/>
      <c r="AE332" s="32" t="n"/>
      <c r="AF332" s="32" t="n"/>
      <c r="AG332" s="31" t="n"/>
      <c r="AH332">
        <f>IF(AB332&lt;&gt;"OK","",IF(AG332&lt;&gt;"",AG332,AJ332))</f>
        <v/>
      </c>
      <c r="AI332" s="33">
        <f>IF(AB332&lt;&gt;"OK","",IFERROR(IF(AE332&lt;&gt;"",AE332,AS332)*IF(AF332&lt;&gt;"",AF332,AT332)/60,""))</f>
        <v/>
      </c>
      <c r="AJ332">
        <f>IF(AB332&lt;&gt;"OK","",IF(OR(VALUE(T332)=2,VALUE(U332)=2,VALUE(V332)=2),"社内残置",IF(AND(VALUE(T332)=0,VALUE(W332)=0,VALUE(Y332)=0),"自動化候補",IF(AND(VALUE(U332)=0,VALUE(W332)&lt;=1,VALUE(X332)&lt;=1,VALUE(Y332)&lt;=1,VALUE(Z332)&lt;=1),"オフショア候補",IF(AND(VALUE(Y332)&lt;=1,VALUE(Z332)&lt;=1),"ニアショア候補","社内で手順化→再評価")))))</f>
        <v/>
      </c>
      <c r="AK332">
        <f>IF(AB332&lt;&gt;"OK","",14-SUMPRODUCT(--T332:Z332))</f>
        <v/>
      </c>
      <c r="AL332" s="33">
        <f>IF(AB332&lt;&gt;"OK","",AS332*AT332/60)</f>
        <v/>
      </c>
      <c r="AM332" s="34">
        <f>IF(A332="","",UPPER(TRIM(ASC(A332&amp;""))))</f>
        <v/>
      </c>
      <c r="AN332" s="34">
        <f>IF(AM332="","",AM332&amp;"-"&amp;B332)</f>
        <v/>
      </c>
      <c r="AO332" s="34">
        <f>IF(C332="","",IFERROR(VALUE(ASC(SUBSTITUTE(C332&amp;"","観点",""))),""))</f>
        <v/>
      </c>
      <c r="AP332" s="34">
        <f>IF(D332="","",IFERROR(VALUE(LEFT(TRIM(ASC(D332&amp;"")),1)),IFERROR(MATCH(TRIM(D332&amp;""),'M2_区分マスタ'!$I$5:$I$10,0),"")))</f>
        <v/>
      </c>
      <c r="AQ332" s="34">
        <f>IF(H332="","",UPPER(LEFT(TRIM(ASC(H332&amp;"")),3)))</f>
        <v/>
      </c>
      <c r="AR332" s="34">
        <f>IF(N332="","",IFERROR(VALUE(SUBSTITUTE(SUBSTITUTE(SUBSTITUTE(SUBSTITUTE(SUBSTITUTE(SUBSTITUTE(SUBSTITUTE(SUBSTITUTE(SUBSTITUTE(SUBSTITUTE(SUBSTITUTE(SUBSTITUTE(ASC(N332&amp;""),"約",""),"程度",""),"ほど",""),"回",""),"毎",""),"週",""),"月",""),"年",""),"日",""),"に",""),"/","")," ","")),""))</f>
        <v/>
      </c>
      <c r="AS332" s="34">
        <f>IF(N332="","",IF(ISNUMBER(N332),N332,IFERROR(VALUE(ASC(N332&amp;"")),IF(AR332&lt;&gt;"",AR332*IF(ISNUMBER(SEARCH("週",N332)),4.3,IF(ISNUMBER(SEARCH("年",N332)),1/12,IF(ISNUMBER(SEARCH("日",N332)),20,1))),IF(ISNUMBER(SEARCH("日",N332)),20,IF(ISNUMBER(SEARCH("週",N332)),4.3,IF(ISNUMBER(SEARCH("月",N332)),1,"")))))))</f>
        <v/>
      </c>
      <c r="AT332" s="34">
        <f>IF(O332="","",IF(ISNUMBER(O332),O332,IFERROR(VALUE(ASC(O332&amp;"")),IF(ISNUMBER(SEARCH("時間",O332)),IFERROR(VALUE(SUBSTITUTE(SUBSTITUTE(SUBSTITUTE(SUBSTITUTE(SUBSTITUTE(ASC(O332&amp;""),"約",""),"程度",""),"ほど",""),"時間","")," ",""))*60,""),IFERROR(VALUE(SUBSTITUTE(SUBSTITUTE(SUBSTITUTE(SUBSTITUTE(SUBSTITUTE(ASC(O332&amp;""),"約",""),"程度",""),"ほど",""),"分","")," ","")),"")))))</f>
        <v/>
      </c>
      <c r="AU332" s="34">
        <f>IF(P332="","",IF(ISNUMBER(P332),P332,IFERROR(VALUE(SUBSTITUTE(SUBSTITUTE(SUBSTITUTE(ASC(P332&amp;""),"約",""),"件","")," ","")),"")))</f>
        <v/>
      </c>
      <c r="AV332" s="34">
        <f>IF(AB332&lt;&gt;"OK","",IF(COUNTIFS($G$5:$G$404,G332&amp;"",$F$5:$F$404,F332&amp;"",$BE$5:$BE$404,BE332&amp;"",$AB$5:$AB$404,"OK")&gt;1,"同名あり",""))</f>
        <v/>
      </c>
      <c r="AW332" s="35">
        <f>IF(Q332="","",IF(ISNUMBER(Q332),Q332,IFERROR(DATEVALUE(SUBSTITUTE(SUBSTITUTE(ASC(Q332&amp;""),"-","/"),".","/")&amp;"/01"),"")))</f>
        <v/>
      </c>
      <c r="AX332" s="35">
        <f>IF(R332="","",IF(ISNUMBER(R332),R332,IFERROR(DATEVALUE(SUBSTITUTE(SUBSTITUTE(ASC(R332&amp;""),"-","/"),".","/")&amp;"/01"),"")))</f>
        <v/>
      </c>
      <c r="AY332" s="34">
        <f>IF(OR(AB332&lt;&gt;"OK",AW332=""),"",IF(AW332&gt;='01_設定'!$C$26,1,0))</f>
        <v/>
      </c>
      <c r="AZ332" s="34">
        <f>IF(AND(AB332="OK",AD332&lt;&gt;"除外"),COUNTIFS($AB$5:AB332,"OK",$AD$5:AD332,"&lt;&gt;除外"),"")</f>
        <v/>
      </c>
      <c r="BA332" s="34">
        <f>IF(OR(AZ332="",AI332=""),"",AI332+ROW()/1000000000)</f>
        <v/>
      </c>
      <c r="BB332" s="34">
        <f>IF(E332="","",IF(OR(TRIM(E332&amp;"")="-",TRIM(E332&amp;"")="－",TRIM(E332&amp;"")="ー"),"",TRIM(E332&amp;"")))</f>
        <v/>
      </c>
      <c r="BC332" s="34">
        <f>IF(AND(AB332="OK",BB332&lt;&gt;""),IF(COUNTIFS($BB$5:BB332,BB332,$AB$5:AB332,"OK")=1,1,""),"")</f>
        <v/>
      </c>
      <c r="BD332" s="34">
        <f>IF(BC332=1,COUNTIF($BC$5:BC332,1),"")</f>
        <v/>
      </c>
      <c r="BE332" s="34">
        <f>IF(BB332="","",IFERROR(INDEX('06_顧客別集計'!$G$5:$G$104,MATCH(BB332,'06_顧客別集計'!$C$5:$C$104,0)),BB332))</f>
        <v/>
      </c>
      <c r="BF332" s="34">
        <f>IF(AND(AZ332&lt;&gt;"",BE332&lt;&gt;""),IF(COUNTIFS($BE$5:BE332,BE332,$AZ$5:AZ332,"&gt;0")=1,1,""),"")</f>
        <v/>
      </c>
      <c r="BG332" s="34">
        <f>IF(BF332=1,COUNTIF($BF$5:BF332,1),"")</f>
        <v/>
      </c>
    </row>
    <row r="333">
      <c r="AB333">
        <f>IF(AND(A333="",G333=""),"",IF(ISNUMBER(SEARCH("##END",AM333)),"（終わりの印）",IF(ISNUMBER(SEARCH("##続き",AM333)),"（続きありの印）",IF(AM333="調査ID","（見出し行）",IF(AND(AM333&lt;&gt;"R1",AM333&lt;&gt;"R2"),"×表以外の行（集計されない）",IF(COUNTIF($AN$5:AN333,AN333)&gt;1,"△重複（集計されない）",IF(G333="","△タスク名なし",IF(ISNA(MATCH(AQ333,'M1_類型マスタ'!$A$5:$A$19,0)),"△類型が不正",IF(OR(AP333="",N(AP333)&lt;1,N(AP333)&gt;6),"△業務区分が不正",IF(OR(AS333="",AT333=""),"△回数・分が読めない",IF(SUMPRODUCT(--ISNUMBER(--T333:Z333))&lt;7,"△採点が足りない",IF(SUMPRODUCT((--T333:Z333&gt;2)+(--T333:Z333&lt;0))&gt;0,"△採点が範囲外","OK"))))))))))))</f>
        <v/>
      </c>
      <c r="AC333">
        <f>IF(AB333&lt;&gt;"OK","",TRIM(IF(AND(AU333&lt;&gt;"",N(AU333)&lt;=1),"根拠1件 ","")&amp;IF(AV333&lt;&gt;"","同名あり ","")&amp;IF(AND(NOT(ISNUMBER(N333)),N333&lt;&gt;""),"回数を換算 ","")&amp;IF(J333="","詳細なし ","")&amp;IF(AND(N(AP333)=1,BB333=""),"顧客名なし ","")))</f>
        <v/>
      </c>
      <c r="AD333" s="31" t="n"/>
      <c r="AE333" s="32" t="n"/>
      <c r="AF333" s="32" t="n"/>
      <c r="AG333" s="31" t="n"/>
      <c r="AH333">
        <f>IF(AB333&lt;&gt;"OK","",IF(AG333&lt;&gt;"",AG333,AJ333))</f>
        <v/>
      </c>
      <c r="AI333" s="33">
        <f>IF(AB333&lt;&gt;"OK","",IFERROR(IF(AE333&lt;&gt;"",AE333,AS333)*IF(AF333&lt;&gt;"",AF333,AT333)/60,""))</f>
        <v/>
      </c>
      <c r="AJ333">
        <f>IF(AB333&lt;&gt;"OK","",IF(OR(VALUE(T333)=2,VALUE(U333)=2,VALUE(V333)=2),"社内残置",IF(AND(VALUE(T333)=0,VALUE(W333)=0,VALUE(Y333)=0),"自動化候補",IF(AND(VALUE(U333)=0,VALUE(W333)&lt;=1,VALUE(X333)&lt;=1,VALUE(Y333)&lt;=1,VALUE(Z333)&lt;=1),"オフショア候補",IF(AND(VALUE(Y333)&lt;=1,VALUE(Z333)&lt;=1),"ニアショア候補","社内で手順化→再評価")))))</f>
        <v/>
      </c>
      <c r="AK333">
        <f>IF(AB333&lt;&gt;"OK","",14-SUMPRODUCT(--T333:Z333))</f>
        <v/>
      </c>
      <c r="AL333" s="33">
        <f>IF(AB333&lt;&gt;"OK","",AS333*AT333/60)</f>
        <v/>
      </c>
      <c r="AM333" s="34">
        <f>IF(A333="","",UPPER(TRIM(ASC(A333&amp;""))))</f>
        <v/>
      </c>
      <c r="AN333" s="34">
        <f>IF(AM333="","",AM333&amp;"-"&amp;B333)</f>
        <v/>
      </c>
      <c r="AO333" s="34">
        <f>IF(C333="","",IFERROR(VALUE(ASC(SUBSTITUTE(C333&amp;"","観点",""))),""))</f>
        <v/>
      </c>
      <c r="AP333" s="34">
        <f>IF(D333="","",IFERROR(VALUE(LEFT(TRIM(ASC(D333&amp;"")),1)),IFERROR(MATCH(TRIM(D333&amp;""),'M2_区分マスタ'!$I$5:$I$10,0),"")))</f>
        <v/>
      </c>
      <c r="AQ333" s="34">
        <f>IF(H333="","",UPPER(LEFT(TRIM(ASC(H333&amp;"")),3)))</f>
        <v/>
      </c>
      <c r="AR333" s="34">
        <f>IF(N333="","",IFERROR(VALUE(SUBSTITUTE(SUBSTITUTE(SUBSTITUTE(SUBSTITUTE(SUBSTITUTE(SUBSTITUTE(SUBSTITUTE(SUBSTITUTE(SUBSTITUTE(SUBSTITUTE(SUBSTITUTE(SUBSTITUTE(ASC(N333&amp;""),"約",""),"程度",""),"ほど",""),"回",""),"毎",""),"週",""),"月",""),"年",""),"日",""),"に",""),"/","")," ","")),""))</f>
        <v/>
      </c>
      <c r="AS333" s="34">
        <f>IF(N333="","",IF(ISNUMBER(N333),N333,IFERROR(VALUE(ASC(N333&amp;"")),IF(AR333&lt;&gt;"",AR333*IF(ISNUMBER(SEARCH("週",N333)),4.3,IF(ISNUMBER(SEARCH("年",N333)),1/12,IF(ISNUMBER(SEARCH("日",N333)),20,1))),IF(ISNUMBER(SEARCH("日",N333)),20,IF(ISNUMBER(SEARCH("週",N333)),4.3,IF(ISNUMBER(SEARCH("月",N333)),1,"")))))))</f>
        <v/>
      </c>
      <c r="AT333" s="34">
        <f>IF(O333="","",IF(ISNUMBER(O333),O333,IFERROR(VALUE(ASC(O333&amp;"")),IF(ISNUMBER(SEARCH("時間",O333)),IFERROR(VALUE(SUBSTITUTE(SUBSTITUTE(SUBSTITUTE(SUBSTITUTE(SUBSTITUTE(ASC(O333&amp;""),"約",""),"程度",""),"ほど",""),"時間","")," ",""))*60,""),IFERROR(VALUE(SUBSTITUTE(SUBSTITUTE(SUBSTITUTE(SUBSTITUTE(SUBSTITUTE(ASC(O333&amp;""),"約",""),"程度",""),"ほど",""),"分","")," ","")),"")))))</f>
        <v/>
      </c>
      <c r="AU333" s="34">
        <f>IF(P333="","",IF(ISNUMBER(P333),P333,IFERROR(VALUE(SUBSTITUTE(SUBSTITUTE(SUBSTITUTE(ASC(P333&amp;""),"約",""),"件","")," ","")),"")))</f>
        <v/>
      </c>
      <c r="AV333" s="34">
        <f>IF(AB333&lt;&gt;"OK","",IF(COUNTIFS($G$5:$G$404,G333&amp;"",$F$5:$F$404,F333&amp;"",$BE$5:$BE$404,BE333&amp;"",$AB$5:$AB$404,"OK")&gt;1,"同名あり",""))</f>
        <v/>
      </c>
      <c r="AW333" s="35">
        <f>IF(Q333="","",IF(ISNUMBER(Q333),Q333,IFERROR(DATEVALUE(SUBSTITUTE(SUBSTITUTE(ASC(Q333&amp;""),"-","/"),".","/")&amp;"/01"),"")))</f>
        <v/>
      </c>
      <c r="AX333" s="35">
        <f>IF(R333="","",IF(ISNUMBER(R333),R333,IFERROR(DATEVALUE(SUBSTITUTE(SUBSTITUTE(ASC(R333&amp;""),"-","/"),".","/")&amp;"/01"),"")))</f>
        <v/>
      </c>
      <c r="AY333" s="34">
        <f>IF(OR(AB333&lt;&gt;"OK",AW333=""),"",IF(AW333&gt;='01_設定'!$C$26,1,0))</f>
        <v/>
      </c>
      <c r="AZ333" s="34">
        <f>IF(AND(AB333="OK",AD333&lt;&gt;"除外"),COUNTIFS($AB$5:AB333,"OK",$AD$5:AD333,"&lt;&gt;除外"),"")</f>
        <v/>
      </c>
      <c r="BA333" s="34">
        <f>IF(OR(AZ333="",AI333=""),"",AI333+ROW()/1000000000)</f>
        <v/>
      </c>
      <c r="BB333" s="34">
        <f>IF(E333="","",IF(OR(TRIM(E333&amp;"")="-",TRIM(E333&amp;"")="－",TRIM(E333&amp;"")="ー"),"",TRIM(E333&amp;"")))</f>
        <v/>
      </c>
      <c r="BC333" s="34">
        <f>IF(AND(AB333="OK",BB333&lt;&gt;""),IF(COUNTIFS($BB$5:BB333,BB333,$AB$5:AB333,"OK")=1,1,""),"")</f>
        <v/>
      </c>
      <c r="BD333" s="34">
        <f>IF(BC333=1,COUNTIF($BC$5:BC333,1),"")</f>
        <v/>
      </c>
      <c r="BE333" s="34">
        <f>IF(BB333="","",IFERROR(INDEX('06_顧客別集計'!$G$5:$G$104,MATCH(BB333,'06_顧客別集計'!$C$5:$C$104,0)),BB333))</f>
        <v/>
      </c>
      <c r="BF333" s="34">
        <f>IF(AND(AZ333&lt;&gt;"",BE333&lt;&gt;""),IF(COUNTIFS($BE$5:BE333,BE333,$AZ$5:AZ333,"&gt;0")=1,1,""),"")</f>
        <v/>
      </c>
      <c r="BG333" s="34">
        <f>IF(BF333=1,COUNTIF($BF$5:BF333,1),"")</f>
        <v/>
      </c>
    </row>
    <row r="334">
      <c r="AB334">
        <f>IF(AND(A334="",G334=""),"",IF(ISNUMBER(SEARCH("##END",AM334)),"（終わりの印）",IF(ISNUMBER(SEARCH("##続き",AM334)),"（続きありの印）",IF(AM334="調査ID","（見出し行）",IF(AND(AM334&lt;&gt;"R1",AM334&lt;&gt;"R2"),"×表以外の行（集計されない）",IF(COUNTIF($AN$5:AN334,AN334)&gt;1,"△重複（集計されない）",IF(G334="","△タスク名なし",IF(ISNA(MATCH(AQ334,'M1_類型マスタ'!$A$5:$A$19,0)),"△類型が不正",IF(OR(AP334="",N(AP334)&lt;1,N(AP334)&gt;6),"△業務区分が不正",IF(OR(AS334="",AT334=""),"△回数・分が読めない",IF(SUMPRODUCT(--ISNUMBER(--T334:Z334))&lt;7,"△採点が足りない",IF(SUMPRODUCT((--T334:Z334&gt;2)+(--T334:Z334&lt;0))&gt;0,"△採点が範囲外","OK"))))))))))))</f>
        <v/>
      </c>
      <c r="AC334">
        <f>IF(AB334&lt;&gt;"OK","",TRIM(IF(AND(AU334&lt;&gt;"",N(AU334)&lt;=1),"根拠1件 ","")&amp;IF(AV334&lt;&gt;"","同名あり ","")&amp;IF(AND(NOT(ISNUMBER(N334)),N334&lt;&gt;""),"回数を換算 ","")&amp;IF(J334="","詳細なし ","")&amp;IF(AND(N(AP334)=1,BB334=""),"顧客名なし ","")))</f>
        <v/>
      </c>
      <c r="AD334" s="31" t="n"/>
      <c r="AE334" s="32" t="n"/>
      <c r="AF334" s="32" t="n"/>
      <c r="AG334" s="31" t="n"/>
      <c r="AH334">
        <f>IF(AB334&lt;&gt;"OK","",IF(AG334&lt;&gt;"",AG334,AJ334))</f>
        <v/>
      </c>
      <c r="AI334" s="33">
        <f>IF(AB334&lt;&gt;"OK","",IFERROR(IF(AE334&lt;&gt;"",AE334,AS334)*IF(AF334&lt;&gt;"",AF334,AT334)/60,""))</f>
        <v/>
      </c>
      <c r="AJ334">
        <f>IF(AB334&lt;&gt;"OK","",IF(OR(VALUE(T334)=2,VALUE(U334)=2,VALUE(V334)=2),"社内残置",IF(AND(VALUE(T334)=0,VALUE(W334)=0,VALUE(Y334)=0),"自動化候補",IF(AND(VALUE(U334)=0,VALUE(W334)&lt;=1,VALUE(X334)&lt;=1,VALUE(Y334)&lt;=1,VALUE(Z334)&lt;=1),"オフショア候補",IF(AND(VALUE(Y334)&lt;=1,VALUE(Z334)&lt;=1),"ニアショア候補","社内で手順化→再評価")))))</f>
        <v/>
      </c>
      <c r="AK334">
        <f>IF(AB334&lt;&gt;"OK","",14-SUMPRODUCT(--T334:Z334))</f>
        <v/>
      </c>
      <c r="AL334" s="33">
        <f>IF(AB334&lt;&gt;"OK","",AS334*AT334/60)</f>
        <v/>
      </c>
      <c r="AM334" s="34">
        <f>IF(A334="","",UPPER(TRIM(ASC(A334&amp;""))))</f>
        <v/>
      </c>
      <c r="AN334" s="34">
        <f>IF(AM334="","",AM334&amp;"-"&amp;B334)</f>
        <v/>
      </c>
      <c r="AO334" s="34">
        <f>IF(C334="","",IFERROR(VALUE(ASC(SUBSTITUTE(C334&amp;"","観点",""))),""))</f>
        <v/>
      </c>
      <c r="AP334" s="34">
        <f>IF(D334="","",IFERROR(VALUE(LEFT(TRIM(ASC(D334&amp;"")),1)),IFERROR(MATCH(TRIM(D334&amp;""),'M2_区分マスタ'!$I$5:$I$10,0),"")))</f>
        <v/>
      </c>
      <c r="AQ334" s="34">
        <f>IF(H334="","",UPPER(LEFT(TRIM(ASC(H334&amp;"")),3)))</f>
        <v/>
      </c>
      <c r="AR334" s="34">
        <f>IF(N334="","",IFERROR(VALUE(SUBSTITUTE(SUBSTITUTE(SUBSTITUTE(SUBSTITUTE(SUBSTITUTE(SUBSTITUTE(SUBSTITUTE(SUBSTITUTE(SUBSTITUTE(SUBSTITUTE(SUBSTITUTE(SUBSTITUTE(ASC(N334&amp;""),"約",""),"程度",""),"ほど",""),"回",""),"毎",""),"週",""),"月",""),"年",""),"日",""),"に",""),"/","")," ","")),""))</f>
        <v/>
      </c>
      <c r="AS334" s="34">
        <f>IF(N334="","",IF(ISNUMBER(N334),N334,IFERROR(VALUE(ASC(N334&amp;"")),IF(AR334&lt;&gt;"",AR334*IF(ISNUMBER(SEARCH("週",N334)),4.3,IF(ISNUMBER(SEARCH("年",N334)),1/12,IF(ISNUMBER(SEARCH("日",N334)),20,1))),IF(ISNUMBER(SEARCH("日",N334)),20,IF(ISNUMBER(SEARCH("週",N334)),4.3,IF(ISNUMBER(SEARCH("月",N334)),1,"")))))))</f>
        <v/>
      </c>
      <c r="AT334" s="34">
        <f>IF(O334="","",IF(ISNUMBER(O334),O334,IFERROR(VALUE(ASC(O334&amp;"")),IF(ISNUMBER(SEARCH("時間",O334)),IFERROR(VALUE(SUBSTITUTE(SUBSTITUTE(SUBSTITUTE(SUBSTITUTE(SUBSTITUTE(ASC(O334&amp;""),"約",""),"程度",""),"ほど",""),"時間","")," ",""))*60,""),IFERROR(VALUE(SUBSTITUTE(SUBSTITUTE(SUBSTITUTE(SUBSTITUTE(SUBSTITUTE(ASC(O334&amp;""),"約",""),"程度",""),"ほど",""),"分","")," ","")),"")))))</f>
        <v/>
      </c>
      <c r="AU334" s="34">
        <f>IF(P334="","",IF(ISNUMBER(P334),P334,IFERROR(VALUE(SUBSTITUTE(SUBSTITUTE(SUBSTITUTE(ASC(P334&amp;""),"約",""),"件","")," ","")),"")))</f>
        <v/>
      </c>
      <c r="AV334" s="34">
        <f>IF(AB334&lt;&gt;"OK","",IF(COUNTIFS($G$5:$G$404,G334&amp;"",$F$5:$F$404,F334&amp;"",$BE$5:$BE$404,BE334&amp;"",$AB$5:$AB$404,"OK")&gt;1,"同名あり",""))</f>
        <v/>
      </c>
      <c r="AW334" s="35">
        <f>IF(Q334="","",IF(ISNUMBER(Q334),Q334,IFERROR(DATEVALUE(SUBSTITUTE(SUBSTITUTE(ASC(Q334&amp;""),"-","/"),".","/")&amp;"/01"),"")))</f>
        <v/>
      </c>
      <c r="AX334" s="35">
        <f>IF(R334="","",IF(ISNUMBER(R334),R334,IFERROR(DATEVALUE(SUBSTITUTE(SUBSTITUTE(ASC(R334&amp;""),"-","/"),".","/")&amp;"/01"),"")))</f>
        <v/>
      </c>
      <c r="AY334" s="34">
        <f>IF(OR(AB334&lt;&gt;"OK",AW334=""),"",IF(AW334&gt;='01_設定'!$C$26,1,0))</f>
        <v/>
      </c>
      <c r="AZ334" s="34">
        <f>IF(AND(AB334="OK",AD334&lt;&gt;"除外"),COUNTIFS($AB$5:AB334,"OK",$AD$5:AD334,"&lt;&gt;除外"),"")</f>
        <v/>
      </c>
      <c r="BA334" s="34">
        <f>IF(OR(AZ334="",AI334=""),"",AI334+ROW()/1000000000)</f>
        <v/>
      </c>
      <c r="BB334" s="34">
        <f>IF(E334="","",IF(OR(TRIM(E334&amp;"")="-",TRIM(E334&amp;"")="－",TRIM(E334&amp;"")="ー"),"",TRIM(E334&amp;"")))</f>
        <v/>
      </c>
      <c r="BC334" s="34">
        <f>IF(AND(AB334="OK",BB334&lt;&gt;""),IF(COUNTIFS($BB$5:BB334,BB334,$AB$5:AB334,"OK")=1,1,""),"")</f>
        <v/>
      </c>
      <c r="BD334" s="34">
        <f>IF(BC334=1,COUNTIF($BC$5:BC334,1),"")</f>
        <v/>
      </c>
      <c r="BE334" s="34">
        <f>IF(BB334="","",IFERROR(INDEX('06_顧客別集計'!$G$5:$G$104,MATCH(BB334,'06_顧客別集計'!$C$5:$C$104,0)),BB334))</f>
        <v/>
      </c>
      <c r="BF334" s="34">
        <f>IF(AND(AZ334&lt;&gt;"",BE334&lt;&gt;""),IF(COUNTIFS($BE$5:BE334,BE334,$AZ$5:AZ334,"&gt;0")=1,1,""),"")</f>
        <v/>
      </c>
      <c r="BG334" s="34">
        <f>IF(BF334=1,COUNTIF($BF$5:BF334,1),"")</f>
        <v/>
      </c>
    </row>
    <row r="335">
      <c r="AB335">
        <f>IF(AND(A335="",G335=""),"",IF(ISNUMBER(SEARCH("##END",AM335)),"（終わりの印）",IF(ISNUMBER(SEARCH("##続き",AM335)),"（続きありの印）",IF(AM335="調査ID","（見出し行）",IF(AND(AM335&lt;&gt;"R1",AM335&lt;&gt;"R2"),"×表以外の行（集計されない）",IF(COUNTIF($AN$5:AN335,AN335)&gt;1,"△重複（集計されない）",IF(G335="","△タスク名なし",IF(ISNA(MATCH(AQ335,'M1_類型マスタ'!$A$5:$A$19,0)),"△類型が不正",IF(OR(AP335="",N(AP335)&lt;1,N(AP335)&gt;6),"△業務区分が不正",IF(OR(AS335="",AT335=""),"△回数・分が読めない",IF(SUMPRODUCT(--ISNUMBER(--T335:Z335))&lt;7,"△採点が足りない",IF(SUMPRODUCT((--T335:Z335&gt;2)+(--T335:Z335&lt;0))&gt;0,"△採点が範囲外","OK"))))))))))))</f>
        <v/>
      </c>
      <c r="AC335">
        <f>IF(AB335&lt;&gt;"OK","",TRIM(IF(AND(AU335&lt;&gt;"",N(AU335)&lt;=1),"根拠1件 ","")&amp;IF(AV335&lt;&gt;"","同名あり ","")&amp;IF(AND(NOT(ISNUMBER(N335)),N335&lt;&gt;""),"回数を換算 ","")&amp;IF(J335="","詳細なし ","")&amp;IF(AND(N(AP335)=1,BB335=""),"顧客名なし ","")))</f>
        <v/>
      </c>
      <c r="AD335" s="31" t="n"/>
      <c r="AE335" s="32" t="n"/>
      <c r="AF335" s="32" t="n"/>
      <c r="AG335" s="31" t="n"/>
      <c r="AH335">
        <f>IF(AB335&lt;&gt;"OK","",IF(AG335&lt;&gt;"",AG335,AJ335))</f>
        <v/>
      </c>
      <c r="AI335" s="33">
        <f>IF(AB335&lt;&gt;"OK","",IFERROR(IF(AE335&lt;&gt;"",AE335,AS335)*IF(AF335&lt;&gt;"",AF335,AT335)/60,""))</f>
        <v/>
      </c>
      <c r="AJ335">
        <f>IF(AB335&lt;&gt;"OK","",IF(OR(VALUE(T335)=2,VALUE(U335)=2,VALUE(V335)=2),"社内残置",IF(AND(VALUE(T335)=0,VALUE(W335)=0,VALUE(Y335)=0),"自動化候補",IF(AND(VALUE(U335)=0,VALUE(W335)&lt;=1,VALUE(X335)&lt;=1,VALUE(Y335)&lt;=1,VALUE(Z335)&lt;=1),"オフショア候補",IF(AND(VALUE(Y335)&lt;=1,VALUE(Z335)&lt;=1),"ニアショア候補","社内で手順化→再評価")))))</f>
        <v/>
      </c>
      <c r="AK335">
        <f>IF(AB335&lt;&gt;"OK","",14-SUMPRODUCT(--T335:Z335))</f>
        <v/>
      </c>
      <c r="AL335" s="33">
        <f>IF(AB335&lt;&gt;"OK","",AS335*AT335/60)</f>
        <v/>
      </c>
      <c r="AM335" s="34">
        <f>IF(A335="","",UPPER(TRIM(ASC(A335&amp;""))))</f>
        <v/>
      </c>
      <c r="AN335" s="34">
        <f>IF(AM335="","",AM335&amp;"-"&amp;B335)</f>
        <v/>
      </c>
      <c r="AO335" s="34">
        <f>IF(C335="","",IFERROR(VALUE(ASC(SUBSTITUTE(C335&amp;"","観点",""))),""))</f>
        <v/>
      </c>
      <c r="AP335" s="34">
        <f>IF(D335="","",IFERROR(VALUE(LEFT(TRIM(ASC(D335&amp;"")),1)),IFERROR(MATCH(TRIM(D335&amp;""),'M2_区分マスタ'!$I$5:$I$10,0),"")))</f>
        <v/>
      </c>
      <c r="AQ335" s="34">
        <f>IF(H335="","",UPPER(LEFT(TRIM(ASC(H335&amp;"")),3)))</f>
        <v/>
      </c>
      <c r="AR335" s="34">
        <f>IF(N335="","",IFERROR(VALUE(SUBSTITUTE(SUBSTITUTE(SUBSTITUTE(SUBSTITUTE(SUBSTITUTE(SUBSTITUTE(SUBSTITUTE(SUBSTITUTE(SUBSTITUTE(SUBSTITUTE(SUBSTITUTE(SUBSTITUTE(ASC(N335&amp;""),"約",""),"程度",""),"ほど",""),"回",""),"毎",""),"週",""),"月",""),"年",""),"日",""),"に",""),"/","")," ","")),""))</f>
        <v/>
      </c>
      <c r="AS335" s="34">
        <f>IF(N335="","",IF(ISNUMBER(N335),N335,IFERROR(VALUE(ASC(N335&amp;"")),IF(AR335&lt;&gt;"",AR335*IF(ISNUMBER(SEARCH("週",N335)),4.3,IF(ISNUMBER(SEARCH("年",N335)),1/12,IF(ISNUMBER(SEARCH("日",N335)),20,1))),IF(ISNUMBER(SEARCH("日",N335)),20,IF(ISNUMBER(SEARCH("週",N335)),4.3,IF(ISNUMBER(SEARCH("月",N335)),1,"")))))))</f>
        <v/>
      </c>
      <c r="AT335" s="34">
        <f>IF(O335="","",IF(ISNUMBER(O335),O335,IFERROR(VALUE(ASC(O335&amp;"")),IF(ISNUMBER(SEARCH("時間",O335)),IFERROR(VALUE(SUBSTITUTE(SUBSTITUTE(SUBSTITUTE(SUBSTITUTE(SUBSTITUTE(ASC(O335&amp;""),"約",""),"程度",""),"ほど",""),"時間","")," ",""))*60,""),IFERROR(VALUE(SUBSTITUTE(SUBSTITUTE(SUBSTITUTE(SUBSTITUTE(SUBSTITUTE(ASC(O335&amp;""),"約",""),"程度",""),"ほど",""),"分","")," ","")),"")))))</f>
        <v/>
      </c>
      <c r="AU335" s="34">
        <f>IF(P335="","",IF(ISNUMBER(P335),P335,IFERROR(VALUE(SUBSTITUTE(SUBSTITUTE(SUBSTITUTE(ASC(P335&amp;""),"約",""),"件","")," ","")),"")))</f>
        <v/>
      </c>
      <c r="AV335" s="34">
        <f>IF(AB335&lt;&gt;"OK","",IF(COUNTIFS($G$5:$G$404,G335&amp;"",$F$5:$F$404,F335&amp;"",$BE$5:$BE$404,BE335&amp;"",$AB$5:$AB$404,"OK")&gt;1,"同名あり",""))</f>
        <v/>
      </c>
      <c r="AW335" s="35">
        <f>IF(Q335="","",IF(ISNUMBER(Q335),Q335,IFERROR(DATEVALUE(SUBSTITUTE(SUBSTITUTE(ASC(Q335&amp;""),"-","/"),".","/")&amp;"/01"),"")))</f>
        <v/>
      </c>
      <c r="AX335" s="35">
        <f>IF(R335="","",IF(ISNUMBER(R335),R335,IFERROR(DATEVALUE(SUBSTITUTE(SUBSTITUTE(ASC(R335&amp;""),"-","/"),".","/")&amp;"/01"),"")))</f>
        <v/>
      </c>
      <c r="AY335" s="34">
        <f>IF(OR(AB335&lt;&gt;"OK",AW335=""),"",IF(AW335&gt;='01_設定'!$C$26,1,0))</f>
        <v/>
      </c>
      <c r="AZ335" s="34">
        <f>IF(AND(AB335="OK",AD335&lt;&gt;"除外"),COUNTIFS($AB$5:AB335,"OK",$AD$5:AD335,"&lt;&gt;除外"),"")</f>
        <v/>
      </c>
      <c r="BA335" s="34">
        <f>IF(OR(AZ335="",AI335=""),"",AI335+ROW()/1000000000)</f>
        <v/>
      </c>
      <c r="BB335" s="34">
        <f>IF(E335="","",IF(OR(TRIM(E335&amp;"")="-",TRIM(E335&amp;"")="－",TRIM(E335&amp;"")="ー"),"",TRIM(E335&amp;"")))</f>
        <v/>
      </c>
      <c r="BC335" s="34">
        <f>IF(AND(AB335="OK",BB335&lt;&gt;""),IF(COUNTIFS($BB$5:BB335,BB335,$AB$5:AB335,"OK")=1,1,""),"")</f>
        <v/>
      </c>
      <c r="BD335" s="34">
        <f>IF(BC335=1,COUNTIF($BC$5:BC335,1),"")</f>
        <v/>
      </c>
      <c r="BE335" s="34">
        <f>IF(BB335="","",IFERROR(INDEX('06_顧客別集計'!$G$5:$G$104,MATCH(BB335,'06_顧客別集計'!$C$5:$C$104,0)),BB335))</f>
        <v/>
      </c>
      <c r="BF335" s="34">
        <f>IF(AND(AZ335&lt;&gt;"",BE335&lt;&gt;""),IF(COUNTIFS($BE$5:BE335,BE335,$AZ$5:AZ335,"&gt;0")=1,1,""),"")</f>
        <v/>
      </c>
      <c r="BG335" s="34">
        <f>IF(BF335=1,COUNTIF($BF$5:BF335,1),"")</f>
        <v/>
      </c>
    </row>
    <row r="336">
      <c r="AB336">
        <f>IF(AND(A336="",G336=""),"",IF(ISNUMBER(SEARCH("##END",AM336)),"（終わりの印）",IF(ISNUMBER(SEARCH("##続き",AM336)),"（続きありの印）",IF(AM336="調査ID","（見出し行）",IF(AND(AM336&lt;&gt;"R1",AM336&lt;&gt;"R2"),"×表以外の行（集計されない）",IF(COUNTIF($AN$5:AN336,AN336)&gt;1,"△重複（集計されない）",IF(G336="","△タスク名なし",IF(ISNA(MATCH(AQ336,'M1_類型マスタ'!$A$5:$A$19,0)),"△類型が不正",IF(OR(AP336="",N(AP336)&lt;1,N(AP336)&gt;6),"△業務区分が不正",IF(OR(AS336="",AT336=""),"△回数・分が読めない",IF(SUMPRODUCT(--ISNUMBER(--T336:Z336))&lt;7,"△採点が足りない",IF(SUMPRODUCT((--T336:Z336&gt;2)+(--T336:Z336&lt;0))&gt;0,"△採点が範囲外","OK"))))))))))))</f>
        <v/>
      </c>
      <c r="AC336">
        <f>IF(AB336&lt;&gt;"OK","",TRIM(IF(AND(AU336&lt;&gt;"",N(AU336)&lt;=1),"根拠1件 ","")&amp;IF(AV336&lt;&gt;"","同名あり ","")&amp;IF(AND(NOT(ISNUMBER(N336)),N336&lt;&gt;""),"回数を換算 ","")&amp;IF(J336="","詳細なし ","")&amp;IF(AND(N(AP336)=1,BB336=""),"顧客名なし ","")))</f>
        <v/>
      </c>
      <c r="AD336" s="31" t="n"/>
      <c r="AE336" s="32" t="n"/>
      <c r="AF336" s="32" t="n"/>
      <c r="AG336" s="31" t="n"/>
      <c r="AH336">
        <f>IF(AB336&lt;&gt;"OK","",IF(AG336&lt;&gt;"",AG336,AJ336))</f>
        <v/>
      </c>
      <c r="AI336" s="33">
        <f>IF(AB336&lt;&gt;"OK","",IFERROR(IF(AE336&lt;&gt;"",AE336,AS336)*IF(AF336&lt;&gt;"",AF336,AT336)/60,""))</f>
        <v/>
      </c>
      <c r="AJ336">
        <f>IF(AB336&lt;&gt;"OK","",IF(OR(VALUE(T336)=2,VALUE(U336)=2,VALUE(V336)=2),"社内残置",IF(AND(VALUE(T336)=0,VALUE(W336)=0,VALUE(Y336)=0),"自動化候補",IF(AND(VALUE(U336)=0,VALUE(W336)&lt;=1,VALUE(X336)&lt;=1,VALUE(Y336)&lt;=1,VALUE(Z336)&lt;=1),"オフショア候補",IF(AND(VALUE(Y336)&lt;=1,VALUE(Z336)&lt;=1),"ニアショア候補","社内で手順化→再評価")))))</f>
        <v/>
      </c>
      <c r="AK336">
        <f>IF(AB336&lt;&gt;"OK","",14-SUMPRODUCT(--T336:Z336))</f>
        <v/>
      </c>
      <c r="AL336" s="33">
        <f>IF(AB336&lt;&gt;"OK","",AS336*AT336/60)</f>
        <v/>
      </c>
      <c r="AM336" s="34">
        <f>IF(A336="","",UPPER(TRIM(ASC(A336&amp;""))))</f>
        <v/>
      </c>
      <c r="AN336" s="34">
        <f>IF(AM336="","",AM336&amp;"-"&amp;B336)</f>
        <v/>
      </c>
      <c r="AO336" s="34">
        <f>IF(C336="","",IFERROR(VALUE(ASC(SUBSTITUTE(C336&amp;"","観点",""))),""))</f>
        <v/>
      </c>
      <c r="AP336" s="34">
        <f>IF(D336="","",IFERROR(VALUE(LEFT(TRIM(ASC(D336&amp;"")),1)),IFERROR(MATCH(TRIM(D336&amp;""),'M2_区分マスタ'!$I$5:$I$10,0),"")))</f>
        <v/>
      </c>
      <c r="AQ336" s="34">
        <f>IF(H336="","",UPPER(LEFT(TRIM(ASC(H336&amp;"")),3)))</f>
        <v/>
      </c>
      <c r="AR336" s="34">
        <f>IF(N336="","",IFERROR(VALUE(SUBSTITUTE(SUBSTITUTE(SUBSTITUTE(SUBSTITUTE(SUBSTITUTE(SUBSTITUTE(SUBSTITUTE(SUBSTITUTE(SUBSTITUTE(SUBSTITUTE(SUBSTITUTE(SUBSTITUTE(ASC(N336&amp;""),"約",""),"程度",""),"ほど",""),"回",""),"毎",""),"週",""),"月",""),"年",""),"日",""),"に",""),"/","")," ","")),""))</f>
        <v/>
      </c>
      <c r="AS336" s="34">
        <f>IF(N336="","",IF(ISNUMBER(N336),N336,IFERROR(VALUE(ASC(N336&amp;"")),IF(AR336&lt;&gt;"",AR336*IF(ISNUMBER(SEARCH("週",N336)),4.3,IF(ISNUMBER(SEARCH("年",N336)),1/12,IF(ISNUMBER(SEARCH("日",N336)),20,1))),IF(ISNUMBER(SEARCH("日",N336)),20,IF(ISNUMBER(SEARCH("週",N336)),4.3,IF(ISNUMBER(SEARCH("月",N336)),1,"")))))))</f>
        <v/>
      </c>
      <c r="AT336" s="34">
        <f>IF(O336="","",IF(ISNUMBER(O336),O336,IFERROR(VALUE(ASC(O336&amp;"")),IF(ISNUMBER(SEARCH("時間",O336)),IFERROR(VALUE(SUBSTITUTE(SUBSTITUTE(SUBSTITUTE(SUBSTITUTE(SUBSTITUTE(ASC(O336&amp;""),"約",""),"程度",""),"ほど",""),"時間","")," ",""))*60,""),IFERROR(VALUE(SUBSTITUTE(SUBSTITUTE(SUBSTITUTE(SUBSTITUTE(SUBSTITUTE(ASC(O336&amp;""),"約",""),"程度",""),"ほど",""),"分","")," ","")),"")))))</f>
        <v/>
      </c>
      <c r="AU336" s="34">
        <f>IF(P336="","",IF(ISNUMBER(P336),P336,IFERROR(VALUE(SUBSTITUTE(SUBSTITUTE(SUBSTITUTE(ASC(P336&amp;""),"約",""),"件","")," ","")),"")))</f>
        <v/>
      </c>
      <c r="AV336" s="34">
        <f>IF(AB336&lt;&gt;"OK","",IF(COUNTIFS($G$5:$G$404,G336&amp;"",$F$5:$F$404,F336&amp;"",$BE$5:$BE$404,BE336&amp;"",$AB$5:$AB$404,"OK")&gt;1,"同名あり",""))</f>
        <v/>
      </c>
      <c r="AW336" s="35">
        <f>IF(Q336="","",IF(ISNUMBER(Q336),Q336,IFERROR(DATEVALUE(SUBSTITUTE(SUBSTITUTE(ASC(Q336&amp;""),"-","/"),".","/")&amp;"/01"),"")))</f>
        <v/>
      </c>
      <c r="AX336" s="35">
        <f>IF(R336="","",IF(ISNUMBER(R336),R336,IFERROR(DATEVALUE(SUBSTITUTE(SUBSTITUTE(ASC(R336&amp;""),"-","/"),".","/")&amp;"/01"),"")))</f>
        <v/>
      </c>
      <c r="AY336" s="34">
        <f>IF(OR(AB336&lt;&gt;"OK",AW336=""),"",IF(AW336&gt;='01_設定'!$C$26,1,0))</f>
        <v/>
      </c>
      <c r="AZ336" s="34">
        <f>IF(AND(AB336="OK",AD336&lt;&gt;"除外"),COUNTIFS($AB$5:AB336,"OK",$AD$5:AD336,"&lt;&gt;除外"),"")</f>
        <v/>
      </c>
      <c r="BA336" s="34">
        <f>IF(OR(AZ336="",AI336=""),"",AI336+ROW()/1000000000)</f>
        <v/>
      </c>
      <c r="BB336" s="34">
        <f>IF(E336="","",IF(OR(TRIM(E336&amp;"")="-",TRIM(E336&amp;"")="－",TRIM(E336&amp;"")="ー"),"",TRIM(E336&amp;"")))</f>
        <v/>
      </c>
      <c r="BC336" s="34">
        <f>IF(AND(AB336="OK",BB336&lt;&gt;""),IF(COUNTIFS($BB$5:BB336,BB336,$AB$5:AB336,"OK")=1,1,""),"")</f>
        <v/>
      </c>
      <c r="BD336" s="34">
        <f>IF(BC336=1,COUNTIF($BC$5:BC336,1),"")</f>
        <v/>
      </c>
      <c r="BE336" s="34">
        <f>IF(BB336="","",IFERROR(INDEX('06_顧客別集計'!$G$5:$G$104,MATCH(BB336,'06_顧客別集計'!$C$5:$C$104,0)),BB336))</f>
        <v/>
      </c>
      <c r="BF336" s="34">
        <f>IF(AND(AZ336&lt;&gt;"",BE336&lt;&gt;""),IF(COUNTIFS($BE$5:BE336,BE336,$AZ$5:AZ336,"&gt;0")=1,1,""),"")</f>
        <v/>
      </c>
      <c r="BG336" s="34">
        <f>IF(BF336=1,COUNTIF($BF$5:BF336,1),"")</f>
        <v/>
      </c>
    </row>
    <row r="337">
      <c r="AB337">
        <f>IF(AND(A337="",G337=""),"",IF(ISNUMBER(SEARCH("##END",AM337)),"（終わりの印）",IF(ISNUMBER(SEARCH("##続き",AM337)),"（続きありの印）",IF(AM337="調査ID","（見出し行）",IF(AND(AM337&lt;&gt;"R1",AM337&lt;&gt;"R2"),"×表以外の行（集計されない）",IF(COUNTIF($AN$5:AN337,AN337)&gt;1,"△重複（集計されない）",IF(G337="","△タスク名なし",IF(ISNA(MATCH(AQ337,'M1_類型マスタ'!$A$5:$A$19,0)),"△類型が不正",IF(OR(AP337="",N(AP337)&lt;1,N(AP337)&gt;6),"△業務区分が不正",IF(OR(AS337="",AT337=""),"△回数・分が読めない",IF(SUMPRODUCT(--ISNUMBER(--T337:Z337))&lt;7,"△採点が足りない",IF(SUMPRODUCT((--T337:Z337&gt;2)+(--T337:Z337&lt;0))&gt;0,"△採点が範囲外","OK"))))))))))))</f>
        <v/>
      </c>
      <c r="AC337">
        <f>IF(AB337&lt;&gt;"OK","",TRIM(IF(AND(AU337&lt;&gt;"",N(AU337)&lt;=1),"根拠1件 ","")&amp;IF(AV337&lt;&gt;"","同名あり ","")&amp;IF(AND(NOT(ISNUMBER(N337)),N337&lt;&gt;""),"回数を換算 ","")&amp;IF(J337="","詳細なし ","")&amp;IF(AND(N(AP337)=1,BB337=""),"顧客名なし ","")))</f>
        <v/>
      </c>
      <c r="AD337" s="31" t="n"/>
      <c r="AE337" s="32" t="n"/>
      <c r="AF337" s="32" t="n"/>
      <c r="AG337" s="31" t="n"/>
      <c r="AH337">
        <f>IF(AB337&lt;&gt;"OK","",IF(AG337&lt;&gt;"",AG337,AJ337))</f>
        <v/>
      </c>
      <c r="AI337" s="33">
        <f>IF(AB337&lt;&gt;"OK","",IFERROR(IF(AE337&lt;&gt;"",AE337,AS337)*IF(AF337&lt;&gt;"",AF337,AT337)/60,""))</f>
        <v/>
      </c>
      <c r="AJ337">
        <f>IF(AB337&lt;&gt;"OK","",IF(OR(VALUE(T337)=2,VALUE(U337)=2,VALUE(V337)=2),"社内残置",IF(AND(VALUE(T337)=0,VALUE(W337)=0,VALUE(Y337)=0),"自動化候補",IF(AND(VALUE(U337)=0,VALUE(W337)&lt;=1,VALUE(X337)&lt;=1,VALUE(Y337)&lt;=1,VALUE(Z337)&lt;=1),"オフショア候補",IF(AND(VALUE(Y337)&lt;=1,VALUE(Z337)&lt;=1),"ニアショア候補","社内で手順化→再評価")))))</f>
        <v/>
      </c>
      <c r="AK337">
        <f>IF(AB337&lt;&gt;"OK","",14-SUMPRODUCT(--T337:Z337))</f>
        <v/>
      </c>
      <c r="AL337" s="33">
        <f>IF(AB337&lt;&gt;"OK","",AS337*AT337/60)</f>
        <v/>
      </c>
      <c r="AM337" s="34">
        <f>IF(A337="","",UPPER(TRIM(ASC(A337&amp;""))))</f>
        <v/>
      </c>
      <c r="AN337" s="34">
        <f>IF(AM337="","",AM337&amp;"-"&amp;B337)</f>
        <v/>
      </c>
      <c r="AO337" s="34">
        <f>IF(C337="","",IFERROR(VALUE(ASC(SUBSTITUTE(C337&amp;"","観点",""))),""))</f>
        <v/>
      </c>
      <c r="AP337" s="34">
        <f>IF(D337="","",IFERROR(VALUE(LEFT(TRIM(ASC(D337&amp;"")),1)),IFERROR(MATCH(TRIM(D337&amp;""),'M2_区分マスタ'!$I$5:$I$10,0),"")))</f>
        <v/>
      </c>
      <c r="AQ337" s="34">
        <f>IF(H337="","",UPPER(LEFT(TRIM(ASC(H337&amp;"")),3)))</f>
        <v/>
      </c>
      <c r="AR337" s="34">
        <f>IF(N337="","",IFERROR(VALUE(SUBSTITUTE(SUBSTITUTE(SUBSTITUTE(SUBSTITUTE(SUBSTITUTE(SUBSTITUTE(SUBSTITUTE(SUBSTITUTE(SUBSTITUTE(SUBSTITUTE(SUBSTITUTE(SUBSTITUTE(ASC(N337&amp;""),"約",""),"程度",""),"ほど",""),"回",""),"毎",""),"週",""),"月",""),"年",""),"日",""),"に",""),"/","")," ","")),""))</f>
        <v/>
      </c>
      <c r="AS337" s="34">
        <f>IF(N337="","",IF(ISNUMBER(N337),N337,IFERROR(VALUE(ASC(N337&amp;"")),IF(AR337&lt;&gt;"",AR337*IF(ISNUMBER(SEARCH("週",N337)),4.3,IF(ISNUMBER(SEARCH("年",N337)),1/12,IF(ISNUMBER(SEARCH("日",N337)),20,1))),IF(ISNUMBER(SEARCH("日",N337)),20,IF(ISNUMBER(SEARCH("週",N337)),4.3,IF(ISNUMBER(SEARCH("月",N337)),1,"")))))))</f>
        <v/>
      </c>
      <c r="AT337" s="34">
        <f>IF(O337="","",IF(ISNUMBER(O337),O337,IFERROR(VALUE(ASC(O337&amp;"")),IF(ISNUMBER(SEARCH("時間",O337)),IFERROR(VALUE(SUBSTITUTE(SUBSTITUTE(SUBSTITUTE(SUBSTITUTE(SUBSTITUTE(ASC(O337&amp;""),"約",""),"程度",""),"ほど",""),"時間","")," ",""))*60,""),IFERROR(VALUE(SUBSTITUTE(SUBSTITUTE(SUBSTITUTE(SUBSTITUTE(SUBSTITUTE(ASC(O337&amp;""),"約",""),"程度",""),"ほど",""),"分","")," ","")),"")))))</f>
        <v/>
      </c>
      <c r="AU337" s="34">
        <f>IF(P337="","",IF(ISNUMBER(P337),P337,IFERROR(VALUE(SUBSTITUTE(SUBSTITUTE(SUBSTITUTE(ASC(P337&amp;""),"約",""),"件","")," ","")),"")))</f>
        <v/>
      </c>
      <c r="AV337" s="34">
        <f>IF(AB337&lt;&gt;"OK","",IF(COUNTIFS($G$5:$G$404,G337&amp;"",$F$5:$F$404,F337&amp;"",$BE$5:$BE$404,BE337&amp;"",$AB$5:$AB$404,"OK")&gt;1,"同名あり",""))</f>
        <v/>
      </c>
      <c r="AW337" s="35">
        <f>IF(Q337="","",IF(ISNUMBER(Q337),Q337,IFERROR(DATEVALUE(SUBSTITUTE(SUBSTITUTE(ASC(Q337&amp;""),"-","/"),".","/")&amp;"/01"),"")))</f>
        <v/>
      </c>
      <c r="AX337" s="35">
        <f>IF(R337="","",IF(ISNUMBER(R337),R337,IFERROR(DATEVALUE(SUBSTITUTE(SUBSTITUTE(ASC(R337&amp;""),"-","/"),".","/")&amp;"/01"),"")))</f>
        <v/>
      </c>
      <c r="AY337" s="34">
        <f>IF(OR(AB337&lt;&gt;"OK",AW337=""),"",IF(AW337&gt;='01_設定'!$C$26,1,0))</f>
        <v/>
      </c>
      <c r="AZ337" s="34">
        <f>IF(AND(AB337="OK",AD337&lt;&gt;"除外"),COUNTIFS($AB$5:AB337,"OK",$AD$5:AD337,"&lt;&gt;除外"),"")</f>
        <v/>
      </c>
      <c r="BA337" s="34">
        <f>IF(OR(AZ337="",AI337=""),"",AI337+ROW()/1000000000)</f>
        <v/>
      </c>
      <c r="BB337" s="34">
        <f>IF(E337="","",IF(OR(TRIM(E337&amp;"")="-",TRIM(E337&amp;"")="－",TRIM(E337&amp;"")="ー"),"",TRIM(E337&amp;"")))</f>
        <v/>
      </c>
      <c r="BC337" s="34">
        <f>IF(AND(AB337="OK",BB337&lt;&gt;""),IF(COUNTIFS($BB$5:BB337,BB337,$AB$5:AB337,"OK")=1,1,""),"")</f>
        <v/>
      </c>
      <c r="BD337" s="34">
        <f>IF(BC337=1,COUNTIF($BC$5:BC337,1),"")</f>
        <v/>
      </c>
      <c r="BE337" s="34">
        <f>IF(BB337="","",IFERROR(INDEX('06_顧客別集計'!$G$5:$G$104,MATCH(BB337,'06_顧客別集計'!$C$5:$C$104,0)),BB337))</f>
        <v/>
      </c>
      <c r="BF337" s="34">
        <f>IF(AND(AZ337&lt;&gt;"",BE337&lt;&gt;""),IF(COUNTIFS($BE$5:BE337,BE337,$AZ$5:AZ337,"&gt;0")=1,1,""),"")</f>
        <v/>
      </c>
      <c r="BG337" s="34">
        <f>IF(BF337=1,COUNTIF($BF$5:BF337,1),"")</f>
        <v/>
      </c>
    </row>
    <row r="338">
      <c r="AB338">
        <f>IF(AND(A338="",G338=""),"",IF(ISNUMBER(SEARCH("##END",AM338)),"（終わりの印）",IF(ISNUMBER(SEARCH("##続き",AM338)),"（続きありの印）",IF(AM338="調査ID","（見出し行）",IF(AND(AM338&lt;&gt;"R1",AM338&lt;&gt;"R2"),"×表以外の行（集計されない）",IF(COUNTIF($AN$5:AN338,AN338)&gt;1,"△重複（集計されない）",IF(G338="","△タスク名なし",IF(ISNA(MATCH(AQ338,'M1_類型マスタ'!$A$5:$A$19,0)),"△類型が不正",IF(OR(AP338="",N(AP338)&lt;1,N(AP338)&gt;6),"△業務区分が不正",IF(OR(AS338="",AT338=""),"△回数・分が読めない",IF(SUMPRODUCT(--ISNUMBER(--T338:Z338))&lt;7,"△採点が足りない",IF(SUMPRODUCT((--T338:Z338&gt;2)+(--T338:Z338&lt;0))&gt;0,"△採点が範囲外","OK"))))))))))))</f>
        <v/>
      </c>
      <c r="AC338">
        <f>IF(AB338&lt;&gt;"OK","",TRIM(IF(AND(AU338&lt;&gt;"",N(AU338)&lt;=1),"根拠1件 ","")&amp;IF(AV338&lt;&gt;"","同名あり ","")&amp;IF(AND(NOT(ISNUMBER(N338)),N338&lt;&gt;""),"回数を換算 ","")&amp;IF(J338="","詳細なし ","")&amp;IF(AND(N(AP338)=1,BB338=""),"顧客名なし ","")))</f>
        <v/>
      </c>
      <c r="AD338" s="31" t="n"/>
      <c r="AE338" s="32" t="n"/>
      <c r="AF338" s="32" t="n"/>
      <c r="AG338" s="31" t="n"/>
      <c r="AH338">
        <f>IF(AB338&lt;&gt;"OK","",IF(AG338&lt;&gt;"",AG338,AJ338))</f>
        <v/>
      </c>
      <c r="AI338" s="33">
        <f>IF(AB338&lt;&gt;"OK","",IFERROR(IF(AE338&lt;&gt;"",AE338,AS338)*IF(AF338&lt;&gt;"",AF338,AT338)/60,""))</f>
        <v/>
      </c>
      <c r="AJ338">
        <f>IF(AB338&lt;&gt;"OK","",IF(OR(VALUE(T338)=2,VALUE(U338)=2,VALUE(V338)=2),"社内残置",IF(AND(VALUE(T338)=0,VALUE(W338)=0,VALUE(Y338)=0),"自動化候補",IF(AND(VALUE(U338)=0,VALUE(W338)&lt;=1,VALUE(X338)&lt;=1,VALUE(Y338)&lt;=1,VALUE(Z338)&lt;=1),"オフショア候補",IF(AND(VALUE(Y338)&lt;=1,VALUE(Z338)&lt;=1),"ニアショア候補","社内で手順化→再評価")))))</f>
        <v/>
      </c>
      <c r="AK338">
        <f>IF(AB338&lt;&gt;"OK","",14-SUMPRODUCT(--T338:Z338))</f>
        <v/>
      </c>
      <c r="AL338" s="33">
        <f>IF(AB338&lt;&gt;"OK","",AS338*AT338/60)</f>
        <v/>
      </c>
      <c r="AM338" s="34">
        <f>IF(A338="","",UPPER(TRIM(ASC(A338&amp;""))))</f>
        <v/>
      </c>
      <c r="AN338" s="34">
        <f>IF(AM338="","",AM338&amp;"-"&amp;B338)</f>
        <v/>
      </c>
      <c r="AO338" s="34">
        <f>IF(C338="","",IFERROR(VALUE(ASC(SUBSTITUTE(C338&amp;"","観点",""))),""))</f>
        <v/>
      </c>
      <c r="AP338" s="34">
        <f>IF(D338="","",IFERROR(VALUE(LEFT(TRIM(ASC(D338&amp;"")),1)),IFERROR(MATCH(TRIM(D338&amp;""),'M2_区分マスタ'!$I$5:$I$10,0),"")))</f>
        <v/>
      </c>
      <c r="AQ338" s="34">
        <f>IF(H338="","",UPPER(LEFT(TRIM(ASC(H338&amp;"")),3)))</f>
        <v/>
      </c>
      <c r="AR338" s="34">
        <f>IF(N338="","",IFERROR(VALUE(SUBSTITUTE(SUBSTITUTE(SUBSTITUTE(SUBSTITUTE(SUBSTITUTE(SUBSTITUTE(SUBSTITUTE(SUBSTITUTE(SUBSTITUTE(SUBSTITUTE(SUBSTITUTE(SUBSTITUTE(ASC(N338&amp;""),"約",""),"程度",""),"ほど",""),"回",""),"毎",""),"週",""),"月",""),"年",""),"日",""),"に",""),"/","")," ","")),""))</f>
        <v/>
      </c>
      <c r="AS338" s="34">
        <f>IF(N338="","",IF(ISNUMBER(N338),N338,IFERROR(VALUE(ASC(N338&amp;"")),IF(AR338&lt;&gt;"",AR338*IF(ISNUMBER(SEARCH("週",N338)),4.3,IF(ISNUMBER(SEARCH("年",N338)),1/12,IF(ISNUMBER(SEARCH("日",N338)),20,1))),IF(ISNUMBER(SEARCH("日",N338)),20,IF(ISNUMBER(SEARCH("週",N338)),4.3,IF(ISNUMBER(SEARCH("月",N338)),1,"")))))))</f>
        <v/>
      </c>
      <c r="AT338" s="34">
        <f>IF(O338="","",IF(ISNUMBER(O338),O338,IFERROR(VALUE(ASC(O338&amp;"")),IF(ISNUMBER(SEARCH("時間",O338)),IFERROR(VALUE(SUBSTITUTE(SUBSTITUTE(SUBSTITUTE(SUBSTITUTE(SUBSTITUTE(ASC(O338&amp;""),"約",""),"程度",""),"ほど",""),"時間","")," ",""))*60,""),IFERROR(VALUE(SUBSTITUTE(SUBSTITUTE(SUBSTITUTE(SUBSTITUTE(SUBSTITUTE(ASC(O338&amp;""),"約",""),"程度",""),"ほど",""),"分","")," ","")),"")))))</f>
        <v/>
      </c>
      <c r="AU338" s="34">
        <f>IF(P338="","",IF(ISNUMBER(P338),P338,IFERROR(VALUE(SUBSTITUTE(SUBSTITUTE(SUBSTITUTE(ASC(P338&amp;""),"約",""),"件","")," ","")),"")))</f>
        <v/>
      </c>
      <c r="AV338" s="34">
        <f>IF(AB338&lt;&gt;"OK","",IF(COUNTIFS($G$5:$G$404,G338&amp;"",$F$5:$F$404,F338&amp;"",$BE$5:$BE$404,BE338&amp;"",$AB$5:$AB$404,"OK")&gt;1,"同名あり",""))</f>
        <v/>
      </c>
      <c r="AW338" s="35">
        <f>IF(Q338="","",IF(ISNUMBER(Q338),Q338,IFERROR(DATEVALUE(SUBSTITUTE(SUBSTITUTE(ASC(Q338&amp;""),"-","/"),".","/")&amp;"/01"),"")))</f>
        <v/>
      </c>
      <c r="AX338" s="35">
        <f>IF(R338="","",IF(ISNUMBER(R338),R338,IFERROR(DATEVALUE(SUBSTITUTE(SUBSTITUTE(ASC(R338&amp;""),"-","/"),".","/")&amp;"/01"),"")))</f>
        <v/>
      </c>
      <c r="AY338" s="34">
        <f>IF(OR(AB338&lt;&gt;"OK",AW338=""),"",IF(AW338&gt;='01_設定'!$C$26,1,0))</f>
        <v/>
      </c>
      <c r="AZ338" s="34">
        <f>IF(AND(AB338="OK",AD338&lt;&gt;"除外"),COUNTIFS($AB$5:AB338,"OK",$AD$5:AD338,"&lt;&gt;除外"),"")</f>
        <v/>
      </c>
      <c r="BA338" s="34">
        <f>IF(OR(AZ338="",AI338=""),"",AI338+ROW()/1000000000)</f>
        <v/>
      </c>
      <c r="BB338" s="34">
        <f>IF(E338="","",IF(OR(TRIM(E338&amp;"")="-",TRIM(E338&amp;"")="－",TRIM(E338&amp;"")="ー"),"",TRIM(E338&amp;"")))</f>
        <v/>
      </c>
      <c r="BC338" s="34">
        <f>IF(AND(AB338="OK",BB338&lt;&gt;""),IF(COUNTIFS($BB$5:BB338,BB338,$AB$5:AB338,"OK")=1,1,""),"")</f>
        <v/>
      </c>
      <c r="BD338" s="34">
        <f>IF(BC338=1,COUNTIF($BC$5:BC338,1),"")</f>
        <v/>
      </c>
      <c r="BE338" s="34">
        <f>IF(BB338="","",IFERROR(INDEX('06_顧客別集計'!$G$5:$G$104,MATCH(BB338,'06_顧客別集計'!$C$5:$C$104,0)),BB338))</f>
        <v/>
      </c>
      <c r="BF338" s="34">
        <f>IF(AND(AZ338&lt;&gt;"",BE338&lt;&gt;""),IF(COUNTIFS($BE$5:BE338,BE338,$AZ$5:AZ338,"&gt;0")=1,1,""),"")</f>
        <v/>
      </c>
      <c r="BG338" s="34">
        <f>IF(BF338=1,COUNTIF($BF$5:BF338,1),"")</f>
        <v/>
      </c>
    </row>
    <row r="339">
      <c r="AB339">
        <f>IF(AND(A339="",G339=""),"",IF(ISNUMBER(SEARCH("##END",AM339)),"（終わりの印）",IF(ISNUMBER(SEARCH("##続き",AM339)),"（続きありの印）",IF(AM339="調査ID","（見出し行）",IF(AND(AM339&lt;&gt;"R1",AM339&lt;&gt;"R2"),"×表以外の行（集計されない）",IF(COUNTIF($AN$5:AN339,AN339)&gt;1,"△重複（集計されない）",IF(G339="","△タスク名なし",IF(ISNA(MATCH(AQ339,'M1_類型マスタ'!$A$5:$A$19,0)),"△類型が不正",IF(OR(AP339="",N(AP339)&lt;1,N(AP339)&gt;6),"△業務区分が不正",IF(OR(AS339="",AT339=""),"△回数・分が読めない",IF(SUMPRODUCT(--ISNUMBER(--T339:Z339))&lt;7,"△採点が足りない",IF(SUMPRODUCT((--T339:Z339&gt;2)+(--T339:Z339&lt;0))&gt;0,"△採点が範囲外","OK"))))))))))))</f>
        <v/>
      </c>
      <c r="AC339">
        <f>IF(AB339&lt;&gt;"OK","",TRIM(IF(AND(AU339&lt;&gt;"",N(AU339)&lt;=1),"根拠1件 ","")&amp;IF(AV339&lt;&gt;"","同名あり ","")&amp;IF(AND(NOT(ISNUMBER(N339)),N339&lt;&gt;""),"回数を換算 ","")&amp;IF(J339="","詳細なし ","")&amp;IF(AND(N(AP339)=1,BB339=""),"顧客名なし ","")))</f>
        <v/>
      </c>
      <c r="AD339" s="31" t="n"/>
      <c r="AE339" s="32" t="n"/>
      <c r="AF339" s="32" t="n"/>
      <c r="AG339" s="31" t="n"/>
      <c r="AH339">
        <f>IF(AB339&lt;&gt;"OK","",IF(AG339&lt;&gt;"",AG339,AJ339))</f>
        <v/>
      </c>
      <c r="AI339" s="33">
        <f>IF(AB339&lt;&gt;"OK","",IFERROR(IF(AE339&lt;&gt;"",AE339,AS339)*IF(AF339&lt;&gt;"",AF339,AT339)/60,""))</f>
        <v/>
      </c>
      <c r="AJ339">
        <f>IF(AB339&lt;&gt;"OK","",IF(OR(VALUE(T339)=2,VALUE(U339)=2,VALUE(V339)=2),"社内残置",IF(AND(VALUE(T339)=0,VALUE(W339)=0,VALUE(Y339)=0),"自動化候補",IF(AND(VALUE(U339)=0,VALUE(W339)&lt;=1,VALUE(X339)&lt;=1,VALUE(Y339)&lt;=1,VALUE(Z339)&lt;=1),"オフショア候補",IF(AND(VALUE(Y339)&lt;=1,VALUE(Z339)&lt;=1),"ニアショア候補","社内で手順化→再評価")))))</f>
        <v/>
      </c>
      <c r="AK339">
        <f>IF(AB339&lt;&gt;"OK","",14-SUMPRODUCT(--T339:Z339))</f>
        <v/>
      </c>
      <c r="AL339" s="33">
        <f>IF(AB339&lt;&gt;"OK","",AS339*AT339/60)</f>
        <v/>
      </c>
      <c r="AM339" s="34">
        <f>IF(A339="","",UPPER(TRIM(ASC(A339&amp;""))))</f>
        <v/>
      </c>
      <c r="AN339" s="34">
        <f>IF(AM339="","",AM339&amp;"-"&amp;B339)</f>
        <v/>
      </c>
      <c r="AO339" s="34">
        <f>IF(C339="","",IFERROR(VALUE(ASC(SUBSTITUTE(C339&amp;"","観点",""))),""))</f>
        <v/>
      </c>
      <c r="AP339" s="34">
        <f>IF(D339="","",IFERROR(VALUE(LEFT(TRIM(ASC(D339&amp;"")),1)),IFERROR(MATCH(TRIM(D339&amp;""),'M2_区分マスタ'!$I$5:$I$10,0),"")))</f>
        <v/>
      </c>
      <c r="AQ339" s="34">
        <f>IF(H339="","",UPPER(LEFT(TRIM(ASC(H339&amp;"")),3)))</f>
        <v/>
      </c>
      <c r="AR339" s="34">
        <f>IF(N339="","",IFERROR(VALUE(SUBSTITUTE(SUBSTITUTE(SUBSTITUTE(SUBSTITUTE(SUBSTITUTE(SUBSTITUTE(SUBSTITUTE(SUBSTITUTE(SUBSTITUTE(SUBSTITUTE(SUBSTITUTE(SUBSTITUTE(ASC(N339&amp;""),"約",""),"程度",""),"ほど",""),"回",""),"毎",""),"週",""),"月",""),"年",""),"日",""),"に",""),"/","")," ","")),""))</f>
        <v/>
      </c>
      <c r="AS339" s="34">
        <f>IF(N339="","",IF(ISNUMBER(N339),N339,IFERROR(VALUE(ASC(N339&amp;"")),IF(AR339&lt;&gt;"",AR339*IF(ISNUMBER(SEARCH("週",N339)),4.3,IF(ISNUMBER(SEARCH("年",N339)),1/12,IF(ISNUMBER(SEARCH("日",N339)),20,1))),IF(ISNUMBER(SEARCH("日",N339)),20,IF(ISNUMBER(SEARCH("週",N339)),4.3,IF(ISNUMBER(SEARCH("月",N339)),1,"")))))))</f>
        <v/>
      </c>
      <c r="AT339" s="34">
        <f>IF(O339="","",IF(ISNUMBER(O339),O339,IFERROR(VALUE(ASC(O339&amp;"")),IF(ISNUMBER(SEARCH("時間",O339)),IFERROR(VALUE(SUBSTITUTE(SUBSTITUTE(SUBSTITUTE(SUBSTITUTE(SUBSTITUTE(ASC(O339&amp;""),"約",""),"程度",""),"ほど",""),"時間","")," ",""))*60,""),IFERROR(VALUE(SUBSTITUTE(SUBSTITUTE(SUBSTITUTE(SUBSTITUTE(SUBSTITUTE(ASC(O339&amp;""),"約",""),"程度",""),"ほど",""),"分","")," ","")),"")))))</f>
        <v/>
      </c>
      <c r="AU339" s="34">
        <f>IF(P339="","",IF(ISNUMBER(P339),P339,IFERROR(VALUE(SUBSTITUTE(SUBSTITUTE(SUBSTITUTE(ASC(P339&amp;""),"約",""),"件","")," ","")),"")))</f>
        <v/>
      </c>
      <c r="AV339" s="34">
        <f>IF(AB339&lt;&gt;"OK","",IF(COUNTIFS($G$5:$G$404,G339&amp;"",$F$5:$F$404,F339&amp;"",$BE$5:$BE$404,BE339&amp;"",$AB$5:$AB$404,"OK")&gt;1,"同名あり",""))</f>
        <v/>
      </c>
      <c r="AW339" s="35">
        <f>IF(Q339="","",IF(ISNUMBER(Q339),Q339,IFERROR(DATEVALUE(SUBSTITUTE(SUBSTITUTE(ASC(Q339&amp;""),"-","/"),".","/")&amp;"/01"),"")))</f>
        <v/>
      </c>
      <c r="AX339" s="35">
        <f>IF(R339="","",IF(ISNUMBER(R339),R339,IFERROR(DATEVALUE(SUBSTITUTE(SUBSTITUTE(ASC(R339&amp;""),"-","/"),".","/")&amp;"/01"),"")))</f>
        <v/>
      </c>
      <c r="AY339" s="34">
        <f>IF(OR(AB339&lt;&gt;"OK",AW339=""),"",IF(AW339&gt;='01_設定'!$C$26,1,0))</f>
        <v/>
      </c>
      <c r="AZ339" s="34">
        <f>IF(AND(AB339="OK",AD339&lt;&gt;"除外"),COUNTIFS($AB$5:AB339,"OK",$AD$5:AD339,"&lt;&gt;除外"),"")</f>
        <v/>
      </c>
      <c r="BA339" s="34">
        <f>IF(OR(AZ339="",AI339=""),"",AI339+ROW()/1000000000)</f>
        <v/>
      </c>
      <c r="BB339" s="34">
        <f>IF(E339="","",IF(OR(TRIM(E339&amp;"")="-",TRIM(E339&amp;"")="－",TRIM(E339&amp;"")="ー"),"",TRIM(E339&amp;"")))</f>
        <v/>
      </c>
      <c r="BC339" s="34">
        <f>IF(AND(AB339="OK",BB339&lt;&gt;""),IF(COUNTIFS($BB$5:BB339,BB339,$AB$5:AB339,"OK")=1,1,""),"")</f>
        <v/>
      </c>
      <c r="BD339" s="34">
        <f>IF(BC339=1,COUNTIF($BC$5:BC339,1),"")</f>
        <v/>
      </c>
      <c r="BE339" s="34">
        <f>IF(BB339="","",IFERROR(INDEX('06_顧客別集計'!$G$5:$G$104,MATCH(BB339,'06_顧客別集計'!$C$5:$C$104,0)),BB339))</f>
        <v/>
      </c>
      <c r="BF339" s="34">
        <f>IF(AND(AZ339&lt;&gt;"",BE339&lt;&gt;""),IF(COUNTIFS($BE$5:BE339,BE339,$AZ$5:AZ339,"&gt;0")=1,1,""),"")</f>
        <v/>
      </c>
      <c r="BG339" s="34">
        <f>IF(BF339=1,COUNTIF($BF$5:BF339,1),"")</f>
        <v/>
      </c>
    </row>
    <row r="340">
      <c r="AB340">
        <f>IF(AND(A340="",G340=""),"",IF(ISNUMBER(SEARCH("##END",AM340)),"（終わりの印）",IF(ISNUMBER(SEARCH("##続き",AM340)),"（続きありの印）",IF(AM340="調査ID","（見出し行）",IF(AND(AM340&lt;&gt;"R1",AM340&lt;&gt;"R2"),"×表以外の行（集計されない）",IF(COUNTIF($AN$5:AN340,AN340)&gt;1,"△重複（集計されない）",IF(G340="","△タスク名なし",IF(ISNA(MATCH(AQ340,'M1_類型マスタ'!$A$5:$A$19,0)),"△類型が不正",IF(OR(AP340="",N(AP340)&lt;1,N(AP340)&gt;6),"△業務区分が不正",IF(OR(AS340="",AT340=""),"△回数・分が読めない",IF(SUMPRODUCT(--ISNUMBER(--T340:Z340))&lt;7,"△採点が足りない",IF(SUMPRODUCT((--T340:Z340&gt;2)+(--T340:Z340&lt;0))&gt;0,"△採点が範囲外","OK"))))))))))))</f>
        <v/>
      </c>
      <c r="AC340">
        <f>IF(AB340&lt;&gt;"OK","",TRIM(IF(AND(AU340&lt;&gt;"",N(AU340)&lt;=1),"根拠1件 ","")&amp;IF(AV340&lt;&gt;"","同名あり ","")&amp;IF(AND(NOT(ISNUMBER(N340)),N340&lt;&gt;""),"回数を換算 ","")&amp;IF(J340="","詳細なし ","")&amp;IF(AND(N(AP340)=1,BB340=""),"顧客名なし ","")))</f>
        <v/>
      </c>
      <c r="AD340" s="31" t="n"/>
      <c r="AE340" s="32" t="n"/>
      <c r="AF340" s="32" t="n"/>
      <c r="AG340" s="31" t="n"/>
      <c r="AH340">
        <f>IF(AB340&lt;&gt;"OK","",IF(AG340&lt;&gt;"",AG340,AJ340))</f>
        <v/>
      </c>
      <c r="AI340" s="33">
        <f>IF(AB340&lt;&gt;"OK","",IFERROR(IF(AE340&lt;&gt;"",AE340,AS340)*IF(AF340&lt;&gt;"",AF340,AT340)/60,""))</f>
        <v/>
      </c>
      <c r="AJ340">
        <f>IF(AB340&lt;&gt;"OK","",IF(OR(VALUE(T340)=2,VALUE(U340)=2,VALUE(V340)=2),"社内残置",IF(AND(VALUE(T340)=0,VALUE(W340)=0,VALUE(Y340)=0),"自動化候補",IF(AND(VALUE(U340)=0,VALUE(W340)&lt;=1,VALUE(X340)&lt;=1,VALUE(Y340)&lt;=1,VALUE(Z340)&lt;=1),"オフショア候補",IF(AND(VALUE(Y340)&lt;=1,VALUE(Z340)&lt;=1),"ニアショア候補","社内で手順化→再評価")))))</f>
        <v/>
      </c>
      <c r="AK340">
        <f>IF(AB340&lt;&gt;"OK","",14-SUMPRODUCT(--T340:Z340))</f>
        <v/>
      </c>
      <c r="AL340" s="33">
        <f>IF(AB340&lt;&gt;"OK","",AS340*AT340/60)</f>
        <v/>
      </c>
      <c r="AM340" s="34">
        <f>IF(A340="","",UPPER(TRIM(ASC(A340&amp;""))))</f>
        <v/>
      </c>
      <c r="AN340" s="34">
        <f>IF(AM340="","",AM340&amp;"-"&amp;B340)</f>
        <v/>
      </c>
      <c r="AO340" s="34">
        <f>IF(C340="","",IFERROR(VALUE(ASC(SUBSTITUTE(C340&amp;"","観点",""))),""))</f>
        <v/>
      </c>
      <c r="AP340" s="34">
        <f>IF(D340="","",IFERROR(VALUE(LEFT(TRIM(ASC(D340&amp;"")),1)),IFERROR(MATCH(TRIM(D340&amp;""),'M2_区分マスタ'!$I$5:$I$10,0),"")))</f>
        <v/>
      </c>
      <c r="AQ340" s="34">
        <f>IF(H340="","",UPPER(LEFT(TRIM(ASC(H340&amp;"")),3)))</f>
        <v/>
      </c>
      <c r="AR340" s="34">
        <f>IF(N340="","",IFERROR(VALUE(SUBSTITUTE(SUBSTITUTE(SUBSTITUTE(SUBSTITUTE(SUBSTITUTE(SUBSTITUTE(SUBSTITUTE(SUBSTITUTE(SUBSTITUTE(SUBSTITUTE(SUBSTITUTE(SUBSTITUTE(ASC(N340&amp;""),"約",""),"程度",""),"ほど",""),"回",""),"毎",""),"週",""),"月",""),"年",""),"日",""),"に",""),"/","")," ","")),""))</f>
        <v/>
      </c>
      <c r="AS340" s="34">
        <f>IF(N340="","",IF(ISNUMBER(N340),N340,IFERROR(VALUE(ASC(N340&amp;"")),IF(AR340&lt;&gt;"",AR340*IF(ISNUMBER(SEARCH("週",N340)),4.3,IF(ISNUMBER(SEARCH("年",N340)),1/12,IF(ISNUMBER(SEARCH("日",N340)),20,1))),IF(ISNUMBER(SEARCH("日",N340)),20,IF(ISNUMBER(SEARCH("週",N340)),4.3,IF(ISNUMBER(SEARCH("月",N340)),1,"")))))))</f>
        <v/>
      </c>
      <c r="AT340" s="34">
        <f>IF(O340="","",IF(ISNUMBER(O340),O340,IFERROR(VALUE(ASC(O340&amp;"")),IF(ISNUMBER(SEARCH("時間",O340)),IFERROR(VALUE(SUBSTITUTE(SUBSTITUTE(SUBSTITUTE(SUBSTITUTE(SUBSTITUTE(ASC(O340&amp;""),"約",""),"程度",""),"ほど",""),"時間","")," ",""))*60,""),IFERROR(VALUE(SUBSTITUTE(SUBSTITUTE(SUBSTITUTE(SUBSTITUTE(SUBSTITUTE(ASC(O340&amp;""),"約",""),"程度",""),"ほど",""),"分","")," ","")),"")))))</f>
        <v/>
      </c>
      <c r="AU340" s="34">
        <f>IF(P340="","",IF(ISNUMBER(P340),P340,IFERROR(VALUE(SUBSTITUTE(SUBSTITUTE(SUBSTITUTE(ASC(P340&amp;""),"約",""),"件","")," ","")),"")))</f>
        <v/>
      </c>
      <c r="AV340" s="34">
        <f>IF(AB340&lt;&gt;"OK","",IF(COUNTIFS($G$5:$G$404,G340&amp;"",$F$5:$F$404,F340&amp;"",$BE$5:$BE$404,BE340&amp;"",$AB$5:$AB$404,"OK")&gt;1,"同名あり",""))</f>
        <v/>
      </c>
      <c r="AW340" s="35">
        <f>IF(Q340="","",IF(ISNUMBER(Q340),Q340,IFERROR(DATEVALUE(SUBSTITUTE(SUBSTITUTE(ASC(Q340&amp;""),"-","/"),".","/")&amp;"/01"),"")))</f>
        <v/>
      </c>
      <c r="AX340" s="35">
        <f>IF(R340="","",IF(ISNUMBER(R340),R340,IFERROR(DATEVALUE(SUBSTITUTE(SUBSTITUTE(ASC(R340&amp;""),"-","/"),".","/")&amp;"/01"),"")))</f>
        <v/>
      </c>
      <c r="AY340" s="34">
        <f>IF(OR(AB340&lt;&gt;"OK",AW340=""),"",IF(AW340&gt;='01_設定'!$C$26,1,0))</f>
        <v/>
      </c>
      <c r="AZ340" s="34">
        <f>IF(AND(AB340="OK",AD340&lt;&gt;"除外"),COUNTIFS($AB$5:AB340,"OK",$AD$5:AD340,"&lt;&gt;除外"),"")</f>
        <v/>
      </c>
      <c r="BA340" s="34">
        <f>IF(OR(AZ340="",AI340=""),"",AI340+ROW()/1000000000)</f>
        <v/>
      </c>
      <c r="BB340" s="34">
        <f>IF(E340="","",IF(OR(TRIM(E340&amp;"")="-",TRIM(E340&amp;"")="－",TRIM(E340&amp;"")="ー"),"",TRIM(E340&amp;"")))</f>
        <v/>
      </c>
      <c r="BC340" s="34">
        <f>IF(AND(AB340="OK",BB340&lt;&gt;""),IF(COUNTIFS($BB$5:BB340,BB340,$AB$5:AB340,"OK")=1,1,""),"")</f>
        <v/>
      </c>
      <c r="BD340" s="34">
        <f>IF(BC340=1,COUNTIF($BC$5:BC340,1),"")</f>
        <v/>
      </c>
      <c r="BE340" s="34">
        <f>IF(BB340="","",IFERROR(INDEX('06_顧客別集計'!$G$5:$G$104,MATCH(BB340,'06_顧客別集計'!$C$5:$C$104,0)),BB340))</f>
        <v/>
      </c>
      <c r="BF340" s="34">
        <f>IF(AND(AZ340&lt;&gt;"",BE340&lt;&gt;""),IF(COUNTIFS($BE$5:BE340,BE340,$AZ$5:AZ340,"&gt;0")=1,1,""),"")</f>
        <v/>
      </c>
      <c r="BG340" s="34">
        <f>IF(BF340=1,COUNTIF($BF$5:BF340,1),"")</f>
        <v/>
      </c>
    </row>
    <row r="341">
      <c r="AB341">
        <f>IF(AND(A341="",G341=""),"",IF(ISNUMBER(SEARCH("##END",AM341)),"（終わりの印）",IF(ISNUMBER(SEARCH("##続き",AM341)),"（続きありの印）",IF(AM341="調査ID","（見出し行）",IF(AND(AM341&lt;&gt;"R1",AM341&lt;&gt;"R2"),"×表以外の行（集計されない）",IF(COUNTIF($AN$5:AN341,AN341)&gt;1,"△重複（集計されない）",IF(G341="","△タスク名なし",IF(ISNA(MATCH(AQ341,'M1_類型マスタ'!$A$5:$A$19,0)),"△類型が不正",IF(OR(AP341="",N(AP341)&lt;1,N(AP341)&gt;6),"△業務区分が不正",IF(OR(AS341="",AT341=""),"△回数・分が読めない",IF(SUMPRODUCT(--ISNUMBER(--T341:Z341))&lt;7,"△採点が足りない",IF(SUMPRODUCT((--T341:Z341&gt;2)+(--T341:Z341&lt;0))&gt;0,"△採点が範囲外","OK"))))))))))))</f>
        <v/>
      </c>
      <c r="AC341">
        <f>IF(AB341&lt;&gt;"OK","",TRIM(IF(AND(AU341&lt;&gt;"",N(AU341)&lt;=1),"根拠1件 ","")&amp;IF(AV341&lt;&gt;"","同名あり ","")&amp;IF(AND(NOT(ISNUMBER(N341)),N341&lt;&gt;""),"回数を換算 ","")&amp;IF(J341="","詳細なし ","")&amp;IF(AND(N(AP341)=1,BB341=""),"顧客名なし ","")))</f>
        <v/>
      </c>
      <c r="AD341" s="31" t="n"/>
      <c r="AE341" s="32" t="n"/>
      <c r="AF341" s="32" t="n"/>
      <c r="AG341" s="31" t="n"/>
      <c r="AH341">
        <f>IF(AB341&lt;&gt;"OK","",IF(AG341&lt;&gt;"",AG341,AJ341))</f>
        <v/>
      </c>
      <c r="AI341" s="33">
        <f>IF(AB341&lt;&gt;"OK","",IFERROR(IF(AE341&lt;&gt;"",AE341,AS341)*IF(AF341&lt;&gt;"",AF341,AT341)/60,""))</f>
        <v/>
      </c>
      <c r="AJ341">
        <f>IF(AB341&lt;&gt;"OK","",IF(OR(VALUE(T341)=2,VALUE(U341)=2,VALUE(V341)=2),"社内残置",IF(AND(VALUE(T341)=0,VALUE(W341)=0,VALUE(Y341)=0),"自動化候補",IF(AND(VALUE(U341)=0,VALUE(W341)&lt;=1,VALUE(X341)&lt;=1,VALUE(Y341)&lt;=1,VALUE(Z341)&lt;=1),"オフショア候補",IF(AND(VALUE(Y341)&lt;=1,VALUE(Z341)&lt;=1),"ニアショア候補","社内で手順化→再評価")))))</f>
        <v/>
      </c>
      <c r="AK341">
        <f>IF(AB341&lt;&gt;"OK","",14-SUMPRODUCT(--T341:Z341))</f>
        <v/>
      </c>
      <c r="AL341" s="33">
        <f>IF(AB341&lt;&gt;"OK","",AS341*AT341/60)</f>
        <v/>
      </c>
      <c r="AM341" s="34">
        <f>IF(A341="","",UPPER(TRIM(ASC(A341&amp;""))))</f>
        <v/>
      </c>
      <c r="AN341" s="34">
        <f>IF(AM341="","",AM341&amp;"-"&amp;B341)</f>
        <v/>
      </c>
      <c r="AO341" s="34">
        <f>IF(C341="","",IFERROR(VALUE(ASC(SUBSTITUTE(C341&amp;"","観点",""))),""))</f>
        <v/>
      </c>
      <c r="AP341" s="34">
        <f>IF(D341="","",IFERROR(VALUE(LEFT(TRIM(ASC(D341&amp;"")),1)),IFERROR(MATCH(TRIM(D341&amp;""),'M2_区分マスタ'!$I$5:$I$10,0),"")))</f>
        <v/>
      </c>
      <c r="AQ341" s="34">
        <f>IF(H341="","",UPPER(LEFT(TRIM(ASC(H341&amp;"")),3)))</f>
        <v/>
      </c>
      <c r="AR341" s="34">
        <f>IF(N341="","",IFERROR(VALUE(SUBSTITUTE(SUBSTITUTE(SUBSTITUTE(SUBSTITUTE(SUBSTITUTE(SUBSTITUTE(SUBSTITUTE(SUBSTITUTE(SUBSTITUTE(SUBSTITUTE(SUBSTITUTE(SUBSTITUTE(ASC(N341&amp;""),"約",""),"程度",""),"ほど",""),"回",""),"毎",""),"週",""),"月",""),"年",""),"日",""),"に",""),"/","")," ","")),""))</f>
        <v/>
      </c>
      <c r="AS341" s="34">
        <f>IF(N341="","",IF(ISNUMBER(N341),N341,IFERROR(VALUE(ASC(N341&amp;"")),IF(AR341&lt;&gt;"",AR341*IF(ISNUMBER(SEARCH("週",N341)),4.3,IF(ISNUMBER(SEARCH("年",N341)),1/12,IF(ISNUMBER(SEARCH("日",N341)),20,1))),IF(ISNUMBER(SEARCH("日",N341)),20,IF(ISNUMBER(SEARCH("週",N341)),4.3,IF(ISNUMBER(SEARCH("月",N341)),1,"")))))))</f>
        <v/>
      </c>
      <c r="AT341" s="34">
        <f>IF(O341="","",IF(ISNUMBER(O341),O341,IFERROR(VALUE(ASC(O341&amp;"")),IF(ISNUMBER(SEARCH("時間",O341)),IFERROR(VALUE(SUBSTITUTE(SUBSTITUTE(SUBSTITUTE(SUBSTITUTE(SUBSTITUTE(ASC(O341&amp;""),"約",""),"程度",""),"ほど",""),"時間","")," ",""))*60,""),IFERROR(VALUE(SUBSTITUTE(SUBSTITUTE(SUBSTITUTE(SUBSTITUTE(SUBSTITUTE(ASC(O341&amp;""),"約",""),"程度",""),"ほど",""),"分","")," ","")),"")))))</f>
        <v/>
      </c>
      <c r="AU341" s="34">
        <f>IF(P341="","",IF(ISNUMBER(P341),P341,IFERROR(VALUE(SUBSTITUTE(SUBSTITUTE(SUBSTITUTE(ASC(P341&amp;""),"約",""),"件","")," ","")),"")))</f>
        <v/>
      </c>
      <c r="AV341" s="34">
        <f>IF(AB341&lt;&gt;"OK","",IF(COUNTIFS($G$5:$G$404,G341&amp;"",$F$5:$F$404,F341&amp;"",$BE$5:$BE$404,BE341&amp;"",$AB$5:$AB$404,"OK")&gt;1,"同名あり",""))</f>
        <v/>
      </c>
      <c r="AW341" s="35">
        <f>IF(Q341="","",IF(ISNUMBER(Q341),Q341,IFERROR(DATEVALUE(SUBSTITUTE(SUBSTITUTE(ASC(Q341&amp;""),"-","/"),".","/")&amp;"/01"),"")))</f>
        <v/>
      </c>
      <c r="AX341" s="35">
        <f>IF(R341="","",IF(ISNUMBER(R341),R341,IFERROR(DATEVALUE(SUBSTITUTE(SUBSTITUTE(ASC(R341&amp;""),"-","/"),".","/")&amp;"/01"),"")))</f>
        <v/>
      </c>
      <c r="AY341" s="34">
        <f>IF(OR(AB341&lt;&gt;"OK",AW341=""),"",IF(AW341&gt;='01_設定'!$C$26,1,0))</f>
        <v/>
      </c>
      <c r="AZ341" s="34">
        <f>IF(AND(AB341="OK",AD341&lt;&gt;"除外"),COUNTIFS($AB$5:AB341,"OK",$AD$5:AD341,"&lt;&gt;除外"),"")</f>
        <v/>
      </c>
      <c r="BA341" s="34">
        <f>IF(OR(AZ341="",AI341=""),"",AI341+ROW()/1000000000)</f>
        <v/>
      </c>
      <c r="BB341" s="34">
        <f>IF(E341="","",IF(OR(TRIM(E341&amp;"")="-",TRIM(E341&amp;"")="－",TRIM(E341&amp;"")="ー"),"",TRIM(E341&amp;"")))</f>
        <v/>
      </c>
      <c r="BC341" s="34">
        <f>IF(AND(AB341="OK",BB341&lt;&gt;""),IF(COUNTIFS($BB$5:BB341,BB341,$AB$5:AB341,"OK")=1,1,""),"")</f>
        <v/>
      </c>
      <c r="BD341" s="34">
        <f>IF(BC341=1,COUNTIF($BC$5:BC341,1),"")</f>
        <v/>
      </c>
      <c r="BE341" s="34">
        <f>IF(BB341="","",IFERROR(INDEX('06_顧客別集計'!$G$5:$G$104,MATCH(BB341,'06_顧客別集計'!$C$5:$C$104,0)),BB341))</f>
        <v/>
      </c>
      <c r="BF341" s="34">
        <f>IF(AND(AZ341&lt;&gt;"",BE341&lt;&gt;""),IF(COUNTIFS($BE$5:BE341,BE341,$AZ$5:AZ341,"&gt;0")=1,1,""),"")</f>
        <v/>
      </c>
      <c r="BG341" s="34">
        <f>IF(BF341=1,COUNTIF($BF$5:BF341,1),"")</f>
        <v/>
      </c>
    </row>
    <row r="342">
      <c r="AB342">
        <f>IF(AND(A342="",G342=""),"",IF(ISNUMBER(SEARCH("##END",AM342)),"（終わりの印）",IF(ISNUMBER(SEARCH("##続き",AM342)),"（続きありの印）",IF(AM342="調査ID","（見出し行）",IF(AND(AM342&lt;&gt;"R1",AM342&lt;&gt;"R2"),"×表以外の行（集計されない）",IF(COUNTIF($AN$5:AN342,AN342)&gt;1,"△重複（集計されない）",IF(G342="","△タスク名なし",IF(ISNA(MATCH(AQ342,'M1_類型マスタ'!$A$5:$A$19,0)),"△類型が不正",IF(OR(AP342="",N(AP342)&lt;1,N(AP342)&gt;6),"△業務区分が不正",IF(OR(AS342="",AT342=""),"△回数・分が読めない",IF(SUMPRODUCT(--ISNUMBER(--T342:Z342))&lt;7,"△採点が足りない",IF(SUMPRODUCT((--T342:Z342&gt;2)+(--T342:Z342&lt;0))&gt;0,"△採点が範囲外","OK"))))))))))))</f>
        <v/>
      </c>
      <c r="AC342">
        <f>IF(AB342&lt;&gt;"OK","",TRIM(IF(AND(AU342&lt;&gt;"",N(AU342)&lt;=1),"根拠1件 ","")&amp;IF(AV342&lt;&gt;"","同名あり ","")&amp;IF(AND(NOT(ISNUMBER(N342)),N342&lt;&gt;""),"回数を換算 ","")&amp;IF(J342="","詳細なし ","")&amp;IF(AND(N(AP342)=1,BB342=""),"顧客名なし ","")))</f>
        <v/>
      </c>
      <c r="AD342" s="31" t="n"/>
      <c r="AE342" s="32" t="n"/>
      <c r="AF342" s="32" t="n"/>
      <c r="AG342" s="31" t="n"/>
      <c r="AH342">
        <f>IF(AB342&lt;&gt;"OK","",IF(AG342&lt;&gt;"",AG342,AJ342))</f>
        <v/>
      </c>
      <c r="AI342" s="33">
        <f>IF(AB342&lt;&gt;"OK","",IFERROR(IF(AE342&lt;&gt;"",AE342,AS342)*IF(AF342&lt;&gt;"",AF342,AT342)/60,""))</f>
        <v/>
      </c>
      <c r="AJ342">
        <f>IF(AB342&lt;&gt;"OK","",IF(OR(VALUE(T342)=2,VALUE(U342)=2,VALUE(V342)=2),"社内残置",IF(AND(VALUE(T342)=0,VALUE(W342)=0,VALUE(Y342)=0),"自動化候補",IF(AND(VALUE(U342)=0,VALUE(W342)&lt;=1,VALUE(X342)&lt;=1,VALUE(Y342)&lt;=1,VALUE(Z342)&lt;=1),"オフショア候補",IF(AND(VALUE(Y342)&lt;=1,VALUE(Z342)&lt;=1),"ニアショア候補","社内で手順化→再評価")))))</f>
        <v/>
      </c>
      <c r="AK342">
        <f>IF(AB342&lt;&gt;"OK","",14-SUMPRODUCT(--T342:Z342))</f>
        <v/>
      </c>
      <c r="AL342" s="33">
        <f>IF(AB342&lt;&gt;"OK","",AS342*AT342/60)</f>
        <v/>
      </c>
      <c r="AM342" s="34">
        <f>IF(A342="","",UPPER(TRIM(ASC(A342&amp;""))))</f>
        <v/>
      </c>
      <c r="AN342" s="34">
        <f>IF(AM342="","",AM342&amp;"-"&amp;B342)</f>
        <v/>
      </c>
      <c r="AO342" s="34">
        <f>IF(C342="","",IFERROR(VALUE(ASC(SUBSTITUTE(C342&amp;"","観点",""))),""))</f>
        <v/>
      </c>
      <c r="AP342" s="34">
        <f>IF(D342="","",IFERROR(VALUE(LEFT(TRIM(ASC(D342&amp;"")),1)),IFERROR(MATCH(TRIM(D342&amp;""),'M2_区分マスタ'!$I$5:$I$10,0),"")))</f>
        <v/>
      </c>
      <c r="AQ342" s="34">
        <f>IF(H342="","",UPPER(LEFT(TRIM(ASC(H342&amp;"")),3)))</f>
        <v/>
      </c>
      <c r="AR342" s="34">
        <f>IF(N342="","",IFERROR(VALUE(SUBSTITUTE(SUBSTITUTE(SUBSTITUTE(SUBSTITUTE(SUBSTITUTE(SUBSTITUTE(SUBSTITUTE(SUBSTITUTE(SUBSTITUTE(SUBSTITUTE(SUBSTITUTE(SUBSTITUTE(ASC(N342&amp;""),"約",""),"程度",""),"ほど",""),"回",""),"毎",""),"週",""),"月",""),"年",""),"日",""),"に",""),"/","")," ","")),""))</f>
        <v/>
      </c>
      <c r="AS342" s="34">
        <f>IF(N342="","",IF(ISNUMBER(N342),N342,IFERROR(VALUE(ASC(N342&amp;"")),IF(AR342&lt;&gt;"",AR342*IF(ISNUMBER(SEARCH("週",N342)),4.3,IF(ISNUMBER(SEARCH("年",N342)),1/12,IF(ISNUMBER(SEARCH("日",N342)),20,1))),IF(ISNUMBER(SEARCH("日",N342)),20,IF(ISNUMBER(SEARCH("週",N342)),4.3,IF(ISNUMBER(SEARCH("月",N342)),1,"")))))))</f>
        <v/>
      </c>
      <c r="AT342" s="34">
        <f>IF(O342="","",IF(ISNUMBER(O342),O342,IFERROR(VALUE(ASC(O342&amp;"")),IF(ISNUMBER(SEARCH("時間",O342)),IFERROR(VALUE(SUBSTITUTE(SUBSTITUTE(SUBSTITUTE(SUBSTITUTE(SUBSTITUTE(ASC(O342&amp;""),"約",""),"程度",""),"ほど",""),"時間","")," ",""))*60,""),IFERROR(VALUE(SUBSTITUTE(SUBSTITUTE(SUBSTITUTE(SUBSTITUTE(SUBSTITUTE(ASC(O342&amp;""),"約",""),"程度",""),"ほど",""),"分","")," ","")),"")))))</f>
        <v/>
      </c>
      <c r="AU342" s="34">
        <f>IF(P342="","",IF(ISNUMBER(P342),P342,IFERROR(VALUE(SUBSTITUTE(SUBSTITUTE(SUBSTITUTE(ASC(P342&amp;""),"約",""),"件","")," ","")),"")))</f>
        <v/>
      </c>
      <c r="AV342" s="34">
        <f>IF(AB342&lt;&gt;"OK","",IF(COUNTIFS($G$5:$G$404,G342&amp;"",$F$5:$F$404,F342&amp;"",$BE$5:$BE$404,BE342&amp;"",$AB$5:$AB$404,"OK")&gt;1,"同名あり",""))</f>
        <v/>
      </c>
      <c r="AW342" s="35">
        <f>IF(Q342="","",IF(ISNUMBER(Q342),Q342,IFERROR(DATEVALUE(SUBSTITUTE(SUBSTITUTE(ASC(Q342&amp;""),"-","/"),".","/")&amp;"/01"),"")))</f>
        <v/>
      </c>
      <c r="AX342" s="35">
        <f>IF(R342="","",IF(ISNUMBER(R342),R342,IFERROR(DATEVALUE(SUBSTITUTE(SUBSTITUTE(ASC(R342&amp;""),"-","/"),".","/")&amp;"/01"),"")))</f>
        <v/>
      </c>
      <c r="AY342" s="34">
        <f>IF(OR(AB342&lt;&gt;"OK",AW342=""),"",IF(AW342&gt;='01_設定'!$C$26,1,0))</f>
        <v/>
      </c>
      <c r="AZ342" s="34">
        <f>IF(AND(AB342="OK",AD342&lt;&gt;"除外"),COUNTIFS($AB$5:AB342,"OK",$AD$5:AD342,"&lt;&gt;除外"),"")</f>
        <v/>
      </c>
      <c r="BA342" s="34">
        <f>IF(OR(AZ342="",AI342=""),"",AI342+ROW()/1000000000)</f>
        <v/>
      </c>
      <c r="BB342" s="34">
        <f>IF(E342="","",IF(OR(TRIM(E342&amp;"")="-",TRIM(E342&amp;"")="－",TRIM(E342&amp;"")="ー"),"",TRIM(E342&amp;"")))</f>
        <v/>
      </c>
      <c r="BC342" s="34">
        <f>IF(AND(AB342="OK",BB342&lt;&gt;""),IF(COUNTIFS($BB$5:BB342,BB342,$AB$5:AB342,"OK")=1,1,""),"")</f>
        <v/>
      </c>
      <c r="BD342" s="34">
        <f>IF(BC342=1,COUNTIF($BC$5:BC342,1),"")</f>
        <v/>
      </c>
      <c r="BE342" s="34">
        <f>IF(BB342="","",IFERROR(INDEX('06_顧客別集計'!$G$5:$G$104,MATCH(BB342,'06_顧客別集計'!$C$5:$C$104,0)),BB342))</f>
        <v/>
      </c>
      <c r="BF342" s="34">
        <f>IF(AND(AZ342&lt;&gt;"",BE342&lt;&gt;""),IF(COUNTIFS($BE$5:BE342,BE342,$AZ$5:AZ342,"&gt;0")=1,1,""),"")</f>
        <v/>
      </c>
      <c r="BG342" s="34">
        <f>IF(BF342=1,COUNTIF($BF$5:BF342,1),"")</f>
        <v/>
      </c>
    </row>
    <row r="343">
      <c r="AB343">
        <f>IF(AND(A343="",G343=""),"",IF(ISNUMBER(SEARCH("##END",AM343)),"（終わりの印）",IF(ISNUMBER(SEARCH("##続き",AM343)),"（続きありの印）",IF(AM343="調査ID","（見出し行）",IF(AND(AM343&lt;&gt;"R1",AM343&lt;&gt;"R2"),"×表以外の行（集計されない）",IF(COUNTIF($AN$5:AN343,AN343)&gt;1,"△重複（集計されない）",IF(G343="","△タスク名なし",IF(ISNA(MATCH(AQ343,'M1_類型マスタ'!$A$5:$A$19,0)),"△類型が不正",IF(OR(AP343="",N(AP343)&lt;1,N(AP343)&gt;6),"△業務区分が不正",IF(OR(AS343="",AT343=""),"△回数・分が読めない",IF(SUMPRODUCT(--ISNUMBER(--T343:Z343))&lt;7,"△採点が足りない",IF(SUMPRODUCT((--T343:Z343&gt;2)+(--T343:Z343&lt;0))&gt;0,"△採点が範囲外","OK"))))))))))))</f>
        <v/>
      </c>
      <c r="AC343">
        <f>IF(AB343&lt;&gt;"OK","",TRIM(IF(AND(AU343&lt;&gt;"",N(AU343)&lt;=1),"根拠1件 ","")&amp;IF(AV343&lt;&gt;"","同名あり ","")&amp;IF(AND(NOT(ISNUMBER(N343)),N343&lt;&gt;""),"回数を換算 ","")&amp;IF(J343="","詳細なし ","")&amp;IF(AND(N(AP343)=1,BB343=""),"顧客名なし ","")))</f>
        <v/>
      </c>
      <c r="AD343" s="31" t="n"/>
      <c r="AE343" s="32" t="n"/>
      <c r="AF343" s="32" t="n"/>
      <c r="AG343" s="31" t="n"/>
      <c r="AH343">
        <f>IF(AB343&lt;&gt;"OK","",IF(AG343&lt;&gt;"",AG343,AJ343))</f>
        <v/>
      </c>
      <c r="AI343" s="33">
        <f>IF(AB343&lt;&gt;"OK","",IFERROR(IF(AE343&lt;&gt;"",AE343,AS343)*IF(AF343&lt;&gt;"",AF343,AT343)/60,""))</f>
        <v/>
      </c>
      <c r="AJ343">
        <f>IF(AB343&lt;&gt;"OK","",IF(OR(VALUE(T343)=2,VALUE(U343)=2,VALUE(V343)=2),"社内残置",IF(AND(VALUE(T343)=0,VALUE(W343)=0,VALUE(Y343)=0),"自動化候補",IF(AND(VALUE(U343)=0,VALUE(W343)&lt;=1,VALUE(X343)&lt;=1,VALUE(Y343)&lt;=1,VALUE(Z343)&lt;=1),"オフショア候補",IF(AND(VALUE(Y343)&lt;=1,VALUE(Z343)&lt;=1),"ニアショア候補","社内で手順化→再評価")))))</f>
        <v/>
      </c>
      <c r="AK343">
        <f>IF(AB343&lt;&gt;"OK","",14-SUMPRODUCT(--T343:Z343))</f>
        <v/>
      </c>
      <c r="AL343" s="33">
        <f>IF(AB343&lt;&gt;"OK","",AS343*AT343/60)</f>
        <v/>
      </c>
      <c r="AM343" s="34">
        <f>IF(A343="","",UPPER(TRIM(ASC(A343&amp;""))))</f>
        <v/>
      </c>
      <c r="AN343" s="34">
        <f>IF(AM343="","",AM343&amp;"-"&amp;B343)</f>
        <v/>
      </c>
      <c r="AO343" s="34">
        <f>IF(C343="","",IFERROR(VALUE(ASC(SUBSTITUTE(C343&amp;"","観点",""))),""))</f>
        <v/>
      </c>
      <c r="AP343" s="34">
        <f>IF(D343="","",IFERROR(VALUE(LEFT(TRIM(ASC(D343&amp;"")),1)),IFERROR(MATCH(TRIM(D343&amp;""),'M2_区分マスタ'!$I$5:$I$10,0),"")))</f>
        <v/>
      </c>
      <c r="AQ343" s="34">
        <f>IF(H343="","",UPPER(LEFT(TRIM(ASC(H343&amp;"")),3)))</f>
        <v/>
      </c>
      <c r="AR343" s="34">
        <f>IF(N343="","",IFERROR(VALUE(SUBSTITUTE(SUBSTITUTE(SUBSTITUTE(SUBSTITUTE(SUBSTITUTE(SUBSTITUTE(SUBSTITUTE(SUBSTITUTE(SUBSTITUTE(SUBSTITUTE(SUBSTITUTE(SUBSTITUTE(ASC(N343&amp;""),"約",""),"程度",""),"ほど",""),"回",""),"毎",""),"週",""),"月",""),"年",""),"日",""),"に",""),"/","")," ","")),""))</f>
        <v/>
      </c>
      <c r="AS343" s="34">
        <f>IF(N343="","",IF(ISNUMBER(N343),N343,IFERROR(VALUE(ASC(N343&amp;"")),IF(AR343&lt;&gt;"",AR343*IF(ISNUMBER(SEARCH("週",N343)),4.3,IF(ISNUMBER(SEARCH("年",N343)),1/12,IF(ISNUMBER(SEARCH("日",N343)),20,1))),IF(ISNUMBER(SEARCH("日",N343)),20,IF(ISNUMBER(SEARCH("週",N343)),4.3,IF(ISNUMBER(SEARCH("月",N343)),1,"")))))))</f>
        <v/>
      </c>
      <c r="AT343" s="34">
        <f>IF(O343="","",IF(ISNUMBER(O343),O343,IFERROR(VALUE(ASC(O343&amp;"")),IF(ISNUMBER(SEARCH("時間",O343)),IFERROR(VALUE(SUBSTITUTE(SUBSTITUTE(SUBSTITUTE(SUBSTITUTE(SUBSTITUTE(ASC(O343&amp;""),"約",""),"程度",""),"ほど",""),"時間","")," ",""))*60,""),IFERROR(VALUE(SUBSTITUTE(SUBSTITUTE(SUBSTITUTE(SUBSTITUTE(SUBSTITUTE(ASC(O343&amp;""),"約",""),"程度",""),"ほど",""),"分","")," ","")),"")))))</f>
        <v/>
      </c>
      <c r="AU343" s="34">
        <f>IF(P343="","",IF(ISNUMBER(P343),P343,IFERROR(VALUE(SUBSTITUTE(SUBSTITUTE(SUBSTITUTE(ASC(P343&amp;""),"約",""),"件","")," ","")),"")))</f>
        <v/>
      </c>
      <c r="AV343" s="34">
        <f>IF(AB343&lt;&gt;"OK","",IF(COUNTIFS($G$5:$G$404,G343&amp;"",$F$5:$F$404,F343&amp;"",$BE$5:$BE$404,BE343&amp;"",$AB$5:$AB$404,"OK")&gt;1,"同名あり",""))</f>
        <v/>
      </c>
      <c r="AW343" s="35">
        <f>IF(Q343="","",IF(ISNUMBER(Q343),Q343,IFERROR(DATEVALUE(SUBSTITUTE(SUBSTITUTE(ASC(Q343&amp;""),"-","/"),".","/")&amp;"/01"),"")))</f>
        <v/>
      </c>
      <c r="AX343" s="35">
        <f>IF(R343="","",IF(ISNUMBER(R343),R343,IFERROR(DATEVALUE(SUBSTITUTE(SUBSTITUTE(ASC(R343&amp;""),"-","/"),".","/")&amp;"/01"),"")))</f>
        <v/>
      </c>
      <c r="AY343" s="34">
        <f>IF(OR(AB343&lt;&gt;"OK",AW343=""),"",IF(AW343&gt;='01_設定'!$C$26,1,0))</f>
        <v/>
      </c>
      <c r="AZ343" s="34">
        <f>IF(AND(AB343="OK",AD343&lt;&gt;"除外"),COUNTIFS($AB$5:AB343,"OK",$AD$5:AD343,"&lt;&gt;除外"),"")</f>
        <v/>
      </c>
      <c r="BA343" s="34">
        <f>IF(OR(AZ343="",AI343=""),"",AI343+ROW()/1000000000)</f>
        <v/>
      </c>
      <c r="BB343" s="34">
        <f>IF(E343="","",IF(OR(TRIM(E343&amp;"")="-",TRIM(E343&amp;"")="－",TRIM(E343&amp;"")="ー"),"",TRIM(E343&amp;"")))</f>
        <v/>
      </c>
      <c r="BC343" s="34">
        <f>IF(AND(AB343="OK",BB343&lt;&gt;""),IF(COUNTIFS($BB$5:BB343,BB343,$AB$5:AB343,"OK")=1,1,""),"")</f>
        <v/>
      </c>
      <c r="BD343" s="34">
        <f>IF(BC343=1,COUNTIF($BC$5:BC343,1),"")</f>
        <v/>
      </c>
      <c r="BE343" s="34">
        <f>IF(BB343="","",IFERROR(INDEX('06_顧客別集計'!$G$5:$G$104,MATCH(BB343,'06_顧客別集計'!$C$5:$C$104,0)),BB343))</f>
        <v/>
      </c>
      <c r="BF343" s="34">
        <f>IF(AND(AZ343&lt;&gt;"",BE343&lt;&gt;""),IF(COUNTIFS($BE$5:BE343,BE343,$AZ$5:AZ343,"&gt;0")=1,1,""),"")</f>
        <v/>
      </c>
      <c r="BG343" s="34">
        <f>IF(BF343=1,COUNTIF($BF$5:BF343,1),"")</f>
        <v/>
      </c>
    </row>
    <row r="344">
      <c r="AB344">
        <f>IF(AND(A344="",G344=""),"",IF(ISNUMBER(SEARCH("##END",AM344)),"（終わりの印）",IF(ISNUMBER(SEARCH("##続き",AM344)),"（続きありの印）",IF(AM344="調査ID","（見出し行）",IF(AND(AM344&lt;&gt;"R1",AM344&lt;&gt;"R2"),"×表以外の行（集計されない）",IF(COUNTIF($AN$5:AN344,AN344)&gt;1,"△重複（集計されない）",IF(G344="","△タスク名なし",IF(ISNA(MATCH(AQ344,'M1_類型マスタ'!$A$5:$A$19,0)),"△類型が不正",IF(OR(AP344="",N(AP344)&lt;1,N(AP344)&gt;6),"△業務区分が不正",IF(OR(AS344="",AT344=""),"△回数・分が読めない",IF(SUMPRODUCT(--ISNUMBER(--T344:Z344))&lt;7,"△採点が足りない",IF(SUMPRODUCT((--T344:Z344&gt;2)+(--T344:Z344&lt;0))&gt;0,"△採点が範囲外","OK"))))))))))))</f>
        <v/>
      </c>
      <c r="AC344">
        <f>IF(AB344&lt;&gt;"OK","",TRIM(IF(AND(AU344&lt;&gt;"",N(AU344)&lt;=1),"根拠1件 ","")&amp;IF(AV344&lt;&gt;"","同名あり ","")&amp;IF(AND(NOT(ISNUMBER(N344)),N344&lt;&gt;""),"回数を換算 ","")&amp;IF(J344="","詳細なし ","")&amp;IF(AND(N(AP344)=1,BB344=""),"顧客名なし ","")))</f>
        <v/>
      </c>
      <c r="AD344" s="31" t="n"/>
      <c r="AE344" s="32" t="n"/>
      <c r="AF344" s="32" t="n"/>
      <c r="AG344" s="31" t="n"/>
      <c r="AH344">
        <f>IF(AB344&lt;&gt;"OK","",IF(AG344&lt;&gt;"",AG344,AJ344))</f>
        <v/>
      </c>
      <c r="AI344" s="33">
        <f>IF(AB344&lt;&gt;"OK","",IFERROR(IF(AE344&lt;&gt;"",AE344,AS344)*IF(AF344&lt;&gt;"",AF344,AT344)/60,""))</f>
        <v/>
      </c>
      <c r="AJ344">
        <f>IF(AB344&lt;&gt;"OK","",IF(OR(VALUE(T344)=2,VALUE(U344)=2,VALUE(V344)=2),"社内残置",IF(AND(VALUE(T344)=0,VALUE(W344)=0,VALUE(Y344)=0),"自動化候補",IF(AND(VALUE(U344)=0,VALUE(W344)&lt;=1,VALUE(X344)&lt;=1,VALUE(Y344)&lt;=1,VALUE(Z344)&lt;=1),"オフショア候補",IF(AND(VALUE(Y344)&lt;=1,VALUE(Z344)&lt;=1),"ニアショア候補","社内で手順化→再評価")))))</f>
        <v/>
      </c>
      <c r="AK344">
        <f>IF(AB344&lt;&gt;"OK","",14-SUMPRODUCT(--T344:Z344))</f>
        <v/>
      </c>
      <c r="AL344" s="33">
        <f>IF(AB344&lt;&gt;"OK","",AS344*AT344/60)</f>
        <v/>
      </c>
      <c r="AM344" s="34">
        <f>IF(A344="","",UPPER(TRIM(ASC(A344&amp;""))))</f>
        <v/>
      </c>
      <c r="AN344" s="34">
        <f>IF(AM344="","",AM344&amp;"-"&amp;B344)</f>
        <v/>
      </c>
      <c r="AO344" s="34">
        <f>IF(C344="","",IFERROR(VALUE(ASC(SUBSTITUTE(C344&amp;"","観点",""))),""))</f>
        <v/>
      </c>
      <c r="AP344" s="34">
        <f>IF(D344="","",IFERROR(VALUE(LEFT(TRIM(ASC(D344&amp;"")),1)),IFERROR(MATCH(TRIM(D344&amp;""),'M2_区分マスタ'!$I$5:$I$10,0),"")))</f>
        <v/>
      </c>
      <c r="AQ344" s="34">
        <f>IF(H344="","",UPPER(LEFT(TRIM(ASC(H344&amp;"")),3)))</f>
        <v/>
      </c>
      <c r="AR344" s="34">
        <f>IF(N344="","",IFERROR(VALUE(SUBSTITUTE(SUBSTITUTE(SUBSTITUTE(SUBSTITUTE(SUBSTITUTE(SUBSTITUTE(SUBSTITUTE(SUBSTITUTE(SUBSTITUTE(SUBSTITUTE(SUBSTITUTE(SUBSTITUTE(ASC(N344&amp;""),"約",""),"程度",""),"ほど",""),"回",""),"毎",""),"週",""),"月",""),"年",""),"日",""),"に",""),"/","")," ","")),""))</f>
        <v/>
      </c>
      <c r="AS344" s="34">
        <f>IF(N344="","",IF(ISNUMBER(N344),N344,IFERROR(VALUE(ASC(N344&amp;"")),IF(AR344&lt;&gt;"",AR344*IF(ISNUMBER(SEARCH("週",N344)),4.3,IF(ISNUMBER(SEARCH("年",N344)),1/12,IF(ISNUMBER(SEARCH("日",N344)),20,1))),IF(ISNUMBER(SEARCH("日",N344)),20,IF(ISNUMBER(SEARCH("週",N344)),4.3,IF(ISNUMBER(SEARCH("月",N344)),1,"")))))))</f>
        <v/>
      </c>
      <c r="AT344" s="34">
        <f>IF(O344="","",IF(ISNUMBER(O344),O344,IFERROR(VALUE(ASC(O344&amp;"")),IF(ISNUMBER(SEARCH("時間",O344)),IFERROR(VALUE(SUBSTITUTE(SUBSTITUTE(SUBSTITUTE(SUBSTITUTE(SUBSTITUTE(ASC(O344&amp;""),"約",""),"程度",""),"ほど",""),"時間","")," ",""))*60,""),IFERROR(VALUE(SUBSTITUTE(SUBSTITUTE(SUBSTITUTE(SUBSTITUTE(SUBSTITUTE(ASC(O344&amp;""),"約",""),"程度",""),"ほど",""),"分","")," ","")),"")))))</f>
        <v/>
      </c>
      <c r="AU344" s="34">
        <f>IF(P344="","",IF(ISNUMBER(P344),P344,IFERROR(VALUE(SUBSTITUTE(SUBSTITUTE(SUBSTITUTE(ASC(P344&amp;""),"約",""),"件","")," ","")),"")))</f>
        <v/>
      </c>
      <c r="AV344" s="34">
        <f>IF(AB344&lt;&gt;"OK","",IF(COUNTIFS($G$5:$G$404,G344&amp;"",$F$5:$F$404,F344&amp;"",$BE$5:$BE$404,BE344&amp;"",$AB$5:$AB$404,"OK")&gt;1,"同名あり",""))</f>
        <v/>
      </c>
      <c r="AW344" s="35">
        <f>IF(Q344="","",IF(ISNUMBER(Q344),Q344,IFERROR(DATEVALUE(SUBSTITUTE(SUBSTITUTE(ASC(Q344&amp;""),"-","/"),".","/")&amp;"/01"),"")))</f>
        <v/>
      </c>
      <c r="AX344" s="35">
        <f>IF(R344="","",IF(ISNUMBER(R344),R344,IFERROR(DATEVALUE(SUBSTITUTE(SUBSTITUTE(ASC(R344&amp;""),"-","/"),".","/")&amp;"/01"),"")))</f>
        <v/>
      </c>
      <c r="AY344" s="34">
        <f>IF(OR(AB344&lt;&gt;"OK",AW344=""),"",IF(AW344&gt;='01_設定'!$C$26,1,0))</f>
        <v/>
      </c>
      <c r="AZ344" s="34">
        <f>IF(AND(AB344="OK",AD344&lt;&gt;"除外"),COUNTIFS($AB$5:AB344,"OK",$AD$5:AD344,"&lt;&gt;除外"),"")</f>
        <v/>
      </c>
      <c r="BA344" s="34">
        <f>IF(OR(AZ344="",AI344=""),"",AI344+ROW()/1000000000)</f>
        <v/>
      </c>
      <c r="BB344" s="34">
        <f>IF(E344="","",IF(OR(TRIM(E344&amp;"")="-",TRIM(E344&amp;"")="－",TRIM(E344&amp;"")="ー"),"",TRIM(E344&amp;"")))</f>
        <v/>
      </c>
      <c r="BC344" s="34">
        <f>IF(AND(AB344="OK",BB344&lt;&gt;""),IF(COUNTIFS($BB$5:BB344,BB344,$AB$5:AB344,"OK")=1,1,""),"")</f>
        <v/>
      </c>
      <c r="BD344" s="34">
        <f>IF(BC344=1,COUNTIF($BC$5:BC344,1),"")</f>
        <v/>
      </c>
      <c r="BE344" s="34">
        <f>IF(BB344="","",IFERROR(INDEX('06_顧客別集計'!$G$5:$G$104,MATCH(BB344,'06_顧客別集計'!$C$5:$C$104,0)),BB344))</f>
        <v/>
      </c>
      <c r="BF344" s="34">
        <f>IF(AND(AZ344&lt;&gt;"",BE344&lt;&gt;""),IF(COUNTIFS($BE$5:BE344,BE344,$AZ$5:AZ344,"&gt;0")=1,1,""),"")</f>
        <v/>
      </c>
      <c r="BG344" s="34">
        <f>IF(BF344=1,COUNTIF($BF$5:BF344,1),"")</f>
        <v/>
      </c>
    </row>
    <row r="345">
      <c r="AB345">
        <f>IF(AND(A345="",G345=""),"",IF(ISNUMBER(SEARCH("##END",AM345)),"（終わりの印）",IF(ISNUMBER(SEARCH("##続き",AM345)),"（続きありの印）",IF(AM345="調査ID","（見出し行）",IF(AND(AM345&lt;&gt;"R1",AM345&lt;&gt;"R2"),"×表以外の行（集計されない）",IF(COUNTIF($AN$5:AN345,AN345)&gt;1,"△重複（集計されない）",IF(G345="","△タスク名なし",IF(ISNA(MATCH(AQ345,'M1_類型マスタ'!$A$5:$A$19,0)),"△類型が不正",IF(OR(AP345="",N(AP345)&lt;1,N(AP345)&gt;6),"△業務区分が不正",IF(OR(AS345="",AT345=""),"△回数・分が読めない",IF(SUMPRODUCT(--ISNUMBER(--T345:Z345))&lt;7,"△採点が足りない",IF(SUMPRODUCT((--T345:Z345&gt;2)+(--T345:Z345&lt;0))&gt;0,"△採点が範囲外","OK"))))))))))))</f>
        <v/>
      </c>
      <c r="AC345">
        <f>IF(AB345&lt;&gt;"OK","",TRIM(IF(AND(AU345&lt;&gt;"",N(AU345)&lt;=1),"根拠1件 ","")&amp;IF(AV345&lt;&gt;"","同名あり ","")&amp;IF(AND(NOT(ISNUMBER(N345)),N345&lt;&gt;""),"回数を換算 ","")&amp;IF(J345="","詳細なし ","")&amp;IF(AND(N(AP345)=1,BB345=""),"顧客名なし ","")))</f>
        <v/>
      </c>
      <c r="AD345" s="31" t="n"/>
      <c r="AE345" s="32" t="n"/>
      <c r="AF345" s="32" t="n"/>
      <c r="AG345" s="31" t="n"/>
      <c r="AH345">
        <f>IF(AB345&lt;&gt;"OK","",IF(AG345&lt;&gt;"",AG345,AJ345))</f>
        <v/>
      </c>
      <c r="AI345" s="33">
        <f>IF(AB345&lt;&gt;"OK","",IFERROR(IF(AE345&lt;&gt;"",AE345,AS345)*IF(AF345&lt;&gt;"",AF345,AT345)/60,""))</f>
        <v/>
      </c>
      <c r="AJ345">
        <f>IF(AB345&lt;&gt;"OK","",IF(OR(VALUE(T345)=2,VALUE(U345)=2,VALUE(V345)=2),"社内残置",IF(AND(VALUE(T345)=0,VALUE(W345)=0,VALUE(Y345)=0),"自動化候補",IF(AND(VALUE(U345)=0,VALUE(W345)&lt;=1,VALUE(X345)&lt;=1,VALUE(Y345)&lt;=1,VALUE(Z345)&lt;=1),"オフショア候補",IF(AND(VALUE(Y345)&lt;=1,VALUE(Z345)&lt;=1),"ニアショア候補","社内で手順化→再評価")))))</f>
        <v/>
      </c>
      <c r="AK345">
        <f>IF(AB345&lt;&gt;"OK","",14-SUMPRODUCT(--T345:Z345))</f>
        <v/>
      </c>
      <c r="AL345" s="33">
        <f>IF(AB345&lt;&gt;"OK","",AS345*AT345/60)</f>
        <v/>
      </c>
      <c r="AM345" s="34">
        <f>IF(A345="","",UPPER(TRIM(ASC(A345&amp;""))))</f>
        <v/>
      </c>
      <c r="AN345" s="34">
        <f>IF(AM345="","",AM345&amp;"-"&amp;B345)</f>
        <v/>
      </c>
      <c r="AO345" s="34">
        <f>IF(C345="","",IFERROR(VALUE(ASC(SUBSTITUTE(C345&amp;"","観点",""))),""))</f>
        <v/>
      </c>
      <c r="AP345" s="34">
        <f>IF(D345="","",IFERROR(VALUE(LEFT(TRIM(ASC(D345&amp;"")),1)),IFERROR(MATCH(TRIM(D345&amp;""),'M2_区分マスタ'!$I$5:$I$10,0),"")))</f>
        <v/>
      </c>
      <c r="AQ345" s="34">
        <f>IF(H345="","",UPPER(LEFT(TRIM(ASC(H345&amp;"")),3)))</f>
        <v/>
      </c>
      <c r="AR345" s="34">
        <f>IF(N345="","",IFERROR(VALUE(SUBSTITUTE(SUBSTITUTE(SUBSTITUTE(SUBSTITUTE(SUBSTITUTE(SUBSTITUTE(SUBSTITUTE(SUBSTITUTE(SUBSTITUTE(SUBSTITUTE(SUBSTITUTE(SUBSTITUTE(ASC(N345&amp;""),"約",""),"程度",""),"ほど",""),"回",""),"毎",""),"週",""),"月",""),"年",""),"日",""),"に",""),"/","")," ","")),""))</f>
        <v/>
      </c>
      <c r="AS345" s="34">
        <f>IF(N345="","",IF(ISNUMBER(N345),N345,IFERROR(VALUE(ASC(N345&amp;"")),IF(AR345&lt;&gt;"",AR345*IF(ISNUMBER(SEARCH("週",N345)),4.3,IF(ISNUMBER(SEARCH("年",N345)),1/12,IF(ISNUMBER(SEARCH("日",N345)),20,1))),IF(ISNUMBER(SEARCH("日",N345)),20,IF(ISNUMBER(SEARCH("週",N345)),4.3,IF(ISNUMBER(SEARCH("月",N345)),1,"")))))))</f>
        <v/>
      </c>
      <c r="AT345" s="34">
        <f>IF(O345="","",IF(ISNUMBER(O345),O345,IFERROR(VALUE(ASC(O345&amp;"")),IF(ISNUMBER(SEARCH("時間",O345)),IFERROR(VALUE(SUBSTITUTE(SUBSTITUTE(SUBSTITUTE(SUBSTITUTE(SUBSTITUTE(ASC(O345&amp;""),"約",""),"程度",""),"ほど",""),"時間","")," ",""))*60,""),IFERROR(VALUE(SUBSTITUTE(SUBSTITUTE(SUBSTITUTE(SUBSTITUTE(SUBSTITUTE(ASC(O345&amp;""),"約",""),"程度",""),"ほど",""),"分","")," ","")),"")))))</f>
        <v/>
      </c>
      <c r="AU345" s="34">
        <f>IF(P345="","",IF(ISNUMBER(P345),P345,IFERROR(VALUE(SUBSTITUTE(SUBSTITUTE(SUBSTITUTE(ASC(P345&amp;""),"約",""),"件","")," ","")),"")))</f>
        <v/>
      </c>
      <c r="AV345" s="34">
        <f>IF(AB345&lt;&gt;"OK","",IF(COUNTIFS($G$5:$G$404,G345&amp;"",$F$5:$F$404,F345&amp;"",$BE$5:$BE$404,BE345&amp;"",$AB$5:$AB$404,"OK")&gt;1,"同名あり",""))</f>
        <v/>
      </c>
      <c r="AW345" s="35">
        <f>IF(Q345="","",IF(ISNUMBER(Q345),Q345,IFERROR(DATEVALUE(SUBSTITUTE(SUBSTITUTE(ASC(Q345&amp;""),"-","/"),".","/")&amp;"/01"),"")))</f>
        <v/>
      </c>
      <c r="AX345" s="35">
        <f>IF(R345="","",IF(ISNUMBER(R345),R345,IFERROR(DATEVALUE(SUBSTITUTE(SUBSTITUTE(ASC(R345&amp;""),"-","/"),".","/")&amp;"/01"),"")))</f>
        <v/>
      </c>
      <c r="AY345" s="34">
        <f>IF(OR(AB345&lt;&gt;"OK",AW345=""),"",IF(AW345&gt;='01_設定'!$C$26,1,0))</f>
        <v/>
      </c>
      <c r="AZ345" s="34">
        <f>IF(AND(AB345="OK",AD345&lt;&gt;"除外"),COUNTIFS($AB$5:AB345,"OK",$AD$5:AD345,"&lt;&gt;除外"),"")</f>
        <v/>
      </c>
      <c r="BA345" s="34">
        <f>IF(OR(AZ345="",AI345=""),"",AI345+ROW()/1000000000)</f>
        <v/>
      </c>
      <c r="BB345" s="34">
        <f>IF(E345="","",IF(OR(TRIM(E345&amp;"")="-",TRIM(E345&amp;"")="－",TRIM(E345&amp;"")="ー"),"",TRIM(E345&amp;"")))</f>
        <v/>
      </c>
      <c r="BC345" s="34">
        <f>IF(AND(AB345="OK",BB345&lt;&gt;""),IF(COUNTIFS($BB$5:BB345,BB345,$AB$5:AB345,"OK")=1,1,""),"")</f>
        <v/>
      </c>
      <c r="BD345" s="34">
        <f>IF(BC345=1,COUNTIF($BC$5:BC345,1),"")</f>
        <v/>
      </c>
      <c r="BE345" s="34">
        <f>IF(BB345="","",IFERROR(INDEX('06_顧客別集計'!$G$5:$G$104,MATCH(BB345,'06_顧客別集計'!$C$5:$C$104,0)),BB345))</f>
        <v/>
      </c>
      <c r="BF345" s="34">
        <f>IF(AND(AZ345&lt;&gt;"",BE345&lt;&gt;""),IF(COUNTIFS($BE$5:BE345,BE345,$AZ$5:AZ345,"&gt;0")=1,1,""),"")</f>
        <v/>
      </c>
      <c r="BG345" s="34">
        <f>IF(BF345=1,COUNTIF($BF$5:BF345,1),"")</f>
        <v/>
      </c>
    </row>
    <row r="346">
      <c r="AB346">
        <f>IF(AND(A346="",G346=""),"",IF(ISNUMBER(SEARCH("##END",AM346)),"（終わりの印）",IF(ISNUMBER(SEARCH("##続き",AM346)),"（続きありの印）",IF(AM346="調査ID","（見出し行）",IF(AND(AM346&lt;&gt;"R1",AM346&lt;&gt;"R2"),"×表以外の行（集計されない）",IF(COUNTIF($AN$5:AN346,AN346)&gt;1,"△重複（集計されない）",IF(G346="","△タスク名なし",IF(ISNA(MATCH(AQ346,'M1_類型マスタ'!$A$5:$A$19,0)),"△類型が不正",IF(OR(AP346="",N(AP346)&lt;1,N(AP346)&gt;6),"△業務区分が不正",IF(OR(AS346="",AT346=""),"△回数・分が読めない",IF(SUMPRODUCT(--ISNUMBER(--T346:Z346))&lt;7,"△採点が足りない",IF(SUMPRODUCT((--T346:Z346&gt;2)+(--T346:Z346&lt;0))&gt;0,"△採点が範囲外","OK"))))))))))))</f>
        <v/>
      </c>
      <c r="AC346">
        <f>IF(AB346&lt;&gt;"OK","",TRIM(IF(AND(AU346&lt;&gt;"",N(AU346)&lt;=1),"根拠1件 ","")&amp;IF(AV346&lt;&gt;"","同名あり ","")&amp;IF(AND(NOT(ISNUMBER(N346)),N346&lt;&gt;""),"回数を換算 ","")&amp;IF(J346="","詳細なし ","")&amp;IF(AND(N(AP346)=1,BB346=""),"顧客名なし ","")))</f>
        <v/>
      </c>
      <c r="AD346" s="31" t="n"/>
      <c r="AE346" s="32" t="n"/>
      <c r="AF346" s="32" t="n"/>
      <c r="AG346" s="31" t="n"/>
      <c r="AH346">
        <f>IF(AB346&lt;&gt;"OK","",IF(AG346&lt;&gt;"",AG346,AJ346))</f>
        <v/>
      </c>
      <c r="AI346" s="33">
        <f>IF(AB346&lt;&gt;"OK","",IFERROR(IF(AE346&lt;&gt;"",AE346,AS346)*IF(AF346&lt;&gt;"",AF346,AT346)/60,""))</f>
        <v/>
      </c>
      <c r="AJ346">
        <f>IF(AB346&lt;&gt;"OK","",IF(OR(VALUE(T346)=2,VALUE(U346)=2,VALUE(V346)=2),"社内残置",IF(AND(VALUE(T346)=0,VALUE(W346)=0,VALUE(Y346)=0),"自動化候補",IF(AND(VALUE(U346)=0,VALUE(W346)&lt;=1,VALUE(X346)&lt;=1,VALUE(Y346)&lt;=1,VALUE(Z346)&lt;=1),"オフショア候補",IF(AND(VALUE(Y346)&lt;=1,VALUE(Z346)&lt;=1),"ニアショア候補","社内で手順化→再評価")))))</f>
        <v/>
      </c>
      <c r="AK346">
        <f>IF(AB346&lt;&gt;"OK","",14-SUMPRODUCT(--T346:Z346))</f>
        <v/>
      </c>
      <c r="AL346" s="33">
        <f>IF(AB346&lt;&gt;"OK","",AS346*AT346/60)</f>
        <v/>
      </c>
      <c r="AM346" s="34">
        <f>IF(A346="","",UPPER(TRIM(ASC(A346&amp;""))))</f>
        <v/>
      </c>
      <c r="AN346" s="34">
        <f>IF(AM346="","",AM346&amp;"-"&amp;B346)</f>
        <v/>
      </c>
      <c r="AO346" s="34">
        <f>IF(C346="","",IFERROR(VALUE(ASC(SUBSTITUTE(C346&amp;"","観点",""))),""))</f>
        <v/>
      </c>
      <c r="AP346" s="34">
        <f>IF(D346="","",IFERROR(VALUE(LEFT(TRIM(ASC(D346&amp;"")),1)),IFERROR(MATCH(TRIM(D346&amp;""),'M2_区分マスタ'!$I$5:$I$10,0),"")))</f>
        <v/>
      </c>
      <c r="AQ346" s="34">
        <f>IF(H346="","",UPPER(LEFT(TRIM(ASC(H346&amp;"")),3)))</f>
        <v/>
      </c>
      <c r="AR346" s="34">
        <f>IF(N346="","",IFERROR(VALUE(SUBSTITUTE(SUBSTITUTE(SUBSTITUTE(SUBSTITUTE(SUBSTITUTE(SUBSTITUTE(SUBSTITUTE(SUBSTITUTE(SUBSTITUTE(SUBSTITUTE(SUBSTITUTE(SUBSTITUTE(ASC(N346&amp;""),"約",""),"程度",""),"ほど",""),"回",""),"毎",""),"週",""),"月",""),"年",""),"日",""),"に",""),"/","")," ","")),""))</f>
        <v/>
      </c>
      <c r="AS346" s="34">
        <f>IF(N346="","",IF(ISNUMBER(N346),N346,IFERROR(VALUE(ASC(N346&amp;"")),IF(AR346&lt;&gt;"",AR346*IF(ISNUMBER(SEARCH("週",N346)),4.3,IF(ISNUMBER(SEARCH("年",N346)),1/12,IF(ISNUMBER(SEARCH("日",N346)),20,1))),IF(ISNUMBER(SEARCH("日",N346)),20,IF(ISNUMBER(SEARCH("週",N346)),4.3,IF(ISNUMBER(SEARCH("月",N346)),1,"")))))))</f>
        <v/>
      </c>
      <c r="AT346" s="34">
        <f>IF(O346="","",IF(ISNUMBER(O346),O346,IFERROR(VALUE(ASC(O346&amp;"")),IF(ISNUMBER(SEARCH("時間",O346)),IFERROR(VALUE(SUBSTITUTE(SUBSTITUTE(SUBSTITUTE(SUBSTITUTE(SUBSTITUTE(ASC(O346&amp;""),"約",""),"程度",""),"ほど",""),"時間","")," ",""))*60,""),IFERROR(VALUE(SUBSTITUTE(SUBSTITUTE(SUBSTITUTE(SUBSTITUTE(SUBSTITUTE(ASC(O346&amp;""),"約",""),"程度",""),"ほど",""),"分","")," ","")),"")))))</f>
        <v/>
      </c>
      <c r="AU346" s="34">
        <f>IF(P346="","",IF(ISNUMBER(P346),P346,IFERROR(VALUE(SUBSTITUTE(SUBSTITUTE(SUBSTITUTE(ASC(P346&amp;""),"約",""),"件","")," ","")),"")))</f>
        <v/>
      </c>
      <c r="AV346" s="34">
        <f>IF(AB346&lt;&gt;"OK","",IF(COUNTIFS($G$5:$G$404,G346&amp;"",$F$5:$F$404,F346&amp;"",$BE$5:$BE$404,BE346&amp;"",$AB$5:$AB$404,"OK")&gt;1,"同名あり",""))</f>
        <v/>
      </c>
      <c r="AW346" s="35">
        <f>IF(Q346="","",IF(ISNUMBER(Q346),Q346,IFERROR(DATEVALUE(SUBSTITUTE(SUBSTITUTE(ASC(Q346&amp;""),"-","/"),".","/")&amp;"/01"),"")))</f>
        <v/>
      </c>
      <c r="AX346" s="35">
        <f>IF(R346="","",IF(ISNUMBER(R346),R346,IFERROR(DATEVALUE(SUBSTITUTE(SUBSTITUTE(ASC(R346&amp;""),"-","/"),".","/")&amp;"/01"),"")))</f>
        <v/>
      </c>
      <c r="AY346" s="34">
        <f>IF(OR(AB346&lt;&gt;"OK",AW346=""),"",IF(AW346&gt;='01_設定'!$C$26,1,0))</f>
        <v/>
      </c>
      <c r="AZ346" s="34">
        <f>IF(AND(AB346="OK",AD346&lt;&gt;"除外"),COUNTIFS($AB$5:AB346,"OK",$AD$5:AD346,"&lt;&gt;除外"),"")</f>
        <v/>
      </c>
      <c r="BA346" s="34">
        <f>IF(OR(AZ346="",AI346=""),"",AI346+ROW()/1000000000)</f>
        <v/>
      </c>
      <c r="BB346" s="34">
        <f>IF(E346="","",IF(OR(TRIM(E346&amp;"")="-",TRIM(E346&amp;"")="－",TRIM(E346&amp;"")="ー"),"",TRIM(E346&amp;"")))</f>
        <v/>
      </c>
      <c r="BC346" s="34">
        <f>IF(AND(AB346="OK",BB346&lt;&gt;""),IF(COUNTIFS($BB$5:BB346,BB346,$AB$5:AB346,"OK")=1,1,""),"")</f>
        <v/>
      </c>
      <c r="BD346" s="34">
        <f>IF(BC346=1,COUNTIF($BC$5:BC346,1),"")</f>
        <v/>
      </c>
      <c r="BE346" s="34">
        <f>IF(BB346="","",IFERROR(INDEX('06_顧客別集計'!$G$5:$G$104,MATCH(BB346,'06_顧客別集計'!$C$5:$C$104,0)),BB346))</f>
        <v/>
      </c>
      <c r="BF346" s="34">
        <f>IF(AND(AZ346&lt;&gt;"",BE346&lt;&gt;""),IF(COUNTIFS($BE$5:BE346,BE346,$AZ$5:AZ346,"&gt;0")=1,1,""),"")</f>
        <v/>
      </c>
      <c r="BG346" s="34">
        <f>IF(BF346=1,COUNTIF($BF$5:BF346,1),"")</f>
        <v/>
      </c>
    </row>
    <row r="347">
      <c r="AB347">
        <f>IF(AND(A347="",G347=""),"",IF(ISNUMBER(SEARCH("##END",AM347)),"（終わりの印）",IF(ISNUMBER(SEARCH("##続き",AM347)),"（続きありの印）",IF(AM347="調査ID","（見出し行）",IF(AND(AM347&lt;&gt;"R1",AM347&lt;&gt;"R2"),"×表以外の行（集計されない）",IF(COUNTIF($AN$5:AN347,AN347)&gt;1,"△重複（集計されない）",IF(G347="","△タスク名なし",IF(ISNA(MATCH(AQ347,'M1_類型マスタ'!$A$5:$A$19,0)),"△類型が不正",IF(OR(AP347="",N(AP347)&lt;1,N(AP347)&gt;6),"△業務区分が不正",IF(OR(AS347="",AT347=""),"△回数・分が読めない",IF(SUMPRODUCT(--ISNUMBER(--T347:Z347))&lt;7,"△採点が足りない",IF(SUMPRODUCT((--T347:Z347&gt;2)+(--T347:Z347&lt;0))&gt;0,"△採点が範囲外","OK"))))))))))))</f>
        <v/>
      </c>
      <c r="AC347">
        <f>IF(AB347&lt;&gt;"OK","",TRIM(IF(AND(AU347&lt;&gt;"",N(AU347)&lt;=1),"根拠1件 ","")&amp;IF(AV347&lt;&gt;"","同名あり ","")&amp;IF(AND(NOT(ISNUMBER(N347)),N347&lt;&gt;""),"回数を換算 ","")&amp;IF(J347="","詳細なし ","")&amp;IF(AND(N(AP347)=1,BB347=""),"顧客名なし ","")))</f>
        <v/>
      </c>
      <c r="AD347" s="31" t="n"/>
      <c r="AE347" s="32" t="n"/>
      <c r="AF347" s="32" t="n"/>
      <c r="AG347" s="31" t="n"/>
      <c r="AH347">
        <f>IF(AB347&lt;&gt;"OK","",IF(AG347&lt;&gt;"",AG347,AJ347))</f>
        <v/>
      </c>
      <c r="AI347" s="33">
        <f>IF(AB347&lt;&gt;"OK","",IFERROR(IF(AE347&lt;&gt;"",AE347,AS347)*IF(AF347&lt;&gt;"",AF347,AT347)/60,""))</f>
        <v/>
      </c>
      <c r="AJ347">
        <f>IF(AB347&lt;&gt;"OK","",IF(OR(VALUE(T347)=2,VALUE(U347)=2,VALUE(V347)=2),"社内残置",IF(AND(VALUE(T347)=0,VALUE(W347)=0,VALUE(Y347)=0),"自動化候補",IF(AND(VALUE(U347)=0,VALUE(W347)&lt;=1,VALUE(X347)&lt;=1,VALUE(Y347)&lt;=1,VALUE(Z347)&lt;=1),"オフショア候補",IF(AND(VALUE(Y347)&lt;=1,VALUE(Z347)&lt;=1),"ニアショア候補","社内で手順化→再評価")))))</f>
        <v/>
      </c>
      <c r="AK347">
        <f>IF(AB347&lt;&gt;"OK","",14-SUMPRODUCT(--T347:Z347))</f>
        <v/>
      </c>
      <c r="AL347" s="33">
        <f>IF(AB347&lt;&gt;"OK","",AS347*AT347/60)</f>
        <v/>
      </c>
      <c r="AM347" s="34">
        <f>IF(A347="","",UPPER(TRIM(ASC(A347&amp;""))))</f>
        <v/>
      </c>
      <c r="AN347" s="34">
        <f>IF(AM347="","",AM347&amp;"-"&amp;B347)</f>
        <v/>
      </c>
      <c r="AO347" s="34">
        <f>IF(C347="","",IFERROR(VALUE(ASC(SUBSTITUTE(C347&amp;"","観点",""))),""))</f>
        <v/>
      </c>
      <c r="AP347" s="34">
        <f>IF(D347="","",IFERROR(VALUE(LEFT(TRIM(ASC(D347&amp;"")),1)),IFERROR(MATCH(TRIM(D347&amp;""),'M2_区分マスタ'!$I$5:$I$10,0),"")))</f>
        <v/>
      </c>
      <c r="AQ347" s="34">
        <f>IF(H347="","",UPPER(LEFT(TRIM(ASC(H347&amp;"")),3)))</f>
        <v/>
      </c>
      <c r="AR347" s="34">
        <f>IF(N347="","",IFERROR(VALUE(SUBSTITUTE(SUBSTITUTE(SUBSTITUTE(SUBSTITUTE(SUBSTITUTE(SUBSTITUTE(SUBSTITUTE(SUBSTITUTE(SUBSTITUTE(SUBSTITUTE(SUBSTITUTE(SUBSTITUTE(ASC(N347&amp;""),"約",""),"程度",""),"ほど",""),"回",""),"毎",""),"週",""),"月",""),"年",""),"日",""),"に",""),"/","")," ","")),""))</f>
        <v/>
      </c>
      <c r="AS347" s="34">
        <f>IF(N347="","",IF(ISNUMBER(N347),N347,IFERROR(VALUE(ASC(N347&amp;"")),IF(AR347&lt;&gt;"",AR347*IF(ISNUMBER(SEARCH("週",N347)),4.3,IF(ISNUMBER(SEARCH("年",N347)),1/12,IF(ISNUMBER(SEARCH("日",N347)),20,1))),IF(ISNUMBER(SEARCH("日",N347)),20,IF(ISNUMBER(SEARCH("週",N347)),4.3,IF(ISNUMBER(SEARCH("月",N347)),1,"")))))))</f>
        <v/>
      </c>
      <c r="AT347" s="34">
        <f>IF(O347="","",IF(ISNUMBER(O347),O347,IFERROR(VALUE(ASC(O347&amp;"")),IF(ISNUMBER(SEARCH("時間",O347)),IFERROR(VALUE(SUBSTITUTE(SUBSTITUTE(SUBSTITUTE(SUBSTITUTE(SUBSTITUTE(ASC(O347&amp;""),"約",""),"程度",""),"ほど",""),"時間","")," ",""))*60,""),IFERROR(VALUE(SUBSTITUTE(SUBSTITUTE(SUBSTITUTE(SUBSTITUTE(SUBSTITUTE(ASC(O347&amp;""),"約",""),"程度",""),"ほど",""),"分","")," ","")),"")))))</f>
        <v/>
      </c>
      <c r="AU347" s="34">
        <f>IF(P347="","",IF(ISNUMBER(P347),P347,IFERROR(VALUE(SUBSTITUTE(SUBSTITUTE(SUBSTITUTE(ASC(P347&amp;""),"約",""),"件","")," ","")),"")))</f>
        <v/>
      </c>
      <c r="AV347" s="34">
        <f>IF(AB347&lt;&gt;"OK","",IF(COUNTIFS($G$5:$G$404,G347&amp;"",$F$5:$F$404,F347&amp;"",$BE$5:$BE$404,BE347&amp;"",$AB$5:$AB$404,"OK")&gt;1,"同名あり",""))</f>
        <v/>
      </c>
      <c r="AW347" s="35">
        <f>IF(Q347="","",IF(ISNUMBER(Q347),Q347,IFERROR(DATEVALUE(SUBSTITUTE(SUBSTITUTE(ASC(Q347&amp;""),"-","/"),".","/")&amp;"/01"),"")))</f>
        <v/>
      </c>
      <c r="AX347" s="35">
        <f>IF(R347="","",IF(ISNUMBER(R347),R347,IFERROR(DATEVALUE(SUBSTITUTE(SUBSTITUTE(ASC(R347&amp;""),"-","/"),".","/")&amp;"/01"),"")))</f>
        <v/>
      </c>
      <c r="AY347" s="34">
        <f>IF(OR(AB347&lt;&gt;"OK",AW347=""),"",IF(AW347&gt;='01_設定'!$C$26,1,0))</f>
        <v/>
      </c>
      <c r="AZ347" s="34">
        <f>IF(AND(AB347="OK",AD347&lt;&gt;"除外"),COUNTIFS($AB$5:AB347,"OK",$AD$5:AD347,"&lt;&gt;除外"),"")</f>
        <v/>
      </c>
      <c r="BA347" s="34">
        <f>IF(OR(AZ347="",AI347=""),"",AI347+ROW()/1000000000)</f>
        <v/>
      </c>
      <c r="BB347" s="34">
        <f>IF(E347="","",IF(OR(TRIM(E347&amp;"")="-",TRIM(E347&amp;"")="－",TRIM(E347&amp;"")="ー"),"",TRIM(E347&amp;"")))</f>
        <v/>
      </c>
      <c r="BC347" s="34">
        <f>IF(AND(AB347="OK",BB347&lt;&gt;""),IF(COUNTIFS($BB$5:BB347,BB347,$AB$5:AB347,"OK")=1,1,""),"")</f>
        <v/>
      </c>
      <c r="BD347" s="34">
        <f>IF(BC347=1,COUNTIF($BC$5:BC347,1),"")</f>
        <v/>
      </c>
      <c r="BE347" s="34">
        <f>IF(BB347="","",IFERROR(INDEX('06_顧客別集計'!$G$5:$G$104,MATCH(BB347,'06_顧客別集計'!$C$5:$C$104,0)),BB347))</f>
        <v/>
      </c>
      <c r="BF347" s="34">
        <f>IF(AND(AZ347&lt;&gt;"",BE347&lt;&gt;""),IF(COUNTIFS($BE$5:BE347,BE347,$AZ$5:AZ347,"&gt;0")=1,1,""),"")</f>
        <v/>
      </c>
      <c r="BG347" s="34">
        <f>IF(BF347=1,COUNTIF($BF$5:BF347,1),"")</f>
        <v/>
      </c>
    </row>
    <row r="348">
      <c r="AB348">
        <f>IF(AND(A348="",G348=""),"",IF(ISNUMBER(SEARCH("##END",AM348)),"（終わりの印）",IF(ISNUMBER(SEARCH("##続き",AM348)),"（続きありの印）",IF(AM348="調査ID","（見出し行）",IF(AND(AM348&lt;&gt;"R1",AM348&lt;&gt;"R2"),"×表以外の行（集計されない）",IF(COUNTIF($AN$5:AN348,AN348)&gt;1,"△重複（集計されない）",IF(G348="","△タスク名なし",IF(ISNA(MATCH(AQ348,'M1_類型マスタ'!$A$5:$A$19,0)),"△類型が不正",IF(OR(AP348="",N(AP348)&lt;1,N(AP348)&gt;6),"△業務区分が不正",IF(OR(AS348="",AT348=""),"△回数・分が読めない",IF(SUMPRODUCT(--ISNUMBER(--T348:Z348))&lt;7,"△採点が足りない",IF(SUMPRODUCT((--T348:Z348&gt;2)+(--T348:Z348&lt;0))&gt;0,"△採点が範囲外","OK"))))))))))))</f>
        <v/>
      </c>
      <c r="AC348">
        <f>IF(AB348&lt;&gt;"OK","",TRIM(IF(AND(AU348&lt;&gt;"",N(AU348)&lt;=1),"根拠1件 ","")&amp;IF(AV348&lt;&gt;"","同名あり ","")&amp;IF(AND(NOT(ISNUMBER(N348)),N348&lt;&gt;""),"回数を換算 ","")&amp;IF(J348="","詳細なし ","")&amp;IF(AND(N(AP348)=1,BB348=""),"顧客名なし ","")))</f>
        <v/>
      </c>
      <c r="AD348" s="31" t="n"/>
      <c r="AE348" s="32" t="n"/>
      <c r="AF348" s="32" t="n"/>
      <c r="AG348" s="31" t="n"/>
      <c r="AH348">
        <f>IF(AB348&lt;&gt;"OK","",IF(AG348&lt;&gt;"",AG348,AJ348))</f>
        <v/>
      </c>
      <c r="AI348" s="33">
        <f>IF(AB348&lt;&gt;"OK","",IFERROR(IF(AE348&lt;&gt;"",AE348,AS348)*IF(AF348&lt;&gt;"",AF348,AT348)/60,""))</f>
        <v/>
      </c>
      <c r="AJ348">
        <f>IF(AB348&lt;&gt;"OK","",IF(OR(VALUE(T348)=2,VALUE(U348)=2,VALUE(V348)=2),"社内残置",IF(AND(VALUE(T348)=0,VALUE(W348)=0,VALUE(Y348)=0),"自動化候補",IF(AND(VALUE(U348)=0,VALUE(W348)&lt;=1,VALUE(X348)&lt;=1,VALUE(Y348)&lt;=1,VALUE(Z348)&lt;=1),"オフショア候補",IF(AND(VALUE(Y348)&lt;=1,VALUE(Z348)&lt;=1),"ニアショア候補","社内で手順化→再評価")))))</f>
        <v/>
      </c>
      <c r="AK348">
        <f>IF(AB348&lt;&gt;"OK","",14-SUMPRODUCT(--T348:Z348))</f>
        <v/>
      </c>
      <c r="AL348" s="33">
        <f>IF(AB348&lt;&gt;"OK","",AS348*AT348/60)</f>
        <v/>
      </c>
      <c r="AM348" s="34">
        <f>IF(A348="","",UPPER(TRIM(ASC(A348&amp;""))))</f>
        <v/>
      </c>
      <c r="AN348" s="34">
        <f>IF(AM348="","",AM348&amp;"-"&amp;B348)</f>
        <v/>
      </c>
      <c r="AO348" s="34">
        <f>IF(C348="","",IFERROR(VALUE(ASC(SUBSTITUTE(C348&amp;"","観点",""))),""))</f>
        <v/>
      </c>
      <c r="AP348" s="34">
        <f>IF(D348="","",IFERROR(VALUE(LEFT(TRIM(ASC(D348&amp;"")),1)),IFERROR(MATCH(TRIM(D348&amp;""),'M2_区分マスタ'!$I$5:$I$10,0),"")))</f>
        <v/>
      </c>
      <c r="AQ348" s="34">
        <f>IF(H348="","",UPPER(LEFT(TRIM(ASC(H348&amp;"")),3)))</f>
        <v/>
      </c>
      <c r="AR348" s="34">
        <f>IF(N348="","",IFERROR(VALUE(SUBSTITUTE(SUBSTITUTE(SUBSTITUTE(SUBSTITUTE(SUBSTITUTE(SUBSTITUTE(SUBSTITUTE(SUBSTITUTE(SUBSTITUTE(SUBSTITUTE(SUBSTITUTE(SUBSTITUTE(ASC(N348&amp;""),"約",""),"程度",""),"ほど",""),"回",""),"毎",""),"週",""),"月",""),"年",""),"日",""),"に",""),"/","")," ","")),""))</f>
        <v/>
      </c>
      <c r="AS348" s="34">
        <f>IF(N348="","",IF(ISNUMBER(N348),N348,IFERROR(VALUE(ASC(N348&amp;"")),IF(AR348&lt;&gt;"",AR348*IF(ISNUMBER(SEARCH("週",N348)),4.3,IF(ISNUMBER(SEARCH("年",N348)),1/12,IF(ISNUMBER(SEARCH("日",N348)),20,1))),IF(ISNUMBER(SEARCH("日",N348)),20,IF(ISNUMBER(SEARCH("週",N348)),4.3,IF(ISNUMBER(SEARCH("月",N348)),1,"")))))))</f>
        <v/>
      </c>
      <c r="AT348" s="34">
        <f>IF(O348="","",IF(ISNUMBER(O348),O348,IFERROR(VALUE(ASC(O348&amp;"")),IF(ISNUMBER(SEARCH("時間",O348)),IFERROR(VALUE(SUBSTITUTE(SUBSTITUTE(SUBSTITUTE(SUBSTITUTE(SUBSTITUTE(ASC(O348&amp;""),"約",""),"程度",""),"ほど",""),"時間","")," ",""))*60,""),IFERROR(VALUE(SUBSTITUTE(SUBSTITUTE(SUBSTITUTE(SUBSTITUTE(SUBSTITUTE(ASC(O348&amp;""),"約",""),"程度",""),"ほど",""),"分","")," ","")),"")))))</f>
        <v/>
      </c>
      <c r="AU348" s="34">
        <f>IF(P348="","",IF(ISNUMBER(P348),P348,IFERROR(VALUE(SUBSTITUTE(SUBSTITUTE(SUBSTITUTE(ASC(P348&amp;""),"約",""),"件","")," ","")),"")))</f>
        <v/>
      </c>
      <c r="AV348" s="34">
        <f>IF(AB348&lt;&gt;"OK","",IF(COUNTIFS($G$5:$G$404,G348&amp;"",$F$5:$F$404,F348&amp;"",$BE$5:$BE$404,BE348&amp;"",$AB$5:$AB$404,"OK")&gt;1,"同名あり",""))</f>
        <v/>
      </c>
      <c r="AW348" s="35">
        <f>IF(Q348="","",IF(ISNUMBER(Q348),Q348,IFERROR(DATEVALUE(SUBSTITUTE(SUBSTITUTE(ASC(Q348&amp;""),"-","/"),".","/")&amp;"/01"),"")))</f>
        <v/>
      </c>
      <c r="AX348" s="35">
        <f>IF(R348="","",IF(ISNUMBER(R348),R348,IFERROR(DATEVALUE(SUBSTITUTE(SUBSTITUTE(ASC(R348&amp;""),"-","/"),".","/")&amp;"/01"),"")))</f>
        <v/>
      </c>
      <c r="AY348" s="34">
        <f>IF(OR(AB348&lt;&gt;"OK",AW348=""),"",IF(AW348&gt;='01_設定'!$C$26,1,0))</f>
        <v/>
      </c>
      <c r="AZ348" s="34">
        <f>IF(AND(AB348="OK",AD348&lt;&gt;"除外"),COUNTIFS($AB$5:AB348,"OK",$AD$5:AD348,"&lt;&gt;除外"),"")</f>
        <v/>
      </c>
      <c r="BA348" s="34">
        <f>IF(OR(AZ348="",AI348=""),"",AI348+ROW()/1000000000)</f>
        <v/>
      </c>
      <c r="BB348" s="34">
        <f>IF(E348="","",IF(OR(TRIM(E348&amp;"")="-",TRIM(E348&amp;"")="－",TRIM(E348&amp;"")="ー"),"",TRIM(E348&amp;"")))</f>
        <v/>
      </c>
      <c r="BC348" s="34">
        <f>IF(AND(AB348="OK",BB348&lt;&gt;""),IF(COUNTIFS($BB$5:BB348,BB348,$AB$5:AB348,"OK")=1,1,""),"")</f>
        <v/>
      </c>
      <c r="BD348" s="34">
        <f>IF(BC348=1,COUNTIF($BC$5:BC348,1),"")</f>
        <v/>
      </c>
      <c r="BE348" s="34">
        <f>IF(BB348="","",IFERROR(INDEX('06_顧客別集計'!$G$5:$G$104,MATCH(BB348,'06_顧客別集計'!$C$5:$C$104,0)),BB348))</f>
        <v/>
      </c>
      <c r="BF348" s="34">
        <f>IF(AND(AZ348&lt;&gt;"",BE348&lt;&gt;""),IF(COUNTIFS($BE$5:BE348,BE348,$AZ$5:AZ348,"&gt;0")=1,1,""),"")</f>
        <v/>
      </c>
      <c r="BG348" s="34">
        <f>IF(BF348=1,COUNTIF($BF$5:BF348,1),"")</f>
        <v/>
      </c>
    </row>
    <row r="349">
      <c r="AB349">
        <f>IF(AND(A349="",G349=""),"",IF(ISNUMBER(SEARCH("##END",AM349)),"（終わりの印）",IF(ISNUMBER(SEARCH("##続き",AM349)),"（続きありの印）",IF(AM349="調査ID","（見出し行）",IF(AND(AM349&lt;&gt;"R1",AM349&lt;&gt;"R2"),"×表以外の行（集計されない）",IF(COUNTIF($AN$5:AN349,AN349)&gt;1,"△重複（集計されない）",IF(G349="","△タスク名なし",IF(ISNA(MATCH(AQ349,'M1_類型マスタ'!$A$5:$A$19,0)),"△類型が不正",IF(OR(AP349="",N(AP349)&lt;1,N(AP349)&gt;6),"△業務区分が不正",IF(OR(AS349="",AT349=""),"△回数・分が読めない",IF(SUMPRODUCT(--ISNUMBER(--T349:Z349))&lt;7,"△採点が足りない",IF(SUMPRODUCT((--T349:Z349&gt;2)+(--T349:Z349&lt;0))&gt;0,"△採点が範囲外","OK"))))))))))))</f>
        <v/>
      </c>
      <c r="AC349">
        <f>IF(AB349&lt;&gt;"OK","",TRIM(IF(AND(AU349&lt;&gt;"",N(AU349)&lt;=1),"根拠1件 ","")&amp;IF(AV349&lt;&gt;"","同名あり ","")&amp;IF(AND(NOT(ISNUMBER(N349)),N349&lt;&gt;""),"回数を換算 ","")&amp;IF(J349="","詳細なし ","")&amp;IF(AND(N(AP349)=1,BB349=""),"顧客名なし ","")))</f>
        <v/>
      </c>
      <c r="AD349" s="31" t="n"/>
      <c r="AE349" s="32" t="n"/>
      <c r="AF349" s="32" t="n"/>
      <c r="AG349" s="31" t="n"/>
      <c r="AH349">
        <f>IF(AB349&lt;&gt;"OK","",IF(AG349&lt;&gt;"",AG349,AJ349))</f>
        <v/>
      </c>
      <c r="AI349" s="33">
        <f>IF(AB349&lt;&gt;"OK","",IFERROR(IF(AE349&lt;&gt;"",AE349,AS349)*IF(AF349&lt;&gt;"",AF349,AT349)/60,""))</f>
        <v/>
      </c>
      <c r="AJ349">
        <f>IF(AB349&lt;&gt;"OK","",IF(OR(VALUE(T349)=2,VALUE(U349)=2,VALUE(V349)=2),"社内残置",IF(AND(VALUE(T349)=0,VALUE(W349)=0,VALUE(Y349)=0),"自動化候補",IF(AND(VALUE(U349)=0,VALUE(W349)&lt;=1,VALUE(X349)&lt;=1,VALUE(Y349)&lt;=1,VALUE(Z349)&lt;=1),"オフショア候補",IF(AND(VALUE(Y349)&lt;=1,VALUE(Z349)&lt;=1),"ニアショア候補","社内で手順化→再評価")))))</f>
        <v/>
      </c>
      <c r="AK349">
        <f>IF(AB349&lt;&gt;"OK","",14-SUMPRODUCT(--T349:Z349))</f>
        <v/>
      </c>
      <c r="AL349" s="33">
        <f>IF(AB349&lt;&gt;"OK","",AS349*AT349/60)</f>
        <v/>
      </c>
      <c r="AM349" s="34">
        <f>IF(A349="","",UPPER(TRIM(ASC(A349&amp;""))))</f>
        <v/>
      </c>
      <c r="AN349" s="34">
        <f>IF(AM349="","",AM349&amp;"-"&amp;B349)</f>
        <v/>
      </c>
      <c r="AO349" s="34">
        <f>IF(C349="","",IFERROR(VALUE(ASC(SUBSTITUTE(C349&amp;"","観点",""))),""))</f>
        <v/>
      </c>
      <c r="AP349" s="34">
        <f>IF(D349="","",IFERROR(VALUE(LEFT(TRIM(ASC(D349&amp;"")),1)),IFERROR(MATCH(TRIM(D349&amp;""),'M2_区分マスタ'!$I$5:$I$10,0),"")))</f>
        <v/>
      </c>
      <c r="AQ349" s="34">
        <f>IF(H349="","",UPPER(LEFT(TRIM(ASC(H349&amp;"")),3)))</f>
        <v/>
      </c>
      <c r="AR349" s="34">
        <f>IF(N349="","",IFERROR(VALUE(SUBSTITUTE(SUBSTITUTE(SUBSTITUTE(SUBSTITUTE(SUBSTITUTE(SUBSTITUTE(SUBSTITUTE(SUBSTITUTE(SUBSTITUTE(SUBSTITUTE(SUBSTITUTE(SUBSTITUTE(ASC(N349&amp;""),"約",""),"程度",""),"ほど",""),"回",""),"毎",""),"週",""),"月",""),"年",""),"日",""),"に",""),"/","")," ","")),""))</f>
        <v/>
      </c>
      <c r="AS349" s="34">
        <f>IF(N349="","",IF(ISNUMBER(N349),N349,IFERROR(VALUE(ASC(N349&amp;"")),IF(AR349&lt;&gt;"",AR349*IF(ISNUMBER(SEARCH("週",N349)),4.3,IF(ISNUMBER(SEARCH("年",N349)),1/12,IF(ISNUMBER(SEARCH("日",N349)),20,1))),IF(ISNUMBER(SEARCH("日",N349)),20,IF(ISNUMBER(SEARCH("週",N349)),4.3,IF(ISNUMBER(SEARCH("月",N349)),1,"")))))))</f>
        <v/>
      </c>
      <c r="AT349" s="34">
        <f>IF(O349="","",IF(ISNUMBER(O349),O349,IFERROR(VALUE(ASC(O349&amp;"")),IF(ISNUMBER(SEARCH("時間",O349)),IFERROR(VALUE(SUBSTITUTE(SUBSTITUTE(SUBSTITUTE(SUBSTITUTE(SUBSTITUTE(ASC(O349&amp;""),"約",""),"程度",""),"ほど",""),"時間","")," ",""))*60,""),IFERROR(VALUE(SUBSTITUTE(SUBSTITUTE(SUBSTITUTE(SUBSTITUTE(SUBSTITUTE(ASC(O349&amp;""),"約",""),"程度",""),"ほど",""),"分","")," ","")),"")))))</f>
        <v/>
      </c>
      <c r="AU349" s="34">
        <f>IF(P349="","",IF(ISNUMBER(P349),P349,IFERROR(VALUE(SUBSTITUTE(SUBSTITUTE(SUBSTITUTE(ASC(P349&amp;""),"約",""),"件","")," ","")),"")))</f>
        <v/>
      </c>
      <c r="AV349" s="34">
        <f>IF(AB349&lt;&gt;"OK","",IF(COUNTIFS($G$5:$G$404,G349&amp;"",$F$5:$F$404,F349&amp;"",$BE$5:$BE$404,BE349&amp;"",$AB$5:$AB$404,"OK")&gt;1,"同名あり",""))</f>
        <v/>
      </c>
      <c r="AW349" s="35">
        <f>IF(Q349="","",IF(ISNUMBER(Q349),Q349,IFERROR(DATEVALUE(SUBSTITUTE(SUBSTITUTE(ASC(Q349&amp;""),"-","/"),".","/")&amp;"/01"),"")))</f>
        <v/>
      </c>
      <c r="AX349" s="35">
        <f>IF(R349="","",IF(ISNUMBER(R349),R349,IFERROR(DATEVALUE(SUBSTITUTE(SUBSTITUTE(ASC(R349&amp;""),"-","/"),".","/")&amp;"/01"),"")))</f>
        <v/>
      </c>
      <c r="AY349" s="34">
        <f>IF(OR(AB349&lt;&gt;"OK",AW349=""),"",IF(AW349&gt;='01_設定'!$C$26,1,0))</f>
        <v/>
      </c>
      <c r="AZ349" s="34">
        <f>IF(AND(AB349="OK",AD349&lt;&gt;"除外"),COUNTIFS($AB$5:AB349,"OK",$AD$5:AD349,"&lt;&gt;除外"),"")</f>
        <v/>
      </c>
      <c r="BA349" s="34">
        <f>IF(OR(AZ349="",AI349=""),"",AI349+ROW()/1000000000)</f>
        <v/>
      </c>
      <c r="BB349" s="34">
        <f>IF(E349="","",IF(OR(TRIM(E349&amp;"")="-",TRIM(E349&amp;"")="－",TRIM(E349&amp;"")="ー"),"",TRIM(E349&amp;"")))</f>
        <v/>
      </c>
      <c r="BC349" s="34">
        <f>IF(AND(AB349="OK",BB349&lt;&gt;""),IF(COUNTIFS($BB$5:BB349,BB349,$AB$5:AB349,"OK")=1,1,""),"")</f>
        <v/>
      </c>
      <c r="BD349" s="34">
        <f>IF(BC349=1,COUNTIF($BC$5:BC349,1),"")</f>
        <v/>
      </c>
      <c r="BE349" s="34">
        <f>IF(BB349="","",IFERROR(INDEX('06_顧客別集計'!$G$5:$G$104,MATCH(BB349,'06_顧客別集計'!$C$5:$C$104,0)),BB349))</f>
        <v/>
      </c>
      <c r="BF349" s="34">
        <f>IF(AND(AZ349&lt;&gt;"",BE349&lt;&gt;""),IF(COUNTIFS($BE$5:BE349,BE349,$AZ$5:AZ349,"&gt;0")=1,1,""),"")</f>
        <v/>
      </c>
      <c r="BG349" s="34">
        <f>IF(BF349=1,COUNTIF($BF$5:BF349,1),"")</f>
        <v/>
      </c>
    </row>
    <row r="350">
      <c r="AB350">
        <f>IF(AND(A350="",G350=""),"",IF(ISNUMBER(SEARCH("##END",AM350)),"（終わりの印）",IF(ISNUMBER(SEARCH("##続き",AM350)),"（続きありの印）",IF(AM350="調査ID","（見出し行）",IF(AND(AM350&lt;&gt;"R1",AM350&lt;&gt;"R2"),"×表以外の行（集計されない）",IF(COUNTIF($AN$5:AN350,AN350)&gt;1,"△重複（集計されない）",IF(G350="","△タスク名なし",IF(ISNA(MATCH(AQ350,'M1_類型マスタ'!$A$5:$A$19,0)),"△類型が不正",IF(OR(AP350="",N(AP350)&lt;1,N(AP350)&gt;6),"△業務区分が不正",IF(OR(AS350="",AT350=""),"△回数・分が読めない",IF(SUMPRODUCT(--ISNUMBER(--T350:Z350))&lt;7,"△採点が足りない",IF(SUMPRODUCT((--T350:Z350&gt;2)+(--T350:Z350&lt;0))&gt;0,"△採点が範囲外","OK"))))))))))))</f>
        <v/>
      </c>
      <c r="AC350">
        <f>IF(AB350&lt;&gt;"OK","",TRIM(IF(AND(AU350&lt;&gt;"",N(AU350)&lt;=1),"根拠1件 ","")&amp;IF(AV350&lt;&gt;"","同名あり ","")&amp;IF(AND(NOT(ISNUMBER(N350)),N350&lt;&gt;""),"回数を換算 ","")&amp;IF(J350="","詳細なし ","")&amp;IF(AND(N(AP350)=1,BB350=""),"顧客名なし ","")))</f>
        <v/>
      </c>
      <c r="AD350" s="31" t="n"/>
      <c r="AE350" s="32" t="n"/>
      <c r="AF350" s="32" t="n"/>
      <c r="AG350" s="31" t="n"/>
      <c r="AH350">
        <f>IF(AB350&lt;&gt;"OK","",IF(AG350&lt;&gt;"",AG350,AJ350))</f>
        <v/>
      </c>
      <c r="AI350" s="33">
        <f>IF(AB350&lt;&gt;"OK","",IFERROR(IF(AE350&lt;&gt;"",AE350,AS350)*IF(AF350&lt;&gt;"",AF350,AT350)/60,""))</f>
        <v/>
      </c>
      <c r="AJ350">
        <f>IF(AB350&lt;&gt;"OK","",IF(OR(VALUE(T350)=2,VALUE(U350)=2,VALUE(V350)=2),"社内残置",IF(AND(VALUE(T350)=0,VALUE(W350)=0,VALUE(Y350)=0),"自動化候補",IF(AND(VALUE(U350)=0,VALUE(W350)&lt;=1,VALUE(X350)&lt;=1,VALUE(Y350)&lt;=1,VALUE(Z350)&lt;=1),"オフショア候補",IF(AND(VALUE(Y350)&lt;=1,VALUE(Z350)&lt;=1),"ニアショア候補","社内で手順化→再評価")))))</f>
        <v/>
      </c>
      <c r="AK350">
        <f>IF(AB350&lt;&gt;"OK","",14-SUMPRODUCT(--T350:Z350))</f>
        <v/>
      </c>
      <c r="AL350" s="33">
        <f>IF(AB350&lt;&gt;"OK","",AS350*AT350/60)</f>
        <v/>
      </c>
      <c r="AM350" s="34">
        <f>IF(A350="","",UPPER(TRIM(ASC(A350&amp;""))))</f>
        <v/>
      </c>
      <c r="AN350" s="34">
        <f>IF(AM350="","",AM350&amp;"-"&amp;B350)</f>
        <v/>
      </c>
      <c r="AO350" s="34">
        <f>IF(C350="","",IFERROR(VALUE(ASC(SUBSTITUTE(C350&amp;"","観点",""))),""))</f>
        <v/>
      </c>
      <c r="AP350" s="34">
        <f>IF(D350="","",IFERROR(VALUE(LEFT(TRIM(ASC(D350&amp;"")),1)),IFERROR(MATCH(TRIM(D350&amp;""),'M2_区分マスタ'!$I$5:$I$10,0),"")))</f>
        <v/>
      </c>
      <c r="AQ350" s="34">
        <f>IF(H350="","",UPPER(LEFT(TRIM(ASC(H350&amp;"")),3)))</f>
        <v/>
      </c>
      <c r="AR350" s="34">
        <f>IF(N350="","",IFERROR(VALUE(SUBSTITUTE(SUBSTITUTE(SUBSTITUTE(SUBSTITUTE(SUBSTITUTE(SUBSTITUTE(SUBSTITUTE(SUBSTITUTE(SUBSTITUTE(SUBSTITUTE(SUBSTITUTE(SUBSTITUTE(ASC(N350&amp;""),"約",""),"程度",""),"ほど",""),"回",""),"毎",""),"週",""),"月",""),"年",""),"日",""),"に",""),"/","")," ","")),""))</f>
        <v/>
      </c>
      <c r="AS350" s="34">
        <f>IF(N350="","",IF(ISNUMBER(N350),N350,IFERROR(VALUE(ASC(N350&amp;"")),IF(AR350&lt;&gt;"",AR350*IF(ISNUMBER(SEARCH("週",N350)),4.3,IF(ISNUMBER(SEARCH("年",N350)),1/12,IF(ISNUMBER(SEARCH("日",N350)),20,1))),IF(ISNUMBER(SEARCH("日",N350)),20,IF(ISNUMBER(SEARCH("週",N350)),4.3,IF(ISNUMBER(SEARCH("月",N350)),1,"")))))))</f>
        <v/>
      </c>
      <c r="AT350" s="34">
        <f>IF(O350="","",IF(ISNUMBER(O350),O350,IFERROR(VALUE(ASC(O350&amp;"")),IF(ISNUMBER(SEARCH("時間",O350)),IFERROR(VALUE(SUBSTITUTE(SUBSTITUTE(SUBSTITUTE(SUBSTITUTE(SUBSTITUTE(ASC(O350&amp;""),"約",""),"程度",""),"ほど",""),"時間","")," ",""))*60,""),IFERROR(VALUE(SUBSTITUTE(SUBSTITUTE(SUBSTITUTE(SUBSTITUTE(SUBSTITUTE(ASC(O350&amp;""),"約",""),"程度",""),"ほど",""),"分","")," ","")),"")))))</f>
        <v/>
      </c>
      <c r="AU350" s="34">
        <f>IF(P350="","",IF(ISNUMBER(P350),P350,IFERROR(VALUE(SUBSTITUTE(SUBSTITUTE(SUBSTITUTE(ASC(P350&amp;""),"約",""),"件","")," ","")),"")))</f>
        <v/>
      </c>
      <c r="AV350" s="34">
        <f>IF(AB350&lt;&gt;"OK","",IF(COUNTIFS($G$5:$G$404,G350&amp;"",$F$5:$F$404,F350&amp;"",$BE$5:$BE$404,BE350&amp;"",$AB$5:$AB$404,"OK")&gt;1,"同名あり",""))</f>
        <v/>
      </c>
      <c r="AW350" s="35">
        <f>IF(Q350="","",IF(ISNUMBER(Q350),Q350,IFERROR(DATEVALUE(SUBSTITUTE(SUBSTITUTE(ASC(Q350&amp;""),"-","/"),".","/")&amp;"/01"),"")))</f>
        <v/>
      </c>
      <c r="AX350" s="35">
        <f>IF(R350="","",IF(ISNUMBER(R350),R350,IFERROR(DATEVALUE(SUBSTITUTE(SUBSTITUTE(ASC(R350&amp;""),"-","/"),".","/")&amp;"/01"),"")))</f>
        <v/>
      </c>
      <c r="AY350" s="34">
        <f>IF(OR(AB350&lt;&gt;"OK",AW350=""),"",IF(AW350&gt;='01_設定'!$C$26,1,0))</f>
        <v/>
      </c>
      <c r="AZ350" s="34">
        <f>IF(AND(AB350="OK",AD350&lt;&gt;"除外"),COUNTIFS($AB$5:AB350,"OK",$AD$5:AD350,"&lt;&gt;除外"),"")</f>
        <v/>
      </c>
      <c r="BA350" s="34">
        <f>IF(OR(AZ350="",AI350=""),"",AI350+ROW()/1000000000)</f>
        <v/>
      </c>
      <c r="BB350" s="34">
        <f>IF(E350="","",IF(OR(TRIM(E350&amp;"")="-",TRIM(E350&amp;"")="－",TRIM(E350&amp;"")="ー"),"",TRIM(E350&amp;"")))</f>
        <v/>
      </c>
      <c r="BC350" s="34">
        <f>IF(AND(AB350="OK",BB350&lt;&gt;""),IF(COUNTIFS($BB$5:BB350,BB350,$AB$5:AB350,"OK")=1,1,""),"")</f>
        <v/>
      </c>
      <c r="BD350" s="34">
        <f>IF(BC350=1,COUNTIF($BC$5:BC350,1),"")</f>
        <v/>
      </c>
      <c r="BE350" s="34">
        <f>IF(BB350="","",IFERROR(INDEX('06_顧客別集計'!$G$5:$G$104,MATCH(BB350,'06_顧客別集計'!$C$5:$C$104,0)),BB350))</f>
        <v/>
      </c>
      <c r="BF350" s="34">
        <f>IF(AND(AZ350&lt;&gt;"",BE350&lt;&gt;""),IF(COUNTIFS($BE$5:BE350,BE350,$AZ$5:AZ350,"&gt;0")=1,1,""),"")</f>
        <v/>
      </c>
      <c r="BG350" s="34">
        <f>IF(BF350=1,COUNTIF($BF$5:BF350,1),"")</f>
        <v/>
      </c>
    </row>
    <row r="351">
      <c r="AB351">
        <f>IF(AND(A351="",G351=""),"",IF(ISNUMBER(SEARCH("##END",AM351)),"（終わりの印）",IF(ISNUMBER(SEARCH("##続き",AM351)),"（続きありの印）",IF(AM351="調査ID","（見出し行）",IF(AND(AM351&lt;&gt;"R1",AM351&lt;&gt;"R2"),"×表以外の行（集計されない）",IF(COUNTIF($AN$5:AN351,AN351)&gt;1,"△重複（集計されない）",IF(G351="","△タスク名なし",IF(ISNA(MATCH(AQ351,'M1_類型マスタ'!$A$5:$A$19,0)),"△類型が不正",IF(OR(AP351="",N(AP351)&lt;1,N(AP351)&gt;6),"△業務区分が不正",IF(OR(AS351="",AT351=""),"△回数・分が読めない",IF(SUMPRODUCT(--ISNUMBER(--T351:Z351))&lt;7,"△採点が足りない",IF(SUMPRODUCT((--T351:Z351&gt;2)+(--T351:Z351&lt;0))&gt;0,"△採点が範囲外","OK"))))))))))))</f>
        <v/>
      </c>
      <c r="AC351">
        <f>IF(AB351&lt;&gt;"OK","",TRIM(IF(AND(AU351&lt;&gt;"",N(AU351)&lt;=1),"根拠1件 ","")&amp;IF(AV351&lt;&gt;"","同名あり ","")&amp;IF(AND(NOT(ISNUMBER(N351)),N351&lt;&gt;""),"回数を換算 ","")&amp;IF(J351="","詳細なし ","")&amp;IF(AND(N(AP351)=1,BB351=""),"顧客名なし ","")))</f>
        <v/>
      </c>
      <c r="AD351" s="31" t="n"/>
      <c r="AE351" s="32" t="n"/>
      <c r="AF351" s="32" t="n"/>
      <c r="AG351" s="31" t="n"/>
      <c r="AH351">
        <f>IF(AB351&lt;&gt;"OK","",IF(AG351&lt;&gt;"",AG351,AJ351))</f>
        <v/>
      </c>
      <c r="AI351" s="33">
        <f>IF(AB351&lt;&gt;"OK","",IFERROR(IF(AE351&lt;&gt;"",AE351,AS351)*IF(AF351&lt;&gt;"",AF351,AT351)/60,""))</f>
        <v/>
      </c>
      <c r="AJ351">
        <f>IF(AB351&lt;&gt;"OK","",IF(OR(VALUE(T351)=2,VALUE(U351)=2,VALUE(V351)=2),"社内残置",IF(AND(VALUE(T351)=0,VALUE(W351)=0,VALUE(Y351)=0),"自動化候補",IF(AND(VALUE(U351)=0,VALUE(W351)&lt;=1,VALUE(X351)&lt;=1,VALUE(Y351)&lt;=1,VALUE(Z351)&lt;=1),"オフショア候補",IF(AND(VALUE(Y351)&lt;=1,VALUE(Z351)&lt;=1),"ニアショア候補","社内で手順化→再評価")))))</f>
        <v/>
      </c>
      <c r="AK351">
        <f>IF(AB351&lt;&gt;"OK","",14-SUMPRODUCT(--T351:Z351))</f>
        <v/>
      </c>
      <c r="AL351" s="33">
        <f>IF(AB351&lt;&gt;"OK","",AS351*AT351/60)</f>
        <v/>
      </c>
      <c r="AM351" s="34">
        <f>IF(A351="","",UPPER(TRIM(ASC(A351&amp;""))))</f>
        <v/>
      </c>
      <c r="AN351" s="34">
        <f>IF(AM351="","",AM351&amp;"-"&amp;B351)</f>
        <v/>
      </c>
      <c r="AO351" s="34">
        <f>IF(C351="","",IFERROR(VALUE(ASC(SUBSTITUTE(C351&amp;"","観点",""))),""))</f>
        <v/>
      </c>
      <c r="AP351" s="34">
        <f>IF(D351="","",IFERROR(VALUE(LEFT(TRIM(ASC(D351&amp;"")),1)),IFERROR(MATCH(TRIM(D351&amp;""),'M2_区分マスタ'!$I$5:$I$10,0),"")))</f>
        <v/>
      </c>
      <c r="AQ351" s="34">
        <f>IF(H351="","",UPPER(LEFT(TRIM(ASC(H351&amp;"")),3)))</f>
        <v/>
      </c>
      <c r="AR351" s="34">
        <f>IF(N351="","",IFERROR(VALUE(SUBSTITUTE(SUBSTITUTE(SUBSTITUTE(SUBSTITUTE(SUBSTITUTE(SUBSTITUTE(SUBSTITUTE(SUBSTITUTE(SUBSTITUTE(SUBSTITUTE(SUBSTITUTE(SUBSTITUTE(ASC(N351&amp;""),"約",""),"程度",""),"ほど",""),"回",""),"毎",""),"週",""),"月",""),"年",""),"日",""),"に",""),"/","")," ","")),""))</f>
        <v/>
      </c>
      <c r="AS351" s="34">
        <f>IF(N351="","",IF(ISNUMBER(N351),N351,IFERROR(VALUE(ASC(N351&amp;"")),IF(AR351&lt;&gt;"",AR351*IF(ISNUMBER(SEARCH("週",N351)),4.3,IF(ISNUMBER(SEARCH("年",N351)),1/12,IF(ISNUMBER(SEARCH("日",N351)),20,1))),IF(ISNUMBER(SEARCH("日",N351)),20,IF(ISNUMBER(SEARCH("週",N351)),4.3,IF(ISNUMBER(SEARCH("月",N351)),1,"")))))))</f>
        <v/>
      </c>
      <c r="AT351" s="34">
        <f>IF(O351="","",IF(ISNUMBER(O351),O351,IFERROR(VALUE(ASC(O351&amp;"")),IF(ISNUMBER(SEARCH("時間",O351)),IFERROR(VALUE(SUBSTITUTE(SUBSTITUTE(SUBSTITUTE(SUBSTITUTE(SUBSTITUTE(ASC(O351&amp;""),"約",""),"程度",""),"ほど",""),"時間","")," ",""))*60,""),IFERROR(VALUE(SUBSTITUTE(SUBSTITUTE(SUBSTITUTE(SUBSTITUTE(SUBSTITUTE(ASC(O351&amp;""),"約",""),"程度",""),"ほど",""),"分","")," ","")),"")))))</f>
        <v/>
      </c>
      <c r="AU351" s="34">
        <f>IF(P351="","",IF(ISNUMBER(P351),P351,IFERROR(VALUE(SUBSTITUTE(SUBSTITUTE(SUBSTITUTE(ASC(P351&amp;""),"約",""),"件","")," ","")),"")))</f>
        <v/>
      </c>
      <c r="AV351" s="34">
        <f>IF(AB351&lt;&gt;"OK","",IF(COUNTIFS($G$5:$G$404,G351&amp;"",$F$5:$F$404,F351&amp;"",$BE$5:$BE$404,BE351&amp;"",$AB$5:$AB$404,"OK")&gt;1,"同名あり",""))</f>
        <v/>
      </c>
      <c r="AW351" s="35">
        <f>IF(Q351="","",IF(ISNUMBER(Q351),Q351,IFERROR(DATEVALUE(SUBSTITUTE(SUBSTITUTE(ASC(Q351&amp;""),"-","/"),".","/")&amp;"/01"),"")))</f>
        <v/>
      </c>
      <c r="AX351" s="35">
        <f>IF(R351="","",IF(ISNUMBER(R351),R351,IFERROR(DATEVALUE(SUBSTITUTE(SUBSTITUTE(ASC(R351&amp;""),"-","/"),".","/")&amp;"/01"),"")))</f>
        <v/>
      </c>
      <c r="AY351" s="34">
        <f>IF(OR(AB351&lt;&gt;"OK",AW351=""),"",IF(AW351&gt;='01_設定'!$C$26,1,0))</f>
        <v/>
      </c>
      <c r="AZ351" s="34">
        <f>IF(AND(AB351="OK",AD351&lt;&gt;"除外"),COUNTIFS($AB$5:AB351,"OK",$AD$5:AD351,"&lt;&gt;除外"),"")</f>
        <v/>
      </c>
      <c r="BA351" s="34">
        <f>IF(OR(AZ351="",AI351=""),"",AI351+ROW()/1000000000)</f>
        <v/>
      </c>
      <c r="BB351" s="34">
        <f>IF(E351="","",IF(OR(TRIM(E351&amp;"")="-",TRIM(E351&amp;"")="－",TRIM(E351&amp;"")="ー"),"",TRIM(E351&amp;"")))</f>
        <v/>
      </c>
      <c r="BC351" s="34">
        <f>IF(AND(AB351="OK",BB351&lt;&gt;""),IF(COUNTIFS($BB$5:BB351,BB351,$AB$5:AB351,"OK")=1,1,""),"")</f>
        <v/>
      </c>
      <c r="BD351" s="34">
        <f>IF(BC351=1,COUNTIF($BC$5:BC351,1),"")</f>
        <v/>
      </c>
      <c r="BE351" s="34">
        <f>IF(BB351="","",IFERROR(INDEX('06_顧客別集計'!$G$5:$G$104,MATCH(BB351,'06_顧客別集計'!$C$5:$C$104,0)),BB351))</f>
        <v/>
      </c>
      <c r="BF351" s="34">
        <f>IF(AND(AZ351&lt;&gt;"",BE351&lt;&gt;""),IF(COUNTIFS($BE$5:BE351,BE351,$AZ$5:AZ351,"&gt;0")=1,1,""),"")</f>
        <v/>
      </c>
      <c r="BG351" s="34">
        <f>IF(BF351=1,COUNTIF($BF$5:BF351,1),"")</f>
        <v/>
      </c>
    </row>
    <row r="352">
      <c r="AB352">
        <f>IF(AND(A352="",G352=""),"",IF(ISNUMBER(SEARCH("##END",AM352)),"（終わりの印）",IF(ISNUMBER(SEARCH("##続き",AM352)),"（続きありの印）",IF(AM352="調査ID","（見出し行）",IF(AND(AM352&lt;&gt;"R1",AM352&lt;&gt;"R2"),"×表以外の行（集計されない）",IF(COUNTIF($AN$5:AN352,AN352)&gt;1,"△重複（集計されない）",IF(G352="","△タスク名なし",IF(ISNA(MATCH(AQ352,'M1_類型マスタ'!$A$5:$A$19,0)),"△類型が不正",IF(OR(AP352="",N(AP352)&lt;1,N(AP352)&gt;6),"△業務区分が不正",IF(OR(AS352="",AT352=""),"△回数・分が読めない",IF(SUMPRODUCT(--ISNUMBER(--T352:Z352))&lt;7,"△採点が足りない",IF(SUMPRODUCT((--T352:Z352&gt;2)+(--T352:Z352&lt;0))&gt;0,"△採点が範囲外","OK"))))))))))))</f>
        <v/>
      </c>
      <c r="AC352">
        <f>IF(AB352&lt;&gt;"OK","",TRIM(IF(AND(AU352&lt;&gt;"",N(AU352)&lt;=1),"根拠1件 ","")&amp;IF(AV352&lt;&gt;"","同名あり ","")&amp;IF(AND(NOT(ISNUMBER(N352)),N352&lt;&gt;""),"回数を換算 ","")&amp;IF(J352="","詳細なし ","")&amp;IF(AND(N(AP352)=1,BB352=""),"顧客名なし ","")))</f>
        <v/>
      </c>
      <c r="AD352" s="31" t="n"/>
      <c r="AE352" s="32" t="n"/>
      <c r="AF352" s="32" t="n"/>
      <c r="AG352" s="31" t="n"/>
      <c r="AH352">
        <f>IF(AB352&lt;&gt;"OK","",IF(AG352&lt;&gt;"",AG352,AJ352))</f>
        <v/>
      </c>
      <c r="AI352" s="33">
        <f>IF(AB352&lt;&gt;"OK","",IFERROR(IF(AE352&lt;&gt;"",AE352,AS352)*IF(AF352&lt;&gt;"",AF352,AT352)/60,""))</f>
        <v/>
      </c>
      <c r="AJ352">
        <f>IF(AB352&lt;&gt;"OK","",IF(OR(VALUE(T352)=2,VALUE(U352)=2,VALUE(V352)=2),"社内残置",IF(AND(VALUE(T352)=0,VALUE(W352)=0,VALUE(Y352)=0),"自動化候補",IF(AND(VALUE(U352)=0,VALUE(W352)&lt;=1,VALUE(X352)&lt;=1,VALUE(Y352)&lt;=1,VALUE(Z352)&lt;=1),"オフショア候補",IF(AND(VALUE(Y352)&lt;=1,VALUE(Z352)&lt;=1),"ニアショア候補","社内で手順化→再評価")))))</f>
        <v/>
      </c>
      <c r="AK352">
        <f>IF(AB352&lt;&gt;"OK","",14-SUMPRODUCT(--T352:Z352))</f>
        <v/>
      </c>
      <c r="AL352" s="33">
        <f>IF(AB352&lt;&gt;"OK","",AS352*AT352/60)</f>
        <v/>
      </c>
      <c r="AM352" s="34">
        <f>IF(A352="","",UPPER(TRIM(ASC(A352&amp;""))))</f>
        <v/>
      </c>
      <c r="AN352" s="34">
        <f>IF(AM352="","",AM352&amp;"-"&amp;B352)</f>
        <v/>
      </c>
      <c r="AO352" s="34">
        <f>IF(C352="","",IFERROR(VALUE(ASC(SUBSTITUTE(C352&amp;"","観点",""))),""))</f>
        <v/>
      </c>
      <c r="AP352" s="34">
        <f>IF(D352="","",IFERROR(VALUE(LEFT(TRIM(ASC(D352&amp;"")),1)),IFERROR(MATCH(TRIM(D352&amp;""),'M2_区分マスタ'!$I$5:$I$10,0),"")))</f>
        <v/>
      </c>
      <c r="AQ352" s="34">
        <f>IF(H352="","",UPPER(LEFT(TRIM(ASC(H352&amp;"")),3)))</f>
        <v/>
      </c>
      <c r="AR352" s="34">
        <f>IF(N352="","",IFERROR(VALUE(SUBSTITUTE(SUBSTITUTE(SUBSTITUTE(SUBSTITUTE(SUBSTITUTE(SUBSTITUTE(SUBSTITUTE(SUBSTITUTE(SUBSTITUTE(SUBSTITUTE(SUBSTITUTE(SUBSTITUTE(ASC(N352&amp;""),"約",""),"程度",""),"ほど",""),"回",""),"毎",""),"週",""),"月",""),"年",""),"日",""),"に",""),"/","")," ","")),""))</f>
        <v/>
      </c>
      <c r="AS352" s="34">
        <f>IF(N352="","",IF(ISNUMBER(N352),N352,IFERROR(VALUE(ASC(N352&amp;"")),IF(AR352&lt;&gt;"",AR352*IF(ISNUMBER(SEARCH("週",N352)),4.3,IF(ISNUMBER(SEARCH("年",N352)),1/12,IF(ISNUMBER(SEARCH("日",N352)),20,1))),IF(ISNUMBER(SEARCH("日",N352)),20,IF(ISNUMBER(SEARCH("週",N352)),4.3,IF(ISNUMBER(SEARCH("月",N352)),1,"")))))))</f>
        <v/>
      </c>
      <c r="AT352" s="34">
        <f>IF(O352="","",IF(ISNUMBER(O352),O352,IFERROR(VALUE(ASC(O352&amp;"")),IF(ISNUMBER(SEARCH("時間",O352)),IFERROR(VALUE(SUBSTITUTE(SUBSTITUTE(SUBSTITUTE(SUBSTITUTE(SUBSTITUTE(ASC(O352&amp;""),"約",""),"程度",""),"ほど",""),"時間","")," ",""))*60,""),IFERROR(VALUE(SUBSTITUTE(SUBSTITUTE(SUBSTITUTE(SUBSTITUTE(SUBSTITUTE(ASC(O352&amp;""),"約",""),"程度",""),"ほど",""),"分","")," ","")),"")))))</f>
        <v/>
      </c>
      <c r="AU352" s="34">
        <f>IF(P352="","",IF(ISNUMBER(P352),P352,IFERROR(VALUE(SUBSTITUTE(SUBSTITUTE(SUBSTITUTE(ASC(P352&amp;""),"約",""),"件","")," ","")),"")))</f>
        <v/>
      </c>
      <c r="AV352" s="34">
        <f>IF(AB352&lt;&gt;"OK","",IF(COUNTIFS($G$5:$G$404,G352&amp;"",$F$5:$F$404,F352&amp;"",$BE$5:$BE$404,BE352&amp;"",$AB$5:$AB$404,"OK")&gt;1,"同名あり",""))</f>
        <v/>
      </c>
      <c r="AW352" s="35">
        <f>IF(Q352="","",IF(ISNUMBER(Q352),Q352,IFERROR(DATEVALUE(SUBSTITUTE(SUBSTITUTE(ASC(Q352&amp;""),"-","/"),".","/")&amp;"/01"),"")))</f>
        <v/>
      </c>
      <c r="AX352" s="35">
        <f>IF(R352="","",IF(ISNUMBER(R352),R352,IFERROR(DATEVALUE(SUBSTITUTE(SUBSTITUTE(ASC(R352&amp;""),"-","/"),".","/")&amp;"/01"),"")))</f>
        <v/>
      </c>
      <c r="AY352" s="34">
        <f>IF(OR(AB352&lt;&gt;"OK",AW352=""),"",IF(AW352&gt;='01_設定'!$C$26,1,0))</f>
        <v/>
      </c>
      <c r="AZ352" s="34">
        <f>IF(AND(AB352="OK",AD352&lt;&gt;"除外"),COUNTIFS($AB$5:AB352,"OK",$AD$5:AD352,"&lt;&gt;除外"),"")</f>
        <v/>
      </c>
      <c r="BA352" s="34">
        <f>IF(OR(AZ352="",AI352=""),"",AI352+ROW()/1000000000)</f>
        <v/>
      </c>
      <c r="BB352" s="34">
        <f>IF(E352="","",IF(OR(TRIM(E352&amp;"")="-",TRIM(E352&amp;"")="－",TRIM(E352&amp;"")="ー"),"",TRIM(E352&amp;"")))</f>
        <v/>
      </c>
      <c r="BC352" s="34">
        <f>IF(AND(AB352="OK",BB352&lt;&gt;""),IF(COUNTIFS($BB$5:BB352,BB352,$AB$5:AB352,"OK")=1,1,""),"")</f>
        <v/>
      </c>
      <c r="BD352" s="34">
        <f>IF(BC352=1,COUNTIF($BC$5:BC352,1),"")</f>
        <v/>
      </c>
      <c r="BE352" s="34">
        <f>IF(BB352="","",IFERROR(INDEX('06_顧客別集計'!$G$5:$G$104,MATCH(BB352,'06_顧客別集計'!$C$5:$C$104,0)),BB352))</f>
        <v/>
      </c>
      <c r="BF352" s="34">
        <f>IF(AND(AZ352&lt;&gt;"",BE352&lt;&gt;""),IF(COUNTIFS($BE$5:BE352,BE352,$AZ$5:AZ352,"&gt;0")=1,1,""),"")</f>
        <v/>
      </c>
      <c r="BG352" s="34">
        <f>IF(BF352=1,COUNTIF($BF$5:BF352,1),"")</f>
        <v/>
      </c>
    </row>
    <row r="353">
      <c r="AB353">
        <f>IF(AND(A353="",G353=""),"",IF(ISNUMBER(SEARCH("##END",AM353)),"（終わりの印）",IF(ISNUMBER(SEARCH("##続き",AM353)),"（続きありの印）",IF(AM353="調査ID","（見出し行）",IF(AND(AM353&lt;&gt;"R1",AM353&lt;&gt;"R2"),"×表以外の行（集計されない）",IF(COUNTIF($AN$5:AN353,AN353)&gt;1,"△重複（集計されない）",IF(G353="","△タスク名なし",IF(ISNA(MATCH(AQ353,'M1_類型マスタ'!$A$5:$A$19,0)),"△類型が不正",IF(OR(AP353="",N(AP353)&lt;1,N(AP353)&gt;6),"△業務区分が不正",IF(OR(AS353="",AT353=""),"△回数・分が読めない",IF(SUMPRODUCT(--ISNUMBER(--T353:Z353))&lt;7,"△採点が足りない",IF(SUMPRODUCT((--T353:Z353&gt;2)+(--T353:Z353&lt;0))&gt;0,"△採点が範囲外","OK"))))))))))))</f>
        <v/>
      </c>
      <c r="AC353">
        <f>IF(AB353&lt;&gt;"OK","",TRIM(IF(AND(AU353&lt;&gt;"",N(AU353)&lt;=1),"根拠1件 ","")&amp;IF(AV353&lt;&gt;"","同名あり ","")&amp;IF(AND(NOT(ISNUMBER(N353)),N353&lt;&gt;""),"回数を換算 ","")&amp;IF(J353="","詳細なし ","")&amp;IF(AND(N(AP353)=1,BB353=""),"顧客名なし ","")))</f>
        <v/>
      </c>
      <c r="AD353" s="31" t="n"/>
      <c r="AE353" s="32" t="n"/>
      <c r="AF353" s="32" t="n"/>
      <c r="AG353" s="31" t="n"/>
      <c r="AH353">
        <f>IF(AB353&lt;&gt;"OK","",IF(AG353&lt;&gt;"",AG353,AJ353))</f>
        <v/>
      </c>
      <c r="AI353" s="33">
        <f>IF(AB353&lt;&gt;"OK","",IFERROR(IF(AE353&lt;&gt;"",AE353,AS353)*IF(AF353&lt;&gt;"",AF353,AT353)/60,""))</f>
        <v/>
      </c>
      <c r="AJ353">
        <f>IF(AB353&lt;&gt;"OK","",IF(OR(VALUE(T353)=2,VALUE(U353)=2,VALUE(V353)=2),"社内残置",IF(AND(VALUE(T353)=0,VALUE(W353)=0,VALUE(Y353)=0),"自動化候補",IF(AND(VALUE(U353)=0,VALUE(W353)&lt;=1,VALUE(X353)&lt;=1,VALUE(Y353)&lt;=1,VALUE(Z353)&lt;=1),"オフショア候補",IF(AND(VALUE(Y353)&lt;=1,VALUE(Z353)&lt;=1),"ニアショア候補","社内で手順化→再評価")))))</f>
        <v/>
      </c>
      <c r="AK353">
        <f>IF(AB353&lt;&gt;"OK","",14-SUMPRODUCT(--T353:Z353))</f>
        <v/>
      </c>
      <c r="AL353" s="33">
        <f>IF(AB353&lt;&gt;"OK","",AS353*AT353/60)</f>
        <v/>
      </c>
      <c r="AM353" s="34">
        <f>IF(A353="","",UPPER(TRIM(ASC(A353&amp;""))))</f>
        <v/>
      </c>
      <c r="AN353" s="34">
        <f>IF(AM353="","",AM353&amp;"-"&amp;B353)</f>
        <v/>
      </c>
      <c r="AO353" s="34">
        <f>IF(C353="","",IFERROR(VALUE(ASC(SUBSTITUTE(C353&amp;"","観点",""))),""))</f>
        <v/>
      </c>
      <c r="AP353" s="34">
        <f>IF(D353="","",IFERROR(VALUE(LEFT(TRIM(ASC(D353&amp;"")),1)),IFERROR(MATCH(TRIM(D353&amp;""),'M2_区分マスタ'!$I$5:$I$10,0),"")))</f>
        <v/>
      </c>
      <c r="AQ353" s="34">
        <f>IF(H353="","",UPPER(LEFT(TRIM(ASC(H353&amp;"")),3)))</f>
        <v/>
      </c>
      <c r="AR353" s="34">
        <f>IF(N353="","",IFERROR(VALUE(SUBSTITUTE(SUBSTITUTE(SUBSTITUTE(SUBSTITUTE(SUBSTITUTE(SUBSTITUTE(SUBSTITUTE(SUBSTITUTE(SUBSTITUTE(SUBSTITUTE(SUBSTITUTE(SUBSTITUTE(ASC(N353&amp;""),"約",""),"程度",""),"ほど",""),"回",""),"毎",""),"週",""),"月",""),"年",""),"日",""),"に",""),"/","")," ","")),""))</f>
        <v/>
      </c>
      <c r="AS353" s="34">
        <f>IF(N353="","",IF(ISNUMBER(N353),N353,IFERROR(VALUE(ASC(N353&amp;"")),IF(AR353&lt;&gt;"",AR353*IF(ISNUMBER(SEARCH("週",N353)),4.3,IF(ISNUMBER(SEARCH("年",N353)),1/12,IF(ISNUMBER(SEARCH("日",N353)),20,1))),IF(ISNUMBER(SEARCH("日",N353)),20,IF(ISNUMBER(SEARCH("週",N353)),4.3,IF(ISNUMBER(SEARCH("月",N353)),1,"")))))))</f>
        <v/>
      </c>
      <c r="AT353" s="34">
        <f>IF(O353="","",IF(ISNUMBER(O353),O353,IFERROR(VALUE(ASC(O353&amp;"")),IF(ISNUMBER(SEARCH("時間",O353)),IFERROR(VALUE(SUBSTITUTE(SUBSTITUTE(SUBSTITUTE(SUBSTITUTE(SUBSTITUTE(ASC(O353&amp;""),"約",""),"程度",""),"ほど",""),"時間","")," ",""))*60,""),IFERROR(VALUE(SUBSTITUTE(SUBSTITUTE(SUBSTITUTE(SUBSTITUTE(SUBSTITUTE(ASC(O353&amp;""),"約",""),"程度",""),"ほど",""),"分","")," ","")),"")))))</f>
        <v/>
      </c>
      <c r="AU353" s="34">
        <f>IF(P353="","",IF(ISNUMBER(P353),P353,IFERROR(VALUE(SUBSTITUTE(SUBSTITUTE(SUBSTITUTE(ASC(P353&amp;""),"約",""),"件","")," ","")),"")))</f>
        <v/>
      </c>
      <c r="AV353" s="34">
        <f>IF(AB353&lt;&gt;"OK","",IF(COUNTIFS($G$5:$G$404,G353&amp;"",$F$5:$F$404,F353&amp;"",$BE$5:$BE$404,BE353&amp;"",$AB$5:$AB$404,"OK")&gt;1,"同名あり",""))</f>
        <v/>
      </c>
      <c r="AW353" s="35">
        <f>IF(Q353="","",IF(ISNUMBER(Q353),Q353,IFERROR(DATEVALUE(SUBSTITUTE(SUBSTITUTE(ASC(Q353&amp;""),"-","/"),".","/")&amp;"/01"),"")))</f>
        <v/>
      </c>
      <c r="AX353" s="35">
        <f>IF(R353="","",IF(ISNUMBER(R353),R353,IFERROR(DATEVALUE(SUBSTITUTE(SUBSTITUTE(ASC(R353&amp;""),"-","/"),".","/")&amp;"/01"),"")))</f>
        <v/>
      </c>
      <c r="AY353" s="34">
        <f>IF(OR(AB353&lt;&gt;"OK",AW353=""),"",IF(AW353&gt;='01_設定'!$C$26,1,0))</f>
        <v/>
      </c>
      <c r="AZ353" s="34">
        <f>IF(AND(AB353="OK",AD353&lt;&gt;"除外"),COUNTIFS($AB$5:AB353,"OK",$AD$5:AD353,"&lt;&gt;除外"),"")</f>
        <v/>
      </c>
      <c r="BA353" s="34">
        <f>IF(OR(AZ353="",AI353=""),"",AI353+ROW()/1000000000)</f>
        <v/>
      </c>
      <c r="BB353" s="34">
        <f>IF(E353="","",IF(OR(TRIM(E353&amp;"")="-",TRIM(E353&amp;"")="－",TRIM(E353&amp;"")="ー"),"",TRIM(E353&amp;"")))</f>
        <v/>
      </c>
      <c r="BC353" s="34">
        <f>IF(AND(AB353="OK",BB353&lt;&gt;""),IF(COUNTIFS($BB$5:BB353,BB353,$AB$5:AB353,"OK")=1,1,""),"")</f>
        <v/>
      </c>
      <c r="BD353" s="34">
        <f>IF(BC353=1,COUNTIF($BC$5:BC353,1),"")</f>
        <v/>
      </c>
      <c r="BE353" s="34">
        <f>IF(BB353="","",IFERROR(INDEX('06_顧客別集計'!$G$5:$G$104,MATCH(BB353,'06_顧客別集計'!$C$5:$C$104,0)),BB353))</f>
        <v/>
      </c>
      <c r="BF353" s="34">
        <f>IF(AND(AZ353&lt;&gt;"",BE353&lt;&gt;""),IF(COUNTIFS($BE$5:BE353,BE353,$AZ$5:AZ353,"&gt;0")=1,1,""),"")</f>
        <v/>
      </c>
      <c r="BG353" s="34">
        <f>IF(BF353=1,COUNTIF($BF$5:BF353,1),"")</f>
        <v/>
      </c>
    </row>
    <row r="354">
      <c r="AB354">
        <f>IF(AND(A354="",G354=""),"",IF(ISNUMBER(SEARCH("##END",AM354)),"（終わりの印）",IF(ISNUMBER(SEARCH("##続き",AM354)),"（続きありの印）",IF(AM354="調査ID","（見出し行）",IF(AND(AM354&lt;&gt;"R1",AM354&lt;&gt;"R2"),"×表以外の行（集計されない）",IF(COUNTIF($AN$5:AN354,AN354)&gt;1,"△重複（集計されない）",IF(G354="","△タスク名なし",IF(ISNA(MATCH(AQ354,'M1_類型マスタ'!$A$5:$A$19,0)),"△類型が不正",IF(OR(AP354="",N(AP354)&lt;1,N(AP354)&gt;6),"△業務区分が不正",IF(OR(AS354="",AT354=""),"△回数・分が読めない",IF(SUMPRODUCT(--ISNUMBER(--T354:Z354))&lt;7,"△採点が足りない",IF(SUMPRODUCT((--T354:Z354&gt;2)+(--T354:Z354&lt;0))&gt;0,"△採点が範囲外","OK"))))))))))))</f>
        <v/>
      </c>
      <c r="AC354">
        <f>IF(AB354&lt;&gt;"OK","",TRIM(IF(AND(AU354&lt;&gt;"",N(AU354)&lt;=1),"根拠1件 ","")&amp;IF(AV354&lt;&gt;"","同名あり ","")&amp;IF(AND(NOT(ISNUMBER(N354)),N354&lt;&gt;""),"回数を換算 ","")&amp;IF(J354="","詳細なし ","")&amp;IF(AND(N(AP354)=1,BB354=""),"顧客名なし ","")))</f>
        <v/>
      </c>
      <c r="AD354" s="31" t="n"/>
      <c r="AE354" s="32" t="n"/>
      <c r="AF354" s="32" t="n"/>
      <c r="AG354" s="31" t="n"/>
      <c r="AH354">
        <f>IF(AB354&lt;&gt;"OK","",IF(AG354&lt;&gt;"",AG354,AJ354))</f>
        <v/>
      </c>
      <c r="AI354" s="33">
        <f>IF(AB354&lt;&gt;"OK","",IFERROR(IF(AE354&lt;&gt;"",AE354,AS354)*IF(AF354&lt;&gt;"",AF354,AT354)/60,""))</f>
        <v/>
      </c>
      <c r="AJ354">
        <f>IF(AB354&lt;&gt;"OK","",IF(OR(VALUE(T354)=2,VALUE(U354)=2,VALUE(V354)=2),"社内残置",IF(AND(VALUE(T354)=0,VALUE(W354)=0,VALUE(Y354)=0),"自動化候補",IF(AND(VALUE(U354)=0,VALUE(W354)&lt;=1,VALUE(X354)&lt;=1,VALUE(Y354)&lt;=1,VALUE(Z354)&lt;=1),"オフショア候補",IF(AND(VALUE(Y354)&lt;=1,VALUE(Z354)&lt;=1),"ニアショア候補","社内で手順化→再評価")))))</f>
        <v/>
      </c>
      <c r="AK354">
        <f>IF(AB354&lt;&gt;"OK","",14-SUMPRODUCT(--T354:Z354))</f>
        <v/>
      </c>
      <c r="AL354" s="33">
        <f>IF(AB354&lt;&gt;"OK","",AS354*AT354/60)</f>
        <v/>
      </c>
      <c r="AM354" s="34">
        <f>IF(A354="","",UPPER(TRIM(ASC(A354&amp;""))))</f>
        <v/>
      </c>
      <c r="AN354" s="34">
        <f>IF(AM354="","",AM354&amp;"-"&amp;B354)</f>
        <v/>
      </c>
      <c r="AO354" s="34">
        <f>IF(C354="","",IFERROR(VALUE(ASC(SUBSTITUTE(C354&amp;"","観点",""))),""))</f>
        <v/>
      </c>
      <c r="AP354" s="34">
        <f>IF(D354="","",IFERROR(VALUE(LEFT(TRIM(ASC(D354&amp;"")),1)),IFERROR(MATCH(TRIM(D354&amp;""),'M2_区分マスタ'!$I$5:$I$10,0),"")))</f>
        <v/>
      </c>
      <c r="AQ354" s="34">
        <f>IF(H354="","",UPPER(LEFT(TRIM(ASC(H354&amp;"")),3)))</f>
        <v/>
      </c>
      <c r="AR354" s="34">
        <f>IF(N354="","",IFERROR(VALUE(SUBSTITUTE(SUBSTITUTE(SUBSTITUTE(SUBSTITUTE(SUBSTITUTE(SUBSTITUTE(SUBSTITUTE(SUBSTITUTE(SUBSTITUTE(SUBSTITUTE(SUBSTITUTE(SUBSTITUTE(ASC(N354&amp;""),"約",""),"程度",""),"ほど",""),"回",""),"毎",""),"週",""),"月",""),"年",""),"日",""),"に",""),"/","")," ","")),""))</f>
        <v/>
      </c>
      <c r="AS354" s="34">
        <f>IF(N354="","",IF(ISNUMBER(N354),N354,IFERROR(VALUE(ASC(N354&amp;"")),IF(AR354&lt;&gt;"",AR354*IF(ISNUMBER(SEARCH("週",N354)),4.3,IF(ISNUMBER(SEARCH("年",N354)),1/12,IF(ISNUMBER(SEARCH("日",N354)),20,1))),IF(ISNUMBER(SEARCH("日",N354)),20,IF(ISNUMBER(SEARCH("週",N354)),4.3,IF(ISNUMBER(SEARCH("月",N354)),1,"")))))))</f>
        <v/>
      </c>
      <c r="AT354" s="34">
        <f>IF(O354="","",IF(ISNUMBER(O354),O354,IFERROR(VALUE(ASC(O354&amp;"")),IF(ISNUMBER(SEARCH("時間",O354)),IFERROR(VALUE(SUBSTITUTE(SUBSTITUTE(SUBSTITUTE(SUBSTITUTE(SUBSTITUTE(ASC(O354&amp;""),"約",""),"程度",""),"ほど",""),"時間","")," ",""))*60,""),IFERROR(VALUE(SUBSTITUTE(SUBSTITUTE(SUBSTITUTE(SUBSTITUTE(SUBSTITUTE(ASC(O354&amp;""),"約",""),"程度",""),"ほど",""),"分","")," ","")),"")))))</f>
        <v/>
      </c>
      <c r="AU354" s="34">
        <f>IF(P354="","",IF(ISNUMBER(P354),P354,IFERROR(VALUE(SUBSTITUTE(SUBSTITUTE(SUBSTITUTE(ASC(P354&amp;""),"約",""),"件","")," ","")),"")))</f>
        <v/>
      </c>
      <c r="AV354" s="34">
        <f>IF(AB354&lt;&gt;"OK","",IF(COUNTIFS($G$5:$G$404,G354&amp;"",$F$5:$F$404,F354&amp;"",$BE$5:$BE$404,BE354&amp;"",$AB$5:$AB$404,"OK")&gt;1,"同名あり",""))</f>
        <v/>
      </c>
      <c r="AW354" s="35">
        <f>IF(Q354="","",IF(ISNUMBER(Q354),Q354,IFERROR(DATEVALUE(SUBSTITUTE(SUBSTITUTE(ASC(Q354&amp;""),"-","/"),".","/")&amp;"/01"),"")))</f>
        <v/>
      </c>
      <c r="AX354" s="35">
        <f>IF(R354="","",IF(ISNUMBER(R354),R354,IFERROR(DATEVALUE(SUBSTITUTE(SUBSTITUTE(ASC(R354&amp;""),"-","/"),".","/")&amp;"/01"),"")))</f>
        <v/>
      </c>
      <c r="AY354" s="34">
        <f>IF(OR(AB354&lt;&gt;"OK",AW354=""),"",IF(AW354&gt;='01_設定'!$C$26,1,0))</f>
        <v/>
      </c>
      <c r="AZ354" s="34">
        <f>IF(AND(AB354="OK",AD354&lt;&gt;"除外"),COUNTIFS($AB$5:AB354,"OK",$AD$5:AD354,"&lt;&gt;除外"),"")</f>
        <v/>
      </c>
      <c r="BA354" s="34">
        <f>IF(OR(AZ354="",AI354=""),"",AI354+ROW()/1000000000)</f>
        <v/>
      </c>
      <c r="BB354" s="34">
        <f>IF(E354="","",IF(OR(TRIM(E354&amp;"")="-",TRIM(E354&amp;"")="－",TRIM(E354&amp;"")="ー"),"",TRIM(E354&amp;"")))</f>
        <v/>
      </c>
      <c r="BC354" s="34">
        <f>IF(AND(AB354="OK",BB354&lt;&gt;""),IF(COUNTIFS($BB$5:BB354,BB354,$AB$5:AB354,"OK")=1,1,""),"")</f>
        <v/>
      </c>
      <c r="BD354" s="34">
        <f>IF(BC354=1,COUNTIF($BC$5:BC354,1),"")</f>
        <v/>
      </c>
      <c r="BE354" s="34">
        <f>IF(BB354="","",IFERROR(INDEX('06_顧客別集計'!$G$5:$G$104,MATCH(BB354,'06_顧客別集計'!$C$5:$C$104,0)),BB354))</f>
        <v/>
      </c>
      <c r="BF354" s="34">
        <f>IF(AND(AZ354&lt;&gt;"",BE354&lt;&gt;""),IF(COUNTIFS($BE$5:BE354,BE354,$AZ$5:AZ354,"&gt;0")=1,1,""),"")</f>
        <v/>
      </c>
      <c r="BG354" s="34">
        <f>IF(BF354=1,COUNTIF($BF$5:BF354,1),"")</f>
        <v/>
      </c>
    </row>
    <row r="355">
      <c r="AB355">
        <f>IF(AND(A355="",G355=""),"",IF(ISNUMBER(SEARCH("##END",AM355)),"（終わりの印）",IF(ISNUMBER(SEARCH("##続き",AM355)),"（続きありの印）",IF(AM355="調査ID","（見出し行）",IF(AND(AM355&lt;&gt;"R1",AM355&lt;&gt;"R2"),"×表以外の行（集計されない）",IF(COUNTIF($AN$5:AN355,AN355)&gt;1,"△重複（集計されない）",IF(G355="","△タスク名なし",IF(ISNA(MATCH(AQ355,'M1_類型マスタ'!$A$5:$A$19,0)),"△類型が不正",IF(OR(AP355="",N(AP355)&lt;1,N(AP355)&gt;6),"△業務区分が不正",IF(OR(AS355="",AT355=""),"△回数・分が読めない",IF(SUMPRODUCT(--ISNUMBER(--T355:Z355))&lt;7,"△採点が足りない",IF(SUMPRODUCT((--T355:Z355&gt;2)+(--T355:Z355&lt;0))&gt;0,"△採点が範囲外","OK"))))))))))))</f>
        <v/>
      </c>
      <c r="AC355">
        <f>IF(AB355&lt;&gt;"OK","",TRIM(IF(AND(AU355&lt;&gt;"",N(AU355)&lt;=1),"根拠1件 ","")&amp;IF(AV355&lt;&gt;"","同名あり ","")&amp;IF(AND(NOT(ISNUMBER(N355)),N355&lt;&gt;""),"回数を換算 ","")&amp;IF(J355="","詳細なし ","")&amp;IF(AND(N(AP355)=1,BB355=""),"顧客名なし ","")))</f>
        <v/>
      </c>
      <c r="AD355" s="31" t="n"/>
      <c r="AE355" s="32" t="n"/>
      <c r="AF355" s="32" t="n"/>
      <c r="AG355" s="31" t="n"/>
      <c r="AH355">
        <f>IF(AB355&lt;&gt;"OK","",IF(AG355&lt;&gt;"",AG355,AJ355))</f>
        <v/>
      </c>
      <c r="AI355" s="33">
        <f>IF(AB355&lt;&gt;"OK","",IFERROR(IF(AE355&lt;&gt;"",AE355,AS355)*IF(AF355&lt;&gt;"",AF355,AT355)/60,""))</f>
        <v/>
      </c>
      <c r="AJ355">
        <f>IF(AB355&lt;&gt;"OK","",IF(OR(VALUE(T355)=2,VALUE(U355)=2,VALUE(V355)=2),"社内残置",IF(AND(VALUE(T355)=0,VALUE(W355)=0,VALUE(Y355)=0),"自動化候補",IF(AND(VALUE(U355)=0,VALUE(W355)&lt;=1,VALUE(X355)&lt;=1,VALUE(Y355)&lt;=1,VALUE(Z355)&lt;=1),"オフショア候補",IF(AND(VALUE(Y355)&lt;=1,VALUE(Z355)&lt;=1),"ニアショア候補","社内で手順化→再評価")))))</f>
        <v/>
      </c>
      <c r="AK355">
        <f>IF(AB355&lt;&gt;"OK","",14-SUMPRODUCT(--T355:Z355))</f>
        <v/>
      </c>
      <c r="AL355" s="33">
        <f>IF(AB355&lt;&gt;"OK","",AS355*AT355/60)</f>
        <v/>
      </c>
      <c r="AM355" s="34">
        <f>IF(A355="","",UPPER(TRIM(ASC(A355&amp;""))))</f>
        <v/>
      </c>
      <c r="AN355" s="34">
        <f>IF(AM355="","",AM355&amp;"-"&amp;B355)</f>
        <v/>
      </c>
      <c r="AO355" s="34">
        <f>IF(C355="","",IFERROR(VALUE(ASC(SUBSTITUTE(C355&amp;"","観点",""))),""))</f>
        <v/>
      </c>
      <c r="AP355" s="34">
        <f>IF(D355="","",IFERROR(VALUE(LEFT(TRIM(ASC(D355&amp;"")),1)),IFERROR(MATCH(TRIM(D355&amp;""),'M2_区分マスタ'!$I$5:$I$10,0),"")))</f>
        <v/>
      </c>
      <c r="AQ355" s="34">
        <f>IF(H355="","",UPPER(LEFT(TRIM(ASC(H355&amp;"")),3)))</f>
        <v/>
      </c>
      <c r="AR355" s="34">
        <f>IF(N355="","",IFERROR(VALUE(SUBSTITUTE(SUBSTITUTE(SUBSTITUTE(SUBSTITUTE(SUBSTITUTE(SUBSTITUTE(SUBSTITUTE(SUBSTITUTE(SUBSTITUTE(SUBSTITUTE(SUBSTITUTE(SUBSTITUTE(ASC(N355&amp;""),"約",""),"程度",""),"ほど",""),"回",""),"毎",""),"週",""),"月",""),"年",""),"日",""),"に",""),"/","")," ","")),""))</f>
        <v/>
      </c>
      <c r="AS355" s="34">
        <f>IF(N355="","",IF(ISNUMBER(N355),N355,IFERROR(VALUE(ASC(N355&amp;"")),IF(AR355&lt;&gt;"",AR355*IF(ISNUMBER(SEARCH("週",N355)),4.3,IF(ISNUMBER(SEARCH("年",N355)),1/12,IF(ISNUMBER(SEARCH("日",N355)),20,1))),IF(ISNUMBER(SEARCH("日",N355)),20,IF(ISNUMBER(SEARCH("週",N355)),4.3,IF(ISNUMBER(SEARCH("月",N355)),1,"")))))))</f>
        <v/>
      </c>
      <c r="AT355" s="34">
        <f>IF(O355="","",IF(ISNUMBER(O355),O355,IFERROR(VALUE(ASC(O355&amp;"")),IF(ISNUMBER(SEARCH("時間",O355)),IFERROR(VALUE(SUBSTITUTE(SUBSTITUTE(SUBSTITUTE(SUBSTITUTE(SUBSTITUTE(ASC(O355&amp;""),"約",""),"程度",""),"ほど",""),"時間","")," ",""))*60,""),IFERROR(VALUE(SUBSTITUTE(SUBSTITUTE(SUBSTITUTE(SUBSTITUTE(SUBSTITUTE(ASC(O355&amp;""),"約",""),"程度",""),"ほど",""),"分","")," ","")),"")))))</f>
        <v/>
      </c>
      <c r="AU355" s="34">
        <f>IF(P355="","",IF(ISNUMBER(P355),P355,IFERROR(VALUE(SUBSTITUTE(SUBSTITUTE(SUBSTITUTE(ASC(P355&amp;""),"約",""),"件","")," ","")),"")))</f>
        <v/>
      </c>
      <c r="AV355" s="34">
        <f>IF(AB355&lt;&gt;"OK","",IF(COUNTIFS($G$5:$G$404,G355&amp;"",$F$5:$F$404,F355&amp;"",$BE$5:$BE$404,BE355&amp;"",$AB$5:$AB$404,"OK")&gt;1,"同名あり",""))</f>
        <v/>
      </c>
      <c r="AW355" s="35">
        <f>IF(Q355="","",IF(ISNUMBER(Q355),Q355,IFERROR(DATEVALUE(SUBSTITUTE(SUBSTITUTE(ASC(Q355&amp;""),"-","/"),".","/")&amp;"/01"),"")))</f>
        <v/>
      </c>
      <c r="AX355" s="35">
        <f>IF(R355="","",IF(ISNUMBER(R355),R355,IFERROR(DATEVALUE(SUBSTITUTE(SUBSTITUTE(ASC(R355&amp;""),"-","/"),".","/")&amp;"/01"),"")))</f>
        <v/>
      </c>
      <c r="AY355" s="34">
        <f>IF(OR(AB355&lt;&gt;"OK",AW355=""),"",IF(AW355&gt;='01_設定'!$C$26,1,0))</f>
        <v/>
      </c>
      <c r="AZ355" s="34">
        <f>IF(AND(AB355="OK",AD355&lt;&gt;"除外"),COUNTIFS($AB$5:AB355,"OK",$AD$5:AD355,"&lt;&gt;除外"),"")</f>
        <v/>
      </c>
      <c r="BA355" s="34">
        <f>IF(OR(AZ355="",AI355=""),"",AI355+ROW()/1000000000)</f>
        <v/>
      </c>
      <c r="BB355" s="34">
        <f>IF(E355="","",IF(OR(TRIM(E355&amp;"")="-",TRIM(E355&amp;"")="－",TRIM(E355&amp;"")="ー"),"",TRIM(E355&amp;"")))</f>
        <v/>
      </c>
      <c r="BC355" s="34">
        <f>IF(AND(AB355="OK",BB355&lt;&gt;""),IF(COUNTIFS($BB$5:BB355,BB355,$AB$5:AB355,"OK")=1,1,""),"")</f>
        <v/>
      </c>
      <c r="BD355" s="34">
        <f>IF(BC355=1,COUNTIF($BC$5:BC355,1),"")</f>
        <v/>
      </c>
      <c r="BE355" s="34">
        <f>IF(BB355="","",IFERROR(INDEX('06_顧客別集計'!$G$5:$G$104,MATCH(BB355,'06_顧客別集計'!$C$5:$C$104,0)),BB355))</f>
        <v/>
      </c>
      <c r="BF355" s="34">
        <f>IF(AND(AZ355&lt;&gt;"",BE355&lt;&gt;""),IF(COUNTIFS($BE$5:BE355,BE355,$AZ$5:AZ355,"&gt;0")=1,1,""),"")</f>
        <v/>
      </c>
      <c r="BG355" s="34">
        <f>IF(BF355=1,COUNTIF($BF$5:BF355,1),"")</f>
        <v/>
      </c>
    </row>
    <row r="356">
      <c r="AB356">
        <f>IF(AND(A356="",G356=""),"",IF(ISNUMBER(SEARCH("##END",AM356)),"（終わりの印）",IF(ISNUMBER(SEARCH("##続き",AM356)),"（続きありの印）",IF(AM356="調査ID","（見出し行）",IF(AND(AM356&lt;&gt;"R1",AM356&lt;&gt;"R2"),"×表以外の行（集計されない）",IF(COUNTIF($AN$5:AN356,AN356)&gt;1,"△重複（集計されない）",IF(G356="","△タスク名なし",IF(ISNA(MATCH(AQ356,'M1_類型マスタ'!$A$5:$A$19,0)),"△類型が不正",IF(OR(AP356="",N(AP356)&lt;1,N(AP356)&gt;6),"△業務区分が不正",IF(OR(AS356="",AT356=""),"△回数・分が読めない",IF(SUMPRODUCT(--ISNUMBER(--T356:Z356))&lt;7,"△採点が足りない",IF(SUMPRODUCT((--T356:Z356&gt;2)+(--T356:Z356&lt;0))&gt;0,"△採点が範囲外","OK"))))))))))))</f>
        <v/>
      </c>
      <c r="AC356">
        <f>IF(AB356&lt;&gt;"OK","",TRIM(IF(AND(AU356&lt;&gt;"",N(AU356)&lt;=1),"根拠1件 ","")&amp;IF(AV356&lt;&gt;"","同名あり ","")&amp;IF(AND(NOT(ISNUMBER(N356)),N356&lt;&gt;""),"回数を換算 ","")&amp;IF(J356="","詳細なし ","")&amp;IF(AND(N(AP356)=1,BB356=""),"顧客名なし ","")))</f>
        <v/>
      </c>
      <c r="AD356" s="31" t="n"/>
      <c r="AE356" s="32" t="n"/>
      <c r="AF356" s="32" t="n"/>
      <c r="AG356" s="31" t="n"/>
      <c r="AH356">
        <f>IF(AB356&lt;&gt;"OK","",IF(AG356&lt;&gt;"",AG356,AJ356))</f>
        <v/>
      </c>
      <c r="AI356" s="33">
        <f>IF(AB356&lt;&gt;"OK","",IFERROR(IF(AE356&lt;&gt;"",AE356,AS356)*IF(AF356&lt;&gt;"",AF356,AT356)/60,""))</f>
        <v/>
      </c>
      <c r="AJ356">
        <f>IF(AB356&lt;&gt;"OK","",IF(OR(VALUE(T356)=2,VALUE(U356)=2,VALUE(V356)=2),"社内残置",IF(AND(VALUE(T356)=0,VALUE(W356)=0,VALUE(Y356)=0),"自動化候補",IF(AND(VALUE(U356)=0,VALUE(W356)&lt;=1,VALUE(X356)&lt;=1,VALUE(Y356)&lt;=1,VALUE(Z356)&lt;=1),"オフショア候補",IF(AND(VALUE(Y356)&lt;=1,VALUE(Z356)&lt;=1),"ニアショア候補","社内で手順化→再評価")))))</f>
        <v/>
      </c>
      <c r="AK356">
        <f>IF(AB356&lt;&gt;"OK","",14-SUMPRODUCT(--T356:Z356))</f>
        <v/>
      </c>
      <c r="AL356" s="33">
        <f>IF(AB356&lt;&gt;"OK","",AS356*AT356/60)</f>
        <v/>
      </c>
      <c r="AM356" s="34">
        <f>IF(A356="","",UPPER(TRIM(ASC(A356&amp;""))))</f>
        <v/>
      </c>
      <c r="AN356" s="34">
        <f>IF(AM356="","",AM356&amp;"-"&amp;B356)</f>
        <v/>
      </c>
      <c r="AO356" s="34">
        <f>IF(C356="","",IFERROR(VALUE(ASC(SUBSTITUTE(C356&amp;"","観点",""))),""))</f>
        <v/>
      </c>
      <c r="AP356" s="34">
        <f>IF(D356="","",IFERROR(VALUE(LEFT(TRIM(ASC(D356&amp;"")),1)),IFERROR(MATCH(TRIM(D356&amp;""),'M2_区分マスタ'!$I$5:$I$10,0),"")))</f>
        <v/>
      </c>
      <c r="AQ356" s="34">
        <f>IF(H356="","",UPPER(LEFT(TRIM(ASC(H356&amp;"")),3)))</f>
        <v/>
      </c>
      <c r="AR356" s="34">
        <f>IF(N356="","",IFERROR(VALUE(SUBSTITUTE(SUBSTITUTE(SUBSTITUTE(SUBSTITUTE(SUBSTITUTE(SUBSTITUTE(SUBSTITUTE(SUBSTITUTE(SUBSTITUTE(SUBSTITUTE(SUBSTITUTE(SUBSTITUTE(ASC(N356&amp;""),"約",""),"程度",""),"ほど",""),"回",""),"毎",""),"週",""),"月",""),"年",""),"日",""),"に",""),"/","")," ","")),""))</f>
        <v/>
      </c>
      <c r="AS356" s="34">
        <f>IF(N356="","",IF(ISNUMBER(N356),N356,IFERROR(VALUE(ASC(N356&amp;"")),IF(AR356&lt;&gt;"",AR356*IF(ISNUMBER(SEARCH("週",N356)),4.3,IF(ISNUMBER(SEARCH("年",N356)),1/12,IF(ISNUMBER(SEARCH("日",N356)),20,1))),IF(ISNUMBER(SEARCH("日",N356)),20,IF(ISNUMBER(SEARCH("週",N356)),4.3,IF(ISNUMBER(SEARCH("月",N356)),1,"")))))))</f>
        <v/>
      </c>
      <c r="AT356" s="34">
        <f>IF(O356="","",IF(ISNUMBER(O356),O356,IFERROR(VALUE(ASC(O356&amp;"")),IF(ISNUMBER(SEARCH("時間",O356)),IFERROR(VALUE(SUBSTITUTE(SUBSTITUTE(SUBSTITUTE(SUBSTITUTE(SUBSTITUTE(ASC(O356&amp;""),"約",""),"程度",""),"ほど",""),"時間","")," ",""))*60,""),IFERROR(VALUE(SUBSTITUTE(SUBSTITUTE(SUBSTITUTE(SUBSTITUTE(SUBSTITUTE(ASC(O356&amp;""),"約",""),"程度",""),"ほど",""),"分","")," ","")),"")))))</f>
        <v/>
      </c>
      <c r="AU356" s="34">
        <f>IF(P356="","",IF(ISNUMBER(P356),P356,IFERROR(VALUE(SUBSTITUTE(SUBSTITUTE(SUBSTITUTE(ASC(P356&amp;""),"約",""),"件","")," ","")),"")))</f>
        <v/>
      </c>
      <c r="AV356" s="34">
        <f>IF(AB356&lt;&gt;"OK","",IF(COUNTIFS($G$5:$G$404,G356&amp;"",$F$5:$F$404,F356&amp;"",$BE$5:$BE$404,BE356&amp;"",$AB$5:$AB$404,"OK")&gt;1,"同名あり",""))</f>
        <v/>
      </c>
      <c r="AW356" s="35">
        <f>IF(Q356="","",IF(ISNUMBER(Q356),Q356,IFERROR(DATEVALUE(SUBSTITUTE(SUBSTITUTE(ASC(Q356&amp;""),"-","/"),".","/")&amp;"/01"),"")))</f>
        <v/>
      </c>
      <c r="AX356" s="35">
        <f>IF(R356="","",IF(ISNUMBER(R356),R356,IFERROR(DATEVALUE(SUBSTITUTE(SUBSTITUTE(ASC(R356&amp;""),"-","/"),".","/")&amp;"/01"),"")))</f>
        <v/>
      </c>
      <c r="AY356" s="34">
        <f>IF(OR(AB356&lt;&gt;"OK",AW356=""),"",IF(AW356&gt;='01_設定'!$C$26,1,0))</f>
        <v/>
      </c>
      <c r="AZ356" s="34">
        <f>IF(AND(AB356="OK",AD356&lt;&gt;"除外"),COUNTIFS($AB$5:AB356,"OK",$AD$5:AD356,"&lt;&gt;除外"),"")</f>
        <v/>
      </c>
      <c r="BA356" s="34">
        <f>IF(OR(AZ356="",AI356=""),"",AI356+ROW()/1000000000)</f>
        <v/>
      </c>
      <c r="BB356" s="34">
        <f>IF(E356="","",IF(OR(TRIM(E356&amp;"")="-",TRIM(E356&amp;"")="－",TRIM(E356&amp;"")="ー"),"",TRIM(E356&amp;"")))</f>
        <v/>
      </c>
      <c r="BC356" s="34">
        <f>IF(AND(AB356="OK",BB356&lt;&gt;""),IF(COUNTIFS($BB$5:BB356,BB356,$AB$5:AB356,"OK")=1,1,""),"")</f>
        <v/>
      </c>
      <c r="BD356" s="34">
        <f>IF(BC356=1,COUNTIF($BC$5:BC356,1),"")</f>
        <v/>
      </c>
      <c r="BE356" s="34">
        <f>IF(BB356="","",IFERROR(INDEX('06_顧客別集計'!$G$5:$G$104,MATCH(BB356,'06_顧客別集計'!$C$5:$C$104,0)),BB356))</f>
        <v/>
      </c>
      <c r="BF356" s="34">
        <f>IF(AND(AZ356&lt;&gt;"",BE356&lt;&gt;""),IF(COUNTIFS($BE$5:BE356,BE356,$AZ$5:AZ356,"&gt;0")=1,1,""),"")</f>
        <v/>
      </c>
      <c r="BG356" s="34">
        <f>IF(BF356=1,COUNTIF($BF$5:BF356,1),"")</f>
        <v/>
      </c>
    </row>
    <row r="357">
      <c r="AB357">
        <f>IF(AND(A357="",G357=""),"",IF(ISNUMBER(SEARCH("##END",AM357)),"（終わりの印）",IF(ISNUMBER(SEARCH("##続き",AM357)),"（続きありの印）",IF(AM357="調査ID","（見出し行）",IF(AND(AM357&lt;&gt;"R1",AM357&lt;&gt;"R2"),"×表以外の行（集計されない）",IF(COUNTIF($AN$5:AN357,AN357)&gt;1,"△重複（集計されない）",IF(G357="","△タスク名なし",IF(ISNA(MATCH(AQ357,'M1_類型マスタ'!$A$5:$A$19,0)),"△類型が不正",IF(OR(AP357="",N(AP357)&lt;1,N(AP357)&gt;6),"△業務区分が不正",IF(OR(AS357="",AT357=""),"△回数・分が読めない",IF(SUMPRODUCT(--ISNUMBER(--T357:Z357))&lt;7,"△採点が足りない",IF(SUMPRODUCT((--T357:Z357&gt;2)+(--T357:Z357&lt;0))&gt;0,"△採点が範囲外","OK"))))))))))))</f>
        <v/>
      </c>
      <c r="AC357">
        <f>IF(AB357&lt;&gt;"OK","",TRIM(IF(AND(AU357&lt;&gt;"",N(AU357)&lt;=1),"根拠1件 ","")&amp;IF(AV357&lt;&gt;"","同名あり ","")&amp;IF(AND(NOT(ISNUMBER(N357)),N357&lt;&gt;""),"回数を換算 ","")&amp;IF(J357="","詳細なし ","")&amp;IF(AND(N(AP357)=1,BB357=""),"顧客名なし ","")))</f>
        <v/>
      </c>
      <c r="AD357" s="31" t="n"/>
      <c r="AE357" s="32" t="n"/>
      <c r="AF357" s="32" t="n"/>
      <c r="AG357" s="31" t="n"/>
      <c r="AH357">
        <f>IF(AB357&lt;&gt;"OK","",IF(AG357&lt;&gt;"",AG357,AJ357))</f>
        <v/>
      </c>
      <c r="AI357" s="33">
        <f>IF(AB357&lt;&gt;"OK","",IFERROR(IF(AE357&lt;&gt;"",AE357,AS357)*IF(AF357&lt;&gt;"",AF357,AT357)/60,""))</f>
        <v/>
      </c>
      <c r="AJ357">
        <f>IF(AB357&lt;&gt;"OK","",IF(OR(VALUE(T357)=2,VALUE(U357)=2,VALUE(V357)=2),"社内残置",IF(AND(VALUE(T357)=0,VALUE(W357)=0,VALUE(Y357)=0),"自動化候補",IF(AND(VALUE(U357)=0,VALUE(W357)&lt;=1,VALUE(X357)&lt;=1,VALUE(Y357)&lt;=1,VALUE(Z357)&lt;=1),"オフショア候補",IF(AND(VALUE(Y357)&lt;=1,VALUE(Z357)&lt;=1),"ニアショア候補","社内で手順化→再評価")))))</f>
        <v/>
      </c>
      <c r="AK357">
        <f>IF(AB357&lt;&gt;"OK","",14-SUMPRODUCT(--T357:Z357))</f>
        <v/>
      </c>
      <c r="AL357" s="33">
        <f>IF(AB357&lt;&gt;"OK","",AS357*AT357/60)</f>
        <v/>
      </c>
      <c r="AM357" s="34">
        <f>IF(A357="","",UPPER(TRIM(ASC(A357&amp;""))))</f>
        <v/>
      </c>
      <c r="AN357" s="34">
        <f>IF(AM357="","",AM357&amp;"-"&amp;B357)</f>
        <v/>
      </c>
      <c r="AO357" s="34">
        <f>IF(C357="","",IFERROR(VALUE(ASC(SUBSTITUTE(C357&amp;"","観点",""))),""))</f>
        <v/>
      </c>
      <c r="AP357" s="34">
        <f>IF(D357="","",IFERROR(VALUE(LEFT(TRIM(ASC(D357&amp;"")),1)),IFERROR(MATCH(TRIM(D357&amp;""),'M2_区分マスタ'!$I$5:$I$10,0),"")))</f>
        <v/>
      </c>
      <c r="AQ357" s="34">
        <f>IF(H357="","",UPPER(LEFT(TRIM(ASC(H357&amp;"")),3)))</f>
        <v/>
      </c>
      <c r="AR357" s="34">
        <f>IF(N357="","",IFERROR(VALUE(SUBSTITUTE(SUBSTITUTE(SUBSTITUTE(SUBSTITUTE(SUBSTITUTE(SUBSTITUTE(SUBSTITUTE(SUBSTITUTE(SUBSTITUTE(SUBSTITUTE(SUBSTITUTE(SUBSTITUTE(ASC(N357&amp;""),"約",""),"程度",""),"ほど",""),"回",""),"毎",""),"週",""),"月",""),"年",""),"日",""),"に",""),"/","")," ","")),""))</f>
        <v/>
      </c>
      <c r="AS357" s="34">
        <f>IF(N357="","",IF(ISNUMBER(N357),N357,IFERROR(VALUE(ASC(N357&amp;"")),IF(AR357&lt;&gt;"",AR357*IF(ISNUMBER(SEARCH("週",N357)),4.3,IF(ISNUMBER(SEARCH("年",N357)),1/12,IF(ISNUMBER(SEARCH("日",N357)),20,1))),IF(ISNUMBER(SEARCH("日",N357)),20,IF(ISNUMBER(SEARCH("週",N357)),4.3,IF(ISNUMBER(SEARCH("月",N357)),1,"")))))))</f>
        <v/>
      </c>
      <c r="AT357" s="34">
        <f>IF(O357="","",IF(ISNUMBER(O357),O357,IFERROR(VALUE(ASC(O357&amp;"")),IF(ISNUMBER(SEARCH("時間",O357)),IFERROR(VALUE(SUBSTITUTE(SUBSTITUTE(SUBSTITUTE(SUBSTITUTE(SUBSTITUTE(ASC(O357&amp;""),"約",""),"程度",""),"ほど",""),"時間","")," ",""))*60,""),IFERROR(VALUE(SUBSTITUTE(SUBSTITUTE(SUBSTITUTE(SUBSTITUTE(SUBSTITUTE(ASC(O357&amp;""),"約",""),"程度",""),"ほど",""),"分","")," ","")),"")))))</f>
        <v/>
      </c>
      <c r="AU357" s="34">
        <f>IF(P357="","",IF(ISNUMBER(P357),P357,IFERROR(VALUE(SUBSTITUTE(SUBSTITUTE(SUBSTITUTE(ASC(P357&amp;""),"約",""),"件","")," ","")),"")))</f>
        <v/>
      </c>
      <c r="AV357" s="34">
        <f>IF(AB357&lt;&gt;"OK","",IF(COUNTIFS($G$5:$G$404,G357&amp;"",$F$5:$F$404,F357&amp;"",$BE$5:$BE$404,BE357&amp;"",$AB$5:$AB$404,"OK")&gt;1,"同名あり",""))</f>
        <v/>
      </c>
      <c r="AW357" s="35">
        <f>IF(Q357="","",IF(ISNUMBER(Q357),Q357,IFERROR(DATEVALUE(SUBSTITUTE(SUBSTITUTE(ASC(Q357&amp;""),"-","/"),".","/")&amp;"/01"),"")))</f>
        <v/>
      </c>
      <c r="AX357" s="35">
        <f>IF(R357="","",IF(ISNUMBER(R357),R357,IFERROR(DATEVALUE(SUBSTITUTE(SUBSTITUTE(ASC(R357&amp;""),"-","/"),".","/")&amp;"/01"),"")))</f>
        <v/>
      </c>
      <c r="AY357" s="34">
        <f>IF(OR(AB357&lt;&gt;"OK",AW357=""),"",IF(AW357&gt;='01_設定'!$C$26,1,0))</f>
        <v/>
      </c>
      <c r="AZ357" s="34">
        <f>IF(AND(AB357="OK",AD357&lt;&gt;"除外"),COUNTIFS($AB$5:AB357,"OK",$AD$5:AD357,"&lt;&gt;除外"),"")</f>
        <v/>
      </c>
      <c r="BA357" s="34">
        <f>IF(OR(AZ357="",AI357=""),"",AI357+ROW()/1000000000)</f>
        <v/>
      </c>
      <c r="BB357" s="34">
        <f>IF(E357="","",IF(OR(TRIM(E357&amp;"")="-",TRIM(E357&amp;"")="－",TRIM(E357&amp;"")="ー"),"",TRIM(E357&amp;"")))</f>
        <v/>
      </c>
      <c r="BC357" s="34">
        <f>IF(AND(AB357="OK",BB357&lt;&gt;""),IF(COUNTIFS($BB$5:BB357,BB357,$AB$5:AB357,"OK")=1,1,""),"")</f>
        <v/>
      </c>
      <c r="BD357" s="34">
        <f>IF(BC357=1,COUNTIF($BC$5:BC357,1),"")</f>
        <v/>
      </c>
      <c r="BE357" s="34">
        <f>IF(BB357="","",IFERROR(INDEX('06_顧客別集計'!$G$5:$G$104,MATCH(BB357,'06_顧客別集計'!$C$5:$C$104,0)),BB357))</f>
        <v/>
      </c>
      <c r="BF357" s="34">
        <f>IF(AND(AZ357&lt;&gt;"",BE357&lt;&gt;""),IF(COUNTIFS($BE$5:BE357,BE357,$AZ$5:AZ357,"&gt;0")=1,1,""),"")</f>
        <v/>
      </c>
      <c r="BG357" s="34">
        <f>IF(BF357=1,COUNTIF($BF$5:BF357,1),"")</f>
        <v/>
      </c>
    </row>
    <row r="358">
      <c r="AB358">
        <f>IF(AND(A358="",G358=""),"",IF(ISNUMBER(SEARCH("##END",AM358)),"（終わりの印）",IF(ISNUMBER(SEARCH("##続き",AM358)),"（続きありの印）",IF(AM358="調査ID","（見出し行）",IF(AND(AM358&lt;&gt;"R1",AM358&lt;&gt;"R2"),"×表以外の行（集計されない）",IF(COUNTIF($AN$5:AN358,AN358)&gt;1,"△重複（集計されない）",IF(G358="","△タスク名なし",IF(ISNA(MATCH(AQ358,'M1_類型マスタ'!$A$5:$A$19,0)),"△類型が不正",IF(OR(AP358="",N(AP358)&lt;1,N(AP358)&gt;6),"△業務区分が不正",IF(OR(AS358="",AT358=""),"△回数・分が読めない",IF(SUMPRODUCT(--ISNUMBER(--T358:Z358))&lt;7,"△採点が足りない",IF(SUMPRODUCT((--T358:Z358&gt;2)+(--T358:Z358&lt;0))&gt;0,"△採点が範囲外","OK"))))))))))))</f>
        <v/>
      </c>
      <c r="AC358">
        <f>IF(AB358&lt;&gt;"OK","",TRIM(IF(AND(AU358&lt;&gt;"",N(AU358)&lt;=1),"根拠1件 ","")&amp;IF(AV358&lt;&gt;"","同名あり ","")&amp;IF(AND(NOT(ISNUMBER(N358)),N358&lt;&gt;""),"回数を換算 ","")&amp;IF(J358="","詳細なし ","")&amp;IF(AND(N(AP358)=1,BB358=""),"顧客名なし ","")))</f>
        <v/>
      </c>
      <c r="AD358" s="31" t="n"/>
      <c r="AE358" s="32" t="n"/>
      <c r="AF358" s="32" t="n"/>
      <c r="AG358" s="31" t="n"/>
      <c r="AH358">
        <f>IF(AB358&lt;&gt;"OK","",IF(AG358&lt;&gt;"",AG358,AJ358))</f>
        <v/>
      </c>
      <c r="AI358" s="33">
        <f>IF(AB358&lt;&gt;"OK","",IFERROR(IF(AE358&lt;&gt;"",AE358,AS358)*IF(AF358&lt;&gt;"",AF358,AT358)/60,""))</f>
        <v/>
      </c>
      <c r="AJ358">
        <f>IF(AB358&lt;&gt;"OK","",IF(OR(VALUE(T358)=2,VALUE(U358)=2,VALUE(V358)=2),"社内残置",IF(AND(VALUE(T358)=0,VALUE(W358)=0,VALUE(Y358)=0),"自動化候補",IF(AND(VALUE(U358)=0,VALUE(W358)&lt;=1,VALUE(X358)&lt;=1,VALUE(Y358)&lt;=1,VALUE(Z358)&lt;=1),"オフショア候補",IF(AND(VALUE(Y358)&lt;=1,VALUE(Z358)&lt;=1),"ニアショア候補","社内で手順化→再評価")))))</f>
        <v/>
      </c>
      <c r="AK358">
        <f>IF(AB358&lt;&gt;"OK","",14-SUMPRODUCT(--T358:Z358))</f>
        <v/>
      </c>
      <c r="AL358" s="33">
        <f>IF(AB358&lt;&gt;"OK","",AS358*AT358/60)</f>
        <v/>
      </c>
      <c r="AM358" s="34">
        <f>IF(A358="","",UPPER(TRIM(ASC(A358&amp;""))))</f>
        <v/>
      </c>
      <c r="AN358" s="34">
        <f>IF(AM358="","",AM358&amp;"-"&amp;B358)</f>
        <v/>
      </c>
      <c r="AO358" s="34">
        <f>IF(C358="","",IFERROR(VALUE(ASC(SUBSTITUTE(C358&amp;"","観点",""))),""))</f>
        <v/>
      </c>
      <c r="AP358" s="34">
        <f>IF(D358="","",IFERROR(VALUE(LEFT(TRIM(ASC(D358&amp;"")),1)),IFERROR(MATCH(TRIM(D358&amp;""),'M2_区分マスタ'!$I$5:$I$10,0),"")))</f>
        <v/>
      </c>
      <c r="AQ358" s="34">
        <f>IF(H358="","",UPPER(LEFT(TRIM(ASC(H358&amp;"")),3)))</f>
        <v/>
      </c>
      <c r="AR358" s="34">
        <f>IF(N358="","",IFERROR(VALUE(SUBSTITUTE(SUBSTITUTE(SUBSTITUTE(SUBSTITUTE(SUBSTITUTE(SUBSTITUTE(SUBSTITUTE(SUBSTITUTE(SUBSTITUTE(SUBSTITUTE(SUBSTITUTE(SUBSTITUTE(ASC(N358&amp;""),"約",""),"程度",""),"ほど",""),"回",""),"毎",""),"週",""),"月",""),"年",""),"日",""),"に",""),"/","")," ","")),""))</f>
        <v/>
      </c>
      <c r="AS358" s="34">
        <f>IF(N358="","",IF(ISNUMBER(N358),N358,IFERROR(VALUE(ASC(N358&amp;"")),IF(AR358&lt;&gt;"",AR358*IF(ISNUMBER(SEARCH("週",N358)),4.3,IF(ISNUMBER(SEARCH("年",N358)),1/12,IF(ISNUMBER(SEARCH("日",N358)),20,1))),IF(ISNUMBER(SEARCH("日",N358)),20,IF(ISNUMBER(SEARCH("週",N358)),4.3,IF(ISNUMBER(SEARCH("月",N358)),1,"")))))))</f>
        <v/>
      </c>
      <c r="AT358" s="34">
        <f>IF(O358="","",IF(ISNUMBER(O358),O358,IFERROR(VALUE(ASC(O358&amp;"")),IF(ISNUMBER(SEARCH("時間",O358)),IFERROR(VALUE(SUBSTITUTE(SUBSTITUTE(SUBSTITUTE(SUBSTITUTE(SUBSTITUTE(ASC(O358&amp;""),"約",""),"程度",""),"ほど",""),"時間","")," ",""))*60,""),IFERROR(VALUE(SUBSTITUTE(SUBSTITUTE(SUBSTITUTE(SUBSTITUTE(SUBSTITUTE(ASC(O358&amp;""),"約",""),"程度",""),"ほど",""),"分","")," ","")),"")))))</f>
        <v/>
      </c>
      <c r="AU358" s="34">
        <f>IF(P358="","",IF(ISNUMBER(P358),P358,IFERROR(VALUE(SUBSTITUTE(SUBSTITUTE(SUBSTITUTE(ASC(P358&amp;""),"約",""),"件","")," ","")),"")))</f>
        <v/>
      </c>
      <c r="AV358" s="34">
        <f>IF(AB358&lt;&gt;"OK","",IF(COUNTIFS($G$5:$G$404,G358&amp;"",$F$5:$F$404,F358&amp;"",$BE$5:$BE$404,BE358&amp;"",$AB$5:$AB$404,"OK")&gt;1,"同名あり",""))</f>
        <v/>
      </c>
      <c r="AW358" s="35">
        <f>IF(Q358="","",IF(ISNUMBER(Q358),Q358,IFERROR(DATEVALUE(SUBSTITUTE(SUBSTITUTE(ASC(Q358&amp;""),"-","/"),".","/")&amp;"/01"),"")))</f>
        <v/>
      </c>
      <c r="AX358" s="35">
        <f>IF(R358="","",IF(ISNUMBER(R358),R358,IFERROR(DATEVALUE(SUBSTITUTE(SUBSTITUTE(ASC(R358&amp;""),"-","/"),".","/")&amp;"/01"),"")))</f>
        <v/>
      </c>
      <c r="AY358" s="34">
        <f>IF(OR(AB358&lt;&gt;"OK",AW358=""),"",IF(AW358&gt;='01_設定'!$C$26,1,0))</f>
        <v/>
      </c>
      <c r="AZ358" s="34">
        <f>IF(AND(AB358="OK",AD358&lt;&gt;"除外"),COUNTIFS($AB$5:AB358,"OK",$AD$5:AD358,"&lt;&gt;除外"),"")</f>
        <v/>
      </c>
      <c r="BA358" s="34">
        <f>IF(OR(AZ358="",AI358=""),"",AI358+ROW()/1000000000)</f>
        <v/>
      </c>
      <c r="BB358" s="34">
        <f>IF(E358="","",IF(OR(TRIM(E358&amp;"")="-",TRIM(E358&amp;"")="－",TRIM(E358&amp;"")="ー"),"",TRIM(E358&amp;"")))</f>
        <v/>
      </c>
      <c r="BC358" s="34">
        <f>IF(AND(AB358="OK",BB358&lt;&gt;""),IF(COUNTIFS($BB$5:BB358,BB358,$AB$5:AB358,"OK")=1,1,""),"")</f>
        <v/>
      </c>
      <c r="BD358" s="34">
        <f>IF(BC358=1,COUNTIF($BC$5:BC358,1),"")</f>
        <v/>
      </c>
      <c r="BE358" s="34">
        <f>IF(BB358="","",IFERROR(INDEX('06_顧客別集計'!$G$5:$G$104,MATCH(BB358,'06_顧客別集計'!$C$5:$C$104,0)),BB358))</f>
        <v/>
      </c>
      <c r="BF358" s="34">
        <f>IF(AND(AZ358&lt;&gt;"",BE358&lt;&gt;""),IF(COUNTIFS($BE$5:BE358,BE358,$AZ$5:AZ358,"&gt;0")=1,1,""),"")</f>
        <v/>
      </c>
      <c r="BG358" s="34">
        <f>IF(BF358=1,COUNTIF($BF$5:BF358,1),"")</f>
        <v/>
      </c>
    </row>
    <row r="359">
      <c r="AB359">
        <f>IF(AND(A359="",G359=""),"",IF(ISNUMBER(SEARCH("##END",AM359)),"（終わりの印）",IF(ISNUMBER(SEARCH("##続き",AM359)),"（続きありの印）",IF(AM359="調査ID","（見出し行）",IF(AND(AM359&lt;&gt;"R1",AM359&lt;&gt;"R2"),"×表以外の行（集計されない）",IF(COUNTIF($AN$5:AN359,AN359)&gt;1,"△重複（集計されない）",IF(G359="","△タスク名なし",IF(ISNA(MATCH(AQ359,'M1_類型マスタ'!$A$5:$A$19,0)),"△類型が不正",IF(OR(AP359="",N(AP359)&lt;1,N(AP359)&gt;6),"△業務区分が不正",IF(OR(AS359="",AT359=""),"△回数・分が読めない",IF(SUMPRODUCT(--ISNUMBER(--T359:Z359))&lt;7,"△採点が足りない",IF(SUMPRODUCT((--T359:Z359&gt;2)+(--T359:Z359&lt;0))&gt;0,"△採点が範囲外","OK"))))))))))))</f>
        <v/>
      </c>
      <c r="AC359">
        <f>IF(AB359&lt;&gt;"OK","",TRIM(IF(AND(AU359&lt;&gt;"",N(AU359)&lt;=1),"根拠1件 ","")&amp;IF(AV359&lt;&gt;"","同名あり ","")&amp;IF(AND(NOT(ISNUMBER(N359)),N359&lt;&gt;""),"回数を換算 ","")&amp;IF(J359="","詳細なし ","")&amp;IF(AND(N(AP359)=1,BB359=""),"顧客名なし ","")))</f>
        <v/>
      </c>
      <c r="AD359" s="31" t="n"/>
      <c r="AE359" s="32" t="n"/>
      <c r="AF359" s="32" t="n"/>
      <c r="AG359" s="31" t="n"/>
      <c r="AH359">
        <f>IF(AB359&lt;&gt;"OK","",IF(AG359&lt;&gt;"",AG359,AJ359))</f>
        <v/>
      </c>
      <c r="AI359" s="33">
        <f>IF(AB359&lt;&gt;"OK","",IFERROR(IF(AE359&lt;&gt;"",AE359,AS359)*IF(AF359&lt;&gt;"",AF359,AT359)/60,""))</f>
        <v/>
      </c>
      <c r="AJ359">
        <f>IF(AB359&lt;&gt;"OK","",IF(OR(VALUE(T359)=2,VALUE(U359)=2,VALUE(V359)=2),"社内残置",IF(AND(VALUE(T359)=0,VALUE(W359)=0,VALUE(Y359)=0),"自動化候補",IF(AND(VALUE(U359)=0,VALUE(W359)&lt;=1,VALUE(X359)&lt;=1,VALUE(Y359)&lt;=1,VALUE(Z359)&lt;=1),"オフショア候補",IF(AND(VALUE(Y359)&lt;=1,VALUE(Z359)&lt;=1),"ニアショア候補","社内で手順化→再評価")))))</f>
        <v/>
      </c>
      <c r="AK359">
        <f>IF(AB359&lt;&gt;"OK","",14-SUMPRODUCT(--T359:Z359))</f>
        <v/>
      </c>
      <c r="AL359" s="33">
        <f>IF(AB359&lt;&gt;"OK","",AS359*AT359/60)</f>
        <v/>
      </c>
      <c r="AM359" s="34">
        <f>IF(A359="","",UPPER(TRIM(ASC(A359&amp;""))))</f>
        <v/>
      </c>
      <c r="AN359" s="34">
        <f>IF(AM359="","",AM359&amp;"-"&amp;B359)</f>
        <v/>
      </c>
      <c r="AO359" s="34">
        <f>IF(C359="","",IFERROR(VALUE(ASC(SUBSTITUTE(C359&amp;"","観点",""))),""))</f>
        <v/>
      </c>
      <c r="AP359" s="34">
        <f>IF(D359="","",IFERROR(VALUE(LEFT(TRIM(ASC(D359&amp;"")),1)),IFERROR(MATCH(TRIM(D359&amp;""),'M2_区分マスタ'!$I$5:$I$10,0),"")))</f>
        <v/>
      </c>
      <c r="AQ359" s="34">
        <f>IF(H359="","",UPPER(LEFT(TRIM(ASC(H359&amp;"")),3)))</f>
        <v/>
      </c>
      <c r="AR359" s="34">
        <f>IF(N359="","",IFERROR(VALUE(SUBSTITUTE(SUBSTITUTE(SUBSTITUTE(SUBSTITUTE(SUBSTITUTE(SUBSTITUTE(SUBSTITUTE(SUBSTITUTE(SUBSTITUTE(SUBSTITUTE(SUBSTITUTE(SUBSTITUTE(ASC(N359&amp;""),"約",""),"程度",""),"ほど",""),"回",""),"毎",""),"週",""),"月",""),"年",""),"日",""),"に",""),"/","")," ","")),""))</f>
        <v/>
      </c>
      <c r="AS359" s="34">
        <f>IF(N359="","",IF(ISNUMBER(N359),N359,IFERROR(VALUE(ASC(N359&amp;"")),IF(AR359&lt;&gt;"",AR359*IF(ISNUMBER(SEARCH("週",N359)),4.3,IF(ISNUMBER(SEARCH("年",N359)),1/12,IF(ISNUMBER(SEARCH("日",N359)),20,1))),IF(ISNUMBER(SEARCH("日",N359)),20,IF(ISNUMBER(SEARCH("週",N359)),4.3,IF(ISNUMBER(SEARCH("月",N359)),1,"")))))))</f>
        <v/>
      </c>
      <c r="AT359" s="34">
        <f>IF(O359="","",IF(ISNUMBER(O359),O359,IFERROR(VALUE(ASC(O359&amp;"")),IF(ISNUMBER(SEARCH("時間",O359)),IFERROR(VALUE(SUBSTITUTE(SUBSTITUTE(SUBSTITUTE(SUBSTITUTE(SUBSTITUTE(ASC(O359&amp;""),"約",""),"程度",""),"ほど",""),"時間","")," ",""))*60,""),IFERROR(VALUE(SUBSTITUTE(SUBSTITUTE(SUBSTITUTE(SUBSTITUTE(SUBSTITUTE(ASC(O359&amp;""),"約",""),"程度",""),"ほど",""),"分","")," ","")),"")))))</f>
        <v/>
      </c>
      <c r="AU359" s="34">
        <f>IF(P359="","",IF(ISNUMBER(P359),P359,IFERROR(VALUE(SUBSTITUTE(SUBSTITUTE(SUBSTITUTE(ASC(P359&amp;""),"約",""),"件","")," ","")),"")))</f>
        <v/>
      </c>
      <c r="AV359" s="34">
        <f>IF(AB359&lt;&gt;"OK","",IF(COUNTIFS($G$5:$G$404,G359&amp;"",$F$5:$F$404,F359&amp;"",$BE$5:$BE$404,BE359&amp;"",$AB$5:$AB$404,"OK")&gt;1,"同名あり",""))</f>
        <v/>
      </c>
      <c r="AW359" s="35">
        <f>IF(Q359="","",IF(ISNUMBER(Q359),Q359,IFERROR(DATEVALUE(SUBSTITUTE(SUBSTITUTE(ASC(Q359&amp;""),"-","/"),".","/")&amp;"/01"),"")))</f>
        <v/>
      </c>
      <c r="AX359" s="35">
        <f>IF(R359="","",IF(ISNUMBER(R359),R359,IFERROR(DATEVALUE(SUBSTITUTE(SUBSTITUTE(ASC(R359&amp;""),"-","/"),".","/")&amp;"/01"),"")))</f>
        <v/>
      </c>
      <c r="AY359" s="34">
        <f>IF(OR(AB359&lt;&gt;"OK",AW359=""),"",IF(AW359&gt;='01_設定'!$C$26,1,0))</f>
        <v/>
      </c>
      <c r="AZ359" s="34">
        <f>IF(AND(AB359="OK",AD359&lt;&gt;"除外"),COUNTIFS($AB$5:AB359,"OK",$AD$5:AD359,"&lt;&gt;除外"),"")</f>
        <v/>
      </c>
      <c r="BA359" s="34">
        <f>IF(OR(AZ359="",AI359=""),"",AI359+ROW()/1000000000)</f>
        <v/>
      </c>
      <c r="BB359" s="34">
        <f>IF(E359="","",IF(OR(TRIM(E359&amp;"")="-",TRIM(E359&amp;"")="－",TRIM(E359&amp;"")="ー"),"",TRIM(E359&amp;"")))</f>
        <v/>
      </c>
      <c r="BC359" s="34">
        <f>IF(AND(AB359="OK",BB359&lt;&gt;""),IF(COUNTIFS($BB$5:BB359,BB359,$AB$5:AB359,"OK")=1,1,""),"")</f>
        <v/>
      </c>
      <c r="BD359" s="34">
        <f>IF(BC359=1,COUNTIF($BC$5:BC359,1),"")</f>
        <v/>
      </c>
      <c r="BE359" s="34">
        <f>IF(BB359="","",IFERROR(INDEX('06_顧客別集計'!$G$5:$G$104,MATCH(BB359,'06_顧客別集計'!$C$5:$C$104,0)),BB359))</f>
        <v/>
      </c>
      <c r="BF359" s="34">
        <f>IF(AND(AZ359&lt;&gt;"",BE359&lt;&gt;""),IF(COUNTIFS($BE$5:BE359,BE359,$AZ$5:AZ359,"&gt;0")=1,1,""),"")</f>
        <v/>
      </c>
      <c r="BG359" s="34">
        <f>IF(BF359=1,COUNTIF($BF$5:BF359,1),"")</f>
        <v/>
      </c>
    </row>
    <row r="360">
      <c r="AB360">
        <f>IF(AND(A360="",G360=""),"",IF(ISNUMBER(SEARCH("##END",AM360)),"（終わりの印）",IF(ISNUMBER(SEARCH("##続き",AM360)),"（続きありの印）",IF(AM360="調査ID","（見出し行）",IF(AND(AM360&lt;&gt;"R1",AM360&lt;&gt;"R2"),"×表以外の行（集計されない）",IF(COUNTIF($AN$5:AN360,AN360)&gt;1,"△重複（集計されない）",IF(G360="","△タスク名なし",IF(ISNA(MATCH(AQ360,'M1_類型マスタ'!$A$5:$A$19,0)),"△類型が不正",IF(OR(AP360="",N(AP360)&lt;1,N(AP360)&gt;6),"△業務区分が不正",IF(OR(AS360="",AT360=""),"△回数・分が読めない",IF(SUMPRODUCT(--ISNUMBER(--T360:Z360))&lt;7,"△採点が足りない",IF(SUMPRODUCT((--T360:Z360&gt;2)+(--T360:Z360&lt;0))&gt;0,"△採点が範囲外","OK"))))))))))))</f>
        <v/>
      </c>
      <c r="AC360">
        <f>IF(AB360&lt;&gt;"OK","",TRIM(IF(AND(AU360&lt;&gt;"",N(AU360)&lt;=1),"根拠1件 ","")&amp;IF(AV360&lt;&gt;"","同名あり ","")&amp;IF(AND(NOT(ISNUMBER(N360)),N360&lt;&gt;""),"回数を換算 ","")&amp;IF(J360="","詳細なし ","")&amp;IF(AND(N(AP360)=1,BB360=""),"顧客名なし ","")))</f>
        <v/>
      </c>
      <c r="AD360" s="31" t="n"/>
      <c r="AE360" s="32" t="n"/>
      <c r="AF360" s="32" t="n"/>
      <c r="AG360" s="31" t="n"/>
      <c r="AH360">
        <f>IF(AB360&lt;&gt;"OK","",IF(AG360&lt;&gt;"",AG360,AJ360))</f>
        <v/>
      </c>
      <c r="AI360" s="33">
        <f>IF(AB360&lt;&gt;"OK","",IFERROR(IF(AE360&lt;&gt;"",AE360,AS360)*IF(AF360&lt;&gt;"",AF360,AT360)/60,""))</f>
        <v/>
      </c>
      <c r="AJ360">
        <f>IF(AB360&lt;&gt;"OK","",IF(OR(VALUE(T360)=2,VALUE(U360)=2,VALUE(V360)=2),"社内残置",IF(AND(VALUE(T360)=0,VALUE(W360)=0,VALUE(Y360)=0),"自動化候補",IF(AND(VALUE(U360)=0,VALUE(W360)&lt;=1,VALUE(X360)&lt;=1,VALUE(Y360)&lt;=1,VALUE(Z360)&lt;=1),"オフショア候補",IF(AND(VALUE(Y360)&lt;=1,VALUE(Z360)&lt;=1),"ニアショア候補","社内で手順化→再評価")))))</f>
        <v/>
      </c>
      <c r="AK360">
        <f>IF(AB360&lt;&gt;"OK","",14-SUMPRODUCT(--T360:Z360))</f>
        <v/>
      </c>
      <c r="AL360" s="33">
        <f>IF(AB360&lt;&gt;"OK","",AS360*AT360/60)</f>
        <v/>
      </c>
      <c r="AM360" s="34">
        <f>IF(A360="","",UPPER(TRIM(ASC(A360&amp;""))))</f>
        <v/>
      </c>
      <c r="AN360" s="34">
        <f>IF(AM360="","",AM360&amp;"-"&amp;B360)</f>
        <v/>
      </c>
      <c r="AO360" s="34">
        <f>IF(C360="","",IFERROR(VALUE(ASC(SUBSTITUTE(C360&amp;"","観点",""))),""))</f>
        <v/>
      </c>
      <c r="AP360" s="34">
        <f>IF(D360="","",IFERROR(VALUE(LEFT(TRIM(ASC(D360&amp;"")),1)),IFERROR(MATCH(TRIM(D360&amp;""),'M2_区分マスタ'!$I$5:$I$10,0),"")))</f>
        <v/>
      </c>
      <c r="AQ360" s="34">
        <f>IF(H360="","",UPPER(LEFT(TRIM(ASC(H360&amp;"")),3)))</f>
        <v/>
      </c>
      <c r="AR360" s="34">
        <f>IF(N360="","",IFERROR(VALUE(SUBSTITUTE(SUBSTITUTE(SUBSTITUTE(SUBSTITUTE(SUBSTITUTE(SUBSTITUTE(SUBSTITUTE(SUBSTITUTE(SUBSTITUTE(SUBSTITUTE(SUBSTITUTE(SUBSTITUTE(ASC(N360&amp;""),"約",""),"程度",""),"ほど",""),"回",""),"毎",""),"週",""),"月",""),"年",""),"日",""),"に",""),"/","")," ","")),""))</f>
        <v/>
      </c>
      <c r="AS360" s="34">
        <f>IF(N360="","",IF(ISNUMBER(N360),N360,IFERROR(VALUE(ASC(N360&amp;"")),IF(AR360&lt;&gt;"",AR360*IF(ISNUMBER(SEARCH("週",N360)),4.3,IF(ISNUMBER(SEARCH("年",N360)),1/12,IF(ISNUMBER(SEARCH("日",N360)),20,1))),IF(ISNUMBER(SEARCH("日",N360)),20,IF(ISNUMBER(SEARCH("週",N360)),4.3,IF(ISNUMBER(SEARCH("月",N360)),1,"")))))))</f>
        <v/>
      </c>
      <c r="AT360" s="34">
        <f>IF(O360="","",IF(ISNUMBER(O360),O360,IFERROR(VALUE(ASC(O360&amp;"")),IF(ISNUMBER(SEARCH("時間",O360)),IFERROR(VALUE(SUBSTITUTE(SUBSTITUTE(SUBSTITUTE(SUBSTITUTE(SUBSTITUTE(ASC(O360&amp;""),"約",""),"程度",""),"ほど",""),"時間","")," ",""))*60,""),IFERROR(VALUE(SUBSTITUTE(SUBSTITUTE(SUBSTITUTE(SUBSTITUTE(SUBSTITUTE(ASC(O360&amp;""),"約",""),"程度",""),"ほど",""),"分","")," ","")),"")))))</f>
        <v/>
      </c>
      <c r="AU360" s="34">
        <f>IF(P360="","",IF(ISNUMBER(P360),P360,IFERROR(VALUE(SUBSTITUTE(SUBSTITUTE(SUBSTITUTE(ASC(P360&amp;""),"約",""),"件","")," ","")),"")))</f>
        <v/>
      </c>
      <c r="AV360" s="34">
        <f>IF(AB360&lt;&gt;"OK","",IF(COUNTIFS($G$5:$G$404,G360&amp;"",$F$5:$F$404,F360&amp;"",$BE$5:$BE$404,BE360&amp;"",$AB$5:$AB$404,"OK")&gt;1,"同名あり",""))</f>
        <v/>
      </c>
      <c r="AW360" s="35">
        <f>IF(Q360="","",IF(ISNUMBER(Q360),Q360,IFERROR(DATEVALUE(SUBSTITUTE(SUBSTITUTE(ASC(Q360&amp;""),"-","/"),".","/")&amp;"/01"),"")))</f>
        <v/>
      </c>
      <c r="AX360" s="35">
        <f>IF(R360="","",IF(ISNUMBER(R360),R360,IFERROR(DATEVALUE(SUBSTITUTE(SUBSTITUTE(ASC(R360&amp;""),"-","/"),".","/")&amp;"/01"),"")))</f>
        <v/>
      </c>
      <c r="AY360" s="34">
        <f>IF(OR(AB360&lt;&gt;"OK",AW360=""),"",IF(AW360&gt;='01_設定'!$C$26,1,0))</f>
        <v/>
      </c>
      <c r="AZ360" s="34">
        <f>IF(AND(AB360="OK",AD360&lt;&gt;"除外"),COUNTIFS($AB$5:AB360,"OK",$AD$5:AD360,"&lt;&gt;除外"),"")</f>
        <v/>
      </c>
      <c r="BA360" s="34">
        <f>IF(OR(AZ360="",AI360=""),"",AI360+ROW()/1000000000)</f>
        <v/>
      </c>
      <c r="BB360" s="34">
        <f>IF(E360="","",IF(OR(TRIM(E360&amp;"")="-",TRIM(E360&amp;"")="－",TRIM(E360&amp;"")="ー"),"",TRIM(E360&amp;"")))</f>
        <v/>
      </c>
      <c r="BC360" s="34">
        <f>IF(AND(AB360="OK",BB360&lt;&gt;""),IF(COUNTIFS($BB$5:BB360,BB360,$AB$5:AB360,"OK")=1,1,""),"")</f>
        <v/>
      </c>
      <c r="BD360" s="34">
        <f>IF(BC360=1,COUNTIF($BC$5:BC360,1),"")</f>
        <v/>
      </c>
      <c r="BE360" s="34">
        <f>IF(BB360="","",IFERROR(INDEX('06_顧客別集計'!$G$5:$G$104,MATCH(BB360,'06_顧客別集計'!$C$5:$C$104,0)),BB360))</f>
        <v/>
      </c>
      <c r="BF360" s="34">
        <f>IF(AND(AZ360&lt;&gt;"",BE360&lt;&gt;""),IF(COUNTIFS($BE$5:BE360,BE360,$AZ$5:AZ360,"&gt;0")=1,1,""),"")</f>
        <v/>
      </c>
      <c r="BG360" s="34">
        <f>IF(BF360=1,COUNTIF($BF$5:BF360,1),"")</f>
        <v/>
      </c>
    </row>
    <row r="361">
      <c r="AB361">
        <f>IF(AND(A361="",G361=""),"",IF(ISNUMBER(SEARCH("##END",AM361)),"（終わりの印）",IF(ISNUMBER(SEARCH("##続き",AM361)),"（続きありの印）",IF(AM361="調査ID","（見出し行）",IF(AND(AM361&lt;&gt;"R1",AM361&lt;&gt;"R2"),"×表以外の行（集計されない）",IF(COUNTIF($AN$5:AN361,AN361)&gt;1,"△重複（集計されない）",IF(G361="","△タスク名なし",IF(ISNA(MATCH(AQ361,'M1_類型マスタ'!$A$5:$A$19,0)),"△類型が不正",IF(OR(AP361="",N(AP361)&lt;1,N(AP361)&gt;6),"△業務区分が不正",IF(OR(AS361="",AT361=""),"△回数・分が読めない",IF(SUMPRODUCT(--ISNUMBER(--T361:Z361))&lt;7,"△採点が足りない",IF(SUMPRODUCT((--T361:Z361&gt;2)+(--T361:Z361&lt;0))&gt;0,"△採点が範囲外","OK"))))))))))))</f>
        <v/>
      </c>
      <c r="AC361">
        <f>IF(AB361&lt;&gt;"OK","",TRIM(IF(AND(AU361&lt;&gt;"",N(AU361)&lt;=1),"根拠1件 ","")&amp;IF(AV361&lt;&gt;"","同名あり ","")&amp;IF(AND(NOT(ISNUMBER(N361)),N361&lt;&gt;""),"回数を換算 ","")&amp;IF(J361="","詳細なし ","")&amp;IF(AND(N(AP361)=1,BB361=""),"顧客名なし ","")))</f>
        <v/>
      </c>
      <c r="AD361" s="31" t="n"/>
      <c r="AE361" s="32" t="n"/>
      <c r="AF361" s="32" t="n"/>
      <c r="AG361" s="31" t="n"/>
      <c r="AH361">
        <f>IF(AB361&lt;&gt;"OK","",IF(AG361&lt;&gt;"",AG361,AJ361))</f>
        <v/>
      </c>
      <c r="AI361" s="33">
        <f>IF(AB361&lt;&gt;"OK","",IFERROR(IF(AE361&lt;&gt;"",AE361,AS361)*IF(AF361&lt;&gt;"",AF361,AT361)/60,""))</f>
        <v/>
      </c>
      <c r="AJ361">
        <f>IF(AB361&lt;&gt;"OK","",IF(OR(VALUE(T361)=2,VALUE(U361)=2,VALUE(V361)=2),"社内残置",IF(AND(VALUE(T361)=0,VALUE(W361)=0,VALUE(Y361)=0),"自動化候補",IF(AND(VALUE(U361)=0,VALUE(W361)&lt;=1,VALUE(X361)&lt;=1,VALUE(Y361)&lt;=1,VALUE(Z361)&lt;=1),"オフショア候補",IF(AND(VALUE(Y361)&lt;=1,VALUE(Z361)&lt;=1),"ニアショア候補","社内で手順化→再評価")))))</f>
        <v/>
      </c>
      <c r="AK361">
        <f>IF(AB361&lt;&gt;"OK","",14-SUMPRODUCT(--T361:Z361))</f>
        <v/>
      </c>
      <c r="AL361" s="33">
        <f>IF(AB361&lt;&gt;"OK","",AS361*AT361/60)</f>
        <v/>
      </c>
      <c r="AM361" s="34">
        <f>IF(A361="","",UPPER(TRIM(ASC(A361&amp;""))))</f>
        <v/>
      </c>
      <c r="AN361" s="34">
        <f>IF(AM361="","",AM361&amp;"-"&amp;B361)</f>
        <v/>
      </c>
      <c r="AO361" s="34">
        <f>IF(C361="","",IFERROR(VALUE(ASC(SUBSTITUTE(C361&amp;"","観点",""))),""))</f>
        <v/>
      </c>
      <c r="AP361" s="34">
        <f>IF(D361="","",IFERROR(VALUE(LEFT(TRIM(ASC(D361&amp;"")),1)),IFERROR(MATCH(TRIM(D361&amp;""),'M2_区分マスタ'!$I$5:$I$10,0),"")))</f>
        <v/>
      </c>
      <c r="AQ361" s="34">
        <f>IF(H361="","",UPPER(LEFT(TRIM(ASC(H361&amp;"")),3)))</f>
        <v/>
      </c>
      <c r="AR361" s="34">
        <f>IF(N361="","",IFERROR(VALUE(SUBSTITUTE(SUBSTITUTE(SUBSTITUTE(SUBSTITUTE(SUBSTITUTE(SUBSTITUTE(SUBSTITUTE(SUBSTITUTE(SUBSTITUTE(SUBSTITUTE(SUBSTITUTE(SUBSTITUTE(ASC(N361&amp;""),"約",""),"程度",""),"ほど",""),"回",""),"毎",""),"週",""),"月",""),"年",""),"日",""),"に",""),"/","")," ","")),""))</f>
        <v/>
      </c>
      <c r="AS361" s="34">
        <f>IF(N361="","",IF(ISNUMBER(N361),N361,IFERROR(VALUE(ASC(N361&amp;"")),IF(AR361&lt;&gt;"",AR361*IF(ISNUMBER(SEARCH("週",N361)),4.3,IF(ISNUMBER(SEARCH("年",N361)),1/12,IF(ISNUMBER(SEARCH("日",N361)),20,1))),IF(ISNUMBER(SEARCH("日",N361)),20,IF(ISNUMBER(SEARCH("週",N361)),4.3,IF(ISNUMBER(SEARCH("月",N361)),1,"")))))))</f>
        <v/>
      </c>
      <c r="AT361" s="34">
        <f>IF(O361="","",IF(ISNUMBER(O361),O361,IFERROR(VALUE(ASC(O361&amp;"")),IF(ISNUMBER(SEARCH("時間",O361)),IFERROR(VALUE(SUBSTITUTE(SUBSTITUTE(SUBSTITUTE(SUBSTITUTE(SUBSTITUTE(ASC(O361&amp;""),"約",""),"程度",""),"ほど",""),"時間","")," ",""))*60,""),IFERROR(VALUE(SUBSTITUTE(SUBSTITUTE(SUBSTITUTE(SUBSTITUTE(SUBSTITUTE(ASC(O361&amp;""),"約",""),"程度",""),"ほど",""),"分","")," ","")),"")))))</f>
        <v/>
      </c>
      <c r="AU361" s="34">
        <f>IF(P361="","",IF(ISNUMBER(P361),P361,IFERROR(VALUE(SUBSTITUTE(SUBSTITUTE(SUBSTITUTE(ASC(P361&amp;""),"約",""),"件","")," ","")),"")))</f>
        <v/>
      </c>
      <c r="AV361" s="34">
        <f>IF(AB361&lt;&gt;"OK","",IF(COUNTIFS($G$5:$G$404,G361&amp;"",$F$5:$F$404,F361&amp;"",$BE$5:$BE$404,BE361&amp;"",$AB$5:$AB$404,"OK")&gt;1,"同名あり",""))</f>
        <v/>
      </c>
      <c r="AW361" s="35">
        <f>IF(Q361="","",IF(ISNUMBER(Q361),Q361,IFERROR(DATEVALUE(SUBSTITUTE(SUBSTITUTE(ASC(Q361&amp;""),"-","/"),".","/")&amp;"/01"),"")))</f>
        <v/>
      </c>
      <c r="AX361" s="35">
        <f>IF(R361="","",IF(ISNUMBER(R361),R361,IFERROR(DATEVALUE(SUBSTITUTE(SUBSTITUTE(ASC(R361&amp;""),"-","/"),".","/")&amp;"/01"),"")))</f>
        <v/>
      </c>
      <c r="AY361" s="34">
        <f>IF(OR(AB361&lt;&gt;"OK",AW361=""),"",IF(AW361&gt;='01_設定'!$C$26,1,0))</f>
        <v/>
      </c>
      <c r="AZ361" s="34">
        <f>IF(AND(AB361="OK",AD361&lt;&gt;"除外"),COUNTIFS($AB$5:AB361,"OK",$AD$5:AD361,"&lt;&gt;除外"),"")</f>
        <v/>
      </c>
      <c r="BA361" s="34">
        <f>IF(OR(AZ361="",AI361=""),"",AI361+ROW()/1000000000)</f>
        <v/>
      </c>
      <c r="BB361" s="34">
        <f>IF(E361="","",IF(OR(TRIM(E361&amp;"")="-",TRIM(E361&amp;"")="－",TRIM(E361&amp;"")="ー"),"",TRIM(E361&amp;"")))</f>
        <v/>
      </c>
      <c r="BC361" s="34">
        <f>IF(AND(AB361="OK",BB361&lt;&gt;""),IF(COUNTIFS($BB$5:BB361,BB361,$AB$5:AB361,"OK")=1,1,""),"")</f>
        <v/>
      </c>
      <c r="BD361" s="34">
        <f>IF(BC361=1,COUNTIF($BC$5:BC361,1),"")</f>
        <v/>
      </c>
      <c r="BE361" s="34">
        <f>IF(BB361="","",IFERROR(INDEX('06_顧客別集計'!$G$5:$G$104,MATCH(BB361,'06_顧客別集計'!$C$5:$C$104,0)),BB361))</f>
        <v/>
      </c>
      <c r="BF361" s="34">
        <f>IF(AND(AZ361&lt;&gt;"",BE361&lt;&gt;""),IF(COUNTIFS($BE$5:BE361,BE361,$AZ$5:AZ361,"&gt;0")=1,1,""),"")</f>
        <v/>
      </c>
      <c r="BG361" s="34">
        <f>IF(BF361=1,COUNTIF($BF$5:BF361,1),"")</f>
        <v/>
      </c>
    </row>
    <row r="362">
      <c r="AB362">
        <f>IF(AND(A362="",G362=""),"",IF(ISNUMBER(SEARCH("##END",AM362)),"（終わりの印）",IF(ISNUMBER(SEARCH("##続き",AM362)),"（続きありの印）",IF(AM362="調査ID","（見出し行）",IF(AND(AM362&lt;&gt;"R1",AM362&lt;&gt;"R2"),"×表以外の行（集計されない）",IF(COUNTIF($AN$5:AN362,AN362)&gt;1,"△重複（集計されない）",IF(G362="","△タスク名なし",IF(ISNA(MATCH(AQ362,'M1_類型マスタ'!$A$5:$A$19,0)),"△類型が不正",IF(OR(AP362="",N(AP362)&lt;1,N(AP362)&gt;6),"△業務区分が不正",IF(OR(AS362="",AT362=""),"△回数・分が読めない",IF(SUMPRODUCT(--ISNUMBER(--T362:Z362))&lt;7,"△採点が足りない",IF(SUMPRODUCT((--T362:Z362&gt;2)+(--T362:Z362&lt;0))&gt;0,"△採点が範囲外","OK"))))))))))))</f>
        <v/>
      </c>
      <c r="AC362">
        <f>IF(AB362&lt;&gt;"OK","",TRIM(IF(AND(AU362&lt;&gt;"",N(AU362)&lt;=1),"根拠1件 ","")&amp;IF(AV362&lt;&gt;"","同名あり ","")&amp;IF(AND(NOT(ISNUMBER(N362)),N362&lt;&gt;""),"回数を換算 ","")&amp;IF(J362="","詳細なし ","")&amp;IF(AND(N(AP362)=1,BB362=""),"顧客名なし ","")))</f>
        <v/>
      </c>
      <c r="AD362" s="31" t="n"/>
      <c r="AE362" s="32" t="n"/>
      <c r="AF362" s="32" t="n"/>
      <c r="AG362" s="31" t="n"/>
      <c r="AH362">
        <f>IF(AB362&lt;&gt;"OK","",IF(AG362&lt;&gt;"",AG362,AJ362))</f>
        <v/>
      </c>
      <c r="AI362" s="33">
        <f>IF(AB362&lt;&gt;"OK","",IFERROR(IF(AE362&lt;&gt;"",AE362,AS362)*IF(AF362&lt;&gt;"",AF362,AT362)/60,""))</f>
        <v/>
      </c>
      <c r="AJ362">
        <f>IF(AB362&lt;&gt;"OK","",IF(OR(VALUE(T362)=2,VALUE(U362)=2,VALUE(V362)=2),"社内残置",IF(AND(VALUE(T362)=0,VALUE(W362)=0,VALUE(Y362)=0),"自動化候補",IF(AND(VALUE(U362)=0,VALUE(W362)&lt;=1,VALUE(X362)&lt;=1,VALUE(Y362)&lt;=1,VALUE(Z362)&lt;=1),"オフショア候補",IF(AND(VALUE(Y362)&lt;=1,VALUE(Z362)&lt;=1),"ニアショア候補","社内で手順化→再評価")))))</f>
        <v/>
      </c>
      <c r="AK362">
        <f>IF(AB362&lt;&gt;"OK","",14-SUMPRODUCT(--T362:Z362))</f>
        <v/>
      </c>
      <c r="AL362" s="33">
        <f>IF(AB362&lt;&gt;"OK","",AS362*AT362/60)</f>
        <v/>
      </c>
      <c r="AM362" s="34">
        <f>IF(A362="","",UPPER(TRIM(ASC(A362&amp;""))))</f>
        <v/>
      </c>
      <c r="AN362" s="34">
        <f>IF(AM362="","",AM362&amp;"-"&amp;B362)</f>
        <v/>
      </c>
      <c r="AO362" s="34">
        <f>IF(C362="","",IFERROR(VALUE(ASC(SUBSTITUTE(C362&amp;"","観点",""))),""))</f>
        <v/>
      </c>
      <c r="AP362" s="34">
        <f>IF(D362="","",IFERROR(VALUE(LEFT(TRIM(ASC(D362&amp;"")),1)),IFERROR(MATCH(TRIM(D362&amp;""),'M2_区分マスタ'!$I$5:$I$10,0),"")))</f>
        <v/>
      </c>
      <c r="AQ362" s="34">
        <f>IF(H362="","",UPPER(LEFT(TRIM(ASC(H362&amp;"")),3)))</f>
        <v/>
      </c>
      <c r="AR362" s="34">
        <f>IF(N362="","",IFERROR(VALUE(SUBSTITUTE(SUBSTITUTE(SUBSTITUTE(SUBSTITUTE(SUBSTITUTE(SUBSTITUTE(SUBSTITUTE(SUBSTITUTE(SUBSTITUTE(SUBSTITUTE(SUBSTITUTE(SUBSTITUTE(ASC(N362&amp;""),"約",""),"程度",""),"ほど",""),"回",""),"毎",""),"週",""),"月",""),"年",""),"日",""),"に",""),"/","")," ","")),""))</f>
        <v/>
      </c>
      <c r="AS362" s="34">
        <f>IF(N362="","",IF(ISNUMBER(N362),N362,IFERROR(VALUE(ASC(N362&amp;"")),IF(AR362&lt;&gt;"",AR362*IF(ISNUMBER(SEARCH("週",N362)),4.3,IF(ISNUMBER(SEARCH("年",N362)),1/12,IF(ISNUMBER(SEARCH("日",N362)),20,1))),IF(ISNUMBER(SEARCH("日",N362)),20,IF(ISNUMBER(SEARCH("週",N362)),4.3,IF(ISNUMBER(SEARCH("月",N362)),1,"")))))))</f>
        <v/>
      </c>
      <c r="AT362" s="34">
        <f>IF(O362="","",IF(ISNUMBER(O362),O362,IFERROR(VALUE(ASC(O362&amp;"")),IF(ISNUMBER(SEARCH("時間",O362)),IFERROR(VALUE(SUBSTITUTE(SUBSTITUTE(SUBSTITUTE(SUBSTITUTE(SUBSTITUTE(ASC(O362&amp;""),"約",""),"程度",""),"ほど",""),"時間","")," ",""))*60,""),IFERROR(VALUE(SUBSTITUTE(SUBSTITUTE(SUBSTITUTE(SUBSTITUTE(SUBSTITUTE(ASC(O362&amp;""),"約",""),"程度",""),"ほど",""),"分","")," ","")),"")))))</f>
        <v/>
      </c>
      <c r="AU362" s="34">
        <f>IF(P362="","",IF(ISNUMBER(P362),P362,IFERROR(VALUE(SUBSTITUTE(SUBSTITUTE(SUBSTITUTE(ASC(P362&amp;""),"約",""),"件","")," ","")),"")))</f>
        <v/>
      </c>
      <c r="AV362" s="34">
        <f>IF(AB362&lt;&gt;"OK","",IF(COUNTIFS($G$5:$G$404,G362&amp;"",$F$5:$F$404,F362&amp;"",$BE$5:$BE$404,BE362&amp;"",$AB$5:$AB$404,"OK")&gt;1,"同名あり",""))</f>
        <v/>
      </c>
      <c r="AW362" s="35">
        <f>IF(Q362="","",IF(ISNUMBER(Q362),Q362,IFERROR(DATEVALUE(SUBSTITUTE(SUBSTITUTE(ASC(Q362&amp;""),"-","/"),".","/")&amp;"/01"),"")))</f>
        <v/>
      </c>
      <c r="AX362" s="35">
        <f>IF(R362="","",IF(ISNUMBER(R362),R362,IFERROR(DATEVALUE(SUBSTITUTE(SUBSTITUTE(ASC(R362&amp;""),"-","/"),".","/")&amp;"/01"),"")))</f>
        <v/>
      </c>
      <c r="AY362" s="34">
        <f>IF(OR(AB362&lt;&gt;"OK",AW362=""),"",IF(AW362&gt;='01_設定'!$C$26,1,0))</f>
        <v/>
      </c>
      <c r="AZ362" s="34">
        <f>IF(AND(AB362="OK",AD362&lt;&gt;"除外"),COUNTIFS($AB$5:AB362,"OK",$AD$5:AD362,"&lt;&gt;除外"),"")</f>
        <v/>
      </c>
      <c r="BA362" s="34">
        <f>IF(OR(AZ362="",AI362=""),"",AI362+ROW()/1000000000)</f>
        <v/>
      </c>
      <c r="BB362" s="34">
        <f>IF(E362="","",IF(OR(TRIM(E362&amp;"")="-",TRIM(E362&amp;"")="－",TRIM(E362&amp;"")="ー"),"",TRIM(E362&amp;"")))</f>
        <v/>
      </c>
      <c r="BC362" s="34">
        <f>IF(AND(AB362="OK",BB362&lt;&gt;""),IF(COUNTIFS($BB$5:BB362,BB362,$AB$5:AB362,"OK")=1,1,""),"")</f>
        <v/>
      </c>
      <c r="BD362" s="34">
        <f>IF(BC362=1,COUNTIF($BC$5:BC362,1),"")</f>
        <v/>
      </c>
      <c r="BE362" s="34">
        <f>IF(BB362="","",IFERROR(INDEX('06_顧客別集計'!$G$5:$G$104,MATCH(BB362,'06_顧客別集計'!$C$5:$C$104,0)),BB362))</f>
        <v/>
      </c>
      <c r="BF362" s="34">
        <f>IF(AND(AZ362&lt;&gt;"",BE362&lt;&gt;""),IF(COUNTIFS($BE$5:BE362,BE362,$AZ$5:AZ362,"&gt;0")=1,1,""),"")</f>
        <v/>
      </c>
      <c r="BG362" s="34">
        <f>IF(BF362=1,COUNTIF($BF$5:BF362,1),"")</f>
        <v/>
      </c>
    </row>
    <row r="363">
      <c r="AB363">
        <f>IF(AND(A363="",G363=""),"",IF(ISNUMBER(SEARCH("##END",AM363)),"（終わりの印）",IF(ISNUMBER(SEARCH("##続き",AM363)),"（続きありの印）",IF(AM363="調査ID","（見出し行）",IF(AND(AM363&lt;&gt;"R1",AM363&lt;&gt;"R2"),"×表以外の行（集計されない）",IF(COUNTIF($AN$5:AN363,AN363)&gt;1,"△重複（集計されない）",IF(G363="","△タスク名なし",IF(ISNA(MATCH(AQ363,'M1_類型マスタ'!$A$5:$A$19,0)),"△類型が不正",IF(OR(AP363="",N(AP363)&lt;1,N(AP363)&gt;6),"△業務区分が不正",IF(OR(AS363="",AT363=""),"△回数・分が読めない",IF(SUMPRODUCT(--ISNUMBER(--T363:Z363))&lt;7,"△採点が足りない",IF(SUMPRODUCT((--T363:Z363&gt;2)+(--T363:Z363&lt;0))&gt;0,"△採点が範囲外","OK"))))))))))))</f>
        <v/>
      </c>
      <c r="AC363">
        <f>IF(AB363&lt;&gt;"OK","",TRIM(IF(AND(AU363&lt;&gt;"",N(AU363)&lt;=1),"根拠1件 ","")&amp;IF(AV363&lt;&gt;"","同名あり ","")&amp;IF(AND(NOT(ISNUMBER(N363)),N363&lt;&gt;""),"回数を換算 ","")&amp;IF(J363="","詳細なし ","")&amp;IF(AND(N(AP363)=1,BB363=""),"顧客名なし ","")))</f>
        <v/>
      </c>
      <c r="AD363" s="31" t="n"/>
      <c r="AE363" s="32" t="n"/>
      <c r="AF363" s="32" t="n"/>
      <c r="AG363" s="31" t="n"/>
      <c r="AH363">
        <f>IF(AB363&lt;&gt;"OK","",IF(AG363&lt;&gt;"",AG363,AJ363))</f>
        <v/>
      </c>
      <c r="AI363" s="33">
        <f>IF(AB363&lt;&gt;"OK","",IFERROR(IF(AE363&lt;&gt;"",AE363,AS363)*IF(AF363&lt;&gt;"",AF363,AT363)/60,""))</f>
        <v/>
      </c>
      <c r="AJ363">
        <f>IF(AB363&lt;&gt;"OK","",IF(OR(VALUE(T363)=2,VALUE(U363)=2,VALUE(V363)=2),"社内残置",IF(AND(VALUE(T363)=0,VALUE(W363)=0,VALUE(Y363)=0),"自動化候補",IF(AND(VALUE(U363)=0,VALUE(W363)&lt;=1,VALUE(X363)&lt;=1,VALUE(Y363)&lt;=1,VALUE(Z363)&lt;=1),"オフショア候補",IF(AND(VALUE(Y363)&lt;=1,VALUE(Z363)&lt;=1),"ニアショア候補","社内で手順化→再評価")))))</f>
        <v/>
      </c>
      <c r="AK363">
        <f>IF(AB363&lt;&gt;"OK","",14-SUMPRODUCT(--T363:Z363))</f>
        <v/>
      </c>
      <c r="AL363" s="33">
        <f>IF(AB363&lt;&gt;"OK","",AS363*AT363/60)</f>
        <v/>
      </c>
      <c r="AM363" s="34">
        <f>IF(A363="","",UPPER(TRIM(ASC(A363&amp;""))))</f>
        <v/>
      </c>
      <c r="AN363" s="34">
        <f>IF(AM363="","",AM363&amp;"-"&amp;B363)</f>
        <v/>
      </c>
      <c r="AO363" s="34">
        <f>IF(C363="","",IFERROR(VALUE(ASC(SUBSTITUTE(C363&amp;"","観点",""))),""))</f>
        <v/>
      </c>
      <c r="AP363" s="34">
        <f>IF(D363="","",IFERROR(VALUE(LEFT(TRIM(ASC(D363&amp;"")),1)),IFERROR(MATCH(TRIM(D363&amp;""),'M2_区分マスタ'!$I$5:$I$10,0),"")))</f>
        <v/>
      </c>
      <c r="AQ363" s="34">
        <f>IF(H363="","",UPPER(LEFT(TRIM(ASC(H363&amp;"")),3)))</f>
        <v/>
      </c>
      <c r="AR363" s="34">
        <f>IF(N363="","",IFERROR(VALUE(SUBSTITUTE(SUBSTITUTE(SUBSTITUTE(SUBSTITUTE(SUBSTITUTE(SUBSTITUTE(SUBSTITUTE(SUBSTITUTE(SUBSTITUTE(SUBSTITUTE(SUBSTITUTE(SUBSTITUTE(ASC(N363&amp;""),"約",""),"程度",""),"ほど",""),"回",""),"毎",""),"週",""),"月",""),"年",""),"日",""),"に",""),"/","")," ","")),""))</f>
        <v/>
      </c>
      <c r="AS363" s="34">
        <f>IF(N363="","",IF(ISNUMBER(N363),N363,IFERROR(VALUE(ASC(N363&amp;"")),IF(AR363&lt;&gt;"",AR363*IF(ISNUMBER(SEARCH("週",N363)),4.3,IF(ISNUMBER(SEARCH("年",N363)),1/12,IF(ISNUMBER(SEARCH("日",N363)),20,1))),IF(ISNUMBER(SEARCH("日",N363)),20,IF(ISNUMBER(SEARCH("週",N363)),4.3,IF(ISNUMBER(SEARCH("月",N363)),1,"")))))))</f>
        <v/>
      </c>
      <c r="AT363" s="34">
        <f>IF(O363="","",IF(ISNUMBER(O363),O363,IFERROR(VALUE(ASC(O363&amp;"")),IF(ISNUMBER(SEARCH("時間",O363)),IFERROR(VALUE(SUBSTITUTE(SUBSTITUTE(SUBSTITUTE(SUBSTITUTE(SUBSTITUTE(ASC(O363&amp;""),"約",""),"程度",""),"ほど",""),"時間","")," ",""))*60,""),IFERROR(VALUE(SUBSTITUTE(SUBSTITUTE(SUBSTITUTE(SUBSTITUTE(SUBSTITUTE(ASC(O363&amp;""),"約",""),"程度",""),"ほど",""),"分","")," ","")),"")))))</f>
        <v/>
      </c>
      <c r="AU363" s="34">
        <f>IF(P363="","",IF(ISNUMBER(P363),P363,IFERROR(VALUE(SUBSTITUTE(SUBSTITUTE(SUBSTITUTE(ASC(P363&amp;""),"約",""),"件","")," ","")),"")))</f>
        <v/>
      </c>
      <c r="AV363" s="34">
        <f>IF(AB363&lt;&gt;"OK","",IF(COUNTIFS($G$5:$G$404,G363&amp;"",$F$5:$F$404,F363&amp;"",$BE$5:$BE$404,BE363&amp;"",$AB$5:$AB$404,"OK")&gt;1,"同名あり",""))</f>
        <v/>
      </c>
      <c r="AW363" s="35">
        <f>IF(Q363="","",IF(ISNUMBER(Q363),Q363,IFERROR(DATEVALUE(SUBSTITUTE(SUBSTITUTE(ASC(Q363&amp;""),"-","/"),".","/")&amp;"/01"),"")))</f>
        <v/>
      </c>
      <c r="AX363" s="35">
        <f>IF(R363="","",IF(ISNUMBER(R363),R363,IFERROR(DATEVALUE(SUBSTITUTE(SUBSTITUTE(ASC(R363&amp;""),"-","/"),".","/")&amp;"/01"),"")))</f>
        <v/>
      </c>
      <c r="AY363" s="34">
        <f>IF(OR(AB363&lt;&gt;"OK",AW363=""),"",IF(AW363&gt;='01_設定'!$C$26,1,0))</f>
        <v/>
      </c>
      <c r="AZ363" s="34">
        <f>IF(AND(AB363="OK",AD363&lt;&gt;"除外"),COUNTIFS($AB$5:AB363,"OK",$AD$5:AD363,"&lt;&gt;除外"),"")</f>
        <v/>
      </c>
      <c r="BA363" s="34">
        <f>IF(OR(AZ363="",AI363=""),"",AI363+ROW()/1000000000)</f>
        <v/>
      </c>
      <c r="BB363" s="34">
        <f>IF(E363="","",IF(OR(TRIM(E363&amp;"")="-",TRIM(E363&amp;"")="－",TRIM(E363&amp;"")="ー"),"",TRIM(E363&amp;"")))</f>
        <v/>
      </c>
      <c r="BC363" s="34">
        <f>IF(AND(AB363="OK",BB363&lt;&gt;""),IF(COUNTIFS($BB$5:BB363,BB363,$AB$5:AB363,"OK")=1,1,""),"")</f>
        <v/>
      </c>
      <c r="BD363" s="34">
        <f>IF(BC363=1,COUNTIF($BC$5:BC363,1),"")</f>
        <v/>
      </c>
      <c r="BE363" s="34">
        <f>IF(BB363="","",IFERROR(INDEX('06_顧客別集計'!$G$5:$G$104,MATCH(BB363,'06_顧客別集計'!$C$5:$C$104,0)),BB363))</f>
        <v/>
      </c>
      <c r="BF363" s="34">
        <f>IF(AND(AZ363&lt;&gt;"",BE363&lt;&gt;""),IF(COUNTIFS($BE$5:BE363,BE363,$AZ$5:AZ363,"&gt;0")=1,1,""),"")</f>
        <v/>
      </c>
      <c r="BG363" s="34">
        <f>IF(BF363=1,COUNTIF($BF$5:BF363,1),"")</f>
        <v/>
      </c>
    </row>
    <row r="364">
      <c r="AB364">
        <f>IF(AND(A364="",G364=""),"",IF(ISNUMBER(SEARCH("##END",AM364)),"（終わりの印）",IF(ISNUMBER(SEARCH("##続き",AM364)),"（続きありの印）",IF(AM364="調査ID","（見出し行）",IF(AND(AM364&lt;&gt;"R1",AM364&lt;&gt;"R2"),"×表以外の行（集計されない）",IF(COUNTIF($AN$5:AN364,AN364)&gt;1,"△重複（集計されない）",IF(G364="","△タスク名なし",IF(ISNA(MATCH(AQ364,'M1_類型マスタ'!$A$5:$A$19,0)),"△類型が不正",IF(OR(AP364="",N(AP364)&lt;1,N(AP364)&gt;6),"△業務区分が不正",IF(OR(AS364="",AT364=""),"△回数・分が読めない",IF(SUMPRODUCT(--ISNUMBER(--T364:Z364))&lt;7,"△採点が足りない",IF(SUMPRODUCT((--T364:Z364&gt;2)+(--T364:Z364&lt;0))&gt;0,"△採点が範囲外","OK"))))))))))))</f>
        <v/>
      </c>
      <c r="AC364">
        <f>IF(AB364&lt;&gt;"OK","",TRIM(IF(AND(AU364&lt;&gt;"",N(AU364)&lt;=1),"根拠1件 ","")&amp;IF(AV364&lt;&gt;"","同名あり ","")&amp;IF(AND(NOT(ISNUMBER(N364)),N364&lt;&gt;""),"回数を換算 ","")&amp;IF(J364="","詳細なし ","")&amp;IF(AND(N(AP364)=1,BB364=""),"顧客名なし ","")))</f>
        <v/>
      </c>
      <c r="AD364" s="31" t="n"/>
      <c r="AE364" s="32" t="n"/>
      <c r="AF364" s="32" t="n"/>
      <c r="AG364" s="31" t="n"/>
      <c r="AH364">
        <f>IF(AB364&lt;&gt;"OK","",IF(AG364&lt;&gt;"",AG364,AJ364))</f>
        <v/>
      </c>
      <c r="AI364" s="33">
        <f>IF(AB364&lt;&gt;"OK","",IFERROR(IF(AE364&lt;&gt;"",AE364,AS364)*IF(AF364&lt;&gt;"",AF364,AT364)/60,""))</f>
        <v/>
      </c>
      <c r="AJ364">
        <f>IF(AB364&lt;&gt;"OK","",IF(OR(VALUE(T364)=2,VALUE(U364)=2,VALUE(V364)=2),"社内残置",IF(AND(VALUE(T364)=0,VALUE(W364)=0,VALUE(Y364)=0),"自動化候補",IF(AND(VALUE(U364)=0,VALUE(W364)&lt;=1,VALUE(X364)&lt;=1,VALUE(Y364)&lt;=1,VALUE(Z364)&lt;=1),"オフショア候補",IF(AND(VALUE(Y364)&lt;=1,VALUE(Z364)&lt;=1),"ニアショア候補","社内で手順化→再評価")))))</f>
        <v/>
      </c>
      <c r="AK364">
        <f>IF(AB364&lt;&gt;"OK","",14-SUMPRODUCT(--T364:Z364))</f>
        <v/>
      </c>
      <c r="AL364" s="33">
        <f>IF(AB364&lt;&gt;"OK","",AS364*AT364/60)</f>
        <v/>
      </c>
      <c r="AM364" s="34">
        <f>IF(A364="","",UPPER(TRIM(ASC(A364&amp;""))))</f>
        <v/>
      </c>
      <c r="AN364" s="34">
        <f>IF(AM364="","",AM364&amp;"-"&amp;B364)</f>
        <v/>
      </c>
      <c r="AO364" s="34">
        <f>IF(C364="","",IFERROR(VALUE(ASC(SUBSTITUTE(C364&amp;"","観点",""))),""))</f>
        <v/>
      </c>
      <c r="AP364" s="34">
        <f>IF(D364="","",IFERROR(VALUE(LEFT(TRIM(ASC(D364&amp;"")),1)),IFERROR(MATCH(TRIM(D364&amp;""),'M2_区分マスタ'!$I$5:$I$10,0),"")))</f>
        <v/>
      </c>
      <c r="AQ364" s="34">
        <f>IF(H364="","",UPPER(LEFT(TRIM(ASC(H364&amp;"")),3)))</f>
        <v/>
      </c>
      <c r="AR364" s="34">
        <f>IF(N364="","",IFERROR(VALUE(SUBSTITUTE(SUBSTITUTE(SUBSTITUTE(SUBSTITUTE(SUBSTITUTE(SUBSTITUTE(SUBSTITUTE(SUBSTITUTE(SUBSTITUTE(SUBSTITUTE(SUBSTITUTE(SUBSTITUTE(ASC(N364&amp;""),"約",""),"程度",""),"ほど",""),"回",""),"毎",""),"週",""),"月",""),"年",""),"日",""),"に",""),"/","")," ","")),""))</f>
        <v/>
      </c>
      <c r="AS364" s="34">
        <f>IF(N364="","",IF(ISNUMBER(N364),N364,IFERROR(VALUE(ASC(N364&amp;"")),IF(AR364&lt;&gt;"",AR364*IF(ISNUMBER(SEARCH("週",N364)),4.3,IF(ISNUMBER(SEARCH("年",N364)),1/12,IF(ISNUMBER(SEARCH("日",N364)),20,1))),IF(ISNUMBER(SEARCH("日",N364)),20,IF(ISNUMBER(SEARCH("週",N364)),4.3,IF(ISNUMBER(SEARCH("月",N364)),1,"")))))))</f>
        <v/>
      </c>
      <c r="AT364" s="34">
        <f>IF(O364="","",IF(ISNUMBER(O364),O364,IFERROR(VALUE(ASC(O364&amp;"")),IF(ISNUMBER(SEARCH("時間",O364)),IFERROR(VALUE(SUBSTITUTE(SUBSTITUTE(SUBSTITUTE(SUBSTITUTE(SUBSTITUTE(ASC(O364&amp;""),"約",""),"程度",""),"ほど",""),"時間","")," ",""))*60,""),IFERROR(VALUE(SUBSTITUTE(SUBSTITUTE(SUBSTITUTE(SUBSTITUTE(SUBSTITUTE(ASC(O364&amp;""),"約",""),"程度",""),"ほど",""),"分","")," ","")),"")))))</f>
        <v/>
      </c>
      <c r="AU364" s="34">
        <f>IF(P364="","",IF(ISNUMBER(P364),P364,IFERROR(VALUE(SUBSTITUTE(SUBSTITUTE(SUBSTITUTE(ASC(P364&amp;""),"約",""),"件","")," ","")),"")))</f>
        <v/>
      </c>
      <c r="AV364" s="34">
        <f>IF(AB364&lt;&gt;"OK","",IF(COUNTIFS($G$5:$G$404,G364&amp;"",$F$5:$F$404,F364&amp;"",$BE$5:$BE$404,BE364&amp;"",$AB$5:$AB$404,"OK")&gt;1,"同名あり",""))</f>
        <v/>
      </c>
      <c r="AW364" s="35">
        <f>IF(Q364="","",IF(ISNUMBER(Q364),Q364,IFERROR(DATEVALUE(SUBSTITUTE(SUBSTITUTE(ASC(Q364&amp;""),"-","/"),".","/")&amp;"/01"),"")))</f>
        <v/>
      </c>
      <c r="AX364" s="35">
        <f>IF(R364="","",IF(ISNUMBER(R364),R364,IFERROR(DATEVALUE(SUBSTITUTE(SUBSTITUTE(ASC(R364&amp;""),"-","/"),".","/")&amp;"/01"),"")))</f>
        <v/>
      </c>
      <c r="AY364" s="34">
        <f>IF(OR(AB364&lt;&gt;"OK",AW364=""),"",IF(AW364&gt;='01_設定'!$C$26,1,0))</f>
        <v/>
      </c>
      <c r="AZ364" s="34">
        <f>IF(AND(AB364="OK",AD364&lt;&gt;"除外"),COUNTIFS($AB$5:AB364,"OK",$AD$5:AD364,"&lt;&gt;除外"),"")</f>
        <v/>
      </c>
      <c r="BA364" s="34">
        <f>IF(OR(AZ364="",AI364=""),"",AI364+ROW()/1000000000)</f>
        <v/>
      </c>
      <c r="BB364" s="34">
        <f>IF(E364="","",IF(OR(TRIM(E364&amp;"")="-",TRIM(E364&amp;"")="－",TRIM(E364&amp;"")="ー"),"",TRIM(E364&amp;"")))</f>
        <v/>
      </c>
      <c r="BC364" s="34">
        <f>IF(AND(AB364="OK",BB364&lt;&gt;""),IF(COUNTIFS($BB$5:BB364,BB364,$AB$5:AB364,"OK")=1,1,""),"")</f>
        <v/>
      </c>
      <c r="BD364" s="34">
        <f>IF(BC364=1,COUNTIF($BC$5:BC364,1),"")</f>
        <v/>
      </c>
      <c r="BE364" s="34">
        <f>IF(BB364="","",IFERROR(INDEX('06_顧客別集計'!$G$5:$G$104,MATCH(BB364,'06_顧客別集計'!$C$5:$C$104,0)),BB364))</f>
        <v/>
      </c>
      <c r="BF364" s="34">
        <f>IF(AND(AZ364&lt;&gt;"",BE364&lt;&gt;""),IF(COUNTIFS($BE$5:BE364,BE364,$AZ$5:AZ364,"&gt;0")=1,1,""),"")</f>
        <v/>
      </c>
      <c r="BG364" s="34">
        <f>IF(BF364=1,COUNTIF($BF$5:BF364,1),"")</f>
        <v/>
      </c>
    </row>
    <row r="365">
      <c r="AB365">
        <f>IF(AND(A365="",G365=""),"",IF(ISNUMBER(SEARCH("##END",AM365)),"（終わりの印）",IF(ISNUMBER(SEARCH("##続き",AM365)),"（続きありの印）",IF(AM365="調査ID","（見出し行）",IF(AND(AM365&lt;&gt;"R1",AM365&lt;&gt;"R2"),"×表以外の行（集計されない）",IF(COUNTIF($AN$5:AN365,AN365)&gt;1,"△重複（集計されない）",IF(G365="","△タスク名なし",IF(ISNA(MATCH(AQ365,'M1_類型マスタ'!$A$5:$A$19,0)),"△類型が不正",IF(OR(AP365="",N(AP365)&lt;1,N(AP365)&gt;6),"△業務区分が不正",IF(OR(AS365="",AT365=""),"△回数・分が読めない",IF(SUMPRODUCT(--ISNUMBER(--T365:Z365))&lt;7,"△採点が足りない",IF(SUMPRODUCT((--T365:Z365&gt;2)+(--T365:Z365&lt;0))&gt;0,"△採点が範囲外","OK"))))))))))))</f>
        <v/>
      </c>
      <c r="AC365">
        <f>IF(AB365&lt;&gt;"OK","",TRIM(IF(AND(AU365&lt;&gt;"",N(AU365)&lt;=1),"根拠1件 ","")&amp;IF(AV365&lt;&gt;"","同名あり ","")&amp;IF(AND(NOT(ISNUMBER(N365)),N365&lt;&gt;""),"回数を換算 ","")&amp;IF(J365="","詳細なし ","")&amp;IF(AND(N(AP365)=1,BB365=""),"顧客名なし ","")))</f>
        <v/>
      </c>
      <c r="AD365" s="31" t="n"/>
      <c r="AE365" s="32" t="n"/>
      <c r="AF365" s="32" t="n"/>
      <c r="AG365" s="31" t="n"/>
      <c r="AH365">
        <f>IF(AB365&lt;&gt;"OK","",IF(AG365&lt;&gt;"",AG365,AJ365))</f>
        <v/>
      </c>
      <c r="AI365" s="33">
        <f>IF(AB365&lt;&gt;"OK","",IFERROR(IF(AE365&lt;&gt;"",AE365,AS365)*IF(AF365&lt;&gt;"",AF365,AT365)/60,""))</f>
        <v/>
      </c>
      <c r="AJ365">
        <f>IF(AB365&lt;&gt;"OK","",IF(OR(VALUE(T365)=2,VALUE(U365)=2,VALUE(V365)=2),"社内残置",IF(AND(VALUE(T365)=0,VALUE(W365)=0,VALUE(Y365)=0),"自動化候補",IF(AND(VALUE(U365)=0,VALUE(W365)&lt;=1,VALUE(X365)&lt;=1,VALUE(Y365)&lt;=1,VALUE(Z365)&lt;=1),"オフショア候補",IF(AND(VALUE(Y365)&lt;=1,VALUE(Z365)&lt;=1),"ニアショア候補","社内で手順化→再評価")))))</f>
        <v/>
      </c>
      <c r="AK365">
        <f>IF(AB365&lt;&gt;"OK","",14-SUMPRODUCT(--T365:Z365))</f>
        <v/>
      </c>
      <c r="AL365" s="33">
        <f>IF(AB365&lt;&gt;"OK","",AS365*AT365/60)</f>
        <v/>
      </c>
      <c r="AM365" s="34">
        <f>IF(A365="","",UPPER(TRIM(ASC(A365&amp;""))))</f>
        <v/>
      </c>
      <c r="AN365" s="34">
        <f>IF(AM365="","",AM365&amp;"-"&amp;B365)</f>
        <v/>
      </c>
      <c r="AO365" s="34">
        <f>IF(C365="","",IFERROR(VALUE(ASC(SUBSTITUTE(C365&amp;"","観点",""))),""))</f>
        <v/>
      </c>
      <c r="AP365" s="34">
        <f>IF(D365="","",IFERROR(VALUE(LEFT(TRIM(ASC(D365&amp;"")),1)),IFERROR(MATCH(TRIM(D365&amp;""),'M2_区分マスタ'!$I$5:$I$10,0),"")))</f>
        <v/>
      </c>
      <c r="AQ365" s="34">
        <f>IF(H365="","",UPPER(LEFT(TRIM(ASC(H365&amp;"")),3)))</f>
        <v/>
      </c>
      <c r="AR365" s="34">
        <f>IF(N365="","",IFERROR(VALUE(SUBSTITUTE(SUBSTITUTE(SUBSTITUTE(SUBSTITUTE(SUBSTITUTE(SUBSTITUTE(SUBSTITUTE(SUBSTITUTE(SUBSTITUTE(SUBSTITUTE(SUBSTITUTE(SUBSTITUTE(ASC(N365&amp;""),"約",""),"程度",""),"ほど",""),"回",""),"毎",""),"週",""),"月",""),"年",""),"日",""),"に",""),"/","")," ","")),""))</f>
        <v/>
      </c>
      <c r="AS365" s="34">
        <f>IF(N365="","",IF(ISNUMBER(N365),N365,IFERROR(VALUE(ASC(N365&amp;"")),IF(AR365&lt;&gt;"",AR365*IF(ISNUMBER(SEARCH("週",N365)),4.3,IF(ISNUMBER(SEARCH("年",N365)),1/12,IF(ISNUMBER(SEARCH("日",N365)),20,1))),IF(ISNUMBER(SEARCH("日",N365)),20,IF(ISNUMBER(SEARCH("週",N365)),4.3,IF(ISNUMBER(SEARCH("月",N365)),1,"")))))))</f>
        <v/>
      </c>
      <c r="AT365" s="34">
        <f>IF(O365="","",IF(ISNUMBER(O365),O365,IFERROR(VALUE(ASC(O365&amp;"")),IF(ISNUMBER(SEARCH("時間",O365)),IFERROR(VALUE(SUBSTITUTE(SUBSTITUTE(SUBSTITUTE(SUBSTITUTE(SUBSTITUTE(ASC(O365&amp;""),"約",""),"程度",""),"ほど",""),"時間","")," ",""))*60,""),IFERROR(VALUE(SUBSTITUTE(SUBSTITUTE(SUBSTITUTE(SUBSTITUTE(SUBSTITUTE(ASC(O365&amp;""),"約",""),"程度",""),"ほど",""),"分","")," ","")),"")))))</f>
        <v/>
      </c>
      <c r="AU365" s="34">
        <f>IF(P365="","",IF(ISNUMBER(P365),P365,IFERROR(VALUE(SUBSTITUTE(SUBSTITUTE(SUBSTITUTE(ASC(P365&amp;""),"約",""),"件","")," ","")),"")))</f>
        <v/>
      </c>
      <c r="AV365" s="34">
        <f>IF(AB365&lt;&gt;"OK","",IF(COUNTIFS($G$5:$G$404,G365&amp;"",$F$5:$F$404,F365&amp;"",$BE$5:$BE$404,BE365&amp;"",$AB$5:$AB$404,"OK")&gt;1,"同名あり",""))</f>
        <v/>
      </c>
      <c r="AW365" s="35">
        <f>IF(Q365="","",IF(ISNUMBER(Q365),Q365,IFERROR(DATEVALUE(SUBSTITUTE(SUBSTITUTE(ASC(Q365&amp;""),"-","/"),".","/")&amp;"/01"),"")))</f>
        <v/>
      </c>
      <c r="AX365" s="35">
        <f>IF(R365="","",IF(ISNUMBER(R365),R365,IFERROR(DATEVALUE(SUBSTITUTE(SUBSTITUTE(ASC(R365&amp;""),"-","/"),".","/")&amp;"/01"),"")))</f>
        <v/>
      </c>
      <c r="AY365" s="34">
        <f>IF(OR(AB365&lt;&gt;"OK",AW365=""),"",IF(AW365&gt;='01_設定'!$C$26,1,0))</f>
        <v/>
      </c>
      <c r="AZ365" s="34">
        <f>IF(AND(AB365="OK",AD365&lt;&gt;"除外"),COUNTIFS($AB$5:AB365,"OK",$AD$5:AD365,"&lt;&gt;除外"),"")</f>
        <v/>
      </c>
      <c r="BA365" s="34">
        <f>IF(OR(AZ365="",AI365=""),"",AI365+ROW()/1000000000)</f>
        <v/>
      </c>
      <c r="BB365" s="34">
        <f>IF(E365="","",IF(OR(TRIM(E365&amp;"")="-",TRIM(E365&amp;"")="－",TRIM(E365&amp;"")="ー"),"",TRIM(E365&amp;"")))</f>
        <v/>
      </c>
      <c r="BC365" s="34">
        <f>IF(AND(AB365="OK",BB365&lt;&gt;""),IF(COUNTIFS($BB$5:BB365,BB365,$AB$5:AB365,"OK")=1,1,""),"")</f>
        <v/>
      </c>
      <c r="BD365" s="34">
        <f>IF(BC365=1,COUNTIF($BC$5:BC365,1),"")</f>
        <v/>
      </c>
      <c r="BE365" s="34">
        <f>IF(BB365="","",IFERROR(INDEX('06_顧客別集計'!$G$5:$G$104,MATCH(BB365,'06_顧客別集計'!$C$5:$C$104,0)),BB365))</f>
        <v/>
      </c>
      <c r="BF365" s="34">
        <f>IF(AND(AZ365&lt;&gt;"",BE365&lt;&gt;""),IF(COUNTIFS($BE$5:BE365,BE365,$AZ$5:AZ365,"&gt;0")=1,1,""),"")</f>
        <v/>
      </c>
      <c r="BG365" s="34">
        <f>IF(BF365=1,COUNTIF($BF$5:BF365,1),"")</f>
        <v/>
      </c>
    </row>
    <row r="366">
      <c r="AB366">
        <f>IF(AND(A366="",G366=""),"",IF(ISNUMBER(SEARCH("##END",AM366)),"（終わりの印）",IF(ISNUMBER(SEARCH("##続き",AM366)),"（続きありの印）",IF(AM366="調査ID","（見出し行）",IF(AND(AM366&lt;&gt;"R1",AM366&lt;&gt;"R2"),"×表以外の行（集計されない）",IF(COUNTIF($AN$5:AN366,AN366)&gt;1,"△重複（集計されない）",IF(G366="","△タスク名なし",IF(ISNA(MATCH(AQ366,'M1_類型マスタ'!$A$5:$A$19,0)),"△類型が不正",IF(OR(AP366="",N(AP366)&lt;1,N(AP366)&gt;6),"△業務区分が不正",IF(OR(AS366="",AT366=""),"△回数・分が読めない",IF(SUMPRODUCT(--ISNUMBER(--T366:Z366))&lt;7,"△採点が足りない",IF(SUMPRODUCT((--T366:Z366&gt;2)+(--T366:Z366&lt;0))&gt;0,"△採点が範囲外","OK"))))))))))))</f>
        <v/>
      </c>
      <c r="AC366">
        <f>IF(AB366&lt;&gt;"OK","",TRIM(IF(AND(AU366&lt;&gt;"",N(AU366)&lt;=1),"根拠1件 ","")&amp;IF(AV366&lt;&gt;"","同名あり ","")&amp;IF(AND(NOT(ISNUMBER(N366)),N366&lt;&gt;""),"回数を換算 ","")&amp;IF(J366="","詳細なし ","")&amp;IF(AND(N(AP366)=1,BB366=""),"顧客名なし ","")))</f>
        <v/>
      </c>
      <c r="AD366" s="31" t="n"/>
      <c r="AE366" s="32" t="n"/>
      <c r="AF366" s="32" t="n"/>
      <c r="AG366" s="31" t="n"/>
      <c r="AH366">
        <f>IF(AB366&lt;&gt;"OK","",IF(AG366&lt;&gt;"",AG366,AJ366))</f>
        <v/>
      </c>
      <c r="AI366" s="33">
        <f>IF(AB366&lt;&gt;"OK","",IFERROR(IF(AE366&lt;&gt;"",AE366,AS366)*IF(AF366&lt;&gt;"",AF366,AT366)/60,""))</f>
        <v/>
      </c>
      <c r="AJ366">
        <f>IF(AB366&lt;&gt;"OK","",IF(OR(VALUE(T366)=2,VALUE(U366)=2,VALUE(V366)=2),"社内残置",IF(AND(VALUE(T366)=0,VALUE(W366)=0,VALUE(Y366)=0),"自動化候補",IF(AND(VALUE(U366)=0,VALUE(W366)&lt;=1,VALUE(X366)&lt;=1,VALUE(Y366)&lt;=1,VALUE(Z366)&lt;=1),"オフショア候補",IF(AND(VALUE(Y366)&lt;=1,VALUE(Z366)&lt;=1),"ニアショア候補","社内で手順化→再評価")))))</f>
        <v/>
      </c>
      <c r="AK366">
        <f>IF(AB366&lt;&gt;"OK","",14-SUMPRODUCT(--T366:Z366))</f>
        <v/>
      </c>
      <c r="AL366" s="33">
        <f>IF(AB366&lt;&gt;"OK","",AS366*AT366/60)</f>
        <v/>
      </c>
      <c r="AM366" s="34">
        <f>IF(A366="","",UPPER(TRIM(ASC(A366&amp;""))))</f>
        <v/>
      </c>
      <c r="AN366" s="34">
        <f>IF(AM366="","",AM366&amp;"-"&amp;B366)</f>
        <v/>
      </c>
      <c r="AO366" s="34">
        <f>IF(C366="","",IFERROR(VALUE(ASC(SUBSTITUTE(C366&amp;"","観点",""))),""))</f>
        <v/>
      </c>
      <c r="AP366" s="34">
        <f>IF(D366="","",IFERROR(VALUE(LEFT(TRIM(ASC(D366&amp;"")),1)),IFERROR(MATCH(TRIM(D366&amp;""),'M2_区分マスタ'!$I$5:$I$10,0),"")))</f>
        <v/>
      </c>
      <c r="AQ366" s="34">
        <f>IF(H366="","",UPPER(LEFT(TRIM(ASC(H366&amp;"")),3)))</f>
        <v/>
      </c>
      <c r="AR366" s="34">
        <f>IF(N366="","",IFERROR(VALUE(SUBSTITUTE(SUBSTITUTE(SUBSTITUTE(SUBSTITUTE(SUBSTITUTE(SUBSTITUTE(SUBSTITUTE(SUBSTITUTE(SUBSTITUTE(SUBSTITUTE(SUBSTITUTE(SUBSTITUTE(ASC(N366&amp;""),"約",""),"程度",""),"ほど",""),"回",""),"毎",""),"週",""),"月",""),"年",""),"日",""),"に",""),"/","")," ","")),""))</f>
        <v/>
      </c>
      <c r="AS366" s="34">
        <f>IF(N366="","",IF(ISNUMBER(N366),N366,IFERROR(VALUE(ASC(N366&amp;"")),IF(AR366&lt;&gt;"",AR366*IF(ISNUMBER(SEARCH("週",N366)),4.3,IF(ISNUMBER(SEARCH("年",N366)),1/12,IF(ISNUMBER(SEARCH("日",N366)),20,1))),IF(ISNUMBER(SEARCH("日",N366)),20,IF(ISNUMBER(SEARCH("週",N366)),4.3,IF(ISNUMBER(SEARCH("月",N366)),1,"")))))))</f>
        <v/>
      </c>
      <c r="AT366" s="34">
        <f>IF(O366="","",IF(ISNUMBER(O366),O366,IFERROR(VALUE(ASC(O366&amp;"")),IF(ISNUMBER(SEARCH("時間",O366)),IFERROR(VALUE(SUBSTITUTE(SUBSTITUTE(SUBSTITUTE(SUBSTITUTE(SUBSTITUTE(ASC(O366&amp;""),"約",""),"程度",""),"ほど",""),"時間","")," ",""))*60,""),IFERROR(VALUE(SUBSTITUTE(SUBSTITUTE(SUBSTITUTE(SUBSTITUTE(SUBSTITUTE(ASC(O366&amp;""),"約",""),"程度",""),"ほど",""),"分","")," ","")),"")))))</f>
        <v/>
      </c>
      <c r="AU366" s="34">
        <f>IF(P366="","",IF(ISNUMBER(P366),P366,IFERROR(VALUE(SUBSTITUTE(SUBSTITUTE(SUBSTITUTE(ASC(P366&amp;""),"約",""),"件","")," ","")),"")))</f>
        <v/>
      </c>
      <c r="AV366" s="34">
        <f>IF(AB366&lt;&gt;"OK","",IF(COUNTIFS($G$5:$G$404,G366&amp;"",$F$5:$F$404,F366&amp;"",$BE$5:$BE$404,BE366&amp;"",$AB$5:$AB$404,"OK")&gt;1,"同名あり",""))</f>
        <v/>
      </c>
      <c r="AW366" s="35">
        <f>IF(Q366="","",IF(ISNUMBER(Q366),Q366,IFERROR(DATEVALUE(SUBSTITUTE(SUBSTITUTE(ASC(Q366&amp;""),"-","/"),".","/")&amp;"/01"),"")))</f>
        <v/>
      </c>
      <c r="AX366" s="35">
        <f>IF(R366="","",IF(ISNUMBER(R366),R366,IFERROR(DATEVALUE(SUBSTITUTE(SUBSTITUTE(ASC(R366&amp;""),"-","/"),".","/")&amp;"/01"),"")))</f>
        <v/>
      </c>
      <c r="AY366" s="34">
        <f>IF(OR(AB366&lt;&gt;"OK",AW366=""),"",IF(AW366&gt;='01_設定'!$C$26,1,0))</f>
        <v/>
      </c>
      <c r="AZ366" s="34">
        <f>IF(AND(AB366="OK",AD366&lt;&gt;"除外"),COUNTIFS($AB$5:AB366,"OK",$AD$5:AD366,"&lt;&gt;除外"),"")</f>
        <v/>
      </c>
      <c r="BA366" s="34">
        <f>IF(OR(AZ366="",AI366=""),"",AI366+ROW()/1000000000)</f>
        <v/>
      </c>
      <c r="BB366" s="34">
        <f>IF(E366="","",IF(OR(TRIM(E366&amp;"")="-",TRIM(E366&amp;"")="－",TRIM(E366&amp;"")="ー"),"",TRIM(E366&amp;"")))</f>
        <v/>
      </c>
      <c r="BC366" s="34">
        <f>IF(AND(AB366="OK",BB366&lt;&gt;""),IF(COUNTIFS($BB$5:BB366,BB366,$AB$5:AB366,"OK")=1,1,""),"")</f>
        <v/>
      </c>
      <c r="BD366" s="34">
        <f>IF(BC366=1,COUNTIF($BC$5:BC366,1),"")</f>
        <v/>
      </c>
      <c r="BE366" s="34">
        <f>IF(BB366="","",IFERROR(INDEX('06_顧客別集計'!$G$5:$G$104,MATCH(BB366,'06_顧客別集計'!$C$5:$C$104,0)),BB366))</f>
        <v/>
      </c>
      <c r="BF366" s="34">
        <f>IF(AND(AZ366&lt;&gt;"",BE366&lt;&gt;""),IF(COUNTIFS($BE$5:BE366,BE366,$AZ$5:AZ366,"&gt;0")=1,1,""),"")</f>
        <v/>
      </c>
      <c r="BG366" s="34">
        <f>IF(BF366=1,COUNTIF($BF$5:BF366,1),"")</f>
        <v/>
      </c>
    </row>
    <row r="367">
      <c r="AB367">
        <f>IF(AND(A367="",G367=""),"",IF(ISNUMBER(SEARCH("##END",AM367)),"（終わりの印）",IF(ISNUMBER(SEARCH("##続き",AM367)),"（続きありの印）",IF(AM367="調査ID","（見出し行）",IF(AND(AM367&lt;&gt;"R1",AM367&lt;&gt;"R2"),"×表以外の行（集計されない）",IF(COUNTIF($AN$5:AN367,AN367)&gt;1,"△重複（集計されない）",IF(G367="","△タスク名なし",IF(ISNA(MATCH(AQ367,'M1_類型マスタ'!$A$5:$A$19,0)),"△類型が不正",IF(OR(AP367="",N(AP367)&lt;1,N(AP367)&gt;6),"△業務区分が不正",IF(OR(AS367="",AT367=""),"△回数・分が読めない",IF(SUMPRODUCT(--ISNUMBER(--T367:Z367))&lt;7,"△採点が足りない",IF(SUMPRODUCT((--T367:Z367&gt;2)+(--T367:Z367&lt;0))&gt;0,"△採点が範囲外","OK"))))))))))))</f>
        <v/>
      </c>
      <c r="AC367">
        <f>IF(AB367&lt;&gt;"OK","",TRIM(IF(AND(AU367&lt;&gt;"",N(AU367)&lt;=1),"根拠1件 ","")&amp;IF(AV367&lt;&gt;"","同名あり ","")&amp;IF(AND(NOT(ISNUMBER(N367)),N367&lt;&gt;""),"回数を換算 ","")&amp;IF(J367="","詳細なし ","")&amp;IF(AND(N(AP367)=1,BB367=""),"顧客名なし ","")))</f>
        <v/>
      </c>
      <c r="AD367" s="31" t="n"/>
      <c r="AE367" s="32" t="n"/>
      <c r="AF367" s="32" t="n"/>
      <c r="AG367" s="31" t="n"/>
      <c r="AH367">
        <f>IF(AB367&lt;&gt;"OK","",IF(AG367&lt;&gt;"",AG367,AJ367))</f>
        <v/>
      </c>
      <c r="AI367" s="33">
        <f>IF(AB367&lt;&gt;"OK","",IFERROR(IF(AE367&lt;&gt;"",AE367,AS367)*IF(AF367&lt;&gt;"",AF367,AT367)/60,""))</f>
        <v/>
      </c>
      <c r="AJ367">
        <f>IF(AB367&lt;&gt;"OK","",IF(OR(VALUE(T367)=2,VALUE(U367)=2,VALUE(V367)=2),"社内残置",IF(AND(VALUE(T367)=0,VALUE(W367)=0,VALUE(Y367)=0),"自動化候補",IF(AND(VALUE(U367)=0,VALUE(W367)&lt;=1,VALUE(X367)&lt;=1,VALUE(Y367)&lt;=1,VALUE(Z367)&lt;=1),"オフショア候補",IF(AND(VALUE(Y367)&lt;=1,VALUE(Z367)&lt;=1),"ニアショア候補","社内で手順化→再評価")))))</f>
        <v/>
      </c>
      <c r="AK367">
        <f>IF(AB367&lt;&gt;"OK","",14-SUMPRODUCT(--T367:Z367))</f>
        <v/>
      </c>
      <c r="AL367" s="33">
        <f>IF(AB367&lt;&gt;"OK","",AS367*AT367/60)</f>
        <v/>
      </c>
      <c r="AM367" s="34">
        <f>IF(A367="","",UPPER(TRIM(ASC(A367&amp;""))))</f>
        <v/>
      </c>
      <c r="AN367" s="34">
        <f>IF(AM367="","",AM367&amp;"-"&amp;B367)</f>
        <v/>
      </c>
      <c r="AO367" s="34">
        <f>IF(C367="","",IFERROR(VALUE(ASC(SUBSTITUTE(C367&amp;"","観点",""))),""))</f>
        <v/>
      </c>
      <c r="AP367" s="34">
        <f>IF(D367="","",IFERROR(VALUE(LEFT(TRIM(ASC(D367&amp;"")),1)),IFERROR(MATCH(TRIM(D367&amp;""),'M2_区分マスタ'!$I$5:$I$10,0),"")))</f>
        <v/>
      </c>
      <c r="AQ367" s="34">
        <f>IF(H367="","",UPPER(LEFT(TRIM(ASC(H367&amp;"")),3)))</f>
        <v/>
      </c>
      <c r="AR367" s="34">
        <f>IF(N367="","",IFERROR(VALUE(SUBSTITUTE(SUBSTITUTE(SUBSTITUTE(SUBSTITUTE(SUBSTITUTE(SUBSTITUTE(SUBSTITUTE(SUBSTITUTE(SUBSTITUTE(SUBSTITUTE(SUBSTITUTE(SUBSTITUTE(ASC(N367&amp;""),"約",""),"程度",""),"ほど",""),"回",""),"毎",""),"週",""),"月",""),"年",""),"日",""),"に",""),"/","")," ","")),""))</f>
        <v/>
      </c>
      <c r="AS367" s="34">
        <f>IF(N367="","",IF(ISNUMBER(N367),N367,IFERROR(VALUE(ASC(N367&amp;"")),IF(AR367&lt;&gt;"",AR367*IF(ISNUMBER(SEARCH("週",N367)),4.3,IF(ISNUMBER(SEARCH("年",N367)),1/12,IF(ISNUMBER(SEARCH("日",N367)),20,1))),IF(ISNUMBER(SEARCH("日",N367)),20,IF(ISNUMBER(SEARCH("週",N367)),4.3,IF(ISNUMBER(SEARCH("月",N367)),1,"")))))))</f>
        <v/>
      </c>
      <c r="AT367" s="34">
        <f>IF(O367="","",IF(ISNUMBER(O367),O367,IFERROR(VALUE(ASC(O367&amp;"")),IF(ISNUMBER(SEARCH("時間",O367)),IFERROR(VALUE(SUBSTITUTE(SUBSTITUTE(SUBSTITUTE(SUBSTITUTE(SUBSTITUTE(ASC(O367&amp;""),"約",""),"程度",""),"ほど",""),"時間","")," ",""))*60,""),IFERROR(VALUE(SUBSTITUTE(SUBSTITUTE(SUBSTITUTE(SUBSTITUTE(SUBSTITUTE(ASC(O367&amp;""),"約",""),"程度",""),"ほど",""),"分","")," ","")),"")))))</f>
        <v/>
      </c>
      <c r="AU367" s="34">
        <f>IF(P367="","",IF(ISNUMBER(P367),P367,IFERROR(VALUE(SUBSTITUTE(SUBSTITUTE(SUBSTITUTE(ASC(P367&amp;""),"約",""),"件","")," ","")),"")))</f>
        <v/>
      </c>
      <c r="AV367" s="34">
        <f>IF(AB367&lt;&gt;"OK","",IF(COUNTIFS($G$5:$G$404,G367&amp;"",$F$5:$F$404,F367&amp;"",$BE$5:$BE$404,BE367&amp;"",$AB$5:$AB$404,"OK")&gt;1,"同名あり",""))</f>
        <v/>
      </c>
      <c r="AW367" s="35">
        <f>IF(Q367="","",IF(ISNUMBER(Q367),Q367,IFERROR(DATEVALUE(SUBSTITUTE(SUBSTITUTE(ASC(Q367&amp;""),"-","/"),".","/")&amp;"/01"),"")))</f>
        <v/>
      </c>
      <c r="AX367" s="35">
        <f>IF(R367="","",IF(ISNUMBER(R367),R367,IFERROR(DATEVALUE(SUBSTITUTE(SUBSTITUTE(ASC(R367&amp;""),"-","/"),".","/")&amp;"/01"),"")))</f>
        <v/>
      </c>
      <c r="AY367" s="34">
        <f>IF(OR(AB367&lt;&gt;"OK",AW367=""),"",IF(AW367&gt;='01_設定'!$C$26,1,0))</f>
        <v/>
      </c>
      <c r="AZ367" s="34">
        <f>IF(AND(AB367="OK",AD367&lt;&gt;"除外"),COUNTIFS($AB$5:AB367,"OK",$AD$5:AD367,"&lt;&gt;除外"),"")</f>
        <v/>
      </c>
      <c r="BA367" s="34">
        <f>IF(OR(AZ367="",AI367=""),"",AI367+ROW()/1000000000)</f>
        <v/>
      </c>
      <c r="BB367" s="34">
        <f>IF(E367="","",IF(OR(TRIM(E367&amp;"")="-",TRIM(E367&amp;"")="－",TRIM(E367&amp;"")="ー"),"",TRIM(E367&amp;"")))</f>
        <v/>
      </c>
      <c r="BC367" s="34">
        <f>IF(AND(AB367="OK",BB367&lt;&gt;""),IF(COUNTIFS($BB$5:BB367,BB367,$AB$5:AB367,"OK")=1,1,""),"")</f>
        <v/>
      </c>
      <c r="BD367" s="34">
        <f>IF(BC367=1,COUNTIF($BC$5:BC367,1),"")</f>
        <v/>
      </c>
      <c r="BE367" s="34">
        <f>IF(BB367="","",IFERROR(INDEX('06_顧客別集計'!$G$5:$G$104,MATCH(BB367,'06_顧客別集計'!$C$5:$C$104,0)),BB367))</f>
        <v/>
      </c>
      <c r="BF367" s="34">
        <f>IF(AND(AZ367&lt;&gt;"",BE367&lt;&gt;""),IF(COUNTIFS($BE$5:BE367,BE367,$AZ$5:AZ367,"&gt;0")=1,1,""),"")</f>
        <v/>
      </c>
      <c r="BG367" s="34">
        <f>IF(BF367=1,COUNTIF($BF$5:BF367,1),"")</f>
        <v/>
      </c>
    </row>
    <row r="368">
      <c r="AB368">
        <f>IF(AND(A368="",G368=""),"",IF(ISNUMBER(SEARCH("##END",AM368)),"（終わりの印）",IF(ISNUMBER(SEARCH("##続き",AM368)),"（続きありの印）",IF(AM368="調査ID","（見出し行）",IF(AND(AM368&lt;&gt;"R1",AM368&lt;&gt;"R2"),"×表以外の行（集計されない）",IF(COUNTIF($AN$5:AN368,AN368)&gt;1,"△重複（集計されない）",IF(G368="","△タスク名なし",IF(ISNA(MATCH(AQ368,'M1_類型マスタ'!$A$5:$A$19,0)),"△類型が不正",IF(OR(AP368="",N(AP368)&lt;1,N(AP368)&gt;6),"△業務区分が不正",IF(OR(AS368="",AT368=""),"△回数・分が読めない",IF(SUMPRODUCT(--ISNUMBER(--T368:Z368))&lt;7,"△採点が足りない",IF(SUMPRODUCT((--T368:Z368&gt;2)+(--T368:Z368&lt;0))&gt;0,"△採点が範囲外","OK"))))))))))))</f>
        <v/>
      </c>
      <c r="AC368">
        <f>IF(AB368&lt;&gt;"OK","",TRIM(IF(AND(AU368&lt;&gt;"",N(AU368)&lt;=1),"根拠1件 ","")&amp;IF(AV368&lt;&gt;"","同名あり ","")&amp;IF(AND(NOT(ISNUMBER(N368)),N368&lt;&gt;""),"回数を換算 ","")&amp;IF(J368="","詳細なし ","")&amp;IF(AND(N(AP368)=1,BB368=""),"顧客名なし ","")))</f>
        <v/>
      </c>
      <c r="AD368" s="31" t="n"/>
      <c r="AE368" s="32" t="n"/>
      <c r="AF368" s="32" t="n"/>
      <c r="AG368" s="31" t="n"/>
      <c r="AH368">
        <f>IF(AB368&lt;&gt;"OK","",IF(AG368&lt;&gt;"",AG368,AJ368))</f>
        <v/>
      </c>
      <c r="AI368" s="33">
        <f>IF(AB368&lt;&gt;"OK","",IFERROR(IF(AE368&lt;&gt;"",AE368,AS368)*IF(AF368&lt;&gt;"",AF368,AT368)/60,""))</f>
        <v/>
      </c>
      <c r="AJ368">
        <f>IF(AB368&lt;&gt;"OK","",IF(OR(VALUE(T368)=2,VALUE(U368)=2,VALUE(V368)=2),"社内残置",IF(AND(VALUE(T368)=0,VALUE(W368)=0,VALUE(Y368)=0),"自動化候補",IF(AND(VALUE(U368)=0,VALUE(W368)&lt;=1,VALUE(X368)&lt;=1,VALUE(Y368)&lt;=1,VALUE(Z368)&lt;=1),"オフショア候補",IF(AND(VALUE(Y368)&lt;=1,VALUE(Z368)&lt;=1),"ニアショア候補","社内で手順化→再評価")))))</f>
        <v/>
      </c>
      <c r="AK368">
        <f>IF(AB368&lt;&gt;"OK","",14-SUMPRODUCT(--T368:Z368))</f>
        <v/>
      </c>
      <c r="AL368" s="33">
        <f>IF(AB368&lt;&gt;"OK","",AS368*AT368/60)</f>
        <v/>
      </c>
      <c r="AM368" s="34">
        <f>IF(A368="","",UPPER(TRIM(ASC(A368&amp;""))))</f>
        <v/>
      </c>
      <c r="AN368" s="34">
        <f>IF(AM368="","",AM368&amp;"-"&amp;B368)</f>
        <v/>
      </c>
      <c r="AO368" s="34">
        <f>IF(C368="","",IFERROR(VALUE(ASC(SUBSTITUTE(C368&amp;"","観点",""))),""))</f>
        <v/>
      </c>
      <c r="AP368" s="34">
        <f>IF(D368="","",IFERROR(VALUE(LEFT(TRIM(ASC(D368&amp;"")),1)),IFERROR(MATCH(TRIM(D368&amp;""),'M2_区分マスタ'!$I$5:$I$10,0),"")))</f>
        <v/>
      </c>
      <c r="AQ368" s="34">
        <f>IF(H368="","",UPPER(LEFT(TRIM(ASC(H368&amp;"")),3)))</f>
        <v/>
      </c>
      <c r="AR368" s="34">
        <f>IF(N368="","",IFERROR(VALUE(SUBSTITUTE(SUBSTITUTE(SUBSTITUTE(SUBSTITUTE(SUBSTITUTE(SUBSTITUTE(SUBSTITUTE(SUBSTITUTE(SUBSTITUTE(SUBSTITUTE(SUBSTITUTE(SUBSTITUTE(ASC(N368&amp;""),"約",""),"程度",""),"ほど",""),"回",""),"毎",""),"週",""),"月",""),"年",""),"日",""),"に",""),"/","")," ","")),""))</f>
        <v/>
      </c>
      <c r="AS368" s="34">
        <f>IF(N368="","",IF(ISNUMBER(N368),N368,IFERROR(VALUE(ASC(N368&amp;"")),IF(AR368&lt;&gt;"",AR368*IF(ISNUMBER(SEARCH("週",N368)),4.3,IF(ISNUMBER(SEARCH("年",N368)),1/12,IF(ISNUMBER(SEARCH("日",N368)),20,1))),IF(ISNUMBER(SEARCH("日",N368)),20,IF(ISNUMBER(SEARCH("週",N368)),4.3,IF(ISNUMBER(SEARCH("月",N368)),1,"")))))))</f>
        <v/>
      </c>
      <c r="AT368" s="34">
        <f>IF(O368="","",IF(ISNUMBER(O368),O368,IFERROR(VALUE(ASC(O368&amp;"")),IF(ISNUMBER(SEARCH("時間",O368)),IFERROR(VALUE(SUBSTITUTE(SUBSTITUTE(SUBSTITUTE(SUBSTITUTE(SUBSTITUTE(ASC(O368&amp;""),"約",""),"程度",""),"ほど",""),"時間","")," ",""))*60,""),IFERROR(VALUE(SUBSTITUTE(SUBSTITUTE(SUBSTITUTE(SUBSTITUTE(SUBSTITUTE(ASC(O368&amp;""),"約",""),"程度",""),"ほど",""),"分","")," ","")),"")))))</f>
        <v/>
      </c>
      <c r="AU368" s="34">
        <f>IF(P368="","",IF(ISNUMBER(P368),P368,IFERROR(VALUE(SUBSTITUTE(SUBSTITUTE(SUBSTITUTE(ASC(P368&amp;""),"約",""),"件","")," ","")),"")))</f>
        <v/>
      </c>
      <c r="AV368" s="34">
        <f>IF(AB368&lt;&gt;"OK","",IF(COUNTIFS($G$5:$G$404,G368&amp;"",$F$5:$F$404,F368&amp;"",$BE$5:$BE$404,BE368&amp;"",$AB$5:$AB$404,"OK")&gt;1,"同名あり",""))</f>
        <v/>
      </c>
      <c r="AW368" s="35">
        <f>IF(Q368="","",IF(ISNUMBER(Q368),Q368,IFERROR(DATEVALUE(SUBSTITUTE(SUBSTITUTE(ASC(Q368&amp;""),"-","/"),".","/")&amp;"/01"),"")))</f>
        <v/>
      </c>
      <c r="AX368" s="35">
        <f>IF(R368="","",IF(ISNUMBER(R368),R368,IFERROR(DATEVALUE(SUBSTITUTE(SUBSTITUTE(ASC(R368&amp;""),"-","/"),".","/")&amp;"/01"),"")))</f>
        <v/>
      </c>
      <c r="AY368" s="34">
        <f>IF(OR(AB368&lt;&gt;"OK",AW368=""),"",IF(AW368&gt;='01_設定'!$C$26,1,0))</f>
        <v/>
      </c>
      <c r="AZ368" s="34">
        <f>IF(AND(AB368="OK",AD368&lt;&gt;"除外"),COUNTIFS($AB$5:AB368,"OK",$AD$5:AD368,"&lt;&gt;除外"),"")</f>
        <v/>
      </c>
      <c r="BA368" s="34">
        <f>IF(OR(AZ368="",AI368=""),"",AI368+ROW()/1000000000)</f>
        <v/>
      </c>
      <c r="BB368" s="34">
        <f>IF(E368="","",IF(OR(TRIM(E368&amp;"")="-",TRIM(E368&amp;"")="－",TRIM(E368&amp;"")="ー"),"",TRIM(E368&amp;"")))</f>
        <v/>
      </c>
      <c r="BC368" s="34">
        <f>IF(AND(AB368="OK",BB368&lt;&gt;""),IF(COUNTIFS($BB$5:BB368,BB368,$AB$5:AB368,"OK")=1,1,""),"")</f>
        <v/>
      </c>
      <c r="BD368" s="34">
        <f>IF(BC368=1,COUNTIF($BC$5:BC368,1),"")</f>
        <v/>
      </c>
      <c r="BE368" s="34">
        <f>IF(BB368="","",IFERROR(INDEX('06_顧客別集計'!$G$5:$G$104,MATCH(BB368,'06_顧客別集計'!$C$5:$C$104,0)),BB368))</f>
        <v/>
      </c>
      <c r="BF368" s="34">
        <f>IF(AND(AZ368&lt;&gt;"",BE368&lt;&gt;""),IF(COUNTIFS($BE$5:BE368,BE368,$AZ$5:AZ368,"&gt;0")=1,1,""),"")</f>
        <v/>
      </c>
      <c r="BG368" s="34">
        <f>IF(BF368=1,COUNTIF($BF$5:BF368,1),"")</f>
        <v/>
      </c>
    </row>
    <row r="369">
      <c r="AB369">
        <f>IF(AND(A369="",G369=""),"",IF(ISNUMBER(SEARCH("##END",AM369)),"（終わりの印）",IF(ISNUMBER(SEARCH("##続き",AM369)),"（続きありの印）",IF(AM369="調査ID","（見出し行）",IF(AND(AM369&lt;&gt;"R1",AM369&lt;&gt;"R2"),"×表以外の行（集計されない）",IF(COUNTIF($AN$5:AN369,AN369)&gt;1,"△重複（集計されない）",IF(G369="","△タスク名なし",IF(ISNA(MATCH(AQ369,'M1_類型マスタ'!$A$5:$A$19,0)),"△類型が不正",IF(OR(AP369="",N(AP369)&lt;1,N(AP369)&gt;6),"△業務区分が不正",IF(OR(AS369="",AT369=""),"△回数・分が読めない",IF(SUMPRODUCT(--ISNUMBER(--T369:Z369))&lt;7,"△採点が足りない",IF(SUMPRODUCT((--T369:Z369&gt;2)+(--T369:Z369&lt;0))&gt;0,"△採点が範囲外","OK"))))))))))))</f>
        <v/>
      </c>
      <c r="AC369">
        <f>IF(AB369&lt;&gt;"OK","",TRIM(IF(AND(AU369&lt;&gt;"",N(AU369)&lt;=1),"根拠1件 ","")&amp;IF(AV369&lt;&gt;"","同名あり ","")&amp;IF(AND(NOT(ISNUMBER(N369)),N369&lt;&gt;""),"回数を換算 ","")&amp;IF(J369="","詳細なし ","")&amp;IF(AND(N(AP369)=1,BB369=""),"顧客名なし ","")))</f>
        <v/>
      </c>
      <c r="AD369" s="31" t="n"/>
      <c r="AE369" s="32" t="n"/>
      <c r="AF369" s="32" t="n"/>
      <c r="AG369" s="31" t="n"/>
      <c r="AH369">
        <f>IF(AB369&lt;&gt;"OK","",IF(AG369&lt;&gt;"",AG369,AJ369))</f>
        <v/>
      </c>
      <c r="AI369" s="33">
        <f>IF(AB369&lt;&gt;"OK","",IFERROR(IF(AE369&lt;&gt;"",AE369,AS369)*IF(AF369&lt;&gt;"",AF369,AT369)/60,""))</f>
        <v/>
      </c>
      <c r="AJ369">
        <f>IF(AB369&lt;&gt;"OK","",IF(OR(VALUE(T369)=2,VALUE(U369)=2,VALUE(V369)=2),"社内残置",IF(AND(VALUE(T369)=0,VALUE(W369)=0,VALUE(Y369)=0),"自動化候補",IF(AND(VALUE(U369)=0,VALUE(W369)&lt;=1,VALUE(X369)&lt;=1,VALUE(Y369)&lt;=1,VALUE(Z369)&lt;=1),"オフショア候補",IF(AND(VALUE(Y369)&lt;=1,VALUE(Z369)&lt;=1),"ニアショア候補","社内で手順化→再評価")))))</f>
        <v/>
      </c>
      <c r="AK369">
        <f>IF(AB369&lt;&gt;"OK","",14-SUMPRODUCT(--T369:Z369))</f>
        <v/>
      </c>
      <c r="AL369" s="33">
        <f>IF(AB369&lt;&gt;"OK","",AS369*AT369/60)</f>
        <v/>
      </c>
      <c r="AM369" s="34">
        <f>IF(A369="","",UPPER(TRIM(ASC(A369&amp;""))))</f>
        <v/>
      </c>
      <c r="AN369" s="34">
        <f>IF(AM369="","",AM369&amp;"-"&amp;B369)</f>
        <v/>
      </c>
      <c r="AO369" s="34">
        <f>IF(C369="","",IFERROR(VALUE(ASC(SUBSTITUTE(C369&amp;"","観点",""))),""))</f>
        <v/>
      </c>
      <c r="AP369" s="34">
        <f>IF(D369="","",IFERROR(VALUE(LEFT(TRIM(ASC(D369&amp;"")),1)),IFERROR(MATCH(TRIM(D369&amp;""),'M2_区分マスタ'!$I$5:$I$10,0),"")))</f>
        <v/>
      </c>
      <c r="AQ369" s="34">
        <f>IF(H369="","",UPPER(LEFT(TRIM(ASC(H369&amp;"")),3)))</f>
        <v/>
      </c>
      <c r="AR369" s="34">
        <f>IF(N369="","",IFERROR(VALUE(SUBSTITUTE(SUBSTITUTE(SUBSTITUTE(SUBSTITUTE(SUBSTITUTE(SUBSTITUTE(SUBSTITUTE(SUBSTITUTE(SUBSTITUTE(SUBSTITUTE(SUBSTITUTE(SUBSTITUTE(ASC(N369&amp;""),"約",""),"程度",""),"ほど",""),"回",""),"毎",""),"週",""),"月",""),"年",""),"日",""),"に",""),"/","")," ","")),""))</f>
        <v/>
      </c>
      <c r="AS369" s="34">
        <f>IF(N369="","",IF(ISNUMBER(N369),N369,IFERROR(VALUE(ASC(N369&amp;"")),IF(AR369&lt;&gt;"",AR369*IF(ISNUMBER(SEARCH("週",N369)),4.3,IF(ISNUMBER(SEARCH("年",N369)),1/12,IF(ISNUMBER(SEARCH("日",N369)),20,1))),IF(ISNUMBER(SEARCH("日",N369)),20,IF(ISNUMBER(SEARCH("週",N369)),4.3,IF(ISNUMBER(SEARCH("月",N369)),1,"")))))))</f>
        <v/>
      </c>
      <c r="AT369" s="34">
        <f>IF(O369="","",IF(ISNUMBER(O369),O369,IFERROR(VALUE(ASC(O369&amp;"")),IF(ISNUMBER(SEARCH("時間",O369)),IFERROR(VALUE(SUBSTITUTE(SUBSTITUTE(SUBSTITUTE(SUBSTITUTE(SUBSTITUTE(ASC(O369&amp;""),"約",""),"程度",""),"ほど",""),"時間","")," ",""))*60,""),IFERROR(VALUE(SUBSTITUTE(SUBSTITUTE(SUBSTITUTE(SUBSTITUTE(SUBSTITUTE(ASC(O369&amp;""),"約",""),"程度",""),"ほど",""),"分","")," ","")),"")))))</f>
        <v/>
      </c>
      <c r="AU369" s="34">
        <f>IF(P369="","",IF(ISNUMBER(P369),P369,IFERROR(VALUE(SUBSTITUTE(SUBSTITUTE(SUBSTITUTE(ASC(P369&amp;""),"約",""),"件","")," ","")),"")))</f>
        <v/>
      </c>
      <c r="AV369" s="34">
        <f>IF(AB369&lt;&gt;"OK","",IF(COUNTIFS($G$5:$G$404,G369&amp;"",$F$5:$F$404,F369&amp;"",$BE$5:$BE$404,BE369&amp;"",$AB$5:$AB$404,"OK")&gt;1,"同名あり",""))</f>
        <v/>
      </c>
      <c r="AW369" s="35">
        <f>IF(Q369="","",IF(ISNUMBER(Q369),Q369,IFERROR(DATEVALUE(SUBSTITUTE(SUBSTITUTE(ASC(Q369&amp;""),"-","/"),".","/")&amp;"/01"),"")))</f>
        <v/>
      </c>
      <c r="AX369" s="35">
        <f>IF(R369="","",IF(ISNUMBER(R369),R369,IFERROR(DATEVALUE(SUBSTITUTE(SUBSTITUTE(ASC(R369&amp;""),"-","/"),".","/")&amp;"/01"),"")))</f>
        <v/>
      </c>
      <c r="AY369" s="34">
        <f>IF(OR(AB369&lt;&gt;"OK",AW369=""),"",IF(AW369&gt;='01_設定'!$C$26,1,0))</f>
        <v/>
      </c>
      <c r="AZ369" s="34">
        <f>IF(AND(AB369="OK",AD369&lt;&gt;"除外"),COUNTIFS($AB$5:AB369,"OK",$AD$5:AD369,"&lt;&gt;除外"),"")</f>
        <v/>
      </c>
      <c r="BA369" s="34">
        <f>IF(OR(AZ369="",AI369=""),"",AI369+ROW()/1000000000)</f>
        <v/>
      </c>
      <c r="BB369" s="34">
        <f>IF(E369="","",IF(OR(TRIM(E369&amp;"")="-",TRIM(E369&amp;"")="－",TRIM(E369&amp;"")="ー"),"",TRIM(E369&amp;"")))</f>
        <v/>
      </c>
      <c r="BC369" s="34">
        <f>IF(AND(AB369="OK",BB369&lt;&gt;""),IF(COUNTIFS($BB$5:BB369,BB369,$AB$5:AB369,"OK")=1,1,""),"")</f>
        <v/>
      </c>
      <c r="BD369" s="34">
        <f>IF(BC369=1,COUNTIF($BC$5:BC369,1),"")</f>
        <v/>
      </c>
      <c r="BE369" s="34">
        <f>IF(BB369="","",IFERROR(INDEX('06_顧客別集計'!$G$5:$G$104,MATCH(BB369,'06_顧客別集計'!$C$5:$C$104,0)),BB369))</f>
        <v/>
      </c>
      <c r="BF369" s="34">
        <f>IF(AND(AZ369&lt;&gt;"",BE369&lt;&gt;""),IF(COUNTIFS($BE$5:BE369,BE369,$AZ$5:AZ369,"&gt;0")=1,1,""),"")</f>
        <v/>
      </c>
      <c r="BG369" s="34">
        <f>IF(BF369=1,COUNTIF($BF$5:BF369,1),"")</f>
        <v/>
      </c>
    </row>
    <row r="370">
      <c r="AB370">
        <f>IF(AND(A370="",G370=""),"",IF(ISNUMBER(SEARCH("##END",AM370)),"（終わりの印）",IF(ISNUMBER(SEARCH("##続き",AM370)),"（続きありの印）",IF(AM370="調査ID","（見出し行）",IF(AND(AM370&lt;&gt;"R1",AM370&lt;&gt;"R2"),"×表以外の行（集計されない）",IF(COUNTIF($AN$5:AN370,AN370)&gt;1,"△重複（集計されない）",IF(G370="","△タスク名なし",IF(ISNA(MATCH(AQ370,'M1_類型マスタ'!$A$5:$A$19,0)),"△類型が不正",IF(OR(AP370="",N(AP370)&lt;1,N(AP370)&gt;6),"△業務区分が不正",IF(OR(AS370="",AT370=""),"△回数・分が読めない",IF(SUMPRODUCT(--ISNUMBER(--T370:Z370))&lt;7,"△採点が足りない",IF(SUMPRODUCT((--T370:Z370&gt;2)+(--T370:Z370&lt;0))&gt;0,"△採点が範囲外","OK"))))))))))))</f>
        <v/>
      </c>
      <c r="AC370">
        <f>IF(AB370&lt;&gt;"OK","",TRIM(IF(AND(AU370&lt;&gt;"",N(AU370)&lt;=1),"根拠1件 ","")&amp;IF(AV370&lt;&gt;"","同名あり ","")&amp;IF(AND(NOT(ISNUMBER(N370)),N370&lt;&gt;""),"回数を換算 ","")&amp;IF(J370="","詳細なし ","")&amp;IF(AND(N(AP370)=1,BB370=""),"顧客名なし ","")))</f>
        <v/>
      </c>
      <c r="AD370" s="31" t="n"/>
      <c r="AE370" s="32" t="n"/>
      <c r="AF370" s="32" t="n"/>
      <c r="AG370" s="31" t="n"/>
      <c r="AH370">
        <f>IF(AB370&lt;&gt;"OK","",IF(AG370&lt;&gt;"",AG370,AJ370))</f>
        <v/>
      </c>
      <c r="AI370" s="33">
        <f>IF(AB370&lt;&gt;"OK","",IFERROR(IF(AE370&lt;&gt;"",AE370,AS370)*IF(AF370&lt;&gt;"",AF370,AT370)/60,""))</f>
        <v/>
      </c>
      <c r="AJ370">
        <f>IF(AB370&lt;&gt;"OK","",IF(OR(VALUE(T370)=2,VALUE(U370)=2,VALUE(V370)=2),"社内残置",IF(AND(VALUE(T370)=0,VALUE(W370)=0,VALUE(Y370)=0),"自動化候補",IF(AND(VALUE(U370)=0,VALUE(W370)&lt;=1,VALUE(X370)&lt;=1,VALUE(Y370)&lt;=1,VALUE(Z370)&lt;=1),"オフショア候補",IF(AND(VALUE(Y370)&lt;=1,VALUE(Z370)&lt;=1),"ニアショア候補","社内で手順化→再評価")))))</f>
        <v/>
      </c>
      <c r="AK370">
        <f>IF(AB370&lt;&gt;"OK","",14-SUMPRODUCT(--T370:Z370))</f>
        <v/>
      </c>
      <c r="AL370" s="33">
        <f>IF(AB370&lt;&gt;"OK","",AS370*AT370/60)</f>
        <v/>
      </c>
      <c r="AM370" s="34">
        <f>IF(A370="","",UPPER(TRIM(ASC(A370&amp;""))))</f>
        <v/>
      </c>
      <c r="AN370" s="34">
        <f>IF(AM370="","",AM370&amp;"-"&amp;B370)</f>
        <v/>
      </c>
      <c r="AO370" s="34">
        <f>IF(C370="","",IFERROR(VALUE(ASC(SUBSTITUTE(C370&amp;"","観点",""))),""))</f>
        <v/>
      </c>
      <c r="AP370" s="34">
        <f>IF(D370="","",IFERROR(VALUE(LEFT(TRIM(ASC(D370&amp;"")),1)),IFERROR(MATCH(TRIM(D370&amp;""),'M2_区分マスタ'!$I$5:$I$10,0),"")))</f>
        <v/>
      </c>
      <c r="AQ370" s="34">
        <f>IF(H370="","",UPPER(LEFT(TRIM(ASC(H370&amp;"")),3)))</f>
        <v/>
      </c>
      <c r="AR370" s="34">
        <f>IF(N370="","",IFERROR(VALUE(SUBSTITUTE(SUBSTITUTE(SUBSTITUTE(SUBSTITUTE(SUBSTITUTE(SUBSTITUTE(SUBSTITUTE(SUBSTITUTE(SUBSTITUTE(SUBSTITUTE(SUBSTITUTE(SUBSTITUTE(ASC(N370&amp;""),"約",""),"程度",""),"ほど",""),"回",""),"毎",""),"週",""),"月",""),"年",""),"日",""),"に",""),"/","")," ","")),""))</f>
        <v/>
      </c>
      <c r="AS370" s="34">
        <f>IF(N370="","",IF(ISNUMBER(N370),N370,IFERROR(VALUE(ASC(N370&amp;"")),IF(AR370&lt;&gt;"",AR370*IF(ISNUMBER(SEARCH("週",N370)),4.3,IF(ISNUMBER(SEARCH("年",N370)),1/12,IF(ISNUMBER(SEARCH("日",N370)),20,1))),IF(ISNUMBER(SEARCH("日",N370)),20,IF(ISNUMBER(SEARCH("週",N370)),4.3,IF(ISNUMBER(SEARCH("月",N370)),1,"")))))))</f>
        <v/>
      </c>
      <c r="AT370" s="34">
        <f>IF(O370="","",IF(ISNUMBER(O370),O370,IFERROR(VALUE(ASC(O370&amp;"")),IF(ISNUMBER(SEARCH("時間",O370)),IFERROR(VALUE(SUBSTITUTE(SUBSTITUTE(SUBSTITUTE(SUBSTITUTE(SUBSTITUTE(ASC(O370&amp;""),"約",""),"程度",""),"ほど",""),"時間","")," ",""))*60,""),IFERROR(VALUE(SUBSTITUTE(SUBSTITUTE(SUBSTITUTE(SUBSTITUTE(SUBSTITUTE(ASC(O370&amp;""),"約",""),"程度",""),"ほど",""),"分","")," ","")),"")))))</f>
        <v/>
      </c>
      <c r="AU370" s="34">
        <f>IF(P370="","",IF(ISNUMBER(P370),P370,IFERROR(VALUE(SUBSTITUTE(SUBSTITUTE(SUBSTITUTE(ASC(P370&amp;""),"約",""),"件","")," ","")),"")))</f>
        <v/>
      </c>
      <c r="AV370" s="34">
        <f>IF(AB370&lt;&gt;"OK","",IF(COUNTIFS($G$5:$G$404,G370&amp;"",$F$5:$F$404,F370&amp;"",$BE$5:$BE$404,BE370&amp;"",$AB$5:$AB$404,"OK")&gt;1,"同名あり",""))</f>
        <v/>
      </c>
      <c r="AW370" s="35">
        <f>IF(Q370="","",IF(ISNUMBER(Q370),Q370,IFERROR(DATEVALUE(SUBSTITUTE(SUBSTITUTE(ASC(Q370&amp;""),"-","/"),".","/")&amp;"/01"),"")))</f>
        <v/>
      </c>
      <c r="AX370" s="35">
        <f>IF(R370="","",IF(ISNUMBER(R370),R370,IFERROR(DATEVALUE(SUBSTITUTE(SUBSTITUTE(ASC(R370&amp;""),"-","/"),".","/")&amp;"/01"),"")))</f>
        <v/>
      </c>
      <c r="AY370" s="34">
        <f>IF(OR(AB370&lt;&gt;"OK",AW370=""),"",IF(AW370&gt;='01_設定'!$C$26,1,0))</f>
        <v/>
      </c>
      <c r="AZ370" s="34">
        <f>IF(AND(AB370="OK",AD370&lt;&gt;"除外"),COUNTIFS($AB$5:AB370,"OK",$AD$5:AD370,"&lt;&gt;除外"),"")</f>
        <v/>
      </c>
      <c r="BA370" s="34">
        <f>IF(OR(AZ370="",AI370=""),"",AI370+ROW()/1000000000)</f>
        <v/>
      </c>
      <c r="BB370" s="34">
        <f>IF(E370="","",IF(OR(TRIM(E370&amp;"")="-",TRIM(E370&amp;"")="－",TRIM(E370&amp;"")="ー"),"",TRIM(E370&amp;"")))</f>
        <v/>
      </c>
      <c r="BC370" s="34">
        <f>IF(AND(AB370="OK",BB370&lt;&gt;""),IF(COUNTIFS($BB$5:BB370,BB370,$AB$5:AB370,"OK")=1,1,""),"")</f>
        <v/>
      </c>
      <c r="BD370" s="34">
        <f>IF(BC370=1,COUNTIF($BC$5:BC370,1),"")</f>
        <v/>
      </c>
      <c r="BE370" s="34">
        <f>IF(BB370="","",IFERROR(INDEX('06_顧客別集計'!$G$5:$G$104,MATCH(BB370,'06_顧客別集計'!$C$5:$C$104,0)),BB370))</f>
        <v/>
      </c>
      <c r="BF370" s="34">
        <f>IF(AND(AZ370&lt;&gt;"",BE370&lt;&gt;""),IF(COUNTIFS($BE$5:BE370,BE370,$AZ$5:AZ370,"&gt;0")=1,1,""),"")</f>
        <v/>
      </c>
      <c r="BG370" s="34">
        <f>IF(BF370=1,COUNTIF($BF$5:BF370,1),"")</f>
        <v/>
      </c>
    </row>
    <row r="371">
      <c r="AB371">
        <f>IF(AND(A371="",G371=""),"",IF(ISNUMBER(SEARCH("##END",AM371)),"（終わりの印）",IF(ISNUMBER(SEARCH("##続き",AM371)),"（続きありの印）",IF(AM371="調査ID","（見出し行）",IF(AND(AM371&lt;&gt;"R1",AM371&lt;&gt;"R2"),"×表以外の行（集計されない）",IF(COUNTIF($AN$5:AN371,AN371)&gt;1,"△重複（集計されない）",IF(G371="","△タスク名なし",IF(ISNA(MATCH(AQ371,'M1_類型マスタ'!$A$5:$A$19,0)),"△類型が不正",IF(OR(AP371="",N(AP371)&lt;1,N(AP371)&gt;6),"△業務区分が不正",IF(OR(AS371="",AT371=""),"△回数・分が読めない",IF(SUMPRODUCT(--ISNUMBER(--T371:Z371))&lt;7,"△採点が足りない",IF(SUMPRODUCT((--T371:Z371&gt;2)+(--T371:Z371&lt;0))&gt;0,"△採点が範囲外","OK"))))))))))))</f>
        <v/>
      </c>
      <c r="AC371">
        <f>IF(AB371&lt;&gt;"OK","",TRIM(IF(AND(AU371&lt;&gt;"",N(AU371)&lt;=1),"根拠1件 ","")&amp;IF(AV371&lt;&gt;"","同名あり ","")&amp;IF(AND(NOT(ISNUMBER(N371)),N371&lt;&gt;""),"回数を換算 ","")&amp;IF(J371="","詳細なし ","")&amp;IF(AND(N(AP371)=1,BB371=""),"顧客名なし ","")))</f>
        <v/>
      </c>
      <c r="AD371" s="31" t="n"/>
      <c r="AE371" s="32" t="n"/>
      <c r="AF371" s="32" t="n"/>
      <c r="AG371" s="31" t="n"/>
      <c r="AH371">
        <f>IF(AB371&lt;&gt;"OK","",IF(AG371&lt;&gt;"",AG371,AJ371))</f>
        <v/>
      </c>
      <c r="AI371" s="33">
        <f>IF(AB371&lt;&gt;"OK","",IFERROR(IF(AE371&lt;&gt;"",AE371,AS371)*IF(AF371&lt;&gt;"",AF371,AT371)/60,""))</f>
        <v/>
      </c>
      <c r="AJ371">
        <f>IF(AB371&lt;&gt;"OK","",IF(OR(VALUE(T371)=2,VALUE(U371)=2,VALUE(V371)=2),"社内残置",IF(AND(VALUE(T371)=0,VALUE(W371)=0,VALUE(Y371)=0),"自動化候補",IF(AND(VALUE(U371)=0,VALUE(W371)&lt;=1,VALUE(X371)&lt;=1,VALUE(Y371)&lt;=1,VALUE(Z371)&lt;=1),"オフショア候補",IF(AND(VALUE(Y371)&lt;=1,VALUE(Z371)&lt;=1),"ニアショア候補","社内で手順化→再評価")))))</f>
        <v/>
      </c>
      <c r="AK371">
        <f>IF(AB371&lt;&gt;"OK","",14-SUMPRODUCT(--T371:Z371))</f>
        <v/>
      </c>
      <c r="AL371" s="33">
        <f>IF(AB371&lt;&gt;"OK","",AS371*AT371/60)</f>
        <v/>
      </c>
      <c r="AM371" s="34">
        <f>IF(A371="","",UPPER(TRIM(ASC(A371&amp;""))))</f>
        <v/>
      </c>
      <c r="AN371" s="34">
        <f>IF(AM371="","",AM371&amp;"-"&amp;B371)</f>
        <v/>
      </c>
      <c r="AO371" s="34">
        <f>IF(C371="","",IFERROR(VALUE(ASC(SUBSTITUTE(C371&amp;"","観点",""))),""))</f>
        <v/>
      </c>
      <c r="AP371" s="34">
        <f>IF(D371="","",IFERROR(VALUE(LEFT(TRIM(ASC(D371&amp;"")),1)),IFERROR(MATCH(TRIM(D371&amp;""),'M2_区分マスタ'!$I$5:$I$10,0),"")))</f>
        <v/>
      </c>
      <c r="AQ371" s="34">
        <f>IF(H371="","",UPPER(LEFT(TRIM(ASC(H371&amp;"")),3)))</f>
        <v/>
      </c>
      <c r="AR371" s="34">
        <f>IF(N371="","",IFERROR(VALUE(SUBSTITUTE(SUBSTITUTE(SUBSTITUTE(SUBSTITUTE(SUBSTITUTE(SUBSTITUTE(SUBSTITUTE(SUBSTITUTE(SUBSTITUTE(SUBSTITUTE(SUBSTITUTE(SUBSTITUTE(ASC(N371&amp;""),"約",""),"程度",""),"ほど",""),"回",""),"毎",""),"週",""),"月",""),"年",""),"日",""),"に",""),"/","")," ","")),""))</f>
        <v/>
      </c>
      <c r="AS371" s="34">
        <f>IF(N371="","",IF(ISNUMBER(N371),N371,IFERROR(VALUE(ASC(N371&amp;"")),IF(AR371&lt;&gt;"",AR371*IF(ISNUMBER(SEARCH("週",N371)),4.3,IF(ISNUMBER(SEARCH("年",N371)),1/12,IF(ISNUMBER(SEARCH("日",N371)),20,1))),IF(ISNUMBER(SEARCH("日",N371)),20,IF(ISNUMBER(SEARCH("週",N371)),4.3,IF(ISNUMBER(SEARCH("月",N371)),1,"")))))))</f>
        <v/>
      </c>
      <c r="AT371" s="34">
        <f>IF(O371="","",IF(ISNUMBER(O371),O371,IFERROR(VALUE(ASC(O371&amp;"")),IF(ISNUMBER(SEARCH("時間",O371)),IFERROR(VALUE(SUBSTITUTE(SUBSTITUTE(SUBSTITUTE(SUBSTITUTE(SUBSTITUTE(ASC(O371&amp;""),"約",""),"程度",""),"ほど",""),"時間","")," ",""))*60,""),IFERROR(VALUE(SUBSTITUTE(SUBSTITUTE(SUBSTITUTE(SUBSTITUTE(SUBSTITUTE(ASC(O371&amp;""),"約",""),"程度",""),"ほど",""),"分","")," ","")),"")))))</f>
        <v/>
      </c>
      <c r="AU371" s="34">
        <f>IF(P371="","",IF(ISNUMBER(P371),P371,IFERROR(VALUE(SUBSTITUTE(SUBSTITUTE(SUBSTITUTE(ASC(P371&amp;""),"約",""),"件","")," ","")),"")))</f>
        <v/>
      </c>
      <c r="AV371" s="34">
        <f>IF(AB371&lt;&gt;"OK","",IF(COUNTIFS($G$5:$G$404,G371&amp;"",$F$5:$F$404,F371&amp;"",$BE$5:$BE$404,BE371&amp;"",$AB$5:$AB$404,"OK")&gt;1,"同名あり",""))</f>
        <v/>
      </c>
      <c r="AW371" s="35">
        <f>IF(Q371="","",IF(ISNUMBER(Q371),Q371,IFERROR(DATEVALUE(SUBSTITUTE(SUBSTITUTE(ASC(Q371&amp;""),"-","/"),".","/")&amp;"/01"),"")))</f>
        <v/>
      </c>
      <c r="AX371" s="35">
        <f>IF(R371="","",IF(ISNUMBER(R371),R371,IFERROR(DATEVALUE(SUBSTITUTE(SUBSTITUTE(ASC(R371&amp;""),"-","/"),".","/")&amp;"/01"),"")))</f>
        <v/>
      </c>
      <c r="AY371" s="34">
        <f>IF(OR(AB371&lt;&gt;"OK",AW371=""),"",IF(AW371&gt;='01_設定'!$C$26,1,0))</f>
        <v/>
      </c>
      <c r="AZ371" s="34">
        <f>IF(AND(AB371="OK",AD371&lt;&gt;"除外"),COUNTIFS($AB$5:AB371,"OK",$AD$5:AD371,"&lt;&gt;除外"),"")</f>
        <v/>
      </c>
      <c r="BA371" s="34">
        <f>IF(OR(AZ371="",AI371=""),"",AI371+ROW()/1000000000)</f>
        <v/>
      </c>
      <c r="BB371" s="34">
        <f>IF(E371="","",IF(OR(TRIM(E371&amp;"")="-",TRIM(E371&amp;"")="－",TRIM(E371&amp;"")="ー"),"",TRIM(E371&amp;"")))</f>
        <v/>
      </c>
      <c r="BC371" s="34">
        <f>IF(AND(AB371="OK",BB371&lt;&gt;""),IF(COUNTIFS($BB$5:BB371,BB371,$AB$5:AB371,"OK")=1,1,""),"")</f>
        <v/>
      </c>
      <c r="BD371" s="34">
        <f>IF(BC371=1,COUNTIF($BC$5:BC371,1),"")</f>
        <v/>
      </c>
      <c r="BE371" s="34">
        <f>IF(BB371="","",IFERROR(INDEX('06_顧客別集計'!$G$5:$G$104,MATCH(BB371,'06_顧客別集計'!$C$5:$C$104,0)),BB371))</f>
        <v/>
      </c>
      <c r="BF371" s="34">
        <f>IF(AND(AZ371&lt;&gt;"",BE371&lt;&gt;""),IF(COUNTIFS($BE$5:BE371,BE371,$AZ$5:AZ371,"&gt;0")=1,1,""),"")</f>
        <v/>
      </c>
      <c r="BG371" s="34">
        <f>IF(BF371=1,COUNTIF($BF$5:BF371,1),"")</f>
        <v/>
      </c>
    </row>
    <row r="372">
      <c r="AB372">
        <f>IF(AND(A372="",G372=""),"",IF(ISNUMBER(SEARCH("##END",AM372)),"（終わりの印）",IF(ISNUMBER(SEARCH("##続き",AM372)),"（続きありの印）",IF(AM372="調査ID","（見出し行）",IF(AND(AM372&lt;&gt;"R1",AM372&lt;&gt;"R2"),"×表以外の行（集計されない）",IF(COUNTIF($AN$5:AN372,AN372)&gt;1,"△重複（集計されない）",IF(G372="","△タスク名なし",IF(ISNA(MATCH(AQ372,'M1_類型マスタ'!$A$5:$A$19,0)),"△類型が不正",IF(OR(AP372="",N(AP372)&lt;1,N(AP372)&gt;6),"△業務区分が不正",IF(OR(AS372="",AT372=""),"△回数・分が読めない",IF(SUMPRODUCT(--ISNUMBER(--T372:Z372))&lt;7,"△採点が足りない",IF(SUMPRODUCT((--T372:Z372&gt;2)+(--T372:Z372&lt;0))&gt;0,"△採点が範囲外","OK"))))))))))))</f>
        <v/>
      </c>
      <c r="AC372">
        <f>IF(AB372&lt;&gt;"OK","",TRIM(IF(AND(AU372&lt;&gt;"",N(AU372)&lt;=1),"根拠1件 ","")&amp;IF(AV372&lt;&gt;"","同名あり ","")&amp;IF(AND(NOT(ISNUMBER(N372)),N372&lt;&gt;""),"回数を換算 ","")&amp;IF(J372="","詳細なし ","")&amp;IF(AND(N(AP372)=1,BB372=""),"顧客名なし ","")))</f>
        <v/>
      </c>
      <c r="AD372" s="31" t="n"/>
      <c r="AE372" s="32" t="n"/>
      <c r="AF372" s="32" t="n"/>
      <c r="AG372" s="31" t="n"/>
      <c r="AH372">
        <f>IF(AB372&lt;&gt;"OK","",IF(AG372&lt;&gt;"",AG372,AJ372))</f>
        <v/>
      </c>
      <c r="AI372" s="33">
        <f>IF(AB372&lt;&gt;"OK","",IFERROR(IF(AE372&lt;&gt;"",AE372,AS372)*IF(AF372&lt;&gt;"",AF372,AT372)/60,""))</f>
        <v/>
      </c>
      <c r="AJ372">
        <f>IF(AB372&lt;&gt;"OK","",IF(OR(VALUE(T372)=2,VALUE(U372)=2,VALUE(V372)=2),"社内残置",IF(AND(VALUE(T372)=0,VALUE(W372)=0,VALUE(Y372)=0),"自動化候補",IF(AND(VALUE(U372)=0,VALUE(W372)&lt;=1,VALUE(X372)&lt;=1,VALUE(Y372)&lt;=1,VALUE(Z372)&lt;=1),"オフショア候補",IF(AND(VALUE(Y372)&lt;=1,VALUE(Z372)&lt;=1),"ニアショア候補","社内で手順化→再評価")))))</f>
        <v/>
      </c>
      <c r="AK372">
        <f>IF(AB372&lt;&gt;"OK","",14-SUMPRODUCT(--T372:Z372))</f>
        <v/>
      </c>
      <c r="AL372" s="33">
        <f>IF(AB372&lt;&gt;"OK","",AS372*AT372/60)</f>
        <v/>
      </c>
      <c r="AM372" s="34">
        <f>IF(A372="","",UPPER(TRIM(ASC(A372&amp;""))))</f>
        <v/>
      </c>
      <c r="AN372" s="34">
        <f>IF(AM372="","",AM372&amp;"-"&amp;B372)</f>
        <v/>
      </c>
      <c r="AO372" s="34">
        <f>IF(C372="","",IFERROR(VALUE(ASC(SUBSTITUTE(C372&amp;"","観点",""))),""))</f>
        <v/>
      </c>
      <c r="AP372" s="34">
        <f>IF(D372="","",IFERROR(VALUE(LEFT(TRIM(ASC(D372&amp;"")),1)),IFERROR(MATCH(TRIM(D372&amp;""),'M2_区分マスタ'!$I$5:$I$10,0),"")))</f>
        <v/>
      </c>
      <c r="AQ372" s="34">
        <f>IF(H372="","",UPPER(LEFT(TRIM(ASC(H372&amp;"")),3)))</f>
        <v/>
      </c>
      <c r="AR372" s="34">
        <f>IF(N372="","",IFERROR(VALUE(SUBSTITUTE(SUBSTITUTE(SUBSTITUTE(SUBSTITUTE(SUBSTITUTE(SUBSTITUTE(SUBSTITUTE(SUBSTITUTE(SUBSTITUTE(SUBSTITUTE(SUBSTITUTE(SUBSTITUTE(ASC(N372&amp;""),"約",""),"程度",""),"ほど",""),"回",""),"毎",""),"週",""),"月",""),"年",""),"日",""),"に",""),"/","")," ","")),""))</f>
        <v/>
      </c>
      <c r="AS372" s="34">
        <f>IF(N372="","",IF(ISNUMBER(N372),N372,IFERROR(VALUE(ASC(N372&amp;"")),IF(AR372&lt;&gt;"",AR372*IF(ISNUMBER(SEARCH("週",N372)),4.3,IF(ISNUMBER(SEARCH("年",N372)),1/12,IF(ISNUMBER(SEARCH("日",N372)),20,1))),IF(ISNUMBER(SEARCH("日",N372)),20,IF(ISNUMBER(SEARCH("週",N372)),4.3,IF(ISNUMBER(SEARCH("月",N372)),1,"")))))))</f>
        <v/>
      </c>
      <c r="AT372" s="34">
        <f>IF(O372="","",IF(ISNUMBER(O372),O372,IFERROR(VALUE(ASC(O372&amp;"")),IF(ISNUMBER(SEARCH("時間",O372)),IFERROR(VALUE(SUBSTITUTE(SUBSTITUTE(SUBSTITUTE(SUBSTITUTE(SUBSTITUTE(ASC(O372&amp;""),"約",""),"程度",""),"ほど",""),"時間","")," ",""))*60,""),IFERROR(VALUE(SUBSTITUTE(SUBSTITUTE(SUBSTITUTE(SUBSTITUTE(SUBSTITUTE(ASC(O372&amp;""),"約",""),"程度",""),"ほど",""),"分","")," ","")),"")))))</f>
        <v/>
      </c>
      <c r="AU372" s="34">
        <f>IF(P372="","",IF(ISNUMBER(P372),P372,IFERROR(VALUE(SUBSTITUTE(SUBSTITUTE(SUBSTITUTE(ASC(P372&amp;""),"約",""),"件","")," ","")),"")))</f>
        <v/>
      </c>
      <c r="AV372" s="34">
        <f>IF(AB372&lt;&gt;"OK","",IF(COUNTIFS($G$5:$G$404,G372&amp;"",$F$5:$F$404,F372&amp;"",$BE$5:$BE$404,BE372&amp;"",$AB$5:$AB$404,"OK")&gt;1,"同名あり",""))</f>
        <v/>
      </c>
      <c r="AW372" s="35">
        <f>IF(Q372="","",IF(ISNUMBER(Q372),Q372,IFERROR(DATEVALUE(SUBSTITUTE(SUBSTITUTE(ASC(Q372&amp;""),"-","/"),".","/")&amp;"/01"),"")))</f>
        <v/>
      </c>
      <c r="AX372" s="35">
        <f>IF(R372="","",IF(ISNUMBER(R372),R372,IFERROR(DATEVALUE(SUBSTITUTE(SUBSTITUTE(ASC(R372&amp;""),"-","/"),".","/")&amp;"/01"),"")))</f>
        <v/>
      </c>
      <c r="AY372" s="34">
        <f>IF(OR(AB372&lt;&gt;"OK",AW372=""),"",IF(AW372&gt;='01_設定'!$C$26,1,0))</f>
        <v/>
      </c>
      <c r="AZ372" s="34">
        <f>IF(AND(AB372="OK",AD372&lt;&gt;"除外"),COUNTIFS($AB$5:AB372,"OK",$AD$5:AD372,"&lt;&gt;除外"),"")</f>
        <v/>
      </c>
      <c r="BA372" s="34">
        <f>IF(OR(AZ372="",AI372=""),"",AI372+ROW()/1000000000)</f>
        <v/>
      </c>
      <c r="BB372" s="34">
        <f>IF(E372="","",IF(OR(TRIM(E372&amp;"")="-",TRIM(E372&amp;"")="－",TRIM(E372&amp;"")="ー"),"",TRIM(E372&amp;"")))</f>
        <v/>
      </c>
      <c r="BC372" s="34">
        <f>IF(AND(AB372="OK",BB372&lt;&gt;""),IF(COUNTIFS($BB$5:BB372,BB372,$AB$5:AB372,"OK")=1,1,""),"")</f>
        <v/>
      </c>
      <c r="BD372" s="34">
        <f>IF(BC372=1,COUNTIF($BC$5:BC372,1),"")</f>
        <v/>
      </c>
      <c r="BE372" s="34">
        <f>IF(BB372="","",IFERROR(INDEX('06_顧客別集計'!$G$5:$G$104,MATCH(BB372,'06_顧客別集計'!$C$5:$C$104,0)),BB372))</f>
        <v/>
      </c>
      <c r="BF372" s="34">
        <f>IF(AND(AZ372&lt;&gt;"",BE372&lt;&gt;""),IF(COUNTIFS($BE$5:BE372,BE372,$AZ$5:AZ372,"&gt;0")=1,1,""),"")</f>
        <v/>
      </c>
      <c r="BG372" s="34">
        <f>IF(BF372=1,COUNTIF($BF$5:BF372,1),"")</f>
        <v/>
      </c>
    </row>
    <row r="373">
      <c r="AB373">
        <f>IF(AND(A373="",G373=""),"",IF(ISNUMBER(SEARCH("##END",AM373)),"（終わりの印）",IF(ISNUMBER(SEARCH("##続き",AM373)),"（続きありの印）",IF(AM373="調査ID","（見出し行）",IF(AND(AM373&lt;&gt;"R1",AM373&lt;&gt;"R2"),"×表以外の行（集計されない）",IF(COUNTIF($AN$5:AN373,AN373)&gt;1,"△重複（集計されない）",IF(G373="","△タスク名なし",IF(ISNA(MATCH(AQ373,'M1_類型マスタ'!$A$5:$A$19,0)),"△類型が不正",IF(OR(AP373="",N(AP373)&lt;1,N(AP373)&gt;6),"△業務区分が不正",IF(OR(AS373="",AT373=""),"△回数・分が読めない",IF(SUMPRODUCT(--ISNUMBER(--T373:Z373))&lt;7,"△採点が足りない",IF(SUMPRODUCT((--T373:Z373&gt;2)+(--T373:Z373&lt;0))&gt;0,"△採点が範囲外","OK"))))))))))))</f>
        <v/>
      </c>
      <c r="AC373">
        <f>IF(AB373&lt;&gt;"OK","",TRIM(IF(AND(AU373&lt;&gt;"",N(AU373)&lt;=1),"根拠1件 ","")&amp;IF(AV373&lt;&gt;"","同名あり ","")&amp;IF(AND(NOT(ISNUMBER(N373)),N373&lt;&gt;""),"回数を換算 ","")&amp;IF(J373="","詳細なし ","")&amp;IF(AND(N(AP373)=1,BB373=""),"顧客名なし ","")))</f>
        <v/>
      </c>
      <c r="AD373" s="31" t="n"/>
      <c r="AE373" s="32" t="n"/>
      <c r="AF373" s="32" t="n"/>
      <c r="AG373" s="31" t="n"/>
      <c r="AH373">
        <f>IF(AB373&lt;&gt;"OK","",IF(AG373&lt;&gt;"",AG373,AJ373))</f>
        <v/>
      </c>
      <c r="AI373" s="33">
        <f>IF(AB373&lt;&gt;"OK","",IFERROR(IF(AE373&lt;&gt;"",AE373,AS373)*IF(AF373&lt;&gt;"",AF373,AT373)/60,""))</f>
        <v/>
      </c>
      <c r="AJ373">
        <f>IF(AB373&lt;&gt;"OK","",IF(OR(VALUE(T373)=2,VALUE(U373)=2,VALUE(V373)=2),"社内残置",IF(AND(VALUE(T373)=0,VALUE(W373)=0,VALUE(Y373)=0),"自動化候補",IF(AND(VALUE(U373)=0,VALUE(W373)&lt;=1,VALUE(X373)&lt;=1,VALUE(Y373)&lt;=1,VALUE(Z373)&lt;=1),"オフショア候補",IF(AND(VALUE(Y373)&lt;=1,VALUE(Z373)&lt;=1),"ニアショア候補","社内で手順化→再評価")))))</f>
        <v/>
      </c>
      <c r="AK373">
        <f>IF(AB373&lt;&gt;"OK","",14-SUMPRODUCT(--T373:Z373))</f>
        <v/>
      </c>
      <c r="AL373" s="33">
        <f>IF(AB373&lt;&gt;"OK","",AS373*AT373/60)</f>
        <v/>
      </c>
      <c r="AM373" s="34">
        <f>IF(A373="","",UPPER(TRIM(ASC(A373&amp;""))))</f>
        <v/>
      </c>
      <c r="AN373" s="34">
        <f>IF(AM373="","",AM373&amp;"-"&amp;B373)</f>
        <v/>
      </c>
      <c r="AO373" s="34">
        <f>IF(C373="","",IFERROR(VALUE(ASC(SUBSTITUTE(C373&amp;"","観点",""))),""))</f>
        <v/>
      </c>
      <c r="AP373" s="34">
        <f>IF(D373="","",IFERROR(VALUE(LEFT(TRIM(ASC(D373&amp;"")),1)),IFERROR(MATCH(TRIM(D373&amp;""),'M2_区分マスタ'!$I$5:$I$10,0),"")))</f>
        <v/>
      </c>
      <c r="AQ373" s="34">
        <f>IF(H373="","",UPPER(LEFT(TRIM(ASC(H373&amp;"")),3)))</f>
        <v/>
      </c>
      <c r="AR373" s="34">
        <f>IF(N373="","",IFERROR(VALUE(SUBSTITUTE(SUBSTITUTE(SUBSTITUTE(SUBSTITUTE(SUBSTITUTE(SUBSTITUTE(SUBSTITUTE(SUBSTITUTE(SUBSTITUTE(SUBSTITUTE(SUBSTITUTE(SUBSTITUTE(ASC(N373&amp;""),"約",""),"程度",""),"ほど",""),"回",""),"毎",""),"週",""),"月",""),"年",""),"日",""),"に",""),"/","")," ","")),""))</f>
        <v/>
      </c>
      <c r="AS373" s="34">
        <f>IF(N373="","",IF(ISNUMBER(N373),N373,IFERROR(VALUE(ASC(N373&amp;"")),IF(AR373&lt;&gt;"",AR373*IF(ISNUMBER(SEARCH("週",N373)),4.3,IF(ISNUMBER(SEARCH("年",N373)),1/12,IF(ISNUMBER(SEARCH("日",N373)),20,1))),IF(ISNUMBER(SEARCH("日",N373)),20,IF(ISNUMBER(SEARCH("週",N373)),4.3,IF(ISNUMBER(SEARCH("月",N373)),1,"")))))))</f>
        <v/>
      </c>
      <c r="AT373" s="34">
        <f>IF(O373="","",IF(ISNUMBER(O373),O373,IFERROR(VALUE(ASC(O373&amp;"")),IF(ISNUMBER(SEARCH("時間",O373)),IFERROR(VALUE(SUBSTITUTE(SUBSTITUTE(SUBSTITUTE(SUBSTITUTE(SUBSTITUTE(ASC(O373&amp;""),"約",""),"程度",""),"ほど",""),"時間","")," ",""))*60,""),IFERROR(VALUE(SUBSTITUTE(SUBSTITUTE(SUBSTITUTE(SUBSTITUTE(SUBSTITUTE(ASC(O373&amp;""),"約",""),"程度",""),"ほど",""),"分","")," ","")),"")))))</f>
        <v/>
      </c>
      <c r="AU373" s="34">
        <f>IF(P373="","",IF(ISNUMBER(P373),P373,IFERROR(VALUE(SUBSTITUTE(SUBSTITUTE(SUBSTITUTE(ASC(P373&amp;""),"約",""),"件","")," ","")),"")))</f>
        <v/>
      </c>
      <c r="AV373" s="34">
        <f>IF(AB373&lt;&gt;"OK","",IF(COUNTIFS($G$5:$G$404,G373&amp;"",$F$5:$F$404,F373&amp;"",$BE$5:$BE$404,BE373&amp;"",$AB$5:$AB$404,"OK")&gt;1,"同名あり",""))</f>
        <v/>
      </c>
      <c r="AW373" s="35">
        <f>IF(Q373="","",IF(ISNUMBER(Q373),Q373,IFERROR(DATEVALUE(SUBSTITUTE(SUBSTITUTE(ASC(Q373&amp;""),"-","/"),".","/")&amp;"/01"),"")))</f>
        <v/>
      </c>
      <c r="AX373" s="35">
        <f>IF(R373="","",IF(ISNUMBER(R373),R373,IFERROR(DATEVALUE(SUBSTITUTE(SUBSTITUTE(ASC(R373&amp;""),"-","/"),".","/")&amp;"/01"),"")))</f>
        <v/>
      </c>
      <c r="AY373" s="34">
        <f>IF(OR(AB373&lt;&gt;"OK",AW373=""),"",IF(AW373&gt;='01_設定'!$C$26,1,0))</f>
        <v/>
      </c>
      <c r="AZ373" s="34">
        <f>IF(AND(AB373="OK",AD373&lt;&gt;"除外"),COUNTIFS($AB$5:AB373,"OK",$AD$5:AD373,"&lt;&gt;除外"),"")</f>
        <v/>
      </c>
      <c r="BA373" s="34">
        <f>IF(OR(AZ373="",AI373=""),"",AI373+ROW()/1000000000)</f>
        <v/>
      </c>
      <c r="BB373" s="34">
        <f>IF(E373="","",IF(OR(TRIM(E373&amp;"")="-",TRIM(E373&amp;"")="－",TRIM(E373&amp;"")="ー"),"",TRIM(E373&amp;"")))</f>
        <v/>
      </c>
      <c r="BC373" s="34">
        <f>IF(AND(AB373="OK",BB373&lt;&gt;""),IF(COUNTIFS($BB$5:BB373,BB373,$AB$5:AB373,"OK")=1,1,""),"")</f>
        <v/>
      </c>
      <c r="BD373" s="34">
        <f>IF(BC373=1,COUNTIF($BC$5:BC373,1),"")</f>
        <v/>
      </c>
      <c r="BE373" s="34">
        <f>IF(BB373="","",IFERROR(INDEX('06_顧客別集計'!$G$5:$G$104,MATCH(BB373,'06_顧客別集計'!$C$5:$C$104,0)),BB373))</f>
        <v/>
      </c>
      <c r="BF373" s="34">
        <f>IF(AND(AZ373&lt;&gt;"",BE373&lt;&gt;""),IF(COUNTIFS($BE$5:BE373,BE373,$AZ$5:AZ373,"&gt;0")=1,1,""),"")</f>
        <v/>
      </c>
      <c r="BG373" s="34">
        <f>IF(BF373=1,COUNTIF($BF$5:BF373,1),"")</f>
        <v/>
      </c>
    </row>
    <row r="374">
      <c r="AB374">
        <f>IF(AND(A374="",G374=""),"",IF(ISNUMBER(SEARCH("##END",AM374)),"（終わりの印）",IF(ISNUMBER(SEARCH("##続き",AM374)),"（続きありの印）",IF(AM374="調査ID","（見出し行）",IF(AND(AM374&lt;&gt;"R1",AM374&lt;&gt;"R2"),"×表以外の行（集計されない）",IF(COUNTIF($AN$5:AN374,AN374)&gt;1,"△重複（集計されない）",IF(G374="","△タスク名なし",IF(ISNA(MATCH(AQ374,'M1_類型マスタ'!$A$5:$A$19,0)),"△類型が不正",IF(OR(AP374="",N(AP374)&lt;1,N(AP374)&gt;6),"△業務区分が不正",IF(OR(AS374="",AT374=""),"△回数・分が読めない",IF(SUMPRODUCT(--ISNUMBER(--T374:Z374))&lt;7,"△採点が足りない",IF(SUMPRODUCT((--T374:Z374&gt;2)+(--T374:Z374&lt;0))&gt;0,"△採点が範囲外","OK"))))))))))))</f>
        <v/>
      </c>
      <c r="AC374">
        <f>IF(AB374&lt;&gt;"OK","",TRIM(IF(AND(AU374&lt;&gt;"",N(AU374)&lt;=1),"根拠1件 ","")&amp;IF(AV374&lt;&gt;"","同名あり ","")&amp;IF(AND(NOT(ISNUMBER(N374)),N374&lt;&gt;""),"回数を換算 ","")&amp;IF(J374="","詳細なし ","")&amp;IF(AND(N(AP374)=1,BB374=""),"顧客名なし ","")))</f>
        <v/>
      </c>
      <c r="AD374" s="31" t="n"/>
      <c r="AE374" s="32" t="n"/>
      <c r="AF374" s="32" t="n"/>
      <c r="AG374" s="31" t="n"/>
      <c r="AH374">
        <f>IF(AB374&lt;&gt;"OK","",IF(AG374&lt;&gt;"",AG374,AJ374))</f>
        <v/>
      </c>
      <c r="AI374" s="33">
        <f>IF(AB374&lt;&gt;"OK","",IFERROR(IF(AE374&lt;&gt;"",AE374,AS374)*IF(AF374&lt;&gt;"",AF374,AT374)/60,""))</f>
        <v/>
      </c>
      <c r="AJ374">
        <f>IF(AB374&lt;&gt;"OK","",IF(OR(VALUE(T374)=2,VALUE(U374)=2,VALUE(V374)=2),"社内残置",IF(AND(VALUE(T374)=0,VALUE(W374)=0,VALUE(Y374)=0),"自動化候補",IF(AND(VALUE(U374)=0,VALUE(W374)&lt;=1,VALUE(X374)&lt;=1,VALUE(Y374)&lt;=1,VALUE(Z374)&lt;=1),"オフショア候補",IF(AND(VALUE(Y374)&lt;=1,VALUE(Z374)&lt;=1),"ニアショア候補","社内で手順化→再評価")))))</f>
        <v/>
      </c>
      <c r="AK374">
        <f>IF(AB374&lt;&gt;"OK","",14-SUMPRODUCT(--T374:Z374))</f>
        <v/>
      </c>
      <c r="AL374" s="33">
        <f>IF(AB374&lt;&gt;"OK","",AS374*AT374/60)</f>
        <v/>
      </c>
      <c r="AM374" s="34">
        <f>IF(A374="","",UPPER(TRIM(ASC(A374&amp;""))))</f>
        <v/>
      </c>
      <c r="AN374" s="34">
        <f>IF(AM374="","",AM374&amp;"-"&amp;B374)</f>
        <v/>
      </c>
      <c r="AO374" s="34">
        <f>IF(C374="","",IFERROR(VALUE(ASC(SUBSTITUTE(C374&amp;"","観点",""))),""))</f>
        <v/>
      </c>
      <c r="AP374" s="34">
        <f>IF(D374="","",IFERROR(VALUE(LEFT(TRIM(ASC(D374&amp;"")),1)),IFERROR(MATCH(TRIM(D374&amp;""),'M2_区分マスタ'!$I$5:$I$10,0),"")))</f>
        <v/>
      </c>
      <c r="AQ374" s="34">
        <f>IF(H374="","",UPPER(LEFT(TRIM(ASC(H374&amp;"")),3)))</f>
        <v/>
      </c>
      <c r="AR374" s="34">
        <f>IF(N374="","",IFERROR(VALUE(SUBSTITUTE(SUBSTITUTE(SUBSTITUTE(SUBSTITUTE(SUBSTITUTE(SUBSTITUTE(SUBSTITUTE(SUBSTITUTE(SUBSTITUTE(SUBSTITUTE(SUBSTITUTE(SUBSTITUTE(ASC(N374&amp;""),"約",""),"程度",""),"ほど",""),"回",""),"毎",""),"週",""),"月",""),"年",""),"日",""),"に",""),"/","")," ","")),""))</f>
        <v/>
      </c>
      <c r="AS374" s="34">
        <f>IF(N374="","",IF(ISNUMBER(N374),N374,IFERROR(VALUE(ASC(N374&amp;"")),IF(AR374&lt;&gt;"",AR374*IF(ISNUMBER(SEARCH("週",N374)),4.3,IF(ISNUMBER(SEARCH("年",N374)),1/12,IF(ISNUMBER(SEARCH("日",N374)),20,1))),IF(ISNUMBER(SEARCH("日",N374)),20,IF(ISNUMBER(SEARCH("週",N374)),4.3,IF(ISNUMBER(SEARCH("月",N374)),1,"")))))))</f>
        <v/>
      </c>
      <c r="AT374" s="34">
        <f>IF(O374="","",IF(ISNUMBER(O374),O374,IFERROR(VALUE(ASC(O374&amp;"")),IF(ISNUMBER(SEARCH("時間",O374)),IFERROR(VALUE(SUBSTITUTE(SUBSTITUTE(SUBSTITUTE(SUBSTITUTE(SUBSTITUTE(ASC(O374&amp;""),"約",""),"程度",""),"ほど",""),"時間","")," ",""))*60,""),IFERROR(VALUE(SUBSTITUTE(SUBSTITUTE(SUBSTITUTE(SUBSTITUTE(SUBSTITUTE(ASC(O374&amp;""),"約",""),"程度",""),"ほど",""),"分","")," ","")),"")))))</f>
        <v/>
      </c>
      <c r="AU374" s="34">
        <f>IF(P374="","",IF(ISNUMBER(P374),P374,IFERROR(VALUE(SUBSTITUTE(SUBSTITUTE(SUBSTITUTE(ASC(P374&amp;""),"約",""),"件","")," ","")),"")))</f>
        <v/>
      </c>
      <c r="AV374" s="34">
        <f>IF(AB374&lt;&gt;"OK","",IF(COUNTIFS($G$5:$G$404,G374&amp;"",$F$5:$F$404,F374&amp;"",$BE$5:$BE$404,BE374&amp;"",$AB$5:$AB$404,"OK")&gt;1,"同名あり",""))</f>
        <v/>
      </c>
      <c r="AW374" s="35">
        <f>IF(Q374="","",IF(ISNUMBER(Q374),Q374,IFERROR(DATEVALUE(SUBSTITUTE(SUBSTITUTE(ASC(Q374&amp;""),"-","/"),".","/")&amp;"/01"),"")))</f>
        <v/>
      </c>
      <c r="AX374" s="35">
        <f>IF(R374="","",IF(ISNUMBER(R374),R374,IFERROR(DATEVALUE(SUBSTITUTE(SUBSTITUTE(ASC(R374&amp;""),"-","/"),".","/")&amp;"/01"),"")))</f>
        <v/>
      </c>
      <c r="AY374" s="34">
        <f>IF(OR(AB374&lt;&gt;"OK",AW374=""),"",IF(AW374&gt;='01_設定'!$C$26,1,0))</f>
        <v/>
      </c>
      <c r="AZ374" s="34">
        <f>IF(AND(AB374="OK",AD374&lt;&gt;"除外"),COUNTIFS($AB$5:AB374,"OK",$AD$5:AD374,"&lt;&gt;除外"),"")</f>
        <v/>
      </c>
      <c r="BA374" s="34">
        <f>IF(OR(AZ374="",AI374=""),"",AI374+ROW()/1000000000)</f>
        <v/>
      </c>
      <c r="BB374" s="34">
        <f>IF(E374="","",IF(OR(TRIM(E374&amp;"")="-",TRIM(E374&amp;"")="－",TRIM(E374&amp;"")="ー"),"",TRIM(E374&amp;"")))</f>
        <v/>
      </c>
      <c r="BC374" s="34">
        <f>IF(AND(AB374="OK",BB374&lt;&gt;""),IF(COUNTIFS($BB$5:BB374,BB374,$AB$5:AB374,"OK")=1,1,""),"")</f>
        <v/>
      </c>
      <c r="BD374" s="34">
        <f>IF(BC374=1,COUNTIF($BC$5:BC374,1),"")</f>
        <v/>
      </c>
      <c r="BE374" s="34">
        <f>IF(BB374="","",IFERROR(INDEX('06_顧客別集計'!$G$5:$G$104,MATCH(BB374,'06_顧客別集計'!$C$5:$C$104,0)),BB374))</f>
        <v/>
      </c>
      <c r="BF374" s="34">
        <f>IF(AND(AZ374&lt;&gt;"",BE374&lt;&gt;""),IF(COUNTIFS($BE$5:BE374,BE374,$AZ$5:AZ374,"&gt;0")=1,1,""),"")</f>
        <v/>
      </c>
      <c r="BG374" s="34">
        <f>IF(BF374=1,COUNTIF($BF$5:BF374,1),"")</f>
        <v/>
      </c>
    </row>
    <row r="375">
      <c r="AB375">
        <f>IF(AND(A375="",G375=""),"",IF(ISNUMBER(SEARCH("##END",AM375)),"（終わりの印）",IF(ISNUMBER(SEARCH("##続き",AM375)),"（続きありの印）",IF(AM375="調査ID","（見出し行）",IF(AND(AM375&lt;&gt;"R1",AM375&lt;&gt;"R2"),"×表以外の行（集計されない）",IF(COUNTIF($AN$5:AN375,AN375)&gt;1,"△重複（集計されない）",IF(G375="","△タスク名なし",IF(ISNA(MATCH(AQ375,'M1_類型マスタ'!$A$5:$A$19,0)),"△類型が不正",IF(OR(AP375="",N(AP375)&lt;1,N(AP375)&gt;6),"△業務区分が不正",IF(OR(AS375="",AT375=""),"△回数・分が読めない",IF(SUMPRODUCT(--ISNUMBER(--T375:Z375))&lt;7,"△採点が足りない",IF(SUMPRODUCT((--T375:Z375&gt;2)+(--T375:Z375&lt;0))&gt;0,"△採点が範囲外","OK"))))))))))))</f>
        <v/>
      </c>
      <c r="AC375">
        <f>IF(AB375&lt;&gt;"OK","",TRIM(IF(AND(AU375&lt;&gt;"",N(AU375)&lt;=1),"根拠1件 ","")&amp;IF(AV375&lt;&gt;"","同名あり ","")&amp;IF(AND(NOT(ISNUMBER(N375)),N375&lt;&gt;""),"回数を換算 ","")&amp;IF(J375="","詳細なし ","")&amp;IF(AND(N(AP375)=1,BB375=""),"顧客名なし ","")))</f>
        <v/>
      </c>
      <c r="AD375" s="31" t="n"/>
      <c r="AE375" s="32" t="n"/>
      <c r="AF375" s="32" t="n"/>
      <c r="AG375" s="31" t="n"/>
      <c r="AH375">
        <f>IF(AB375&lt;&gt;"OK","",IF(AG375&lt;&gt;"",AG375,AJ375))</f>
        <v/>
      </c>
      <c r="AI375" s="33">
        <f>IF(AB375&lt;&gt;"OK","",IFERROR(IF(AE375&lt;&gt;"",AE375,AS375)*IF(AF375&lt;&gt;"",AF375,AT375)/60,""))</f>
        <v/>
      </c>
      <c r="AJ375">
        <f>IF(AB375&lt;&gt;"OK","",IF(OR(VALUE(T375)=2,VALUE(U375)=2,VALUE(V375)=2),"社内残置",IF(AND(VALUE(T375)=0,VALUE(W375)=0,VALUE(Y375)=0),"自動化候補",IF(AND(VALUE(U375)=0,VALUE(W375)&lt;=1,VALUE(X375)&lt;=1,VALUE(Y375)&lt;=1,VALUE(Z375)&lt;=1),"オフショア候補",IF(AND(VALUE(Y375)&lt;=1,VALUE(Z375)&lt;=1),"ニアショア候補","社内で手順化→再評価")))))</f>
        <v/>
      </c>
      <c r="AK375">
        <f>IF(AB375&lt;&gt;"OK","",14-SUMPRODUCT(--T375:Z375))</f>
        <v/>
      </c>
      <c r="AL375" s="33">
        <f>IF(AB375&lt;&gt;"OK","",AS375*AT375/60)</f>
        <v/>
      </c>
      <c r="AM375" s="34">
        <f>IF(A375="","",UPPER(TRIM(ASC(A375&amp;""))))</f>
        <v/>
      </c>
      <c r="AN375" s="34">
        <f>IF(AM375="","",AM375&amp;"-"&amp;B375)</f>
        <v/>
      </c>
      <c r="AO375" s="34">
        <f>IF(C375="","",IFERROR(VALUE(ASC(SUBSTITUTE(C375&amp;"","観点",""))),""))</f>
        <v/>
      </c>
      <c r="AP375" s="34">
        <f>IF(D375="","",IFERROR(VALUE(LEFT(TRIM(ASC(D375&amp;"")),1)),IFERROR(MATCH(TRIM(D375&amp;""),'M2_区分マスタ'!$I$5:$I$10,0),"")))</f>
        <v/>
      </c>
      <c r="AQ375" s="34">
        <f>IF(H375="","",UPPER(LEFT(TRIM(ASC(H375&amp;"")),3)))</f>
        <v/>
      </c>
      <c r="AR375" s="34">
        <f>IF(N375="","",IFERROR(VALUE(SUBSTITUTE(SUBSTITUTE(SUBSTITUTE(SUBSTITUTE(SUBSTITUTE(SUBSTITUTE(SUBSTITUTE(SUBSTITUTE(SUBSTITUTE(SUBSTITUTE(SUBSTITUTE(SUBSTITUTE(ASC(N375&amp;""),"約",""),"程度",""),"ほど",""),"回",""),"毎",""),"週",""),"月",""),"年",""),"日",""),"に",""),"/","")," ","")),""))</f>
        <v/>
      </c>
      <c r="AS375" s="34">
        <f>IF(N375="","",IF(ISNUMBER(N375),N375,IFERROR(VALUE(ASC(N375&amp;"")),IF(AR375&lt;&gt;"",AR375*IF(ISNUMBER(SEARCH("週",N375)),4.3,IF(ISNUMBER(SEARCH("年",N375)),1/12,IF(ISNUMBER(SEARCH("日",N375)),20,1))),IF(ISNUMBER(SEARCH("日",N375)),20,IF(ISNUMBER(SEARCH("週",N375)),4.3,IF(ISNUMBER(SEARCH("月",N375)),1,"")))))))</f>
        <v/>
      </c>
      <c r="AT375" s="34">
        <f>IF(O375="","",IF(ISNUMBER(O375),O375,IFERROR(VALUE(ASC(O375&amp;"")),IF(ISNUMBER(SEARCH("時間",O375)),IFERROR(VALUE(SUBSTITUTE(SUBSTITUTE(SUBSTITUTE(SUBSTITUTE(SUBSTITUTE(ASC(O375&amp;""),"約",""),"程度",""),"ほど",""),"時間","")," ",""))*60,""),IFERROR(VALUE(SUBSTITUTE(SUBSTITUTE(SUBSTITUTE(SUBSTITUTE(SUBSTITUTE(ASC(O375&amp;""),"約",""),"程度",""),"ほど",""),"分","")," ","")),"")))))</f>
        <v/>
      </c>
      <c r="AU375" s="34">
        <f>IF(P375="","",IF(ISNUMBER(P375),P375,IFERROR(VALUE(SUBSTITUTE(SUBSTITUTE(SUBSTITUTE(ASC(P375&amp;""),"約",""),"件","")," ","")),"")))</f>
        <v/>
      </c>
      <c r="AV375" s="34">
        <f>IF(AB375&lt;&gt;"OK","",IF(COUNTIFS($G$5:$G$404,G375&amp;"",$F$5:$F$404,F375&amp;"",$BE$5:$BE$404,BE375&amp;"",$AB$5:$AB$404,"OK")&gt;1,"同名あり",""))</f>
        <v/>
      </c>
      <c r="AW375" s="35">
        <f>IF(Q375="","",IF(ISNUMBER(Q375),Q375,IFERROR(DATEVALUE(SUBSTITUTE(SUBSTITUTE(ASC(Q375&amp;""),"-","/"),".","/")&amp;"/01"),"")))</f>
        <v/>
      </c>
      <c r="AX375" s="35">
        <f>IF(R375="","",IF(ISNUMBER(R375),R375,IFERROR(DATEVALUE(SUBSTITUTE(SUBSTITUTE(ASC(R375&amp;""),"-","/"),".","/")&amp;"/01"),"")))</f>
        <v/>
      </c>
      <c r="AY375" s="34">
        <f>IF(OR(AB375&lt;&gt;"OK",AW375=""),"",IF(AW375&gt;='01_設定'!$C$26,1,0))</f>
        <v/>
      </c>
      <c r="AZ375" s="34">
        <f>IF(AND(AB375="OK",AD375&lt;&gt;"除外"),COUNTIFS($AB$5:AB375,"OK",$AD$5:AD375,"&lt;&gt;除外"),"")</f>
        <v/>
      </c>
      <c r="BA375" s="34">
        <f>IF(OR(AZ375="",AI375=""),"",AI375+ROW()/1000000000)</f>
        <v/>
      </c>
      <c r="BB375" s="34">
        <f>IF(E375="","",IF(OR(TRIM(E375&amp;"")="-",TRIM(E375&amp;"")="－",TRIM(E375&amp;"")="ー"),"",TRIM(E375&amp;"")))</f>
        <v/>
      </c>
      <c r="BC375" s="34">
        <f>IF(AND(AB375="OK",BB375&lt;&gt;""),IF(COUNTIFS($BB$5:BB375,BB375,$AB$5:AB375,"OK")=1,1,""),"")</f>
        <v/>
      </c>
      <c r="BD375" s="34">
        <f>IF(BC375=1,COUNTIF($BC$5:BC375,1),"")</f>
        <v/>
      </c>
      <c r="BE375" s="34">
        <f>IF(BB375="","",IFERROR(INDEX('06_顧客別集計'!$G$5:$G$104,MATCH(BB375,'06_顧客別集計'!$C$5:$C$104,0)),BB375))</f>
        <v/>
      </c>
      <c r="BF375" s="34">
        <f>IF(AND(AZ375&lt;&gt;"",BE375&lt;&gt;""),IF(COUNTIFS($BE$5:BE375,BE375,$AZ$5:AZ375,"&gt;0")=1,1,""),"")</f>
        <v/>
      </c>
      <c r="BG375" s="34">
        <f>IF(BF375=1,COUNTIF($BF$5:BF375,1),"")</f>
        <v/>
      </c>
    </row>
    <row r="376">
      <c r="AB376">
        <f>IF(AND(A376="",G376=""),"",IF(ISNUMBER(SEARCH("##END",AM376)),"（終わりの印）",IF(ISNUMBER(SEARCH("##続き",AM376)),"（続きありの印）",IF(AM376="調査ID","（見出し行）",IF(AND(AM376&lt;&gt;"R1",AM376&lt;&gt;"R2"),"×表以外の行（集計されない）",IF(COUNTIF($AN$5:AN376,AN376)&gt;1,"△重複（集計されない）",IF(G376="","△タスク名なし",IF(ISNA(MATCH(AQ376,'M1_類型マスタ'!$A$5:$A$19,0)),"△類型が不正",IF(OR(AP376="",N(AP376)&lt;1,N(AP376)&gt;6),"△業務区分が不正",IF(OR(AS376="",AT376=""),"△回数・分が読めない",IF(SUMPRODUCT(--ISNUMBER(--T376:Z376))&lt;7,"△採点が足りない",IF(SUMPRODUCT((--T376:Z376&gt;2)+(--T376:Z376&lt;0))&gt;0,"△採点が範囲外","OK"))))))))))))</f>
        <v/>
      </c>
      <c r="AC376">
        <f>IF(AB376&lt;&gt;"OK","",TRIM(IF(AND(AU376&lt;&gt;"",N(AU376)&lt;=1),"根拠1件 ","")&amp;IF(AV376&lt;&gt;"","同名あり ","")&amp;IF(AND(NOT(ISNUMBER(N376)),N376&lt;&gt;""),"回数を換算 ","")&amp;IF(J376="","詳細なし ","")&amp;IF(AND(N(AP376)=1,BB376=""),"顧客名なし ","")))</f>
        <v/>
      </c>
      <c r="AD376" s="31" t="n"/>
      <c r="AE376" s="32" t="n"/>
      <c r="AF376" s="32" t="n"/>
      <c r="AG376" s="31" t="n"/>
      <c r="AH376">
        <f>IF(AB376&lt;&gt;"OK","",IF(AG376&lt;&gt;"",AG376,AJ376))</f>
        <v/>
      </c>
      <c r="AI376" s="33">
        <f>IF(AB376&lt;&gt;"OK","",IFERROR(IF(AE376&lt;&gt;"",AE376,AS376)*IF(AF376&lt;&gt;"",AF376,AT376)/60,""))</f>
        <v/>
      </c>
      <c r="AJ376">
        <f>IF(AB376&lt;&gt;"OK","",IF(OR(VALUE(T376)=2,VALUE(U376)=2,VALUE(V376)=2),"社内残置",IF(AND(VALUE(T376)=0,VALUE(W376)=0,VALUE(Y376)=0),"自動化候補",IF(AND(VALUE(U376)=0,VALUE(W376)&lt;=1,VALUE(X376)&lt;=1,VALUE(Y376)&lt;=1,VALUE(Z376)&lt;=1),"オフショア候補",IF(AND(VALUE(Y376)&lt;=1,VALUE(Z376)&lt;=1),"ニアショア候補","社内で手順化→再評価")))))</f>
        <v/>
      </c>
      <c r="AK376">
        <f>IF(AB376&lt;&gt;"OK","",14-SUMPRODUCT(--T376:Z376))</f>
        <v/>
      </c>
      <c r="AL376" s="33">
        <f>IF(AB376&lt;&gt;"OK","",AS376*AT376/60)</f>
        <v/>
      </c>
      <c r="AM376" s="34">
        <f>IF(A376="","",UPPER(TRIM(ASC(A376&amp;""))))</f>
        <v/>
      </c>
      <c r="AN376" s="34">
        <f>IF(AM376="","",AM376&amp;"-"&amp;B376)</f>
        <v/>
      </c>
      <c r="AO376" s="34">
        <f>IF(C376="","",IFERROR(VALUE(ASC(SUBSTITUTE(C376&amp;"","観点",""))),""))</f>
        <v/>
      </c>
      <c r="AP376" s="34">
        <f>IF(D376="","",IFERROR(VALUE(LEFT(TRIM(ASC(D376&amp;"")),1)),IFERROR(MATCH(TRIM(D376&amp;""),'M2_区分マスタ'!$I$5:$I$10,0),"")))</f>
        <v/>
      </c>
      <c r="AQ376" s="34">
        <f>IF(H376="","",UPPER(LEFT(TRIM(ASC(H376&amp;"")),3)))</f>
        <v/>
      </c>
      <c r="AR376" s="34">
        <f>IF(N376="","",IFERROR(VALUE(SUBSTITUTE(SUBSTITUTE(SUBSTITUTE(SUBSTITUTE(SUBSTITUTE(SUBSTITUTE(SUBSTITUTE(SUBSTITUTE(SUBSTITUTE(SUBSTITUTE(SUBSTITUTE(SUBSTITUTE(ASC(N376&amp;""),"約",""),"程度",""),"ほど",""),"回",""),"毎",""),"週",""),"月",""),"年",""),"日",""),"に",""),"/","")," ","")),""))</f>
        <v/>
      </c>
      <c r="AS376" s="34">
        <f>IF(N376="","",IF(ISNUMBER(N376),N376,IFERROR(VALUE(ASC(N376&amp;"")),IF(AR376&lt;&gt;"",AR376*IF(ISNUMBER(SEARCH("週",N376)),4.3,IF(ISNUMBER(SEARCH("年",N376)),1/12,IF(ISNUMBER(SEARCH("日",N376)),20,1))),IF(ISNUMBER(SEARCH("日",N376)),20,IF(ISNUMBER(SEARCH("週",N376)),4.3,IF(ISNUMBER(SEARCH("月",N376)),1,"")))))))</f>
        <v/>
      </c>
      <c r="AT376" s="34">
        <f>IF(O376="","",IF(ISNUMBER(O376),O376,IFERROR(VALUE(ASC(O376&amp;"")),IF(ISNUMBER(SEARCH("時間",O376)),IFERROR(VALUE(SUBSTITUTE(SUBSTITUTE(SUBSTITUTE(SUBSTITUTE(SUBSTITUTE(ASC(O376&amp;""),"約",""),"程度",""),"ほど",""),"時間","")," ",""))*60,""),IFERROR(VALUE(SUBSTITUTE(SUBSTITUTE(SUBSTITUTE(SUBSTITUTE(SUBSTITUTE(ASC(O376&amp;""),"約",""),"程度",""),"ほど",""),"分","")," ","")),"")))))</f>
        <v/>
      </c>
      <c r="AU376" s="34">
        <f>IF(P376="","",IF(ISNUMBER(P376),P376,IFERROR(VALUE(SUBSTITUTE(SUBSTITUTE(SUBSTITUTE(ASC(P376&amp;""),"約",""),"件","")," ","")),"")))</f>
        <v/>
      </c>
      <c r="AV376" s="34">
        <f>IF(AB376&lt;&gt;"OK","",IF(COUNTIFS($G$5:$G$404,G376&amp;"",$F$5:$F$404,F376&amp;"",$BE$5:$BE$404,BE376&amp;"",$AB$5:$AB$404,"OK")&gt;1,"同名あり",""))</f>
        <v/>
      </c>
      <c r="AW376" s="35">
        <f>IF(Q376="","",IF(ISNUMBER(Q376),Q376,IFERROR(DATEVALUE(SUBSTITUTE(SUBSTITUTE(ASC(Q376&amp;""),"-","/"),".","/")&amp;"/01"),"")))</f>
        <v/>
      </c>
      <c r="AX376" s="35">
        <f>IF(R376="","",IF(ISNUMBER(R376),R376,IFERROR(DATEVALUE(SUBSTITUTE(SUBSTITUTE(ASC(R376&amp;""),"-","/"),".","/")&amp;"/01"),"")))</f>
        <v/>
      </c>
      <c r="AY376" s="34">
        <f>IF(OR(AB376&lt;&gt;"OK",AW376=""),"",IF(AW376&gt;='01_設定'!$C$26,1,0))</f>
        <v/>
      </c>
      <c r="AZ376" s="34">
        <f>IF(AND(AB376="OK",AD376&lt;&gt;"除外"),COUNTIFS($AB$5:AB376,"OK",$AD$5:AD376,"&lt;&gt;除外"),"")</f>
        <v/>
      </c>
      <c r="BA376" s="34">
        <f>IF(OR(AZ376="",AI376=""),"",AI376+ROW()/1000000000)</f>
        <v/>
      </c>
      <c r="BB376" s="34">
        <f>IF(E376="","",IF(OR(TRIM(E376&amp;"")="-",TRIM(E376&amp;"")="－",TRIM(E376&amp;"")="ー"),"",TRIM(E376&amp;"")))</f>
        <v/>
      </c>
      <c r="BC376" s="34">
        <f>IF(AND(AB376="OK",BB376&lt;&gt;""),IF(COUNTIFS($BB$5:BB376,BB376,$AB$5:AB376,"OK")=1,1,""),"")</f>
        <v/>
      </c>
      <c r="BD376" s="34">
        <f>IF(BC376=1,COUNTIF($BC$5:BC376,1),"")</f>
        <v/>
      </c>
      <c r="BE376" s="34">
        <f>IF(BB376="","",IFERROR(INDEX('06_顧客別集計'!$G$5:$G$104,MATCH(BB376,'06_顧客別集計'!$C$5:$C$104,0)),BB376))</f>
        <v/>
      </c>
      <c r="BF376" s="34">
        <f>IF(AND(AZ376&lt;&gt;"",BE376&lt;&gt;""),IF(COUNTIFS($BE$5:BE376,BE376,$AZ$5:AZ376,"&gt;0")=1,1,""),"")</f>
        <v/>
      </c>
      <c r="BG376" s="34">
        <f>IF(BF376=1,COUNTIF($BF$5:BF376,1),"")</f>
        <v/>
      </c>
    </row>
    <row r="377">
      <c r="AB377">
        <f>IF(AND(A377="",G377=""),"",IF(ISNUMBER(SEARCH("##END",AM377)),"（終わりの印）",IF(ISNUMBER(SEARCH("##続き",AM377)),"（続きありの印）",IF(AM377="調査ID","（見出し行）",IF(AND(AM377&lt;&gt;"R1",AM377&lt;&gt;"R2"),"×表以外の行（集計されない）",IF(COUNTIF($AN$5:AN377,AN377)&gt;1,"△重複（集計されない）",IF(G377="","△タスク名なし",IF(ISNA(MATCH(AQ377,'M1_類型マスタ'!$A$5:$A$19,0)),"△類型が不正",IF(OR(AP377="",N(AP377)&lt;1,N(AP377)&gt;6),"△業務区分が不正",IF(OR(AS377="",AT377=""),"△回数・分が読めない",IF(SUMPRODUCT(--ISNUMBER(--T377:Z377))&lt;7,"△採点が足りない",IF(SUMPRODUCT((--T377:Z377&gt;2)+(--T377:Z377&lt;0))&gt;0,"△採点が範囲外","OK"))))))))))))</f>
        <v/>
      </c>
      <c r="AC377">
        <f>IF(AB377&lt;&gt;"OK","",TRIM(IF(AND(AU377&lt;&gt;"",N(AU377)&lt;=1),"根拠1件 ","")&amp;IF(AV377&lt;&gt;"","同名あり ","")&amp;IF(AND(NOT(ISNUMBER(N377)),N377&lt;&gt;""),"回数を換算 ","")&amp;IF(J377="","詳細なし ","")&amp;IF(AND(N(AP377)=1,BB377=""),"顧客名なし ","")))</f>
        <v/>
      </c>
      <c r="AD377" s="31" t="n"/>
      <c r="AE377" s="32" t="n"/>
      <c r="AF377" s="32" t="n"/>
      <c r="AG377" s="31" t="n"/>
      <c r="AH377">
        <f>IF(AB377&lt;&gt;"OK","",IF(AG377&lt;&gt;"",AG377,AJ377))</f>
        <v/>
      </c>
      <c r="AI377" s="33">
        <f>IF(AB377&lt;&gt;"OK","",IFERROR(IF(AE377&lt;&gt;"",AE377,AS377)*IF(AF377&lt;&gt;"",AF377,AT377)/60,""))</f>
        <v/>
      </c>
      <c r="AJ377">
        <f>IF(AB377&lt;&gt;"OK","",IF(OR(VALUE(T377)=2,VALUE(U377)=2,VALUE(V377)=2),"社内残置",IF(AND(VALUE(T377)=0,VALUE(W377)=0,VALUE(Y377)=0),"自動化候補",IF(AND(VALUE(U377)=0,VALUE(W377)&lt;=1,VALUE(X377)&lt;=1,VALUE(Y377)&lt;=1,VALUE(Z377)&lt;=1),"オフショア候補",IF(AND(VALUE(Y377)&lt;=1,VALUE(Z377)&lt;=1),"ニアショア候補","社内で手順化→再評価")))))</f>
        <v/>
      </c>
      <c r="AK377">
        <f>IF(AB377&lt;&gt;"OK","",14-SUMPRODUCT(--T377:Z377))</f>
        <v/>
      </c>
      <c r="AL377" s="33">
        <f>IF(AB377&lt;&gt;"OK","",AS377*AT377/60)</f>
        <v/>
      </c>
      <c r="AM377" s="34">
        <f>IF(A377="","",UPPER(TRIM(ASC(A377&amp;""))))</f>
        <v/>
      </c>
      <c r="AN377" s="34">
        <f>IF(AM377="","",AM377&amp;"-"&amp;B377)</f>
        <v/>
      </c>
      <c r="AO377" s="34">
        <f>IF(C377="","",IFERROR(VALUE(ASC(SUBSTITUTE(C377&amp;"","観点",""))),""))</f>
        <v/>
      </c>
      <c r="AP377" s="34">
        <f>IF(D377="","",IFERROR(VALUE(LEFT(TRIM(ASC(D377&amp;"")),1)),IFERROR(MATCH(TRIM(D377&amp;""),'M2_区分マスタ'!$I$5:$I$10,0),"")))</f>
        <v/>
      </c>
      <c r="AQ377" s="34">
        <f>IF(H377="","",UPPER(LEFT(TRIM(ASC(H377&amp;"")),3)))</f>
        <v/>
      </c>
      <c r="AR377" s="34">
        <f>IF(N377="","",IFERROR(VALUE(SUBSTITUTE(SUBSTITUTE(SUBSTITUTE(SUBSTITUTE(SUBSTITUTE(SUBSTITUTE(SUBSTITUTE(SUBSTITUTE(SUBSTITUTE(SUBSTITUTE(SUBSTITUTE(SUBSTITUTE(ASC(N377&amp;""),"約",""),"程度",""),"ほど",""),"回",""),"毎",""),"週",""),"月",""),"年",""),"日",""),"に",""),"/","")," ","")),""))</f>
        <v/>
      </c>
      <c r="AS377" s="34">
        <f>IF(N377="","",IF(ISNUMBER(N377),N377,IFERROR(VALUE(ASC(N377&amp;"")),IF(AR377&lt;&gt;"",AR377*IF(ISNUMBER(SEARCH("週",N377)),4.3,IF(ISNUMBER(SEARCH("年",N377)),1/12,IF(ISNUMBER(SEARCH("日",N377)),20,1))),IF(ISNUMBER(SEARCH("日",N377)),20,IF(ISNUMBER(SEARCH("週",N377)),4.3,IF(ISNUMBER(SEARCH("月",N377)),1,"")))))))</f>
        <v/>
      </c>
      <c r="AT377" s="34">
        <f>IF(O377="","",IF(ISNUMBER(O377),O377,IFERROR(VALUE(ASC(O377&amp;"")),IF(ISNUMBER(SEARCH("時間",O377)),IFERROR(VALUE(SUBSTITUTE(SUBSTITUTE(SUBSTITUTE(SUBSTITUTE(SUBSTITUTE(ASC(O377&amp;""),"約",""),"程度",""),"ほど",""),"時間","")," ",""))*60,""),IFERROR(VALUE(SUBSTITUTE(SUBSTITUTE(SUBSTITUTE(SUBSTITUTE(SUBSTITUTE(ASC(O377&amp;""),"約",""),"程度",""),"ほど",""),"分","")," ","")),"")))))</f>
        <v/>
      </c>
      <c r="AU377" s="34">
        <f>IF(P377="","",IF(ISNUMBER(P377),P377,IFERROR(VALUE(SUBSTITUTE(SUBSTITUTE(SUBSTITUTE(ASC(P377&amp;""),"約",""),"件","")," ","")),"")))</f>
        <v/>
      </c>
      <c r="AV377" s="34">
        <f>IF(AB377&lt;&gt;"OK","",IF(COUNTIFS($G$5:$G$404,G377&amp;"",$F$5:$F$404,F377&amp;"",$BE$5:$BE$404,BE377&amp;"",$AB$5:$AB$404,"OK")&gt;1,"同名あり",""))</f>
        <v/>
      </c>
      <c r="AW377" s="35">
        <f>IF(Q377="","",IF(ISNUMBER(Q377),Q377,IFERROR(DATEVALUE(SUBSTITUTE(SUBSTITUTE(ASC(Q377&amp;""),"-","/"),".","/")&amp;"/01"),"")))</f>
        <v/>
      </c>
      <c r="AX377" s="35">
        <f>IF(R377="","",IF(ISNUMBER(R377),R377,IFERROR(DATEVALUE(SUBSTITUTE(SUBSTITUTE(ASC(R377&amp;""),"-","/"),".","/")&amp;"/01"),"")))</f>
        <v/>
      </c>
      <c r="AY377" s="34">
        <f>IF(OR(AB377&lt;&gt;"OK",AW377=""),"",IF(AW377&gt;='01_設定'!$C$26,1,0))</f>
        <v/>
      </c>
      <c r="AZ377" s="34">
        <f>IF(AND(AB377="OK",AD377&lt;&gt;"除外"),COUNTIFS($AB$5:AB377,"OK",$AD$5:AD377,"&lt;&gt;除外"),"")</f>
        <v/>
      </c>
      <c r="BA377" s="34">
        <f>IF(OR(AZ377="",AI377=""),"",AI377+ROW()/1000000000)</f>
        <v/>
      </c>
      <c r="BB377" s="34">
        <f>IF(E377="","",IF(OR(TRIM(E377&amp;"")="-",TRIM(E377&amp;"")="－",TRIM(E377&amp;"")="ー"),"",TRIM(E377&amp;"")))</f>
        <v/>
      </c>
      <c r="BC377" s="34">
        <f>IF(AND(AB377="OK",BB377&lt;&gt;""),IF(COUNTIFS($BB$5:BB377,BB377,$AB$5:AB377,"OK")=1,1,""),"")</f>
        <v/>
      </c>
      <c r="BD377" s="34">
        <f>IF(BC377=1,COUNTIF($BC$5:BC377,1),"")</f>
        <v/>
      </c>
      <c r="BE377" s="34">
        <f>IF(BB377="","",IFERROR(INDEX('06_顧客別集計'!$G$5:$G$104,MATCH(BB377,'06_顧客別集計'!$C$5:$C$104,0)),BB377))</f>
        <v/>
      </c>
      <c r="BF377" s="34">
        <f>IF(AND(AZ377&lt;&gt;"",BE377&lt;&gt;""),IF(COUNTIFS($BE$5:BE377,BE377,$AZ$5:AZ377,"&gt;0")=1,1,""),"")</f>
        <v/>
      </c>
      <c r="BG377" s="34">
        <f>IF(BF377=1,COUNTIF($BF$5:BF377,1),"")</f>
        <v/>
      </c>
    </row>
    <row r="378">
      <c r="AB378">
        <f>IF(AND(A378="",G378=""),"",IF(ISNUMBER(SEARCH("##END",AM378)),"（終わりの印）",IF(ISNUMBER(SEARCH("##続き",AM378)),"（続きありの印）",IF(AM378="調査ID","（見出し行）",IF(AND(AM378&lt;&gt;"R1",AM378&lt;&gt;"R2"),"×表以外の行（集計されない）",IF(COUNTIF($AN$5:AN378,AN378)&gt;1,"△重複（集計されない）",IF(G378="","△タスク名なし",IF(ISNA(MATCH(AQ378,'M1_類型マスタ'!$A$5:$A$19,0)),"△類型が不正",IF(OR(AP378="",N(AP378)&lt;1,N(AP378)&gt;6),"△業務区分が不正",IF(OR(AS378="",AT378=""),"△回数・分が読めない",IF(SUMPRODUCT(--ISNUMBER(--T378:Z378))&lt;7,"△採点が足りない",IF(SUMPRODUCT((--T378:Z378&gt;2)+(--T378:Z378&lt;0))&gt;0,"△採点が範囲外","OK"))))))))))))</f>
        <v/>
      </c>
      <c r="AC378">
        <f>IF(AB378&lt;&gt;"OK","",TRIM(IF(AND(AU378&lt;&gt;"",N(AU378)&lt;=1),"根拠1件 ","")&amp;IF(AV378&lt;&gt;"","同名あり ","")&amp;IF(AND(NOT(ISNUMBER(N378)),N378&lt;&gt;""),"回数を換算 ","")&amp;IF(J378="","詳細なし ","")&amp;IF(AND(N(AP378)=1,BB378=""),"顧客名なし ","")))</f>
        <v/>
      </c>
      <c r="AD378" s="31" t="n"/>
      <c r="AE378" s="32" t="n"/>
      <c r="AF378" s="32" t="n"/>
      <c r="AG378" s="31" t="n"/>
      <c r="AH378">
        <f>IF(AB378&lt;&gt;"OK","",IF(AG378&lt;&gt;"",AG378,AJ378))</f>
        <v/>
      </c>
      <c r="AI378" s="33">
        <f>IF(AB378&lt;&gt;"OK","",IFERROR(IF(AE378&lt;&gt;"",AE378,AS378)*IF(AF378&lt;&gt;"",AF378,AT378)/60,""))</f>
        <v/>
      </c>
      <c r="AJ378">
        <f>IF(AB378&lt;&gt;"OK","",IF(OR(VALUE(T378)=2,VALUE(U378)=2,VALUE(V378)=2),"社内残置",IF(AND(VALUE(T378)=0,VALUE(W378)=0,VALUE(Y378)=0),"自動化候補",IF(AND(VALUE(U378)=0,VALUE(W378)&lt;=1,VALUE(X378)&lt;=1,VALUE(Y378)&lt;=1,VALUE(Z378)&lt;=1),"オフショア候補",IF(AND(VALUE(Y378)&lt;=1,VALUE(Z378)&lt;=1),"ニアショア候補","社内で手順化→再評価")))))</f>
        <v/>
      </c>
      <c r="AK378">
        <f>IF(AB378&lt;&gt;"OK","",14-SUMPRODUCT(--T378:Z378))</f>
        <v/>
      </c>
      <c r="AL378" s="33">
        <f>IF(AB378&lt;&gt;"OK","",AS378*AT378/60)</f>
        <v/>
      </c>
      <c r="AM378" s="34">
        <f>IF(A378="","",UPPER(TRIM(ASC(A378&amp;""))))</f>
        <v/>
      </c>
      <c r="AN378" s="34">
        <f>IF(AM378="","",AM378&amp;"-"&amp;B378)</f>
        <v/>
      </c>
      <c r="AO378" s="34">
        <f>IF(C378="","",IFERROR(VALUE(ASC(SUBSTITUTE(C378&amp;"","観点",""))),""))</f>
        <v/>
      </c>
      <c r="AP378" s="34">
        <f>IF(D378="","",IFERROR(VALUE(LEFT(TRIM(ASC(D378&amp;"")),1)),IFERROR(MATCH(TRIM(D378&amp;""),'M2_区分マスタ'!$I$5:$I$10,0),"")))</f>
        <v/>
      </c>
      <c r="AQ378" s="34">
        <f>IF(H378="","",UPPER(LEFT(TRIM(ASC(H378&amp;"")),3)))</f>
        <v/>
      </c>
      <c r="AR378" s="34">
        <f>IF(N378="","",IFERROR(VALUE(SUBSTITUTE(SUBSTITUTE(SUBSTITUTE(SUBSTITUTE(SUBSTITUTE(SUBSTITUTE(SUBSTITUTE(SUBSTITUTE(SUBSTITUTE(SUBSTITUTE(SUBSTITUTE(SUBSTITUTE(ASC(N378&amp;""),"約",""),"程度",""),"ほど",""),"回",""),"毎",""),"週",""),"月",""),"年",""),"日",""),"に",""),"/","")," ","")),""))</f>
        <v/>
      </c>
      <c r="AS378" s="34">
        <f>IF(N378="","",IF(ISNUMBER(N378),N378,IFERROR(VALUE(ASC(N378&amp;"")),IF(AR378&lt;&gt;"",AR378*IF(ISNUMBER(SEARCH("週",N378)),4.3,IF(ISNUMBER(SEARCH("年",N378)),1/12,IF(ISNUMBER(SEARCH("日",N378)),20,1))),IF(ISNUMBER(SEARCH("日",N378)),20,IF(ISNUMBER(SEARCH("週",N378)),4.3,IF(ISNUMBER(SEARCH("月",N378)),1,"")))))))</f>
        <v/>
      </c>
      <c r="AT378" s="34">
        <f>IF(O378="","",IF(ISNUMBER(O378),O378,IFERROR(VALUE(ASC(O378&amp;"")),IF(ISNUMBER(SEARCH("時間",O378)),IFERROR(VALUE(SUBSTITUTE(SUBSTITUTE(SUBSTITUTE(SUBSTITUTE(SUBSTITUTE(ASC(O378&amp;""),"約",""),"程度",""),"ほど",""),"時間","")," ",""))*60,""),IFERROR(VALUE(SUBSTITUTE(SUBSTITUTE(SUBSTITUTE(SUBSTITUTE(SUBSTITUTE(ASC(O378&amp;""),"約",""),"程度",""),"ほど",""),"分","")," ","")),"")))))</f>
        <v/>
      </c>
      <c r="AU378" s="34">
        <f>IF(P378="","",IF(ISNUMBER(P378),P378,IFERROR(VALUE(SUBSTITUTE(SUBSTITUTE(SUBSTITUTE(ASC(P378&amp;""),"約",""),"件","")," ","")),"")))</f>
        <v/>
      </c>
      <c r="AV378" s="34">
        <f>IF(AB378&lt;&gt;"OK","",IF(COUNTIFS($G$5:$G$404,G378&amp;"",$F$5:$F$404,F378&amp;"",$BE$5:$BE$404,BE378&amp;"",$AB$5:$AB$404,"OK")&gt;1,"同名あり",""))</f>
        <v/>
      </c>
      <c r="AW378" s="35">
        <f>IF(Q378="","",IF(ISNUMBER(Q378),Q378,IFERROR(DATEVALUE(SUBSTITUTE(SUBSTITUTE(ASC(Q378&amp;""),"-","/"),".","/")&amp;"/01"),"")))</f>
        <v/>
      </c>
      <c r="AX378" s="35">
        <f>IF(R378="","",IF(ISNUMBER(R378),R378,IFERROR(DATEVALUE(SUBSTITUTE(SUBSTITUTE(ASC(R378&amp;""),"-","/"),".","/")&amp;"/01"),"")))</f>
        <v/>
      </c>
      <c r="AY378" s="34">
        <f>IF(OR(AB378&lt;&gt;"OK",AW378=""),"",IF(AW378&gt;='01_設定'!$C$26,1,0))</f>
        <v/>
      </c>
      <c r="AZ378" s="34">
        <f>IF(AND(AB378="OK",AD378&lt;&gt;"除外"),COUNTIFS($AB$5:AB378,"OK",$AD$5:AD378,"&lt;&gt;除外"),"")</f>
        <v/>
      </c>
      <c r="BA378" s="34">
        <f>IF(OR(AZ378="",AI378=""),"",AI378+ROW()/1000000000)</f>
        <v/>
      </c>
      <c r="BB378" s="34">
        <f>IF(E378="","",IF(OR(TRIM(E378&amp;"")="-",TRIM(E378&amp;"")="－",TRIM(E378&amp;"")="ー"),"",TRIM(E378&amp;"")))</f>
        <v/>
      </c>
      <c r="BC378" s="34">
        <f>IF(AND(AB378="OK",BB378&lt;&gt;""),IF(COUNTIFS($BB$5:BB378,BB378,$AB$5:AB378,"OK")=1,1,""),"")</f>
        <v/>
      </c>
      <c r="BD378" s="34">
        <f>IF(BC378=1,COUNTIF($BC$5:BC378,1),"")</f>
        <v/>
      </c>
      <c r="BE378" s="34">
        <f>IF(BB378="","",IFERROR(INDEX('06_顧客別集計'!$G$5:$G$104,MATCH(BB378,'06_顧客別集計'!$C$5:$C$104,0)),BB378))</f>
        <v/>
      </c>
      <c r="BF378" s="34">
        <f>IF(AND(AZ378&lt;&gt;"",BE378&lt;&gt;""),IF(COUNTIFS($BE$5:BE378,BE378,$AZ$5:AZ378,"&gt;0")=1,1,""),"")</f>
        <v/>
      </c>
      <c r="BG378" s="34">
        <f>IF(BF378=1,COUNTIF($BF$5:BF378,1),"")</f>
        <v/>
      </c>
    </row>
    <row r="379">
      <c r="AB379">
        <f>IF(AND(A379="",G379=""),"",IF(ISNUMBER(SEARCH("##END",AM379)),"（終わりの印）",IF(ISNUMBER(SEARCH("##続き",AM379)),"（続きありの印）",IF(AM379="調査ID","（見出し行）",IF(AND(AM379&lt;&gt;"R1",AM379&lt;&gt;"R2"),"×表以外の行（集計されない）",IF(COUNTIF($AN$5:AN379,AN379)&gt;1,"△重複（集計されない）",IF(G379="","△タスク名なし",IF(ISNA(MATCH(AQ379,'M1_類型マスタ'!$A$5:$A$19,0)),"△類型が不正",IF(OR(AP379="",N(AP379)&lt;1,N(AP379)&gt;6),"△業務区分が不正",IF(OR(AS379="",AT379=""),"△回数・分が読めない",IF(SUMPRODUCT(--ISNUMBER(--T379:Z379))&lt;7,"△採点が足りない",IF(SUMPRODUCT((--T379:Z379&gt;2)+(--T379:Z379&lt;0))&gt;0,"△採点が範囲外","OK"))))))))))))</f>
        <v/>
      </c>
      <c r="AC379">
        <f>IF(AB379&lt;&gt;"OK","",TRIM(IF(AND(AU379&lt;&gt;"",N(AU379)&lt;=1),"根拠1件 ","")&amp;IF(AV379&lt;&gt;"","同名あり ","")&amp;IF(AND(NOT(ISNUMBER(N379)),N379&lt;&gt;""),"回数を換算 ","")&amp;IF(J379="","詳細なし ","")&amp;IF(AND(N(AP379)=1,BB379=""),"顧客名なし ","")))</f>
        <v/>
      </c>
      <c r="AD379" s="31" t="n"/>
      <c r="AE379" s="32" t="n"/>
      <c r="AF379" s="32" t="n"/>
      <c r="AG379" s="31" t="n"/>
      <c r="AH379">
        <f>IF(AB379&lt;&gt;"OK","",IF(AG379&lt;&gt;"",AG379,AJ379))</f>
        <v/>
      </c>
      <c r="AI379" s="33">
        <f>IF(AB379&lt;&gt;"OK","",IFERROR(IF(AE379&lt;&gt;"",AE379,AS379)*IF(AF379&lt;&gt;"",AF379,AT379)/60,""))</f>
        <v/>
      </c>
      <c r="AJ379">
        <f>IF(AB379&lt;&gt;"OK","",IF(OR(VALUE(T379)=2,VALUE(U379)=2,VALUE(V379)=2),"社内残置",IF(AND(VALUE(T379)=0,VALUE(W379)=0,VALUE(Y379)=0),"自動化候補",IF(AND(VALUE(U379)=0,VALUE(W379)&lt;=1,VALUE(X379)&lt;=1,VALUE(Y379)&lt;=1,VALUE(Z379)&lt;=1),"オフショア候補",IF(AND(VALUE(Y379)&lt;=1,VALUE(Z379)&lt;=1),"ニアショア候補","社内で手順化→再評価")))))</f>
        <v/>
      </c>
      <c r="AK379">
        <f>IF(AB379&lt;&gt;"OK","",14-SUMPRODUCT(--T379:Z379))</f>
        <v/>
      </c>
      <c r="AL379" s="33">
        <f>IF(AB379&lt;&gt;"OK","",AS379*AT379/60)</f>
        <v/>
      </c>
      <c r="AM379" s="34">
        <f>IF(A379="","",UPPER(TRIM(ASC(A379&amp;""))))</f>
        <v/>
      </c>
      <c r="AN379" s="34">
        <f>IF(AM379="","",AM379&amp;"-"&amp;B379)</f>
        <v/>
      </c>
      <c r="AO379" s="34">
        <f>IF(C379="","",IFERROR(VALUE(ASC(SUBSTITUTE(C379&amp;"","観点",""))),""))</f>
        <v/>
      </c>
      <c r="AP379" s="34">
        <f>IF(D379="","",IFERROR(VALUE(LEFT(TRIM(ASC(D379&amp;"")),1)),IFERROR(MATCH(TRIM(D379&amp;""),'M2_区分マスタ'!$I$5:$I$10,0),"")))</f>
        <v/>
      </c>
      <c r="AQ379" s="34">
        <f>IF(H379="","",UPPER(LEFT(TRIM(ASC(H379&amp;"")),3)))</f>
        <v/>
      </c>
      <c r="AR379" s="34">
        <f>IF(N379="","",IFERROR(VALUE(SUBSTITUTE(SUBSTITUTE(SUBSTITUTE(SUBSTITUTE(SUBSTITUTE(SUBSTITUTE(SUBSTITUTE(SUBSTITUTE(SUBSTITUTE(SUBSTITUTE(SUBSTITUTE(SUBSTITUTE(ASC(N379&amp;""),"約",""),"程度",""),"ほど",""),"回",""),"毎",""),"週",""),"月",""),"年",""),"日",""),"に",""),"/","")," ","")),""))</f>
        <v/>
      </c>
      <c r="AS379" s="34">
        <f>IF(N379="","",IF(ISNUMBER(N379),N379,IFERROR(VALUE(ASC(N379&amp;"")),IF(AR379&lt;&gt;"",AR379*IF(ISNUMBER(SEARCH("週",N379)),4.3,IF(ISNUMBER(SEARCH("年",N379)),1/12,IF(ISNUMBER(SEARCH("日",N379)),20,1))),IF(ISNUMBER(SEARCH("日",N379)),20,IF(ISNUMBER(SEARCH("週",N379)),4.3,IF(ISNUMBER(SEARCH("月",N379)),1,"")))))))</f>
        <v/>
      </c>
      <c r="AT379" s="34">
        <f>IF(O379="","",IF(ISNUMBER(O379),O379,IFERROR(VALUE(ASC(O379&amp;"")),IF(ISNUMBER(SEARCH("時間",O379)),IFERROR(VALUE(SUBSTITUTE(SUBSTITUTE(SUBSTITUTE(SUBSTITUTE(SUBSTITUTE(ASC(O379&amp;""),"約",""),"程度",""),"ほど",""),"時間","")," ",""))*60,""),IFERROR(VALUE(SUBSTITUTE(SUBSTITUTE(SUBSTITUTE(SUBSTITUTE(SUBSTITUTE(ASC(O379&amp;""),"約",""),"程度",""),"ほど",""),"分","")," ","")),"")))))</f>
        <v/>
      </c>
      <c r="AU379" s="34">
        <f>IF(P379="","",IF(ISNUMBER(P379),P379,IFERROR(VALUE(SUBSTITUTE(SUBSTITUTE(SUBSTITUTE(ASC(P379&amp;""),"約",""),"件","")," ","")),"")))</f>
        <v/>
      </c>
      <c r="AV379" s="34">
        <f>IF(AB379&lt;&gt;"OK","",IF(COUNTIFS($G$5:$G$404,G379&amp;"",$F$5:$F$404,F379&amp;"",$BE$5:$BE$404,BE379&amp;"",$AB$5:$AB$404,"OK")&gt;1,"同名あり",""))</f>
        <v/>
      </c>
      <c r="AW379" s="35">
        <f>IF(Q379="","",IF(ISNUMBER(Q379),Q379,IFERROR(DATEVALUE(SUBSTITUTE(SUBSTITUTE(ASC(Q379&amp;""),"-","/"),".","/")&amp;"/01"),"")))</f>
        <v/>
      </c>
      <c r="AX379" s="35">
        <f>IF(R379="","",IF(ISNUMBER(R379),R379,IFERROR(DATEVALUE(SUBSTITUTE(SUBSTITUTE(ASC(R379&amp;""),"-","/"),".","/")&amp;"/01"),"")))</f>
        <v/>
      </c>
      <c r="AY379" s="34">
        <f>IF(OR(AB379&lt;&gt;"OK",AW379=""),"",IF(AW379&gt;='01_設定'!$C$26,1,0))</f>
        <v/>
      </c>
      <c r="AZ379" s="34">
        <f>IF(AND(AB379="OK",AD379&lt;&gt;"除外"),COUNTIFS($AB$5:AB379,"OK",$AD$5:AD379,"&lt;&gt;除外"),"")</f>
        <v/>
      </c>
      <c r="BA379" s="34">
        <f>IF(OR(AZ379="",AI379=""),"",AI379+ROW()/1000000000)</f>
        <v/>
      </c>
      <c r="BB379" s="34">
        <f>IF(E379="","",IF(OR(TRIM(E379&amp;"")="-",TRIM(E379&amp;"")="－",TRIM(E379&amp;"")="ー"),"",TRIM(E379&amp;"")))</f>
        <v/>
      </c>
      <c r="BC379" s="34">
        <f>IF(AND(AB379="OK",BB379&lt;&gt;""),IF(COUNTIFS($BB$5:BB379,BB379,$AB$5:AB379,"OK")=1,1,""),"")</f>
        <v/>
      </c>
      <c r="BD379" s="34">
        <f>IF(BC379=1,COUNTIF($BC$5:BC379,1),"")</f>
        <v/>
      </c>
      <c r="BE379" s="34">
        <f>IF(BB379="","",IFERROR(INDEX('06_顧客別集計'!$G$5:$G$104,MATCH(BB379,'06_顧客別集計'!$C$5:$C$104,0)),BB379))</f>
        <v/>
      </c>
      <c r="BF379" s="34">
        <f>IF(AND(AZ379&lt;&gt;"",BE379&lt;&gt;""),IF(COUNTIFS($BE$5:BE379,BE379,$AZ$5:AZ379,"&gt;0")=1,1,""),"")</f>
        <v/>
      </c>
      <c r="BG379" s="34">
        <f>IF(BF379=1,COUNTIF($BF$5:BF379,1),"")</f>
        <v/>
      </c>
    </row>
    <row r="380">
      <c r="AB380">
        <f>IF(AND(A380="",G380=""),"",IF(ISNUMBER(SEARCH("##END",AM380)),"（終わりの印）",IF(ISNUMBER(SEARCH("##続き",AM380)),"（続きありの印）",IF(AM380="調査ID","（見出し行）",IF(AND(AM380&lt;&gt;"R1",AM380&lt;&gt;"R2"),"×表以外の行（集計されない）",IF(COUNTIF($AN$5:AN380,AN380)&gt;1,"△重複（集計されない）",IF(G380="","△タスク名なし",IF(ISNA(MATCH(AQ380,'M1_類型マスタ'!$A$5:$A$19,0)),"△類型が不正",IF(OR(AP380="",N(AP380)&lt;1,N(AP380)&gt;6),"△業務区分が不正",IF(OR(AS380="",AT380=""),"△回数・分が読めない",IF(SUMPRODUCT(--ISNUMBER(--T380:Z380))&lt;7,"△採点が足りない",IF(SUMPRODUCT((--T380:Z380&gt;2)+(--T380:Z380&lt;0))&gt;0,"△採点が範囲外","OK"))))))))))))</f>
        <v/>
      </c>
      <c r="AC380">
        <f>IF(AB380&lt;&gt;"OK","",TRIM(IF(AND(AU380&lt;&gt;"",N(AU380)&lt;=1),"根拠1件 ","")&amp;IF(AV380&lt;&gt;"","同名あり ","")&amp;IF(AND(NOT(ISNUMBER(N380)),N380&lt;&gt;""),"回数を換算 ","")&amp;IF(J380="","詳細なし ","")&amp;IF(AND(N(AP380)=1,BB380=""),"顧客名なし ","")))</f>
        <v/>
      </c>
      <c r="AD380" s="31" t="n"/>
      <c r="AE380" s="32" t="n"/>
      <c r="AF380" s="32" t="n"/>
      <c r="AG380" s="31" t="n"/>
      <c r="AH380">
        <f>IF(AB380&lt;&gt;"OK","",IF(AG380&lt;&gt;"",AG380,AJ380))</f>
        <v/>
      </c>
      <c r="AI380" s="33">
        <f>IF(AB380&lt;&gt;"OK","",IFERROR(IF(AE380&lt;&gt;"",AE380,AS380)*IF(AF380&lt;&gt;"",AF380,AT380)/60,""))</f>
        <v/>
      </c>
      <c r="AJ380">
        <f>IF(AB380&lt;&gt;"OK","",IF(OR(VALUE(T380)=2,VALUE(U380)=2,VALUE(V380)=2),"社内残置",IF(AND(VALUE(T380)=0,VALUE(W380)=0,VALUE(Y380)=0),"自動化候補",IF(AND(VALUE(U380)=0,VALUE(W380)&lt;=1,VALUE(X380)&lt;=1,VALUE(Y380)&lt;=1,VALUE(Z380)&lt;=1),"オフショア候補",IF(AND(VALUE(Y380)&lt;=1,VALUE(Z380)&lt;=1),"ニアショア候補","社内で手順化→再評価")))))</f>
        <v/>
      </c>
      <c r="AK380">
        <f>IF(AB380&lt;&gt;"OK","",14-SUMPRODUCT(--T380:Z380))</f>
        <v/>
      </c>
      <c r="AL380" s="33">
        <f>IF(AB380&lt;&gt;"OK","",AS380*AT380/60)</f>
        <v/>
      </c>
      <c r="AM380" s="34">
        <f>IF(A380="","",UPPER(TRIM(ASC(A380&amp;""))))</f>
        <v/>
      </c>
      <c r="AN380" s="34">
        <f>IF(AM380="","",AM380&amp;"-"&amp;B380)</f>
        <v/>
      </c>
      <c r="AO380" s="34">
        <f>IF(C380="","",IFERROR(VALUE(ASC(SUBSTITUTE(C380&amp;"","観点",""))),""))</f>
        <v/>
      </c>
      <c r="AP380" s="34">
        <f>IF(D380="","",IFERROR(VALUE(LEFT(TRIM(ASC(D380&amp;"")),1)),IFERROR(MATCH(TRIM(D380&amp;""),'M2_区分マスタ'!$I$5:$I$10,0),"")))</f>
        <v/>
      </c>
      <c r="AQ380" s="34">
        <f>IF(H380="","",UPPER(LEFT(TRIM(ASC(H380&amp;"")),3)))</f>
        <v/>
      </c>
      <c r="AR380" s="34">
        <f>IF(N380="","",IFERROR(VALUE(SUBSTITUTE(SUBSTITUTE(SUBSTITUTE(SUBSTITUTE(SUBSTITUTE(SUBSTITUTE(SUBSTITUTE(SUBSTITUTE(SUBSTITUTE(SUBSTITUTE(SUBSTITUTE(SUBSTITUTE(ASC(N380&amp;""),"約",""),"程度",""),"ほど",""),"回",""),"毎",""),"週",""),"月",""),"年",""),"日",""),"に",""),"/","")," ","")),""))</f>
        <v/>
      </c>
      <c r="AS380" s="34">
        <f>IF(N380="","",IF(ISNUMBER(N380),N380,IFERROR(VALUE(ASC(N380&amp;"")),IF(AR380&lt;&gt;"",AR380*IF(ISNUMBER(SEARCH("週",N380)),4.3,IF(ISNUMBER(SEARCH("年",N380)),1/12,IF(ISNUMBER(SEARCH("日",N380)),20,1))),IF(ISNUMBER(SEARCH("日",N380)),20,IF(ISNUMBER(SEARCH("週",N380)),4.3,IF(ISNUMBER(SEARCH("月",N380)),1,"")))))))</f>
        <v/>
      </c>
      <c r="AT380" s="34">
        <f>IF(O380="","",IF(ISNUMBER(O380),O380,IFERROR(VALUE(ASC(O380&amp;"")),IF(ISNUMBER(SEARCH("時間",O380)),IFERROR(VALUE(SUBSTITUTE(SUBSTITUTE(SUBSTITUTE(SUBSTITUTE(SUBSTITUTE(ASC(O380&amp;""),"約",""),"程度",""),"ほど",""),"時間","")," ",""))*60,""),IFERROR(VALUE(SUBSTITUTE(SUBSTITUTE(SUBSTITUTE(SUBSTITUTE(SUBSTITUTE(ASC(O380&amp;""),"約",""),"程度",""),"ほど",""),"分","")," ","")),"")))))</f>
        <v/>
      </c>
      <c r="AU380" s="34">
        <f>IF(P380="","",IF(ISNUMBER(P380),P380,IFERROR(VALUE(SUBSTITUTE(SUBSTITUTE(SUBSTITUTE(ASC(P380&amp;""),"約",""),"件","")," ","")),"")))</f>
        <v/>
      </c>
      <c r="AV380" s="34">
        <f>IF(AB380&lt;&gt;"OK","",IF(COUNTIFS($G$5:$G$404,G380&amp;"",$F$5:$F$404,F380&amp;"",$BE$5:$BE$404,BE380&amp;"",$AB$5:$AB$404,"OK")&gt;1,"同名あり",""))</f>
        <v/>
      </c>
      <c r="AW380" s="35">
        <f>IF(Q380="","",IF(ISNUMBER(Q380),Q380,IFERROR(DATEVALUE(SUBSTITUTE(SUBSTITUTE(ASC(Q380&amp;""),"-","/"),".","/")&amp;"/01"),"")))</f>
        <v/>
      </c>
      <c r="AX380" s="35">
        <f>IF(R380="","",IF(ISNUMBER(R380),R380,IFERROR(DATEVALUE(SUBSTITUTE(SUBSTITUTE(ASC(R380&amp;""),"-","/"),".","/")&amp;"/01"),"")))</f>
        <v/>
      </c>
      <c r="AY380" s="34">
        <f>IF(OR(AB380&lt;&gt;"OK",AW380=""),"",IF(AW380&gt;='01_設定'!$C$26,1,0))</f>
        <v/>
      </c>
      <c r="AZ380" s="34">
        <f>IF(AND(AB380="OK",AD380&lt;&gt;"除外"),COUNTIFS($AB$5:AB380,"OK",$AD$5:AD380,"&lt;&gt;除外"),"")</f>
        <v/>
      </c>
      <c r="BA380" s="34">
        <f>IF(OR(AZ380="",AI380=""),"",AI380+ROW()/1000000000)</f>
        <v/>
      </c>
      <c r="BB380" s="34">
        <f>IF(E380="","",IF(OR(TRIM(E380&amp;"")="-",TRIM(E380&amp;"")="－",TRIM(E380&amp;"")="ー"),"",TRIM(E380&amp;"")))</f>
        <v/>
      </c>
      <c r="BC380" s="34">
        <f>IF(AND(AB380="OK",BB380&lt;&gt;""),IF(COUNTIFS($BB$5:BB380,BB380,$AB$5:AB380,"OK")=1,1,""),"")</f>
        <v/>
      </c>
      <c r="BD380" s="34">
        <f>IF(BC380=1,COUNTIF($BC$5:BC380,1),"")</f>
        <v/>
      </c>
      <c r="BE380" s="34">
        <f>IF(BB380="","",IFERROR(INDEX('06_顧客別集計'!$G$5:$G$104,MATCH(BB380,'06_顧客別集計'!$C$5:$C$104,0)),BB380))</f>
        <v/>
      </c>
      <c r="BF380" s="34">
        <f>IF(AND(AZ380&lt;&gt;"",BE380&lt;&gt;""),IF(COUNTIFS($BE$5:BE380,BE380,$AZ$5:AZ380,"&gt;0")=1,1,""),"")</f>
        <v/>
      </c>
      <c r="BG380" s="34">
        <f>IF(BF380=1,COUNTIF($BF$5:BF380,1),"")</f>
        <v/>
      </c>
    </row>
    <row r="381">
      <c r="AB381">
        <f>IF(AND(A381="",G381=""),"",IF(ISNUMBER(SEARCH("##END",AM381)),"（終わりの印）",IF(ISNUMBER(SEARCH("##続き",AM381)),"（続きありの印）",IF(AM381="調査ID","（見出し行）",IF(AND(AM381&lt;&gt;"R1",AM381&lt;&gt;"R2"),"×表以外の行（集計されない）",IF(COUNTIF($AN$5:AN381,AN381)&gt;1,"△重複（集計されない）",IF(G381="","△タスク名なし",IF(ISNA(MATCH(AQ381,'M1_類型マスタ'!$A$5:$A$19,0)),"△類型が不正",IF(OR(AP381="",N(AP381)&lt;1,N(AP381)&gt;6),"△業務区分が不正",IF(OR(AS381="",AT381=""),"△回数・分が読めない",IF(SUMPRODUCT(--ISNUMBER(--T381:Z381))&lt;7,"△採点が足りない",IF(SUMPRODUCT((--T381:Z381&gt;2)+(--T381:Z381&lt;0))&gt;0,"△採点が範囲外","OK"))))))))))))</f>
        <v/>
      </c>
      <c r="AC381">
        <f>IF(AB381&lt;&gt;"OK","",TRIM(IF(AND(AU381&lt;&gt;"",N(AU381)&lt;=1),"根拠1件 ","")&amp;IF(AV381&lt;&gt;"","同名あり ","")&amp;IF(AND(NOT(ISNUMBER(N381)),N381&lt;&gt;""),"回数を換算 ","")&amp;IF(J381="","詳細なし ","")&amp;IF(AND(N(AP381)=1,BB381=""),"顧客名なし ","")))</f>
        <v/>
      </c>
      <c r="AD381" s="31" t="n"/>
      <c r="AE381" s="32" t="n"/>
      <c r="AF381" s="32" t="n"/>
      <c r="AG381" s="31" t="n"/>
      <c r="AH381">
        <f>IF(AB381&lt;&gt;"OK","",IF(AG381&lt;&gt;"",AG381,AJ381))</f>
        <v/>
      </c>
      <c r="AI381" s="33">
        <f>IF(AB381&lt;&gt;"OK","",IFERROR(IF(AE381&lt;&gt;"",AE381,AS381)*IF(AF381&lt;&gt;"",AF381,AT381)/60,""))</f>
        <v/>
      </c>
      <c r="AJ381">
        <f>IF(AB381&lt;&gt;"OK","",IF(OR(VALUE(T381)=2,VALUE(U381)=2,VALUE(V381)=2),"社内残置",IF(AND(VALUE(T381)=0,VALUE(W381)=0,VALUE(Y381)=0),"自動化候補",IF(AND(VALUE(U381)=0,VALUE(W381)&lt;=1,VALUE(X381)&lt;=1,VALUE(Y381)&lt;=1,VALUE(Z381)&lt;=1),"オフショア候補",IF(AND(VALUE(Y381)&lt;=1,VALUE(Z381)&lt;=1),"ニアショア候補","社内で手順化→再評価")))))</f>
        <v/>
      </c>
      <c r="AK381">
        <f>IF(AB381&lt;&gt;"OK","",14-SUMPRODUCT(--T381:Z381))</f>
        <v/>
      </c>
      <c r="AL381" s="33">
        <f>IF(AB381&lt;&gt;"OK","",AS381*AT381/60)</f>
        <v/>
      </c>
      <c r="AM381" s="34">
        <f>IF(A381="","",UPPER(TRIM(ASC(A381&amp;""))))</f>
        <v/>
      </c>
      <c r="AN381" s="34">
        <f>IF(AM381="","",AM381&amp;"-"&amp;B381)</f>
        <v/>
      </c>
      <c r="AO381" s="34">
        <f>IF(C381="","",IFERROR(VALUE(ASC(SUBSTITUTE(C381&amp;"","観点",""))),""))</f>
        <v/>
      </c>
      <c r="AP381" s="34">
        <f>IF(D381="","",IFERROR(VALUE(LEFT(TRIM(ASC(D381&amp;"")),1)),IFERROR(MATCH(TRIM(D381&amp;""),'M2_区分マスタ'!$I$5:$I$10,0),"")))</f>
        <v/>
      </c>
      <c r="AQ381" s="34">
        <f>IF(H381="","",UPPER(LEFT(TRIM(ASC(H381&amp;"")),3)))</f>
        <v/>
      </c>
      <c r="AR381" s="34">
        <f>IF(N381="","",IFERROR(VALUE(SUBSTITUTE(SUBSTITUTE(SUBSTITUTE(SUBSTITUTE(SUBSTITUTE(SUBSTITUTE(SUBSTITUTE(SUBSTITUTE(SUBSTITUTE(SUBSTITUTE(SUBSTITUTE(SUBSTITUTE(ASC(N381&amp;""),"約",""),"程度",""),"ほど",""),"回",""),"毎",""),"週",""),"月",""),"年",""),"日",""),"に",""),"/","")," ","")),""))</f>
        <v/>
      </c>
      <c r="AS381" s="34">
        <f>IF(N381="","",IF(ISNUMBER(N381),N381,IFERROR(VALUE(ASC(N381&amp;"")),IF(AR381&lt;&gt;"",AR381*IF(ISNUMBER(SEARCH("週",N381)),4.3,IF(ISNUMBER(SEARCH("年",N381)),1/12,IF(ISNUMBER(SEARCH("日",N381)),20,1))),IF(ISNUMBER(SEARCH("日",N381)),20,IF(ISNUMBER(SEARCH("週",N381)),4.3,IF(ISNUMBER(SEARCH("月",N381)),1,"")))))))</f>
        <v/>
      </c>
      <c r="AT381" s="34">
        <f>IF(O381="","",IF(ISNUMBER(O381),O381,IFERROR(VALUE(ASC(O381&amp;"")),IF(ISNUMBER(SEARCH("時間",O381)),IFERROR(VALUE(SUBSTITUTE(SUBSTITUTE(SUBSTITUTE(SUBSTITUTE(SUBSTITUTE(ASC(O381&amp;""),"約",""),"程度",""),"ほど",""),"時間","")," ",""))*60,""),IFERROR(VALUE(SUBSTITUTE(SUBSTITUTE(SUBSTITUTE(SUBSTITUTE(SUBSTITUTE(ASC(O381&amp;""),"約",""),"程度",""),"ほど",""),"分","")," ","")),"")))))</f>
        <v/>
      </c>
      <c r="AU381" s="34">
        <f>IF(P381="","",IF(ISNUMBER(P381),P381,IFERROR(VALUE(SUBSTITUTE(SUBSTITUTE(SUBSTITUTE(ASC(P381&amp;""),"約",""),"件","")," ","")),"")))</f>
        <v/>
      </c>
      <c r="AV381" s="34">
        <f>IF(AB381&lt;&gt;"OK","",IF(COUNTIFS($G$5:$G$404,G381&amp;"",$F$5:$F$404,F381&amp;"",$BE$5:$BE$404,BE381&amp;"",$AB$5:$AB$404,"OK")&gt;1,"同名あり",""))</f>
        <v/>
      </c>
      <c r="AW381" s="35">
        <f>IF(Q381="","",IF(ISNUMBER(Q381),Q381,IFERROR(DATEVALUE(SUBSTITUTE(SUBSTITUTE(ASC(Q381&amp;""),"-","/"),".","/")&amp;"/01"),"")))</f>
        <v/>
      </c>
      <c r="AX381" s="35">
        <f>IF(R381="","",IF(ISNUMBER(R381),R381,IFERROR(DATEVALUE(SUBSTITUTE(SUBSTITUTE(ASC(R381&amp;""),"-","/"),".","/")&amp;"/01"),"")))</f>
        <v/>
      </c>
      <c r="AY381" s="34">
        <f>IF(OR(AB381&lt;&gt;"OK",AW381=""),"",IF(AW381&gt;='01_設定'!$C$26,1,0))</f>
        <v/>
      </c>
      <c r="AZ381" s="34">
        <f>IF(AND(AB381="OK",AD381&lt;&gt;"除外"),COUNTIFS($AB$5:AB381,"OK",$AD$5:AD381,"&lt;&gt;除外"),"")</f>
        <v/>
      </c>
      <c r="BA381" s="34">
        <f>IF(OR(AZ381="",AI381=""),"",AI381+ROW()/1000000000)</f>
        <v/>
      </c>
      <c r="BB381" s="34">
        <f>IF(E381="","",IF(OR(TRIM(E381&amp;"")="-",TRIM(E381&amp;"")="－",TRIM(E381&amp;"")="ー"),"",TRIM(E381&amp;"")))</f>
        <v/>
      </c>
      <c r="BC381" s="34">
        <f>IF(AND(AB381="OK",BB381&lt;&gt;""),IF(COUNTIFS($BB$5:BB381,BB381,$AB$5:AB381,"OK")=1,1,""),"")</f>
        <v/>
      </c>
      <c r="BD381" s="34">
        <f>IF(BC381=1,COUNTIF($BC$5:BC381,1),"")</f>
        <v/>
      </c>
      <c r="BE381" s="34">
        <f>IF(BB381="","",IFERROR(INDEX('06_顧客別集計'!$G$5:$G$104,MATCH(BB381,'06_顧客別集計'!$C$5:$C$104,0)),BB381))</f>
        <v/>
      </c>
      <c r="BF381" s="34">
        <f>IF(AND(AZ381&lt;&gt;"",BE381&lt;&gt;""),IF(COUNTIFS($BE$5:BE381,BE381,$AZ$5:AZ381,"&gt;0")=1,1,""),"")</f>
        <v/>
      </c>
      <c r="BG381" s="34">
        <f>IF(BF381=1,COUNTIF($BF$5:BF381,1),"")</f>
        <v/>
      </c>
    </row>
    <row r="382">
      <c r="AB382">
        <f>IF(AND(A382="",G382=""),"",IF(ISNUMBER(SEARCH("##END",AM382)),"（終わりの印）",IF(ISNUMBER(SEARCH("##続き",AM382)),"（続きありの印）",IF(AM382="調査ID","（見出し行）",IF(AND(AM382&lt;&gt;"R1",AM382&lt;&gt;"R2"),"×表以外の行（集計されない）",IF(COUNTIF($AN$5:AN382,AN382)&gt;1,"△重複（集計されない）",IF(G382="","△タスク名なし",IF(ISNA(MATCH(AQ382,'M1_類型マスタ'!$A$5:$A$19,0)),"△類型が不正",IF(OR(AP382="",N(AP382)&lt;1,N(AP382)&gt;6),"△業務区分が不正",IF(OR(AS382="",AT382=""),"△回数・分が読めない",IF(SUMPRODUCT(--ISNUMBER(--T382:Z382))&lt;7,"△採点が足りない",IF(SUMPRODUCT((--T382:Z382&gt;2)+(--T382:Z382&lt;0))&gt;0,"△採点が範囲外","OK"))))))))))))</f>
        <v/>
      </c>
      <c r="AC382">
        <f>IF(AB382&lt;&gt;"OK","",TRIM(IF(AND(AU382&lt;&gt;"",N(AU382)&lt;=1),"根拠1件 ","")&amp;IF(AV382&lt;&gt;"","同名あり ","")&amp;IF(AND(NOT(ISNUMBER(N382)),N382&lt;&gt;""),"回数を換算 ","")&amp;IF(J382="","詳細なし ","")&amp;IF(AND(N(AP382)=1,BB382=""),"顧客名なし ","")))</f>
        <v/>
      </c>
      <c r="AD382" s="31" t="n"/>
      <c r="AE382" s="32" t="n"/>
      <c r="AF382" s="32" t="n"/>
      <c r="AG382" s="31" t="n"/>
      <c r="AH382">
        <f>IF(AB382&lt;&gt;"OK","",IF(AG382&lt;&gt;"",AG382,AJ382))</f>
        <v/>
      </c>
      <c r="AI382" s="33">
        <f>IF(AB382&lt;&gt;"OK","",IFERROR(IF(AE382&lt;&gt;"",AE382,AS382)*IF(AF382&lt;&gt;"",AF382,AT382)/60,""))</f>
        <v/>
      </c>
      <c r="AJ382">
        <f>IF(AB382&lt;&gt;"OK","",IF(OR(VALUE(T382)=2,VALUE(U382)=2,VALUE(V382)=2),"社内残置",IF(AND(VALUE(T382)=0,VALUE(W382)=0,VALUE(Y382)=0),"自動化候補",IF(AND(VALUE(U382)=0,VALUE(W382)&lt;=1,VALUE(X382)&lt;=1,VALUE(Y382)&lt;=1,VALUE(Z382)&lt;=1),"オフショア候補",IF(AND(VALUE(Y382)&lt;=1,VALUE(Z382)&lt;=1),"ニアショア候補","社内で手順化→再評価")))))</f>
        <v/>
      </c>
      <c r="AK382">
        <f>IF(AB382&lt;&gt;"OK","",14-SUMPRODUCT(--T382:Z382))</f>
        <v/>
      </c>
      <c r="AL382" s="33">
        <f>IF(AB382&lt;&gt;"OK","",AS382*AT382/60)</f>
        <v/>
      </c>
      <c r="AM382" s="34">
        <f>IF(A382="","",UPPER(TRIM(ASC(A382&amp;""))))</f>
        <v/>
      </c>
      <c r="AN382" s="34">
        <f>IF(AM382="","",AM382&amp;"-"&amp;B382)</f>
        <v/>
      </c>
      <c r="AO382" s="34">
        <f>IF(C382="","",IFERROR(VALUE(ASC(SUBSTITUTE(C382&amp;"","観点",""))),""))</f>
        <v/>
      </c>
      <c r="AP382" s="34">
        <f>IF(D382="","",IFERROR(VALUE(LEFT(TRIM(ASC(D382&amp;"")),1)),IFERROR(MATCH(TRIM(D382&amp;""),'M2_区分マスタ'!$I$5:$I$10,0),"")))</f>
        <v/>
      </c>
      <c r="AQ382" s="34">
        <f>IF(H382="","",UPPER(LEFT(TRIM(ASC(H382&amp;"")),3)))</f>
        <v/>
      </c>
      <c r="AR382" s="34">
        <f>IF(N382="","",IFERROR(VALUE(SUBSTITUTE(SUBSTITUTE(SUBSTITUTE(SUBSTITUTE(SUBSTITUTE(SUBSTITUTE(SUBSTITUTE(SUBSTITUTE(SUBSTITUTE(SUBSTITUTE(SUBSTITUTE(SUBSTITUTE(ASC(N382&amp;""),"約",""),"程度",""),"ほど",""),"回",""),"毎",""),"週",""),"月",""),"年",""),"日",""),"に",""),"/","")," ","")),""))</f>
        <v/>
      </c>
      <c r="AS382" s="34">
        <f>IF(N382="","",IF(ISNUMBER(N382),N382,IFERROR(VALUE(ASC(N382&amp;"")),IF(AR382&lt;&gt;"",AR382*IF(ISNUMBER(SEARCH("週",N382)),4.3,IF(ISNUMBER(SEARCH("年",N382)),1/12,IF(ISNUMBER(SEARCH("日",N382)),20,1))),IF(ISNUMBER(SEARCH("日",N382)),20,IF(ISNUMBER(SEARCH("週",N382)),4.3,IF(ISNUMBER(SEARCH("月",N382)),1,"")))))))</f>
        <v/>
      </c>
      <c r="AT382" s="34">
        <f>IF(O382="","",IF(ISNUMBER(O382),O382,IFERROR(VALUE(ASC(O382&amp;"")),IF(ISNUMBER(SEARCH("時間",O382)),IFERROR(VALUE(SUBSTITUTE(SUBSTITUTE(SUBSTITUTE(SUBSTITUTE(SUBSTITUTE(ASC(O382&amp;""),"約",""),"程度",""),"ほど",""),"時間","")," ",""))*60,""),IFERROR(VALUE(SUBSTITUTE(SUBSTITUTE(SUBSTITUTE(SUBSTITUTE(SUBSTITUTE(ASC(O382&amp;""),"約",""),"程度",""),"ほど",""),"分","")," ","")),"")))))</f>
        <v/>
      </c>
      <c r="AU382" s="34">
        <f>IF(P382="","",IF(ISNUMBER(P382),P382,IFERROR(VALUE(SUBSTITUTE(SUBSTITUTE(SUBSTITUTE(ASC(P382&amp;""),"約",""),"件","")," ","")),"")))</f>
        <v/>
      </c>
      <c r="AV382" s="34">
        <f>IF(AB382&lt;&gt;"OK","",IF(COUNTIFS($G$5:$G$404,G382&amp;"",$F$5:$F$404,F382&amp;"",$BE$5:$BE$404,BE382&amp;"",$AB$5:$AB$404,"OK")&gt;1,"同名あり",""))</f>
        <v/>
      </c>
      <c r="AW382" s="35">
        <f>IF(Q382="","",IF(ISNUMBER(Q382),Q382,IFERROR(DATEVALUE(SUBSTITUTE(SUBSTITUTE(ASC(Q382&amp;""),"-","/"),".","/")&amp;"/01"),"")))</f>
        <v/>
      </c>
      <c r="AX382" s="35">
        <f>IF(R382="","",IF(ISNUMBER(R382),R382,IFERROR(DATEVALUE(SUBSTITUTE(SUBSTITUTE(ASC(R382&amp;""),"-","/"),".","/")&amp;"/01"),"")))</f>
        <v/>
      </c>
      <c r="AY382" s="34">
        <f>IF(OR(AB382&lt;&gt;"OK",AW382=""),"",IF(AW382&gt;='01_設定'!$C$26,1,0))</f>
        <v/>
      </c>
      <c r="AZ382" s="34">
        <f>IF(AND(AB382="OK",AD382&lt;&gt;"除外"),COUNTIFS($AB$5:AB382,"OK",$AD$5:AD382,"&lt;&gt;除外"),"")</f>
        <v/>
      </c>
      <c r="BA382" s="34">
        <f>IF(OR(AZ382="",AI382=""),"",AI382+ROW()/1000000000)</f>
        <v/>
      </c>
      <c r="BB382" s="34">
        <f>IF(E382="","",IF(OR(TRIM(E382&amp;"")="-",TRIM(E382&amp;"")="－",TRIM(E382&amp;"")="ー"),"",TRIM(E382&amp;"")))</f>
        <v/>
      </c>
      <c r="BC382" s="34">
        <f>IF(AND(AB382="OK",BB382&lt;&gt;""),IF(COUNTIFS($BB$5:BB382,BB382,$AB$5:AB382,"OK")=1,1,""),"")</f>
        <v/>
      </c>
      <c r="BD382" s="34">
        <f>IF(BC382=1,COUNTIF($BC$5:BC382,1),"")</f>
        <v/>
      </c>
      <c r="BE382" s="34">
        <f>IF(BB382="","",IFERROR(INDEX('06_顧客別集計'!$G$5:$G$104,MATCH(BB382,'06_顧客別集計'!$C$5:$C$104,0)),BB382))</f>
        <v/>
      </c>
      <c r="BF382" s="34">
        <f>IF(AND(AZ382&lt;&gt;"",BE382&lt;&gt;""),IF(COUNTIFS($BE$5:BE382,BE382,$AZ$5:AZ382,"&gt;0")=1,1,""),"")</f>
        <v/>
      </c>
      <c r="BG382" s="34">
        <f>IF(BF382=1,COUNTIF($BF$5:BF382,1),"")</f>
        <v/>
      </c>
    </row>
    <row r="383">
      <c r="AB383">
        <f>IF(AND(A383="",G383=""),"",IF(ISNUMBER(SEARCH("##END",AM383)),"（終わりの印）",IF(ISNUMBER(SEARCH("##続き",AM383)),"（続きありの印）",IF(AM383="調査ID","（見出し行）",IF(AND(AM383&lt;&gt;"R1",AM383&lt;&gt;"R2"),"×表以外の行（集計されない）",IF(COUNTIF($AN$5:AN383,AN383)&gt;1,"△重複（集計されない）",IF(G383="","△タスク名なし",IF(ISNA(MATCH(AQ383,'M1_類型マスタ'!$A$5:$A$19,0)),"△類型が不正",IF(OR(AP383="",N(AP383)&lt;1,N(AP383)&gt;6),"△業務区分が不正",IF(OR(AS383="",AT383=""),"△回数・分が読めない",IF(SUMPRODUCT(--ISNUMBER(--T383:Z383))&lt;7,"△採点が足りない",IF(SUMPRODUCT((--T383:Z383&gt;2)+(--T383:Z383&lt;0))&gt;0,"△採点が範囲外","OK"))))))))))))</f>
        <v/>
      </c>
      <c r="AC383">
        <f>IF(AB383&lt;&gt;"OK","",TRIM(IF(AND(AU383&lt;&gt;"",N(AU383)&lt;=1),"根拠1件 ","")&amp;IF(AV383&lt;&gt;"","同名あり ","")&amp;IF(AND(NOT(ISNUMBER(N383)),N383&lt;&gt;""),"回数を換算 ","")&amp;IF(J383="","詳細なし ","")&amp;IF(AND(N(AP383)=1,BB383=""),"顧客名なし ","")))</f>
        <v/>
      </c>
      <c r="AD383" s="31" t="n"/>
      <c r="AE383" s="32" t="n"/>
      <c r="AF383" s="32" t="n"/>
      <c r="AG383" s="31" t="n"/>
      <c r="AH383">
        <f>IF(AB383&lt;&gt;"OK","",IF(AG383&lt;&gt;"",AG383,AJ383))</f>
        <v/>
      </c>
      <c r="AI383" s="33">
        <f>IF(AB383&lt;&gt;"OK","",IFERROR(IF(AE383&lt;&gt;"",AE383,AS383)*IF(AF383&lt;&gt;"",AF383,AT383)/60,""))</f>
        <v/>
      </c>
      <c r="AJ383">
        <f>IF(AB383&lt;&gt;"OK","",IF(OR(VALUE(T383)=2,VALUE(U383)=2,VALUE(V383)=2),"社内残置",IF(AND(VALUE(T383)=0,VALUE(W383)=0,VALUE(Y383)=0),"自動化候補",IF(AND(VALUE(U383)=0,VALUE(W383)&lt;=1,VALUE(X383)&lt;=1,VALUE(Y383)&lt;=1,VALUE(Z383)&lt;=1),"オフショア候補",IF(AND(VALUE(Y383)&lt;=1,VALUE(Z383)&lt;=1),"ニアショア候補","社内で手順化→再評価")))))</f>
        <v/>
      </c>
      <c r="AK383">
        <f>IF(AB383&lt;&gt;"OK","",14-SUMPRODUCT(--T383:Z383))</f>
        <v/>
      </c>
      <c r="AL383" s="33">
        <f>IF(AB383&lt;&gt;"OK","",AS383*AT383/60)</f>
        <v/>
      </c>
      <c r="AM383" s="34">
        <f>IF(A383="","",UPPER(TRIM(ASC(A383&amp;""))))</f>
        <v/>
      </c>
      <c r="AN383" s="34">
        <f>IF(AM383="","",AM383&amp;"-"&amp;B383)</f>
        <v/>
      </c>
      <c r="AO383" s="34">
        <f>IF(C383="","",IFERROR(VALUE(ASC(SUBSTITUTE(C383&amp;"","観点",""))),""))</f>
        <v/>
      </c>
      <c r="AP383" s="34">
        <f>IF(D383="","",IFERROR(VALUE(LEFT(TRIM(ASC(D383&amp;"")),1)),IFERROR(MATCH(TRIM(D383&amp;""),'M2_区分マスタ'!$I$5:$I$10,0),"")))</f>
        <v/>
      </c>
      <c r="AQ383" s="34">
        <f>IF(H383="","",UPPER(LEFT(TRIM(ASC(H383&amp;"")),3)))</f>
        <v/>
      </c>
      <c r="AR383" s="34">
        <f>IF(N383="","",IFERROR(VALUE(SUBSTITUTE(SUBSTITUTE(SUBSTITUTE(SUBSTITUTE(SUBSTITUTE(SUBSTITUTE(SUBSTITUTE(SUBSTITUTE(SUBSTITUTE(SUBSTITUTE(SUBSTITUTE(SUBSTITUTE(ASC(N383&amp;""),"約",""),"程度",""),"ほど",""),"回",""),"毎",""),"週",""),"月",""),"年",""),"日",""),"に",""),"/","")," ","")),""))</f>
        <v/>
      </c>
      <c r="AS383" s="34">
        <f>IF(N383="","",IF(ISNUMBER(N383),N383,IFERROR(VALUE(ASC(N383&amp;"")),IF(AR383&lt;&gt;"",AR383*IF(ISNUMBER(SEARCH("週",N383)),4.3,IF(ISNUMBER(SEARCH("年",N383)),1/12,IF(ISNUMBER(SEARCH("日",N383)),20,1))),IF(ISNUMBER(SEARCH("日",N383)),20,IF(ISNUMBER(SEARCH("週",N383)),4.3,IF(ISNUMBER(SEARCH("月",N383)),1,"")))))))</f>
        <v/>
      </c>
      <c r="AT383" s="34">
        <f>IF(O383="","",IF(ISNUMBER(O383),O383,IFERROR(VALUE(ASC(O383&amp;"")),IF(ISNUMBER(SEARCH("時間",O383)),IFERROR(VALUE(SUBSTITUTE(SUBSTITUTE(SUBSTITUTE(SUBSTITUTE(SUBSTITUTE(ASC(O383&amp;""),"約",""),"程度",""),"ほど",""),"時間","")," ",""))*60,""),IFERROR(VALUE(SUBSTITUTE(SUBSTITUTE(SUBSTITUTE(SUBSTITUTE(SUBSTITUTE(ASC(O383&amp;""),"約",""),"程度",""),"ほど",""),"分","")," ","")),"")))))</f>
        <v/>
      </c>
      <c r="AU383" s="34">
        <f>IF(P383="","",IF(ISNUMBER(P383),P383,IFERROR(VALUE(SUBSTITUTE(SUBSTITUTE(SUBSTITUTE(ASC(P383&amp;""),"約",""),"件","")," ","")),"")))</f>
        <v/>
      </c>
      <c r="AV383" s="34">
        <f>IF(AB383&lt;&gt;"OK","",IF(COUNTIFS($G$5:$G$404,G383&amp;"",$F$5:$F$404,F383&amp;"",$BE$5:$BE$404,BE383&amp;"",$AB$5:$AB$404,"OK")&gt;1,"同名あり",""))</f>
        <v/>
      </c>
      <c r="AW383" s="35">
        <f>IF(Q383="","",IF(ISNUMBER(Q383),Q383,IFERROR(DATEVALUE(SUBSTITUTE(SUBSTITUTE(ASC(Q383&amp;""),"-","/"),".","/")&amp;"/01"),"")))</f>
        <v/>
      </c>
      <c r="AX383" s="35">
        <f>IF(R383="","",IF(ISNUMBER(R383),R383,IFERROR(DATEVALUE(SUBSTITUTE(SUBSTITUTE(ASC(R383&amp;""),"-","/"),".","/")&amp;"/01"),"")))</f>
        <v/>
      </c>
      <c r="AY383" s="34">
        <f>IF(OR(AB383&lt;&gt;"OK",AW383=""),"",IF(AW383&gt;='01_設定'!$C$26,1,0))</f>
        <v/>
      </c>
      <c r="AZ383" s="34">
        <f>IF(AND(AB383="OK",AD383&lt;&gt;"除外"),COUNTIFS($AB$5:AB383,"OK",$AD$5:AD383,"&lt;&gt;除外"),"")</f>
        <v/>
      </c>
      <c r="BA383" s="34">
        <f>IF(OR(AZ383="",AI383=""),"",AI383+ROW()/1000000000)</f>
        <v/>
      </c>
      <c r="BB383" s="34">
        <f>IF(E383="","",IF(OR(TRIM(E383&amp;"")="-",TRIM(E383&amp;"")="－",TRIM(E383&amp;"")="ー"),"",TRIM(E383&amp;"")))</f>
        <v/>
      </c>
      <c r="BC383" s="34">
        <f>IF(AND(AB383="OK",BB383&lt;&gt;""),IF(COUNTIFS($BB$5:BB383,BB383,$AB$5:AB383,"OK")=1,1,""),"")</f>
        <v/>
      </c>
      <c r="BD383" s="34">
        <f>IF(BC383=1,COUNTIF($BC$5:BC383,1),"")</f>
        <v/>
      </c>
      <c r="BE383" s="34">
        <f>IF(BB383="","",IFERROR(INDEX('06_顧客別集計'!$G$5:$G$104,MATCH(BB383,'06_顧客別集計'!$C$5:$C$104,0)),BB383))</f>
        <v/>
      </c>
      <c r="BF383" s="34">
        <f>IF(AND(AZ383&lt;&gt;"",BE383&lt;&gt;""),IF(COUNTIFS($BE$5:BE383,BE383,$AZ$5:AZ383,"&gt;0")=1,1,""),"")</f>
        <v/>
      </c>
      <c r="BG383" s="34">
        <f>IF(BF383=1,COUNTIF($BF$5:BF383,1),"")</f>
        <v/>
      </c>
    </row>
    <row r="384">
      <c r="AB384">
        <f>IF(AND(A384="",G384=""),"",IF(ISNUMBER(SEARCH("##END",AM384)),"（終わりの印）",IF(ISNUMBER(SEARCH("##続き",AM384)),"（続きありの印）",IF(AM384="調査ID","（見出し行）",IF(AND(AM384&lt;&gt;"R1",AM384&lt;&gt;"R2"),"×表以外の行（集計されない）",IF(COUNTIF($AN$5:AN384,AN384)&gt;1,"△重複（集計されない）",IF(G384="","△タスク名なし",IF(ISNA(MATCH(AQ384,'M1_類型マスタ'!$A$5:$A$19,0)),"△類型が不正",IF(OR(AP384="",N(AP384)&lt;1,N(AP384)&gt;6),"△業務区分が不正",IF(OR(AS384="",AT384=""),"△回数・分が読めない",IF(SUMPRODUCT(--ISNUMBER(--T384:Z384))&lt;7,"△採点が足りない",IF(SUMPRODUCT((--T384:Z384&gt;2)+(--T384:Z384&lt;0))&gt;0,"△採点が範囲外","OK"))))))))))))</f>
        <v/>
      </c>
      <c r="AC384">
        <f>IF(AB384&lt;&gt;"OK","",TRIM(IF(AND(AU384&lt;&gt;"",N(AU384)&lt;=1),"根拠1件 ","")&amp;IF(AV384&lt;&gt;"","同名あり ","")&amp;IF(AND(NOT(ISNUMBER(N384)),N384&lt;&gt;""),"回数を換算 ","")&amp;IF(J384="","詳細なし ","")&amp;IF(AND(N(AP384)=1,BB384=""),"顧客名なし ","")))</f>
        <v/>
      </c>
      <c r="AD384" s="31" t="n"/>
      <c r="AE384" s="32" t="n"/>
      <c r="AF384" s="32" t="n"/>
      <c r="AG384" s="31" t="n"/>
      <c r="AH384">
        <f>IF(AB384&lt;&gt;"OK","",IF(AG384&lt;&gt;"",AG384,AJ384))</f>
        <v/>
      </c>
      <c r="AI384" s="33">
        <f>IF(AB384&lt;&gt;"OK","",IFERROR(IF(AE384&lt;&gt;"",AE384,AS384)*IF(AF384&lt;&gt;"",AF384,AT384)/60,""))</f>
        <v/>
      </c>
      <c r="AJ384">
        <f>IF(AB384&lt;&gt;"OK","",IF(OR(VALUE(T384)=2,VALUE(U384)=2,VALUE(V384)=2),"社内残置",IF(AND(VALUE(T384)=0,VALUE(W384)=0,VALUE(Y384)=0),"自動化候補",IF(AND(VALUE(U384)=0,VALUE(W384)&lt;=1,VALUE(X384)&lt;=1,VALUE(Y384)&lt;=1,VALUE(Z384)&lt;=1),"オフショア候補",IF(AND(VALUE(Y384)&lt;=1,VALUE(Z384)&lt;=1),"ニアショア候補","社内で手順化→再評価")))))</f>
        <v/>
      </c>
      <c r="AK384">
        <f>IF(AB384&lt;&gt;"OK","",14-SUMPRODUCT(--T384:Z384))</f>
        <v/>
      </c>
      <c r="AL384" s="33">
        <f>IF(AB384&lt;&gt;"OK","",AS384*AT384/60)</f>
        <v/>
      </c>
      <c r="AM384" s="34">
        <f>IF(A384="","",UPPER(TRIM(ASC(A384&amp;""))))</f>
        <v/>
      </c>
      <c r="AN384" s="34">
        <f>IF(AM384="","",AM384&amp;"-"&amp;B384)</f>
        <v/>
      </c>
      <c r="AO384" s="34">
        <f>IF(C384="","",IFERROR(VALUE(ASC(SUBSTITUTE(C384&amp;"","観点",""))),""))</f>
        <v/>
      </c>
      <c r="AP384" s="34">
        <f>IF(D384="","",IFERROR(VALUE(LEFT(TRIM(ASC(D384&amp;"")),1)),IFERROR(MATCH(TRIM(D384&amp;""),'M2_区分マスタ'!$I$5:$I$10,0),"")))</f>
        <v/>
      </c>
      <c r="AQ384" s="34">
        <f>IF(H384="","",UPPER(LEFT(TRIM(ASC(H384&amp;"")),3)))</f>
        <v/>
      </c>
      <c r="AR384" s="34">
        <f>IF(N384="","",IFERROR(VALUE(SUBSTITUTE(SUBSTITUTE(SUBSTITUTE(SUBSTITUTE(SUBSTITUTE(SUBSTITUTE(SUBSTITUTE(SUBSTITUTE(SUBSTITUTE(SUBSTITUTE(SUBSTITUTE(SUBSTITUTE(ASC(N384&amp;""),"約",""),"程度",""),"ほど",""),"回",""),"毎",""),"週",""),"月",""),"年",""),"日",""),"に",""),"/","")," ","")),""))</f>
        <v/>
      </c>
      <c r="AS384" s="34">
        <f>IF(N384="","",IF(ISNUMBER(N384),N384,IFERROR(VALUE(ASC(N384&amp;"")),IF(AR384&lt;&gt;"",AR384*IF(ISNUMBER(SEARCH("週",N384)),4.3,IF(ISNUMBER(SEARCH("年",N384)),1/12,IF(ISNUMBER(SEARCH("日",N384)),20,1))),IF(ISNUMBER(SEARCH("日",N384)),20,IF(ISNUMBER(SEARCH("週",N384)),4.3,IF(ISNUMBER(SEARCH("月",N384)),1,"")))))))</f>
        <v/>
      </c>
      <c r="AT384" s="34">
        <f>IF(O384="","",IF(ISNUMBER(O384),O384,IFERROR(VALUE(ASC(O384&amp;"")),IF(ISNUMBER(SEARCH("時間",O384)),IFERROR(VALUE(SUBSTITUTE(SUBSTITUTE(SUBSTITUTE(SUBSTITUTE(SUBSTITUTE(ASC(O384&amp;""),"約",""),"程度",""),"ほど",""),"時間","")," ",""))*60,""),IFERROR(VALUE(SUBSTITUTE(SUBSTITUTE(SUBSTITUTE(SUBSTITUTE(SUBSTITUTE(ASC(O384&amp;""),"約",""),"程度",""),"ほど",""),"分","")," ","")),"")))))</f>
        <v/>
      </c>
      <c r="AU384" s="34">
        <f>IF(P384="","",IF(ISNUMBER(P384),P384,IFERROR(VALUE(SUBSTITUTE(SUBSTITUTE(SUBSTITUTE(ASC(P384&amp;""),"約",""),"件","")," ","")),"")))</f>
        <v/>
      </c>
      <c r="AV384" s="34">
        <f>IF(AB384&lt;&gt;"OK","",IF(COUNTIFS($G$5:$G$404,G384&amp;"",$F$5:$F$404,F384&amp;"",$BE$5:$BE$404,BE384&amp;"",$AB$5:$AB$404,"OK")&gt;1,"同名あり",""))</f>
        <v/>
      </c>
      <c r="AW384" s="35">
        <f>IF(Q384="","",IF(ISNUMBER(Q384),Q384,IFERROR(DATEVALUE(SUBSTITUTE(SUBSTITUTE(ASC(Q384&amp;""),"-","/"),".","/")&amp;"/01"),"")))</f>
        <v/>
      </c>
      <c r="AX384" s="35">
        <f>IF(R384="","",IF(ISNUMBER(R384),R384,IFERROR(DATEVALUE(SUBSTITUTE(SUBSTITUTE(ASC(R384&amp;""),"-","/"),".","/")&amp;"/01"),"")))</f>
        <v/>
      </c>
      <c r="AY384" s="34">
        <f>IF(OR(AB384&lt;&gt;"OK",AW384=""),"",IF(AW384&gt;='01_設定'!$C$26,1,0))</f>
        <v/>
      </c>
      <c r="AZ384" s="34">
        <f>IF(AND(AB384="OK",AD384&lt;&gt;"除外"),COUNTIFS($AB$5:AB384,"OK",$AD$5:AD384,"&lt;&gt;除外"),"")</f>
        <v/>
      </c>
      <c r="BA384" s="34">
        <f>IF(OR(AZ384="",AI384=""),"",AI384+ROW()/1000000000)</f>
        <v/>
      </c>
      <c r="BB384" s="34">
        <f>IF(E384="","",IF(OR(TRIM(E384&amp;"")="-",TRIM(E384&amp;"")="－",TRIM(E384&amp;"")="ー"),"",TRIM(E384&amp;"")))</f>
        <v/>
      </c>
      <c r="BC384" s="34">
        <f>IF(AND(AB384="OK",BB384&lt;&gt;""),IF(COUNTIFS($BB$5:BB384,BB384,$AB$5:AB384,"OK")=1,1,""),"")</f>
        <v/>
      </c>
      <c r="BD384" s="34">
        <f>IF(BC384=1,COUNTIF($BC$5:BC384,1),"")</f>
        <v/>
      </c>
      <c r="BE384" s="34">
        <f>IF(BB384="","",IFERROR(INDEX('06_顧客別集計'!$G$5:$G$104,MATCH(BB384,'06_顧客別集計'!$C$5:$C$104,0)),BB384))</f>
        <v/>
      </c>
      <c r="BF384" s="34">
        <f>IF(AND(AZ384&lt;&gt;"",BE384&lt;&gt;""),IF(COUNTIFS($BE$5:BE384,BE384,$AZ$5:AZ384,"&gt;0")=1,1,""),"")</f>
        <v/>
      </c>
      <c r="BG384" s="34">
        <f>IF(BF384=1,COUNTIF($BF$5:BF384,1),"")</f>
        <v/>
      </c>
    </row>
    <row r="385">
      <c r="AB385">
        <f>IF(AND(A385="",G385=""),"",IF(ISNUMBER(SEARCH("##END",AM385)),"（終わりの印）",IF(ISNUMBER(SEARCH("##続き",AM385)),"（続きありの印）",IF(AM385="調査ID","（見出し行）",IF(AND(AM385&lt;&gt;"R1",AM385&lt;&gt;"R2"),"×表以外の行（集計されない）",IF(COUNTIF($AN$5:AN385,AN385)&gt;1,"△重複（集計されない）",IF(G385="","△タスク名なし",IF(ISNA(MATCH(AQ385,'M1_類型マスタ'!$A$5:$A$19,0)),"△類型が不正",IF(OR(AP385="",N(AP385)&lt;1,N(AP385)&gt;6),"△業務区分が不正",IF(OR(AS385="",AT385=""),"△回数・分が読めない",IF(SUMPRODUCT(--ISNUMBER(--T385:Z385))&lt;7,"△採点が足りない",IF(SUMPRODUCT((--T385:Z385&gt;2)+(--T385:Z385&lt;0))&gt;0,"△採点が範囲外","OK"))))))))))))</f>
        <v/>
      </c>
      <c r="AC385">
        <f>IF(AB385&lt;&gt;"OK","",TRIM(IF(AND(AU385&lt;&gt;"",N(AU385)&lt;=1),"根拠1件 ","")&amp;IF(AV385&lt;&gt;"","同名あり ","")&amp;IF(AND(NOT(ISNUMBER(N385)),N385&lt;&gt;""),"回数を換算 ","")&amp;IF(J385="","詳細なし ","")&amp;IF(AND(N(AP385)=1,BB385=""),"顧客名なし ","")))</f>
        <v/>
      </c>
      <c r="AD385" s="31" t="n"/>
      <c r="AE385" s="32" t="n"/>
      <c r="AF385" s="32" t="n"/>
      <c r="AG385" s="31" t="n"/>
      <c r="AH385">
        <f>IF(AB385&lt;&gt;"OK","",IF(AG385&lt;&gt;"",AG385,AJ385))</f>
        <v/>
      </c>
      <c r="AI385" s="33">
        <f>IF(AB385&lt;&gt;"OK","",IFERROR(IF(AE385&lt;&gt;"",AE385,AS385)*IF(AF385&lt;&gt;"",AF385,AT385)/60,""))</f>
        <v/>
      </c>
      <c r="AJ385">
        <f>IF(AB385&lt;&gt;"OK","",IF(OR(VALUE(T385)=2,VALUE(U385)=2,VALUE(V385)=2),"社内残置",IF(AND(VALUE(T385)=0,VALUE(W385)=0,VALUE(Y385)=0),"自動化候補",IF(AND(VALUE(U385)=0,VALUE(W385)&lt;=1,VALUE(X385)&lt;=1,VALUE(Y385)&lt;=1,VALUE(Z385)&lt;=1),"オフショア候補",IF(AND(VALUE(Y385)&lt;=1,VALUE(Z385)&lt;=1),"ニアショア候補","社内で手順化→再評価")))))</f>
        <v/>
      </c>
      <c r="AK385">
        <f>IF(AB385&lt;&gt;"OK","",14-SUMPRODUCT(--T385:Z385))</f>
        <v/>
      </c>
      <c r="AL385" s="33">
        <f>IF(AB385&lt;&gt;"OK","",AS385*AT385/60)</f>
        <v/>
      </c>
      <c r="AM385" s="34">
        <f>IF(A385="","",UPPER(TRIM(ASC(A385&amp;""))))</f>
        <v/>
      </c>
      <c r="AN385" s="34">
        <f>IF(AM385="","",AM385&amp;"-"&amp;B385)</f>
        <v/>
      </c>
      <c r="AO385" s="34">
        <f>IF(C385="","",IFERROR(VALUE(ASC(SUBSTITUTE(C385&amp;"","観点",""))),""))</f>
        <v/>
      </c>
      <c r="AP385" s="34">
        <f>IF(D385="","",IFERROR(VALUE(LEFT(TRIM(ASC(D385&amp;"")),1)),IFERROR(MATCH(TRIM(D385&amp;""),'M2_区分マスタ'!$I$5:$I$10,0),"")))</f>
        <v/>
      </c>
      <c r="AQ385" s="34">
        <f>IF(H385="","",UPPER(LEFT(TRIM(ASC(H385&amp;"")),3)))</f>
        <v/>
      </c>
      <c r="AR385" s="34">
        <f>IF(N385="","",IFERROR(VALUE(SUBSTITUTE(SUBSTITUTE(SUBSTITUTE(SUBSTITUTE(SUBSTITUTE(SUBSTITUTE(SUBSTITUTE(SUBSTITUTE(SUBSTITUTE(SUBSTITUTE(SUBSTITUTE(SUBSTITUTE(ASC(N385&amp;""),"約",""),"程度",""),"ほど",""),"回",""),"毎",""),"週",""),"月",""),"年",""),"日",""),"に",""),"/","")," ","")),""))</f>
        <v/>
      </c>
      <c r="AS385" s="34">
        <f>IF(N385="","",IF(ISNUMBER(N385),N385,IFERROR(VALUE(ASC(N385&amp;"")),IF(AR385&lt;&gt;"",AR385*IF(ISNUMBER(SEARCH("週",N385)),4.3,IF(ISNUMBER(SEARCH("年",N385)),1/12,IF(ISNUMBER(SEARCH("日",N385)),20,1))),IF(ISNUMBER(SEARCH("日",N385)),20,IF(ISNUMBER(SEARCH("週",N385)),4.3,IF(ISNUMBER(SEARCH("月",N385)),1,"")))))))</f>
        <v/>
      </c>
      <c r="AT385" s="34">
        <f>IF(O385="","",IF(ISNUMBER(O385),O385,IFERROR(VALUE(ASC(O385&amp;"")),IF(ISNUMBER(SEARCH("時間",O385)),IFERROR(VALUE(SUBSTITUTE(SUBSTITUTE(SUBSTITUTE(SUBSTITUTE(SUBSTITUTE(ASC(O385&amp;""),"約",""),"程度",""),"ほど",""),"時間","")," ",""))*60,""),IFERROR(VALUE(SUBSTITUTE(SUBSTITUTE(SUBSTITUTE(SUBSTITUTE(SUBSTITUTE(ASC(O385&amp;""),"約",""),"程度",""),"ほど",""),"分","")," ","")),"")))))</f>
        <v/>
      </c>
      <c r="AU385" s="34">
        <f>IF(P385="","",IF(ISNUMBER(P385),P385,IFERROR(VALUE(SUBSTITUTE(SUBSTITUTE(SUBSTITUTE(ASC(P385&amp;""),"約",""),"件","")," ","")),"")))</f>
        <v/>
      </c>
      <c r="AV385" s="34">
        <f>IF(AB385&lt;&gt;"OK","",IF(COUNTIFS($G$5:$G$404,G385&amp;"",$F$5:$F$404,F385&amp;"",$BE$5:$BE$404,BE385&amp;"",$AB$5:$AB$404,"OK")&gt;1,"同名あり",""))</f>
        <v/>
      </c>
      <c r="AW385" s="35">
        <f>IF(Q385="","",IF(ISNUMBER(Q385),Q385,IFERROR(DATEVALUE(SUBSTITUTE(SUBSTITUTE(ASC(Q385&amp;""),"-","/"),".","/")&amp;"/01"),"")))</f>
        <v/>
      </c>
      <c r="AX385" s="35">
        <f>IF(R385="","",IF(ISNUMBER(R385),R385,IFERROR(DATEVALUE(SUBSTITUTE(SUBSTITUTE(ASC(R385&amp;""),"-","/"),".","/")&amp;"/01"),"")))</f>
        <v/>
      </c>
      <c r="AY385" s="34">
        <f>IF(OR(AB385&lt;&gt;"OK",AW385=""),"",IF(AW385&gt;='01_設定'!$C$26,1,0))</f>
        <v/>
      </c>
      <c r="AZ385" s="34">
        <f>IF(AND(AB385="OK",AD385&lt;&gt;"除外"),COUNTIFS($AB$5:AB385,"OK",$AD$5:AD385,"&lt;&gt;除外"),"")</f>
        <v/>
      </c>
      <c r="BA385" s="34">
        <f>IF(OR(AZ385="",AI385=""),"",AI385+ROW()/1000000000)</f>
        <v/>
      </c>
      <c r="BB385" s="34">
        <f>IF(E385="","",IF(OR(TRIM(E385&amp;"")="-",TRIM(E385&amp;"")="－",TRIM(E385&amp;"")="ー"),"",TRIM(E385&amp;"")))</f>
        <v/>
      </c>
      <c r="BC385" s="34">
        <f>IF(AND(AB385="OK",BB385&lt;&gt;""),IF(COUNTIFS($BB$5:BB385,BB385,$AB$5:AB385,"OK")=1,1,""),"")</f>
        <v/>
      </c>
      <c r="BD385" s="34">
        <f>IF(BC385=1,COUNTIF($BC$5:BC385,1),"")</f>
        <v/>
      </c>
      <c r="BE385" s="34">
        <f>IF(BB385="","",IFERROR(INDEX('06_顧客別集計'!$G$5:$G$104,MATCH(BB385,'06_顧客別集計'!$C$5:$C$104,0)),BB385))</f>
        <v/>
      </c>
      <c r="BF385" s="34">
        <f>IF(AND(AZ385&lt;&gt;"",BE385&lt;&gt;""),IF(COUNTIFS($BE$5:BE385,BE385,$AZ$5:AZ385,"&gt;0")=1,1,""),"")</f>
        <v/>
      </c>
      <c r="BG385" s="34">
        <f>IF(BF385=1,COUNTIF($BF$5:BF385,1),"")</f>
        <v/>
      </c>
    </row>
    <row r="386">
      <c r="AB386">
        <f>IF(AND(A386="",G386=""),"",IF(ISNUMBER(SEARCH("##END",AM386)),"（終わりの印）",IF(ISNUMBER(SEARCH("##続き",AM386)),"（続きありの印）",IF(AM386="調査ID","（見出し行）",IF(AND(AM386&lt;&gt;"R1",AM386&lt;&gt;"R2"),"×表以外の行（集計されない）",IF(COUNTIF($AN$5:AN386,AN386)&gt;1,"△重複（集計されない）",IF(G386="","△タスク名なし",IF(ISNA(MATCH(AQ386,'M1_類型マスタ'!$A$5:$A$19,0)),"△類型が不正",IF(OR(AP386="",N(AP386)&lt;1,N(AP386)&gt;6),"△業務区分が不正",IF(OR(AS386="",AT386=""),"△回数・分が読めない",IF(SUMPRODUCT(--ISNUMBER(--T386:Z386))&lt;7,"△採点が足りない",IF(SUMPRODUCT((--T386:Z386&gt;2)+(--T386:Z386&lt;0))&gt;0,"△採点が範囲外","OK"))))))))))))</f>
        <v/>
      </c>
      <c r="AC386">
        <f>IF(AB386&lt;&gt;"OK","",TRIM(IF(AND(AU386&lt;&gt;"",N(AU386)&lt;=1),"根拠1件 ","")&amp;IF(AV386&lt;&gt;"","同名あり ","")&amp;IF(AND(NOT(ISNUMBER(N386)),N386&lt;&gt;""),"回数を換算 ","")&amp;IF(J386="","詳細なし ","")&amp;IF(AND(N(AP386)=1,BB386=""),"顧客名なし ","")))</f>
        <v/>
      </c>
      <c r="AD386" s="31" t="n"/>
      <c r="AE386" s="32" t="n"/>
      <c r="AF386" s="32" t="n"/>
      <c r="AG386" s="31" t="n"/>
      <c r="AH386">
        <f>IF(AB386&lt;&gt;"OK","",IF(AG386&lt;&gt;"",AG386,AJ386))</f>
        <v/>
      </c>
      <c r="AI386" s="33">
        <f>IF(AB386&lt;&gt;"OK","",IFERROR(IF(AE386&lt;&gt;"",AE386,AS386)*IF(AF386&lt;&gt;"",AF386,AT386)/60,""))</f>
        <v/>
      </c>
      <c r="AJ386">
        <f>IF(AB386&lt;&gt;"OK","",IF(OR(VALUE(T386)=2,VALUE(U386)=2,VALUE(V386)=2),"社内残置",IF(AND(VALUE(T386)=0,VALUE(W386)=0,VALUE(Y386)=0),"自動化候補",IF(AND(VALUE(U386)=0,VALUE(W386)&lt;=1,VALUE(X386)&lt;=1,VALUE(Y386)&lt;=1,VALUE(Z386)&lt;=1),"オフショア候補",IF(AND(VALUE(Y386)&lt;=1,VALUE(Z386)&lt;=1),"ニアショア候補","社内で手順化→再評価")))))</f>
        <v/>
      </c>
      <c r="AK386">
        <f>IF(AB386&lt;&gt;"OK","",14-SUMPRODUCT(--T386:Z386))</f>
        <v/>
      </c>
      <c r="AL386" s="33">
        <f>IF(AB386&lt;&gt;"OK","",AS386*AT386/60)</f>
        <v/>
      </c>
      <c r="AM386" s="34">
        <f>IF(A386="","",UPPER(TRIM(ASC(A386&amp;""))))</f>
        <v/>
      </c>
      <c r="AN386" s="34">
        <f>IF(AM386="","",AM386&amp;"-"&amp;B386)</f>
        <v/>
      </c>
      <c r="AO386" s="34">
        <f>IF(C386="","",IFERROR(VALUE(ASC(SUBSTITUTE(C386&amp;"","観点",""))),""))</f>
        <v/>
      </c>
      <c r="AP386" s="34">
        <f>IF(D386="","",IFERROR(VALUE(LEFT(TRIM(ASC(D386&amp;"")),1)),IFERROR(MATCH(TRIM(D386&amp;""),'M2_区分マスタ'!$I$5:$I$10,0),"")))</f>
        <v/>
      </c>
      <c r="AQ386" s="34">
        <f>IF(H386="","",UPPER(LEFT(TRIM(ASC(H386&amp;"")),3)))</f>
        <v/>
      </c>
      <c r="AR386" s="34">
        <f>IF(N386="","",IFERROR(VALUE(SUBSTITUTE(SUBSTITUTE(SUBSTITUTE(SUBSTITUTE(SUBSTITUTE(SUBSTITUTE(SUBSTITUTE(SUBSTITUTE(SUBSTITUTE(SUBSTITUTE(SUBSTITUTE(SUBSTITUTE(ASC(N386&amp;""),"約",""),"程度",""),"ほど",""),"回",""),"毎",""),"週",""),"月",""),"年",""),"日",""),"に",""),"/","")," ","")),""))</f>
        <v/>
      </c>
      <c r="AS386" s="34">
        <f>IF(N386="","",IF(ISNUMBER(N386),N386,IFERROR(VALUE(ASC(N386&amp;"")),IF(AR386&lt;&gt;"",AR386*IF(ISNUMBER(SEARCH("週",N386)),4.3,IF(ISNUMBER(SEARCH("年",N386)),1/12,IF(ISNUMBER(SEARCH("日",N386)),20,1))),IF(ISNUMBER(SEARCH("日",N386)),20,IF(ISNUMBER(SEARCH("週",N386)),4.3,IF(ISNUMBER(SEARCH("月",N386)),1,"")))))))</f>
        <v/>
      </c>
      <c r="AT386" s="34">
        <f>IF(O386="","",IF(ISNUMBER(O386),O386,IFERROR(VALUE(ASC(O386&amp;"")),IF(ISNUMBER(SEARCH("時間",O386)),IFERROR(VALUE(SUBSTITUTE(SUBSTITUTE(SUBSTITUTE(SUBSTITUTE(SUBSTITUTE(ASC(O386&amp;""),"約",""),"程度",""),"ほど",""),"時間","")," ",""))*60,""),IFERROR(VALUE(SUBSTITUTE(SUBSTITUTE(SUBSTITUTE(SUBSTITUTE(SUBSTITUTE(ASC(O386&amp;""),"約",""),"程度",""),"ほど",""),"分","")," ","")),"")))))</f>
        <v/>
      </c>
      <c r="AU386" s="34">
        <f>IF(P386="","",IF(ISNUMBER(P386),P386,IFERROR(VALUE(SUBSTITUTE(SUBSTITUTE(SUBSTITUTE(ASC(P386&amp;""),"約",""),"件","")," ","")),"")))</f>
        <v/>
      </c>
      <c r="AV386" s="34">
        <f>IF(AB386&lt;&gt;"OK","",IF(COUNTIFS($G$5:$G$404,G386&amp;"",$F$5:$F$404,F386&amp;"",$BE$5:$BE$404,BE386&amp;"",$AB$5:$AB$404,"OK")&gt;1,"同名あり",""))</f>
        <v/>
      </c>
      <c r="AW386" s="35">
        <f>IF(Q386="","",IF(ISNUMBER(Q386),Q386,IFERROR(DATEVALUE(SUBSTITUTE(SUBSTITUTE(ASC(Q386&amp;""),"-","/"),".","/")&amp;"/01"),"")))</f>
        <v/>
      </c>
      <c r="AX386" s="35">
        <f>IF(R386="","",IF(ISNUMBER(R386),R386,IFERROR(DATEVALUE(SUBSTITUTE(SUBSTITUTE(ASC(R386&amp;""),"-","/"),".","/")&amp;"/01"),"")))</f>
        <v/>
      </c>
      <c r="AY386" s="34">
        <f>IF(OR(AB386&lt;&gt;"OK",AW386=""),"",IF(AW386&gt;='01_設定'!$C$26,1,0))</f>
        <v/>
      </c>
      <c r="AZ386" s="34">
        <f>IF(AND(AB386="OK",AD386&lt;&gt;"除外"),COUNTIFS($AB$5:AB386,"OK",$AD$5:AD386,"&lt;&gt;除外"),"")</f>
        <v/>
      </c>
      <c r="BA386" s="34">
        <f>IF(OR(AZ386="",AI386=""),"",AI386+ROW()/1000000000)</f>
        <v/>
      </c>
      <c r="BB386" s="34">
        <f>IF(E386="","",IF(OR(TRIM(E386&amp;"")="-",TRIM(E386&amp;"")="－",TRIM(E386&amp;"")="ー"),"",TRIM(E386&amp;"")))</f>
        <v/>
      </c>
      <c r="BC386" s="34">
        <f>IF(AND(AB386="OK",BB386&lt;&gt;""),IF(COUNTIFS($BB$5:BB386,BB386,$AB$5:AB386,"OK")=1,1,""),"")</f>
        <v/>
      </c>
      <c r="BD386" s="34">
        <f>IF(BC386=1,COUNTIF($BC$5:BC386,1),"")</f>
        <v/>
      </c>
      <c r="BE386" s="34">
        <f>IF(BB386="","",IFERROR(INDEX('06_顧客別集計'!$G$5:$G$104,MATCH(BB386,'06_顧客別集計'!$C$5:$C$104,0)),BB386))</f>
        <v/>
      </c>
      <c r="BF386" s="34">
        <f>IF(AND(AZ386&lt;&gt;"",BE386&lt;&gt;""),IF(COUNTIFS($BE$5:BE386,BE386,$AZ$5:AZ386,"&gt;0")=1,1,""),"")</f>
        <v/>
      </c>
      <c r="BG386" s="34">
        <f>IF(BF386=1,COUNTIF($BF$5:BF386,1),"")</f>
        <v/>
      </c>
    </row>
    <row r="387">
      <c r="AB387">
        <f>IF(AND(A387="",G387=""),"",IF(ISNUMBER(SEARCH("##END",AM387)),"（終わりの印）",IF(ISNUMBER(SEARCH("##続き",AM387)),"（続きありの印）",IF(AM387="調査ID","（見出し行）",IF(AND(AM387&lt;&gt;"R1",AM387&lt;&gt;"R2"),"×表以外の行（集計されない）",IF(COUNTIF($AN$5:AN387,AN387)&gt;1,"△重複（集計されない）",IF(G387="","△タスク名なし",IF(ISNA(MATCH(AQ387,'M1_類型マスタ'!$A$5:$A$19,0)),"△類型が不正",IF(OR(AP387="",N(AP387)&lt;1,N(AP387)&gt;6),"△業務区分が不正",IF(OR(AS387="",AT387=""),"△回数・分が読めない",IF(SUMPRODUCT(--ISNUMBER(--T387:Z387))&lt;7,"△採点が足りない",IF(SUMPRODUCT((--T387:Z387&gt;2)+(--T387:Z387&lt;0))&gt;0,"△採点が範囲外","OK"))))))))))))</f>
        <v/>
      </c>
      <c r="AC387">
        <f>IF(AB387&lt;&gt;"OK","",TRIM(IF(AND(AU387&lt;&gt;"",N(AU387)&lt;=1),"根拠1件 ","")&amp;IF(AV387&lt;&gt;"","同名あり ","")&amp;IF(AND(NOT(ISNUMBER(N387)),N387&lt;&gt;""),"回数を換算 ","")&amp;IF(J387="","詳細なし ","")&amp;IF(AND(N(AP387)=1,BB387=""),"顧客名なし ","")))</f>
        <v/>
      </c>
      <c r="AD387" s="31" t="n"/>
      <c r="AE387" s="32" t="n"/>
      <c r="AF387" s="32" t="n"/>
      <c r="AG387" s="31" t="n"/>
      <c r="AH387">
        <f>IF(AB387&lt;&gt;"OK","",IF(AG387&lt;&gt;"",AG387,AJ387))</f>
        <v/>
      </c>
      <c r="AI387" s="33">
        <f>IF(AB387&lt;&gt;"OK","",IFERROR(IF(AE387&lt;&gt;"",AE387,AS387)*IF(AF387&lt;&gt;"",AF387,AT387)/60,""))</f>
        <v/>
      </c>
      <c r="AJ387">
        <f>IF(AB387&lt;&gt;"OK","",IF(OR(VALUE(T387)=2,VALUE(U387)=2,VALUE(V387)=2),"社内残置",IF(AND(VALUE(T387)=0,VALUE(W387)=0,VALUE(Y387)=0),"自動化候補",IF(AND(VALUE(U387)=0,VALUE(W387)&lt;=1,VALUE(X387)&lt;=1,VALUE(Y387)&lt;=1,VALUE(Z387)&lt;=1),"オフショア候補",IF(AND(VALUE(Y387)&lt;=1,VALUE(Z387)&lt;=1),"ニアショア候補","社内で手順化→再評価")))))</f>
        <v/>
      </c>
      <c r="AK387">
        <f>IF(AB387&lt;&gt;"OK","",14-SUMPRODUCT(--T387:Z387))</f>
        <v/>
      </c>
      <c r="AL387" s="33">
        <f>IF(AB387&lt;&gt;"OK","",AS387*AT387/60)</f>
        <v/>
      </c>
      <c r="AM387" s="34">
        <f>IF(A387="","",UPPER(TRIM(ASC(A387&amp;""))))</f>
        <v/>
      </c>
      <c r="AN387" s="34">
        <f>IF(AM387="","",AM387&amp;"-"&amp;B387)</f>
        <v/>
      </c>
      <c r="AO387" s="34">
        <f>IF(C387="","",IFERROR(VALUE(ASC(SUBSTITUTE(C387&amp;"","観点",""))),""))</f>
        <v/>
      </c>
      <c r="AP387" s="34">
        <f>IF(D387="","",IFERROR(VALUE(LEFT(TRIM(ASC(D387&amp;"")),1)),IFERROR(MATCH(TRIM(D387&amp;""),'M2_区分マスタ'!$I$5:$I$10,0),"")))</f>
        <v/>
      </c>
      <c r="AQ387" s="34">
        <f>IF(H387="","",UPPER(LEFT(TRIM(ASC(H387&amp;"")),3)))</f>
        <v/>
      </c>
      <c r="AR387" s="34">
        <f>IF(N387="","",IFERROR(VALUE(SUBSTITUTE(SUBSTITUTE(SUBSTITUTE(SUBSTITUTE(SUBSTITUTE(SUBSTITUTE(SUBSTITUTE(SUBSTITUTE(SUBSTITUTE(SUBSTITUTE(SUBSTITUTE(SUBSTITUTE(ASC(N387&amp;""),"約",""),"程度",""),"ほど",""),"回",""),"毎",""),"週",""),"月",""),"年",""),"日",""),"に",""),"/","")," ","")),""))</f>
        <v/>
      </c>
      <c r="AS387" s="34">
        <f>IF(N387="","",IF(ISNUMBER(N387),N387,IFERROR(VALUE(ASC(N387&amp;"")),IF(AR387&lt;&gt;"",AR387*IF(ISNUMBER(SEARCH("週",N387)),4.3,IF(ISNUMBER(SEARCH("年",N387)),1/12,IF(ISNUMBER(SEARCH("日",N387)),20,1))),IF(ISNUMBER(SEARCH("日",N387)),20,IF(ISNUMBER(SEARCH("週",N387)),4.3,IF(ISNUMBER(SEARCH("月",N387)),1,"")))))))</f>
        <v/>
      </c>
      <c r="AT387" s="34">
        <f>IF(O387="","",IF(ISNUMBER(O387),O387,IFERROR(VALUE(ASC(O387&amp;"")),IF(ISNUMBER(SEARCH("時間",O387)),IFERROR(VALUE(SUBSTITUTE(SUBSTITUTE(SUBSTITUTE(SUBSTITUTE(SUBSTITUTE(ASC(O387&amp;""),"約",""),"程度",""),"ほど",""),"時間","")," ",""))*60,""),IFERROR(VALUE(SUBSTITUTE(SUBSTITUTE(SUBSTITUTE(SUBSTITUTE(SUBSTITUTE(ASC(O387&amp;""),"約",""),"程度",""),"ほど",""),"分","")," ","")),"")))))</f>
        <v/>
      </c>
      <c r="AU387" s="34">
        <f>IF(P387="","",IF(ISNUMBER(P387),P387,IFERROR(VALUE(SUBSTITUTE(SUBSTITUTE(SUBSTITUTE(ASC(P387&amp;""),"約",""),"件","")," ","")),"")))</f>
        <v/>
      </c>
      <c r="AV387" s="34">
        <f>IF(AB387&lt;&gt;"OK","",IF(COUNTIFS($G$5:$G$404,G387&amp;"",$F$5:$F$404,F387&amp;"",$BE$5:$BE$404,BE387&amp;"",$AB$5:$AB$404,"OK")&gt;1,"同名あり",""))</f>
        <v/>
      </c>
      <c r="AW387" s="35">
        <f>IF(Q387="","",IF(ISNUMBER(Q387),Q387,IFERROR(DATEVALUE(SUBSTITUTE(SUBSTITUTE(ASC(Q387&amp;""),"-","/"),".","/")&amp;"/01"),"")))</f>
        <v/>
      </c>
      <c r="AX387" s="35">
        <f>IF(R387="","",IF(ISNUMBER(R387),R387,IFERROR(DATEVALUE(SUBSTITUTE(SUBSTITUTE(ASC(R387&amp;""),"-","/"),".","/")&amp;"/01"),"")))</f>
        <v/>
      </c>
      <c r="AY387" s="34">
        <f>IF(OR(AB387&lt;&gt;"OK",AW387=""),"",IF(AW387&gt;='01_設定'!$C$26,1,0))</f>
        <v/>
      </c>
      <c r="AZ387" s="34">
        <f>IF(AND(AB387="OK",AD387&lt;&gt;"除外"),COUNTIFS($AB$5:AB387,"OK",$AD$5:AD387,"&lt;&gt;除外"),"")</f>
        <v/>
      </c>
      <c r="BA387" s="34">
        <f>IF(OR(AZ387="",AI387=""),"",AI387+ROW()/1000000000)</f>
        <v/>
      </c>
      <c r="BB387" s="34">
        <f>IF(E387="","",IF(OR(TRIM(E387&amp;"")="-",TRIM(E387&amp;"")="－",TRIM(E387&amp;"")="ー"),"",TRIM(E387&amp;"")))</f>
        <v/>
      </c>
      <c r="BC387" s="34">
        <f>IF(AND(AB387="OK",BB387&lt;&gt;""),IF(COUNTIFS($BB$5:BB387,BB387,$AB$5:AB387,"OK")=1,1,""),"")</f>
        <v/>
      </c>
      <c r="BD387" s="34">
        <f>IF(BC387=1,COUNTIF($BC$5:BC387,1),"")</f>
        <v/>
      </c>
      <c r="BE387" s="34">
        <f>IF(BB387="","",IFERROR(INDEX('06_顧客別集計'!$G$5:$G$104,MATCH(BB387,'06_顧客別集計'!$C$5:$C$104,0)),BB387))</f>
        <v/>
      </c>
      <c r="BF387" s="34">
        <f>IF(AND(AZ387&lt;&gt;"",BE387&lt;&gt;""),IF(COUNTIFS($BE$5:BE387,BE387,$AZ$5:AZ387,"&gt;0")=1,1,""),"")</f>
        <v/>
      </c>
      <c r="BG387" s="34">
        <f>IF(BF387=1,COUNTIF($BF$5:BF387,1),"")</f>
        <v/>
      </c>
    </row>
    <row r="388">
      <c r="AB388">
        <f>IF(AND(A388="",G388=""),"",IF(ISNUMBER(SEARCH("##END",AM388)),"（終わりの印）",IF(ISNUMBER(SEARCH("##続き",AM388)),"（続きありの印）",IF(AM388="調査ID","（見出し行）",IF(AND(AM388&lt;&gt;"R1",AM388&lt;&gt;"R2"),"×表以外の行（集計されない）",IF(COUNTIF($AN$5:AN388,AN388)&gt;1,"△重複（集計されない）",IF(G388="","△タスク名なし",IF(ISNA(MATCH(AQ388,'M1_類型マスタ'!$A$5:$A$19,0)),"△類型が不正",IF(OR(AP388="",N(AP388)&lt;1,N(AP388)&gt;6),"△業務区分が不正",IF(OR(AS388="",AT388=""),"△回数・分が読めない",IF(SUMPRODUCT(--ISNUMBER(--T388:Z388))&lt;7,"△採点が足りない",IF(SUMPRODUCT((--T388:Z388&gt;2)+(--T388:Z388&lt;0))&gt;0,"△採点が範囲外","OK"))))))))))))</f>
        <v/>
      </c>
      <c r="AC388">
        <f>IF(AB388&lt;&gt;"OK","",TRIM(IF(AND(AU388&lt;&gt;"",N(AU388)&lt;=1),"根拠1件 ","")&amp;IF(AV388&lt;&gt;"","同名あり ","")&amp;IF(AND(NOT(ISNUMBER(N388)),N388&lt;&gt;""),"回数を換算 ","")&amp;IF(J388="","詳細なし ","")&amp;IF(AND(N(AP388)=1,BB388=""),"顧客名なし ","")))</f>
        <v/>
      </c>
      <c r="AD388" s="31" t="n"/>
      <c r="AE388" s="32" t="n"/>
      <c r="AF388" s="32" t="n"/>
      <c r="AG388" s="31" t="n"/>
      <c r="AH388">
        <f>IF(AB388&lt;&gt;"OK","",IF(AG388&lt;&gt;"",AG388,AJ388))</f>
        <v/>
      </c>
      <c r="AI388" s="33">
        <f>IF(AB388&lt;&gt;"OK","",IFERROR(IF(AE388&lt;&gt;"",AE388,AS388)*IF(AF388&lt;&gt;"",AF388,AT388)/60,""))</f>
        <v/>
      </c>
      <c r="AJ388">
        <f>IF(AB388&lt;&gt;"OK","",IF(OR(VALUE(T388)=2,VALUE(U388)=2,VALUE(V388)=2),"社内残置",IF(AND(VALUE(T388)=0,VALUE(W388)=0,VALUE(Y388)=0),"自動化候補",IF(AND(VALUE(U388)=0,VALUE(W388)&lt;=1,VALUE(X388)&lt;=1,VALUE(Y388)&lt;=1,VALUE(Z388)&lt;=1),"オフショア候補",IF(AND(VALUE(Y388)&lt;=1,VALUE(Z388)&lt;=1),"ニアショア候補","社内で手順化→再評価")))))</f>
        <v/>
      </c>
      <c r="AK388">
        <f>IF(AB388&lt;&gt;"OK","",14-SUMPRODUCT(--T388:Z388))</f>
        <v/>
      </c>
      <c r="AL388" s="33">
        <f>IF(AB388&lt;&gt;"OK","",AS388*AT388/60)</f>
        <v/>
      </c>
      <c r="AM388" s="34">
        <f>IF(A388="","",UPPER(TRIM(ASC(A388&amp;""))))</f>
        <v/>
      </c>
      <c r="AN388" s="34">
        <f>IF(AM388="","",AM388&amp;"-"&amp;B388)</f>
        <v/>
      </c>
      <c r="AO388" s="34">
        <f>IF(C388="","",IFERROR(VALUE(ASC(SUBSTITUTE(C388&amp;"","観点",""))),""))</f>
        <v/>
      </c>
      <c r="AP388" s="34">
        <f>IF(D388="","",IFERROR(VALUE(LEFT(TRIM(ASC(D388&amp;"")),1)),IFERROR(MATCH(TRIM(D388&amp;""),'M2_区分マスタ'!$I$5:$I$10,0),"")))</f>
        <v/>
      </c>
      <c r="AQ388" s="34">
        <f>IF(H388="","",UPPER(LEFT(TRIM(ASC(H388&amp;"")),3)))</f>
        <v/>
      </c>
      <c r="AR388" s="34">
        <f>IF(N388="","",IFERROR(VALUE(SUBSTITUTE(SUBSTITUTE(SUBSTITUTE(SUBSTITUTE(SUBSTITUTE(SUBSTITUTE(SUBSTITUTE(SUBSTITUTE(SUBSTITUTE(SUBSTITUTE(SUBSTITUTE(SUBSTITUTE(ASC(N388&amp;""),"約",""),"程度",""),"ほど",""),"回",""),"毎",""),"週",""),"月",""),"年",""),"日",""),"に",""),"/","")," ","")),""))</f>
        <v/>
      </c>
      <c r="AS388" s="34">
        <f>IF(N388="","",IF(ISNUMBER(N388),N388,IFERROR(VALUE(ASC(N388&amp;"")),IF(AR388&lt;&gt;"",AR388*IF(ISNUMBER(SEARCH("週",N388)),4.3,IF(ISNUMBER(SEARCH("年",N388)),1/12,IF(ISNUMBER(SEARCH("日",N388)),20,1))),IF(ISNUMBER(SEARCH("日",N388)),20,IF(ISNUMBER(SEARCH("週",N388)),4.3,IF(ISNUMBER(SEARCH("月",N388)),1,"")))))))</f>
        <v/>
      </c>
      <c r="AT388" s="34">
        <f>IF(O388="","",IF(ISNUMBER(O388),O388,IFERROR(VALUE(ASC(O388&amp;"")),IF(ISNUMBER(SEARCH("時間",O388)),IFERROR(VALUE(SUBSTITUTE(SUBSTITUTE(SUBSTITUTE(SUBSTITUTE(SUBSTITUTE(ASC(O388&amp;""),"約",""),"程度",""),"ほど",""),"時間","")," ",""))*60,""),IFERROR(VALUE(SUBSTITUTE(SUBSTITUTE(SUBSTITUTE(SUBSTITUTE(SUBSTITUTE(ASC(O388&amp;""),"約",""),"程度",""),"ほど",""),"分","")," ","")),"")))))</f>
        <v/>
      </c>
      <c r="AU388" s="34">
        <f>IF(P388="","",IF(ISNUMBER(P388),P388,IFERROR(VALUE(SUBSTITUTE(SUBSTITUTE(SUBSTITUTE(ASC(P388&amp;""),"約",""),"件","")," ","")),"")))</f>
        <v/>
      </c>
      <c r="AV388" s="34">
        <f>IF(AB388&lt;&gt;"OK","",IF(COUNTIFS($G$5:$G$404,G388&amp;"",$F$5:$F$404,F388&amp;"",$BE$5:$BE$404,BE388&amp;"",$AB$5:$AB$404,"OK")&gt;1,"同名あり",""))</f>
        <v/>
      </c>
      <c r="AW388" s="35">
        <f>IF(Q388="","",IF(ISNUMBER(Q388),Q388,IFERROR(DATEVALUE(SUBSTITUTE(SUBSTITUTE(ASC(Q388&amp;""),"-","/"),".","/")&amp;"/01"),"")))</f>
        <v/>
      </c>
      <c r="AX388" s="35">
        <f>IF(R388="","",IF(ISNUMBER(R388),R388,IFERROR(DATEVALUE(SUBSTITUTE(SUBSTITUTE(ASC(R388&amp;""),"-","/"),".","/")&amp;"/01"),"")))</f>
        <v/>
      </c>
      <c r="AY388" s="34">
        <f>IF(OR(AB388&lt;&gt;"OK",AW388=""),"",IF(AW388&gt;='01_設定'!$C$26,1,0))</f>
        <v/>
      </c>
      <c r="AZ388" s="34">
        <f>IF(AND(AB388="OK",AD388&lt;&gt;"除外"),COUNTIFS($AB$5:AB388,"OK",$AD$5:AD388,"&lt;&gt;除外"),"")</f>
        <v/>
      </c>
      <c r="BA388" s="34">
        <f>IF(OR(AZ388="",AI388=""),"",AI388+ROW()/1000000000)</f>
        <v/>
      </c>
      <c r="BB388" s="34">
        <f>IF(E388="","",IF(OR(TRIM(E388&amp;"")="-",TRIM(E388&amp;"")="－",TRIM(E388&amp;"")="ー"),"",TRIM(E388&amp;"")))</f>
        <v/>
      </c>
      <c r="BC388" s="34">
        <f>IF(AND(AB388="OK",BB388&lt;&gt;""),IF(COUNTIFS($BB$5:BB388,BB388,$AB$5:AB388,"OK")=1,1,""),"")</f>
        <v/>
      </c>
      <c r="BD388" s="34">
        <f>IF(BC388=1,COUNTIF($BC$5:BC388,1),"")</f>
        <v/>
      </c>
      <c r="BE388" s="34">
        <f>IF(BB388="","",IFERROR(INDEX('06_顧客別集計'!$G$5:$G$104,MATCH(BB388,'06_顧客別集計'!$C$5:$C$104,0)),BB388))</f>
        <v/>
      </c>
      <c r="BF388" s="34">
        <f>IF(AND(AZ388&lt;&gt;"",BE388&lt;&gt;""),IF(COUNTIFS($BE$5:BE388,BE388,$AZ$5:AZ388,"&gt;0")=1,1,""),"")</f>
        <v/>
      </c>
      <c r="BG388" s="34">
        <f>IF(BF388=1,COUNTIF($BF$5:BF388,1),"")</f>
        <v/>
      </c>
    </row>
    <row r="389">
      <c r="AB389">
        <f>IF(AND(A389="",G389=""),"",IF(ISNUMBER(SEARCH("##END",AM389)),"（終わりの印）",IF(ISNUMBER(SEARCH("##続き",AM389)),"（続きありの印）",IF(AM389="調査ID","（見出し行）",IF(AND(AM389&lt;&gt;"R1",AM389&lt;&gt;"R2"),"×表以外の行（集計されない）",IF(COUNTIF($AN$5:AN389,AN389)&gt;1,"△重複（集計されない）",IF(G389="","△タスク名なし",IF(ISNA(MATCH(AQ389,'M1_類型マスタ'!$A$5:$A$19,0)),"△類型が不正",IF(OR(AP389="",N(AP389)&lt;1,N(AP389)&gt;6),"△業務区分が不正",IF(OR(AS389="",AT389=""),"△回数・分が読めない",IF(SUMPRODUCT(--ISNUMBER(--T389:Z389))&lt;7,"△採点が足りない",IF(SUMPRODUCT((--T389:Z389&gt;2)+(--T389:Z389&lt;0))&gt;0,"△採点が範囲外","OK"))))))))))))</f>
        <v/>
      </c>
      <c r="AC389">
        <f>IF(AB389&lt;&gt;"OK","",TRIM(IF(AND(AU389&lt;&gt;"",N(AU389)&lt;=1),"根拠1件 ","")&amp;IF(AV389&lt;&gt;"","同名あり ","")&amp;IF(AND(NOT(ISNUMBER(N389)),N389&lt;&gt;""),"回数を換算 ","")&amp;IF(J389="","詳細なし ","")&amp;IF(AND(N(AP389)=1,BB389=""),"顧客名なし ","")))</f>
        <v/>
      </c>
      <c r="AD389" s="31" t="n"/>
      <c r="AE389" s="32" t="n"/>
      <c r="AF389" s="32" t="n"/>
      <c r="AG389" s="31" t="n"/>
      <c r="AH389">
        <f>IF(AB389&lt;&gt;"OK","",IF(AG389&lt;&gt;"",AG389,AJ389))</f>
        <v/>
      </c>
      <c r="AI389" s="33">
        <f>IF(AB389&lt;&gt;"OK","",IFERROR(IF(AE389&lt;&gt;"",AE389,AS389)*IF(AF389&lt;&gt;"",AF389,AT389)/60,""))</f>
        <v/>
      </c>
      <c r="AJ389">
        <f>IF(AB389&lt;&gt;"OK","",IF(OR(VALUE(T389)=2,VALUE(U389)=2,VALUE(V389)=2),"社内残置",IF(AND(VALUE(T389)=0,VALUE(W389)=0,VALUE(Y389)=0),"自動化候補",IF(AND(VALUE(U389)=0,VALUE(W389)&lt;=1,VALUE(X389)&lt;=1,VALUE(Y389)&lt;=1,VALUE(Z389)&lt;=1),"オフショア候補",IF(AND(VALUE(Y389)&lt;=1,VALUE(Z389)&lt;=1),"ニアショア候補","社内で手順化→再評価")))))</f>
        <v/>
      </c>
      <c r="AK389">
        <f>IF(AB389&lt;&gt;"OK","",14-SUMPRODUCT(--T389:Z389))</f>
        <v/>
      </c>
      <c r="AL389" s="33">
        <f>IF(AB389&lt;&gt;"OK","",AS389*AT389/60)</f>
        <v/>
      </c>
      <c r="AM389" s="34">
        <f>IF(A389="","",UPPER(TRIM(ASC(A389&amp;""))))</f>
        <v/>
      </c>
      <c r="AN389" s="34">
        <f>IF(AM389="","",AM389&amp;"-"&amp;B389)</f>
        <v/>
      </c>
      <c r="AO389" s="34">
        <f>IF(C389="","",IFERROR(VALUE(ASC(SUBSTITUTE(C389&amp;"","観点",""))),""))</f>
        <v/>
      </c>
      <c r="AP389" s="34">
        <f>IF(D389="","",IFERROR(VALUE(LEFT(TRIM(ASC(D389&amp;"")),1)),IFERROR(MATCH(TRIM(D389&amp;""),'M2_区分マスタ'!$I$5:$I$10,0),"")))</f>
        <v/>
      </c>
      <c r="AQ389" s="34">
        <f>IF(H389="","",UPPER(LEFT(TRIM(ASC(H389&amp;"")),3)))</f>
        <v/>
      </c>
      <c r="AR389" s="34">
        <f>IF(N389="","",IFERROR(VALUE(SUBSTITUTE(SUBSTITUTE(SUBSTITUTE(SUBSTITUTE(SUBSTITUTE(SUBSTITUTE(SUBSTITUTE(SUBSTITUTE(SUBSTITUTE(SUBSTITUTE(SUBSTITUTE(SUBSTITUTE(ASC(N389&amp;""),"約",""),"程度",""),"ほど",""),"回",""),"毎",""),"週",""),"月",""),"年",""),"日",""),"に",""),"/","")," ","")),""))</f>
        <v/>
      </c>
      <c r="AS389" s="34">
        <f>IF(N389="","",IF(ISNUMBER(N389),N389,IFERROR(VALUE(ASC(N389&amp;"")),IF(AR389&lt;&gt;"",AR389*IF(ISNUMBER(SEARCH("週",N389)),4.3,IF(ISNUMBER(SEARCH("年",N389)),1/12,IF(ISNUMBER(SEARCH("日",N389)),20,1))),IF(ISNUMBER(SEARCH("日",N389)),20,IF(ISNUMBER(SEARCH("週",N389)),4.3,IF(ISNUMBER(SEARCH("月",N389)),1,"")))))))</f>
        <v/>
      </c>
      <c r="AT389" s="34">
        <f>IF(O389="","",IF(ISNUMBER(O389),O389,IFERROR(VALUE(ASC(O389&amp;"")),IF(ISNUMBER(SEARCH("時間",O389)),IFERROR(VALUE(SUBSTITUTE(SUBSTITUTE(SUBSTITUTE(SUBSTITUTE(SUBSTITUTE(ASC(O389&amp;""),"約",""),"程度",""),"ほど",""),"時間","")," ",""))*60,""),IFERROR(VALUE(SUBSTITUTE(SUBSTITUTE(SUBSTITUTE(SUBSTITUTE(SUBSTITUTE(ASC(O389&amp;""),"約",""),"程度",""),"ほど",""),"分","")," ","")),"")))))</f>
        <v/>
      </c>
      <c r="AU389" s="34">
        <f>IF(P389="","",IF(ISNUMBER(P389),P389,IFERROR(VALUE(SUBSTITUTE(SUBSTITUTE(SUBSTITUTE(ASC(P389&amp;""),"約",""),"件","")," ","")),"")))</f>
        <v/>
      </c>
      <c r="AV389" s="34">
        <f>IF(AB389&lt;&gt;"OK","",IF(COUNTIFS($G$5:$G$404,G389&amp;"",$F$5:$F$404,F389&amp;"",$BE$5:$BE$404,BE389&amp;"",$AB$5:$AB$404,"OK")&gt;1,"同名あり",""))</f>
        <v/>
      </c>
      <c r="AW389" s="35">
        <f>IF(Q389="","",IF(ISNUMBER(Q389),Q389,IFERROR(DATEVALUE(SUBSTITUTE(SUBSTITUTE(ASC(Q389&amp;""),"-","/"),".","/")&amp;"/01"),"")))</f>
        <v/>
      </c>
      <c r="AX389" s="35">
        <f>IF(R389="","",IF(ISNUMBER(R389),R389,IFERROR(DATEVALUE(SUBSTITUTE(SUBSTITUTE(ASC(R389&amp;""),"-","/"),".","/")&amp;"/01"),"")))</f>
        <v/>
      </c>
      <c r="AY389" s="34">
        <f>IF(OR(AB389&lt;&gt;"OK",AW389=""),"",IF(AW389&gt;='01_設定'!$C$26,1,0))</f>
        <v/>
      </c>
      <c r="AZ389" s="34">
        <f>IF(AND(AB389="OK",AD389&lt;&gt;"除外"),COUNTIFS($AB$5:AB389,"OK",$AD$5:AD389,"&lt;&gt;除外"),"")</f>
        <v/>
      </c>
      <c r="BA389" s="34">
        <f>IF(OR(AZ389="",AI389=""),"",AI389+ROW()/1000000000)</f>
        <v/>
      </c>
      <c r="BB389" s="34">
        <f>IF(E389="","",IF(OR(TRIM(E389&amp;"")="-",TRIM(E389&amp;"")="－",TRIM(E389&amp;"")="ー"),"",TRIM(E389&amp;"")))</f>
        <v/>
      </c>
      <c r="BC389" s="34">
        <f>IF(AND(AB389="OK",BB389&lt;&gt;""),IF(COUNTIFS($BB$5:BB389,BB389,$AB$5:AB389,"OK")=1,1,""),"")</f>
        <v/>
      </c>
      <c r="BD389" s="34">
        <f>IF(BC389=1,COUNTIF($BC$5:BC389,1),"")</f>
        <v/>
      </c>
      <c r="BE389" s="34">
        <f>IF(BB389="","",IFERROR(INDEX('06_顧客別集計'!$G$5:$G$104,MATCH(BB389,'06_顧客別集計'!$C$5:$C$104,0)),BB389))</f>
        <v/>
      </c>
      <c r="BF389" s="34">
        <f>IF(AND(AZ389&lt;&gt;"",BE389&lt;&gt;""),IF(COUNTIFS($BE$5:BE389,BE389,$AZ$5:AZ389,"&gt;0")=1,1,""),"")</f>
        <v/>
      </c>
      <c r="BG389" s="34">
        <f>IF(BF389=1,COUNTIF($BF$5:BF389,1),"")</f>
        <v/>
      </c>
    </row>
    <row r="390">
      <c r="AB390">
        <f>IF(AND(A390="",G390=""),"",IF(ISNUMBER(SEARCH("##END",AM390)),"（終わりの印）",IF(ISNUMBER(SEARCH("##続き",AM390)),"（続きありの印）",IF(AM390="調査ID","（見出し行）",IF(AND(AM390&lt;&gt;"R1",AM390&lt;&gt;"R2"),"×表以外の行（集計されない）",IF(COUNTIF($AN$5:AN390,AN390)&gt;1,"△重複（集計されない）",IF(G390="","△タスク名なし",IF(ISNA(MATCH(AQ390,'M1_類型マスタ'!$A$5:$A$19,0)),"△類型が不正",IF(OR(AP390="",N(AP390)&lt;1,N(AP390)&gt;6),"△業務区分が不正",IF(OR(AS390="",AT390=""),"△回数・分が読めない",IF(SUMPRODUCT(--ISNUMBER(--T390:Z390))&lt;7,"△採点が足りない",IF(SUMPRODUCT((--T390:Z390&gt;2)+(--T390:Z390&lt;0))&gt;0,"△採点が範囲外","OK"))))))))))))</f>
        <v/>
      </c>
      <c r="AC390">
        <f>IF(AB390&lt;&gt;"OK","",TRIM(IF(AND(AU390&lt;&gt;"",N(AU390)&lt;=1),"根拠1件 ","")&amp;IF(AV390&lt;&gt;"","同名あり ","")&amp;IF(AND(NOT(ISNUMBER(N390)),N390&lt;&gt;""),"回数を換算 ","")&amp;IF(J390="","詳細なし ","")&amp;IF(AND(N(AP390)=1,BB390=""),"顧客名なし ","")))</f>
        <v/>
      </c>
      <c r="AD390" s="31" t="n"/>
      <c r="AE390" s="32" t="n"/>
      <c r="AF390" s="32" t="n"/>
      <c r="AG390" s="31" t="n"/>
      <c r="AH390">
        <f>IF(AB390&lt;&gt;"OK","",IF(AG390&lt;&gt;"",AG390,AJ390))</f>
        <v/>
      </c>
      <c r="AI390" s="33">
        <f>IF(AB390&lt;&gt;"OK","",IFERROR(IF(AE390&lt;&gt;"",AE390,AS390)*IF(AF390&lt;&gt;"",AF390,AT390)/60,""))</f>
        <v/>
      </c>
      <c r="AJ390">
        <f>IF(AB390&lt;&gt;"OK","",IF(OR(VALUE(T390)=2,VALUE(U390)=2,VALUE(V390)=2),"社内残置",IF(AND(VALUE(T390)=0,VALUE(W390)=0,VALUE(Y390)=0),"自動化候補",IF(AND(VALUE(U390)=0,VALUE(W390)&lt;=1,VALUE(X390)&lt;=1,VALUE(Y390)&lt;=1,VALUE(Z390)&lt;=1),"オフショア候補",IF(AND(VALUE(Y390)&lt;=1,VALUE(Z390)&lt;=1),"ニアショア候補","社内で手順化→再評価")))))</f>
        <v/>
      </c>
      <c r="AK390">
        <f>IF(AB390&lt;&gt;"OK","",14-SUMPRODUCT(--T390:Z390))</f>
        <v/>
      </c>
      <c r="AL390" s="33">
        <f>IF(AB390&lt;&gt;"OK","",AS390*AT390/60)</f>
        <v/>
      </c>
      <c r="AM390" s="34">
        <f>IF(A390="","",UPPER(TRIM(ASC(A390&amp;""))))</f>
        <v/>
      </c>
      <c r="AN390" s="34">
        <f>IF(AM390="","",AM390&amp;"-"&amp;B390)</f>
        <v/>
      </c>
      <c r="AO390" s="34">
        <f>IF(C390="","",IFERROR(VALUE(ASC(SUBSTITUTE(C390&amp;"","観点",""))),""))</f>
        <v/>
      </c>
      <c r="AP390" s="34">
        <f>IF(D390="","",IFERROR(VALUE(LEFT(TRIM(ASC(D390&amp;"")),1)),IFERROR(MATCH(TRIM(D390&amp;""),'M2_区分マスタ'!$I$5:$I$10,0),"")))</f>
        <v/>
      </c>
      <c r="AQ390" s="34">
        <f>IF(H390="","",UPPER(LEFT(TRIM(ASC(H390&amp;"")),3)))</f>
        <v/>
      </c>
      <c r="AR390" s="34">
        <f>IF(N390="","",IFERROR(VALUE(SUBSTITUTE(SUBSTITUTE(SUBSTITUTE(SUBSTITUTE(SUBSTITUTE(SUBSTITUTE(SUBSTITUTE(SUBSTITUTE(SUBSTITUTE(SUBSTITUTE(SUBSTITUTE(SUBSTITUTE(ASC(N390&amp;""),"約",""),"程度",""),"ほど",""),"回",""),"毎",""),"週",""),"月",""),"年",""),"日",""),"に",""),"/","")," ","")),""))</f>
        <v/>
      </c>
      <c r="AS390" s="34">
        <f>IF(N390="","",IF(ISNUMBER(N390),N390,IFERROR(VALUE(ASC(N390&amp;"")),IF(AR390&lt;&gt;"",AR390*IF(ISNUMBER(SEARCH("週",N390)),4.3,IF(ISNUMBER(SEARCH("年",N390)),1/12,IF(ISNUMBER(SEARCH("日",N390)),20,1))),IF(ISNUMBER(SEARCH("日",N390)),20,IF(ISNUMBER(SEARCH("週",N390)),4.3,IF(ISNUMBER(SEARCH("月",N390)),1,"")))))))</f>
        <v/>
      </c>
      <c r="AT390" s="34">
        <f>IF(O390="","",IF(ISNUMBER(O390),O390,IFERROR(VALUE(ASC(O390&amp;"")),IF(ISNUMBER(SEARCH("時間",O390)),IFERROR(VALUE(SUBSTITUTE(SUBSTITUTE(SUBSTITUTE(SUBSTITUTE(SUBSTITUTE(ASC(O390&amp;""),"約",""),"程度",""),"ほど",""),"時間","")," ",""))*60,""),IFERROR(VALUE(SUBSTITUTE(SUBSTITUTE(SUBSTITUTE(SUBSTITUTE(SUBSTITUTE(ASC(O390&amp;""),"約",""),"程度",""),"ほど",""),"分","")," ","")),"")))))</f>
        <v/>
      </c>
      <c r="AU390" s="34">
        <f>IF(P390="","",IF(ISNUMBER(P390),P390,IFERROR(VALUE(SUBSTITUTE(SUBSTITUTE(SUBSTITUTE(ASC(P390&amp;""),"約",""),"件","")," ","")),"")))</f>
        <v/>
      </c>
      <c r="AV390" s="34">
        <f>IF(AB390&lt;&gt;"OK","",IF(COUNTIFS($G$5:$G$404,G390&amp;"",$F$5:$F$404,F390&amp;"",$BE$5:$BE$404,BE390&amp;"",$AB$5:$AB$404,"OK")&gt;1,"同名あり",""))</f>
        <v/>
      </c>
      <c r="AW390" s="35">
        <f>IF(Q390="","",IF(ISNUMBER(Q390),Q390,IFERROR(DATEVALUE(SUBSTITUTE(SUBSTITUTE(ASC(Q390&amp;""),"-","/"),".","/")&amp;"/01"),"")))</f>
        <v/>
      </c>
      <c r="AX390" s="35">
        <f>IF(R390="","",IF(ISNUMBER(R390),R390,IFERROR(DATEVALUE(SUBSTITUTE(SUBSTITUTE(ASC(R390&amp;""),"-","/"),".","/")&amp;"/01"),"")))</f>
        <v/>
      </c>
      <c r="AY390" s="34">
        <f>IF(OR(AB390&lt;&gt;"OK",AW390=""),"",IF(AW390&gt;='01_設定'!$C$26,1,0))</f>
        <v/>
      </c>
      <c r="AZ390" s="34">
        <f>IF(AND(AB390="OK",AD390&lt;&gt;"除外"),COUNTIFS($AB$5:AB390,"OK",$AD$5:AD390,"&lt;&gt;除外"),"")</f>
        <v/>
      </c>
      <c r="BA390" s="34">
        <f>IF(OR(AZ390="",AI390=""),"",AI390+ROW()/1000000000)</f>
        <v/>
      </c>
      <c r="BB390" s="34">
        <f>IF(E390="","",IF(OR(TRIM(E390&amp;"")="-",TRIM(E390&amp;"")="－",TRIM(E390&amp;"")="ー"),"",TRIM(E390&amp;"")))</f>
        <v/>
      </c>
      <c r="BC390" s="34">
        <f>IF(AND(AB390="OK",BB390&lt;&gt;""),IF(COUNTIFS($BB$5:BB390,BB390,$AB$5:AB390,"OK")=1,1,""),"")</f>
        <v/>
      </c>
      <c r="BD390" s="34">
        <f>IF(BC390=1,COUNTIF($BC$5:BC390,1),"")</f>
        <v/>
      </c>
      <c r="BE390" s="34">
        <f>IF(BB390="","",IFERROR(INDEX('06_顧客別集計'!$G$5:$G$104,MATCH(BB390,'06_顧客別集計'!$C$5:$C$104,0)),BB390))</f>
        <v/>
      </c>
      <c r="BF390" s="34">
        <f>IF(AND(AZ390&lt;&gt;"",BE390&lt;&gt;""),IF(COUNTIFS($BE$5:BE390,BE390,$AZ$5:AZ390,"&gt;0")=1,1,""),"")</f>
        <v/>
      </c>
      <c r="BG390" s="34">
        <f>IF(BF390=1,COUNTIF($BF$5:BF390,1),"")</f>
        <v/>
      </c>
    </row>
    <row r="391">
      <c r="AB391">
        <f>IF(AND(A391="",G391=""),"",IF(ISNUMBER(SEARCH("##END",AM391)),"（終わりの印）",IF(ISNUMBER(SEARCH("##続き",AM391)),"（続きありの印）",IF(AM391="調査ID","（見出し行）",IF(AND(AM391&lt;&gt;"R1",AM391&lt;&gt;"R2"),"×表以外の行（集計されない）",IF(COUNTIF($AN$5:AN391,AN391)&gt;1,"△重複（集計されない）",IF(G391="","△タスク名なし",IF(ISNA(MATCH(AQ391,'M1_類型マスタ'!$A$5:$A$19,0)),"△類型が不正",IF(OR(AP391="",N(AP391)&lt;1,N(AP391)&gt;6),"△業務区分が不正",IF(OR(AS391="",AT391=""),"△回数・分が読めない",IF(SUMPRODUCT(--ISNUMBER(--T391:Z391))&lt;7,"△採点が足りない",IF(SUMPRODUCT((--T391:Z391&gt;2)+(--T391:Z391&lt;0))&gt;0,"△採点が範囲外","OK"))))))))))))</f>
        <v/>
      </c>
      <c r="AC391">
        <f>IF(AB391&lt;&gt;"OK","",TRIM(IF(AND(AU391&lt;&gt;"",N(AU391)&lt;=1),"根拠1件 ","")&amp;IF(AV391&lt;&gt;"","同名あり ","")&amp;IF(AND(NOT(ISNUMBER(N391)),N391&lt;&gt;""),"回数を換算 ","")&amp;IF(J391="","詳細なし ","")&amp;IF(AND(N(AP391)=1,BB391=""),"顧客名なし ","")))</f>
        <v/>
      </c>
      <c r="AD391" s="31" t="n"/>
      <c r="AE391" s="32" t="n"/>
      <c r="AF391" s="32" t="n"/>
      <c r="AG391" s="31" t="n"/>
      <c r="AH391">
        <f>IF(AB391&lt;&gt;"OK","",IF(AG391&lt;&gt;"",AG391,AJ391))</f>
        <v/>
      </c>
      <c r="AI391" s="33">
        <f>IF(AB391&lt;&gt;"OK","",IFERROR(IF(AE391&lt;&gt;"",AE391,AS391)*IF(AF391&lt;&gt;"",AF391,AT391)/60,""))</f>
        <v/>
      </c>
      <c r="AJ391">
        <f>IF(AB391&lt;&gt;"OK","",IF(OR(VALUE(T391)=2,VALUE(U391)=2,VALUE(V391)=2),"社内残置",IF(AND(VALUE(T391)=0,VALUE(W391)=0,VALUE(Y391)=0),"自動化候補",IF(AND(VALUE(U391)=0,VALUE(W391)&lt;=1,VALUE(X391)&lt;=1,VALUE(Y391)&lt;=1,VALUE(Z391)&lt;=1),"オフショア候補",IF(AND(VALUE(Y391)&lt;=1,VALUE(Z391)&lt;=1),"ニアショア候補","社内で手順化→再評価")))))</f>
        <v/>
      </c>
      <c r="AK391">
        <f>IF(AB391&lt;&gt;"OK","",14-SUMPRODUCT(--T391:Z391))</f>
        <v/>
      </c>
      <c r="AL391" s="33">
        <f>IF(AB391&lt;&gt;"OK","",AS391*AT391/60)</f>
        <v/>
      </c>
      <c r="AM391" s="34">
        <f>IF(A391="","",UPPER(TRIM(ASC(A391&amp;""))))</f>
        <v/>
      </c>
      <c r="AN391" s="34">
        <f>IF(AM391="","",AM391&amp;"-"&amp;B391)</f>
        <v/>
      </c>
      <c r="AO391" s="34">
        <f>IF(C391="","",IFERROR(VALUE(ASC(SUBSTITUTE(C391&amp;"","観点",""))),""))</f>
        <v/>
      </c>
      <c r="AP391" s="34">
        <f>IF(D391="","",IFERROR(VALUE(LEFT(TRIM(ASC(D391&amp;"")),1)),IFERROR(MATCH(TRIM(D391&amp;""),'M2_区分マスタ'!$I$5:$I$10,0),"")))</f>
        <v/>
      </c>
      <c r="AQ391" s="34">
        <f>IF(H391="","",UPPER(LEFT(TRIM(ASC(H391&amp;"")),3)))</f>
        <v/>
      </c>
      <c r="AR391" s="34">
        <f>IF(N391="","",IFERROR(VALUE(SUBSTITUTE(SUBSTITUTE(SUBSTITUTE(SUBSTITUTE(SUBSTITUTE(SUBSTITUTE(SUBSTITUTE(SUBSTITUTE(SUBSTITUTE(SUBSTITUTE(SUBSTITUTE(SUBSTITUTE(ASC(N391&amp;""),"約",""),"程度",""),"ほど",""),"回",""),"毎",""),"週",""),"月",""),"年",""),"日",""),"に",""),"/","")," ","")),""))</f>
        <v/>
      </c>
      <c r="AS391" s="34">
        <f>IF(N391="","",IF(ISNUMBER(N391),N391,IFERROR(VALUE(ASC(N391&amp;"")),IF(AR391&lt;&gt;"",AR391*IF(ISNUMBER(SEARCH("週",N391)),4.3,IF(ISNUMBER(SEARCH("年",N391)),1/12,IF(ISNUMBER(SEARCH("日",N391)),20,1))),IF(ISNUMBER(SEARCH("日",N391)),20,IF(ISNUMBER(SEARCH("週",N391)),4.3,IF(ISNUMBER(SEARCH("月",N391)),1,"")))))))</f>
        <v/>
      </c>
      <c r="AT391" s="34">
        <f>IF(O391="","",IF(ISNUMBER(O391),O391,IFERROR(VALUE(ASC(O391&amp;"")),IF(ISNUMBER(SEARCH("時間",O391)),IFERROR(VALUE(SUBSTITUTE(SUBSTITUTE(SUBSTITUTE(SUBSTITUTE(SUBSTITUTE(ASC(O391&amp;""),"約",""),"程度",""),"ほど",""),"時間","")," ",""))*60,""),IFERROR(VALUE(SUBSTITUTE(SUBSTITUTE(SUBSTITUTE(SUBSTITUTE(SUBSTITUTE(ASC(O391&amp;""),"約",""),"程度",""),"ほど",""),"分","")," ","")),"")))))</f>
        <v/>
      </c>
      <c r="AU391" s="34">
        <f>IF(P391="","",IF(ISNUMBER(P391),P391,IFERROR(VALUE(SUBSTITUTE(SUBSTITUTE(SUBSTITUTE(ASC(P391&amp;""),"約",""),"件","")," ","")),"")))</f>
        <v/>
      </c>
      <c r="AV391" s="34">
        <f>IF(AB391&lt;&gt;"OK","",IF(COUNTIFS($G$5:$G$404,G391&amp;"",$F$5:$F$404,F391&amp;"",$BE$5:$BE$404,BE391&amp;"",$AB$5:$AB$404,"OK")&gt;1,"同名あり",""))</f>
        <v/>
      </c>
      <c r="AW391" s="35">
        <f>IF(Q391="","",IF(ISNUMBER(Q391),Q391,IFERROR(DATEVALUE(SUBSTITUTE(SUBSTITUTE(ASC(Q391&amp;""),"-","/"),".","/")&amp;"/01"),"")))</f>
        <v/>
      </c>
      <c r="AX391" s="35">
        <f>IF(R391="","",IF(ISNUMBER(R391),R391,IFERROR(DATEVALUE(SUBSTITUTE(SUBSTITUTE(ASC(R391&amp;""),"-","/"),".","/")&amp;"/01"),"")))</f>
        <v/>
      </c>
      <c r="AY391" s="34">
        <f>IF(OR(AB391&lt;&gt;"OK",AW391=""),"",IF(AW391&gt;='01_設定'!$C$26,1,0))</f>
        <v/>
      </c>
      <c r="AZ391" s="34">
        <f>IF(AND(AB391="OK",AD391&lt;&gt;"除外"),COUNTIFS($AB$5:AB391,"OK",$AD$5:AD391,"&lt;&gt;除外"),"")</f>
        <v/>
      </c>
      <c r="BA391" s="34">
        <f>IF(OR(AZ391="",AI391=""),"",AI391+ROW()/1000000000)</f>
        <v/>
      </c>
      <c r="BB391" s="34">
        <f>IF(E391="","",IF(OR(TRIM(E391&amp;"")="-",TRIM(E391&amp;"")="－",TRIM(E391&amp;"")="ー"),"",TRIM(E391&amp;"")))</f>
        <v/>
      </c>
      <c r="BC391" s="34">
        <f>IF(AND(AB391="OK",BB391&lt;&gt;""),IF(COUNTIFS($BB$5:BB391,BB391,$AB$5:AB391,"OK")=1,1,""),"")</f>
        <v/>
      </c>
      <c r="BD391" s="34">
        <f>IF(BC391=1,COUNTIF($BC$5:BC391,1),"")</f>
        <v/>
      </c>
      <c r="BE391" s="34">
        <f>IF(BB391="","",IFERROR(INDEX('06_顧客別集計'!$G$5:$G$104,MATCH(BB391,'06_顧客別集計'!$C$5:$C$104,0)),BB391))</f>
        <v/>
      </c>
      <c r="BF391" s="34">
        <f>IF(AND(AZ391&lt;&gt;"",BE391&lt;&gt;""),IF(COUNTIFS($BE$5:BE391,BE391,$AZ$5:AZ391,"&gt;0")=1,1,""),"")</f>
        <v/>
      </c>
      <c r="BG391" s="34">
        <f>IF(BF391=1,COUNTIF($BF$5:BF391,1),"")</f>
        <v/>
      </c>
    </row>
    <row r="392">
      <c r="AB392">
        <f>IF(AND(A392="",G392=""),"",IF(ISNUMBER(SEARCH("##END",AM392)),"（終わりの印）",IF(ISNUMBER(SEARCH("##続き",AM392)),"（続きありの印）",IF(AM392="調査ID","（見出し行）",IF(AND(AM392&lt;&gt;"R1",AM392&lt;&gt;"R2"),"×表以外の行（集計されない）",IF(COUNTIF($AN$5:AN392,AN392)&gt;1,"△重複（集計されない）",IF(G392="","△タスク名なし",IF(ISNA(MATCH(AQ392,'M1_類型マスタ'!$A$5:$A$19,0)),"△類型が不正",IF(OR(AP392="",N(AP392)&lt;1,N(AP392)&gt;6),"△業務区分が不正",IF(OR(AS392="",AT392=""),"△回数・分が読めない",IF(SUMPRODUCT(--ISNUMBER(--T392:Z392))&lt;7,"△採点が足りない",IF(SUMPRODUCT((--T392:Z392&gt;2)+(--T392:Z392&lt;0))&gt;0,"△採点が範囲外","OK"))))))))))))</f>
        <v/>
      </c>
      <c r="AC392">
        <f>IF(AB392&lt;&gt;"OK","",TRIM(IF(AND(AU392&lt;&gt;"",N(AU392)&lt;=1),"根拠1件 ","")&amp;IF(AV392&lt;&gt;"","同名あり ","")&amp;IF(AND(NOT(ISNUMBER(N392)),N392&lt;&gt;""),"回数を換算 ","")&amp;IF(J392="","詳細なし ","")&amp;IF(AND(N(AP392)=1,BB392=""),"顧客名なし ","")))</f>
        <v/>
      </c>
      <c r="AD392" s="31" t="n"/>
      <c r="AE392" s="32" t="n"/>
      <c r="AF392" s="32" t="n"/>
      <c r="AG392" s="31" t="n"/>
      <c r="AH392">
        <f>IF(AB392&lt;&gt;"OK","",IF(AG392&lt;&gt;"",AG392,AJ392))</f>
        <v/>
      </c>
      <c r="AI392" s="33">
        <f>IF(AB392&lt;&gt;"OK","",IFERROR(IF(AE392&lt;&gt;"",AE392,AS392)*IF(AF392&lt;&gt;"",AF392,AT392)/60,""))</f>
        <v/>
      </c>
      <c r="AJ392">
        <f>IF(AB392&lt;&gt;"OK","",IF(OR(VALUE(T392)=2,VALUE(U392)=2,VALUE(V392)=2),"社内残置",IF(AND(VALUE(T392)=0,VALUE(W392)=0,VALUE(Y392)=0),"自動化候補",IF(AND(VALUE(U392)=0,VALUE(W392)&lt;=1,VALUE(X392)&lt;=1,VALUE(Y392)&lt;=1,VALUE(Z392)&lt;=1),"オフショア候補",IF(AND(VALUE(Y392)&lt;=1,VALUE(Z392)&lt;=1),"ニアショア候補","社内で手順化→再評価")))))</f>
        <v/>
      </c>
      <c r="AK392">
        <f>IF(AB392&lt;&gt;"OK","",14-SUMPRODUCT(--T392:Z392))</f>
        <v/>
      </c>
      <c r="AL392" s="33">
        <f>IF(AB392&lt;&gt;"OK","",AS392*AT392/60)</f>
        <v/>
      </c>
      <c r="AM392" s="34">
        <f>IF(A392="","",UPPER(TRIM(ASC(A392&amp;""))))</f>
        <v/>
      </c>
      <c r="AN392" s="34">
        <f>IF(AM392="","",AM392&amp;"-"&amp;B392)</f>
        <v/>
      </c>
      <c r="AO392" s="34">
        <f>IF(C392="","",IFERROR(VALUE(ASC(SUBSTITUTE(C392&amp;"","観点",""))),""))</f>
        <v/>
      </c>
      <c r="AP392" s="34">
        <f>IF(D392="","",IFERROR(VALUE(LEFT(TRIM(ASC(D392&amp;"")),1)),IFERROR(MATCH(TRIM(D392&amp;""),'M2_区分マスタ'!$I$5:$I$10,0),"")))</f>
        <v/>
      </c>
      <c r="AQ392" s="34">
        <f>IF(H392="","",UPPER(LEFT(TRIM(ASC(H392&amp;"")),3)))</f>
        <v/>
      </c>
      <c r="AR392" s="34">
        <f>IF(N392="","",IFERROR(VALUE(SUBSTITUTE(SUBSTITUTE(SUBSTITUTE(SUBSTITUTE(SUBSTITUTE(SUBSTITUTE(SUBSTITUTE(SUBSTITUTE(SUBSTITUTE(SUBSTITUTE(SUBSTITUTE(SUBSTITUTE(ASC(N392&amp;""),"約",""),"程度",""),"ほど",""),"回",""),"毎",""),"週",""),"月",""),"年",""),"日",""),"に",""),"/","")," ","")),""))</f>
        <v/>
      </c>
      <c r="AS392" s="34">
        <f>IF(N392="","",IF(ISNUMBER(N392),N392,IFERROR(VALUE(ASC(N392&amp;"")),IF(AR392&lt;&gt;"",AR392*IF(ISNUMBER(SEARCH("週",N392)),4.3,IF(ISNUMBER(SEARCH("年",N392)),1/12,IF(ISNUMBER(SEARCH("日",N392)),20,1))),IF(ISNUMBER(SEARCH("日",N392)),20,IF(ISNUMBER(SEARCH("週",N392)),4.3,IF(ISNUMBER(SEARCH("月",N392)),1,"")))))))</f>
        <v/>
      </c>
      <c r="AT392" s="34">
        <f>IF(O392="","",IF(ISNUMBER(O392),O392,IFERROR(VALUE(ASC(O392&amp;"")),IF(ISNUMBER(SEARCH("時間",O392)),IFERROR(VALUE(SUBSTITUTE(SUBSTITUTE(SUBSTITUTE(SUBSTITUTE(SUBSTITUTE(ASC(O392&amp;""),"約",""),"程度",""),"ほど",""),"時間","")," ",""))*60,""),IFERROR(VALUE(SUBSTITUTE(SUBSTITUTE(SUBSTITUTE(SUBSTITUTE(SUBSTITUTE(ASC(O392&amp;""),"約",""),"程度",""),"ほど",""),"分","")," ","")),"")))))</f>
        <v/>
      </c>
      <c r="AU392" s="34">
        <f>IF(P392="","",IF(ISNUMBER(P392),P392,IFERROR(VALUE(SUBSTITUTE(SUBSTITUTE(SUBSTITUTE(ASC(P392&amp;""),"約",""),"件","")," ","")),"")))</f>
        <v/>
      </c>
      <c r="AV392" s="34">
        <f>IF(AB392&lt;&gt;"OK","",IF(COUNTIFS($G$5:$G$404,G392&amp;"",$F$5:$F$404,F392&amp;"",$BE$5:$BE$404,BE392&amp;"",$AB$5:$AB$404,"OK")&gt;1,"同名あり",""))</f>
        <v/>
      </c>
      <c r="AW392" s="35">
        <f>IF(Q392="","",IF(ISNUMBER(Q392),Q392,IFERROR(DATEVALUE(SUBSTITUTE(SUBSTITUTE(ASC(Q392&amp;""),"-","/"),".","/")&amp;"/01"),"")))</f>
        <v/>
      </c>
      <c r="AX392" s="35">
        <f>IF(R392="","",IF(ISNUMBER(R392),R392,IFERROR(DATEVALUE(SUBSTITUTE(SUBSTITUTE(ASC(R392&amp;""),"-","/"),".","/")&amp;"/01"),"")))</f>
        <v/>
      </c>
      <c r="AY392" s="34">
        <f>IF(OR(AB392&lt;&gt;"OK",AW392=""),"",IF(AW392&gt;='01_設定'!$C$26,1,0))</f>
        <v/>
      </c>
      <c r="AZ392" s="34">
        <f>IF(AND(AB392="OK",AD392&lt;&gt;"除外"),COUNTIFS($AB$5:AB392,"OK",$AD$5:AD392,"&lt;&gt;除外"),"")</f>
        <v/>
      </c>
      <c r="BA392" s="34">
        <f>IF(OR(AZ392="",AI392=""),"",AI392+ROW()/1000000000)</f>
        <v/>
      </c>
      <c r="BB392" s="34">
        <f>IF(E392="","",IF(OR(TRIM(E392&amp;"")="-",TRIM(E392&amp;"")="－",TRIM(E392&amp;"")="ー"),"",TRIM(E392&amp;"")))</f>
        <v/>
      </c>
      <c r="BC392" s="34">
        <f>IF(AND(AB392="OK",BB392&lt;&gt;""),IF(COUNTIFS($BB$5:BB392,BB392,$AB$5:AB392,"OK")=1,1,""),"")</f>
        <v/>
      </c>
      <c r="BD392" s="34">
        <f>IF(BC392=1,COUNTIF($BC$5:BC392,1),"")</f>
        <v/>
      </c>
      <c r="BE392" s="34">
        <f>IF(BB392="","",IFERROR(INDEX('06_顧客別集計'!$G$5:$G$104,MATCH(BB392,'06_顧客別集計'!$C$5:$C$104,0)),BB392))</f>
        <v/>
      </c>
      <c r="BF392" s="34">
        <f>IF(AND(AZ392&lt;&gt;"",BE392&lt;&gt;""),IF(COUNTIFS($BE$5:BE392,BE392,$AZ$5:AZ392,"&gt;0")=1,1,""),"")</f>
        <v/>
      </c>
      <c r="BG392" s="34">
        <f>IF(BF392=1,COUNTIF($BF$5:BF392,1),"")</f>
        <v/>
      </c>
    </row>
    <row r="393">
      <c r="AB393">
        <f>IF(AND(A393="",G393=""),"",IF(ISNUMBER(SEARCH("##END",AM393)),"（終わりの印）",IF(ISNUMBER(SEARCH("##続き",AM393)),"（続きありの印）",IF(AM393="調査ID","（見出し行）",IF(AND(AM393&lt;&gt;"R1",AM393&lt;&gt;"R2"),"×表以外の行（集計されない）",IF(COUNTIF($AN$5:AN393,AN393)&gt;1,"△重複（集計されない）",IF(G393="","△タスク名なし",IF(ISNA(MATCH(AQ393,'M1_類型マスタ'!$A$5:$A$19,0)),"△類型が不正",IF(OR(AP393="",N(AP393)&lt;1,N(AP393)&gt;6),"△業務区分が不正",IF(OR(AS393="",AT393=""),"△回数・分が読めない",IF(SUMPRODUCT(--ISNUMBER(--T393:Z393))&lt;7,"△採点が足りない",IF(SUMPRODUCT((--T393:Z393&gt;2)+(--T393:Z393&lt;0))&gt;0,"△採点が範囲外","OK"))))))))))))</f>
        <v/>
      </c>
      <c r="AC393">
        <f>IF(AB393&lt;&gt;"OK","",TRIM(IF(AND(AU393&lt;&gt;"",N(AU393)&lt;=1),"根拠1件 ","")&amp;IF(AV393&lt;&gt;"","同名あり ","")&amp;IF(AND(NOT(ISNUMBER(N393)),N393&lt;&gt;""),"回数を換算 ","")&amp;IF(J393="","詳細なし ","")&amp;IF(AND(N(AP393)=1,BB393=""),"顧客名なし ","")))</f>
        <v/>
      </c>
      <c r="AD393" s="31" t="n"/>
      <c r="AE393" s="32" t="n"/>
      <c r="AF393" s="32" t="n"/>
      <c r="AG393" s="31" t="n"/>
      <c r="AH393">
        <f>IF(AB393&lt;&gt;"OK","",IF(AG393&lt;&gt;"",AG393,AJ393))</f>
        <v/>
      </c>
      <c r="AI393" s="33">
        <f>IF(AB393&lt;&gt;"OK","",IFERROR(IF(AE393&lt;&gt;"",AE393,AS393)*IF(AF393&lt;&gt;"",AF393,AT393)/60,""))</f>
        <v/>
      </c>
      <c r="AJ393">
        <f>IF(AB393&lt;&gt;"OK","",IF(OR(VALUE(T393)=2,VALUE(U393)=2,VALUE(V393)=2),"社内残置",IF(AND(VALUE(T393)=0,VALUE(W393)=0,VALUE(Y393)=0),"自動化候補",IF(AND(VALUE(U393)=0,VALUE(W393)&lt;=1,VALUE(X393)&lt;=1,VALUE(Y393)&lt;=1,VALUE(Z393)&lt;=1),"オフショア候補",IF(AND(VALUE(Y393)&lt;=1,VALUE(Z393)&lt;=1),"ニアショア候補","社内で手順化→再評価")))))</f>
        <v/>
      </c>
      <c r="AK393">
        <f>IF(AB393&lt;&gt;"OK","",14-SUMPRODUCT(--T393:Z393))</f>
        <v/>
      </c>
      <c r="AL393" s="33">
        <f>IF(AB393&lt;&gt;"OK","",AS393*AT393/60)</f>
        <v/>
      </c>
      <c r="AM393" s="34">
        <f>IF(A393="","",UPPER(TRIM(ASC(A393&amp;""))))</f>
        <v/>
      </c>
      <c r="AN393" s="34">
        <f>IF(AM393="","",AM393&amp;"-"&amp;B393)</f>
        <v/>
      </c>
      <c r="AO393" s="34">
        <f>IF(C393="","",IFERROR(VALUE(ASC(SUBSTITUTE(C393&amp;"","観点",""))),""))</f>
        <v/>
      </c>
      <c r="AP393" s="34">
        <f>IF(D393="","",IFERROR(VALUE(LEFT(TRIM(ASC(D393&amp;"")),1)),IFERROR(MATCH(TRIM(D393&amp;""),'M2_区分マスタ'!$I$5:$I$10,0),"")))</f>
        <v/>
      </c>
      <c r="AQ393" s="34">
        <f>IF(H393="","",UPPER(LEFT(TRIM(ASC(H393&amp;"")),3)))</f>
        <v/>
      </c>
      <c r="AR393" s="34">
        <f>IF(N393="","",IFERROR(VALUE(SUBSTITUTE(SUBSTITUTE(SUBSTITUTE(SUBSTITUTE(SUBSTITUTE(SUBSTITUTE(SUBSTITUTE(SUBSTITUTE(SUBSTITUTE(SUBSTITUTE(SUBSTITUTE(SUBSTITUTE(ASC(N393&amp;""),"約",""),"程度",""),"ほど",""),"回",""),"毎",""),"週",""),"月",""),"年",""),"日",""),"に",""),"/","")," ","")),""))</f>
        <v/>
      </c>
      <c r="AS393" s="34">
        <f>IF(N393="","",IF(ISNUMBER(N393),N393,IFERROR(VALUE(ASC(N393&amp;"")),IF(AR393&lt;&gt;"",AR393*IF(ISNUMBER(SEARCH("週",N393)),4.3,IF(ISNUMBER(SEARCH("年",N393)),1/12,IF(ISNUMBER(SEARCH("日",N393)),20,1))),IF(ISNUMBER(SEARCH("日",N393)),20,IF(ISNUMBER(SEARCH("週",N393)),4.3,IF(ISNUMBER(SEARCH("月",N393)),1,"")))))))</f>
        <v/>
      </c>
      <c r="AT393" s="34">
        <f>IF(O393="","",IF(ISNUMBER(O393),O393,IFERROR(VALUE(ASC(O393&amp;"")),IF(ISNUMBER(SEARCH("時間",O393)),IFERROR(VALUE(SUBSTITUTE(SUBSTITUTE(SUBSTITUTE(SUBSTITUTE(SUBSTITUTE(ASC(O393&amp;""),"約",""),"程度",""),"ほど",""),"時間","")," ",""))*60,""),IFERROR(VALUE(SUBSTITUTE(SUBSTITUTE(SUBSTITUTE(SUBSTITUTE(SUBSTITUTE(ASC(O393&amp;""),"約",""),"程度",""),"ほど",""),"分","")," ","")),"")))))</f>
        <v/>
      </c>
      <c r="AU393" s="34">
        <f>IF(P393="","",IF(ISNUMBER(P393),P393,IFERROR(VALUE(SUBSTITUTE(SUBSTITUTE(SUBSTITUTE(ASC(P393&amp;""),"約",""),"件","")," ","")),"")))</f>
        <v/>
      </c>
      <c r="AV393" s="34">
        <f>IF(AB393&lt;&gt;"OK","",IF(COUNTIFS($G$5:$G$404,G393&amp;"",$F$5:$F$404,F393&amp;"",$BE$5:$BE$404,BE393&amp;"",$AB$5:$AB$404,"OK")&gt;1,"同名あり",""))</f>
        <v/>
      </c>
      <c r="AW393" s="35">
        <f>IF(Q393="","",IF(ISNUMBER(Q393),Q393,IFERROR(DATEVALUE(SUBSTITUTE(SUBSTITUTE(ASC(Q393&amp;""),"-","/"),".","/")&amp;"/01"),"")))</f>
        <v/>
      </c>
      <c r="AX393" s="35">
        <f>IF(R393="","",IF(ISNUMBER(R393),R393,IFERROR(DATEVALUE(SUBSTITUTE(SUBSTITUTE(ASC(R393&amp;""),"-","/"),".","/")&amp;"/01"),"")))</f>
        <v/>
      </c>
      <c r="AY393" s="34">
        <f>IF(OR(AB393&lt;&gt;"OK",AW393=""),"",IF(AW393&gt;='01_設定'!$C$26,1,0))</f>
        <v/>
      </c>
      <c r="AZ393" s="34">
        <f>IF(AND(AB393="OK",AD393&lt;&gt;"除外"),COUNTIFS($AB$5:AB393,"OK",$AD$5:AD393,"&lt;&gt;除外"),"")</f>
        <v/>
      </c>
      <c r="BA393" s="34">
        <f>IF(OR(AZ393="",AI393=""),"",AI393+ROW()/1000000000)</f>
        <v/>
      </c>
      <c r="BB393" s="34">
        <f>IF(E393="","",IF(OR(TRIM(E393&amp;"")="-",TRIM(E393&amp;"")="－",TRIM(E393&amp;"")="ー"),"",TRIM(E393&amp;"")))</f>
        <v/>
      </c>
      <c r="BC393" s="34">
        <f>IF(AND(AB393="OK",BB393&lt;&gt;""),IF(COUNTIFS($BB$5:BB393,BB393,$AB$5:AB393,"OK")=1,1,""),"")</f>
        <v/>
      </c>
      <c r="BD393" s="34">
        <f>IF(BC393=1,COUNTIF($BC$5:BC393,1),"")</f>
        <v/>
      </c>
      <c r="BE393" s="34">
        <f>IF(BB393="","",IFERROR(INDEX('06_顧客別集計'!$G$5:$G$104,MATCH(BB393,'06_顧客別集計'!$C$5:$C$104,0)),BB393))</f>
        <v/>
      </c>
      <c r="BF393" s="34">
        <f>IF(AND(AZ393&lt;&gt;"",BE393&lt;&gt;""),IF(COUNTIFS($BE$5:BE393,BE393,$AZ$5:AZ393,"&gt;0")=1,1,""),"")</f>
        <v/>
      </c>
      <c r="BG393" s="34">
        <f>IF(BF393=1,COUNTIF($BF$5:BF393,1),"")</f>
        <v/>
      </c>
    </row>
    <row r="394">
      <c r="AB394">
        <f>IF(AND(A394="",G394=""),"",IF(ISNUMBER(SEARCH("##END",AM394)),"（終わりの印）",IF(ISNUMBER(SEARCH("##続き",AM394)),"（続きありの印）",IF(AM394="調査ID","（見出し行）",IF(AND(AM394&lt;&gt;"R1",AM394&lt;&gt;"R2"),"×表以外の行（集計されない）",IF(COUNTIF($AN$5:AN394,AN394)&gt;1,"△重複（集計されない）",IF(G394="","△タスク名なし",IF(ISNA(MATCH(AQ394,'M1_類型マスタ'!$A$5:$A$19,0)),"△類型が不正",IF(OR(AP394="",N(AP394)&lt;1,N(AP394)&gt;6),"△業務区分が不正",IF(OR(AS394="",AT394=""),"△回数・分が読めない",IF(SUMPRODUCT(--ISNUMBER(--T394:Z394))&lt;7,"△採点が足りない",IF(SUMPRODUCT((--T394:Z394&gt;2)+(--T394:Z394&lt;0))&gt;0,"△採点が範囲外","OK"))))))))))))</f>
        <v/>
      </c>
      <c r="AC394">
        <f>IF(AB394&lt;&gt;"OK","",TRIM(IF(AND(AU394&lt;&gt;"",N(AU394)&lt;=1),"根拠1件 ","")&amp;IF(AV394&lt;&gt;"","同名あり ","")&amp;IF(AND(NOT(ISNUMBER(N394)),N394&lt;&gt;""),"回数を換算 ","")&amp;IF(J394="","詳細なし ","")&amp;IF(AND(N(AP394)=1,BB394=""),"顧客名なし ","")))</f>
        <v/>
      </c>
      <c r="AD394" s="31" t="n"/>
      <c r="AE394" s="32" t="n"/>
      <c r="AF394" s="32" t="n"/>
      <c r="AG394" s="31" t="n"/>
      <c r="AH394">
        <f>IF(AB394&lt;&gt;"OK","",IF(AG394&lt;&gt;"",AG394,AJ394))</f>
        <v/>
      </c>
      <c r="AI394" s="33">
        <f>IF(AB394&lt;&gt;"OK","",IFERROR(IF(AE394&lt;&gt;"",AE394,AS394)*IF(AF394&lt;&gt;"",AF394,AT394)/60,""))</f>
        <v/>
      </c>
      <c r="AJ394">
        <f>IF(AB394&lt;&gt;"OK","",IF(OR(VALUE(T394)=2,VALUE(U394)=2,VALUE(V394)=2),"社内残置",IF(AND(VALUE(T394)=0,VALUE(W394)=0,VALUE(Y394)=0),"自動化候補",IF(AND(VALUE(U394)=0,VALUE(W394)&lt;=1,VALUE(X394)&lt;=1,VALUE(Y394)&lt;=1,VALUE(Z394)&lt;=1),"オフショア候補",IF(AND(VALUE(Y394)&lt;=1,VALUE(Z394)&lt;=1),"ニアショア候補","社内で手順化→再評価")))))</f>
        <v/>
      </c>
      <c r="AK394">
        <f>IF(AB394&lt;&gt;"OK","",14-SUMPRODUCT(--T394:Z394))</f>
        <v/>
      </c>
      <c r="AL394" s="33">
        <f>IF(AB394&lt;&gt;"OK","",AS394*AT394/60)</f>
        <v/>
      </c>
      <c r="AM394" s="34">
        <f>IF(A394="","",UPPER(TRIM(ASC(A394&amp;""))))</f>
        <v/>
      </c>
      <c r="AN394" s="34">
        <f>IF(AM394="","",AM394&amp;"-"&amp;B394)</f>
        <v/>
      </c>
      <c r="AO394" s="34">
        <f>IF(C394="","",IFERROR(VALUE(ASC(SUBSTITUTE(C394&amp;"","観点",""))),""))</f>
        <v/>
      </c>
      <c r="AP394" s="34">
        <f>IF(D394="","",IFERROR(VALUE(LEFT(TRIM(ASC(D394&amp;"")),1)),IFERROR(MATCH(TRIM(D394&amp;""),'M2_区分マスタ'!$I$5:$I$10,0),"")))</f>
        <v/>
      </c>
      <c r="AQ394" s="34">
        <f>IF(H394="","",UPPER(LEFT(TRIM(ASC(H394&amp;"")),3)))</f>
        <v/>
      </c>
      <c r="AR394" s="34">
        <f>IF(N394="","",IFERROR(VALUE(SUBSTITUTE(SUBSTITUTE(SUBSTITUTE(SUBSTITUTE(SUBSTITUTE(SUBSTITUTE(SUBSTITUTE(SUBSTITUTE(SUBSTITUTE(SUBSTITUTE(SUBSTITUTE(SUBSTITUTE(ASC(N394&amp;""),"約",""),"程度",""),"ほど",""),"回",""),"毎",""),"週",""),"月",""),"年",""),"日",""),"に",""),"/","")," ","")),""))</f>
        <v/>
      </c>
      <c r="AS394" s="34">
        <f>IF(N394="","",IF(ISNUMBER(N394),N394,IFERROR(VALUE(ASC(N394&amp;"")),IF(AR394&lt;&gt;"",AR394*IF(ISNUMBER(SEARCH("週",N394)),4.3,IF(ISNUMBER(SEARCH("年",N394)),1/12,IF(ISNUMBER(SEARCH("日",N394)),20,1))),IF(ISNUMBER(SEARCH("日",N394)),20,IF(ISNUMBER(SEARCH("週",N394)),4.3,IF(ISNUMBER(SEARCH("月",N394)),1,"")))))))</f>
        <v/>
      </c>
      <c r="AT394" s="34">
        <f>IF(O394="","",IF(ISNUMBER(O394),O394,IFERROR(VALUE(ASC(O394&amp;"")),IF(ISNUMBER(SEARCH("時間",O394)),IFERROR(VALUE(SUBSTITUTE(SUBSTITUTE(SUBSTITUTE(SUBSTITUTE(SUBSTITUTE(ASC(O394&amp;""),"約",""),"程度",""),"ほど",""),"時間","")," ",""))*60,""),IFERROR(VALUE(SUBSTITUTE(SUBSTITUTE(SUBSTITUTE(SUBSTITUTE(SUBSTITUTE(ASC(O394&amp;""),"約",""),"程度",""),"ほど",""),"分","")," ","")),"")))))</f>
        <v/>
      </c>
      <c r="AU394" s="34">
        <f>IF(P394="","",IF(ISNUMBER(P394),P394,IFERROR(VALUE(SUBSTITUTE(SUBSTITUTE(SUBSTITUTE(ASC(P394&amp;""),"約",""),"件","")," ","")),"")))</f>
        <v/>
      </c>
      <c r="AV394" s="34">
        <f>IF(AB394&lt;&gt;"OK","",IF(COUNTIFS($G$5:$G$404,G394&amp;"",$F$5:$F$404,F394&amp;"",$BE$5:$BE$404,BE394&amp;"",$AB$5:$AB$404,"OK")&gt;1,"同名あり",""))</f>
        <v/>
      </c>
      <c r="AW394" s="35">
        <f>IF(Q394="","",IF(ISNUMBER(Q394),Q394,IFERROR(DATEVALUE(SUBSTITUTE(SUBSTITUTE(ASC(Q394&amp;""),"-","/"),".","/")&amp;"/01"),"")))</f>
        <v/>
      </c>
      <c r="AX394" s="35">
        <f>IF(R394="","",IF(ISNUMBER(R394),R394,IFERROR(DATEVALUE(SUBSTITUTE(SUBSTITUTE(ASC(R394&amp;""),"-","/"),".","/")&amp;"/01"),"")))</f>
        <v/>
      </c>
      <c r="AY394" s="34">
        <f>IF(OR(AB394&lt;&gt;"OK",AW394=""),"",IF(AW394&gt;='01_設定'!$C$26,1,0))</f>
        <v/>
      </c>
      <c r="AZ394" s="34">
        <f>IF(AND(AB394="OK",AD394&lt;&gt;"除外"),COUNTIFS($AB$5:AB394,"OK",$AD$5:AD394,"&lt;&gt;除外"),"")</f>
        <v/>
      </c>
      <c r="BA394" s="34">
        <f>IF(OR(AZ394="",AI394=""),"",AI394+ROW()/1000000000)</f>
        <v/>
      </c>
      <c r="BB394" s="34">
        <f>IF(E394="","",IF(OR(TRIM(E394&amp;"")="-",TRIM(E394&amp;"")="－",TRIM(E394&amp;"")="ー"),"",TRIM(E394&amp;"")))</f>
        <v/>
      </c>
      <c r="BC394" s="34">
        <f>IF(AND(AB394="OK",BB394&lt;&gt;""),IF(COUNTIFS($BB$5:BB394,BB394,$AB$5:AB394,"OK")=1,1,""),"")</f>
        <v/>
      </c>
      <c r="BD394" s="34">
        <f>IF(BC394=1,COUNTIF($BC$5:BC394,1),"")</f>
        <v/>
      </c>
      <c r="BE394" s="34">
        <f>IF(BB394="","",IFERROR(INDEX('06_顧客別集計'!$G$5:$G$104,MATCH(BB394,'06_顧客別集計'!$C$5:$C$104,0)),BB394))</f>
        <v/>
      </c>
      <c r="BF394" s="34">
        <f>IF(AND(AZ394&lt;&gt;"",BE394&lt;&gt;""),IF(COUNTIFS($BE$5:BE394,BE394,$AZ$5:AZ394,"&gt;0")=1,1,""),"")</f>
        <v/>
      </c>
      <c r="BG394" s="34">
        <f>IF(BF394=1,COUNTIF($BF$5:BF394,1),"")</f>
        <v/>
      </c>
    </row>
    <row r="395">
      <c r="AB395">
        <f>IF(AND(A395="",G395=""),"",IF(ISNUMBER(SEARCH("##END",AM395)),"（終わりの印）",IF(ISNUMBER(SEARCH("##続き",AM395)),"（続きありの印）",IF(AM395="調査ID","（見出し行）",IF(AND(AM395&lt;&gt;"R1",AM395&lt;&gt;"R2"),"×表以外の行（集計されない）",IF(COUNTIF($AN$5:AN395,AN395)&gt;1,"△重複（集計されない）",IF(G395="","△タスク名なし",IF(ISNA(MATCH(AQ395,'M1_類型マスタ'!$A$5:$A$19,0)),"△類型が不正",IF(OR(AP395="",N(AP395)&lt;1,N(AP395)&gt;6),"△業務区分が不正",IF(OR(AS395="",AT395=""),"△回数・分が読めない",IF(SUMPRODUCT(--ISNUMBER(--T395:Z395))&lt;7,"△採点が足りない",IF(SUMPRODUCT((--T395:Z395&gt;2)+(--T395:Z395&lt;0))&gt;0,"△採点が範囲外","OK"))))))))))))</f>
        <v/>
      </c>
      <c r="AC395">
        <f>IF(AB395&lt;&gt;"OK","",TRIM(IF(AND(AU395&lt;&gt;"",N(AU395)&lt;=1),"根拠1件 ","")&amp;IF(AV395&lt;&gt;"","同名あり ","")&amp;IF(AND(NOT(ISNUMBER(N395)),N395&lt;&gt;""),"回数を換算 ","")&amp;IF(J395="","詳細なし ","")&amp;IF(AND(N(AP395)=1,BB395=""),"顧客名なし ","")))</f>
        <v/>
      </c>
      <c r="AD395" s="31" t="n"/>
      <c r="AE395" s="32" t="n"/>
      <c r="AF395" s="32" t="n"/>
      <c r="AG395" s="31" t="n"/>
      <c r="AH395">
        <f>IF(AB395&lt;&gt;"OK","",IF(AG395&lt;&gt;"",AG395,AJ395))</f>
        <v/>
      </c>
      <c r="AI395" s="33">
        <f>IF(AB395&lt;&gt;"OK","",IFERROR(IF(AE395&lt;&gt;"",AE395,AS395)*IF(AF395&lt;&gt;"",AF395,AT395)/60,""))</f>
        <v/>
      </c>
      <c r="AJ395">
        <f>IF(AB395&lt;&gt;"OK","",IF(OR(VALUE(T395)=2,VALUE(U395)=2,VALUE(V395)=2),"社内残置",IF(AND(VALUE(T395)=0,VALUE(W395)=0,VALUE(Y395)=0),"自動化候補",IF(AND(VALUE(U395)=0,VALUE(W395)&lt;=1,VALUE(X395)&lt;=1,VALUE(Y395)&lt;=1,VALUE(Z395)&lt;=1),"オフショア候補",IF(AND(VALUE(Y395)&lt;=1,VALUE(Z395)&lt;=1),"ニアショア候補","社内で手順化→再評価")))))</f>
        <v/>
      </c>
      <c r="AK395">
        <f>IF(AB395&lt;&gt;"OK","",14-SUMPRODUCT(--T395:Z395))</f>
        <v/>
      </c>
      <c r="AL395" s="33">
        <f>IF(AB395&lt;&gt;"OK","",AS395*AT395/60)</f>
        <v/>
      </c>
      <c r="AM395" s="34">
        <f>IF(A395="","",UPPER(TRIM(ASC(A395&amp;""))))</f>
        <v/>
      </c>
      <c r="AN395" s="34">
        <f>IF(AM395="","",AM395&amp;"-"&amp;B395)</f>
        <v/>
      </c>
      <c r="AO395" s="34">
        <f>IF(C395="","",IFERROR(VALUE(ASC(SUBSTITUTE(C395&amp;"","観点",""))),""))</f>
        <v/>
      </c>
      <c r="AP395" s="34">
        <f>IF(D395="","",IFERROR(VALUE(LEFT(TRIM(ASC(D395&amp;"")),1)),IFERROR(MATCH(TRIM(D395&amp;""),'M2_区分マスタ'!$I$5:$I$10,0),"")))</f>
        <v/>
      </c>
      <c r="AQ395" s="34">
        <f>IF(H395="","",UPPER(LEFT(TRIM(ASC(H395&amp;"")),3)))</f>
        <v/>
      </c>
      <c r="AR395" s="34">
        <f>IF(N395="","",IFERROR(VALUE(SUBSTITUTE(SUBSTITUTE(SUBSTITUTE(SUBSTITUTE(SUBSTITUTE(SUBSTITUTE(SUBSTITUTE(SUBSTITUTE(SUBSTITUTE(SUBSTITUTE(SUBSTITUTE(SUBSTITUTE(ASC(N395&amp;""),"約",""),"程度",""),"ほど",""),"回",""),"毎",""),"週",""),"月",""),"年",""),"日",""),"に",""),"/","")," ","")),""))</f>
        <v/>
      </c>
      <c r="AS395" s="34">
        <f>IF(N395="","",IF(ISNUMBER(N395),N395,IFERROR(VALUE(ASC(N395&amp;"")),IF(AR395&lt;&gt;"",AR395*IF(ISNUMBER(SEARCH("週",N395)),4.3,IF(ISNUMBER(SEARCH("年",N395)),1/12,IF(ISNUMBER(SEARCH("日",N395)),20,1))),IF(ISNUMBER(SEARCH("日",N395)),20,IF(ISNUMBER(SEARCH("週",N395)),4.3,IF(ISNUMBER(SEARCH("月",N395)),1,"")))))))</f>
        <v/>
      </c>
      <c r="AT395" s="34">
        <f>IF(O395="","",IF(ISNUMBER(O395),O395,IFERROR(VALUE(ASC(O395&amp;"")),IF(ISNUMBER(SEARCH("時間",O395)),IFERROR(VALUE(SUBSTITUTE(SUBSTITUTE(SUBSTITUTE(SUBSTITUTE(SUBSTITUTE(ASC(O395&amp;""),"約",""),"程度",""),"ほど",""),"時間","")," ",""))*60,""),IFERROR(VALUE(SUBSTITUTE(SUBSTITUTE(SUBSTITUTE(SUBSTITUTE(SUBSTITUTE(ASC(O395&amp;""),"約",""),"程度",""),"ほど",""),"分","")," ","")),"")))))</f>
        <v/>
      </c>
      <c r="AU395" s="34">
        <f>IF(P395="","",IF(ISNUMBER(P395),P395,IFERROR(VALUE(SUBSTITUTE(SUBSTITUTE(SUBSTITUTE(ASC(P395&amp;""),"約",""),"件","")," ","")),"")))</f>
        <v/>
      </c>
      <c r="AV395" s="34">
        <f>IF(AB395&lt;&gt;"OK","",IF(COUNTIFS($G$5:$G$404,G395&amp;"",$F$5:$F$404,F395&amp;"",$BE$5:$BE$404,BE395&amp;"",$AB$5:$AB$404,"OK")&gt;1,"同名あり",""))</f>
        <v/>
      </c>
      <c r="AW395" s="35">
        <f>IF(Q395="","",IF(ISNUMBER(Q395),Q395,IFERROR(DATEVALUE(SUBSTITUTE(SUBSTITUTE(ASC(Q395&amp;""),"-","/"),".","/")&amp;"/01"),"")))</f>
        <v/>
      </c>
      <c r="AX395" s="35">
        <f>IF(R395="","",IF(ISNUMBER(R395),R395,IFERROR(DATEVALUE(SUBSTITUTE(SUBSTITUTE(ASC(R395&amp;""),"-","/"),".","/")&amp;"/01"),"")))</f>
        <v/>
      </c>
      <c r="AY395" s="34">
        <f>IF(OR(AB395&lt;&gt;"OK",AW395=""),"",IF(AW395&gt;='01_設定'!$C$26,1,0))</f>
        <v/>
      </c>
      <c r="AZ395" s="34">
        <f>IF(AND(AB395="OK",AD395&lt;&gt;"除外"),COUNTIFS($AB$5:AB395,"OK",$AD$5:AD395,"&lt;&gt;除外"),"")</f>
        <v/>
      </c>
      <c r="BA395" s="34">
        <f>IF(OR(AZ395="",AI395=""),"",AI395+ROW()/1000000000)</f>
        <v/>
      </c>
      <c r="BB395" s="34">
        <f>IF(E395="","",IF(OR(TRIM(E395&amp;"")="-",TRIM(E395&amp;"")="－",TRIM(E395&amp;"")="ー"),"",TRIM(E395&amp;"")))</f>
        <v/>
      </c>
      <c r="BC395" s="34">
        <f>IF(AND(AB395="OK",BB395&lt;&gt;""),IF(COUNTIFS($BB$5:BB395,BB395,$AB$5:AB395,"OK")=1,1,""),"")</f>
        <v/>
      </c>
      <c r="BD395" s="34">
        <f>IF(BC395=1,COUNTIF($BC$5:BC395,1),"")</f>
        <v/>
      </c>
      <c r="BE395" s="34">
        <f>IF(BB395="","",IFERROR(INDEX('06_顧客別集計'!$G$5:$G$104,MATCH(BB395,'06_顧客別集計'!$C$5:$C$104,0)),BB395))</f>
        <v/>
      </c>
      <c r="BF395" s="34">
        <f>IF(AND(AZ395&lt;&gt;"",BE395&lt;&gt;""),IF(COUNTIFS($BE$5:BE395,BE395,$AZ$5:AZ395,"&gt;0")=1,1,""),"")</f>
        <v/>
      </c>
      <c r="BG395" s="34">
        <f>IF(BF395=1,COUNTIF($BF$5:BF395,1),"")</f>
        <v/>
      </c>
    </row>
    <row r="396">
      <c r="AB396">
        <f>IF(AND(A396="",G396=""),"",IF(ISNUMBER(SEARCH("##END",AM396)),"（終わりの印）",IF(ISNUMBER(SEARCH("##続き",AM396)),"（続きありの印）",IF(AM396="調査ID","（見出し行）",IF(AND(AM396&lt;&gt;"R1",AM396&lt;&gt;"R2"),"×表以外の行（集計されない）",IF(COUNTIF($AN$5:AN396,AN396)&gt;1,"△重複（集計されない）",IF(G396="","△タスク名なし",IF(ISNA(MATCH(AQ396,'M1_類型マスタ'!$A$5:$A$19,0)),"△類型が不正",IF(OR(AP396="",N(AP396)&lt;1,N(AP396)&gt;6),"△業務区分が不正",IF(OR(AS396="",AT396=""),"△回数・分が読めない",IF(SUMPRODUCT(--ISNUMBER(--T396:Z396))&lt;7,"△採点が足りない",IF(SUMPRODUCT((--T396:Z396&gt;2)+(--T396:Z396&lt;0))&gt;0,"△採点が範囲外","OK"))))))))))))</f>
        <v/>
      </c>
      <c r="AC396">
        <f>IF(AB396&lt;&gt;"OK","",TRIM(IF(AND(AU396&lt;&gt;"",N(AU396)&lt;=1),"根拠1件 ","")&amp;IF(AV396&lt;&gt;"","同名あり ","")&amp;IF(AND(NOT(ISNUMBER(N396)),N396&lt;&gt;""),"回数を換算 ","")&amp;IF(J396="","詳細なし ","")&amp;IF(AND(N(AP396)=1,BB396=""),"顧客名なし ","")))</f>
        <v/>
      </c>
      <c r="AD396" s="31" t="n"/>
      <c r="AE396" s="32" t="n"/>
      <c r="AF396" s="32" t="n"/>
      <c r="AG396" s="31" t="n"/>
      <c r="AH396">
        <f>IF(AB396&lt;&gt;"OK","",IF(AG396&lt;&gt;"",AG396,AJ396))</f>
        <v/>
      </c>
      <c r="AI396" s="33">
        <f>IF(AB396&lt;&gt;"OK","",IFERROR(IF(AE396&lt;&gt;"",AE396,AS396)*IF(AF396&lt;&gt;"",AF396,AT396)/60,""))</f>
        <v/>
      </c>
      <c r="AJ396">
        <f>IF(AB396&lt;&gt;"OK","",IF(OR(VALUE(T396)=2,VALUE(U396)=2,VALUE(V396)=2),"社内残置",IF(AND(VALUE(T396)=0,VALUE(W396)=0,VALUE(Y396)=0),"自動化候補",IF(AND(VALUE(U396)=0,VALUE(W396)&lt;=1,VALUE(X396)&lt;=1,VALUE(Y396)&lt;=1,VALUE(Z396)&lt;=1),"オフショア候補",IF(AND(VALUE(Y396)&lt;=1,VALUE(Z396)&lt;=1),"ニアショア候補","社内で手順化→再評価")))))</f>
        <v/>
      </c>
      <c r="AK396">
        <f>IF(AB396&lt;&gt;"OK","",14-SUMPRODUCT(--T396:Z396))</f>
        <v/>
      </c>
      <c r="AL396" s="33">
        <f>IF(AB396&lt;&gt;"OK","",AS396*AT396/60)</f>
        <v/>
      </c>
      <c r="AM396" s="34">
        <f>IF(A396="","",UPPER(TRIM(ASC(A396&amp;""))))</f>
        <v/>
      </c>
      <c r="AN396" s="34">
        <f>IF(AM396="","",AM396&amp;"-"&amp;B396)</f>
        <v/>
      </c>
      <c r="AO396" s="34">
        <f>IF(C396="","",IFERROR(VALUE(ASC(SUBSTITUTE(C396&amp;"","観点",""))),""))</f>
        <v/>
      </c>
      <c r="AP396" s="34">
        <f>IF(D396="","",IFERROR(VALUE(LEFT(TRIM(ASC(D396&amp;"")),1)),IFERROR(MATCH(TRIM(D396&amp;""),'M2_区分マスタ'!$I$5:$I$10,0),"")))</f>
        <v/>
      </c>
      <c r="AQ396" s="34">
        <f>IF(H396="","",UPPER(LEFT(TRIM(ASC(H396&amp;"")),3)))</f>
        <v/>
      </c>
      <c r="AR396" s="34">
        <f>IF(N396="","",IFERROR(VALUE(SUBSTITUTE(SUBSTITUTE(SUBSTITUTE(SUBSTITUTE(SUBSTITUTE(SUBSTITUTE(SUBSTITUTE(SUBSTITUTE(SUBSTITUTE(SUBSTITUTE(SUBSTITUTE(SUBSTITUTE(ASC(N396&amp;""),"約",""),"程度",""),"ほど",""),"回",""),"毎",""),"週",""),"月",""),"年",""),"日",""),"に",""),"/","")," ","")),""))</f>
        <v/>
      </c>
      <c r="AS396" s="34">
        <f>IF(N396="","",IF(ISNUMBER(N396),N396,IFERROR(VALUE(ASC(N396&amp;"")),IF(AR396&lt;&gt;"",AR396*IF(ISNUMBER(SEARCH("週",N396)),4.3,IF(ISNUMBER(SEARCH("年",N396)),1/12,IF(ISNUMBER(SEARCH("日",N396)),20,1))),IF(ISNUMBER(SEARCH("日",N396)),20,IF(ISNUMBER(SEARCH("週",N396)),4.3,IF(ISNUMBER(SEARCH("月",N396)),1,"")))))))</f>
        <v/>
      </c>
      <c r="AT396" s="34">
        <f>IF(O396="","",IF(ISNUMBER(O396),O396,IFERROR(VALUE(ASC(O396&amp;"")),IF(ISNUMBER(SEARCH("時間",O396)),IFERROR(VALUE(SUBSTITUTE(SUBSTITUTE(SUBSTITUTE(SUBSTITUTE(SUBSTITUTE(ASC(O396&amp;""),"約",""),"程度",""),"ほど",""),"時間","")," ",""))*60,""),IFERROR(VALUE(SUBSTITUTE(SUBSTITUTE(SUBSTITUTE(SUBSTITUTE(SUBSTITUTE(ASC(O396&amp;""),"約",""),"程度",""),"ほど",""),"分","")," ","")),"")))))</f>
        <v/>
      </c>
      <c r="AU396" s="34">
        <f>IF(P396="","",IF(ISNUMBER(P396),P396,IFERROR(VALUE(SUBSTITUTE(SUBSTITUTE(SUBSTITUTE(ASC(P396&amp;""),"約",""),"件","")," ","")),"")))</f>
        <v/>
      </c>
      <c r="AV396" s="34">
        <f>IF(AB396&lt;&gt;"OK","",IF(COUNTIFS($G$5:$G$404,G396&amp;"",$F$5:$F$404,F396&amp;"",$BE$5:$BE$404,BE396&amp;"",$AB$5:$AB$404,"OK")&gt;1,"同名あり",""))</f>
        <v/>
      </c>
      <c r="AW396" s="35">
        <f>IF(Q396="","",IF(ISNUMBER(Q396),Q396,IFERROR(DATEVALUE(SUBSTITUTE(SUBSTITUTE(ASC(Q396&amp;""),"-","/"),".","/")&amp;"/01"),"")))</f>
        <v/>
      </c>
      <c r="AX396" s="35">
        <f>IF(R396="","",IF(ISNUMBER(R396),R396,IFERROR(DATEVALUE(SUBSTITUTE(SUBSTITUTE(ASC(R396&amp;""),"-","/"),".","/")&amp;"/01"),"")))</f>
        <v/>
      </c>
      <c r="AY396" s="34">
        <f>IF(OR(AB396&lt;&gt;"OK",AW396=""),"",IF(AW396&gt;='01_設定'!$C$26,1,0))</f>
        <v/>
      </c>
      <c r="AZ396" s="34">
        <f>IF(AND(AB396="OK",AD396&lt;&gt;"除外"),COUNTIFS($AB$5:AB396,"OK",$AD$5:AD396,"&lt;&gt;除外"),"")</f>
        <v/>
      </c>
      <c r="BA396" s="34">
        <f>IF(OR(AZ396="",AI396=""),"",AI396+ROW()/1000000000)</f>
        <v/>
      </c>
      <c r="BB396" s="34">
        <f>IF(E396="","",IF(OR(TRIM(E396&amp;"")="-",TRIM(E396&amp;"")="－",TRIM(E396&amp;"")="ー"),"",TRIM(E396&amp;"")))</f>
        <v/>
      </c>
      <c r="BC396" s="34">
        <f>IF(AND(AB396="OK",BB396&lt;&gt;""),IF(COUNTIFS($BB$5:BB396,BB396,$AB$5:AB396,"OK")=1,1,""),"")</f>
        <v/>
      </c>
      <c r="BD396" s="34">
        <f>IF(BC396=1,COUNTIF($BC$5:BC396,1),"")</f>
        <v/>
      </c>
      <c r="BE396" s="34">
        <f>IF(BB396="","",IFERROR(INDEX('06_顧客別集計'!$G$5:$G$104,MATCH(BB396,'06_顧客別集計'!$C$5:$C$104,0)),BB396))</f>
        <v/>
      </c>
      <c r="BF396" s="34">
        <f>IF(AND(AZ396&lt;&gt;"",BE396&lt;&gt;""),IF(COUNTIFS($BE$5:BE396,BE396,$AZ$5:AZ396,"&gt;0")=1,1,""),"")</f>
        <v/>
      </c>
      <c r="BG396" s="34">
        <f>IF(BF396=1,COUNTIF($BF$5:BF396,1),"")</f>
        <v/>
      </c>
    </row>
    <row r="397">
      <c r="AB397">
        <f>IF(AND(A397="",G397=""),"",IF(ISNUMBER(SEARCH("##END",AM397)),"（終わりの印）",IF(ISNUMBER(SEARCH("##続き",AM397)),"（続きありの印）",IF(AM397="調査ID","（見出し行）",IF(AND(AM397&lt;&gt;"R1",AM397&lt;&gt;"R2"),"×表以外の行（集計されない）",IF(COUNTIF($AN$5:AN397,AN397)&gt;1,"△重複（集計されない）",IF(G397="","△タスク名なし",IF(ISNA(MATCH(AQ397,'M1_類型マスタ'!$A$5:$A$19,0)),"△類型が不正",IF(OR(AP397="",N(AP397)&lt;1,N(AP397)&gt;6),"△業務区分が不正",IF(OR(AS397="",AT397=""),"△回数・分が読めない",IF(SUMPRODUCT(--ISNUMBER(--T397:Z397))&lt;7,"△採点が足りない",IF(SUMPRODUCT((--T397:Z397&gt;2)+(--T397:Z397&lt;0))&gt;0,"△採点が範囲外","OK"))))))))))))</f>
        <v/>
      </c>
      <c r="AC397">
        <f>IF(AB397&lt;&gt;"OK","",TRIM(IF(AND(AU397&lt;&gt;"",N(AU397)&lt;=1),"根拠1件 ","")&amp;IF(AV397&lt;&gt;"","同名あり ","")&amp;IF(AND(NOT(ISNUMBER(N397)),N397&lt;&gt;""),"回数を換算 ","")&amp;IF(J397="","詳細なし ","")&amp;IF(AND(N(AP397)=1,BB397=""),"顧客名なし ","")))</f>
        <v/>
      </c>
      <c r="AD397" s="31" t="n"/>
      <c r="AE397" s="32" t="n"/>
      <c r="AF397" s="32" t="n"/>
      <c r="AG397" s="31" t="n"/>
      <c r="AH397">
        <f>IF(AB397&lt;&gt;"OK","",IF(AG397&lt;&gt;"",AG397,AJ397))</f>
        <v/>
      </c>
      <c r="AI397" s="33">
        <f>IF(AB397&lt;&gt;"OK","",IFERROR(IF(AE397&lt;&gt;"",AE397,AS397)*IF(AF397&lt;&gt;"",AF397,AT397)/60,""))</f>
        <v/>
      </c>
      <c r="AJ397">
        <f>IF(AB397&lt;&gt;"OK","",IF(OR(VALUE(T397)=2,VALUE(U397)=2,VALUE(V397)=2),"社内残置",IF(AND(VALUE(T397)=0,VALUE(W397)=0,VALUE(Y397)=0),"自動化候補",IF(AND(VALUE(U397)=0,VALUE(W397)&lt;=1,VALUE(X397)&lt;=1,VALUE(Y397)&lt;=1,VALUE(Z397)&lt;=1),"オフショア候補",IF(AND(VALUE(Y397)&lt;=1,VALUE(Z397)&lt;=1),"ニアショア候補","社内で手順化→再評価")))))</f>
        <v/>
      </c>
      <c r="AK397">
        <f>IF(AB397&lt;&gt;"OK","",14-SUMPRODUCT(--T397:Z397))</f>
        <v/>
      </c>
      <c r="AL397" s="33">
        <f>IF(AB397&lt;&gt;"OK","",AS397*AT397/60)</f>
        <v/>
      </c>
      <c r="AM397" s="34">
        <f>IF(A397="","",UPPER(TRIM(ASC(A397&amp;""))))</f>
        <v/>
      </c>
      <c r="AN397" s="34">
        <f>IF(AM397="","",AM397&amp;"-"&amp;B397)</f>
        <v/>
      </c>
      <c r="AO397" s="34">
        <f>IF(C397="","",IFERROR(VALUE(ASC(SUBSTITUTE(C397&amp;"","観点",""))),""))</f>
        <v/>
      </c>
      <c r="AP397" s="34">
        <f>IF(D397="","",IFERROR(VALUE(LEFT(TRIM(ASC(D397&amp;"")),1)),IFERROR(MATCH(TRIM(D397&amp;""),'M2_区分マスタ'!$I$5:$I$10,0),"")))</f>
        <v/>
      </c>
      <c r="AQ397" s="34">
        <f>IF(H397="","",UPPER(LEFT(TRIM(ASC(H397&amp;"")),3)))</f>
        <v/>
      </c>
      <c r="AR397" s="34">
        <f>IF(N397="","",IFERROR(VALUE(SUBSTITUTE(SUBSTITUTE(SUBSTITUTE(SUBSTITUTE(SUBSTITUTE(SUBSTITUTE(SUBSTITUTE(SUBSTITUTE(SUBSTITUTE(SUBSTITUTE(SUBSTITUTE(SUBSTITUTE(ASC(N397&amp;""),"約",""),"程度",""),"ほど",""),"回",""),"毎",""),"週",""),"月",""),"年",""),"日",""),"に",""),"/","")," ","")),""))</f>
        <v/>
      </c>
      <c r="AS397" s="34">
        <f>IF(N397="","",IF(ISNUMBER(N397),N397,IFERROR(VALUE(ASC(N397&amp;"")),IF(AR397&lt;&gt;"",AR397*IF(ISNUMBER(SEARCH("週",N397)),4.3,IF(ISNUMBER(SEARCH("年",N397)),1/12,IF(ISNUMBER(SEARCH("日",N397)),20,1))),IF(ISNUMBER(SEARCH("日",N397)),20,IF(ISNUMBER(SEARCH("週",N397)),4.3,IF(ISNUMBER(SEARCH("月",N397)),1,"")))))))</f>
        <v/>
      </c>
      <c r="AT397" s="34">
        <f>IF(O397="","",IF(ISNUMBER(O397),O397,IFERROR(VALUE(ASC(O397&amp;"")),IF(ISNUMBER(SEARCH("時間",O397)),IFERROR(VALUE(SUBSTITUTE(SUBSTITUTE(SUBSTITUTE(SUBSTITUTE(SUBSTITUTE(ASC(O397&amp;""),"約",""),"程度",""),"ほど",""),"時間","")," ",""))*60,""),IFERROR(VALUE(SUBSTITUTE(SUBSTITUTE(SUBSTITUTE(SUBSTITUTE(SUBSTITUTE(ASC(O397&amp;""),"約",""),"程度",""),"ほど",""),"分","")," ","")),"")))))</f>
        <v/>
      </c>
      <c r="AU397" s="34">
        <f>IF(P397="","",IF(ISNUMBER(P397),P397,IFERROR(VALUE(SUBSTITUTE(SUBSTITUTE(SUBSTITUTE(ASC(P397&amp;""),"約",""),"件","")," ","")),"")))</f>
        <v/>
      </c>
      <c r="AV397" s="34">
        <f>IF(AB397&lt;&gt;"OK","",IF(COUNTIFS($G$5:$G$404,G397&amp;"",$F$5:$F$404,F397&amp;"",$BE$5:$BE$404,BE397&amp;"",$AB$5:$AB$404,"OK")&gt;1,"同名あり",""))</f>
        <v/>
      </c>
      <c r="AW397" s="35">
        <f>IF(Q397="","",IF(ISNUMBER(Q397),Q397,IFERROR(DATEVALUE(SUBSTITUTE(SUBSTITUTE(ASC(Q397&amp;""),"-","/"),".","/")&amp;"/01"),"")))</f>
        <v/>
      </c>
      <c r="AX397" s="35">
        <f>IF(R397="","",IF(ISNUMBER(R397),R397,IFERROR(DATEVALUE(SUBSTITUTE(SUBSTITUTE(ASC(R397&amp;""),"-","/"),".","/")&amp;"/01"),"")))</f>
        <v/>
      </c>
      <c r="AY397" s="34">
        <f>IF(OR(AB397&lt;&gt;"OK",AW397=""),"",IF(AW397&gt;='01_設定'!$C$26,1,0))</f>
        <v/>
      </c>
      <c r="AZ397" s="34">
        <f>IF(AND(AB397="OK",AD397&lt;&gt;"除外"),COUNTIFS($AB$5:AB397,"OK",$AD$5:AD397,"&lt;&gt;除外"),"")</f>
        <v/>
      </c>
      <c r="BA397" s="34">
        <f>IF(OR(AZ397="",AI397=""),"",AI397+ROW()/1000000000)</f>
        <v/>
      </c>
      <c r="BB397" s="34">
        <f>IF(E397="","",IF(OR(TRIM(E397&amp;"")="-",TRIM(E397&amp;"")="－",TRIM(E397&amp;"")="ー"),"",TRIM(E397&amp;"")))</f>
        <v/>
      </c>
      <c r="BC397" s="34">
        <f>IF(AND(AB397="OK",BB397&lt;&gt;""),IF(COUNTIFS($BB$5:BB397,BB397,$AB$5:AB397,"OK")=1,1,""),"")</f>
        <v/>
      </c>
      <c r="BD397" s="34">
        <f>IF(BC397=1,COUNTIF($BC$5:BC397,1),"")</f>
        <v/>
      </c>
      <c r="BE397" s="34">
        <f>IF(BB397="","",IFERROR(INDEX('06_顧客別集計'!$G$5:$G$104,MATCH(BB397,'06_顧客別集計'!$C$5:$C$104,0)),BB397))</f>
        <v/>
      </c>
      <c r="BF397" s="34">
        <f>IF(AND(AZ397&lt;&gt;"",BE397&lt;&gt;""),IF(COUNTIFS($BE$5:BE397,BE397,$AZ$5:AZ397,"&gt;0")=1,1,""),"")</f>
        <v/>
      </c>
      <c r="BG397" s="34">
        <f>IF(BF397=1,COUNTIF($BF$5:BF397,1),"")</f>
        <v/>
      </c>
    </row>
    <row r="398">
      <c r="AB398">
        <f>IF(AND(A398="",G398=""),"",IF(ISNUMBER(SEARCH("##END",AM398)),"（終わりの印）",IF(ISNUMBER(SEARCH("##続き",AM398)),"（続きありの印）",IF(AM398="調査ID","（見出し行）",IF(AND(AM398&lt;&gt;"R1",AM398&lt;&gt;"R2"),"×表以外の行（集計されない）",IF(COUNTIF($AN$5:AN398,AN398)&gt;1,"△重複（集計されない）",IF(G398="","△タスク名なし",IF(ISNA(MATCH(AQ398,'M1_類型マスタ'!$A$5:$A$19,0)),"△類型が不正",IF(OR(AP398="",N(AP398)&lt;1,N(AP398)&gt;6),"△業務区分が不正",IF(OR(AS398="",AT398=""),"△回数・分が読めない",IF(SUMPRODUCT(--ISNUMBER(--T398:Z398))&lt;7,"△採点が足りない",IF(SUMPRODUCT((--T398:Z398&gt;2)+(--T398:Z398&lt;0))&gt;0,"△採点が範囲外","OK"))))))))))))</f>
        <v/>
      </c>
      <c r="AC398">
        <f>IF(AB398&lt;&gt;"OK","",TRIM(IF(AND(AU398&lt;&gt;"",N(AU398)&lt;=1),"根拠1件 ","")&amp;IF(AV398&lt;&gt;"","同名あり ","")&amp;IF(AND(NOT(ISNUMBER(N398)),N398&lt;&gt;""),"回数を換算 ","")&amp;IF(J398="","詳細なし ","")&amp;IF(AND(N(AP398)=1,BB398=""),"顧客名なし ","")))</f>
        <v/>
      </c>
      <c r="AD398" s="31" t="n"/>
      <c r="AE398" s="32" t="n"/>
      <c r="AF398" s="32" t="n"/>
      <c r="AG398" s="31" t="n"/>
      <c r="AH398">
        <f>IF(AB398&lt;&gt;"OK","",IF(AG398&lt;&gt;"",AG398,AJ398))</f>
        <v/>
      </c>
      <c r="AI398" s="33">
        <f>IF(AB398&lt;&gt;"OK","",IFERROR(IF(AE398&lt;&gt;"",AE398,AS398)*IF(AF398&lt;&gt;"",AF398,AT398)/60,""))</f>
        <v/>
      </c>
      <c r="AJ398">
        <f>IF(AB398&lt;&gt;"OK","",IF(OR(VALUE(T398)=2,VALUE(U398)=2,VALUE(V398)=2),"社内残置",IF(AND(VALUE(T398)=0,VALUE(W398)=0,VALUE(Y398)=0),"自動化候補",IF(AND(VALUE(U398)=0,VALUE(W398)&lt;=1,VALUE(X398)&lt;=1,VALUE(Y398)&lt;=1,VALUE(Z398)&lt;=1),"オフショア候補",IF(AND(VALUE(Y398)&lt;=1,VALUE(Z398)&lt;=1),"ニアショア候補","社内で手順化→再評価")))))</f>
        <v/>
      </c>
      <c r="AK398">
        <f>IF(AB398&lt;&gt;"OK","",14-SUMPRODUCT(--T398:Z398))</f>
        <v/>
      </c>
      <c r="AL398" s="33">
        <f>IF(AB398&lt;&gt;"OK","",AS398*AT398/60)</f>
        <v/>
      </c>
      <c r="AM398" s="34">
        <f>IF(A398="","",UPPER(TRIM(ASC(A398&amp;""))))</f>
        <v/>
      </c>
      <c r="AN398" s="34">
        <f>IF(AM398="","",AM398&amp;"-"&amp;B398)</f>
        <v/>
      </c>
      <c r="AO398" s="34">
        <f>IF(C398="","",IFERROR(VALUE(ASC(SUBSTITUTE(C398&amp;"","観点",""))),""))</f>
        <v/>
      </c>
      <c r="AP398" s="34">
        <f>IF(D398="","",IFERROR(VALUE(LEFT(TRIM(ASC(D398&amp;"")),1)),IFERROR(MATCH(TRIM(D398&amp;""),'M2_区分マスタ'!$I$5:$I$10,0),"")))</f>
        <v/>
      </c>
      <c r="AQ398" s="34">
        <f>IF(H398="","",UPPER(LEFT(TRIM(ASC(H398&amp;"")),3)))</f>
        <v/>
      </c>
      <c r="AR398" s="34">
        <f>IF(N398="","",IFERROR(VALUE(SUBSTITUTE(SUBSTITUTE(SUBSTITUTE(SUBSTITUTE(SUBSTITUTE(SUBSTITUTE(SUBSTITUTE(SUBSTITUTE(SUBSTITUTE(SUBSTITUTE(SUBSTITUTE(SUBSTITUTE(ASC(N398&amp;""),"約",""),"程度",""),"ほど",""),"回",""),"毎",""),"週",""),"月",""),"年",""),"日",""),"に",""),"/","")," ","")),""))</f>
        <v/>
      </c>
      <c r="AS398" s="34">
        <f>IF(N398="","",IF(ISNUMBER(N398),N398,IFERROR(VALUE(ASC(N398&amp;"")),IF(AR398&lt;&gt;"",AR398*IF(ISNUMBER(SEARCH("週",N398)),4.3,IF(ISNUMBER(SEARCH("年",N398)),1/12,IF(ISNUMBER(SEARCH("日",N398)),20,1))),IF(ISNUMBER(SEARCH("日",N398)),20,IF(ISNUMBER(SEARCH("週",N398)),4.3,IF(ISNUMBER(SEARCH("月",N398)),1,"")))))))</f>
        <v/>
      </c>
      <c r="AT398" s="34">
        <f>IF(O398="","",IF(ISNUMBER(O398),O398,IFERROR(VALUE(ASC(O398&amp;"")),IF(ISNUMBER(SEARCH("時間",O398)),IFERROR(VALUE(SUBSTITUTE(SUBSTITUTE(SUBSTITUTE(SUBSTITUTE(SUBSTITUTE(ASC(O398&amp;""),"約",""),"程度",""),"ほど",""),"時間","")," ",""))*60,""),IFERROR(VALUE(SUBSTITUTE(SUBSTITUTE(SUBSTITUTE(SUBSTITUTE(SUBSTITUTE(ASC(O398&amp;""),"約",""),"程度",""),"ほど",""),"分","")," ","")),"")))))</f>
        <v/>
      </c>
      <c r="AU398" s="34">
        <f>IF(P398="","",IF(ISNUMBER(P398),P398,IFERROR(VALUE(SUBSTITUTE(SUBSTITUTE(SUBSTITUTE(ASC(P398&amp;""),"約",""),"件","")," ","")),"")))</f>
        <v/>
      </c>
      <c r="AV398" s="34">
        <f>IF(AB398&lt;&gt;"OK","",IF(COUNTIFS($G$5:$G$404,G398&amp;"",$F$5:$F$404,F398&amp;"",$BE$5:$BE$404,BE398&amp;"",$AB$5:$AB$404,"OK")&gt;1,"同名あり",""))</f>
        <v/>
      </c>
      <c r="AW398" s="35">
        <f>IF(Q398="","",IF(ISNUMBER(Q398),Q398,IFERROR(DATEVALUE(SUBSTITUTE(SUBSTITUTE(ASC(Q398&amp;""),"-","/"),".","/")&amp;"/01"),"")))</f>
        <v/>
      </c>
      <c r="AX398" s="35">
        <f>IF(R398="","",IF(ISNUMBER(R398),R398,IFERROR(DATEVALUE(SUBSTITUTE(SUBSTITUTE(ASC(R398&amp;""),"-","/"),".","/")&amp;"/01"),"")))</f>
        <v/>
      </c>
      <c r="AY398" s="34">
        <f>IF(OR(AB398&lt;&gt;"OK",AW398=""),"",IF(AW398&gt;='01_設定'!$C$26,1,0))</f>
        <v/>
      </c>
      <c r="AZ398" s="34">
        <f>IF(AND(AB398="OK",AD398&lt;&gt;"除外"),COUNTIFS($AB$5:AB398,"OK",$AD$5:AD398,"&lt;&gt;除外"),"")</f>
        <v/>
      </c>
      <c r="BA398" s="34">
        <f>IF(OR(AZ398="",AI398=""),"",AI398+ROW()/1000000000)</f>
        <v/>
      </c>
      <c r="BB398" s="34">
        <f>IF(E398="","",IF(OR(TRIM(E398&amp;"")="-",TRIM(E398&amp;"")="－",TRIM(E398&amp;"")="ー"),"",TRIM(E398&amp;"")))</f>
        <v/>
      </c>
      <c r="BC398" s="34">
        <f>IF(AND(AB398="OK",BB398&lt;&gt;""),IF(COUNTIFS($BB$5:BB398,BB398,$AB$5:AB398,"OK")=1,1,""),"")</f>
        <v/>
      </c>
      <c r="BD398" s="34">
        <f>IF(BC398=1,COUNTIF($BC$5:BC398,1),"")</f>
        <v/>
      </c>
      <c r="BE398" s="34">
        <f>IF(BB398="","",IFERROR(INDEX('06_顧客別集計'!$G$5:$G$104,MATCH(BB398,'06_顧客別集計'!$C$5:$C$104,0)),BB398))</f>
        <v/>
      </c>
      <c r="BF398" s="34">
        <f>IF(AND(AZ398&lt;&gt;"",BE398&lt;&gt;""),IF(COUNTIFS($BE$5:BE398,BE398,$AZ$5:AZ398,"&gt;0")=1,1,""),"")</f>
        <v/>
      </c>
      <c r="BG398" s="34">
        <f>IF(BF398=1,COUNTIF($BF$5:BF398,1),"")</f>
        <v/>
      </c>
    </row>
    <row r="399">
      <c r="AB399">
        <f>IF(AND(A399="",G399=""),"",IF(ISNUMBER(SEARCH("##END",AM399)),"（終わりの印）",IF(ISNUMBER(SEARCH("##続き",AM399)),"（続きありの印）",IF(AM399="調査ID","（見出し行）",IF(AND(AM399&lt;&gt;"R1",AM399&lt;&gt;"R2"),"×表以外の行（集計されない）",IF(COUNTIF($AN$5:AN399,AN399)&gt;1,"△重複（集計されない）",IF(G399="","△タスク名なし",IF(ISNA(MATCH(AQ399,'M1_類型マスタ'!$A$5:$A$19,0)),"△類型が不正",IF(OR(AP399="",N(AP399)&lt;1,N(AP399)&gt;6),"△業務区分が不正",IF(OR(AS399="",AT399=""),"△回数・分が読めない",IF(SUMPRODUCT(--ISNUMBER(--T399:Z399))&lt;7,"△採点が足りない",IF(SUMPRODUCT((--T399:Z399&gt;2)+(--T399:Z399&lt;0))&gt;0,"△採点が範囲外","OK"))))))))))))</f>
        <v/>
      </c>
      <c r="AC399">
        <f>IF(AB399&lt;&gt;"OK","",TRIM(IF(AND(AU399&lt;&gt;"",N(AU399)&lt;=1),"根拠1件 ","")&amp;IF(AV399&lt;&gt;"","同名あり ","")&amp;IF(AND(NOT(ISNUMBER(N399)),N399&lt;&gt;""),"回数を換算 ","")&amp;IF(J399="","詳細なし ","")&amp;IF(AND(N(AP399)=1,BB399=""),"顧客名なし ","")))</f>
        <v/>
      </c>
      <c r="AD399" s="31" t="n"/>
      <c r="AE399" s="32" t="n"/>
      <c r="AF399" s="32" t="n"/>
      <c r="AG399" s="31" t="n"/>
      <c r="AH399">
        <f>IF(AB399&lt;&gt;"OK","",IF(AG399&lt;&gt;"",AG399,AJ399))</f>
        <v/>
      </c>
      <c r="AI399" s="33">
        <f>IF(AB399&lt;&gt;"OK","",IFERROR(IF(AE399&lt;&gt;"",AE399,AS399)*IF(AF399&lt;&gt;"",AF399,AT399)/60,""))</f>
        <v/>
      </c>
      <c r="AJ399">
        <f>IF(AB399&lt;&gt;"OK","",IF(OR(VALUE(T399)=2,VALUE(U399)=2,VALUE(V399)=2),"社内残置",IF(AND(VALUE(T399)=0,VALUE(W399)=0,VALUE(Y399)=0),"自動化候補",IF(AND(VALUE(U399)=0,VALUE(W399)&lt;=1,VALUE(X399)&lt;=1,VALUE(Y399)&lt;=1,VALUE(Z399)&lt;=1),"オフショア候補",IF(AND(VALUE(Y399)&lt;=1,VALUE(Z399)&lt;=1),"ニアショア候補","社内で手順化→再評価")))))</f>
        <v/>
      </c>
      <c r="AK399">
        <f>IF(AB399&lt;&gt;"OK","",14-SUMPRODUCT(--T399:Z399))</f>
        <v/>
      </c>
      <c r="AL399" s="33">
        <f>IF(AB399&lt;&gt;"OK","",AS399*AT399/60)</f>
        <v/>
      </c>
      <c r="AM399" s="34">
        <f>IF(A399="","",UPPER(TRIM(ASC(A399&amp;""))))</f>
        <v/>
      </c>
      <c r="AN399" s="34">
        <f>IF(AM399="","",AM399&amp;"-"&amp;B399)</f>
        <v/>
      </c>
      <c r="AO399" s="34">
        <f>IF(C399="","",IFERROR(VALUE(ASC(SUBSTITUTE(C399&amp;"","観点",""))),""))</f>
        <v/>
      </c>
      <c r="AP399" s="34">
        <f>IF(D399="","",IFERROR(VALUE(LEFT(TRIM(ASC(D399&amp;"")),1)),IFERROR(MATCH(TRIM(D399&amp;""),'M2_区分マスタ'!$I$5:$I$10,0),"")))</f>
        <v/>
      </c>
      <c r="AQ399" s="34">
        <f>IF(H399="","",UPPER(LEFT(TRIM(ASC(H399&amp;"")),3)))</f>
        <v/>
      </c>
      <c r="AR399" s="34">
        <f>IF(N399="","",IFERROR(VALUE(SUBSTITUTE(SUBSTITUTE(SUBSTITUTE(SUBSTITUTE(SUBSTITUTE(SUBSTITUTE(SUBSTITUTE(SUBSTITUTE(SUBSTITUTE(SUBSTITUTE(SUBSTITUTE(SUBSTITUTE(ASC(N399&amp;""),"約",""),"程度",""),"ほど",""),"回",""),"毎",""),"週",""),"月",""),"年",""),"日",""),"に",""),"/","")," ","")),""))</f>
        <v/>
      </c>
      <c r="AS399" s="34">
        <f>IF(N399="","",IF(ISNUMBER(N399),N399,IFERROR(VALUE(ASC(N399&amp;"")),IF(AR399&lt;&gt;"",AR399*IF(ISNUMBER(SEARCH("週",N399)),4.3,IF(ISNUMBER(SEARCH("年",N399)),1/12,IF(ISNUMBER(SEARCH("日",N399)),20,1))),IF(ISNUMBER(SEARCH("日",N399)),20,IF(ISNUMBER(SEARCH("週",N399)),4.3,IF(ISNUMBER(SEARCH("月",N399)),1,"")))))))</f>
        <v/>
      </c>
      <c r="AT399" s="34">
        <f>IF(O399="","",IF(ISNUMBER(O399),O399,IFERROR(VALUE(ASC(O399&amp;"")),IF(ISNUMBER(SEARCH("時間",O399)),IFERROR(VALUE(SUBSTITUTE(SUBSTITUTE(SUBSTITUTE(SUBSTITUTE(SUBSTITUTE(ASC(O399&amp;""),"約",""),"程度",""),"ほど",""),"時間","")," ",""))*60,""),IFERROR(VALUE(SUBSTITUTE(SUBSTITUTE(SUBSTITUTE(SUBSTITUTE(SUBSTITUTE(ASC(O399&amp;""),"約",""),"程度",""),"ほど",""),"分","")," ","")),"")))))</f>
        <v/>
      </c>
      <c r="AU399" s="34">
        <f>IF(P399="","",IF(ISNUMBER(P399),P399,IFERROR(VALUE(SUBSTITUTE(SUBSTITUTE(SUBSTITUTE(ASC(P399&amp;""),"約",""),"件","")," ","")),"")))</f>
        <v/>
      </c>
      <c r="AV399" s="34">
        <f>IF(AB399&lt;&gt;"OK","",IF(COUNTIFS($G$5:$G$404,G399&amp;"",$F$5:$F$404,F399&amp;"",$BE$5:$BE$404,BE399&amp;"",$AB$5:$AB$404,"OK")&gt;1,"同名あり",""))</f>
        <v/>
      </c>
      <c r="AW399" s="35">
        <f>IF(Q399="","",IF(ISNUMBER(Q399),Q399,IFERROR(DATEVALUE(SUBSTITUTE(SUBSTITUTE(ASC(Q399&amp;""),"-","/"),".","/")&amp;"/01"),"")))</f>
        <v/>
      </c>
      <c r="AX399" s="35">
        <f>IF(R399="","",IF(ISNUMBER(R399),R399,IFERROR(DATEVALUE(SUBSTITUTE(SUBSTITUTE(ASC(R399&amp;""),"-","/"),".","/")&amp;"/01"),"")))</f>
        <v/>
      </c>
      <c r="AY399" s="34">
        <f>IF(OR(AB399&lt;&gt;"OK",AW399=""),"",IF(AW399&gt;='01_設定'!$C$26,1,0))</f>
        <v/>
      </c>
      <c r="AZ399" s="34">
        <f>IF(AND(AB399="OK",AD399&lt;&gt;"除外"),COUNTIFS($AB$5:AB399,"OK",$AD$5:AD399,"&lt;&gt;除外"),"")</f>
        <v/>
      </c>
      <c r="BA399" s="34">
        <f>IF(OR(AZ399="",AI399=""),"",AI399+ROW()/1000000000)</f>
        <v/>
      </c>
      <c r="BB399" s="34">
        <f>IF(E399="","",IF(OR(TRIM(E399&amp;"")="-",TRIM(E399&amp;"")="－",TRIM(E399&amp;"")="ー"),"",TRIM(E399&amp;"")))</f>
        <v/>
      </c>
      <c r="BC399" s="34">
        <f>IF(AND(AB399="OK",BB399&lt;&gt;""),IF(COUNTIFS($BB$5:BB399,BB399,$AB$5:AB399,"OK")=1,1,""),"")</f>
        <v/>
      </c>
      <c r="BD399" s="34">
        <f>IF(BC399=1,COUNTIF($BC$5:BC399,1),"")</f>
        <v/>
      </c>
      <c r="BE399" s="34">
        <f>IF(BB399="","",IFERROR(INDEX('06_顧客別集計'!$G$5:$G$104,MATCH(BB399,'06_顧客別集計'!$C$5:$C$104,0)),BB399))</f>
        <v/>
      </c>
      <c r="BF399" s="34">
        <f>IF(AND(AZ399&lt;&gt;"",BE399&lt;&gt;""),IF(COUNTIFS($BE$5:BE399,BE399,$AZ$5:AZ399,"&gt;0")=1,1,""),"")</f>
        <v/>
      </c>
      <c r="BG399" s="34">
        <f>IF(BF399=1,COUNTIF($BF$5:BF399,1),"")</f>
        <v/>
      </c>
    </row>
    <row r="400">
      <c r="AB400">
        <f>IF(AND(A400="",G400=""),"",IF(ISNUMBER(SEARCH("##END",AM400)),"（終わりの印）",IF(ISNUMBER(SEARCH("##続き",AM400)),"（続きありの印）",IF(AM400="調査ID","（見出し行）",IF(AND(AM400&lt;&gt;"R1",AM400&lt;&gt;"R2"),"×表以外の行（集計されない）",IF(COUNTIF($AN$5:AN400,AN400)&gt;1,"△重複（集計されない）",IF(G400="","△タスク名なし",IF(ISNA(MATCH(AQ400,'M1_類型マスタ'!$A$5:$A$19,0)),"△類型が不正",IF(OR(AP400="",N(AP400)&lt;1,N(AP400)&gt;6),"△業務区分が不正",IF(OR(AS400="",AT400=""),"△回数・分が読めない",IF(SUMPRODUCT(--ISNUMBER(--T400:Z400))&lt;7,"△採点が足りない",IF(SUMPRODUCT((--T400:Z400&gt;2)+(--T400:Z400&lt;0))&gt;0,"△採点が範囲外","OK"))))))))))))</f>
        <v/>
      </c>
      <c r="AC400">
        <f>IF(AB400&lt;&gt;"OK","",TRIM(IF(AND(AU400&lt;&gt;"",N(AU400)&lt;=1),"根拠1件 ","")&amp;IF(AV400&lt;&gt;"","同名あり ","")&amp;IF(AND(NOT(ISNUMBER(N400)),N400&lt;&gt;""),"回数を換算 ","")&amp;IF(J400="","詳細なし ","")&amp;IF(AND(N(AP400)=1,BB400=""),"顧客名なし ","")))</f>
        <v/>
      </c>
      <c r="AD400" s="31" t="n"/>
      <c r="AE400" s="32" t="n"/>
      <c r="AF400" s="32" t="n"/>
      <c r="AG400" s="31" t="n"/>
      <c r="AH400">
        <f>IF(AB400&lt;&gt;"OK","",IF(AG400&lt;&gt;"",AG400,AJ400))</f>
        <v/>
      </c>
      <c r="AI400" s="33">
        <f>IF(AB400&lt;&gt;"OK","",IFERROR(IF(AE400&lt;&gt;"",AE400,AS400)*IF(AF400&lt;&gt;"",AF400,AT400)/60,""))</f>
        <v/>
      </c>
      <c r="AJ400">
        <f>IF(AB400&lt;&gt;"OK","",IF(OR(VALUE(T400)=2,VALUE(U400)=2,VALUE(V400)=2),"社内残置",IF(AND(VALUE(T400)=0,VALUE(W400)=0,VALUE(Y400)=0),"自動化候補",IF(AND(VALUE(U400)=0,VALUE(W400)&lt;=1,VALUE(X400)&lt;=1,VALUE(Y400)&lt;=1,VALUE(Z400)&lt;=1),"オフショア候補",IF(AND(VALUE(Y400)&lt;=1,VALUE(Z400)&lt;=1),"ニアショア候補","社内で手順化→再評価")))))</f>
        <v/>
      </c>
      <c r="AK400">
        <f>IF(AB400&lt;&gt;"OK","",14-SUMPRODUCT(--T400:Z400))</f>
        <v/>
      </c>
      <c r="AL400" s="33">
        <f>IF(AB400&lt;&gt;"OK","",AS400*AT400/60)</f>
        <v/>
      </c>
      <c r="AM400" s="34">
        <f>IF(A400="","",UPPER(TRIM(ASC(A400&amp;""))))</f>
        <v/>
      </c>
      <c r="AN400" s="34">
        <f>IF(AM400="","",AM400&amp;"-"&amp;B400)</f>
        <v/>
      </c>
      <c r="AO400" s="34">
        <f>IF(C400="","",IFERROR(VALUE(ASC(SUBSTITUTE(C400&amp;"","観点",""))),""))</f>
        <v/>
      </c>
      <c r="AP400" s="34">
        <f>IF(D400="","",IFERROR(VALUE(LEFT(TRIM(ASC(D400&amp;"")),1)),IFERROR(MATCH(TRIM(D400&amp;""),'M2_区分マスタ'!$I$5:$I$10,0),"")))</f>
        <v/>
      </c>
      <c r="AQ400" s="34">
        <f>IF(H400="","",UPPER(LEFT(TRIM(ASC(H400&amp;"")),3)))</f>
        <v/>
      </c>
      <c r="AR400" s="34">
        <f>IF(N400="","",IFERROR(VALUE(SUBSTITUTE(SUBSTITUTE(SUBSTITUTE(SUBSTITUTE(SUBSTITUTE(SUBSTITUTE(SUBSTITUTE(SUBSTITUTE(SUBSTITUTE(SUBSTITUTE(SUBSTITUTE(SUBSTITUTE(ASC(N400&amp;""),"約",""),"程度",""),"ほど",""),"回",""),"毎",""),"週",""),"月",""),"年",""),"日",""),"に",""),"/","")," ","")),""))</f>
        <v/>
      </c>
      <c r="AS400" s="34">
        <f>IF(N400="","",IF(ISNUMBER(N400),N400,IFERROR(VALUE(ASC(N400&amp;"")),IF(AR400&lt;&gt;"",AR400*IF(ISNUMBER(SEARCH("週",N400)),4.3,IF(ISNUMBER(SEARCH("年",N400)),1/12,IF(ISNUMBER(SEARCH("日",N400)),20,1))),IF(ISNUMBER(SEARCH("日",N400)),20,IF(ISNUMBER(SEARCH("週",N400)),4.3,IF(ISNUMBER(SEARCH("月",N400)),1,"")))))))</f>
        <v/>
      </c>
      <c r="AT400" s="34">
        <f>IF(O400="","",IF(ISNUMBER(O400),O400,IFERROR(VALUE(ASC(O400&amp;"")),IF(ISNUMBER(SEARCH("時間",O400)),IFERROR(VALUE(SUBSTITUTE(SUBSTITUTE(SUBSTITUTE(SUBSTITUTE(SUBSTITUTE(ASC(O400&amp;""),"約",""),"程度",""),"ほど",""),"時間","")," ",""))*60,""),IFERROR(VALUE(SUBSTITUTE(SUBSTITUTE(SUBSTITUTE(SUBSTITUTE(SUBSTITUTE(ASC(O400&amp;""),"約",""),"程度",""),"ほど",""),"分","")," ","")),"")))))</f>
        <v/>
      </c>
      <c r="AU400" s="34">
        <f>IF(P400="","",IF(ISNUMBER(P400),P400,IFERROR(VALUE(SUBSTITUTE(SUBSTITUTE(SUBSTITUTE(ASC(P400&amp;""),"約",""),"件","")," ","")),"")))</f>
        <v/>
      </c>
      <c r="AV400" s="34">
        <f>IF(AB400&lt;&gt;"OK","",IF(COUNTIFS($G$5:$G$404,G400&amp;"",$F$5:$F$404,F400&amp;"",$BE$5:$BE$404,BE400&amp;"",$AB$5:$AB$404,"OK")&gt;1,"同名あり",""))</f>
        <v/>
      </c>
      <c r="AW400" s="35">
        <f>IF(Q400="","",IF(ISNUMBER(Q400),Q400,IFERROR(DATEVALUE(SUBSTITUTE(SUBSTITUTE(ASC(Q400&amp;""),"-","/"),".","/")&amp;"/01"),"")))</f>
        <v/>
      </c>
      <c r="AX400" s="35">
        <f>IF(R400="","",IF(ISNUMBER(R400),R400,IFERROR(DATEVALUE(SUBSTITUTE(SUBSTITUTE(ASC(R400&amp;""),"-","/"),".","/")&amp;"/01"),"")))</f>
        <v/>
      </c>
      <c r="AY400" s="34">
        <f>IF(OR(AB400&lt;&gt;"OK",AW400=""),"",IF(AW400&gt;='01_設定'!$C$26,1,0))</f>
        <v/>
      </c>
      <c r="AZ400" s="34">
        <f>IF(AND(AB400="OK",AD400&lt;&gt;"除外"),COUNTIFS($AB$5:AB400,"OK",$AD$5:AD400,"&lt;&gt;除外"),"")</f>
        <v/>
      </c>
      <c r="BA400" s="34">
        <f>IF(OR(AZ400="",AI400=""),"",AI400+ROW()/1000000000)</f>
        <v/>
      </c>
      <c r="BB400" s="34">
        <f>IF(E400="","",IF(OR(TRIM(E400&amp;"")="-",TRIM(E400&amp;"")="－",TRIM(E400&amp;"")="ー"),"",TRIM(E400&amp;"")))</f>
        <v/>
      </c>
      <c r="BC400" s="34">
        <f>IF(AND(AB400="OK",BB400&lt;&gt;""),IF(COUNTIFS($BB$5:BB400,BB400,$AB$5:AB400,"OK")=1,1,""),"")</f>
        <v/>
      </c>
      <c r="BD400" s="34">
        <f>IF(BC400=1,COUNTIF($BC$5:BC400,1),"")</f>
        <v/>
      </c>
      <c r="BE400" s="34">
        <f>IF(BB400="","",IFERROR(INDEX('06_顧客別集計'!$G$5:$G$104,MATCH(BB400,'06_顧客別集計'!$C$5:$C$104,0)),BB400))</f>
        <v/>
      </c>
      <c r="BF400" s="34">
        <f>IF(AND(AZ400&lt;&gt;"",BE400&lt;&gt;""),IF(COUNTIFS($BE$5:BE400,BE400,$AZ$5:AZ400,"&gt;0")=1,1,""),"")</f>
        <v/>
      </c>
      <c r="BG400" s="34">
        <f>IF(BF400=1,COUNTIF($BF$5:BF400,1),"")</f>
        <v/>
      </c>
    </row>
    <row r="401">
      <c r="AB401">
        <f>IF(AND(A401="",G401=""),"",IF(ISNUMBER(SEARCH("##END",AM401)),"（終わりの印）",IF(ISNUMBER(SEARCH("##続き",AM401)),"（続きありの印）",IF(AM401="調査ID","（見出し行）",IF(AND(AM401&lt;&gt;"R1",AM401&lt;&gt;"R2"),"×表以外の行（集計されない）",IF(COUNTIF($AN$5:AN401,AN401)&gt;1,"△重複（集計されない）",IF(G401="","△タスク名なし",IF(ISNA(MATCH(AQ401,'M1_類型マスタ'!$A$5:$A$19,0)),"△類型が不正",IF(OR(AP401="",N(AP401)&lt;1,N(AP401)&gt;6),"△業務区分が不正",IF(OR(AS401="",AT401=""),"△回数・分が読めない",IF(SUMPRODUCT(--ISNUMBER(--T401:Z401))&lt;7,"△採点が足りない",IF(SUMPRODUCT((--T401:Z401&gt;2)+(--T401:Z401&lt;0))&gt;0,"△採点が範囲外","OK"))))))))))))</f>
        <v/>
      </c>
      <c r="AC401">
        <f>IF(AB401&lt;&gt;"OK","",TRIM(IF(AND(AU401&lt;&gt;"",N(AU401)&lt;=1),"根拠1件 ","")&amp;IF(AV401&lt;&gt;"","同名あり ","")&amp;IF(AND(NOT(ISNUMBER(N401)),N401&lt;&gt;""),"回数を換算 ","")&amp;IF(J401="","詳細なし ","")&amp;IF(AND(N(AP401)=1,BB401=""),"顧客名なし ","")))</f>
        <v/>
      </c>
      <c r="AD401" s="31" t="n"/>
      <c r="AE401" s="32" t="n"/>
      <c r="AF401" s="32" t="n"/>
      <c r="AG401" s="31" t="n"/>
      <c r="AH401">
        <f>IF(AB401&lt;&gt;"OK","",IF(AG401&lt;&gt;"",AG401,AJ401))</f>
        <v/>
      </c>
      <c r="AI401" s="33">
        <f>IF(AB401&lt;&gt;"OK","",IFERROR(IF(AE401&lt;&gt;"",AE401,AS401)*IF(AF401&lt;&gt;"",AF401,AT401)/60,""))</f>
        <v/>
      </c>
      <c r="AJ401">
        <f>IF(AB401&lt;&gt;"OK","",IF(OR(VALUE(T401)=2,VALUE(U401)=2,VALUE(V401)=2),"社内残置",IF(AND(VALUE(T401)=0,VALUE(W401)=0,VALUE(Y401)=0),"自動化候補",IF(AND(VALUE(U401)=0,VALUE(W401)&lt;=1,VALUE(X401)&lt;=1,VALUE(Y401)&lt;=1,VALUE(Z401)&lt;=1),"オフショア候補",IF(AND(VALUE(Y401)&lt;=1,VALUE(Z401)&lt;=1),"ニアショア候補","社内で手順化→再評価")))))</f>
        <v/>
      </c>
      <c r="AK401">
        <f>IF(AB401&lt;&gt;"OK","",14-SUMPRODUCT(--T401:Z401))</f>
        <v/>
      </c>
      <c r="AL401" s="33">
        <f>IF(AB401&lt;&gt;"OK","",AS401*AT401/60)</f>
        <v/>
      </c>
      <c r="AM401" s="34">
        <f>IF(A401="","",UPPER(TRIM(ASC(A401&amp;""))))</f>
        <v/>
      </c>
      <c r="AN401" s="34">
        <f>IF(AM401="","",AM401&amp;"-"&amp;B401)</f>
        <v/>
      </c>
      <c r="AO401" s="34">
        <f>IF(C401="","",IFERROR(VALUE(ASC(SUBSTITUTE(C401&amp;"","観点",""))),""))</f>
        <v/>
      </c>
      <c r="AP401" s="34">
        <f>IF(D401="","",IFERROR(VALUE(LEFT(TRIM(ASC(D401&amp;"")),1)),IFERROR(MATCH(TRIM(D401&amp;""),'M2_区分マスタ'!$I$5:$I$10,0),"")))</f>
        <v/>
      </c>
      <c r="AQ401" s="34">
        <f>IF(H401="","",UPPER(LEFT(TRIM(ASC(H401&amp;"")),3)))</f>
        <v/>
      </c>
      <c r="AR401" s="34">
        <f>IF(N401="","",IFERROR(VALUE(SUBSTITUTE(SUBSTITUTE(SUBSTITUTE(SUBSTITUTE(SUBSTITUTE(SUBSTITUTE(SUBSTITUTE(SUBSTITUTE(SUBSTITUTE(SUBSTITUTE(SUBSTITUTE(SUBSTITUTE(ASC(N401&amp;""),"約",""),"程度",""),"ほど",""),"回",""),"毎",""),"週",""),"月",""),"年",""),"日",""),"に",""),"/","")," ","")),""))</f>
        <v/>
      </c>
      <c r="AS401" s="34">
        <f>IF(N401="","",IF(ISNUMBER(N401),N401,IFERROR(VALUE(ASC(N401&amp;"")),IF(AR401&lt;&gt;"",AR401*IF(ISNUMBER(SEARCH("週",N401)),4.3,IF(ISNUMBER(SEARCH("年",N401)),1/12,IF(ISNUMBER(SEARCH("日",N401)),20,1))),IF(ISNUMBER(SEARCH("日",N401)),20,IF(ISNUMBER(SEARCH("週",N401)),4.3,IF(ISNUMBER(SEARCH("月",N401)),1,"")))))))</f>
        <v/>
      </c>
      <c r="AT401" s="34">
        <f>IF(O401="","",IF(ISNUMBER(O401),O401,IFERROR(VALUE(ASC(O401&amp;"")),IF(ISNUMBER(SEARCH("時間",O401)),IFERROR(VALUE(SUBSTITUTE(SUBSTITUTE(SUBSTITUTE(SUBSTITUTE(SUBSTITUTE(ASC(O401&amp;""),"約",""),"程度",""),"ほど",""),"時間","")," ",""))*60,""),IFERROR(VALUE(SUBSTITUTE(SUBSTITUTE(SUBSTITUTE(SUBSTITUTE(SUBSTITUTE(ASC(O401&amp;""),"約",""),"程度",""),"ほど",""),"分","")," ","")),"")))))</f>
        <v/>
      </c>
      <c r="AU401" s="34">
        <f>IF(P401="","",IF(ISNUMBER(P401),P401,IFERROR(VALUE(SUBSTITUTE(SUBSTITUTE(SUBSTITUTE(ASC(P401&amp;""),"約",""),"件","")," ","")),"")))</f>
        <v/>
      </c>
      <c r="AV401" s="34">
        <f>IF(AB401&lt;&gt;"OK","",IF(COUNTIFS($G$5:$G$404,G401&amp;"",$F$5:$F$404,F401&amp;"",$BE$5:$BE$404,BE401&amp;"",$AB$5:$AB$404,"OK")&gt;1,"同名あり",""))</f>
        <v/>
      </c>
      <c r="AW401" s="35">
        <f>IF(Q401="","",IF(ISNUMBER(Q401),Q401,IFERROR(DATEVALUE(SUBSTITUTE(SUBSTITUTE(ASC(Q401&amp;""),"-","/"),".","/")&amp;"/01"),"")))</f>
        <v/>
      </c>
      <c r="AX401" s="35">
        <f>IF(R401="","",IF(ISNUMBER(R401),R401,IFERROR(DATEVALUE(SUBSTITUTE(SUBSTITUTE(ASC(R401&amp;""),"-","/"),".","/")&amp;"/01"),"")))</f>
        <v/>
      </c>
      <c r="AY401" s="34">
        <f>IF(OR(AB401&lt;&gt;"OK",AW401=""),"",IF(AW401&gt;='01_設定'!$C$26,1,0))</f>
        <v/>
      </c>
      <c r="AZ401" s="34">
        <f>IF(AND(AB401="OK",AD401&lt;&gt;"除外"),COUNTIFS($AB$5:AB401,"OK",$AD$5:AD401,"&lt;&gt;除外"),"")</f>
        <v/>
      </c>
      <c r="BA401" s="34">
        <f>IF(OR(AZ401="",AI401=""),"",AI401+ROW()/1000000000)</f>
        <v/>
      </c>
      <c r="BB401" s="34">
        <f>IF(E401="","",IF(OR(TRIM(E401&amp;"")="-",TRIM(E401&amp;"")="－",TRIM(E401&amp;"")="ー"),"",TRIM(E401&amp;"")))</f>
        <v/>
      </c>
      <c r="BC401" s="34">
        <f>IF(AND(AB401="OK",BB401&lt;&gt;""),IF(COUNTIFS($BB$5:BB401,BB401,$AB$5:AB401,"OK")=1,1,""),"")</f>
        <v/>
      </c>
      <c r="BD401" s="34">
        <f>IF(BC401=1,COUNTIF($BC$5:BC401,1),"")</f>
        <v/>
      </c>
      <c r="BE401" s="34">
        <f>IF(BB401="","",IFERROR(INDEX('06_顧客別集計'!$G$5:$G$104,MATCH(BB401,'06_顧客別集計'!$C$5:$C$104,0)),BB401))</f>
        <v/>
      </c>
      <c r="BF401" s="34">
        <f>IF(AND(AZ401&lt;&gt;"",BE401&lt;&gt;""),IF(COUNTIFS($BE$5:BE401,BE401,$AZ$5:AZ401,"&gt;0")=1,1,""),"")</f>
        <v/>
      </c>
      <c r="BG401" s="34">
        <f>IF(BF401=1,COUNTIF($BF$5:BF401,1),"")</f>
        <v/>
      </c>
    </row>
    <row r="402">
      <c r="AB402">
        <f>IF(AND(A402="",G402=""),"",IF(ISNUMBER(SEARCH("##END",AM402)),"（終わりの印）",IF(ISNUMBER(SEARCH("##続き",AM402)),"（続きありの印）",IF(AM402="調査ID","（見出し行）",IF(AND(AM402&lt;&gt;"R1",AM402&lt;&gt;"R2"),"×表以外の行（集計されない）",IF(COUNTIF($AN$5:AN402,AN402)&gt;1,"△重複（集計されない）",IF(G402="","△タスク名なし",IF(ISNA(MATCH(AQ402,'M1_類型マスタ'!$A$5:$A$19,0)),"△類型が不正",IF(OR(AP402="",N(AP402)&lt;1,N(AP402)&gt;6),"△業務区分が不正",IF(OR(AS402="",AT402=""),"△回数・分が読めない",IF(SUMPRODUCT(--ISNUMBER(--T402:Z402))&lt;7,"△採点が足りない",IF(SUMPRODUCT((--T402:Z402&gt;2)+(--T402:Z402&lt;0))&gt;0,"△採点が範囲外","OK"))))))))))))</f>
        <v/>
      </c>
      <c r="AC402">
        <f>IF(AB402&lt;&gt;"OK","",TRIM(IF(AND(AU402&lt;&gt;"",N(AU402)&lt;=1),"根拠1件 ","")&amp;IF(AV402&lt;&gt;"","同名あり ","")&amp;IF(AND(NOT(ISNUMBER(N402)),N402&lt;&gt;""),"回数を換算 ","")&amp;IF(J402="","詳細なし ","")&amp;IF(AND(N(AP402)=1,BB402=""),"顧客名なし ","")))</f>
        <v/>
      </c>
      <c r="AD402" s="31" t="n"/>
      <c r="AE402" s="32" t="n"/>
      <c r="AF402" s="32" t="n"/>
      <c r="AG402" s="31" t="n"/>
      <c r="AH402">
        <f>IF(AB402&lt;&gt;"OK","",IF(AG402&lt;&gt;"",AG402,AJ402))</f>
        <v/>
      </c>
      <c r="AI402" s="33">
        <f>IF(AB402&lt;&gt;"OK","",IFERROR(IF(AE402&lt;&gt;"",AE402,AS402)*IF(AF402&lt;&gt;"",AF402,AT402)/60,""))</f>
        <v/>
      </c>
      <c r="AJ402">
        <f>IF(AB402&lt;&gt;"OK","",IF(OR(VALUE(T402)=2,VALUE(U402)=2,VALUE(V402)=2),"社内残置",IF(AND(VALUE(T402)=0,VALUE(W402)=0,VALUE(Y402)=0),"自動化候補",IF(AND(VALUE(U402)=0,VALUE(W402)&lt;=1,VALUE(X402)&lt;=1,VALUE(Y402)&lt;=1,VALUE(Z402)&lt;=1),"オフショア候補",IF(AND(VALUE(Y402)&lt;=1,VALUE(Z402)&lt;=1),"ニアショア候補","社内で手順化→再評価")))))</f>
        <v/>
      </c>
      <c r="AK402">
        <f>IF(AB402&lt;&gt;"OK","",14-SUMPRODUCT(--T402:Z402))</f>
        <v/>
      </c>
      <c r="AL402" s="33">
        <f>IF(AB402&lt;&gt;"OK","",AS402*AT402/60)</f>
        <v/>
      </c>
      <c r="AM402" s="34">
        <f>IF(A402="","",UPPER(TRIM(ASC(A402&amp;""))))</f>
        <v/>
      </c>
      <c r="AN402" s="34">
        <f>IF(AM402="","",AM402&amp;"-"&amp;B402)</f>
        <v/>
      </c>
      <c r="AO402" s="34">
        <f>IF(C402="","",IFERROR(VALUE(ASC(SUBSTITUTE(C402&amp;"","観点",""))),""))</f>
        <v/>
      </c>
      <c r="AP402" s="34">
        <f>IF(D402="","",IFERROR(VALUE(LEFT(TRIM(ASC(D402&amp;"")),1)),IFERROR(MATCH(TRIM(D402&amp;""),'M2_区分マスタ'!$I$5:$I$10,0),"")))</f>
        <v/>
      </c>
      <c r="AQ402" s="34">
        <f>IF(H402="","",UPPER(LEFT(TRIM(ASC(H402&amp;"")),3)))</f>
        <v/>
      </c>
      <c r="AR402" s="34">
        <f>IF(N402="","",IFERROR(VALUE(SUBSTITUTE(SUBSTITUTE(SUBSTITUTE(SUBSTITUTE(SUBSTITUTE(SUBSTITUTE(SUBSTITUTE(SUBSTITUTE(SUBSTITUTE(SUBSTITUTE(SUBSTITUTE(SUBSTITUTE(ASC(N402&amp;""),"約",""),"程度",""),"ほど",""),"回",""),"毎",""),"週",""),"月",""),"年",""),"日",""),"に",""),"/","")," ","")),""))</f>
        <v/>
      </c>
      <c r="AS402" s="34">
        <f>IF(N402="","",IF(ISNUMBER(N402),N402,IFERROR(VALUE(ASC(N402&amp;"")),IF(AR402&lt;&gt;"",AR402*IF(ISNUMBER(SEARCH("週",N402)),4.3,IF(ISNUMBER(SEARCH("年",N402)),1/12,IF(ISNUMBER(SEARCH("日",N402)),20,1))),IF(ISNUMBER(SEARCH("日",N402)),20,IF(ISNUMBER(SEARCH("週",N402)),4.3,IF(ISNUMBER(SEARCH("月",N402)),1,"")))))))</f>
        <v/>
      </c>
      <c r="AT402" s="34">
        <f>IF(O402="","",IF(ISNUMBER(O402),O402,IFERROR(VALUE(ASC(O402&amp;"")),IF(ISNUMBER(SEARCH("時間",O402)),IFERROR(VALUE(SUBSTITUTE(SUBSTITUTE(SUBSTITUTE(SUBSTITUTE(SUBSTITUTE(ASC(O402&amp;""),"約",""),"程度",""),"ほど",""),"時間","")," ",""))*60,""),IFERROR(VALUE(SUBSTITUTE(SUBSTITUTE(SUBSTITUTE(SUBSTITUTE(SUBSTITUTE(ASC(O402&amp;""),"約",""),"程度",""),"ほど",""),"分","")," ","")),"")))))</f>
        <v/>
      </c>
      <c r="AU402" s="34">
        <f>IF(P402="","",IF(ISNUMBER(P402),P402,IFERROR(VALUE(SUBSTITUTE(SUBSTITUTE(SUBSTITUTE(ASC(P402&amp;""),"約",""),"件","")," ","")),"")))</f>
        <v/>
      </c>
      <c r="AV402" s="34">
        <f>IF(AB402&lt;&gt;"OK","",IF(COUNTIFS($G$5:$G$404,G402&amp;"",$F$5:$F$404,F402&amp;"",$BE$5:$BE$404,BE402&amp;"",$AB$5:$AB$404,"OK")&gt;1,"同名あり",""))</f>
        <v/>
      </c>
      <c r="AW402" s="35">
        <f>IF(Q402="","",IF(ISNUMBER(Q402),Q402,IFERROR(DATEVALUE(SUBSTITUTE(SUBSTITUTE(ASC(Q402&amp;""),"-","/"),".","/")&amp;"/01"),"")))</f>
        <v/>
      </c>
      <c r="AX402" s="35">
        <f>IF(R402="","",IF(ISNUMBER(R402),R402,IFERROR(DATEVALUE(SUBSTITUTE(SUBSTITUTE(ASC(R402&amp;""),"-","/"),".","/")&amp;"/01"),"")))</f>
        <v/>
      </c>
      <c r="AY402" s="34">
        <f>IF(OR(AB402&lt;&gt;"OK",AW402=""),"",IF(AW402&gt;='01_設定'!$C$26,1,0))</f>
        <v/>
      </c>
      <c r="AZ402" s="34">
        <f>IF(AND(AB402="OK",AD402&lt;&gt;"除外"),COUNTIFS($AB$5:AB402,"OK",$AD$5:AD402,"&lt;&gt;除外"),"")</f>
        <v/>
      </c>
      <c r="BA402" s="34">
        <f>IF(OR(AZ402="",AI402=""),"",AI402+ROW()/1000000000)</f>
        <v/>
      </c>
      <c r="BB402" s="34">
        <f>IF(E402="","",IF(OR(TRIM(E402&amp;"")="-",TRIM(E402&amp;"")="－",TRIM(E402&amp;"")="ー"),"",TRIM(E402&amp;"")))</f>
        <v/>
      </c>
      <c r="BC402" s="34">
        <f>IF(AND(AB402="OK",BB402&lt;&gt;""),IF(COUNTIFS($BB$5:BB402,BB402,$AB$5:AB402,"OK")=1,1,""),"")</f>
        <v/>
      </c>
      <c r="BD402" s="34">
        <f>IF(BC402=1,COUNTIF($BC$5:BC402,1),"")</f>
        <v/>
      </c>
      <c r="BE402" s="34">
        <f>IF(BB402="","",IFERROR(INDEX('06_顧客別集計'!$G$5:$G$104,MATCH(BB402,'06_顧客別集計'!$C$5:$C$104,0)),BB402))</f>
        <v/>
      </c>
      <c r="BF402" s="34">
        <f>IF(AND(AZ402&lt;&gt;"",BE402&lt;&gt;""),IF(COUNTIFS($BE$5:BE402,BE402,$AZ$5:AZ402,"&gt;0")=1,1,""),"")</f>
        <v/>
      </c>
      <c r="BG402" s="34">
        <f>IF(BF402=1,COUNTIF($BF$5:BF402,1),"")</f>
        <v/>
      </c>
    </row>
    <row r="403">
      <c r="AB403">
        <f>IF(AND(A403="",G403=""),"",IF(ISNUMBER(SEARCH("##END",AM403)),"（終わりの印）",IF(ISNUMBER(SEARCH("##続き",AM403)),"（続きありの印）",IF(AM403="調査ID","（見出し行）",IF(AND(AM403&lt;&gt;"R1",AM403&lt;&gt;"R2"),"×表以外の行（集計されない）",IF(COUNTIF($AN$5:AN403,AN403)&gt;1,"△重複（集計されない）",IF(G403="","△タスク名なし",IF(ISNA(MATCH(AQ403,'M1_類型マスタ'!$A$5:$A$19,0)),"△類型が不正",IF(OR(AP403="",N(AP403)&lt;1,N(AP403)&gt;6),"△業務区分が不正",IF(OR(AS403="",AT403=""),"△回数・分が読めない",IF(SUMPRODUCT(--ISNUMBER(--T403:Z403))&lt;7,"△採点が足りない",IF(SUMPRODUCT((--T403:Z403&gt;2)+(--T403:Z403&lt;0))&gt;0,"△採点が範囲外","OK"))))))))))))</f>
        <v/>
      </c>
      <c r="AC403">
        <f>IF(AB403&lt;&gt;"OK","",TRIM(IF(AND(AU403&lt;&gt;"",N(AU403)&lt;=1),"根拠1件 ","")&amp;IF(AV403&lt;&gt;"","同名あり ","")&amp;IF(AND(NOT(ISNUMBER(N403)),N403&lt;&gt;""),"回数を換算 ","")&amp;IF(J403="","詳細なし ","")&amp;IF(AND(N(AP403)=1,BB403=""),"顧客名なし ","")))</f>
        <v/>
      </c>
      <c r="AD403" s="31" t="n"/>
      <c r="AE403" s="32" t="n"/>
      <c r="AF403" s="32" t="n"/>
      <c r="AG403" s="31" t="n"/>
      <c r="AH403">
        <f>IF(AB403&lt;&gt;"OK","",IF(AG403&lt;&gt;"",AG403,AJ403))</f>
        <v/>
      </c>
      <c r="AI403" s="33">
        <f>IF(AB403&lt;&gt;"OK","",IFERROR(IF(AE403&lt;&gt;"",AE403,AS403)*IF(AF403&lt;&gt;"",AF403,AT403)/60,""))</f>
        <v/>
      </c>
      <c r="AJ403">
        <f>IF(AB403&lt;&gt;"OK","",IF(OR(VALUE(T403)=2,VALUE(U403)=2,VALUE(V403)=2),"社内残置",IF(AND(VALUE(T403)=0,VALUE(W403)=0,VALUE(Y403)=0),"自動化候補",IF(AND(VALUE(U403)=0,VALUE(W403)&lt;=1,VALUE(X403)&lt;=1,VALUE(Y403)&lt;=1,VALUE(Z403)&lt;=1),"オフショア候補",IF(AND(VALUE(Y403)&lt;=1,VALUE(Z403)&lt;=1),"ニアショア候補","社内で手順化→再評価")))))</f>
        <v/>
      </c>
      <c r="AK403">
        <f>IF(AB403&lt;&gt;"OK","",14-SUMPRODUCT(--T403:Z403))</f>
        <v/>
      </c>
      <c r="AL403" s="33">
        <f>IF(AB403&lt;&gt;"OK","",AS403*AT403/60)</f>
        <v/>
      </c>
      <c r="AM403" s="34">
        <f>IF(A403="","",UPPER(TRIM(ASC(A403&amp;""))))</f>
        <v/>
      </c>
      <c r="AN403" s="34">
        <f>IF(AM403="","",AM403&amp;"-"&amp;B403)</f>
        <v/>
      </c>
      <c r="AO403" s="34">
        <f>IF(C403="","",IFERROR(VALUE(ASC(SUBSTITUTE(C403&amp;"","観点",""))),""))</f>
        <v/>
      </c>
      <c r="AP403" s="34">
        <f>IF(D403="","",IFERROR(VALUE(LEFT(TRIM(ASC(D403&amp;"")),1)),IFERROR(MATCH(TRIM(D403&amp;""),'M2_区分マスタ'!$I$5:$I$10,0),"")))</f>
        <v/>
      </c>
      <c r="AQ403" s="34">
        <f>IF(H403="","",UPPER(LEFT(TRIM(ASC(H403&amp;"")),3)))</f>
        <v/>
      </c>
      <c r="AR403" s="34">
        <f>IF(N403="","",IFERROR(VALUE(SUBSTITUTE(SUBSTITUTE(SUBSTITUTE(SUBSTITUTE(SUBSTITUTE(SUBSTITUTE(SUBSTITUTE(SUBSTITUTE(SUBSTITUTE(SUBSTITUTE(SUBSTITUTE(SUBSTITUTE(ASC(N403&amp;""),"約",""),"程度",""),"ほど",""),"回",""),"毎",""),"週",""),"月",""),"年",""),"日",""),"に",""),"/","")," ","")),""))</f>
        <v/>
      </c>
      <c r="AS403" s="34">
        <f>IF(N403="","",IF(ISNUMBER(N403),N403,IFERROR(VALUE(ASC(N403&amp;"")),IF(AR403&lt;&gt;"",AR403*IF(ISNUMBER(SEARCH("週",N403)),4.3,IF(ISNUMBER(SEARCH("年",N403)),1/12,IF(ISNUMBER(SEARCH("日",N403)),20,1))),IF(ISNUMBER(SEARCH("日",N403)),20,IF(ISNUMBER(SEARCH("週",N403)),4.3,IF(ISNUMBER(SEARCH("月",N403)),1,"")))))))</f>
        <v/>
      </c>
      <c r="AT403" s="34">
        <f>IF(O403="","",IF(ISNUMBER(O403),O403,IFERROR(VALUE(ASC(O403&amp;"")),IF(ISNUMBER(SEARCH("時間",O403)),IFERROR(VALUE(SUBSTITUTE(SUBSTITUTE(SUBSTITUTE(SUBSTITUTE(SUBSTITUTE(ASC(O403&amp;""),"約",""),"程度",""),"ほど",""),"時間","")," ",""))*60,""),IFERROR(VALUE(SUBSTITUTE(SUBSTITUTE(SUBSTITUTE(SUBSTITUTE(SUBSTITUTE(ASC(O403&amp;""),"約",""),"程度",""),"ほど",""),"分","")," ","")),"")))))</f>
        <v/>
      </c>
      <c r="AU403" s="34">
        <f>IF(P403="","",IF(ISNUMBER(P403),P403,IFERROR(VALUE(SUBSTITUTE(SUBSTITUTE(SUBSTITUTE(ASC(P403&amp;""),"約",""),"件","")," ","")),"")))</f>
        <v/>
      </c>
      <c r="AV403" s="34">
        <f>IF(AB403&lt;&gt;"OK","",IF(COUNTIFS($G$5:$G$404,G403&amp;"",$F$5:$F$404,F403&amp;"",$BE$5:$BE$404,BE403&amp;"",$AB$5:$AB$404,"OK")&gt;1,"同名あり",""))</f>
        <v/>
      </c>
      <c r="AW403" s="35">
        <f>IF(Q403="","",IF(ISNUMBER(Q403),Q403,IFERROR(DATEVALUE(SUBSTITUTE(SUBSTITUTE(ASC(Q403&amp;""),"-","/"),".","/")&amp;"/01"),"")))</f>
        <v/>
      </c>
      <c r="AX403" s="35">
        <f>IF(R403="","",IF(ISNUMBER(R403),R403,IFERROR(DATEVALUE(SUBSTITUTE(SUBSTITUTE(ASC(R403&amp;""),"-","/"),".","/")&amp;"/01"),"")))</f>
        <v/>
      </c>
      <c r="AY403" s="34">
        <f>IF(OR(AB403&lt;&gt;"OK",AW403=""),"",IF(AW403&gt;='01_設定'!$C$26,1,0))</f>
        <v/>
      </c>
      <c r="AZ403" s="34">
        <f>IF(AND(AB403="OK",AD403&lt;&gt;"除外"),COUNTIFS($AB$5:AB403,"OK",$AD$5:AD403,"&lt;&gt;除外"),"")</f>
        <v/>
      </c>
      <c r="BA403" s="34">
        <f>IF(OR(AZ403="",AI403=""),"",AI403+ROW()/1000000000)</f>
        <v/>
      </c>
      <c r="BB403" s="34">
        <f>IF(E403="","",IF(OR(TRIM(E403&amp;"")="-",TRIM(E403&amp;"")="－",TRIM(E403&amp;"")="ー"),"",TRIM(E403&amp;"")))</f>
        <v/>
      </c>
      <c r="BC403" s="34">
        <f>IF(AND(AB403="OK",BB403&lt;&gt;""),IF(COUNTIFS($BB$5:BB403,BB403,$AB$5:AB403,"OK")=1,1,""),"")</f>
        <v/>
      </c>
      <c r="BD403" s="34">
        <f>IF(BC403=1,COUNTIF($BC$5:BC403,1),"")</f>
        <v/>
      </c>
      <c r="BE403" s="34">
        <f>IF(BB403="","",IFERROR(INDEX('06_顧客別集計'!$G$5:$G$104,MATCH(BB403,'06_顧客別集計'!$C$5:$C$104,0)),BB403))</f>
        <v/>
      </c>
      <c r="BF403" s="34">
        <f>IF(AND(AZ403&lt;&gt;"",BE403&lt;&gt;""),IF(COUNTIFS($BE$5:BE403,BE403,$AZ$5:AZ403,"&gt;0")=1,1,""),"")</f>
        <v/>
      </c>
      <c r="BG403" s="34">
        <f>IF(BF403=1,COUNTIF($BF$5:BF403,1),"")</f>
        <v/>
      </c>
    </row>
    <row r="404">
      <c r="AB404">
        <f>IF(AND(A404="",G404=""),"",IF(ISNUMBER(SEARCH("##END",AM404)),"（終わりの印）",IF(ISNUMBER(SEARCH("##続き",AM404)),"（続きありの印）",IF(AM404="調査ID","（見出し行）",IF(AND(AM404&lt;&gt;"R1",AM404&lt;&gt;"R2"),"×表以外の行（集計されない）",IF(COUNTIF($AN$5:AN404,AN404)&gt;1,"△重複（集計されない）",IF(G404="","△タスク名なし",IF(ISNA(MATCH(AQ404,'M1_類型マスタ'!$A$5:$A$19,0)),"△類型が不正",IF(OR(AP404="",N(AP404)&lt;1,N(AP404)&gt;6),"△業務区分が不正",IF(OR(AS404="",AT404=""),"△回数・分が読めない",IF(SUMPRODUCT(--ISNUMBER(--T404:Z404))&lt;7,"△採点が足りない",IF(SUMPRODUCT((--T404:Z404&gt;2)+(--T404:Z404&lt;0))&gt;0,"△採点が範囲外","OK"))))))))))))</f>
        <v/>
      </c>
      <c r="AC404">
        <f>IF(AB404&lt;&gt;"OK","",TRIM(IF(AND(AU404&lt;&gt;"",N(AU404)&lt;=1),"根拠1件 ","")&amp;IF(AV404&lt;&gt;"","同名あり ","")&amp;IF(AND(NOT(ISNUMBER(N404)),N404&lt;&gt;""),"回数を換算 ","")&amp;IF(J404="","詳細なし ","")&amp;IF(AND(N(AP404)=1,BB404=""),"顧客名なし ","")))</f>
        <v/>
      </c>
      <c r="AD404" s="31" t="n"/>
      <c r="AE404" s="32" t="n"/>
      <c r="AF404" s="32" t="n"/>
      <c r="AG404" s="31" t="n"/>
      <c r="AH404">
        <f>IF(AB404&lt;&gt;"OK","",IF(AG404&lt;&gt;"",AG404,AJ404))</f>
        <v/>
      </c>
      <c r="AI404" s="33">
        <f>IF(AB404&lt;&gt;"OK","",IFERROR(IF(AE404&lt;&gt;"",AE404,AS404)*IF(AF404&lt;&gt;"",AF404,AT404)/60,""))</f>
        <v/>
      </c>
      <c r="AJ404">
        <f>IF(AB404&lt;&gt;"OK","",IF(OR(VALUE(T404)=2,VALUE(U404)=2,VALUE(V404)=2),"社内残置",IF(AND(VALUE(T404)=0,VALUE(W404)=0,VALUE(Y404)=0),"自動化候補",IF(AND(VALUE(U404)=0,VALUE(W404)&lt;=1,VALUE(X404)&lt;=1,VALUE(Y404)&lt;=1,VALUE(Z404)&lt;=1),"オフショア候補",IF(AND(VALUE(Y404)&lt;=1,VALUE(Z404)&lt;=1),"ニアショア候補","社内で手順化→再評価")))))</f>
        <v/>
      </c>
      <c r="AK404">
        <f>IF(AB404&lt;&gt;"OK","",14-SUMPRODUCT(--T404:Z404))</f>
        <v/>
      </c>
      <c r="AL404" s="33">
        <f>IF(AB404&lt;&gt;"OK","",AS404*AT404/60)</f>
        <v/>
      </c>
      <c r="AM404" s="34">
        <f>IF(A404="","",UPPER(TRIM(ASC(A404&amp;""))))</f>
        <v/>
      </c>
      <c r="AN404" s="34">
        <f>IF(AM404="","",AM404&amp;"-"&amp;B404)</f>
        <v/>
      </c>
      <c r="AO404" s="34">
        <f>IF(C404="","",IFERROR(VALUE(ASC(SUBSTITUTE(C404&amp;"","観点",""))),""))</f>
        <v/>
      </c>
      <c r="AP404" s="34">
        <f>IF(D404="","",IFERROR(VALUE(LEFT(TRIM(ASC(D404&amp;"")),1)),IFERROR(MATCH(TRIM(D404&amp;""),'M2_区分マスタ'!$I$5:$I$10,0),"")))</f>
        <v/>
      </c>
      <c r="AQ404" s="34">
        <f>IF(H404="","",UPPER(LEFT(TRIM(ASC(H404&amp;"")),3)))</f>
        <v/>
      </c>
      <c r="AR404" s="34">
        <f>IF(N404="","",IFERROR(VALUE(SUBSTITUTE(SUBSTITUTE(SUBSTITUTE(SUBSTITUTE(SUBSTITUTE(SUBSTITUTE(SUBSTITUTE(SUBSTITUTE(SUBSTITUTE(SUBSTITUTE(SUBSTITUTE(SUBSTITUTE(ASC(N404&amp;""),"約",""),"程度",""),"ほど",""),"回",""),"毎",""),"週",""),"月",""),"年",""),"日",""),"に",""),"/","")," ","")),""))</f>
        <v/>
      </c>
      <c r="AS404" s="34">
        <f>IF(N404="","",IF(ISNUMBER(N404),N404,IFERROR(VALUE(ASC(N404&amp;"")),IF(AR404&lt;&gt;"",AR404*IF(ISNUMBER(SEARCH("週",N404)),4.3,IF(ISNUMBER(SEARCH("年",N404)),1/12,IF(ISNUMBER(SEARCH("日",N404)),20,1))),IF(ISNUMBER(SEARCH("日",N404)),20,IF(ISNUMBER(SEARCH("週",N404)),4.3,IF(ISNUMBER(SEARCH("月",N404)),1,"")))))))</f>
        <v/>
      </c>
      <c r="AT404" s="34">
        <f>IF(O404="","",IF(ISNUMBER(O404),O404,IFERROR(VALUE(ASC(O404&amp;"")),IF(ISNUMBER(SEARCH("時間",O404)),IFERROR(VALUE(SUBSTITUTE(SUBSTITUTE(SUBSTITUTE(SUBSTITUTE(SUBSTITUTE(ASC(O404&amp;""),"約",""),"程度",""),"ほど",""),"時間","")," ",""))*60,""),IFERROR(VALUE(SUBSTITUTE(SUBSTITUTE(SUBSTITUTE(SUBSTITUTE(SUBSTITUTE(ASC(O404&amp;""),"約",""),"程度",""),"ほど",""),"分","")," ","")),"")))))</f>
        <v/>
      </c>
      <c r="AU404" s="34">
        <f>IF(P404="","",IF(ISNUMBER(P404),P404,IFERROR(VALUE(SUBSTITUTE(SUBSTITUTE(SUBSTITUTE(ASC(P404&amp;""),"約",""),"件","")," ","")),"")))</f>
        <v/>
      </c>
      <c r="AV404" s="34">
        <f>IF(AB404&lt;&gt;"OK","",IF(COUNTIFS($G$5:$G$404,G404&amp;"",$F$5:$F$404,F404&amp;"",$BE$5:$BE$404,BE404&amp;"",$AB$5:$AB$404,"OK")&gt;1,"同名あり",""))</f>
        <v/>
      </c>
      <c r="AW404" s="35">
        <f>IF(Q404="","",IF(ISNUMBER(Q404),Q404,IFERROR(DATEVALUE(SUBSTITUTE(SUBSTITUTE(ASC(Q404&amp;""),"-","/"),".","/")&amp;"/01"),"")))</f>
        <v/>
      </c>
      <c r="AX404" s="35">
        <f>IF(R404="","",IF(ISNUMBER(R404),R404,IFERROR(DATEVALUE(SUBSTITUTE(SUBSTITUTE(ASC(R404&amp;""),"-","/"),".","/")&amp;"/01"),"")))</f>
        <v/>
      </c>
      <c r="AY404" s="34">
        <f>IF(OR(AB404&lt;&gt;"OK",AW404=""),"",IF(AW404&gt;='01_設定'!$C$26,1,0))</f>
        <v/>
      </c>
      <c r="AZ404" s="34">
        <f>IF(AND(AB404="OK",AD404&lt;&gt;"除外"),COUNTIFS($AB$5:AB404,"OK",$AD$5:AD404,"&lt;&gt;除外"),"")</f>
        <v/>
      </c>
      <c r="BA404" s="34">
        <f>IF(OR(AZ404="",AI404=""),"",AI404+ROW()/1000000000)</f>
        <v/>
      </c>
      <c r="BB404" s="34">
        <f>IF(E404="","",IF(OR(TRIM(E404&amp;"")="-",TRIM(E404&amp;"")="－",TRIM(E404&amp;"")="ー"),"",TRIM(E404&amp;"")))</f>
        <v/>
      </c>
      <c r="BC404" s="34">
        <f>IF(AND(AB404="OK",BB404&lt;&gt;""),IF(COUNTIFS($BB$5:BB404,BB404,$AB$5:AB404,"OK")=1,1,""),"")</f>
        <v/>
      </c>
      <c r="BD404" s="34">
        <f>IF(BC404=1,COUNTIF($BC$5:BC404,1),"")</f>
        <v/>
      </c>
      <c r="BE404" s="34">
        <f>IF(BB404="","",IFERROR(INDEX('06_顧客別集計'!$G$5:$G$104,MATCH(BB404,'06_顧客別集計'!$C$5:$C$104,0)),BB404))</f>
        <v/>
      </c>
      <c r="BF404" s="34">
        <f>IF(AND(AZ404&lt;&gt;"",BE404&lt;&gt;""),IF(COUNTIFS($BE$5:BE404,BE404,$AZ$5:AZ404,"&gt;0")=1,1,""),"")</f>
        <v/>
      </c>
      <c r="BG404" s="34">
        <f>IF(BF404=1,COUNTIF($BF$5:BF404,1),"")</f>
        <v/>
      </c>
    </row>
  </sheetData>
  <conditionalFormatting sqref="AB5:AB404">
    <cfRule type="expression" priority="1" dxfId="1">
      <formula>LEFT($AB5,1)="△"</formula>
    </cfRule>
    <cfRule type="expression" priority="2" dxfId="2">
      <formula>$AB5="OK"</formula>
    </cfRule>
    <cfRule type="expression" priority="3" dxfId="3">
      <formula>OR(LEFT($AB5,1)="×",LEFT($AB5,1)="（")</formula>
    </cfRule>
  </conditionalFormatting>
  <conditionalFormatting sqref="AC5:AC404">
    <cfRule type="expression" priority="4" dxfId="4">
      <formula>$AC5&lt;&gt;""</formula>
    </cfRule>
  </conditionalFormatting>
  <conditionalFormatting sqref="A5:AJ404">
    <cfRule type="expression" priority="5" dxfId="5">
      <formula>$AD5="除外"</formula>
    </cfRule>
  </conditionalFormatting>
  <dataValidations count="3">
    <dataValidation sqref="AG5:AG404" showDropDown="0" showInputMessage="0" showErrorMessage="1" allowBlank="1" type="list">
      <formula1>='M2_区分マスタ'!$G$5:$G$9</formula1>
    </dataValidation>
    <dataValidation sqref="AD5:AD404" showDropDown="0" showInputMessage="0" showErrorMessage="1" allowBlank="1" type="list">
      <formula1>='M2_区分マスタ'!$H$5:$H$5</formula1>
    </dataValidation>
    <dataValidation sqref="AE5:AF404" showDropDown="0" showInputMessage="0" showErrorMessage="0" allowBlank="1" type="decimal" operator="greaterThanOrEqual">
      <formula1>0</formula1>
    </dataValidation>
  </dataValidations>
  <pageMargins left="0.75" right="0.75" top="1" bottom="1" header="0.5" footer="0.5"/>
</worksheet>
</file>

<file path=xl/worksheets/sheet6.xml><?xml version="1.0" encoding="utf-8"?>
<worksheet xmlns="http://schemas.openxmlformats.org/spreadsheetml/2006/main">
  <sheetPr>
    <tabColor rgb="007030A0"/>
    <outlinePr summaryBelow="1" summaryRight="1"/>
    <pageSetUpPr/>
  </sheetPr>
  <dimension ref="A1:AL304"/>
  <sheetViews>
    <sheetView showGridLines="1" workbookViewId="0">
      <pane xSplit="12" ySplit="4" topLeftCell="M5"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10" customWidth="1" min="3" max="3"/>
    <col width="11" customWidth="1" min="4" max="4"/>
    <col width="11" customWidth="1" min="5" max="5"/>
    <col width="6" customWidth="1" min="6" max="6"/>
    <col width="5" customWidth="1" min="7" max="7"/>
    <col width="5" customWidth="1" min="8" max="8"/>
    <col width="14" customWidth="1" min="9" max="9"/>
    <col width="14" customWidth="1" min="10" max="10"/>
    <col width="20" customWidth="1" min="11" max="11"/>
    <col width="26" customWidth="1" min="12" max="12"/>
    <col width="6" customWidth="1" min="13" max="13"/>
    <col width="16" customWidth="1" min="14" max="14"/>
    <col width="30" customWidth="1" min="15" max="15"/>
    <col width="60" customWidth="1" min="16" max="16"/>
    <col width="34" customWidth="1" min="17" max="17"/>
    <col width="9" customWidth="1" min="18" max="18"/>
    <col width="7" customWidth="1" min="19" max="19"/>
    <col width="8" customWidth="1" min="20" max="20"/>
    <col width="8" customWidth="1" min="21" max="21"/>
    <col width="8" customWidth="1" min="22" max="22"/>
    <col width="6" customWidth="1" min="23" max="23"/>
    <col width="9" customWidth="1" min="24" max="24"/>
    <col width="9" customWidth="1" min="25" max="25"/>
    <col width="26" customWidth="1" min="26" max="26"/>
    <col width="4" customWidth="1" min="27" max="27"/>
    <col width="4" customWidth="1" min="28" max="28"/>
    <col width="4" customWidth="1" min="29" max="29"/>
    <col width="4" customWidth="1" min="30" max="30"/>
    <col width="4" customWidth="1" min="31" max="31"/>
    <col width="4" customWidth="1" min="32" max="32"/>
    <col width="4" customWidth="1" min="33" max="33"/>
    <col width="7" customWidth="1" min="34" max="34"/>
    <col width="16" customWidth="1" min="35" max="35"/>
    <col width="30" customWidth="1" min="36" max="36"/>
    <col width="12" customWidth="1" min="37" max="37"/>
    <col width="5" customWidth="1" min="38" max="38"/>
  </cols>
  <sheetData>
    <row r="1">
      <c r="A1" s="5" t="inlineStr">
        <is>
          <t>05_タスク一覧（提出用・最終成果物）</t>
        </is>
      </c>
    </row>
    <row r="2">
      <c r="A2" s="2" t="inlineStr">
        <is>
          <t>04_調査結果のうち、判定が OK で「除外」していないタスクが自動で並ぶ。直接は編集しない（直すときは 04 で）。</t>
        </is>
      </c>
    </row>
    <row r="3" ht="36" customHeight="1">
      <c r="A3" s="6" t="inlineStr">
        <is>
          <t>実行者ID</t>
        </is>
      </c>
      <c r="B3" s="6" t="inlineStr">
        <is>
          <t>部署区分</t>
        </is>
      </c>
      <c r="C3" s="6" t="inlineStr">
        <is>
          <t>役職区分</t>
        </is>
      </c>
      <c r="D3" s="6" t="inlineStr">
        <is>
          <t>実行日</t>
        </is>
      </c>
      <c r="E3" s="6" t="inlineStr">
        <is>
          <t>対象開始日</t>
        </is>
      </c>
      <c r="F3" s="6" t="inlineStr">
        <is>
          <t>台帳の版</t>
        </is>
      </c>
      <c r="G3" s="6" t="inlineStr">
        <is>
          <t>No</t>
        </is>
      </c>
      <c r="H3" s="6" t="inlineStr">
        <is>
          <t>観点</t>
        </is>
      </c>
      <c r="I3" s="6" t="inlineStr">
        <is>
          <t>業務区分</t>
        </is>
      </c>
      <c r="J3" s="6" t="inlineStr">
        <is>
          <t>顧客名</t>
        </is>
      </c>
      <c r="K3" s="6" t="inlineStr">
        <is>
          <t>案件・対象名</t>
        </is>
      </c>
      <c r="L3" s="6" t="inlineStr">
        <is>
          <t>タスク名</t>
        </is>
      </c>
      <c r="M3" s="6" t="inlineStr">
        <is>
          <t>類型</t>
        </is>
      </c>
      <c r="N3" s="6" t="inlineStr">
        <is>
          <t>類型名</t>
        </is>
      </c>
      <c r="O3" s="6" t="inlineStr">
        <is>
          <t>説明</t>
        </is>
      </c>
      <c r="P3" s="6" t="inlineStr">
        <is>
          <t>詳細</t>
        </is>
      </c>
      <c r="Q3" s="6" t="inlineStr">
        <is>
          <t>代表的なやり取り</t>
        </is>
      </c>
      <c r="R3" s="6" t="inlineStr">
        <is>
          <t>主な相手</t>
        </is>
      </c>
      <c r="S3" s="6" t="inlineStr">
        <is>
          <t>明示暗黙</t>
        </is>
      </c>
      <c r="T3" s="6" t="inlineStr">
        <is>
          <t>月あたり回数</t>
        </is>
      </c>
      <c r="U3" s="6" t="inlineStr">
        <is>
          <t>1回あたり分</t>
        </is>
      </c>
      <c r="V3" s="6" t="inlineStr">
        <is>
          <t>月あたり時間h</t>
        </is>
      </c>
      <c r="W3" s="6" t="inlineStr">
        <is>
          <t>根拠の件数</t>
        </is>
      </c>
      <c r="X3" s="6" t="inlineStr">
        <is>
          <t>根拠の最初</t>
        </is>
      </c>
      <c r="Y3" s="6" t="inlineStr">
        <is>
          <t>根拠の最後</t>
        </is>
      </c>
      <c r="Z3" s="6" t="inlineStr">
        <is>
          <t>暗黙の理由</t>
        </is>
      </c>
      <c r="AA3" s="6" t="inlineStr">
        <is>
          <t>A1</t>
        </is>
      </c>
      <c r="AB3" s="6" t="inlineStr">
        <is>
          <t>A2</t>
        </is>
      </c>
      <c r="AC3" s="6" t="inlineStr">
        <is>
          <t>A3</t>
        </is>
      </c>
      <c r="AD3" s="6" t="inlineStr">
        <is>
          <t>A4</t>
        </is>
      </c>
      <c r="AE3" s="6" t="inlineStr">
        <is>
          <t>A5</t>
        </is>
      </c>
      <c r="AF3" s="6" t="inlineStr">
        <is>
          <t>A6</t>
        </is>
      </c>
      <c r="AG3" s="6" t="inlineStr">
        <is>
          <t>A7</t>
        </is>
      </c>
      <c r="AH3" s="6" t="inlineStr">
        <is>
          <t>任せやすさ</t>
        </is>
      </c>
      <c r="AI3" s="6" t="inlineStr">
        <is>
          <t>採用区分</t>
        </is>
      </c>
      <c r="AJ3" s="6" t="inlineStr">
        <is>
          <t>任せるための前提条件</t>
        </is>
      </c>
      <c r="AK3" s="6" t="inlineStr">
        <is>
          <t>要確認</t>
        </is>
      </c>
      <c r="AL3" s="29" t="inlineStr">
        <is>
          <t>行</t>
        </is>
      </c>
    </row>
    <row r="5">
      <c r="A5">
        <f>IF($AL5="","",'01_設定'!$C$36)</f>
        <v/>
      </c>
      <c r="B5">
        <f>IF($AL5="","",'01_設定'!$C$5)</f>
        <v/>
      </c>
      <c r="C5">
        <f>IF($AL5="","",'01_設定'!$C$6)</f>
        <v/>
      </c>
      <c r="D5" s="36">
        <f>IF($AL5="","",'01_設定'!$C$22)</f>
        <v/>
      </c>
      <c r="E5" s="36">
        <f>IF($AL5="","",'01_設定'!$C$23)</f>
        <v/>
      </c>
      <c r="F5">
        <f>IF($AL5="","",'01_設定'!$C$32)</f>
        <v/>
      </c>
      <c r="G5">
        <f>IF($AL5="","",ROW()-4)</f>
        <v/>
      </c>
      <c r="H5">
        <f>IF($AL5="","",INDEX('04_調査結果'!$AO$5:$AO$404,$AL5))</f>
        <v/>
      </c>
      <c r="I5">
        <f>IF($AL5="","",IFERROR(INDEX('M2_区分マスタ'!$I$5:$I$10,INDEX('04_調査結果'!$AP$5:$AP$404,$AL5)),""))</f>
        <v/>
      </c>
      <c r="J5">
        <f>IF($AL5="","",INDEX('04_調査結果'!$BE$5:$BE$404,$AL5)&amp;"")</f>
        <v/>
      </c>
      <c r="K5">
        <f>IF($AL5="","",INDEX('04_調査結果'!$F$5:$F$404,$AL5)&amp;"")</f>
        <v/>
      </c>
      <c r="L5">
        <f>IF($AL5="","",INDEX('04_調査結果'!$G$5:$G$404,$AL5)&amp;"")</f>
        <v/>
      </c>
      <c r="M5">
        <f>IF($AL5="","",INDEX('04_調査結果'!$AQ$5:$AQ$404,$AL5)&amp;"")</f>
        <v/>
      </c>
      <c r="N5">
        <f>IF($AL5="","",IFERROR(INDEX('M1_類型マスタ'!$B$5:$B$19,MATCH(M5,'M1_類型マスタ'!$A$5:$A$19,0)),""))</f>
        <v/>
      </c>
      <c r="O5">
        <f>IF($AL5="","",INDEX('04_調査結果'!$I$5:$I$404,$AL5)&amp;"")</f>
        <v/>
      </c>
      <c r="P5">
        <f>IF($AL5="","",INDEX('04_調査結果'!$J$5:$J$404,$AL5)&amp;"")</f>
        <v/>
      </c>
      <c r="Q5">
        <f>IF($AL5="","",INDEX('04_調査結果'!$K$5:$K$404,$AL5)&amp;"")</f>
        <v/>
      </c>
      <c r="R5">
        <f>IF($AL5="","",INDEX('04_調査結果'!$L$5:$L$404,$AL5)&amp;"")</f>
        <v/>
      </c>
      <c r="S5">
        <f>IF($AL5="","",INDEX('04_調査結果'!$M$5:$M$404,$AL5)&amp;"")</f>
        <v/>
      </c>
      <c r="T5" s="33">
        <f>IF($AL5="","",IF(INDEX('04_調査結果'!$AE$5:$AE$404,$AL5)&lt;&gt;"",INDEX('04_調査結果'!$AE$5:$AE$404,$AL5),INDEX('04_調査結果'!$AS$5:$AS$404,$AL5)))</f>
        <v/>
      </c>
      <c r="U5" s="33">
        <f>IF($AL5="","",IF(INDEX('04_調査結果'!$AF$5:$AF$404,$AL5)&lt;&gt;"",INDEX('04_調査結果'!$AF$5:$AF$404,$AL5),INDEX('04_調査結果'!$AT$5:$AT$404,$AL5)))</f>
        <v/>
      </c>
      <c r="V5" s="33">
        <f>IF($AL5="","",INDEX('04_調査結果'!$AI$5:$AI$404,$AL5))</f>
        <v/>
      </c>
      <c r="W5">
        <f>IF($AL5="","",INDEX('04_調査結果'!$AU$5:$AU$404,$AL5))</f>
        <v/>
      </c>
      <c r="X5" s="37">
        <f>IF($AL5="","",INDEX('04_調査結果'!$AW$5:$AW$404,$AL5))</f>
        <v/>
      </c>
      <c r="Y5" s="37">
        <f>IF($AL5="","",INDEX('04_調査結果'!$AX$5:$AX$404,$AL5))</f>
        <v/>
      </c>
      <c r="Z5">
        <f>IF($AL5="","",INDEX('04_調査結果'!$S$5:$S$404,$AL5)&amp;"")</f>
        <v/>
      </c>
      <c r="AA5">
        <f>IF($AL5="","",INDEX('04_調査結果'!$T$5:$T$404,$AL5))</f>
        <v/>
      </c>
      <c r="AB5">
        <f>IF($AL5="","",INDEX('04_調査結果'!$U$5:$U$404,$AL5))</f>
        <v/>
      </c>
      <c r="AC5">
        <f>IF($AL5="","",INDEX('04_調査結果'!$V$5:$V$404,$AL5))</f>
        <v/>
      </c>
      <c r="AD5">
        <f>IF($AL5="","",INDEX('04_調査結果'!$W$5:$W$404,$AL5))</f>
        <v/>
      </c>
      <c r="AE5">
        <f>IF($AL5="","",INDEX('04_調査結果'!$X$5:$X$404,$AL5))</f>
        <v/>
      </c>
      <c r="AF5">
        <f>IF($AL5="","",INDEX('04_調査結果'!$Y$5:$Y$404,$AL5))</f>
        <v/>
      </c>
      <c r="AG5">
        <f>IF($AL5="","",INDEX('04_調査結果'!$Z$5:$Z$404,$AL5))</f>
        <v/>
      </c>
      <c r="AH5">
        <f>IF($AL5="","",INDEX('04_調査結果'!$AK$5:$AK$404,$AL5))</f>
        <v/>
      </c>
      <c r="AI5">
        <f>IF($AL5="","",INDEX('04_調査結果'!$AH$5:$AH$404,$AL5)&amp;"")</f>
        <v/>
      </c>
      <c r="AJ5">
        <f>IF($AL5="","",INDEX('04_調査結果'!$AA$5:$AA$404,$AL5)&amp;"")</f>
        <v/>
      </c>
      <c r="AK5">
        <f>IF($AL5="","",INDEX('04_調査結果'!$AC$5:$AC$404,$AL5)&amp;"")</f>
        <v/>
      </c>
      <c r="AL5" s="34">
        <f>IFERROR(MATCH(ROW()-4,'04_調査結果'!$AZ$5:$AZ$404,0),"")</f>
        <v/>
      </c>
    </row>
    <row r="6">
      <c r="A6">
        <f>IF($AL6="","",'01_設定'!$C$36)</f>
        <v/>
      </c>
      <c r="B6">
        <f>IF($AL6="","",'01_設定'!$C$5)</f>
        <v/>
      </c>
      <c r="C6">
        <f>IF($AL6="","",'01_設定'!$C$6)</f>
        <v/>
      </c>
      <c r="D6" s="36">
        <f>IF($AL6="","",'01_設定'!$C$22)</f>
        <v/>
      </c>
      <c r="E6" s="36">
        <f>IF($AL6="","",'01_設定'!$C$23)</f>
        <v/>
      </c>
      <c r="F6">
        <f>IF($AL6="","",'01_設定'!$C$32)</f>
        <v/>
      </c>
      <c r="G6">
        <f>IF($AL6="","",ROW()-4)</f>
        <v/>
      </c>
      <c r="H6">
        <f>IF($AL6="","",INDEX('04_調査結果'!$AO$5:$AO$404,$AL6))</f>
        <v/>
      </c>
      <c r="I6">
        <f>IF($AL6="","",IFERROR(INDEX('M2_区分マスタ'!$I$5:$I$10,INDEX('04_調査結果'!$AP$5:$AP$404,$AL6)),""))</f>
        <v/>
      </c>
      <c r="J6">
        <f>IF($AL6="","",INDEX('04_調査結果'!$BE$5:$BE$404,$AL6)&amp;"")</f>
        <v/>
      </c>
      <c r="K6">
        <f>IF($AL6="","",INDEX('04_調査結果'!$F$5:$F$404,$AL6)&amp;"")</f>
        <v/>
      </c>
      <c r="L6">
        <f>IF($AL6="","",INDEX('04_調査結果'!$G$5:$G$404,$AL6)&amp;"")</f>
        <v/>
      </c>
      <c r="M6">
        <f>IF($AL6="","",INDEX('04_調査結果'!$AQ$5:$AQ$404,$AL6)&amp;"")</f>
        <v/>
      </c>
      <c r="N6">
        <f>IF($AL6="","",IFERROR(INDEX('M1_類型マスタ'!$B$5:$B$19,MATCH(M6,'M1_類型マスタ'!$A$5:$A$19,0)),""))</f>
        <v/>
      </c>
      <c r="O6">
        <f>IF($AL6="","",INDEX('04_調査結果'!$I$5:$I$404,$AL6)&amp;"")</f>
        <v/>
      </c>
      <c r="P6">
        <f>IF($AL6="","",INDEX('04_調査結果'!$J$5:$J$404,$AL6)&amp;"")</f>
        <v/>
      </c>
      <c r="Q6">
        <f>IF($AL6="","",INDEX('04_調査結果'!$K$5:$K$404,$AL6)&amp;"")</f>
        <v/>
      </c>
      <c r="R6">
        <f>IF($AL6="","",INDEX('04_調査結果'!$L$5:$L$404,$AL6)&amp;"")</f>
        <v/>
      </c>
      <c r="S6">
        <f>IF($AL6="","",INDEX('04_調査結果'!$M$5:$M$404,$AL6)&amp;"")</f>
        <v/>
      </c>
      <c r="T6" s="33">
        <f>IF($AL6="","",IF(INDEX('04_調査結果'!$AE$5:$AE$404,$AL6)&lt;&gt;"",INDEX('04_調査結果'!$AE$5:$AE$404,$AL6),INDEX('04_調査結果'!$AS$5:$AS$404,$AL6)))</f>
        <v/>
      </c>
      <c r="U6" s="33">
        <f>IF($AL6="","",IF(INDEX('04_調査結果'!$AF$5:$AF$404,$AL6)&lt;&gt;"",INDEX('04_調査結果'!$AF$5:$AF$404,$AL6),INDEX('04_調査結果'!$AT$5:$AT$404,$AL6)))</f>
        <v/>
      </c>
      <c r="V6" s="33">
        <f>IF($AL6="","",INDEX('04_調査結果'!$AI$5:$AI$404,$AL6))</f>
        <v/>
      </c>
      <c r="W6">
        <f>IF($AL6="","",INDEX('04_調査結果'!$AU$5:$AU$404,$AL6))</f>
        <v/>
      </c>
      <c r="X6" s="37">
        <f>IF($AL6="","",INDEX('04_調査結果'!$AW$5:$AW$404,$AL6))</f>
        <v/>
      </c>
      <c r="Y6" s="37">
        <f>IF($AL6="","",INDEX('04_調査結果'!$AX$5:$AX$404,$AL6))</f>
        <v/>
      </c>
      <c r="Z6">
        <f>IF($AL6="","",INDEX('04_調査結果'!$S$5:$S$404,$AL6)&amp;"")</f>
        <v/>
      </c>
      <c r="AA6">
        <f>IF($AL6="","",INDEX('04_調査結果'!$T$5:$T$404,$AL6))</f>
        <v/>
      </c>
      <c r="AB6">
        <f>IF($AL6="","",INDEX('04_調査結果'!$U$5:$U$404,$AL6))</f>
        <v/>
      </c>
      <c r="AC6">
        <f>IF($AL6="","",INDEX('04_調査結果'!$V$5:$V$404,$AL6))</f>
        <v/>
      </c>
      <c r="AD6">
        <f>IF($AL6="","",INDEX('04_調査結果'!$W$5:$W$404,$AL6))</f>
        <v/>
      </c>
      <c r="AE6">
        <f>IF($AL6="","",INDEX('04_調査結果'!$X$5:$X$404,$AL6))</f>
        <v/>
      </c>
      <c r="AF6">
        <f>IF($AL6="","",INDEX('04_調査結果'!$Y$5:$Y$404,$AL6))</f>
        <v/>
      </c>
      <c r="AG6">
        <f>IF($AL6="","",INDEX('04_調査結果'!$Z$5:$Z$404,$AL6))</f>
        <v/>
      </c>
      <c r="AH6">
        <f>IF($AL6="","",INDEX('04_調査結果'!$AK$5:$AK$404,$AL6))</f>
        <v/>
      </c>
      <c r="AI6">
        <f>IF($AL6="","",INDEX('04_調査結果'!$AH$5:$AH$404,$AL6)&amp;"")</f>
        <v/>
      </c>
      <c r="AJ6">
        <f>IF($AL6="","",INDEX('04_調査結果'!$AA$5:$AA$404,$AL6)&amp;"")</f>
        <v/>
      </c>
      <c r="AK6">
        <f>IF($AL6="","",INDEX('04_調査結果'!$AC$5:$AC$404,$AL6)&amp;"")</f>
        <v/>
      </c>
      <c r="AL6" s="34">
        <f>IFERROR(MATCH(ROW()-4,'04_調査結果'!$AZ$5:$AZ$404,0),"")</f>
        <v/>
      </c>
    </row>
    <row r="7">
      <c r="A7">
        <f>IF($AL7="","",'01_設定'!$C$36)</f>
        <v/>
      </c>
      <c r="B7">
        <f>IF($AL7="","",'01_設定'!$C$5)</f>
        <v/>
      </c>
      <c r="C7">
        <f>IF($AL7="","",'01_設定'!$C$6)</f>
        <v/>
      </c>
      <c r="D7" s="36">
        <f>IF($AL7="","",'01_設定'!$C$22)</f>
        <v/>
      </c>
      <c r="E7" s="36">
        <f>IF($AL7="","",'01_設定'!$C$23)</f>
        <v/>
      </c>
      <c r="F7">
        <f>IF($AL7="","",'01_設定'!$C$32)</f>
        <v/>
      </c>
      <c r="G7">
        <f>IF($AL7="","",ROW()-4)</f>
        <v/>
      </c>
      <c r="H7">
        <f>IF($AL7="","",INDEX('04_調査結果'!$AO$5:$AO$404,$AL7))</f>
        <v/>
      </c>
      <c r="I7">
        <f>IF($AL7="","",IFERROR(INDEX('M2_区分マスタ'!$I$5:$I$10,INDEX('04_調査結果'!$AP$5:$AP$404,$AL7)),""))</f>
        <v/>
      </c>
      <c r="J7">
        <f>IF($AL7="","",INDEX('04_調査結果'!$BE$5:$BE$404,$AL7)&amp;"")</f>
        <v/>
      </c>
      <c r="K7">
        <f>IF($AL7="","",INDEX('04_調査結果'!$F$5:$F$404,$AL7)&amp;"")</f>
        <v/>
      </c>
      <c r="L7">
        <f>IF($AL7="","",INDEX('04_調査結果'!$G$5:$G$404,$AL7)&amp;"")</f>
        <v/>
      </c>
      <c r="M7">
        <f>IF($AL7="","",INDEX('04_調査結果'!$AQ$5:$AQ$404,$AL7)&amp;"")</f>
        <v/>
      </c>
      <c r="N7">
        <f>IF($AL7="","",IFERROR(INDEX('M1_類型マスタ'!$B$5:$B$19,MATCH(M7,'M1_類型マスタ'!$A$5:$A$19,0)),""))</f>
        <v/>
      </c>
      <c r="O7">
        <f>IF($AL7="","",INDEX('04_調査結果'!$I$5:$I$404,$AL7)&amp;"")</f>
        <v/>
      </c>
      <c r="P7">
        <f>IF($AL7="","",INDEX('04_調査結果'!$J$5:$J$404,$AL7)&amp;"")</f>
        <v/>
      </c>
      <c r="Q7">
        <f>IF($AL7="","",INDEX('04_調査結果'!$K$5:$K$404,$AL7)&amp;"")</f>
        <v/>
      </c>
      <c r="R7">
        <f>IF($AL7="","",INDEX('04_調査結果'!$L$5:$L$404,$AL7)&amp;"")</f>
        <v/>
      </c>
      <c r="S7">
        <f>IF($AL7="","",INDEX('04_調査結果'!$M$5:$M$404,$AL7)&amp;"")</f>
        <v/>
      </c>
      <c r="T7" s="33">
        <f>IF($AL7="","",IF(INDEX('04_調査結果'!$AE$5:$AE$404,$AL7)&lt;&gt;"",INDEX('04_調査結果'!$AE$5:$AE$404,$AL7),INDEX('04_調査結果'!$AS$5:$AS$404,$AL7)))</f>
        <v/>
      </c>
      <c r="U7" s="33">
        <f>IF($AL7="","",IF(INDEX('04_調査結果'!$AF$5:$AF$404,$AL7)&lt;&gt;"",INDEX('04_調査結果'!$AF$5:$AF$404,$AL7),INDEX('04_調査結果'!$AT$5:$AT$404,$AL7)))</f>
        <v/>
      </c>
      <c r="V7" s="33">
        <f>IF($AL7="","",INDEX('04_調査結果'!$AI$5:$AI$404,$AL7))</f>
        <v/>
      </c>
      <c r="W7">
        <f>IF($AL7="","",INDEX('04_調査結果'!$AU$5:$AU$404,$AL7))</f>
        <v/>
      </c>
      <c r="X7" s="37">
        <f>IF($AL7="","",INDEX('04_調査結果'!$AW$5:$AW$404,$AL7))</f>
        <v/>
      </c>
      <c r="Y7" s="37">
        <f>IF($AL7="","",INDEX('04_調査結果'!$AX$5:$AX$404,$AL7))</f>
        <v/>
      </c>
      <c r="Z7">
        <f>IF($AL7="","",INDEX('04_調査結果'!$S$5:$S$404,$AL7)&amp;"")</f>
        <v/>
      </c>
      <c r="AA7">
        <f>IF($AL7="","",INDEX('04_調査結果'!$T$5:$T$404,$AL7))</f>
        <v/>
      </c>
      <c r="AB7">
        <f>IF($AL7="","",INDEX('04_調査結果'!$U$5:$U$404,$AL7))</f>
        <v/>
      </c>
      <c r="AC7">
        <f>IF($AL7="","",INDEX('04_調査結果'!$V$5:$V$404,$AL7))</f>
        <v/>
      </c>
      <c r="AD7">
        <f>IF($AL7="","",INDEX('04_調査結果'!$W$5:$W$404,$AL7))</f>
        <v/>
      </c>
      <c r="AE7">
        <f>IF($AL7="","",INDEX('04_調査結果'!$X$5:$X$404,$AL7))</f>
        <v/>
      </c>
      <c r="AF7">
        <f>IF($AL7="","",INDEX('04_調査結果'!$Y$5:$Y$404,$AL7))</f>
        <v/>
      </c>
      <c r="AG7">
        <f>IF($AL7="","",INDEX('04_調査結果'!$Z$5:$Z$404,$AL7))</f>
        <v/>
      </c>
      <c r="AH7">
        <f>IF($AL7="","",INDEX('04_調査結果'!$AK$5:$AK$404,$AL7))</f>
        <v/>
      </c>
      <c r="AI7">
        <f>IF($AL7="","",INDEX('04_調査結果'!$AH$5:$AH$404,$AL7)&amp;"")</f>
        <v/>
      </c>
      <c r="AJ7">
        <f>IF($AL7="","",INDEX('04_調査結果'!$AA$5:$AA$404,$AL7)&amp;"")</f>
        <v/>
      </c>
      <c r="AK7">
        <f>IF($AL7="","",INDEX('04_調査結果'!$AC$5:$AC$404,$AL7)&amp;"")</f>
        <v/>
      </c>
      <c r="AL7" s="34">
        <f>IFERROR(MATCH(ROW()-4,'04_調査結果'!$AZ$5:$AZ$404,0),"")</f>
        <v/>
      </c>
    </row>
    <row r="8">
      <c r="A8">
        <f>IF($AL8="","",'01_設定'!$C$36)</f>
        <v/>
      </c>
      <c r="B8">
        <f>IF($AL8="","",'01_設定'!$C$5)</f>
        <v/>
      </c>
      <c r="C8">
        <f>IF($AL8="","",'01_設定'!$C$6)</f>
        <v/>
      </c>
      <c r="D8" s="36">
        <f>IF($AL8="","",'01_設定'!$C$22)</f>
        <v/>
      </c>
      <c r="E8" s="36">
        <f>IF($AL8="","",'01_設定'!$C$23)</f>
        <v/>
      </c>
      <c r="F8">
        <f>IF($AL8="","",'01_設定'!$C$32)</f>
        <v/>
      </c>
      <c r="G8">
        <f>IF($AL8="","",ROW()-4)</f>
        <v/>
      </c>
      <c r="H8">
        <f>IF($AL8="","",INDEX('04_調査結果'!$AO$5:$AO$404,$AL8))</f>
        <v/>
      </c>
      <c r="I8">
        <f>IF($AL8="","",IFERROR(INDEX('M2_区分マスタ'!$I$5:$I$10,INDEX('04_調査結果'!$AP$5:$AP$404,$AL8)),""))</f>
        <v/>
      </c>
      <c r="J8">
        <f>IF($AL8="","",INDEX('04_調査結果'!$BE$5:$BE$404,$AL8)&amp;"")</f>
        <v/>
      </c>
      <c r="K8">
        <f>IF($AL8="","",INDEX('04_調査結果'!$F$5:$F$404,$AL8)&amp;"")</f>
        <v/>
      </c>
      <c r="L8">
        <f>IF($AL8="","",INDEX('04_調査結果'!$G$5:$G$404,$AL8)&amp;"")</f>
        <v/>
      </c>
      <c r="M8">
        <f>IF($AL8="","",INDEX('04_調査結果'!$AQ$5:$AQ$404,$AL8)&amp;"")</f>
        <v/>
      </c>
      <c r="N8">
        <f>IF($AL8="","",IFERROR(INDEX('M1_類型マスタ'!$B$5:$B$19,MATCH(M8,'M1_類型マスタ'!$A$5:$A$19,0)),""))</f>
        <v/>
      </c>
      <c r="O8">
        <f>IF($AL8="","",INDEX('04_調査結果'!$I$5:$I$404,$AL8)&amp;"")</f>
        <v/>
      </c>
      <c r="P8">
        <f>IF($AL8="","",INDEX('04_調査結果'!$J$5:$J$404,$AL8)&amp;"")</f>
        <v/>
      </c>
      <c r="Q8">
        <f>IF($AL8="","",INDEX('04_調査結果'!$K$5:$K$404,$AL8)&amp;"")</f>
        <v/>
      </c>
      <c r="R8">
        <f>IF($AL8="","",INDEX('04_調査結果'!$L$5:$L$404,$AL8)&amp;"")</f>
        <v/>
      </c>
      <c r="S8">
        <f>IF($AL8="","",INDEX('04_調査結果'!$M$5:$M$404,$AL8)&amp;"")</f>
        <v/>
      </c>
      <c r="T8" s="33">
        <f>IF($AL8="","",IF(INDEX('04_調査結果'!$AE$5:$AE$404,$AL8)&lt;&gt;"",INDEX('04_調査結果'!$AE$5:$AE$404,$AL8),INDEX('04_調査結果'!$AS$5:$AS$404,$AL8)))</f>
        <v/>
      </c>
      <c r="U8" s="33">
        <f>IF($AL8="","",IF(INDEX('04_調査結果'!$AF$5:$AF$404,$AL8)&lt;&gt;"",INDEX('04_調査結果'!$AF$5:$AF$404,$AL8),INDEX('04_調査結果'!$AT$5:$AT$404,$AL8)))</f>
        <v/>
      </c>
      <c r="V8" s="33">
        <f>IF($AL8="","",INDEX('04_調査結果'!$AI$5:$AI$404,$AL8))</f>
        <v/>
      </c>
      <c r="W8">
        <f>IF($AL8="","",INDEX('04_調査結果'!$AU$5:$AU$404,$AL8))</f>
        <v/>
      </c>
      <c r="X8" s="37">
        <f>IF($AL8="","",INDEX('04_調査結果'!$AW$5:$AW$404,$AL8))</f>
        <v/>
      </c>
      <c r="Y8" s="37">
        <f>IF($AL8="","",INDEX('04_調査結果'!$AX$5:$AX$404,$AL8))</f>
        <v/>
      </c>
      <c r="Z8">
        <f>IF($AL8="","",INDEX('04_調査結果'!$S$5:$S$404,$AL8)&amp;"")</f>
        <v/>
      </c>
      <c r="AA8">
        <f>IF($AL8="","",INDEX('04_調査結果'!$T$5:$T$404,$AL8))</f>
        <v/>
      </c>
      <c r="AB8">
        <f>IF($AL8="","",INDEX('04_調査結果'!$U$5:$U$404,$AL8))</f>
        <v/>
      </c>
      <c r="AC8">
        <f>IF($AL8="","",INDEX('04_調査結果'!$V$5:$V$404,$AL8))</f>
        <v/>
      </c>
      <c r="AD8">
        <f>IF($AL8="","",INDEX('04_調査結果'!$W$5:$W$404,$AL8))</f>
        <v/>
      </c>
      <c r="AE8">
        <f>IF($AL8="","",INDEX('04_調査結果'!$X$5:$X$404,$AL8))</f>
        <v/>
      </c>
      <c r="AF8">
        <f>IF($AL8="","",INDEX('04_調査結果'!$Y$5:$Y$404,$AL8))</f>
        <v/>
      </c>
      <c r="AG8">
        <f>IF($AL8="","",INDEX('04_調査結果'!$Z$5:$Z$404,$AL8))</f>
        <v/>
      </c>
      <c r="AH8">
        <f>IF($AL8="","",INDEX('04_調査結果'!$AK$5:$AK$404,$AL8))</f>
        <v/>
      </c>
      <c r="AI8">
        <f>IF($AL8="","",INDEX('04_調査結果'!$AH$5:$AH$404,$AL8)&amp;"")</f>
        <v/>
      </c>
      <c r="AJ8">
        <f>IF($AL8="","",INDEX('04_調査結果'!$AA$5:$AA$404,$AL8)&amp;"")</f>
        <v/>
      </c>
      <c r="AK8">
        <f>IF($AL8="","",INDEX('04_調査結果'!$AC$5:$AC$404,$AL8)&amp;"")</f>
        <v/>
      </c>
      <c r="AL8" s="34">
        <f>IFERROR(MATCH(ROW()-4,'04_調査結果'!$AZ$5:$AZ$404,0),"")</f>
        <v/>
      </c>
    </row>
    <row r="9">
      <c r="A9">
        <f>IF($AL9="","",'01_設定'!$C$36)</f>
        <v/>
      </c>
      <c r="B9">
        <f>IF($AL9="","",'01_設定'!$C$5)</f>
        <v/>
      </c>
      <c r="C9">
        <f>IF($AL9="","",'01_設定'!$C$6)</f>
        <v/>
      </c>
      <c r="D9" s="36">
        <f>IF($AL9="","",'01_設定'!$C$22)</f>
        <v/>
      </c>
      <c r="E9" s="36">
        <f>IF($AL9="","",'01_設定'!$C$23)</f>
        <v/>
      </c>
      <c r="F9">
        <f>IF($AL9="","",'01_設定'!$C$32)</f>
        <v/>
      </c>
      <c r="G9">
        <f>IF($AL9="","",ROW()-4)</f>
        <v/>
      </c>
      <c r="H9">
        <f>IF($AL9="","",INDEX('04_調査結果'!$AO$5:$AO$404,$AL9))</f>
        <v/>
      </c>
      <c r="I9">
        <f>IF($AL9="","",IFERROR(INDEX('M2_区分マスタ'!$I$5:$I$10,INDEX('04_調査結果'!$AP$5:$AP$404,$AL9)),""))</f>
        <v/>
      </c>
      <c r="J9">
        <f>IF($AL9="","",INDEX('04_調査結果'!$BE$5:$BE$404,$AL9)&amp;"")</f>
        <v/>
      </c>
      <c r="K9">
        <f>IF($AL9="","",INDEX('04_調査結果'!$F$5:$F$404,$AL9)&amp;"")</f>
        <v/>
      </c>
      <c r="L9">
        <f>IF($AL9="","",INDEX('04_調査結果'!$G$5:$G$404,$AL9)&amp;"")</f>
        <v/>
      </c>
      <c r="M9">
        <f>IF($AL9="","",INDEX('04_調査結果'!$AQ$5:$AQ$404,$AL9)&amp;"")</f>
        <v/>
      </c>
      <c r="N9">
        <f>IF($AL9="","",IFERROR(INDEX('M1_類型マスタ'!$B$5:$B$19,MATCH(M9,'M1_類型マスタ'!$A$5:$A$19,0)),""))</f>
        <v/>
      </c>
      <c r="O9">
        <f>IF($AL9="","",INDEX('04_調査結果'!$I$5:$I$404,$AL9)&amp;"")</f>
        <v/>
      </c>
      <c r="P9">
        <f>IF($AL9="","",INDEX('04_調査結果'!$J$5:$J$404,$AL9)&amp;"")</f>
        <v/>
      </c>
      <c r="Q9">
        <f>IF($AL9="","",INDEX('04_調査結果'!$K$5:$K$404,$AL9)&amp;"")</f>
        <v/>
      </c>
      <c r="R9">
        <f>IF($AL9="","",INDEX('04_調査結果'!$L$5:$L$404,$AL9)&amp;"")</f>
        <v/>
      </c>
      <c r="S9">
        <f>IF($AL9="","",INDEX('04_調査結果'!$M$5:$M$404,$AL9)&amp;"")</f>
        <v/>
      </c>
      <c r="T9" s="33">
        <f>IF($AL9="","",IF(INDEX('04_調査結果'!$AE$5:$AE$404,$AL9)&lt;&gt;"",INDEX('04_調査結果'!$AE$5:$AE$404,$AL9),INDEX('04_調査結果'!$AS$5:$AS$404,$AL9)))</f>
        <v/>
      </c>
      <c r="U9" s="33">
        <f>IF($AL9="","",IF(INDEX('04_調査結果'!$AF$5:$AF$404,$AL9)&lt;&gt;"",INDEX('04_調査結果'!$AF$5:$AF$404,$AL9),INDEX('04_調査結果'!$AT$5:$AT$404,$AL9)))</f>
        <v/>
      </c>
      <c r="V9" s="33">
        <f>IF($AL9="","",INDEX('04_調査結果'!$AI$5:$AI$404,$AL9))</f>
        <v/>
      </c>
      <c r="W9">
        <f>IF($AL9="","",INDEX('04_調査結果'!$AU$5:$AU$404,$AL9))</f>
        <v/>
      </c>
      <c r="X9" s="37">
        <f>IF($AL9="","",INDEX('04_調査結果'!$AW$5:$AW$404,$AL9))</f>
        <v/>
      </c>
      <c r="Y9" s="37">
        <f>IF($AL9="","",INDEX('04_調査結果'!$AX$5:$AX$404,$AL9))</f>
        <v/>
      </c>
      <c r="Z9">
        <f>IF($AL9="","",INDEX('04_調査結果'!$S$5:$S$404,$AL9)&amp;"")</f>
        <v/>
      </c>
      <c r="AA9">
        <f>IF($AL9="","",INDEX('04_調査結果'!$T$5:$T$404,$AL9))</f>
        <v/>
      </c>
      <c r="AB9">
        <f>IF($AL9="","",INDEX('04_調査結果'!$U$5:$U$404,$AL9))</f>
        <v/>
      </c>
      <c r="AC9">
        <f>IF($AL9="","",INDEX('04_調査結果'!$V$5:$V$404,$AL9))</f>
        <v/>
      </c>
      <c r="AD9">
        <f>IF($AL9="","",INDEX('04_調査結果'!$W$5:$W$404,$AL9))</f>
        <v/>
      </c>
      <c r="AE9">
        <f>IF($AL9="","",INDEX('04_調査結果'!$X$5:$X$404,$AL9))</f>
        <v/>
      </c>
      <c r="AF9">
        <f>IF($AL9="","",INDEX('04_調査結果'!$Y$5:$Y$404,$AL9))</f>
        <v/>
      </c>
      <c r="AG9">
        <f>IF($AL9="","",INDEX('04_調査結果'!$Z$5:$Z$404,$AL9))</f>
        <v/>
      </c>
      <c r="AH9">
        <f>IF($AL9="","",INDEX('04_調査結果'!$AK$5:$AK$404,$AL9))</f>
        <v/>
      </c>
      <c r="AI9">
        <f>IF($AL9="","",INDEX('04_調査結果'!$AH$5:$AH$404,$AL9)&amp;"")</f>
        <v/>
      </c>
      <c r="AJ9">
        <f>IF($AL9="","",INDEX('04_調査結果'!$AA$5:$AA$404,$AL9)&amp;"")</f>
        <v/>
      </c>
      <c r="AK9">
        <f>IF($AL9="","",INDEX('04_調査結果'!$AC$5:$AC$404,$AL9)&amp;"")</f>
        <v/>
      </c>
      <c r="AL9" s="34">
        <f>IFERROR(MATCH(ROW()-4,'04_調査結果'!$AZ$5:$AZ$404,0),"")</f>
        <v/>
      </c>
    </row>
    <row r="10">
      <c r="A10">
        <f>IF($AL10="","",'01_設定'!$C$36)</f>
        <v/>
      </c>
      <c r="B10">
        <f>IF($AL10="","",'01_設定'!$C$5)</f>
        <v/>
      </c>
      <c r="C10">
        <f>IF($AL10="","",'01_設定'!$C$6)</f>
        <v/>
      </c>
      <c r="D10" s="36">
        <f>IF($AL10="","",'01_設定'!$C$22)</f>
        <v/>
      </c>
      <c r="E10" s="36">
        <f>IF($AL10="","",'01_設定'!$C$23)</f>
        <v/>
      </c>
      <c r="F10">
        <f>IF($AL10="","",'01_設定'!$C$32)</f>
        <v/>
      </c>
      <c r="G10">
        <f>IF($AL10="","",ROW()-4)</f>
        <v/>
      </c>
      <c r="H10">
        <f>IF($AL10="","",INDEX('04_調査結果'!$AO$5:$AO$404,$AL10))</f>
        <v/>
      </c>
      <c r="I10">
        <f>IF($AL10="","",IFERROR(INDEX('M2_区分マスタ'!$I$5:$I$10,INDEX('04_調査結果'!$AP$5:$AP$404,$AL10)),""))</f>
        <v/>
      </c>
      <c r="J10">
        <f>IF($AL10="","",INDEX('04_調査結果'!$BE$5:$BE$404,$AL10)&amp;"")</f>
        <v/>
      </c>
      <c r="K10">
        <f>IF($AL10="","",INDEX('04_調査結果'!$F$5:$F$404,$AL10)&amp;"")</f>
        <v/>
      </c>
      <c r="L10">
        <f>IF($AL10="","",INDEX('04_調査結果'!$G$5:$G$404,$AL10)&amp;"")</f>
        <v/>
      </c>
      <c r="M10">
        <f>IF($AL10="","",INDEX('04_調査結果'!$AQ$5:$AQ$404,$AL10)&amp;"")</f>
        <v/>
      </c>
      <c r="N10">
        <f>IF($AL10="","",IFERROR(INDEX('M1_類型マスタ'!$B$5:$B$19,MATCH(M10,'M1_類型マスタ'!$A$5:$A$19,0)),""))</f>
        <v/>
      </c>
      <c r="O10">
        <f>IF($AL10="","",INDEX('04_調査結果'!$I$5:$I$404,$AL10)&amp;"")</f>
        <v/>
      </c>
      <c r="P10">
        <f>IF($AL10="","",INDEX('04_調査結果'!$J$5:$J$404,$AL10)&amp;"")</f>
        <v/>
      </c>
      <c r="Q10">
        <f>IF($AL10="","",INDEX('04_調査結果'!$K$5:$K$404,$AL10)&amp;"")</f>
        <v/>
      </c>
      <c r="R10">
        <f>IF($AL10="","",INDEX('04_調査結果'!$L$5:$L$404,$AL10)&amp;"")</f>
        <v/>
      </c>
      <c r="S10">
        <f>IF($AL10="","",INDEX('04_調査結果'!$M$5:$M$404,$AL10)&amp;"")</f>
        <v/>
      </c>
      <c r="T10" s="33">
        <f>IF($AL10="","",IF(INDEX('04_調査結果'!$AE$5:$AE$404,$AL10)&lt;&gt;"",INDEX('04_調査結果'!$AE$5:$AE$404,$AL10),INDEX('04_調査結果'!$AS$5:$AS$404,$AL10)))</f>
        <v/>
      </c>
      <c r="U10" s="33">
        <f>IF($AL10="","",IF(INDEX('04_調査結果'!$AF$5:$AF$404,$AL10)&lt;&gt;"",INDEX('04_調査結果'!$AF$5:$AF$404,$AL10),INDEX('04_調査結果'!$AT$5:$AT$404,$AL10)))</f>
        <v/>
      </c>
      <c r="V10" s="33">
        <f>IF($AL10="","",INDEX('04_調査結果'!$AI$5:$AI$404,$AL10))</f>
        <v/>
      </c>
      <c r="W10">
        <f>IF($AL10="","",INDEX('04_調査結果'!$AU$5:$AU$404,$AL10))</f>
        <v/>
      </c>
      <c r="X10" s="37">
        <f>IF($AL10="","",INDEX('04_調査結果'!$AW$5:$AW$404,$AL10))</f>
        <v/>
      </c>
      <c r="Y10" s="37">
        <f>IF($AL10="","",INDEX('04_調査結果'!$AX$5:$AX$404,$AL10))</f>
        <v/>
      </c>
      <c r="Z10">
        <f>IF($AL10="","",INDEX('04_調査結果'!$S$5:$S$404,$AL10)&amp;"")</f>
        <v/>
      </c>
      <c r="AA10">
        <f>IF($AL10="","",INDEX('04_調査結果'!$T$5:$T$404,$AL10))</f>
        <v/>
      </c>
      <c r="AB10">
        <f>IF($AL10="","",INDEX('04_調査結果'!$U$5:$U$404,$AL10))</f>
        <v/>
      </c>
      <c r="AC10">
        <f>IF($AL10="","",INDEX('04_調査結果'!$V$5:$V$404,$AL10))</f>
        <v/>
      </c>
      <c r="AD10">
        <f>IF($AL10="","",INDEX('04_調査結果'!$W$5:$W$404,$AL10))</f>
        <v/>
      </c>
      <c r="AE10">
        <f>IF($AL10="","",INDEX('04_調査結果'!$X$5:$X$404,$AL10))</f>
        <v/>
      </c>
      <c r="AF10">
        <f>IF($AL10="","",INDEX('04_調査結果'!$Y$5:$Y$404,$AL10))</f>
        <v/>
      </c>
      <c r="AG10">
        <f>IF($AL10="","",INDEX('04_調査結果'!$Z$5:$Z$404,$AL10))</f>
        <v/>
      </c>
      <c r="AH10">
        <f>IF($AL10="","",INDEX('04_調査結果'!$AK$5:$AK$404,$AL10))</f>
        <v/>
      </c>
      <c r="AI10">
        <f>IF($AL10="","",INDEX('04_調査結果'!$AH$5:$AH$404,$AL10)&amp;"")</f>
        <v/>
      </c>
      <c r="AJ10">
        <f>IF($AL10="","",INDEX('04_調査結果'!$AA$5:$AA$404,$AL10)&amp;"")</f>
        <v/>
      </c>
      <c r="AK10">
        <f>IF($AL10="","",INDEX('04_調査結果'!$AC$5:$AC$404,$AL10)&amp;"")</f>
        <v/>
      </c>
      <c r="AL10" s="34">
        <f>IFERROR(MATCH(ROW()-4,'04_調査結果'!$AZ$5:$AZ$404,0),"")</f>
        <v/>
      </c>
    </row>
    <row r="11">
      <c r="A11">
        <f>IF($AL11="","",'01_設定'!$C$36)</f>
        <v/>
      </c>
      <c r="B11">
        <f>IF($AL11="","",'01_設定'!$C$5)</f>
        <v/>
      </c>
      <c r="C11">
        <f>IF($AL11="","",'01_設定'!$C$6)</f>
        <v/>
      </c>
      <c r="D11" s="36">
        <f>IF($AL11="","",'01_設定'!$C$22)</f>
        <v/>
      </c>
      <c r="E11" s="36">
        <f>IF($AL11="","",'01_設定'!$C$23)</f>
        <v/>
      </c>
      <c r="F11">
        <f>IF($AL11="","",'01_設定'!$C$32)</f>
        <v/>
      </c>
      <c r="G11">
        <f>IF($AL11="","",ROW()-4)</f>
        <v/>
      </c>
      <c r="H11">
        <f>IF($AL11="","",INDEX('04_調査結果'!$AO$5:$AO$404,$AL11))</f>
        <v/>
      </c>
      <c r="I11">
        <f>IF($AL11="","",IFERROR(INDEX('M2_区分マスタ'!$I$5:$I$10,INDEX('04_調査結果'!$AP$5:$AP$404,$AL11)),""))</f>
        <v/>
      </c>
      <c r="J11">
        <f>IF($AL11="","",INDEX('04_調査結果'!$BE$5:$BE$404,$AL11)&amp;"")</f>
        <v/>
      </c>
      <c r="K11">
        <f>IF($AL11="","",INDEX('04_調査結果'!$F$5:$F$404,$AL11)&amp;"")</f>
        <v/>
      </c>
      <c r="L11">
        <f>IF($AL11="","",INDEX('04_調査結果'!$G$5:$G$404,$AL11)&amp;"")</f>
        <v/>
      </c>
      <c r="M11">
        <f>IF($AL11="","",INDEX('04_調査結果'!$AQ$5:$AQ$404,$AL11)&amp;"")</f>
        <v/>
      </c>
      <c r="N11">
        <f>IF($AL11="","",IFERROR(INDEX('M1_類型マスタ'!$B$5:$B$19,MATCH(M11,'M1_類型マスタ'!$A$5:$A$19,0)),""))</f>
        <v/>
      </c>
      <c r="O11">
        <f>IF($AL11="","",INDEX('04_調査結果'!$I$5:$I$404,$AL11)&amp;"")</f>
        <v/>
      </c>
      <c r="P11">
        <f>IF($AL11="","",INDEX('04_調査結果'!$J$5:$J$404,$AL11)&amp;"")</f>
        <v/>
      </c>
      <c r="Q11">
        <f>IF($AL11="","",INDEX('04_調査結果'!$K$5:$K$404,$AL11)&amp;"")</f>
        <v/>
      </c>
      <c r="R11">
        <f>IF($AL11="","",INDEX('04_調査結果'!$L$5:$L$404,$AL11)&amp;"")</f>
        <v/>
      </c>
      <c r="S11">
        <f>IF($AL11="","",INDEX('04_調査結果'!$M$5:$M$404,$AL11)&amp;"")</f>
        <v/>
      </c>
      <c r="T11" s="33">
        <f>IF($AL11="","",IF(INDEX('04_調査結果'!$AE$5:$AE$404,$AL11)&lt;&gt;"",INDEX('04_調査結果'!$AE$5:$AE$404,$AL11),INDEX('04_調査結果'!$AS$5:$AS$404,$AL11)))</f>
        <v/>
      </c>
      <c r="U11" s="33">
        <f>IF($AL11="","",IF(INDEX('04_調査結果'!$AF$5:$AF$404,$AL11)&lt;&gt;"",INDEX('04_調査結果'!$AF$5:$AF$404,$AL11),INDEX('04_調査結果'!$AT$5:$AT$404,$AL11)))</f>
        <v/>
      </c>
      <c r="V11" s="33">
        <f>IF($AL11="","",INDEX('04_調査結果'!$AI$5:$AI$404,$AL11))</f>
        <v/>
      </c>
      <c r="W11">
        <f>IF($AL11="","",INDEX('04_調査結果'!$AU$5:$AU$404,$AL11))</f>
        <v/>
      </c>
      <c r="X11" s="37">
        <f>IF($AL11="","",INDEX('04_調査結果'!$AW$5:$AW$404,$AL11))</f>
        <v/>
      </c>
      <c r="Y11" s="37">
        <f>IF($AL11="","",INDEX('04_調査結果'!$AX$5:$AX$404,$AL11))</f>
        <v/>
      </c>
      <c r="Z11">
        <f>IF($AL11="","",INDEX('04_調査結果'!$S$5:$S$404,$AL11)&amp;"")</f>
        <v/>
      </c>
      <c r="AA11">
        <f>IF($AL11="","",INDEX('04_調査結果'!$T$5:$T$404,$AL11))</f>
        <v/>
      </c>
      <c r="AB11">
        <f>IF($AL11="","",INDEX('04_調査結果'!$U$5:$U$404,$AL11))</f>
        <v/>
      </c>
      <c r="AC11">
        <f>IF($AL11="","",INDEX('04_調査結果'!$V$5:$V$404,$AL11))</f>
        <v/>
      </c>
      <c r="AD11">
        <f>IF($AL11="","",INDEX('04_調査結果'!$W$5:$W$404,$AL11))</f>
        <v/>
      </c>
      <c r="AE11">
        <f>IF($AL11="","",INDEX('04_調査結果'!$X$5:$X$404,$AL11))</f>
        <v/>
      </c>
      <c r="AF11">
        <f>IF($AL11="","",INDEX('04_調査結果'!$Y$5:$Y$404,$AL11))</f>
        <v/>
      </c>
      <c r="AG11">
        <f>IF($AL11="","",INDEX('04_調査結果'!$Z$5:$Z$404,$AL11))</f>
        <v/>
      </c>
      <c r="AH11">
        <f>IF($AL11="","",INDEX('04_調査結果'!$AK$5:$AK$404,$AL11))</f>
        <v/>
      </c>
      <c r="AI11">
        <f>IF($AL11="","",INDEX('04_調査結果'!$AH$5:$AH$404,$AL11)&amp;"")</f>
        <v/>
      </c>
      <c r="AJ11">
        <f>IF($AL11="","",INDEX('04_調査結果'!$AA$5:$AA$404,$AL11)&amp;"")</f>
        <v/>
      </c>
      <c r="AK11">
        <f>IF($AL11="","",INDEX('04_調査結果'!$AC$5:$AC$404,$AL11)&amp;"")</f>
        <v/>
      </c>
      <c r="AL11" s="34">
        <f>IFERROR(MATCH(ROW()-4,'04_調査結果'!$AZ$5:$AZ$404,0),"")</f>
        <v/>
      </c>
    </row>
    <row r="12">
      <c r="A12">
        <f>IF($AL12="","",'01_設定'!$C$36)</f>
        <v/>
      </c>
      <c r="B12">
        <f>IF($AL12="","",'01_設定'!$C$5)</f>
        <v/>
      </c>
      <c r="C12">
        <f>IF($AL12="","",'01_設定'!$C$6)</f>
        <v/>
      </c>
      <c r="D12" s="36">
        <f>IF($AL12="","",'01_設定'!$C$22)</f>
        <v/>
      </c>
      <c r="E12" s="36">
        <f>IF($AL12="","",'01_設定'!$C$23)</f>
        <v/>
      </c>
      <c r="F12">
        <f>IF($AL12="","",'01_設定'!$C$32)</f>
        <v/>
      </c>
      <c r="G12">
        <f>IF($AL12="","",ROW()-4)</f>
        <v/>
      </c>
      <c r="H12">
        <f>IF($AL12="","",INDEX('04_調査結果'!$AO$5:$AO$404,$AL12))</f>
        <v/>
      </c>
      <c r="I12">
        <f>IF($AL12="","",IFERROR(INDEX('M2_区分マスタ'!$I$5:$I$10,INDEX('04_調査結果'!$AP$5:$AP$404,$AL12)),""))</f>
        <v/>
      </c>
      <c r="J12">
        <f>IF($AL12="","",INDEX('04_調査結果'!$BE$5:$BE$404,$AL12)&amp;"")</f>
        <v/>
      </c>
      <c r="K12">
        <f>IF($AL12="","",INDEX('04_調査結果'!$F$5:$F$404,$AL12)&amp;"")</f>
        <v/>
      </c>
      <c r="L12">
        <f>IF($AL12="","",INDEX('04_調査結果'!$G$5:$G$404,$AL12)&amp;"")</f>
        <v/>
      </c>
      <c r="M12">
        <f>IF($AL12="","",INDEX('04_調査結果'!$AQ$5:$AQ$404,$AL12)&amp;"")</f>
        <v/>
      </c>
      <c r="N12">
        <f>IF($AL12="","",IFERROR(INDEX('M1_類型マスタ'!$B$5:$B$19,MATCH(M12,'M1_類型マスタ'!$A$5:$A$19,0)),""))</f>
        <v/>
      </c>
      <c r="O12">
        <f>IF($AL12="","",INDEX('04_調査結果'!$I$5:$I$404,$AL12)&amp;"")</f>
        <v/>
      </c>
      <c r="P12">
        <f>IF($AL12="","",INDEX('04_調査結果'!$J$5:$J$404,$AL12)&amp;"")</f>
        <v/>
      </c>
      <c r="Q12">
        <f>IF($AL12="","",INDEX('04_調査結果'!$K$5:$K$404,$AL12)&amp;"")</f>
        <v/>
      </c>
      <c r="R12">
        <f>IF($AL12="","",INDEX('04_調査結果'!$L$5:$L$404,$AL12)&amp;"")</f>
        <v/>
      </c>
      <c r="S12">
        <f>IF($AL12="","",INDEX('04_調査結果'!$M$5:$M$404,$AL12)&amp;"")</f>
        <v/>
      </c>
      <c r="T12" s="33">
        <f>IF($AL12="","",IF(INDEX('04_調査結果'!$AE$5:$AE$404,$AL12)&lt;&gt;"",INDEX('04_調査結果'!$AE$5:$AE$404,$AL12),INDEX('04_調査結果'!$AS$5:$AS$404,$AL12)))</f>
        <v/>
      </c>
      <c r="U12" s="33">
        <f>IF($AL12="","",IF(INDEX('04_調査結果'!$AF$5:$AF$404,$AL12)&lt;&gt;"",INDEX('04_調査結果'!$AF$5:$AF$404,$AL12),INDEX('04_調査結果'!$AT$5:$AT$404,$AL12)))</f>
        <v/>
      </c>
      <c r="V12" s="33">
        <f>IF($AL12="","",INDEX('04_調査結果'!$AI$5:$AI$404,$AL12))</f>
        <v/>
      </c>
      <c r="W12">
        <f>IF($AL12="","",INDEX('04_調査結果'!$AU$5:$AU$404,$AL12))</f>
        <v/>
      </c>
      <c r="X12" s="37">
        <f>IF($AL12="","",INDEX('04_調査結果'!$AW$5:$AW$404,$AL12))</f>
        <v/>
      </c>
      <c r="Y12" s="37">
        <f>IF($AL12="","",INDEX('04_調査結果'!$AX$5:$AX$404,$AL12))</f>
        <v/>
      </c>
      <c r="Z12">
        <f>IF($AL12="","",INDEX('04_調査結果'!$S$5:$S$404,$AL12)&amp;"")</f>
        <v/>
      </c>
      <c r="AA12">
        <f>IF($AL12="","",INDEX('04_調査結果'!$T$5:$T$404,$AL12))</f>
        <v/>
      </c>
      <c r="AB12">
        <f>IF($AL12="","",INDEX('04_調査結果'!$U$5:$U$404,$AL12))</f>
        <v/>
      </c>
      <c r="AC12">
        <f>IF($AL12="","",INDEX('04_調査結果'!$V$5:$V$404,$AL12))</f>
        <v/>
      </c>
      <c r="AD12">
        <f>IF($AL12="","",INDEX('04_調査結果'!$W$5:$W$404,$AL12))</f>
        <v/>
      </c>
      <c r="AE12">
        <f>IF($AL12="","",INDEX('04_調査結果'!$X$5:$X$404,$AL12))</f>
        <v/>
      </c>
      <c r="AF12">
        <f>IF($AL12="","",INDEX('04_調査結果'!$Y$5:$Y$404,$AL12))</f>
        <v/>
      </c>
      <c r="AG12">
        <f>IF($AL12="","",INDEX('04_調査結果'!$Z$5:$Z$404,$AL12))</f>
        <v/>
      </c>
      <c r="AH12">
        <f>IF($AL12="","",INDEX('04_調査結果'!$AK$5:$AK$404,$AL12))</f>
        <v/>
      </c>
      <c r="AI12">
        <f>IF($AL12="","",INDEX('04_調査結果'!$AH$5:$AH$404,$AL12)&amp;"")</f>
        <v/>
      </c>
      <c r="AJ12">
        <f>IF($AL12="","",INDEX('04_調査結果'!$AA$5:$AA$404,$AL12)&amp;"")</f>
        <v/>
      </c>
      <c r="AK12">
        <f>IF($AL12="","",INDEX('04_調査結果'!$AC$5:$AC$404,$AL12)&amp;"")</f>
        <v/>
      </c>
      <c r="AL12" s="34">
        <f>IFERROR(MATCH(ROW()-4,'04_調査結果'!$AZ$5:$AZ$404,0),"")</f>
        <v/>
      </c>
    </row>
    <row r="13">
      <c r="A13">
        <f>IF($AL13="","",'01_設定'!$C$36)</f>
        <v/>
      </c>
      <c r="B13">
        <f>IF($AL13="","",'01_設定'!$C$5)</f>
        <v/>
      </c>
      <c r="C13">
        <f>IF($AL13="","",'01_設定'!$C$6)</f>
        <v/>
      </c>
      <c r="D13" s="36">
        <f>IF($AL13="","",'01_設定'!$C$22)</f>
        <v/>
      </c>
      <c r="E13" s="36">
        <f>IF($AL13="","",'01_設定'!$C$23)</f>
        <v/>
      </c>
      <c r="F13">
        <f>IF($AL13="","",'01_設定'!$C$32)</f>
        <v/>
      </c>
      <c r="G13">
        <f>IF($AL13="","",ROW()-4)</f>
        <v/>
      </c>
      <c r="H13">
        <f>IF($AL13="","",INDEX('04_調査結果'!$AO$5:$AO$404,$AL13))</f>
        <v/>
      </c>
      <c r="I13">
        <f>IF($AL13="","",IFERROR(INDEX('M2_区分マスタ'!$I$5:$I$10,INDEX('04_調査結果'!$AP$5:$AP$404,$AL13)),""))</f>
        <v/>
      </c>
      <c r="J13">
        <f>IF($AL13="","",INDEX('04_調査結果'!$BE$5:$BE$404,$AL13)&amp;"")</f>
        <v/>
      </c>
      <c r="K13">
        <f>IF($AL13="","",INDEX('04_調査結果'!$F$5:$F$404,$AL13)&amp;"")</f>
        <v/>
      </c>
      <c r="L13">
        <f>IF($AL13="","",INDEX('04_調査結果'!$G$5:$G$404,$AL13)&amp;"")</f>
        <v/>
      </c>
      <c r="M13">
        <f>IF($AL13="","",INDEX('04_調査結果'!$AQ$5:$AQ$404,$AL13)&amp;"")</f>
        <v/>
      </c>
      <c r="N13">
        <f>IF($AL13="","",IFERROR(INDEX('M1_類型マスタ'!$B$5:$B$19,MATCH(M13,'M1_類型マスタ'!$A$5:$A$19,0)),""))</f>
        <v/>
      </c>
      <c r="O13">
        <f>IF($AL13="","",INDEX('04_調査結果'!$I$5:$I$404,$AL13)&amp;"")</f>
        <v/>
      </c>
      <c r="P13">
        <f>IF($AL13="","",INDEX('04_調査結果'!$J$5:$J$404,$AL13)&amp;"")</f>
        <v/>
      </c>
      <c r="Q13">
        <f>IF($AL13="","",INDEX('04_調査結果'!$K$5:$K$404,$AL13)&amp;"")</f>
        <v/>
      </c>
      <c r="R13">
        <f>IF($AL13="","",INDEX('04_調査結果'!$L$5:$L$404,$AL13)&amp;"")</f>
        <v/>
      </c>
      <c r="S13">
        <f>IF($AL13="","",INDEX('04_調査結果'!$M$5:$M$404,$AL13)&amp;"")</f>
        <v/>
      </c>
      <c r="T13" s="33">
        <f>IF($AL13="","",IF(INDEX('04_調査結果'!$AE$5:$AE$404,$AL13)&lt;&gt;"",INDEX('04_調査結果'!$AE$5:$AE$404,$AL13),INDEX('04_調査結果'!$AS$5:$AS$404,$AL13)))</f>
        <v/>
      </c>
      <c r="U13" s="33">
        <f>IF($AL13="","",IF(INDEX('04_調査結果'!$AF$5:$AF$404,$AL13)&lt;&gt;"",INDEX('04_調査結果'!$AF$5:$AF$404,$AL13),INDEX('04_調査結果'!$AT$5:$AT$404,$AL13)))</f>
        <v/>
      </c>
      <c r="V13" s="33">
        <f>IF($AL13="","",INDEX('04_調査結果'!$AI$5:$AI$404,$AL13))</f>
        <v/>
      </c>
      <c r="W13">
        <f>IF($AL13="","",INDEX('04_調査結果'!$AU$5:$AU$404,$AL13))</f>
        <v/>
      </c>
      <c r="X13" s="37">
        <f>IF($AL13="","",INDEX('04_調査結果'!$AW$5:$AW$404,$AL13))</f>
        <v/>
      </c>
      <c r="Y13" s="37">
        <f>IF($AL13="","",INDEX('04_調査結果'!$AX$5:$AX$404,$AL13))</f>
        <v/>
      </c>
      <c r="Z13">
        <f>IF($AL13="","",INDEX('04_調査結果'!$S$5:$S$404,$AL13)&amp;"")</f>
        <v/>
      </c>
      <c r="AA13">
        <f>IF($AL13="","",INDEX('04_調査結果'!$T$5:$T$404,$AL13))</f>
        <v/>
      </c>
      <c r="AB13">
        <f>IF($AL13="","",INDEX('04_調査結果'!$U$5:$U$404,$AL13))</f>
        <v/>
      </c>
      <c r="AC13">
        <f>IF($AL13="","",INDEX('04_調査結果'!$V$5:$V$404,$AL13))</f>
        <v/>
      </c>
      <c r="AD13">
        <f>IF($AL13="","",INDEX('04_調査結果'!$W$5:$W$404,$AL13))</f>
        <v/>
      </c>
      <c r="AE13">
        <f>IF($AL13="","",INDEX('04_調査結果'!$X$5:$X$404,$AL13))</f>
        <v/>
      </c>
      <c r="AF13">
        <f>IF($AL13="","",INDEX('04_調査結果'!$Y$5:$Y$404,$AL13))</f>
        <v/>
      </c>
      <c r="AG13">
        <f>IF($AL13="","",INDEX('04_調査結果'!$Z$5:$Z$404,$AL13))</f>
        <v/>
      </c>
      <c r="AH13">
        <f>IF($AL13="","",INDEX('04_調査結果'!$AK$5:$AK$404,$AL13))</f>
        <v/>
      </c>
      <c r="AI13">
        <f>IF($AL13="","",INDEX('04_調査結果'!$AH$5:$AH$404,$AL13)&amp;"")</f>
        <v/>
      </c>
      <c r="AJ13">
        <f>IF($AL13="","",INDEX('04_調査結果'!$AA$5:$AA$404,$AL13)&amp;"")</f>
        <v/>
      </c>
      <c r="AK13">
        <f>IF($AL13="","",INDEX('04_調査結果'!$AC$5:$AC$404,$AL13)&amp;"")</f>
        <v/>
      </c>
      <c r="AL13" s="34">
        <f>IFERROR(MATCH(ROW()-4,'04_調査結果'!$AZ$5:$AZ$404,0),"")</f>
        <v/>
      </c>
    </row>
    <row r="14">
      <c r="A14">
        <f>IF($AL14="","",'01_設定'!$C$36)</f>
        <v/>
      </c>
      <c r="B14">
        <f>IF($AL14="","",'01_設定'!$C$5)</f>
        <v/>
      </c>
      <c r="C14">
        <f>IF($AL14="","",'01_設定'!$C$6)</f>
        <v/>
      </c>
      <c r="D14" s="36">
        <f>IF($AL14="","",'01_設定'!$C$22)</f>
        <v/>
      </c>
      <c r="E14" s="36">
        <f>IF($AL14="","",'01_設定'!$C$23)</f>
        <v/>
      </c>
      <c r="F14">
        <f>IF($AL14="","",'01_設定'!$C$32)</f>
        <v/>
      </c>
      <c r="G14">
        <f>IF($AL14="","",ROW()-4)</f>
        <v/>
      </c>
      <c r="H14">
        <f>IF($AL14="","",INDEX('04_調査結果'!$AO$5:$AO$404,$AL14))</f>
        <v/>
      </c>
      <c r="I14">
        <f>IF($AL14="","",IFERROR(INDEX('M2_区分マスタ'!$I$5:$I$10,INDEX('04_調査結果'!$AP$5:$AP$404,$AL14)),""))</f>
        <v/>
      </c>
      <c r="J14">
        <f>IF($AL14="","",INDEX('04_調査結果'!$BE$5:$BE$404,$AL14)&amp;"")</f>
        <v/>
      </c>
      <c r="K14">
        <f>IF($AL14="","",INDEX('04_調査結果'!$F$5:$F$404,$AL14)&amp;"")</f>
        <v/>
      </c>
      <c r="L14">
        <f>IF($AL14="","",INDEX('04_調査結果'!$G$5:$G$404,$AL14)&amp;"")</f>
        <v/>
      </c>
      <c r="M14">
        <f>IF($AL14="","",INDEX('04_調査結果'!$AQ$5:$AQ$404,$AL14)&amp;"")</f>
        <v/>
      </c>
      <c r="N14">
        <f>IF($AL14="","",IFERROR(INDEX('M1_類型マスタ'!$B$5:$B$19,MATCH(M14,'M1_類型マスタ'!$A$5:$A$19,0)),""))</f>
        <v/>
      </c>
      <c r="O14">
        <f>IF($AL14="","",INDEX('04_調査結果'!$I$5:$I$404,$AL14)&amp;"")</f>
        <v/>
      </c>
      <c r="P14">
        <f>IF($AL14="","",INDEX('04_調査結果'!$J$5:$J$404,$AL14)&amp;"")</f>
        <v/>
      </c>
      <c r="Q14">
        <f>IF($AL14="","",INDEX('04_調査結果'!$K$5:$K$404,$AL14)&amp;"")</f>
        <v/>
      </c>
      <c r="R14">
        <f>IF($AL14="","",INDEX('04_調査結果'!$L$5:$L$404,$AL14)&amp;"")</f>
        <v/>
      </c>
      <c r="S14">
        <f>IF($AL14="","",INDEX('04_調査結果'!$M$5:$M$404,$AL14)&amp;"")</f>
        <v/>
      </c>
      <c r="T14" s="33">
        <f>IF($AL14="","",IF(INDEX('04_調査結果'!$AE$5:$AE$404,$AL14)&lt;&gt;"",INDEX('04_調査結果'!$AE$5:$AE$404,$AL14),INDEX('04_調査結果'!$AS$5:$AS$404,$AL14)))</f>
        <v/>
      </c>
      <c r="U14" s="33">
        <f>IF($AL14="","",IF(INDEX('04_調査結果'!$AF$5:$AF$404,$AL14)&lt;&gt;"",INDEX('04_調査結果'!$AF$5:$AF$404,$AL14),INDEX('04_調査結果'!$AT$5:$AT$404,$AL14)))</f>
        <v/>
      </c>
      <c r="V14" s="33">
        <f>IF($AL14="","",INDEX('04_調査結果'!$AI$5:$AI$404,$AL14))</f>
        <v/>
      </c>
      <c r="W14">
        <f>IF($AL14="","",INDEX('04_調査結果'!$AU$5:$AU$404,$AL14))</f>
        <v/>
      </c>
      <c r="X14" s="37">
        <f>IF($AL14="","",INDEX('04_調査結果'!$AW$5:$AW$404,$AL14))</f>
        <v/>
      </c>
      <c r="Y14" s="37">
        <f>IF($AL14="","",INDEX('04_調査結果'!$AX$5:$AX$404,$AL14))</f>
        <v/>
      </c>
      <c r="Z14">
        <f>IF($AL14="","",INDEX('04_調査結果'!$S$5:$S$404,$AL14)&amp;"")</f>
        <v/>
      </c>
      <c r="AA14">
        <f>IF($AL14="","",INDEX('04_調査結果'!$T$5:$T$404,$AL14))</f>
        <v/>
      </c>
      <c r="AB14">
        <f>IF($AL14="","",INDEX('04_調査結果'!$U$5:$U$404,$AL14))</f>
        <v/>
      </c>
      <c r="AC14">
        <f>IF($AL14="","",INDEX('04_調査結果'!$V$5:$V$404,$AL14))</f>
        <v/>
      </c>
      <c r="AD14">
        <f>IF($AL14="","",INDEX('04_調査結果'!$W$5:$W$404,$AL14))</f>
        <v/>
      </c>
      <c r="AE14">
        <f>IF($AL14="","",INDEX('04_調査結果'!$X$5:$X$404,$AL14))</f>
        <v/>
      </c>
      <c r="AF14">
        <f>IF($AL14="","",INDEX('04_調査結果'!$Y$5:$Y$404,$AL14))</f>
        <v/>
      </c>
      <c r="AG14">
        <f>IF($AL14="","",INDEX('04_調査結果'!$Z$5:$Z$404,$AL14))</f>
        <v/>
      </c>
      <c r="AH14">
        <f>IF($AL14="","",INDEX('04_調査結果'!$AK$5:$AK$404,$AL14))</f>
        <v/>
      </c>
      <c r="AI14">
        <f>IF($AL14="","",INDEX('04_調査結果'!$AH$5:$AH$404,$AL14)&amp;"")</f>
        <v/>
      </c>
      <c r="AJ14">
        <f>IF($AL14="","",INDEX('04_調査結果'!$AA$5:$AA$404,$AL14)&amp;"")</f>
        <v/>
      </c>
      <c r="AK14">
        <f>IF($AL14="","",INDEX('04_調査結果'!$AC$5:$AC$404,$AL14)&amp;"")</f>
        <v/>
      </c>
      <c r="AL14" s="34">
        <f>IFERROR(MATCH(ROW()-4,'04_調査結果'!$AZ$5:$AZ$404,0),"")</f>
        <v/>
      </c>
    </row>
    <row r="15">
      <c r="A15">
        <f>IF($AL15="","",'01_設定'!$C$36)</f>
        <v/>
      </c>
      <c r="B15">
        <f>IF($AL15="","",'01_設定'!$C$5)</f>
        <v/>
      </c>
      <c r="C15">
        <f>IF($AL15="","",'01_設定'!$C$6)</f>
        <v/>
      </c>
      <c r="D15" s="36">
        <f>IF($AL15="","",'01_設定'!$C$22)</f>
        <v/>
      </c>
      <c r="E15" s="36">
        <f>IF($AL15="","",'01_設定'!$C$23)</f>
        <v/>
      </c>
      <c r="F15">
        <f>IF($AL15="","",'01_設定'!$C$32)</f>
        <v/>
      </c>
      <c r="G15">
        <f>IF($AL15="","",ROW()-4)</f>
        <v/>
      </c>
      <c r="H15">
        <f>IF($AL15="","",INDEX('04_調査結果'!$AO$5:$AO$404,$AL15))</f>
        <v/>
      </c>
      <c r="I15">
        <f>IF($AL15="","",IFERROR(INDEX('M2_区分マスタ'!$I$5:$I$10,INDEX('04_調査結果'!$AP$5:$AP$404,$AL15)),""))</f>
        <v/>
      </c>
      <c r="J15">
        <f>IF($AL15="","",INDEX('04_調査結果'!$BE$5:$BE$404,$AL15)&amp;"")</f>
        <v/>
      </c>
      <c r="K15">
        <f>IF($AL15="","",INDEX('04_調査結果'!$F$5:$F$404,$AL15)&amp;"")</f>
        <v/>
      </c>
      <c r="L15">
        <f>IF($AL15="","",INDEX('04_調査結果'!$G$5:$G$404,$AL15)&amp;"")</f>
        <v/>
      </c>
      <c r="M15">
        <f>IF($AL15="","",INDEX('04_調査結果'!$AQ$5:$AQ$404,$AL15)&amp;"")</f>
        <v/>
      </c>
      <c r="N15">
        <f>IF($AL15="","",IFERROR(INDEX('M1_類型マスタ'!$B$5:$B$19,MATCH(M15,'M1_類型マスタ'!$A$5:$A$19,0)),""))</f>
        <v/>
      </c>
      <c r="O15">
        <f>IF($AL15="","",INDEX('04_調査結果'!$I$5:$I$404,$AL15)&amp;"")</f>
        <v/>
      </c>
      <c r="P15">
        <f>IF($AL15="","",INDEX('04_調査結果'!$J$5:$J$404,$AL15)&amp;"")</f>
        <v/>
      </c>
      <c r="Q15">
        <f>IF($AL15="","",INDEX('04_調査結果'!$K$5:$K$404,$AL15)&amp;"")</f>
        <v/>
      </c>
      <c r="R15">
        <f>IF($AL15="","",INDEX('04_調査結果'!$L$5:$L$404,$AL15)&amp;"")</f>
        <v/>
      </c>
      <c r="S15">
        <f>IF($AL15="","",INDEX('04_調査結果'!$M$5:$M$404,$AL15)&amp;"")</f>
        <v/>
      </c>
      <c r="T15" s="33">
        <f>IF($AL15="","",IF(INDEX('04_調査結果'!$AE$5:$AE$404,$AL15)&lt;&gt;"",INDEX('04_調査結果'!$AE$5:$AE$404,$AL15),INDEX('04_調査結果'!$AS$5:$AS$404,$AL15)))</f>
        <v/>
      </c>
      <c r="U15" s="33">
        <f>IF($AL15="","",IF(INDEX('04_調査結果'!$AF$5:$AF$404,$AL15)&lt;&gt;"",INDEX('04_調査結果'!$AF$5:$AF$404,$AL15),INDEX('04_調査結果'!$AT$5:$AT$404,$AL15)))</f>
        <v/>
      </c>
      <c r="V15" s="33">
        <f>IF($AL15="","",INDEX('04_調査結果'!$AI$5:$AI$404,$AL15))</f>
        <v/>
      </c>
      <c r="W15">
        <f>IF($AL15="","",INDEX('04_調査結果'!$AU$5:$AU$404,$AL15))</f>
        <v/>
      </c>
      <c r="X15" s="37">
        <f>IF($AL15="","",INDEX('04_調査結果'!$AW$5:$AW$404,$AL15))</f>
        <v/>
      </c>
      <c r="Y15" s="37">
        <f>IF($AL15="","",INDEX('04_調査結果'!$AX$5:$AX$404,$AL15))</f>
        <v/>
      </c>
      <c r="Z15">
        <f>IF($AL15="","",INDEX('04_調査結果'!$S$5:$S$404,$AL15)&amp;"")</f>
        <v/>
      </c>
      <c r="AA15">
        <f>IF($AL15="","",INDEX('04_調査結果'!$T$5:$T$404,$AL15))</f>
        <v/>
      </c>
      <c r="AB15">
        <f>IF($AL15="","",INDEX('04_調査結果'!$U$5:$U$404,$AL15))</f>
        <v/>
      </c>
      <c r="AC15">
        <f>IF($AL15="","",INDEX('04_調査結果'!$V$5:$V$404,$AL15))</f>
        <v/>
      </c>
      <c r="AD15">
        <f>IF($AL15="","",INDEX('04_調査結果'!$W$5:$W$404,$AL15))</f>
        <v/>
      </c>
      <c r="AE15">
        <f>IF($AL15="","",INDEX('04_調査結果'!$X$5:$X$404,$AL15))</f>
        <v/>
      </c>
      <c r="AF15">
        <f>IF($AL15="","",INDEX('04_調査結果'!$Y$5:$Y$404,$AL15))</f>
        <v/>
      </c>
      <c r="AG15">
        <f>IF($AL15="","",INDEX('04_調査結果'!$Z$5:$Z$404,$AL15))</f>
        <v/>
      </c>
      <c r="AH15">
        <f>IF($AL15="","",INDEX('04_調査結果'!$AK$5:$AK$404,$AL15))</f>
        <v/>
      </c>
      <c r="AI15">
        <f>IF($AL15="","",INDEX('04_調査結果'!$AH$5:$AH$404,$AL15)&amp;"")</f>
        <v/>
      </c>
      <c r="AJ15">
        <f>IF($AL15="","",INDEX('04_調査結果'!$AA$5:$AA$404,$AL15)&amp;"")</f>
        <v/>
      </c>
      <c r="AK15">
        <f>IF($AL15="","",INDEX('04_調査結果'!$AC$5:$AC$404,$AL15)&amp;"")</f>
        <v/>
      </c>
      <c r="AL15" s="34">
        <f>IFERROR(MATCH(ROW()-4,'04_調査結果'!$AZ$5:$AZ$404,0),"")</f>
        <v/>
      </c>
    </row>
    <row r="16">
      <c r="A16">
        <f>IF($AL16="","",'01_設定'!$C$36)</f>
        <v/>
      </c>
      <c r="B16">
        <f>IF($AL16="","",'01_設定'!$C$5)</f>
        <v/>
      </c>
      <c r="C16">
        <f>IF($AL16="","",'01_設定'!$C$6)</f>
        <v/>
      </c>
      <c r="D16" s="36">
        <f>IF($AL16="","",'01_設定'!$C$22)</f>
        <v/>
      </c>
      <c r="E16" s="36">
        <f>IF($AL16="","",'01_設定'!$C$23)</f>
        <v/>
      </c>
      <c r="F16">
        <f>IF($AL16="","",'01_設定'!$C$32)</f>
        <v/>
      </c>
      <c r="G16">
        <f>IF($AL16="","",ROW()-4)</f>
        <v/>
      </c>
      <c r="H16">
        <f>IF($AL16="","",INDEX('04_調査結果'!$AO$5:$AO$404,$AL16))</f>
        <v/>
      </c>
      <c r="I16">
        <f>IF($AL16="","",IFERROR(INDEX('M2_区分マスタ'!$I$5:$I$10,INDEX('04_調査結果'!$AP$5:$AP$404,$AL16)),""))</f>
        <v/>
      </c>
      <c r="J16">
        <f>IF($AL16="","",INDEX('04_調査結果'!$BE$5:$BE$404,$AL16)&amp;"")</f>
        <v/>
      </c>
      <c r="K16">
        <f>IF($AL16="","",INDEX('04_調査結果'!$F$5:$F$404,$AL16)&amp;"")</f>
        <v/>
      </c>
      <c r="L16">
        <f>IF($AL16="","",INDEX('04_調査結果'!$G$5:$G$404,$AL16)&amp;"")</f>
        <v/>
      </c>
      <c r="M16">
        <f>IF($AL16="","",INDEX('04_調査結果'!$AQ$5:$AQ$404,$AL16)&amp;"")</f>
        <v/>
      </c>
      <c r="N16">
        <f>IF($AL16="","",IFERROR(INDEX('M1_類型マスタ'!$B$5:$B$19,MATCH(M16,'M1_類型マスタ'!$A$5:$A$19,0)),""))</f>
        <v/>
      </c>
      <c r="O16">
        <f>IF($AL16="","",INDEX('04_調査結果'!$I$5:$I$404,$AL16)&amp;"")</f>
        <v/>
      </c>
      <c r="P16">
        <f>IF($AL16="","",INDEX('04_調査結果'!$J$5:$J$404,$AL16)&amp;"")</f>
        <v/>
      </c>
      <c r="Q16">
        <f>IF($AL16="","",INDEX('04_調査結果'!$K$5:$K$404,$AL16)&amp;"")</f>
        <v/>
      </c>
      <c r="R16">
        <f>IF($AL16="","",INDEX('04_調査結果'!$L$5:$L$404,$AL16)&amp;"")</f>
        <v/>
      </c>
      <c r="S16">
        <f>IF($AL16="","",INDEX('04_調査結果'!$M$5:$M$404,$AL16)&amp;"")</f>
        <v/>
      </c>
      <c r="T16" s="33">
        <f>IF($AL16="","",IF(INDEX('04_調査結果'!$AE$5:$AE$404,$AL16)&lt;&gt;"",INDEX('04_調査結果'!$AE$5:$AE$404,$AL16),INDEX('04_調査結果'!$AS$5:$AS$404,$AL16)))</f>
        <v/>
      </c>
      <c r="U16" s="33">
        <f>IF($AL16="","",IF(INDEX('04_調査結果'!$AF$5:$AF$404,$AL16)&lt;&gt;"",INDEX('04_調査結果'!$AF$5:$AF$404,$AL16),INDEX('04_調査結果'!$AT$5:$AT$404,$AL16)))</f>
        <v/>
      </c>
      <c r="V16" s="33">
        <f>IF($AL16="","",INDEX('04_調査結果'!$AI$5:$AI$404,$AL16))</f>
        <v/>
      </c>
      <c r="W16">
        <f>IF($AL16="","",INDEX('04_調査結果'!$AU$5:$AU$404,$AL16))</f>
        <v/>
      </c>
      <c r="X16" s="37">
        <f>IF($AL16="","",INDEX('04_調査結果'!$AW$5:$AW$404,$AL16))</f>
        <v/>
      </c>
      <c r="Y16" s="37">
        <f>IF($AL16="","",INDEX('04_調査結果'!$AX$5:$AX$404,$AL16))</f>
        <v/>
      </c>
      <c r="Z16">
        <f>IF($AL16="","",INDEX('04_調査結果'!$S$5:$S$404,$AL16)&amp;"")</f>
        <v/>
      </c>
      <c r="AA16">
        <f>IF($AL16="","",INDEX('04_調査結果'!$T$5:$T$404,$AL16))</f>
        <v/>
      </c>
      <c r="AB16">
        <f>IF($AL16="","",INDEX('04_調査結果'!$U$5:$U$404,$AL16))</f>
        <v/>
      </c>
      <c r="AC16">
        <f>IF($AL16="","",INDEX('04_調査結果'!$V$5:$V$404,$AL16))</f>
        <v/>
      </c>
      <c r="AD16">
        <f>IF($AL16="","",INDEX('04_調査結果'!$W$5:$W$404,$AL16))</f>
        <v/>
      </c>
      <c r="AE16">
        <f>IF($AL16="","",INDEX('04_調査結果'!$X$5:$X$404,$AL16))</f>
        <v/>
      </c>
      <c r="AF16">
        <f>IF($AL16="","",INDEX('04_調査結果'!$Y$5:$Y$404,$AL16))</f>
        <v/>
      </c>
      <c r="AG16">
        <f>IF($AL16="","",INDEX('04_調査結果'!$Z$5:$Z$404,$AL16))</f>
        <v/>
      </c>
      <c r="AH16">
        <f>IF($AL16="","",INDEX('04_調査結果'!$AK$5:$AK$404,$AL16))</f>
        <v/>
      </c>
      <c r="AI16">
        <f>IF($AL16="","",INDEX('04_調査結果'!$AH$5:$AH$404,$AL16)&amp;"")</f>
        <v/>
      </c>
      <c r="AJ16">
        <f>IF($AL16="","",INDEX('04_調査結果'!$AA$5:$AA$404,$AL16)&amp;"")</f>
        <v/>
      </c>
      <c r="AK16">
        <f>IF($AL16="","",INDEX('04_調査結果'!$AC$5:$AC$404,$AL16)&amp;"")</f>
        <v/>
      </c>
      <c r="AL16" s="34">
        <f>IFERROR(MATCH(ROW()-4,'04_調査結果'!$AZ$5:$AZ$404,0),"")</f>
        <v/>
      </c>
    </row>
    <row r="17">
      <c r="A17">
        <f>IF($AL17="","",'01_設定'!$C$36)</f>
        <v/>
      </c>
      <c r="B17">
        <f>IF($AL17="","",'01_設定'!$C$5)</f>
        <v/>
      </c>
      <c r="C17">
        <f>IF($AL17="","",'01_設定'!$C$6)</f>
        <v/>
      </c>
      <c r="D17" s="36">
        <f>IF($AL17="","",'01_設定'!$C$22)</f>
        <v/>
      </c>
      <c r="E17" s="36">
        <f>IF($AL17="","",'01_設定'!$C$23)</f>
        <v/>
      </c>
      <c r="F17">
        <f>IF($AL17="","",'01_設定'!$C$32)</f>
        <v/>
      </c>
      <c r="G17">
        <f>IF($AL17="","",ROW()-4)</f>
        <v/>
      </c>
      <c r="H17">
        <f>IF($AL17="","",INDEX('04_調査結果'!$AO$5:$AO$404,$AL17))</f>
        <v/>
      </c>
      <c r="I17">
        <f>IF($AL17="","",IFERROR(INDEX('M2_区分マスタ'!$I$5:$I$10,INDEX('04_調査結果'!$AP$5:$AP$404,$AL17)),""))</f>
        <v/>
      </c>
      <c r="J17">
        <f>IF($AL17="","",INDEX('04_調査結果'!$BE$5:$BE$404,$AL17)&amp;"")</f>
        <v/>
      </c>
      <c r="K17">
        <f>IF($AL17="","",INDEX('04_調査結果'!$F$5:$F$404,$AL17)&amp;"")</f>
        <v/>
      </c>
      <c r="L17">
        <f>IF($AL17="","",INDEX('04_調査結果'!$G$5:$G$404,$AL17)&amp;"")</f>
        <v/>
      </c>
      <c r="M17">
        <f>IF($AL17="","",INDEX('04_調査結果'!$AQ$5:$AQ$404,$AL17)&amp;"")</f>
        <v/>
      </c>
      <c r="N17">
        <f>IF($AL17="","",IFERROR(INDEX('M1_類型マスタ'!$B$5:$B$19,MATCH(M17,'M1_類型マスタ'!$A$5:$A$19,0)),""))</f>
        <v/>
      </c>
      <c r="O17">
        <f>IF($AL17="","",INDEX('04_調査結果'!$I$5:$I$404,$AL17)&amp;"")</f>
        <v/>
      </c>
      <c r="P17">
        <f>IF($AL17="","",INDEX('04_調査結果'!$J$5:$J$404,$AL17)&amp;"")</f>
        <v/>
      </c>
      <c r="Q17">
        <f>IF($AL17="","",INDEX('04_調査結果'!$K$5:$K$404,$AL17)&amp;"")</f>
        <v/>
      </c>
      <c r="R17">
        <f>IF($AL17="","",INDEX('04_調査結果'!$L$5:$L$404,$AL17)&amp;"")</f>
        <v/>
      </c>
      <c r="S17">
        <f>IF($AL17="","",INDEX('04_調査結果'!$M$5:$M$404,$AL17)&amp;"")</f>
        <v/>
      </c>
      <c r="T17" s="33">
        <f>IF($AL17="","",IF(INDEX('04_調査結果'!$AE$5:$AE$404,$AL17)&lt;&gt;"",INDEX('04_調査結果'!$AE$5:$AE$404,$AL17),INDEX('04_調査結果'!$AS$5:$AS$404,$AL17)))</f>
        <v/>
      </c>
      <c r="U17" s="33">
        <f>IF($AL17="","",IF(INDEX('04_調査結果'!$AF$5:$AF$404,$AL17)&lt;&gt;"",INDEX('04_調査結果'!$AF$5:$AF$404,$AL17),INDEX('04_調査結果'!$AT$5:$AT$404,$AL17)))</f>
        <v/>
      </c>
      <c r="V17" s="33">
        <f>IF($AL17="","",INDEX('04_調査結果'!$AI$5:$AI$404,$AL17))</f>
        <v/>
      </c>
      <c r="W17">
        <f>IF($AL17="","",INDEX('04_調査結果'!$AU$5:$AU$404,$AL17))</f>
        <v/>
      </c>
      <c r="X17" s="37">
        <f>IF($AL17="","",INDEX('04_調査結果'!$AW$5:$AW$404,$AL17))</f>
        <v/>
      </c>
      <c r="Y17" s="37">
        <f>IF($AL17="","",INDEX('04_調査結果'!$AX$5:$AX$404,$AL17))</f>
        <v/>
      </c>
      <c r="Z17">
        <f>IF($AL17="","",INDEX('04_調査結果'!$S$5:$S$404,$AL17)&amp;"")</f>
        <v/>
      </c>
      <c r="AA17">
        <f>IF($AL17="","",INDEX('04_調査結果'!$T$5:$T$404,$AL17))</f>
        <v/>
      </c>
      <c r="AB17">
        <f>IF($AL17="","",INDEX('04_調査結果'!$U$5:$U$404,$AL17))</f>
        <v/>
      </c>
      <c r="AC17">
        <f>IF($AL17="","",INDEX('04_調査結果'!$V$5:$V$404,$AL17))</f>
        <v/>
      </c>
      <c r="AD17">
        <f>IF($AL17="","",INDEX('04_調査結果'!$W$5:$W$404,$AL17))</f>
        <v/>
      </c>
      <c r="AE17">
        <f>IF($AL17="","",INDEX('04_調査結果'!$X$5:$X$404,$AL17))</f>
        <v/>
      </c>
      <c r="AF17">
        <f>IF($AL17="","",INDEX('04_調査結果'!$Y$5:$Y$404,$AL17))</f>
        <v/>
      </c>
      <c r="AG17">
        <f>IF($AL17="","",INDEX('04_調査結果'!$Z$5:$Z$404,$AL17))</f>
        <v/>
      </c>
      <c r="AH17">
        <f>IF($AL17="","",INDEX('04_調査結果'!$AK$5:$AK$404,$AL17))</f>
        <v/>
      </c>
      <c r="AI17">
        <f>IF($AL17="","",INDEX('04_調査結果'!$AH$5:$AH$404,$AL17)&amp;"")</f>
        <v/>
      </c>
      <c r="AJ17">
        <f>IF($AL17="","",INDEX('04_調査結果'!$AA$5:$AA$404,$AL17)&amp;"")</f>
        <v/>
      </c>
      <c r="AK17">
        <f>IF($AL17="","",INDEX('04_調査結果'!$AC$5:$AC$404,$AL17)&amp;"")</f>
        <v/>
      </c>
      <c r="AL17" s="34">
        <f>IFERROR(MATCH(ROW()-4,'04_調査結果'!$AZ$5:$AZ$404,0),"")</f>
        <v/>
      </c>
    </row>
    <row r="18">
      <c r="A18">
        <f>IF($AL18="","",'01_設定'!$C$36)</f>
        <v/>
      </c>
      <c r="B18">
        <f>IF($AL18="","",'01_設定'!$C$5)</f>
        <v/>
      </c>
      <c r="C18">
        <f>IF($AL18="","",'01_設定'!$C$6)</f>
        <v/>
      </c>
      <c r="D18" s="36">
        <f>IF($AL18="","",'01_設定'!$C$22)</f>
        <v/>
      </c>
      <c r="E18" s="36">
        <f>IF($AL18="","",'01_設定'!$C$23)</f>
        <v/>
      </c>
      <c r="F18">
        <f>IF($AL18="","",'01_設定'!$C$32)</f>
        <v/>
      </c>
      <c r="G18">
        <f>IF($AL18="","",ROW()-4)</f>
        <v/>
      </c>
      <c r="H18">
        <f>IF($AL18="","",INDEX('04_調査結果'!$AO$5:$AO$404,$AL18))</f>
        <v/>
      </c>
      <c r="I18">
        <f>IF($AL18="","",IFERROR(INDEX('M2_区分マスタ'!$I$5:$I$10,INDEX('04_調査結果'!$AP$5:$AP$404,$AL18)),""))</f>
        <v/>
      </c>
      <c r="J18">
        <f>IF($AL18="","",INDEX('04_調査結果'!$BE$5:$BE$404,$AL18)&amp;"")</f>
        <v/>
      </c>
      <c r="K18">
        <f>IF($AL18="","",INDEX('04_調査結果'!$F$5:$F$404,$AL18)&amp;"")</f>
        <v/>
      </c>
      <c r="L18">
        <f>IF($AL18="","",INDEX('04_調査結果'!$G$5:$G$404,$AL18)&amp;"")</f>
        <v/>
      </c>
      <c r="M18">
        <f>IF($AL18="","",INDEX('04_調査結果'!$AQ$5:$AQ$404,$AL18)&amp;"")</f>
        <v/>
      </c>
      <c r="N18">
        <f>IF($AL18="","",IFERROR(INDEX('M1_類型マスタ'!$B$5:$B$19,MATCH(M18,'M1_類型マスタ'!$A$5:$A$19,0)),""))</f>
        <v/>
      </c>
      <c r="O18">
        <f>IF($AL18="","",INDEX('04_調査結果'!$I$5:$I$404,$AL18)&amp;"")</f>
        <v/>
      </c>
      <c r="P18">
        <f>IF($AL18="","",INDEX('04_調査結果'!$J$5:$J$404,$AL18)&amp;"")</f>
        <v/>
      </c>
      <c r="Q18">
        <f>IF($AL18="","",INDEX('04_調査結果'!$K$5:$K$404,$AL18)&amp;"")</f>
        <v/>
      </c>
      <c r="R18">
        <f>IF($AL18="","",INDEX('04_調査結果'!$L$5:$L$404,$AL18)&amp;"")</f>
        <v/>
      </c>
      <c r="S18">
        <f>IF($AL18="","",INDEX('04_調査結果'!$M$5:$M$404,$AL18)&amp;"")</f>
        <v/>
      </c>
      <c r="T18" s="33">
        <f>IF($AL18="","",IF(INDEX('04_調査結果'!$AE$5:$AE$404,$AL18)&lt;&gt;"",INDEX('04_調査結果'!$AE$5:$AE$404,$AL18),INDEX('04_調査結果'!$AS$5:$AS$404,$AL18)))</f>
        <v/>
      </c>
      <c r="U18" s="33">
        <f>IF($AL18="","",IF(INDEX('04_調査結果'!$AF$5:$AF$404,$AL18)&lt;&gt;"",INDEX('04_調査結果'!$AF$5:$AF$404,$AL18),INDEX('04_調査結果'!$AT$5:$AT$404,$AL18)))</f>
        <v/>
      </c>
      <c r="V18" s="33">
        <f>IF($AL18="","",INDEX('04_調査結果'!$AI$5:$AI$404,$AL18))</f>
        <v/>
      </c>
      <c r="W18">
        <f>IF($AL18="","",INDEX('04_調査結果'!$AU$5:$AU$404,$AL18))</f>
        <v/>
      </c>
      <c r="X18" s="37">
        <f>IF($AL18="","",INDEX('04_調査結果'!$AW$5:$AW$404,$AL18))</f>
        <v/>
      </c>
      <c r="Y18" s="37">
        <f>IF($AL18="","",INDEX('04_調査結果'!$AX$5:$AX$404,$AL18))</f>
        <v/>
      </c>
      <c r="Z18">
        <f>IF($AL18="","",INDEX('04_調査結果'!$S$5:$S$404,$AL18)&amp;"")</f>
        <v/>
      </c>
      <c r="AA18">
        <f>IF($AL18="","",INDEX('04_調査結果'!$T$5:$T$404,$AL18))</f>
        <v/>
      </c>
      <c r="AB18">
        <f>IF($AL18="","",INDEX('04_調査結果'!$U$5:$U$404,$AL18))</f>
        <v/>
      </c>
      <c r="AC18">
        <f>IF($AL18="","",INDEX('04_調査結果'!$V$5:$V$404,$AL18))</f>
        <v/>
      </c>
      <c r="AD18">
        <f>IF($AL18="","",INDEX('04_調査結果'!$W$5:$W$404,$AL18))</f>
        <v/>
      </c>
      <c r="AE18">
        <f>IF($AL18="","",INDEX('04_調査結果'!$X$5:$X$404,$AL18))</f>
        <v/>
      </c>
      <c r="AF18">
        <f>IF($AL18="","",INDEX('04_調査結果'!$Y$5:$Y$404,$AL18))</f>
        <v/>
      </c>
      <c r="AG18">
        <f>IF($AL18="","",INDEX('04_調査結果'!$Z$5:$Z$404,$AL18))</f>
        <v/>
      </c>
      <c r="AH18">
        <f>IF($AL18="","",INDEX('04_調査結果'!$AK$5:$AK$404,$AL18))</f>
        <v/>
      </c>
      <c r="AI18">
        <f>IF($AL18="","",INDEX('04_調査結果'!$AH$5:$AH$404,$AL18)&amp;"")</f>
        <v/>
      </c>
      <c r="AJ18">
        <f>IF($AL18="","",INDEX('04_調査結果'!$AA$5:$AA$404,$AL18)&amp;"")</f>
        <v/>
      </c>
      <c r="AK18">
        <f>IF($AL18="","",INDEX('04_調査結果'!$AC$5:$AC$404,$AL18)&amp;"")</f>
        <v/>
      </c>
      <c r="AL18" s="34">
        <f>IFERROR(MATCH(ROW()-4,'04_調査結果'!$AZ$5:$AZ$404,0),"")</f>
        <v/>
      </c>
    </row>
    <row r="19">
      <c r="A19">
        <f>IF($AL19="","",'01_設定'!$C$36)</f>
        <v/>
      </c>
      <c r="B19">
        <f>IF($AL19="","",'01_設定'!$C$5)</f>
        <v/>
      </c>
      <c r="C19">
        <f>IF($AL19="","",'01_設定'!$C$6)</f>
        <v/>
      </c>
      <c r="D19" s="36">
        <f>IF($AL19="","",'01_設定'!$C$22)</f>
        <v/>
      </c>
      <c r="E19" s="36">
        <f>IF($AL19="","",'01_設定'!$C$23)</f>
        <v/>
      </c>
      <c r="F19">
        <f>IF($AL19="","",'01_設定'!$C$32)</f>
        <v/>
      </c>
      <c r="G19">
        <f>IF($AL19="","",ROW()-4)</f>
        <v/>
      </c>
      <c r="H19">
        <f>IF($AL19="","",INDEX('04_調査結果'!$AO$5:$AO$404,$AL19))</f>
        <v/>
      </c>
      <c r="I19">
        <f>IF($AL19="","",IFERROR(INDEX('M2_区分マスタ'!$I$5:$I$10,INDEX('04_調査結果'!$AP$5:$AP$404,$AL19)),""))</f>
        <v/>
      </c>
      <c r="J19">
        <f>IF($AL19="","",INDEX('04_調査結果'!$BE$5:$BE$404,$AL19)&amp;"")</f>
        <v/>
      </c>
      <c r="K19">
        <f>IF($AL19="","",INDEX('04_調査結果'!$F$5:$F$404,$AL19)&amp;"")</f>
        <v/>
      </c>
      <c r="L19">
        <f>IF($AL19="","",INDEX('04_調査結果'!$G$5:$G$404,$AL19)&amp;"")</f>
        <v/>
      </c>
      <c r="M19">
        <f>IF($AL19="","",INDEX('04_調査結果'!$AQ$5:$AQ$404,$AL19)&amp;"")</f>
        <v/>
      </c>
      <c r="N19">
        <f>IF($AL19="","",IFERROR(INDEX('M1_類型マスタ'!$B$5:$B$19,MATCH(M19,'M1_類型マスタ'!$A$5:$A$19,0)),""))</f>
        <v/>
      </c>
      <c r="O19">
        <f>IF($AL19="","",INDEX('04_調査結果'!$I$5:$I$404,$AL19)&amp;"")</f>
        <v/>
      </c>
      <c r="P19">
        <f>IF($AL19="","",INDEX('04_調査結果'!$J$5:$J$404,$AL19)&amp;"")</f>
        <v/>
      </c>
      <c r="Q19">
        <f>IF($AL19="","",INDEX('04_調査結果'!$K$5:$K$404,$AL19)&amp;"")</f>
        <v/>
      </c>
      <c r="R19">
        <f>IF($AL19="","",INDEX('04_調査結果'!$L$5:$L$404,$AL19)&amp;"")</f>
        <v/>
      </c>
      <c r="S19">
        <f>IF($AL19="","",INDEX('04_調査結果'!$M$5:$M$404,$AL19)&amp;"")</f>
        <v/>
      </c>
      <c r="T19" s="33">
        <f>IF($AL19="","",IF(INDEX('04_調査結果'!$AE$5:$AE$404,$AL19)&lt;&gt;"",INDEX('04_調査結果'!$AE$5:$AE$404,$AL19),INDEX('04_調査結果'!$AS$5:$AS$404,$AL19)))</f>
        <v/>
      </c>
      <c r="U19" s="33">
        <f>IF($AL19="","",IF(INDEX('04_調査結果'!$AF$5:$AF$404,$AL19)&lt;&gt;"",INDEX('04_調査結果'!$AF$5:$AF$404,$AL19),INDEX('04_調査結果'!$AT$5:$AT$404,$AL19)))</f>
        <v/>
      </c>
      <c r="V19" s="33">
        <f>IF($AL19="","",INDEX('04_調査結果'!$AI$5:$AI$404,$AL19))</f>
        <v/>
      </c>
      <c r="W19">
        <f>IF($AL19="","",INDEX('04_調査結果'!$AU$5:$AU$404,$AL19))</f>
        <v/>
      </c>
      <c r="X19" s="37">
        <f>IF($AL19="","",INDEX('04_調査結果'!$AW$5:$AW$404,$AL19))</f>
        <v/>
      </c>
      <c r="Y19" s="37">
        <f>IF($AL19="","",INDEX('04_調査結果'!$AX$5:$AX$404,$AL19))</f>
        <v/>
      </c>
      <c r="Z19">
        <f>IF($AL19="","",INDEX('04_調査結果'!$S$5:$S$404,$AL19)&amp;"")</f>
        <v/>
      </c>
      <c r="AA19">
        <f>IF($AL19="","",INDEX('04_調査結果'!$T$5:$T$404,$AL19))</f>
        <v/>
      </c>
      <c r="AB19">
        <f>IF($AL19="","",INDEX('04_調査結果'!$U$5:$U$404,$AL19))</f>
        <v/>
      </c>
      <c r="AC19">
        <f>IF($AL19="","",INDEX('04_調査結果'!$V$5:$V$404,$AL19))</f>
        <v/>
      </c>
      <c r="AD19">
        <f>IF($AL19="","",INDEX('04_調査結果'!$W$5:$W$404,$AL19))</f>
        <v/>
      </c>
      <c r="AE19">
        <f>IF($AL19="","",INDEX('04_調査結果'!$X$5:$X$404,$AL19))</f>
        <v/>
      </c>
      <c r="AF19">
        <f>IF($AL19="","",INDEX('04_調査結果'!$Y$5:$Y$404,$AL19))</f>
        <v/>
      </c>
      <c r="AG19">
        <f>IF($AL19="","",INDEX('04_調査結果'!$Z$5:$Z$404,$AL19))</f>
        <v/>
      </c>
      <c r="AH19">
        <f>IF($AL19="","",INDEX('04_調査結果'!$AK$5:$AK$404,$AL19))</f>
        <v/>
      </c>
      <c r="AI19">
        <f>IF($AL19="","",INDEX('04_調査結果'!$AH$5:$AH$404,$AL19)&amp;"")</f>
        <v/>
      </c>
      <c r="AJ19">
        <f>IF($AL19="","",INDEX('04_調査結果'!$AA$5:$AA$404,$AL19)&amp;"")</f>
        <v/>
      </c>
      <c r="AK19">
        <f>IF($AL19="","",INDEX('04_調査結果'!$AC$5:$AC$404,$AL19)&amp;"")</f>
        <v/>
      </c>
      <c r="AL19" s="34">
        <f>IFERROR(MATCH(ROW()-4,'04_調査結果'!$AZ$5:$AZ$404,0),"")</f>
        <v/>
      </c>
    </row>
    <row r="20">
      <c r="A20">
        <f>IF($AL20="","",'01_設定'!$C$36)</f>
        <v/>
      </c>
      <c r="B20">
        <f>IF($AL20="","",'01_設定'!$C$5)</f>
        <v/>
      </c>
      <c r="C20">
        <f>IF($AL20="","",'01_設定'!$C$6)</f>
        <v/>
      </c>
      <c r="D20" s="36">
        <f>IF($AL20="","",'01_設定'!$C$22)</f>
        <v/>
      </c>
      <c r="E20" s="36">
        <f>IF($AL20="","",'01_設定'!$C$23)</f>
        <v/>
      </c>
      <c r="F20">
        <f>IF($AL20="","",'01_設定'!$C$32)</f>
        <v/>
      </c>
      <c r="G20">
        <f>IF($AL20="","",ROW()-4)</f>
        <v/>
      </c>
      <c r="H20">
        <f>IF($AL20="","",INDEX('04_調査結果'!$AO$5:$AO$404,$AL20))</f>
        <v/>
      </c>
      <c r="I20">
        <f>IF($AL20="","",IFERROR(INDEX('M2_区分マスタ'!$I$5:$I$10,INDEX('04_調査結果'!$AP$5:$AP$404,$AL20)),""))</f>
        <v/>
      </c>
      <c r="J20">
        <f>IF($AL20="","",INDEX('04_調査結果'!$BE$5:$BE$404,$AL20)&amp;"")</f>
        <v/>
      </c>
      <c r="K20">
        <f>IF($AL20="","",INDEX('04_調査結果'!$F$5:$F$404,$AL20)&amp;"")</f>
        <v/>
      </c>
      <c r="L20">
        <f>IF($AL20="","",INDEX('04_調査結果'!$G$5:$G$404,$AL20)&amp;"")</f>
        <v/>
      </c>
      <c r="M20">
        <f>IF($AL20="","",INDEX('04_調査結果'!$AQ$5:$AQ$404,$AL20)&amp;"")</f>
        <v/>
      </c>
      <c r="N20">
        <f>IF($AL20="","",IFERROR(INDEX('M1_類型マスタ'!$B$5:$B$19,MATCH(M20,'M1_類型マスタ'!$A$5:$A$19,0)),""))</f>
        <v/>
      </c>
      <c r="O20">
        <f>IF($AL20="","",INDEX('04_調査結果'!$I$5:$I$404,$AL20)&amp;"")</f>
        <v/>
      </c>
      <c r="P20">
        <f>IF($AL20="","",INDEX('04_調査結果'!$J$5:$J$404,$AL20)&amp;"")</f>
        <v/>
      </c>
      <c r="Q20">
        <f>IF($AL20="","",INDEX('04_調査結果'!$K$5:$K$404,$AL20)&amp;"")</f>
        <v/>
      </c>
      <c r="R20">
        <f>IF($AL20="","",INDEX('04_調査結果'!$L$5:$L$404,$AL20)&amp;"")</f>
        <v/>
      </c>
      <c r="S20">
        <f>IF($AL20="","",INDEX('04_調査結果'!$M$5:$M$404,$AL20)&amp;"")</f>
        <v/>
      </c>
      <c r="T20" s="33">
        <f>IF($AL20="","",IF(INDEX('04_調査結果'!$AE$5:$AE$404,$AL20)&lt;&gt;"",INDEX('04_調査結果'!$AE$5:$AE$404,$AL20),INDEX('04_調査結果'!$AS$5:$AS$404,$AL20)))</f>
        <v/>
      </c>
      <c r="U20" s="33">
        <f>IF($AL20="","",IF(INDEX('04_調査結果'!$AF$5:$AF$404,$AL20)&lt;&gt;"",INDEX('04_調査結果'!$AF$5:$AF$404,$AL20),INDEX('04_調査結果'!$AT$5:$AT$404,$AL20)))</f>
        <v/>
      </c>
      <c r="V20" s="33">
        <f>IF($AL20="","",INDEX('04_調査結果'!$AI$5:$AI$404,$AL20))</f>
        <v/>
      </c>
      <c r="W20">
        <f>IF($AL20="","",INDEX('04_調査結果'!$AU$5:$AU$404,$AL20))</f>
        <v/>
      </c>
      <c r="X20" s="37">
        <f>IF($AL20="","",INDEX('04_調査結果'!$AW$5:$AW$404,$AL20))</f>
        <v/>
      </c>
      <c r="Y20" s="37">
        <f>IF($AL20="","",INDEX('04_調査結果'!$AX$5:$AX$404,$AL20))</f>
        <v/>
      </c>
      <c r="Z20">
        <f>IF($AL20="","",INDEX('04_調査結果'!$S$5:$S$404,$AL20)&amp;"")</f>
        <v/>
      </c>
      <c r="AA20">
        <f>IF($AL20="","",INDEX('04_調査結果'!$T$5:$T$404,$AL20))</f>
        <v/>
      </c>
      <c r="AB20">
        <f>IF($AL20="","",INDEX('04_調査結果'!$U$5:$U$404,$AL20))</f>
        <v/>
      </c>
      <c r="AC20">
        <f>IF($AL20="","",INDEX('04_調査結果'!$V$5:$V$404,$AL20))</f>
        <v/>
      </c>
      <c r="AD20">
        <f>IF($AL20="","",INDEX('04_調査結果'!$W$5:$W$404,$AL20))</f>
        <v/>
      </c>
      <c r="AE20">
        <f>IF($AL20="","",INDEX('04_調査結果'!$X$5:$X$404,$AL20))</f>
        <v/>
      </c>
      <c r="AF20">
        <f>IF($AL20="","",INDEX('04_調査結果'!$Y$5:$Y$404,$AL20))</f>
        <v/>
      </c>
      <c r="AG20">
        <f>IF($AL20="","",INDEX('04_調査結果'!$Z$5:$Z$404,$AL20))</f>
        <v/>
      </c>
      <c r="AH20">
        <f>IF($AL20="","",INDEX('04_調査結果'!$AK$5:$AK$404,$AL20))</f>
        <v/>
      </c>
      <c r="AI20">
        <f>IF($AL20="","",INDEX('04_調査結果'!$AH$5:$AH$404,$AL20)&amp;"")</f>
        <v/>
      </c>
      <c r="AJ20">
        <f>IF($AL20="","",INDEX('04_調査結果'!$AA$5:$AA$404,$AL20)&amp;"")</f>
        <v/>
      </c>
      <c r="AK20">
        <f>IF($AL20="","",INDEX('04_調査結果'!$AC$5:$AC$404,$AL20)&amp;"")</f>
        <v/>
      </c>
      <c r="AL20" s="34">
        <f>IFERROR(MATCH(ROW()-4,'04_調査結果'!$AZ$5:$AZ$404,0),"")</f>
        <v/>
      </c>
    </row>
    <row r="21">
      <c r="A21">
        <f>IF($AL21="","",'01_設定'!$C$36)</f>
        <v/>
      </c>
      <c r="B21">
        <f>IF($AL21="","",'01_設定'!$C$5)</f>
        <v/>
      </c>
      <c r="C21">
        <f>IF($AL21="","",'01_設定'!$C$6)</f>
        <v/>
      </c>
      <c r="D21" s="36">
        <f>IF($AL21="","",'01_設定'!$C$22)</f>
        <v/>
      </c>
      <c r="E21" s="36">
        <f>IF($AL21="","",'01_設定'!$C$23)</f>
        <v/>
      </c>
      <c r="F21">
        <f>IF($AL21="","",'01_設定'!$C$32)</f>
        <v/>
      </c>
      <c r="G21">
        <f>IF($AL21="","",ROW()-4)</f>
        <v/>
      </c>
      <c r="H21">
        <f>IF($AL21="","",INDEX('04_調査結果'!$AO$5:$AO$404,$AL21))</f>
        <v/>
      </c>
      <c r="I21">
        <f>IF($AL21="","",IFERROR(INDEX('M2_区分マスタ'!$I$5:$I$10,INDEX('04_調査結果'!$AP$5:$AP$404,$AL21)),""))</f>
        <v/>
      </c>
      <c r="J21">
        <f>IF($AL21="","",INDEX('04_調査結果'!$BE$5:$BE$404,$AL21)&amp;"")</f>
        <v/>
      </c>
      <c r="K21">
        <f>IF($AL21="","",INDEX('04_調査結果'!$F$5:$F$404,$AL21)&amp;"")</f>
        <v/>
      </c>
      <c r="L21">
        <f>IF($AL21="","",INDEX('04_調査結果'!$G$5:$G$404,$AL21)&amp;"")</f>
        <v/>
      </c>
      <c r="M21">
        <f>IF($AL21="","",INDEX('04_調査結果'!$AQ$5:$AQ$404,$AL21)&amp;"")</f>
        <v/>
      </c>
      <c r="N21">
        <f>IF($AL21="","",IFERROR(INDEX('M1_類型マスタ'!$B$5:$B$19,MATCH(M21,'M1_類型マスタ'!$A$5:$A$19,0)),""))</f>
        <v/>
      </c>
      <c r="O21">
        <f>IF($AL21="","",INDEX('04_調査結果'!$I$5:$I$404,$AL21)&amp;"")</f>
        <v/>
      </c>
      <c r="P21">
        <f>IF($AL21="","",INDEX('04_調査結果'!$J$5:$J$404,$AL21)&amp;"")</f>
        <v/>
      </c>
      <c r="Q21">
        <f>IF($AL21="","",INDEX('04_調査結果'!$K$5:$K$404,$AL21)&amp;"")</f>
        <v/>
      </c>
      <c r="R21">
        <f>IF($AL21="","",INDEX('04_調査結果'!$L$5:$L$404,$AL21)&amp;"")</f>
        <v/>
      </c>
      <c r="S21">
        <f>IF($AL21="","",INDEX('04_調査結果'!$M$5:$M$404,$AL21)&amp;"")</f>
        <v/>
      </c>
      <c r="T21" s="33">
        <f>IF($AL21="","",IF(INDEX('04_調査結果'!$AE$5:$AE$404,$AL21)&lt;&gt;"",INDEX('04_調査結果'!$AE$5:$AE$404,$AL21),INDEX('04_調査結果'!$AS$5:$AS$404,$AL21)))</f>
        <v/>
      </c>
      <c r="U21" s="33">
        <f>IF($AL21="","",IF(INDEX('04_調査結果'!$AF$5:$AF$404,$AL21)&lt;&gt;"",INDEX('04_調査結果'!$AF$5:$AF$404,$AL21),INDEX('04_調査結果'!$AT$5:$AT$404,$AL21)))</f>
        <v/>
      </c>
      <c r="V21" s="33">
        <f>IF($AL21="","",INDEX('04_調査結果'!$AI$5:$AI$404,$AL21))</f>
        <v/>
      </c>
      <c r="W21">
        <f>IF($AL21="","",INDEX('04_調査結果'!$AU$5:$AU$404,$AL21))</f>
        <v/>
      </c>
      <c r="X21" s="37">
        <f>IF($AL21="","",INDEX('04_調査結果'!$AW$5:$AW$404,$AL21))</f>
        <v/>
      </c>
      <c r="Y21" s="37">
        <f>IF($AL21="","",INDEX('04_調査結果'!$AX$5:$AX$404,$AL21))</f>
        <v/>
      </c>
      <c r="Z21">
        <f>IF($AL21="","",INDEX('04_調査結果'!$S$5:$S$404,$AL21)&amp;"")</f>
        <v/>
      </c>
      <c r="AA21">
        <f>IF($AL21="","",INDEX('04_調査結果'!$T$5:$T$404,$AL21))</f>
        <v/>
      </c>
      <c r="AB21">
        <f>IF($AL21="","",INDEX('04_調査結果'!$U$5:$U$404,$AL21))</f>
        <v/>
      </c>
      <c r="AC21">
        <f>IF($AL21="","",INDEX('04_調査結果'!$V$5:$V$404,$AL21))</f>
        <v/>
      </c>
      <c r="AD21">
        <f>IF($AL21="","",INDEX('04_調査結果'!$W$5:$W$404,$AL21))</f>
        <v/>
      </c>
      <c r="AE21">
        <f>IF($AL21="","",INDEX('04_調査結果'!$X$5:$X$404,$AL21))</f>
        <v/>
      </c>
      <c r="AF21">
        <f>IF($AL21="","",INDEX('04_調査結果'!$Y$5:$Y$404,$AL21))</f>
        <v/>
      </c>
      <c r="AG21">
        <f>IF($AL21="","",INDEX('04_調査結果'!$Z$5:$Z$404,$AL21))</f>
        <v/>
      </c>
      <c r="AH21">
        <f>IF($AL21="","",INDEX('04_調査結果'!$AK$5:$AK$404,$AL21))</f>
        <v/>
      </c>
      <c r="AI21">
        <f>IF($AL21="","",INDEX('04_調査結果'!$AH$5:$AH$404,$AL21)&amp;"")</f>
        <v/>
      </c>
      <c r="AJ21">
        <f>IF($AL21="","",INDEX('04_調査結果'!$AA$5:$AA$404,$AL21)&amp;"")</f>
        <v/>
      </c>
      <c r="AK21">
        <f>IF($AL21="","",INDEX('04_調査結果'!$AC$5:$AC$404,$AL21)&amp;"")</f>
        <v/>
      </c>
      <c r="AL21" s="34">
        <f>IFERROR(MATCH(ROW()-4,'04_調査結果'!$AZ$5:$AZ$404,0),"")</f>
        <v/>
      </c>
    </row>
    <row r="22">
      <c r="A22">
        <f>IF($AL22="","",'01_設定'!$C$36)</f>
        <v/>
      </c>
      <c r="B22">
        <f>IF($AL22="","",'01_設定'!$C$5)</f>
        <v/>
      </c>
      <c r="C22">
        <f>IF($AL22="","",'01_設定'!$C$6)</f>
        <v/>
      </c>
      <c r="D22" s="36">
        <f>IF($AL22="","",'01_設定'!$C$22)</f>
        <v/>
      </c>
      <c r="E22" s="36">
        <f>IF($AL22="","",'01_設定'!$C$23)</f>
        <v/>
      </c>
      <c r="F22">
        <f>IF($AL22="","",'01_設定'!$C$32)</f>
        <v/>
      </c>
      <c r="G22">
        <f>IF($AL22="","",ROW()-4)</f>
        <v/>
      </c>
      <c r="H22">
        <f>IF($AL22="","",INDEX('04_調査結果'!$AO$5:$AO$404,$AL22))</f>
        <v/>
      </c>
      <c r="I22">
        <f>IF($AL22="","",IFERROR(INDEX('M2_区分マスタ'!$I$5:$I$10,INDEX('04_調査結果'!$AP$5:$AP$404,$AL22)),""))</f>
        <v/>
      </c>
      <c r="J22">
        <f>IF($AL22="","",INDEX('04_調査結果'!$BE$5:$BE$404,$AL22)&amp;"")</f>
        <v/>
      </c>
      <c r="K22">
        <f>IF($AL22="","",INDEX('04_調査結果'!$F$5:$F$404,$AL22)&amp;"")</f>
        <v/>
      </c>
      <c r="L22">
        <f>IF($AL22="","",INDEX('04_調査結果'!$G$5:$G$404,$AL22)&amp;"")</f>
        <v/>
      </c>
      <c r="M22">
        <f>IF($AL22="","",INDEX('04_調査結果'!$AQ$5:$AQ$404,$AL22)&amp;"")</f>
        <v/>
      </c>
      <c r="N22">
        <f>IF($AL22="","",IFERROR(INDEX('M1_類型マスタ'!$B$5:$B$19,MATCH(M22,'M1_類型マスタ'!$A$5:$A$19,0)),""))</f>
        <v/>
      </c>
      <c r="O22">
        <f>IF($AL22="","",INDEX('04_調査結果'!$I$5:$I$404,$AL22)&amp;"")</f>
        <v/>
      </c>
      <c r="P22">
        <f>IF($AL22="","",INDEX('04_調査結果'!$J$5:$J$404,$AL22)&amp;"")</f>
        <v/>
      </c>
      <c r="Q22">
        <f>IF($AL22="","",INDEX('04_調査結果'!$K$5:$K$404,$AL22)&amp;"")</f>
        <v/>
      </c>
      <c r="R22">
        <f>IF($AL22="","",INDEX('04_調査結果'!$L$5:$L$404,$AL22)&amp;"")</f>
        <v/>
      </c>
      <c r="S22">
        <f>IF($AL22="","",INDEX('04_調査結果'!$M$5:$M$404,$AL22)&amp;"")</f>
        <v/>
      </c>
      <c r="T22" s="33">
        <f>IF($AL22="","",IF(INDEX('04_調査結果'!$AE$5:$AE$404,$AL22)&lt;&gt;"",INDEX('04_調査結果'!$AE$5:$AE$404,$AL22),INDEX('04_調査結果'!$AS$5:$AS$404,$AL22)))</f>
        <v/>
      </c>
      <c r="U22" s="33">
        <f>IF($AL22="","",IF(INDEX('04_調査結果'!$AF$5:$AF$404,$AL22)&lt;&gt;"",INDEX('04_調査結果'!$AF$5:$AF$404,$AL22),INDEX('04_調査結果'!$AT$5:$AT$404,$AL22)))</f>
        <v/>
      </c>
      <c r="V22" s="33">
        <f>IF($AL22="","",INDEX('04_調査結果'!$AI$5:$AI$404,$AL22))</f>
        <v/>
      </c>
      <c r="W22">
        <f>IF($AL22="","",INDEX('04_調査結果'!$AU$5:$AU$404,$AL22))</f>
        <v/>
      </c>
      <c r="X22" s="37">
        <f>IF($AL22="","",INDEX('04_調査結果'!$AW$5:$AW$404,$AL22))</f>
        <v/>
      </c>
      <c r="Y22" s="37">
        <f>IF($AL22="","",INDEX('04_調査結果'!$AX$5:$AX$404,$AL22))</f>
        <v/>
      </c>
      <c r="Z22">
        <f>IF($AL22="","",INDEX('04_調査結果'!$S$5:$S$404,$AL22)&amp;"")</f>
        <v/>
      </c>
      <c r="AA22">
        <f>IF($AL22="","",INDEX('04_調査結果'!$T$5:$T$404,$AL22))</f>
        <v/>
      </c>
      <c r="AB22">
        <f>IF($AL22="","",INDEX('04_調査結果'!$U$5:$U$404,$AL22))</f>
        <v/>
      </c>
      <c r="AC22">
        <f>IF($AL22="","",INDEX('04_調査結果'!$V$5:$V$404,$AL22))</f>
        <v/>
      </c>
      <c r="AD22">
        <f>IF($AL22="","",INDEX('04_調査結果'!$W$5:$W$404,$AL22))</f>
        <v/>
      </c>
      <c r="AE22">
        <f>IF($AL22="","",INDEX('04_調査結果'!$X$5:$X$404,$AL22))</f>
        <v/>
      </c>
      <c r="AF22">
        <f>IF($AL22="","",INDEX('04_調査結果'!$Y$5:$Y$404,$AL22))</f>
        <v/>
      </c>
      <c r="AG22">
        <f>IF($AL22="","",INDEX('04_調査結果'!$Z$5:$Z$404,$AL22))</f>
        <v/>
      </c>
      <c r="AH22">
        <f>IF($AL22="","",INDEX('04_調査結果'!$AK$5:$AK$404,$AL22))</f>
        <v/>
      </c>
      <c r="AI22">
        <f>IF($AL22="","",INDEX('04_調査結果'!$AH$5:$AH$404,$AL22)&amp;"")</f>
        <v/>
      </c>
      <c r="AJ22">
        <f>IF($AL22="","",INDEX('04_調査結果'!$AA$5:$AA$404,$AL22)&amp;"")</f>
        <v/>
      </c>
      <c r="AK22">
        <f>IF($AL22="","",INDEX('04_調査結果'!$AC$5:$AC$404,$AL22)&amp;"")</f>
        <v/>
      </c>
      <c r="AL22" s="34">
        <f>IFERROR(MATCH(ROW()-4,'04_調査結果'!$AZ$5:$AZ$404,0),"")</f>
        <v/>
      </c>
    </row>
    <row r="23">
      <c r="A23">
        <f>IF($AL23="","",'01_設定'!$C$36)</f>
        <v/>
      </c>
      <c r="B23">
        <f>IF($AL23="","",'01_設定'!$C$5)</f>
        <v/>
      </c>
      <c r="C23">
        <f>IF($AL23="","",'01_設定'!$C$6)</f>
        <v/>
      </c>
      <c r="D23" s="36">
        <f>IF($AL23="","",'01_設定'!$C$22)</f>
        <v/>
      </c>
      <c r="E23" s="36">
        <f>IF($AL23="","",'01_設定'!$C$23)</f>
        <v/>
      </c>
      <c r="F23">
        <f>IF($AL23="","",'01_設定'!$C$32)</f>
        <v/>
      </c>
      <c r="G23">
        <f>IF($AL23="","",ROW()-4)</f>
        <v/>
      </c>
      <c r="H23">
        <f>IF($AL23="","",INDEX('04_調査結果'!$AO$5:$AO$404,$AL23))</f>
        <v/>
      </c>
      <c r="I23">
        <f>IF($AL23="","",IFERROR(INDEX('M2_区分マスタ'!$I$5:$I$10,INDEX('04_調査結果'!$AP$5:$AP$404,$AL23)),""))</f>
        <v/>
      </c>
      <c r="J23">
        <f>IF($AL23="","",INDEX('04_調査結果'!$BE$5:$BE$404,$AL23)&amp;"")</f>
        <v/>
      </c>
      <c r="K23">
        <f>IF($AL23="","",INDEX('04_調査結果'!$F$5:$F$404,$AL23)&amp;"")</f>
        <v/>
      </c>
      <c r="L23">
        <f>IF($AL23="","",INDEX('04_調査結果'!$G$5:$G$404,$AL23)&amp;"")</f>
        <v/>
      </c>
      <c r="M23">
        <f>IF($AL23="","",INDEX('04_調査結果'!$AQ$5:$AQ$404,$AL23)&amp;"")</f>
        <v/>
      </c>
      <c r="N23">
        <f>IF($AL23="","",IFERROR(INDEX('M1_類型マスタ'!$B$5:$B$19,MATCH(M23,'M1_類型マスタ'!$A$5:$A$19,0)),""))</f>
        <v/>
      </c>
      <c r="O23">
        <f>IF($AL23="","",INDEX('04_調査結果'!$I$5:$I$404,$AL23)&amp;"")</f>
        <v/>
      </c>
      <c r="P23">
        <f>IF($AL23="","",INDEX('04_調査結果'!$J$5:$J$404,$AL23)&amp;"")</f>
        <v/>
      </c>
      <c r="Q23">
        <f>IF($AL23="","",INDEX('04_調査結果'!$K$5:$K$404,$AL23)&amp;"")</f>
        <v/>
      </c>
      <c r="R23">
        <f>IF($AL23="","",INDEX('04_調査結果'!$L$5:$L$404,$AL23)&amp;"")</f>
        <v/>
      </c>
      <c r="S23">
        <f>IF($AL23="","",INDEX('04_調査結果'!$M$5:$M$404,$AL23)&amp;"")</f>
        <v/>
      </c>
      <c r="T23" s="33">
        <f>IF($AL23="","",IF(INDEX('04_調査結果'!$AE$5:$AE$404,$AL23)&lt;&gt;"",INDEX('04_調査結果'!$AE$5:$AE$404,$AL23),INDEX('04_調査結果'!$AS$5:$AS$404,$AL23)))</f>
        <v/>
      </c>
      <c r="U23" s="33">
        <f>IF($AL23="","",IF(INDEX('04_調査結果'!$AF$5:$AF$404,$AL23)&lt;&gt;"",INDEX('04_調査結果'!$AF$5:$AF$404,$AL23),INDEX('04_調査結果'!$AT$5:$AT$404,$AL23)))</f>
        <v/>
      </c>
      <c r="V23" s="33">
        <f>IF($AL23="","",INDEX('04_調査結果'!$AI$5:$AI$404,$AL23))</f>
        <v/>
      </c>
      <c r="W23">
        <f>IF($AL23="","",INDEX('04_調査結果'!$AU$5:$AU$404,$AL23))</f>
        <v/>
      </c>
      <c r="X23" s="37">
        <f>IF($AL23="","",INDEX('04_調査結果'!$AW$5:$AW$404,$AL23))</f>
        <v/>
      </c>
      <c r="Y23" s="37">
        <f>IF($AL23="","",INDEX('04_調査結果'!$AX$5:$AX$404,$AL23))</f>
        <v/>
      </c>
      <c r="Z23">
        <f>IF($AL23="","",INDEX('04_調査結果'!$S$5:$S$404,$AL23)&amp;"")</f>
        <v/>
      </c>
      <c r="AA23">
        <f>IF($AL23="","",INDEX('04_調査結果'!$T$5:$T$404,$AL23))</f>
        <v/>
      </c>
      <c r="AB23">
        <f>IF($AL23="","",INDEX('04_調査結果'!$U$5:$U$404,$AL23))</f>
        <v/>
      </c>
      <c r="AC23">
        <f>IF($AL23="","",INDEX('04_調査結果'!$V$5:$V$404,$AL23))</f>
        <v/>
      </c>
      <c r="AD23">
        <f>IF($AL23="","",INDEX('04_調査結果'!$W$5:$W$404,$AL23))</f>
        <v/>
      </c>
      <c r="AE23">
        <f>IF($AL23="","",INDEX('04_調査結果'!$X$5:$X$404,$AL23))</f>
        <v/>
      </c>
      <c r="AF23">
        <f>IF($AL23="","",INDEX('04_調査結果'!$Y$5:$Y$404,$AL23))</f>
        <v/>
      </c>
      <c r="AG23">
        <f>IF($AL23="","",INDEX('04_調査結果'!$Z$5:$Z$404,$AL23))</f>
        <v/>
      </c>
      <c r="AH23">
        <f>IF($AL23="","",INDEX('04_調査結果'!$AK$5:$AK$404,$AL23))</f>
        <v/>
      </c>
      <c r="AI23">
        <f>IF($AL23="","",INDEX('04_調査結果'!$AH$5:$AH$404,$AL23)&amp;"")</f>
        <v/>
      </c>
      <c r="AJ23">
        <f>IF($AL23="","",INDEX('04_調査結果'!$AA$5:$AA$404,$AL23)&amp;"")</f>
        <v/>
      </c>
      <c r="AK23">
        <f>IF($AL23="","",INDEX('04_調査結果'!$AC$5:$AC$404,$AL23)&amp;"")</f>
        <v/>
      </c>
      <c r="AL23" s="34">
        <f>IFERROR(MATCH(ROW()-4,'04_調査結果'!$AZ$5:$AZ$404,0),"")</f>
        <v/>
      </c>
    </row>
    <row r="24">
      <c r="A24">
        <f>IF($AL24="","",'01_設定'!$C$36)</f>
        <v/>
      </c>
      <c r="B24">
        <f>IF($AL24="","",'01_設定'!$C$5)</f>
        <v/>
      </c>
      <c r="C24">
        <f>IF($AL24="","",'01_設定'!$C$6)</f>
        <v/>
      </c>
      <c r="D24" s="36">
        <f>IF($AL24="","",'01_設定'!$C$22)</f>
        <v/>
      </c>
      <c r="E24" s="36">
        <f>IF($AL24="","",'01_設定'!$C$23)</f>
        <v/>
      </c>
      <c r="F24">
        <f>IF($AL24="","",'01_設定'!$C$32)</f>
        <v/>
      </c>
      <c r="G24">
        <f>IF($AL24="","",ROW()-4)</f>
        <v/>
      </c>
      <c r="H24">
        <f>IF($AL24="","",INDEX('04_調査結果'!$AO$5:$AO$404,$AL24))</f>
        <v/>
      </c>
      <c r="I24">
        <f>IF($AL24="","",IFERROR(INDEX('M2_区分マスタ'!$I$5:$I$10,INDEX('04_調査結果'!$AP$5:$AP$404,$AL24)),""))</f>
        <v/>
      </c>
      <c r="J24">
        <f>IF($AL24="","",INDEX('04_調査結果'!$BE$5:$BE$404,$AL24)&amp;"")</f>
        <v/>
      </c>
      <c r="K24">
        <f>IF($AL24="","",INDEX('04_調査結果'!$F$5:$F$404,$AL24)&amp;"")</f>
        <v/>
      </c>
      <c r="L24">
        <f>IF($AL24="","",INDEX('04_調査結果'!$G$5:$G$404,$AL24)&amp;"")</f>
        <v/>
      </c>
      <c r="M24">
        <f>IF($AL24="","",INDEX('04_調査結果'!$AQ$5:$AQ$404,$AL24)&amp;"")</f>
        <v/>
      </c>
      <c r="N24">
        <f>IF($AL24="","",IFERROR(INDEX('M1_類型マスタ'!$B$5:$B$19,MATCH(M24,'M1_類型マスタ'!$A$5:$A$19,0)),""))</f>
        <v/>
      </c>
      <c r="O24">
        <f>IF($AL24="","",INDEX('04_調査結果'!$I$5:$I$404,$AL24)&amp;"")</f>
        <v/>
      </c>
      <c r="P24">
        <f>IF($AL24="","",INDEX('04_調査結果'!$J$5:$J$404,$AL24)&amp;"")</f>
        <v/>
      </c>
      <c r="Q24">
        <f>IF($AL24="","",INDEX('04_調査結果'!$K$5:$K$404,$AL24)&amp;"")</f>
        <v/>
      </c>
      <c r="R24">
        <f>IF($AL24="","",INDEX('04_調査結果'!$L$5:$L$404,$AL24)&amp;"")</f>
        <v/>
      </c>
      <c r="S24">
        <f>IF($AL24="","",INDEX('04_調査結果'!$M$5:$M$404,$AL24)&amp;"")</f>
        <v/>
      </c>
      <c r="T24" s="33">
        <f>IF($AL24="","",IF(INDEX('04_調査結果'!$AE$5:$AE$404,$AL24)&lt;&gt;"",INDEX('04_調査結果'!$AE$5:$AE$404,$AL24),INDEX('04_調査結果'!$AS$5:$AS$404,$AL24)))</f>
        <v/>
      </c>
      <c r="U24" s="33">
        <f>IF($AL24="","",IF(INDEX('04_調査結果'!$AF$5:$AF$404,$AL24)&lt;&gt;"",INDEX('04_調査結果'!$AF$5:$AF$404,$AL24),INDEX('04_調査結果'!$AT$5:$AT$404,$AL24)))</f>
        <v/>
      </c>
      <c r="V24" s="33">
        <f>IF($AL24="","",INDEX('04_調査結果'!$AI$5:$AI$404,$AL24))</f>
        <v/>
      </c>
      <c r="W24">
        <f>IF($AL24="","",INDEX('04_調査結果'!$AU$5:$AU$404,$AL24))</f>
        <v/>
      </c>
      <c r="X24" s="37">
        <f>IF($AL24="","",INDEX('04_調査結果'!$AW$5:$AW$404,$AL24))</f>
        <v/>
      </c>
      <c r="Y24" s="37">
        <f>IF($AL24="","",INDEX('04_調査結果'!$AX$5:$AX$404,$AL24))</f>
        <v/>
      </c>
      <c r="Z24">
        <f>IF($AL24="","",INDEX('04_調査結果'!$S$5:$S$404,$AL24)&amp;"")</f>
        <v/>
      </c>
      <c r="AA24">
        <f>IF($AL24="","",INDEX('04_調査結果'!$T$5:$T$404,$AL24))</f>
        <v/>
      </c>
      <c r="AB24">
        <f>IF($AL24="","",INDEX('04_調査結果'!$U$5:$U$404,$AL24))</f>
        <v/>
      </c>
      <c r="AC24">
        <f>IF($AL24="","",INDEX('04_調査結果'!$V$5:$V$404,$AL24))</f>
        <v/>
      </c>
      <c r="AD24">
        <f>IF($AL24="","",INDEX('04_調査結果'!$W$5:$W$404,$AL24))</f>
        <v/>
      </c>
      <c r="AE24">
        <f>IF($AL24="","",INDEX('04_調査結果'!$X$5:$X$404,$AL24))</f>
        <v/>
      </c>
      <c r="AF24">
        <f>IF($AL24="","",INDEX('04_調査結果'!$Y$5:$Y$404,$AL24))</f>
        <v/>
      </c>
      <c r="AG24">
        <f>IF($AL24="","",INDEX('04_調査結果'!$Z$5:$Z$404,$AL24))</f>
        <v/>
      </c>
      <c r="AH24">
        <f>IF($AL24="","",INDEX('04_調査結果'!$AK$5:$AK$404,$AL24))</f>
        <v/>
      </c>
      <c r="AI24">
        <f>IF($AL24="","",INDEX('04_調査結果'!$AH$5:$AH$404,$AL24)&amp;"")</f>
        <v/>
      </c>
      <c r="AJ24">
        <f>IF($AL24="","",INDEX('04_調査結果'!$AA$5:$AA$404,$AL24)&amp;"")</f>
        <v/>
      </c>
      <c r="AK24">
        <f>IF($AL24="","",INDEX('04_調査結果'!$AC$5:$AC$404,$AL24)&amp;"")</f>
        <v/>
      </c>
      <c r="AL24" s="34">
        <f>IFERROR(MATCH(ROW()-4,'04_調査結果'!$AZ$5:$AZ$404,0),"")</f>
        <v/>
      </c>
    </row>
    <row r="25">
      <c r="A25">
        <f>IF($AL25="","",'01_設定'!$C$36)</f>
        <v/>
      </c>
      <c r="B25">
        <f>IF($AL25="","",'01_設定'!$C$5)</f>
        <v/>
      </c>
      <c r="C25">
        <f>IF($AL25="","",'01_設定'!$C$6)</f>
        <v/>
      </c>
      <c r="D25" s="36">
        <f>IF($AL25="","",'01_設定'!$C$22)</f>
        <v/>
      </c>
      <c r="E25" s="36">
        <f>IF($AL25="","",'01_設定'!$C$23)</f>
        <v/>
      </c>
      <c r="F25">
        <f>IF($AL25="","",'01_設定'!$C$32)</f>
        <v/>
      </c>
      <c r="G25">
        <f>IF($AL25="","",ROW()-4)</f>
        <v/>
      </c>
      <c r="H25">
        <f>IF($AL25="","",INDEX('04_調査結果'!$AO$5:$AO$404,$AL25))</f>
        <v/>
      </c>
      <c r="I25">
        <f>IF($AL25="","",IFERROR(INDEX('M2_区分マスタ'!$I$5:$I$10,INDEX('04_調査結果'!$AP$5:$AP$404,$AL25)),""))</f>
        <v/>
      </c>
      <c r="J25">
        <f>IF($AL25="","",INDEX('04_調査結果'!$BE$5:$BE$404,$AL25)&amp;"")</f>
        <v/>
      </c>
      <c r="K25">
        <f>IF($AL25="","",INDEX('04_調査結果'!$F$5:$F$404,$AL25)&amp;"")</f>
        <v/>
      </c>
      <c r="L25">
        <f>IF($AL25="","",INDEX('04_調査結果'!$G$5:$G$404,$AL25)&amp;"")</f>
        <v/>
      </c>
      <c r="M25">
        <f>IF($AL25="","",INDEX('04_調査結果'!$AQ$5:$AQ$404,$AL25)&amp;"")</f>
        <v/>
      </c>
      <c r="N25">
        <f>IF($AL25="","",IFERROR(INDEX('M1_類型マスタ'!$B$5:$B$19,MATCH(M25,'M1_類型マスタ'!$A$5:$A$19,0)),""))</f>
        <v/>
      </c>
      <c r="O25">
        <f>IF($AL25="","",INDEX('04_調査結果'!$I$5:$I$404,$AL25)&amp;"")</f>
        <v/>
      </c>
      <c r="P25">
        <f>IF($AL25="","",INDEX('04_調査結果'!$J$5:$J$404,$AL25)&amp;"")</f>
        <v/>
      </c>
      <c r="Q25">
        <f>IF($AL25="","",INDEX('04_調査結果'!$K$5:$K$404,$AL25)&amp;"")</f>
        <v/>
      </c>
      <c r="R25">
        <f>IF($AL25="","",INDEX('04_調査結果'!$L$5:$L$404,$AL25)&amp;"")</f>
        <v/>
      </c>
      <c r="S25">
        <f>IF($AL25="","",INDEX('04_調査結果'!$M$5:$M$404,$AL25)&amp;"")</f>
        <v/>
      </c>
      <c r="T25" s="33">
        <f>IF($AL25="","",IF(INDEX('04_調査結果'!$AE$5:$AE$404,$AL25)&lt;&gt;"",INDEX('04_調査結果'!$AE$5:$AE$404,$AL25),INDEX('04_調査結果'!$AS$5:$AS$404,$AL25)))</f>
        <v/>
      </c>
      <c r="U25" s="33">
        <f>IF($AL25="","",IF(INDEX('04_調査結果'!$AF$5:$AF$404,$AL25)&lt;&gt;"",INDEX('04_調査結果'!$AF$5:$AF$404,$AL25),INDEX('04_調査結果'!$AT$5:$AT$404,$AL25)))</f>
        <v/>
      </c>
      <c r="V25" s="33">
        <f>IF($AL25="","",INDEX('04_調査結果'!$AI$5:$AI$404,$AL25))</f>
        <v/>
      </c>
      <c r="W25">
        <f>IF($AL25="","",INDEX('04_調査結果'!$AU$5:$AU$404,$AL25))</f>
        <v/>
      </c>
      <c r="X25" s="37">
        <f>IF($AL25="","",INDEX('04_調査結果'!$AW$5:$AW$404,$AL25))</f>
        <v/>
      </c>
      <c r="Y25" s="37">
        <f>IF($AL25="","",INDEX('04_調査結果'!$AX$5:$AX$404,$AL25))</f>
        <v/>
      </c>
      <c r="Z25">
        <f>IF($AL25="","",INDEX('04_調査結果'!$S$5:$S$404,$AL25)&amp;"")</f>
        <v/>
      </c>
      <c r="AA25">
        <f>IF($AL25="","",INDEX('04_調査結果'!$T$5:$T$404,$AL25))</f>
        <v/>
      </c>
      <c r="AB25">
        <f>IF($AL25="","",INDEX('04_調査結果'!$U$5:$U$404,$AL25))</f>
        <v/>
      </c>
      <c r="AC25">
        <f>IF($AL25="","",INDEX('04_調査結果'!$V$5:$V$404,$AL25))</f>
        <v/>
      </c>
      <c r="AD25">
        <f>IF($AL25="","",INDEX('04_調査結果'!$W$5:$W$404,$AL25))</f>
        <v/>
      </c>
      <c r="AE25">
        <f>IF($AL25="","",INDEX('04_調査結果'!$X$5:$X$404,$AL25))</f>
        <v/>
      </c>
      <c r="AF25">
        <f>IF($AL25="","",INDEX('04_調査結果'!$Y$5:$Y$404,$AL25))</f>
        <v/>
      </c>
      <c r="AG25">
        <f>IF($AL25="","",INDEX('04_調査結果'!$Z$5:$Z$404,$AL25))</f>
        <v/>
      </c>
      <c r="AH25">
        <f>IF($AL25="","",INDEX('04_調査結果'!$AK$5:$AK$404,$AL25))</f>
        <v/>
      </c>
      <c r="AI25">
        <f>IF($AL25="","",INDEX('04_調査結果'!$AH$5:$AH$404,$AL25)&amp;"")</f>
        <v/>
      </c>
      <c r="AJ25">
        <f>IF($AL25="","",INDEX('04_調査結果'!$AA$5:$AA$404,$AL25)&amp;"")</f>
        <v/>
      </c>
      <c r="AK25">
        <f>IF($AL25="","",INDEX('04_調査結果'!$AC$5:$AC$404,$AL25)&amp;"")</f>
        <v/>
      </c>
      <c r="AL25" s="34">
        <f>IFERROR(MATCH(ROW()-4,'04_調査結果'!$AZ$5:$AZ$404,0),"")</f>
        <v/>
      </c>
    </row>
    <row r="26">
      <c r="A26">
        <f>IF($AL26="","",'01_設定'!$C$36)</f>
        <v/>
      </c>
      <c r="B26">
        <f>IF($AL26="","",'01_設定'!$C$5)</f>
        <v/>
      </c>
      <c r="C26">
        <f>IF($AL26="","",'01_設定'!$C$6)</f>
        <v/>
      </c>
      <c r="D26" s="36">
        <f>IF($AL26="","",'01_設定'!$C$22)</f>
        <v/>
      </c>
      <c r="E26" s="36">
        <f>IF($AL26="","",'01_設定'!$C$23)</f>
        <v/>
      </c>
      <c r="F26">
        <f>IF($AL26="","",'01_設定'!$C$32)</f>
        <v/>
      </c>
      <c r="G26">
        <f>IF($AL26="","",ROW()-4)</f>
        <v/>
      </c>
      <c r="H26">
        <f>IF($AL26="","",INDEX('04_調査結果'!$AO$5:$AO$404,$AL26))</f>
        <v/>
      </c>
      <c r="I26">
        <f>IF($AL26="","",IFERROR(INDEX('M2_区分マスタ'!$I$5:$I$10,INDEX('04_調査結果'!$AP$5:$AP$404,$AL26)),""))</f>
        <v/>
      </c>
      <c r="J26">
        <f>IF($AL26="","",INDEX('04_調査結果'!$BE$5:$BE$404,$AL26)&amp;"")</f>
        <v/>
      </c>
      <c r="K26">
        <f>IF($AL26="","",INDEX('04_調査結果'!$F$5:$F$404,$AL26)&amp;"")</f>
        <v/>
      </c>
      <c r="L26">
        <f>IF($AL26="","",INDEX('04_調査結果'!$G$5:$G$404,$AL26)&amp;"")</f>
        <v/>
      </c>
      <c r="M26">
        <f>IF($AL26="","",INDEX('04_調査結果'!$AQ$5:$AQ$404,$AL26)&amp;"")</f>
        <v/>
      </c>
      <c r="N26">
        <f>IF($AL26="","",IFERROR(INDEX('M1_類型マスタ'!$B$5:$B$19,MATCH(M26,'M1_類型マスタ'!$A$5:$A$19,0)),""))</f>
        <v/>
      </c>
      <c r="O26">
        <f>IF($AL26="","",INDEX('04_調査結果'!$I$5:$I$404,$AL26)&amp;"")</f>
        <v/>
      </c>
      <c r="P26">
        <f>IF($AL26="","",INDEX('04_調査結果'!$J$5:$J$404,$AL26)&amp;"")</f>
        <v/>
      </c>
      <c r="Q26">
        <f>IF($AL26="","",INDEX('04_調査結果'!$K$5:$K$404,$AL26)&amp;"")</f>
        <v/>
      </c>
      <c r="R26">
        <f>IF($AL26="","",INDEX('04_調査結果'!$L$5:$L$404,$AL26)&amp;"")</f>
        <v/>
      </c>
      <c r="S26">
        <f>IF($AL26="","",INDEX('04_調査結果'!$M$5:$M$404,$AL26)&amp;"")</f>
        <v/>
      </c>
      <c r="T26" s="33">
        <f>IF($AL26="","",IF(INDEX('04_調査結果'!$AE$5:$AE$404,$AL26)&lt;&gt;"",INDEX('04_調査結果'!$AE$5:$AE$404,$AL26),INDEX('04_調査結果'!$AS$5:$AS$404,$AL26)))</f>
        <v/>
      </c>
      <c r="U26" s="33">
        <f>IF($AL26="","",IF(INDEX('04_調査結果'!$AF$5:$AF$404,$AL26)&lt;&gt;"",INDEX('04_調査結果'!$AF$5:$AF$404,$AL26),INDEX('04_調査結果'!$AT$5:$AT$404,$AL26)))</f>
        <v/>
      </c>
      <c r="V26" s="33">
        <f>IF($AL26="","",INDEX('04_調査結果'!$AI$5:$AI$404,$AL26))</f>
        <v/>
      </c>
      <c r="W26">
        <f>IF($AL26="","",INDEX('04_調査結果'!$AU$5:$AU$404,$AL26))</f>
        <v/>
      </c>
      <c r="X26" s="37">
        <f>IF($AL26="","",INDEX('04_調査結果'!$AW$5:$AW$404,$AL26))</f>
        <v/>
      </c>
      <c r="Y26" s="37">
        <f>IF($AL26="","",INDEX('04_調査結果'!$AX$5:$AX$404,$AL26))</f>
        <v/>
      </c>
      <c r="Z26">
        <f>IF($AL26="","",INDEX('04_調査結果'!$S$5:$S$404,$AL26)&amp;"")</f>
        <v/>
      </c>
      <c r="AA26">
        <f>IF($AL26="","",INDEX('04_調査結果'!$T$5:$T$404,$AL26))</f>
        <v/>
      </c>
      <c r="AB26">
        <f>IF($AL26="","",INDEX('04_調査結果'!$U$5:$U$404,$AL26))</f>
        <v/>
      </c>
      <c r="AC26">
        <f>IF($AL26="","",INDEX('04_調査結果'!$V$5:$V$404,$AL26))</f>
        <v/>
      </c>
      <c r="AD26">
        <f>IF($AL26="","",INDEX('04_調査結果'!$W$5:$W$404,$AL26))</f>
        <v/>
      </c>
      <c r="AE26">
        <f>IF($AL26="","",INDEX('04_調査結果'!$X$5:$X$404,$AL26))</f>
        <v/>
      </c>
      <c r="AF26">
        <f>IF($AL26="","",INDEX('04_調査結果'!$Y$5:$Y$404,$AL26))</f>
        <v/>
      </c>
      <c r="AG26">
        <f>IF($AL26="","",INDEX('04_調査結果'!$Z$5:$Z$404,$AL26))</f>
        <v/>
      </c>
      <c r="AH26">
        <f>IF($AL26="","",INDEX('04_調査結果'!$AK$5:$AK$404,$AL26))</f>
        <v/>
      </c>
      <c r="AI26">
        <f>IF($AL26="","",INDEX('04_調査結果'!$AH$5:$AH$404,$AL26)&amp;"")</f>
        <v/>
      </c>
      <c r="AJ26">
        <f>IF($AL26="","",INDEX('04_調査結果'!$AA$5:$AA$404,$AL26)&amp;"")</f>
        <v/>
      </c>
      <c r="AK26">
        <f>IF($AL26="","",INDEX('04_調査結果'!$AC$5:$AC$404,$AL26)&amp;"")</f>
        <v/>
      </c>
      <c r="AL26" s="34">
        <f>IFERROR(MATCH(ROW()-4,'04_調査結果'!$AZ$5:$AZ$404,0),"")</f>
        <v/>
      </c>
    </row>
    <row r="27">
      <c r="A27">
        <f>IF($AL27="","",'01_設定'!$C$36)</f>
        <v/>
      </c>
      <c r="B27">
        <f>IF($AL27="","",'01_設定'!$C$5)</f>
        <v/>
      </c>
      <c r="C27">
        <f>IF($AL27="","",'01_設定'!$C$6)</f>
        <v/>
      </c>
      <c r="D27" s="36">
        <f>IF($AL27="","",'01_設定'!$C$22)</f>
        <v/>
      </c>
      <c r="E27" s="36">
        <f>IF($AL27="","",'01_設定'!$C$23)</f>
        <v/>
      </c>
      <c r="F27">
        <f>IF($AL27="","",'01_設定'!$C$32)</f>
        <v/>
      </c>
      <c r="G27">
        <f>IF($AL27="","",ROW()-4)</f>
        <v/>
      </c>
      <c r="H27">
        <f>IF($AL27="","",INDEX('04_調査結果'!$AO$5:$AO$404,$AL27))</f>
        <v/>
      </c>
      <c r="I27">
        <f>IF($AL27="","",IFERROR(INDEX('M2_区分マスタ'!$I$5:$I$10,INDEX('04_調査結果'!$AP$5:$AP$404,$AL27)),""))</f>
        <v/>
      </c>
      <c r="J27">
        <f>IF($AL27="","",INDEX('04_調査結果'!$BE$5:$BE$404,$AL27)&amp;"")</f>
        <v/>
      </c>
      <c r="K27">
        <f>IF($AL27="","",INDEX('04_調査結果'!$F$5:$F$404,$AL27)&amp;"")</f>
        <v/>
      </c>
      <c r="L27">
        <f>IF($AL27="","",INDEX('04_調査結果'!$G$5:$G$404,$AL27)&amp;"")</f>
        <v/>
      </c>
      <c r="M27">
        <f>IF($AL27="","",INDEX('04_調査結果'!$AQ$5:$AQ$404,$AL27)&amp;"")</f>
        <v/>
      </c>
      <c r="N27">
        <f>IF($AL27="","",IFERROR(INDEX('M1_類型マスタ'!$B$5:$B$19,MATCH(M27,'M1_類型マスタ'!$A$5:$A$19,0)),""))</f>
        <v/>
      </c>
      <c r="O27">
        <f>IF($AL27="","",INDEX('04_調査結果'!$I$5:$I$404,$AL27)&amp;"")</f>
        <v/>
      </c>
      <c r="P27">
        <f>IF($AL27="","",INDEX('04_調査結果'!$J$5:$J$404,$AL27)&amp;"")</f>
        <v/>
      </c>
      <c r="Q27">
        <f>IF($AL27="","",INDEX('04_調査結果'!$K$5:$K$404,$AL27)&amp;"")</f>
        <v/>
      </c>
      <c r="R27">
        <f>IF($AL27="","",INDEX('04_調査結果'!$L$5:$L$404,$AL27)&amp;"")</f>
        <v/>
      </c>
      <c r="S27">
        <f>IF($AL27="","",INDEX('04_調査結果'!$M$5:$M$404,$AL27)&amp;"")</f>
        <v/>
      </c>
      <c r="T27" s="33">
        <f>IF($AL27="","",IF(INDEX('04_調査結果'!$AE$5:$AE$404,$AL27)&lt;&gt;"",INDEX('04_調査結果'!$AE$5:$AE$404,$AL27),INDEX('04_調査結果'!$AS$5:$AS$404,$AL27)))</f>
        <v/>
      </c>
      <c r="U27" s="33">
        <f>IF($AL27="","",IF(INDEX('04_調査結果'!$AF$5:$AF$404,$AL27)&lt;&gt;"",INDEX('04_調査結果'!$AF$5:$AF$404,$AL27),INDEX('04_調査結果'!$AT$5:$AT$404,$AL27)))</f>
        <v/>
      </c>
      <c r="V27" s="33">
        <f>IF($AL27="","",INDEX('04_調査結果'!$AI$5:$AI$404,$AL27))</f>
        <v/>
      </c>
      <c r="W27">
        <f>IF($AL27="","",INDEX('04_調査結果'!$AU$5:$AU$404,$AL27))</f>
        <v/>
      </c>
      <c r="X27" s="37">
        <f>IF($AL27="","",INDEX('04_調査結果'!$AW$5:$AW$404,$AL27))</f>
        <v/>
      </c>
      <c r="Y27" s="37">
        <f>IF($AL27="","",INDEX('04_調査結果'!$AX$5:$AX$404,$AL27))</f>
        <v/>
      </c>
      <c r="Z27">
        <f>IF($AL27="","",INDEX('04_調査結果'!$S$5:$S$404,$AL27)&amp;"")</f>
        <v/>
      </c>
      <c r="AA27">
        <f>IF($AL27="","",INDEX('04_調査結果'!$T$5:$T$404,$AL27))</f>
        <v/>
      </c>
      <c r="AB27">
        <f>IF($AL27="","",INDEX('04_調査結果'!$U$5:$U$404,$AL27))</f>
        <v/>
      </c>
      <c r="AC27">
        <f>IF($AL27="","",INDEX('04_調査結果'!$V$5:$V$404,$AL27))</f>
        <v/>
      </c>
      <c r="AD27">
        <f>IF($AL27="","",INDEX('04_調査結果'!$W$5:$W$404,$AL27))</f>
        <v/>
      </c>
      <c r="AE27">
        <f>IF($AL27="","",INDEX('04_調査結果'!$X$5:$X$404,$AL27))</f>
        <v/>
      </c>
      <c r="AF27">
        <f>IF($AL27="","",INDEX('04_調査結果'!$Y$5:$Y$404,$AL27))</f>
        <v/>
      </c>
      <c r="AG27">
        <f>IF($AL27="","",INDEX('04_調査結果'!$Z$5:$Z$404,$AL27))</f>
        <v/>
      </c>
      <c r="AH27">
        <f>IF($AL27="","",INDEX('04_調査結果'!$AK$5:$AK$404,$AL27))</f>
        <v/>
      </c>
      <c r="AI27">
        <f>IF($AL27="","",INDEX('04_調査結果'!$AH$5:$AH$404,$AL27)&amp;"")</f>
        <v/>
      </c>
      <c r="AJ27">
        <f>IF($AL27="","",INDEX('04_調査結果'!$AA$5:$AA$404,$AL27)&amp;"")</f>
        <v/>
      </c>
      <c r="AK27">
        <f>IF($AL27="","",INDEX('04_調査結果'!$AC$5:$AC$404,$AL27)&amp;"")</f>
        <v/>
      </c>
      <c r="AL27" s="34">
        <f>IFERROR(MATCH(ROW()-4,'04_調査結果'!$AZ$5:$AZ$404,0),"")</f>
        <v/>
      </c>
    </row>
    <row r="28">
      <c r="A28">
        <f>IF($AL28="","",'01_設定'!$C$36)</f>
        <v/>
      </c>
      <c r="B28">
        <f>IF($AL28="","",'01_設定'!$C$5)</f>
        <v/>
      </c>
      <c r="C28">
        <f>IF($AL28="","",'01_設定'!$C$6)</f>
        <v/>
      </c>
      <c r="D28" s="36">
        <f>IF($AL28="","",'01_設定'!$C$22)</f>
        <v/>
      </c>
      <c r="E28" s="36">
        <f>IF($AL28="","",'01_設定'!$C$23)</f>
        <v/>
      </c>
      <c r="F28">
        <f>IF($AL28="","",'01_設定'!$C$32)</f>
        <v/>
      </c>
      <c r="G28">
        <f>IF($AL28="","",ROW()-4)</f>
        <v/>
      </c>
      <c r="H28">
        <f>IF($AL28="","",INDEX('04_調査結果'!$AO$5:$AO$404,$AL28))</f>
        <v/>
      </c>
      <c r="I28">
        <f>IF($AL28="","",IFERROR(INDEX('M2_区分マスタ'!$I$5:$I$10,INDEX('04_調査結果'!$AP$5:$AP$404,$AL28)),""))</f>
        <v/>
      </c>
      <c r="J28">
        <f>IF($AL28="","",INDEX('04_調査結果'!$BE$5:$BE$404,$AL28)&amp;"")</f>
        <v/>
      </c>
      <c r="K28">
        <f>IF($AL28="","",INDEX('04_調査結果'!$F$5:$F$404,$AL28)&amp;"")</f>
        <v/>
      </c>
      <c r="L28">
        <f>IF($AL28="","",INDEX('04_調査結果'!$G$5:$G$404,$AL28)&amp;"")</f>
        <v/>
      </c>
      <c r="M28">
        <f>IF($AL28="","",INDEX('04_調査結果'!$AQ$5:$AQ$404,$AL28)&amp;"")</f>
        <v/>
      </c>
      <c r="N28">
        <f>IF($AL28="","",IFERROR(INDEX('M1_類型マスタ'!$B$5:$B$19,MATCH(M28,'M1_類型マスタ'!$A$5:$A$19,0)),""))</f>
        <v/>
      </c>
      <c r="O28">
        <f>IF($AL28="","",INDEX('04_調査結果'!$I$5:$I$404,$AL28)&amp;"")</f>
        <v/>
      </c>
      <c r="P28">
        <f>IF($AL28="","",INDEX('04_調査結果'!$J$5:$J$404,$AL28)&amp;"")</f>
        <v/>
      </c>
      <c r="Q28">
        <f>IF($AL28="","",INDEX('04_調査結果'!$K$5:$K$404,$AL28)&amp;"")</f>
        <v/>
      </c>
      <c r="R28">
        <f>IF($AL28="","",INDEX('04_調査結果'!$L$5:$L$404,$AL28)&amp;"")</f>
        <v/>
      </c>
      <c r="S28">
        <f>IF($AL28="","",INDEX('04_調査結果'!$M$5:$M$404,$AL28)&amp;"")</f>
        <v/>
      </c>
      <c r="T28" s="33">
        <f>IF($AL28="","",IF(INDEX('04_調査結果'!$AE$5:$AE$404,$AL28)&lt;&gt;"",INDEX('04_調査結果'!$AE$5:$AE$404,$AL28),INDEX('04_調査結果'!$AS$5:$AS$404,$AL28)))</f>
        <v/>
      </c>
      <c r="U28" s="33">
        <f>IF($AL28="","",IF(INDEX('04_調査結果'!$AF$5:$AF$404,$AL28)&lt;&gt;"",INDEX('04_調査結果'!$AF$5:$AF$404,$AL28),INDEX('04_調査結果'!$AT$5:$AT$404,$AL28)))</f>
        <v/>
      </c>
      <c r="V28" s="33">
        <f>IF($AL28="","",INDEX('04_調査結果'!$AI$5:$AI$404,$AL28))</f>
        <v/>
      </c>
      <c r="W28">
        <f>IF($AL28="","",INDEX('04_調査結果'!$AU$5:$AU$404,$AL28))</f>
        <v/>
      </c>
      <c r="X28" s="37">
        <f>IF($AL28="","",INDEX('04_調査結果'!$AW$5:$AW$404,$AL28))</f>
        <v/>
      </c>
      <c r="Y28" s="37">
        <f>IF($AL28="","",INDEX('04_調査結果'!$AX$5:$AX$404,$AL28))</f>
        <v/>
      </c>
      <c r="Z28">
        <f>IF($AL28="","",INDEX('04_調査結果'!$S$5:$S$404,$AL28)&amp;"")</f>
        <v/>
      </c>
      <c r="AA28">
        <f>IF($AL28="","",INDEX('04_調査結果'!$T$5:$T$404,$AL28))</f>
        <v/>
      </c>
      <c r="AB28">
        <f>IF($AL28="","",INDEX('04_調査結果'!$U$5:$U$404,$AL28))</f>
        <v/>
      </c>
      <c r="AC28">
        <f>IF($AL28="","",INDEX('04_調査結果'!$V$5:$V$404,$AL28))</f>
        <v/>
      </c>
      <c r="AD28">
        <f>IF($AL28="","",INDEX('04_調査結果'!$W$5:$W$404,$AL28))</f>
        <v/>
      </c>
      <c r="AE28">
        <f>IF($AL28="","",INDEX('04_調査結果'!$X$5:$X$404,$AL28))</f>
        <v/>
      </c>
      <c r="AF28">
        <f>IF($AL28="","",INDEX('04_調査結果'!$Y$5:$Y$404,$AL28))</f>
        <v/>
      </c>
      <c r="AG28">
        <f>IF($AL28="","",INDEX('04_調査結果'!$Z$5:$Z$404,$AL28))</f>
        <v/>
      </c>
      <c r="AH28">
        <f>IF($AL28="","",INDEX('04_調査結果'!$AK$5:$AK$404,$AL28))</f>
        <v/>
      </c>
      <c r="AI28">
        <f>IF($AL28="","",INDEX('04_調査結果'!$AH$5:$AH$404,$AL28)&amp;"")</f>
        <v/>
      </c>
      <c r="AJ28">
        <f>IF($AL28="","",INDEX('04_調査結果'!$AA$5:$AA$404,$AL28)&amp;"")</f>
        <v/>
      </c>
      <c r="AK28">
        <f>IF($AL28="","",INDEX('04_調査結果'!$AC$5:$AC$404,$AL28)&amp;"")</f>
        <v/>
      </c>
      <c r="AL28" s="34">
        <f>IFERROR(MATCH(ROW()-4,'04_調査結果'!$AZ$5:$AZ$404,0),"")</f>
        <v/>
      </c>
    </row>
    <row r="29">
      <c r="A29">
        <f>IF($AL29="","",'01_設定'!$C$36)</f>
        <v/>
      </c>
      <c r="B29">
        <f>IF($AL29="","",'01_設定'!$C$5)</f>
        <v/>
      </c>
      <c r="C29">
        <f>IF($AL29="","",'01_設定'!$C$6)</f>
        <v/>
      </c>
      <c r="D29" s="36">
        <f>IF($AL29="","",'01_設定'!$C$22)</f>
        <v/>
      </c>
      <c r="E29" s="36">
        <f>IF($AL29="","",'01_設定'!$C$23)</f>
        <v/>
      </c>
      <c r="F29">
        <f>IF($AL29="","",'01_設定'!$C$32)</f>
        <v/>
      </c>
      <c r="G29">
        <f>IF($AL29="","",ROW()-4)</f>
        <v/>
      </c>
      <c r="H29">
        <f>IF($AL29="","",INDEX('04_調査結果'!$AO$5:$AO$404,$AL29))</f>
        <v/>
      </c>
      <c r="I29">
        <f>IF($AL29="","",IFERROR(INDEX('M2_区分マスタ'!$I$5:$I$10,INDEX('04_調査結果'!$AP$5:$AP$404,$AL29)),""))</f>
        <v/>
      </c>
      <c r="J29">
        <f>IF($AL29="","",INDEX('04_調査結果'!$BE$5:$BE$404,$AL29)&amp;"")</f>
        <v/>
      </c>
      <c r="K29">
        <f>IF($AL29="","",INDEX('04_調査結果'!$F$5:$F$404,$AL29)&amp;"")</f>
        <v/>
      </c>
      <c r="L29">
        <f>IF($AL29="","",INDEX('04_調査結果'!$G$5:$G$404,$AL29)&amp;"")</f>
        <v/>
      </c>
      <c r="M29">
        <f>IF($AL29="","",INDEX('04_調査結果'!$AQ$5:$AQ$404,$AL29)&amp;"")</f>
        <v/>
      </c>
      <c r="N29">
        <f>IF($AL29="","",IFERROR(INDEX('M1_類型マスタ'!$B$5:$B$19,MATCH(M29,'M1_類型マスタ'!$A$5:$A$19,0)),""))</f>
        <v/>
      </c>
      <c r="O29">
        <f>IF($AL29="","",INDEX('04_調査結果'!$I$5:$I$404,$AL29)&amp;"")</f>
        <v/>
      </c>
      <c r="P29">
        <f>IF($AL29="","",INDEX('04_調査結果'!$J$5:$J$404,$AL29)&amp;"")</f>
        <v/>
      </c>
      <c r="Q29">
        <f>IF($AL29="","",INDEX('04_調査結果'!$K$5:$K$404,$AL29)&amp;"")</f>
        <v/>
      </c>
      <c r="R29">
        <f>IF($AL29="","",INDEX('04_調査結果'!$L$5:$L$404,$AL29)&amp;"")</f>
        <v/>
      </c>
      <c r="S29">
        <f>IF($AL29="","",INDEX('04_調査結果'!$M$5:$M$404,$AL29)&amp;"")</f>
        <v/>
      </c>
      <c r="T29" s="33">
        <f>IF($AL29="","",IF(INDEX('04_調査結果'!$AE$5:$AE$404,$AL29)&lt;&gt;"",INDEX('04_調査結果'!$AE$5:$AE$404,$AL29),INDEX('04_調査結果'!$AS$5:$AS$404,$AL29)))</f>
        <v/>
      </c>
      <c r="U29" s="33">
        <f>IF($AL29="","",IF(INDEX('04_調査結果'!$AF$5:$AF$404,$AL29)&lt;&gt;"",INDEX('04_調査結果'!$AF$5:$AF$404,$AL29),INDEX('04_調査結果'!$AT$5:$AT$404,$AL29)))</f>
        <v/>
      </c>
      <c r="V29" s="33">
        <f>IF($AL29="","",INDEX('04_調査結果'!$AI$5:$AI$404,$AL29))</f>
        <v/>
      </c>
      <c r="W29">
        <f>IF($AL29="","",INDEX('04_調査結果'!$AU$5:$AU$404,$AL29))</f>
        <v/>
      </c>
      <c r="X29" s="37">
        <f>IF($AL29="","",INDEX('04_調査結果'!$AW$5:$AW$404,$AL29))</f>
        <v/>
      </c>
      <c r="Y29" s="37">
        <f>IF($AL29="","",INDEX('04_調査結果'!$AX$5:$AX$404,$AL29))</f>
        <v/>
      </c>
      <c r="Z29">
        <f>IF($AL29="","",INDEX('04_調査結果'!$S$5:$S$404,$AL29)&amp;"")</f>
        <v/>
      </c>
      <c r="AA29">
        <f>IF($AL29="","",INDEX('04_調査結果'!$T$5:$T$404,$AL29))</f>
        <v/>
      </c>
      <c r="AB29">
        <f>IF($AL29="","",INDEX('04_調査結果'!$U$5:$U$404,$AL29))</f>
        <v/>
      </c>
      <c r="AC29">
        <f>IF($AL29="","",INDEX('04_調査結果'!$V$5:$V$404,$AL29))</f>
        <v/>
      </c>
      <c r="AD29">
        <f>IF($AL29="","",INDEX('04_調査結果'!$W$5:$W$404,$AL29))</f>
        <v/>
      </c>
      <c r="AE29">
        <f>IF($AL29="","",INDEX('04_調査結果'!$X$5:$X$404,$AL29))</f>
        <v/>
      </c>
      <c r="AF29">
        <f>IF($AL29="","",INDEX('04_調査結果'!$Y$5:$Y$404,$AL29))</f>
        <v/>
      </c>
      <c r="AG29">
        <f>IF($AL29="","",INDEX('04_調査結果'!$Z$5:$Z$404,$AL29))</f>
        <v/>
      </c>
      <c r="AH29">
        <f>IF($AL29="","",INDEX('04_調査結果'!$AK$5:$AK$404,$AL29))</f>
        <v/>
      </c>
      <c r="AI29">
        <f>IF($AL29="","",INDEX('04_調査結果'!$AH$5:$AH$404,$AL29)&amp;"")</f>
        <v/>
      </c>
      <c r="AJ29">
        <f>IF($AL29="","",INDEX('04_調査結果'!$AA$5:$AA$404,$AL29)&amp;"")</f>
        <v/>
      </c>
      <c r="AK29">
        <f>IF($AL29="","",INDEX('04_調査結果'!$AC$5:$AC$404,$AL29)&amp;"")</f>
        <v/>
      </c>
      <c r="AL29" s="34">
        <f>IFERROR(MATCH(ROW()-4,'04_調査結果'!$AZ$5:$AZ$404,0),"")</f>
        <v/>
      </c>
    </row>
    <row r="30">
      <c r="A30">
        <f>IF($AL30="","",'01_設定'!$C$36)</f>
        <v/>
      </c>
      <c r="B30">
        <f>IF($AL30="","",'01_設定'!$C$5)</f>
        <v/>
      </c>
      <c r="C30">
        <f>IF($AL30="","",'01_設定'!$C$6)</f>
        <v/>
      </c>
      <c r="D30" s="36">
        <f>IF($AL30="","",'01_設定'!$C$22)</f>
        <v/>
      </c>
      <c r="E30" s="36">
        <f>IF($AL30="","",'01_設定'!$C$23)</f>
        <v/>
      </c>
      <c r="F30">
        <f>IF($AL30="","",'01_設定'!$C$32)</f>
        <v/>
      </c>
      <c r="G30">
        <f>IF($AL30="","",ROW()-4)</f>
        <v/>
      </c>
      <c r="H30">
        <f>IF($AL30="","",INDEX('04_調査結果'!$AO$5:$AO$404,$AL30))</f>
        <v/>
      </c>
      <c r="I30">
        <f>IF($AL30="","",IFERROR(INDEX('M2_区分マスタ'!$I$5:$I$10,INDEX('04_調査結果'!$AP$5:$AP$404,$AL30)),""))</f>
        <v/>
      </c>
      <c r="J30">
        <f>IF($AL30="","",INDEX('04_調査結果'!$BE$5:$BE$404,$AL30)&amp;"")</f>
        <v/>
      </c>
      <c r="K30">
        <f>IF($AL30="","",INDEX('04_調査結果'!$F$5:$F$404,$AL30)&amp;"")</f>
        <v/>
      </c>
      <c r="L30">
        <f>IF($AL30="","",INDEX('04_調査結果'!$G$5:$G$404,$AL30)&amp;"")</f>
        <v/>
      </c>
      <c r="M30">
        <f>IF($AL30="","",INDEX('04_調査結果'!$AQ$5:$AQ$404,$AL30)&amp;"")</f>
        <v/>
      </c>
      <c r="N30">
        <f>IF($AL30="","",IFERROR(INDEX('M1_類型マスタ'!$B$5:$B$19,MATCH(M30,'M1_類型マスタ'!$A$5:$A$19,0)),""))</f>
        <v/>
      </c>
      <c r="O30">
        <f>IF($AL30="","",INDEX('04_調査結果'!$I$5:$I$404,$AL30)&amp;"")</f>
        <v/>
      </c>
      <c r="P30">
        <f>IF($AL30="","",INDEX('04_調査結果'!$J$5:$J$404,$AL30)&amp;"")</f>
        <v/>
      </c>
      <c r="Q30">
        <f>IF($AL30="","",INDEX('04_調査結果'!$K$5:$K$404,$AL30)&amp;"")</f>
        <v/>
      </c>
      <c r="R30">
        <f>IF($AL30="","",INDEX('04_調査結果'!$L$5:$L$404,$AL30)&amp;"")</f>
        <v/>
      </c>
      <c r="S30">
        <f>IF($AL30="","",INDEX('04_調査結果'!$M$5:$M$404,$AL30)&amp;"")</f>
        <v/>
      </c>
      <c r="T30" s="33">
        <f>IF($AL30="","",IF(INDEX('04_調査結果'!$AE$5:$AE$404,$AL30)&lt;&gt;"",INDEX('04_調査結果'!$AE$5:$AE$404,$AL30),INDEX('04_調査結果'!$AS$5:$AS$404,$AL30)))</f>
        <v/>
      </c>
      <c r="U30" s="33">
        <f>IF($AL30="","",IF(INDEX('04_調査結果'!$AF$5:$AF$404,$AL30)&lt;&gt;"",INDEX('04_調査結果'!$AF$5:$AF$404,$AL30),INDEX('04_調査結果'!$AT$5:$AT$404,$AL30)))</f>
        <v/>
      </c>
      <c r="V30" s="33">
        <f>IF($AL30="","",INDEX('04_調査結果'!$AI$5:$AI$404,$AL30))</f>
        <v/>
      </c>
      <c r="W30">
        <f>IF($AL30="","",INDEX('04_調査結果'!$AU$5:$AU$404,$AL30))</f>
        <v/>
      </c>
      <c r="X30" s="37">
        <f>IF($AL30="","",INDEX('04_調査結果'!$AW$5:$AW$404,$AL30))</f>
        <v/>
      </c>
      <c r="Y30" s="37">
        <f>IF($AL30="","",INDEX('04_調査結果'!$AX$5:$AX$404,$AL30))</f>
        <v/>
      </c>
      <c r="Z30">
        <f>IF($AL30="","",INDEX('04_調査結果'!$S$5:$S$404,$AL30)&amp;"")</f>
        <v/>
      </c>
      <c r="AA30">
        <f>IF($AL30="","",INDEX('04_調査結果'!$T$5:$T$404,$AL30))</f>
        <v/>
      </c>
      <c r="AB30">
        <f>IF($AL30="","",INDEX('04_調査結果'!$U$5:$U$404,$AL30))</f>
        <v/>
      </c>
      <c r="AC30">
        <f>IF($AL30="","",INDEX('04_調査結果'!$V$5:$V$404,$AL30))</f>
        <v/>
      </c>
      <c r="AD30">
        <f>IF($AL30="","",INDEX('04_調査結果'!$W$5:$W$404,$AL30))</f>
        <v/>
      </c>
      <c r="AE30">
        <f>IF($AL30="","",INDEX('04_調査結果'!$X$5:$X$404,$AL30))</f>
        <v/>
      </c>
      <c r="AF30">
        <f>IF($AL30="","",INDEX('04_調査結果'!$Y$5:$Y$404,$AL30))</f>
        <v/>
      </c>
      <c r="AG30">
        <f>IF($AL30="","",INDEX('04_調査結果'!$Z$5:$Z$404,$AL30))</f>
        <v/>
      </c>
      <c r="AH30">
        <f>IF($AL30="","",INDEX('04_調査結果'!$AK$5:$AK$404,$AL30))</f>
        <v/>
      </c>
      <c r="AI30">
        <f>IF($AL30="","",INDEX('04_調査結果'!$AH$5:$AH$404,$AL30)&amp;"")</f>
        <v/>
      </c>
      <c r="AJ30">
        <f>IF($AL30="","",INDEX('04_調査結果'!$AA$5:$AA$404,$AL30)&amp;"")</f>
        <v/>
      </c>
      <c r="AK30">
        <f>IF($AL30="","",INDEX('04_調査結果'!$AC$5:$AC$404,$AL30)&amp;"")</f>
        <v/>
      </c>
      <c r="AL30" s="34">
        <f>IFERROR(MATCH(ROW()-4,'04_調査結果'!$AZ$5:$AZ$404,0),"")</f>
        <v/>
      </c>
    </row>
    <row r="31">
      <c r="A31">
        <f>IF($AL31="","",'01_設定'!$C$36)</f>
        <v/>
      </c>
      <c r="B31">
        <f>IF($AL31="","",'01_設定'!$C$5)</f>
        <v/>
      </c>
      <c r="C31">
        <f>IF($AL31="","",'01_設定'!$C$6)</f>
        <v/>
      </c>
      <c r="D31" s="36">
        <f>IF($AL31="","",'01_設定'!$C$22)</f>
        <v/>
      </c>
      <c r="E31" s="36">
        <f>IF($AL31="","",'01_設定'!$C$23)</f>
        <v/>
      </c>
      <c r="F31">
        <f>IF($AL31="","",'01_設定'!$C$32)</f>
        <v/>
      </c>
      <c r="G31">
        <f>IF($AL31="","",ROW()-4)</f>
        <v/>
      </c>
      <c r="H31">
        <f>IF($AL31="","",INDEX('04_調査結果'!$AO$5:$AO$404,$AL31))</f>
        <v/>
      </c>
      <c r="I31">
        <f>IF($AL31="","",IFERROR(INDEX('M2_区分マスタ'!$I$5:$I$10,INDEX('04_調査結果'!$AP$5:$AP$404,$AL31)),""))</f>
        <v/>
      </c>
      <c r="J31">
        <f>IF($AL31="","",INDEX('04_調査結果'!$BE$5:$BE$404,$AL31)&amp;"")</f>
        <v/>
      </c>
      <c r="K31">
        <f>IF($AL31="","",INDEX('04_調査結果'!$F$5:$F$404,$AL31)&amp;"")</f>
        <v/>
      </c>
      <c r="L31">
        <f>IF($AL31="","",INDEX('04_調査結果'!$G$5:$G$404,$AL31)&amp;"")</f>
        <v/>
      </c>
      <c r="M31">
        <f>IF($AL31="","",INDEX('04_調査結果'!$AQ$5:$AQ$404,$AL31)&amp;"")</f>
        <v/>
      </c>
      <c r="N31">
        <f>IF($AL31="","",IFERROR(INDEX('M1_類型マスタ'!$B$5:$B$19,MATCH(M31,'M1_類型マスタ'!$A$5:$A$19,0)),""))</f>
        <v/>
      </c>
      <c r="O31">
        <f>IF($AL31="","",INDEX('04_調査結果'!$I$5:$I$404,$AL31)&amp;"")</f>
        <v/>
      </c>
      <c r="P31">
        <f>IF($AL31="","",INDEX('04_調査結果'!$J$5:$J$404,$AL31)&amp;"")</f>
        <v/>
      </c>
      <c r="Q31">
        <f>IF($AL31="","",INDEX('04_調査結果'!$K$5:$K$404,$AL31)&amp;"")</f>
        <v/>
      </c>
      <c r="R31">
        <f>IF($AL31="","",INDEX('04_調査結果'!$L$5:$L$404,$AL31)&amp;"")</f>
        <v/>
      </c>
      <c r="S31">
        <f>IF($AL31="","",INDEX('04_調査結果'!$M$5:$M$404,$AL31)&amp;"")</f>
        <v/>
      </c>
      <c r="T31" s="33">
        <f>IF($AL31="","",IF(INDEX('04_調査結果'!$AE$5:$AE$404,$AL31)&lt;&gt;"",INDEX('04_調査結果'!$AE$5:$AE$404,$AL31),INDEX('04_調査結果'!$AS$5:$AS$404,$AL31)))</f>
        <v/>
      </c>
      <c r="U31" s="33">
        <f>IF($AL31="","",IF(INDEX('04_調査結果'!$AF$5:$AF$404,$AL31)&lt;&gt;"",INDEX('04_調査結果'!$AF$5:$AF$404,$AL31),INDEX('04_調査結果'!$AT$5:$AT$404,$AL31)))</f>
        <v/>
      </c>
      <c r="V31" s="33">
        <f>IF($AL31="","",INDEX('04_調査結果'!$AI$5:$AI$404,$AL31))</f>
        <v/>
      </c>
      <c r="W31">
        <f>IF($AL31="","",INDEX('04_調査結果'!$AU$5:$AU$404,$AL31))</f>
        <v/>
      </c>
      <c r="X31" s="37">
        <f>IF($AL31="","",INDEX('04_調査結果'!$AW$5:$AW$404,$AL31))</f>
        <v/>
      </c>
      <c r="Y31" s="37">
        <f>IF($AL31="","",INDEX('04_調査結果'!$AX$5:$AX$404,$AL31))</f>
        <v/>
      </c>
      <c r="Z31">
        <f>IF($AL31="","",INDEX('04_調査結果'!$S$5:$S$404,$AL31)&amp;"")</f>
        <v/>
      </c>
      <c r="AA31">
        <f>IF($AL31="","",INDEX('04_調査結果'!$T$5:$T$404,$AL31))</f>
        <v/>
      </c>
      <c r="AB31">
        <f>IF($AL31="","",INDEX('04_調査結果'!$U$5:$U$404,$AL31))</f>
        <v/>
      </c>
      <c r="AC31">
        <f>IF($AL31="","",INDEX('04_調査結果'!$V$5:$V$404,$AL31))</f>
        <v/>
      </c>
      <c r="AD31">
        <f>IF($AL31="","",INDEX('04_調査結果'!$W$5:$W$404,$AL31))</f>
        <v/>
      </c>
      <c r="AE31">
        <f>IF($AL31="","",INDEX('04_調査結果'!$X$5:$X$404,$AL31))</f>
        <v/>
      </c>
      <c r="AF31">
        <f>IF($AL31="","",INDEX('04_調査結果'!$Y$5:$Y$404,$AL31))</f>
        <v/>
      </c>
      <c r="AG31">
        <f>IF($AL31="","",INDEX('04_調査結果'!$Z$5:$Z$404,$AL31))</f>
        <v/>
      </c>
      <c r="AH31">
        <f>IF($AL31="","",INDEX('04_調査結果'!$AK$5:$AK$404,$AL31))</f>
        <v/>
      </c>
      <c r="AI31">
        <f>IF($AL31="","",INDEX('04_調査結果'!$AH$5:$AH$404,$AL31)&amp;"")</f>
        <v/>
      </c>
      <c r="AJ31">
        <f>IF($AL31="","",INDEX('04_調査結果'!$AA$5:$AA$404,$AL31)&amp;"")</f>
        <v/>
      </c>
      <c r="AK31">
        <f>IF($AL31="","",INDEX('04_調査結果'!$AC$5:$AC$404,$AL31)&amp;"")</f>
        <v/>
      </c>
      <c r="AL31" s="34">
        <f>IFERROR(MATCH(ROW()-4,'04_調査結果'!$AZ$5:$AZ$404,0),"")</f>
        <v/>
      </c>
    </row>
    <row r="32">
      <c r="A32">
        <f>IF($AL32="","",'01_設定'!$C$36)</f>
        <v/>
      </c>
      <c r="B32">
        <f>IF($AL32="","",'01_設定'!$C$5)</f>
        <v/>
      </c>
      <c r="C32">
        <f>IF($AL32="","",'01_設定'!$C$6)</f>
        <v/>
      </c>
      <c r="D32" s="36">
        <f>IF($AL32="","",'01_設定'!$C$22)</f>
        <v/>
      </c>
      <c r="E32" s="36">
        <f>IF($AL32="","",'01_設定'!$C$23)</f>
        <v/>
      </c>
      <c r="F32">
        <f>IF($AL32="","",'01_設定'!$C$32)</f>
        <v/>
      </c>
      <c r="G32">
        <f>IF($AL32="","",ROW()-4)</f>
        <v/>
      </c>
      <c r="H32">
        <f>IF($AL32="","",INDEX('04_調査結果'!$AO$5:$AO$404,$AL32))</f>
        <v/>
      </c>
      <c r="I32">
        <f>IF($AL32="","",IFERROR(INDEX('M2_区分マスタ'!$I$5:$I$10,INDEX('04_調査結果'!$AP$5:$AP$404,$AL32)),""))</f>
        <v/>
      </c>
      <c r="J32">
        <f>IF($AL32="","",INDEX('04_調査結果'!$BE$5:$BE$404,$AL32)&amp;"")</f>
        <v/>
      </c>
      <c r="K32">
        <f>IF($AL32="","",INDEX('04_調査結果'!$F$5:$F$404,$AL32)&amp;"")</f>
        <v/>
      </c>
      <c r="L32">
        <f>IF($AL32="","",INDEX('04_調査結果'!$G$5:$G$404,$AL32)&amp;"")</f>
        <v/>
      </c>
      <c r="M32">
        <f>IF($AL32="","",INDEX('04_調査結果'!$AQ$5:$AQ$404,$AL32)&amp;"")</f>
        <v/>
      </c>
      <c r="N32">
        <f>IF($AL32="","",IFERROR(INDEX('M1_類型マスタ'!$B$5:$B$19,MATCH(M32,'M1_類型マスタ'!$A$5:$A$19,0)),""))</f>
        <v/>
      </c>
      <c r="O32">
        <f>IF($AL32="","",INDEX('04_調査結果'!$I$5:$I$404,$AL32)&amp;"")</f>
        <v/>
      </c>
      <c r="P32">
        <f>IF($AL32="","",INDEX('04_調査結果'!$J$5:$J$404,$AL32)&amp;"")</f>
        <v/>
      </c>
      <c r="Q32">
        <f>IF($AL32="","",INDEX('04_調査結果'!$K$5:$K$404,$AL32)&amp;"")</f>
        <v/>
      </c>
      <c r="R32">
        <f>IF($AL32="","",INDEX('04_調査結果'!$L$5:$L$404,$AL32)&amp;"")</f>
        <v/>
      </c>
      <c r="S32">
        <f>IF($AL32="","",INDEX('04_調査結果'!$M$5:$M$404,$AL32)&amp;"")</f>
        <v/>
      </c>
      <c r="T32" s="33">
        <f>IF($AL32="","",IF(INDEX('04_調査結果'!$AE$5:$AE$404,$AL32)&lt;&gt;"",INDEX('04_調査結果'!$AE$5:$AE$404,$AL32),INDEX('04_調査結果'!$AS$5:$AS$404,$AL32)))</f>
        <v/>
      </c>
      <c r="U32" s="33">
        <f>IF($AL32="","",IF(INDEX('04_調査結果'!$AF$5:$AF$404,$AL32)&lt;&gt;"",INDEX('04_調査結果'!$AF$5:$AF$404,$AL32),INDEX('04_調査結果'!$AT$5:$AT$404,$AL32)))</f>
        <v/>
      </c>
      <c r="V32" s="33">
        <f>IF($AL32="","",INDEX('04_調査結果'!$AI$5:$AI$404,$AL32))</f>
        <v/>
      </c>
      <c r="W32">
        <f>IF($AL32="","",INDEX('04_調査結果'!$AU$5:$AU$404,$AL32))</f>
        <v/>
      </c>
      <c r="X32" s="37">
        <f>IF($AL32="","",INDEX('04_調査結果'!$AW$5:$AW$404,$AL32))</f>
        <v/>
      </c>
      <c r="Y32" s="37">
        <f>IF($AL32="","",INDEX('04_調査結果'!$AX$5:$AX$404,$AL32))</f>
        <v/>
      </c>
      <c r="Z32">
        <f>IF($AL32="","",INDEX('04_調査結果'!$S$5:$S$404,$AL32)&amp;"")</f>
        <v/>
      </c>
      <c r="AA32">
        <f>IF($AL32="","",INDEX('04_調査結果'!$T$5:$T$404,$AL32))</f>
        <v/>
      </c>
      <c r="AB32">
        <f>IF($AL32="","",INDEX('04_調査結果'!$U$5:$U$404,$AL32))</f>
        <v/>
      </c>
      <c r="AC32">
        <f>IF($AL32="","",INDEX('04_調査結果'!$V$5:$V$404,$AL32))</f>
        <v/>
      </c>
      <c r="AD32">
        <f>IF($AL32="","",INDEX('04_調査結果'!$W$5:$W$404,$AL32))</f>
        <v/>
      </c>
      <c r="AE32">
        <f>IF($AL32="","",INDEX('04_調査結果'!$X$5:$X$404,$AL32))</f>
        <v/>
      </c>
      <c r="AF32">
        <f>IF($AL32="","",INDEX('04_調査結果'!$Y$5:$Y$404,$AL32))</f>
        <v/>
      </c>
      <c r="AG32">
        <f>IF($AL32="","",INDEX('04_調査結果'!$Z$5:$Z$404,$AL32))</f>
        <v/>
      </c>
      <c r="AH32">
        <f>IF($AL32="","",INDEX('04_調査結果'!$AK$5:$AK$404,$AL32))</f>
        <v/>
      </c>
      <c r="AI32">
        <f>IF($AL32="","",INDEX('04_調査結果'!$AH$5:$AH$404,$AL32)&amp;"")</f>
        <v/>
      </c>
      <c r="AJ32">
        <f>IF($AL32="","",INDEX('04_調査結果'!$AA$5:$AA$404,$AL32)&amp;"")</f>
        <v/>
      </c>
      <c r="AK32">
        <f>IF($AL32="","",INDEX('04_調査結果'!$AC$5:$AC$404,$AL32)&amp;"")</f>
        <v/>
      </c>
      <c r="AL32" s="34">
        <f>IFERROR(MATCH(ROW()-4,'04_調査結果'!$AZ$5:$AZ$404,0),"")</f>
        <v/>
      </c>
    </row>
    <row r="33">
      <c r="A33">
        <f>IF($AL33="","",'01_設定'!$C$36)</f>
        <v/>
      </c>
      <c r="B33">
        <f>IF($AL33="","",'01_設定'!$C$5)</f>
        <v/>
      </c>
      <c r="C33">
        <f>IF($AL33="","",'01_設定'!$C$6)</f>
        <v/>
      </c>
      <c r="D33" s="36">
        <f>IF($AL33="","",'01_設定'!$C$22)</f>
        <v/>
      </c>
      <c r="E33" s="36">
        <f>IF($AL33="","",'01_設定'!$C$23)</f>
        <v/>
      </c>
      <c r="F33">
        <f>IF($AL33="","",'01_設定'!$C$32)</f>
        <v/>
      </c>
      <c r="G33">
        <f>IF($AL33="","",ROW()-4)</f>
        <v/>
      </c>
      <c r="H33">
        <f>IF($AL33="","",INDEX('04_調査結果'!$AO$5:$AO$404,$AL33))</f>
        <v/>
      </c>
      <c r="I33">
        <f>IF($AL33="","",IFERROR(INDEX('M2_区分マスタ'!$I$5:$I$10,INDEX('04_調査結果'!$AP$5:$AP$404,$AL33)),""))</f>
        <v/>
      </c>
      <c r="J33">
        <f>IF($AL33="","",INDEX('04_調査結果'!$BE$5:$BE$404,$AL33)&amp;"")</f>
        <v/>
      </c>
      <c r="K33">
        <f>IF($AL33="","",INDEX('04_調査結果'!$F$5:$F$404,$AL33)&amp;"")</f>
        <v/>
      </c>
      <c r="L33">
        <f>IF($AL33="","",INDEX('04_調査結果'!$G$5:$G$404,$AL33)&amp;"")</f>
        <v/>
      </c>
      <c r="M33">
        <f>IF($AL33="","",INDEX('04_調査結果'!$AQ$5:$AQ$404,$AL33)&amp;"")</f>
        <v/>
      </c>
      <c r="N33">
        <f>IF($AL33="","",IFERROR(INDEX('M1_類型マスタ'!$B$5:$B$19,MATCH(M33,'M1_類型マスタ'!$A$5:$A$19,0)),""))</f>
        <v/>
      </c>
      <c r="O33">
        <f>IF($AL33="","",INDEX('04_調査結果'!$I$5:$I$404,$AL33)&amp;"")</f>
        <v/>
      </c>
      <c r="P33">
        <f>IF($AL33="","",INDEX('04_調査結果'!$J$5:$J$404,$AL33)&amp;"")</f>
        <v/>
      </c>
      <c r="Q33">
        <f>IF($AL33="","",INDEX('04_調査結果'!$K$5:$K$404,$AL33)&amp;"")</f>
        <v/>
      </c>
      <c r="R33">
        <f>IF($AL33="","",INDEX('04_調査結果'!$L$5:$L$404,$AL33)&amp;"")</f>
        <v/>
      </c>
      <c r="S33">
        <f>IF($AL33="","",INDEX('04_調査結果'!$M$5:$M$404,$AL33)&amp;"")</f>
        <v/>
      </c>
      <c r="T33" s="33">
        <f>IF($AL33="","",IF(INDEX('04_調査結果'!$AE$5:$AE$404,$AL33)&lt;&gt;"",INDEX('04_調査結果'!$AE$5:$AE$404,$AL33),INDEX('04_調査結果'!$AS$5:$AS$404,$AL33)))</f>
        <v/>
      </c>
      <c r="U33" s="33">
        <f>IF($AL33="","",IF(INDEX('04_調査結果'!$AF$5:$AF$404,$AL33)&lt;&gt;"",INDEX('04_調査結果'!$AF$5:$AF$404,$AL33),INDEX('04_調査結果'!$AT$5:$AT$404,$AL33)))</f>
        <v/>
      </c>
      <c r="V33" s="33">
        <f>IF($AL33="","",INDEX('04_調査結果'!$AI$5:$AI$404,$AL33))</f>
        <v/>
      </c>
      <c r="W33">
        <f>IF($AL33="","",INDEX('04_調査結果'!$AU$5:$AU$404,$AL33))</f>
        <v/>
      </c>
      <c r="X33" s="37">
        <f>IF($AL33="","",INDEX('04_調査結果'!$AW$5:$AW$404,$AL33))</f>
        <v/>
      </c>
      <c r="Y33" s="37">
        <f>IF($AL33="","",INDEX('04_調査結果'!$AX$5:$AX$404,$AL33))</f>
        <v/>
      </c>
      <c r="Z33">
        <f>IF($AL33="","",INDEX('04_調査結果'!$S$5:$S$404,$AL33)&amp;"")</f>
        <v/>
      </c>
      <c r="AA33">
        <f>IF($AL33="","",INDEX('04_調査結果'!$T$5:$T$404,$AL33))</f>
        <v/>
      </c>
      <c r="AB33">
        <f>IF($AL33="","",INDEX('04_調査結果'!$U$5:$U$404,$AL33))</f>
        <v/>
      </c>
      <c r="AC33">
        <f>IF($AL33="","",INDEX('04_調査結果'!$V$5:$V$404,$AL33))</f>
        <v/>
      </c>
      <c r="AD33">
        <f>IF($AL33="","",INDEX('04_調査結果'!$W$5:$W$404,$AL33))</f>
        <v/>
      </c>
      <c r="AE33">
        <f>IF($AL33="","",INDEX('04_調査結果'!$X$5:$X$404,$AL33))</f>
        <v/>
      </c>
      <c r="AF33">
        <f>IF($AL33="","",INDEX('04_調査結果'!$Y$5:$Y$404,$AL33))</f>
        <v/>
      </c>
      <c r="AG33">
        <f>IF($AL33="","",INDEX('04_調査結果'!$Z$5:$Z$404,$AL33))</f>
        <v/>
      </c>
      <c r="AH33">
        <f>IF($AL33="","",INDEX('04_調査結果'!$AK$5:$AK$404,$AL33))</f>
        <v/>
      </c>
      <c r="AI33">
        <f>IF($AL33="","",INDEX('04_調査結果'!$AH$5:$AH$404,$AL33)&amp;"")</f>
        <v/>
      </c>
      <c r="AJ33">
        <f>IF($AL33="","",INDEX('04_調査結果'!$AA$5:$AA$404,$AL33)&amp;"")</f>
        <v/>
      </c>
      <c r="AK33">
        <f>IF($AL33="","",INDEX('04_調査結果'!$AC$5:$AC$404,$AL33)&amp;"")</f>
        <v/>
      </c>
      <c r="AL33" s="34">
        <f>IFERROR(MATCH(ROW()-4,'04_調査結果'!$AZ$5:$AZ$404,0),"")</f>
        <v/>
      </c>
    </row>
    <row r="34">
      <c r="A34">
        <f>IF($AL34="","",'01_設定'!$C$36)</f>
        <v/>
      </c>
      <c r="B34">
        <f>IF($AL34="","",'01_設定'!$C$5)</f>
        <v/>
      </c>
      <c r="C34">
        <f>IF($AL34="","",'01_設定'!$C$6)</f>
        <v/>
      </c>
      <c r="D34" s="36">
        <f>IF($AL34="","",'01_設定'!$C$22)</f>
        <v/>
      </c>
      <c r="E34" s="36">
        <f>IF($AL34="","",'01_設定'!$C$23)</f>
        <v/>
      </c>
      <c r="F34">
        <f>IF($AL34="","",'01_設定'!$C$32)</f>
        <v/>
      </c>
      <c r="G34">
        <f>IF($AL34="","",ROW()-4)</f>
        <v/>
      </c>
      <c r="H34">
        <f>IF($AL34="","",INDEX('04_調査結果'!$AO$5:$AO$404,$AL34))</f>
        <v/>
      </c>
      <c r="I34">
        <f>IF($AL34="","",IFERROR(INDEX('M2_区分マスタ'!$I$5:$I$10,INDEX('04_調査結果'!$AP$5:$AP$404,$AL34)),""))</f>
        <v/>
      </c>
      <c r="J34">
        <f>IF($AL34="","",INDEX('04_調査結果'!$BE$5:$BE$404,$AL34)&amp;"")</f>
        <v/>
      </c>
      <c r="K34">
        <f>IF($AL34="","",INDEX('04_調査結果'!$F$5:$F$404,$AL34)&amp;"")</f>
        <v/>
      </c>
      <c r="L34">
        <f>IF($AL34="","",INDEX('04_調査結果'!$G$5:$G$404,$AL34)&amp;"")</f>
        <v/>
      </c>
      <c r="M34">
        <f>IF($AL34="","",INDEX('04_調査結果'!$AQ$5:$AQ$404,$AL34)&amp;"")</f>
        <v/>
      </c>
      <c r="N34">
        <f>IF($AL34="","",IFERROR(INDEX('M1_類型マスタ'!$B$5:$B$19,MATCH(M34,'M1_類型マスタ'!$A$5:$A$19,0)),""))</f>
        <v/>
      </c>
      <c r="O34">
        <f>IF($AL34="","",INDEX('04_調査結果'!$I$5:$I$404,$AL34)&amp;"")</f>
        <v/>
      </c>
      <c r="P34">
        <f>IF($AL34="","",INDEX('04_調査結果'!$J$5:$J$404,$AL34)&amp;"")</f>
        <v/>
      </c>
      <c r="Q34">
        <f>IF($AL34="","",INDEX('04_調査結果'!$K$5:$K$404,$AL34)&amp;"")</f>
        <v/>
      </c>
      <c r="R34">
        <f>IF($AL34="","",INDEX('04_調査結果'!$L$5:$L$404,$AL34)&amp;"")</f>
        <v/>
      </c>
      <c r="S34">
        <f>IF($AL34="","",INDEX('04_調査結果'!$M$5:$M$404,$AL34)&amp;"")</f>
        <v/>
      </c>
      <c r="T34" s="33">
        <f>IF($AL34="","",IF(INDEX('04_調査結果'!$AE$5:$AE$404,$AL34)&lt;&gt;"",INDEX('04_調査結果'!$AE$5:$AE$404,$AL34),INDEX('04_調査結果'!$AS$5:$AS$404,$AL34)))</f>
        <v/>
      </c>
      <c r="U34" s="33">
        <f>IF($AL34="","",IF(INDEX('04_調査結果'!$AF$5:$AF$404,$AL34)&lt;&gt;"",INDEX('04_調査結果'!$AF$5:$AF$404,$AL34),INDEX('04_調査結果'!$AT$5:$AT$404,$AL34)))</f>
        <v/>
      </c>
      <c r="V34" s="33">
        <f>IF($AL34="","",INDEX('04_調査結果'!$AI$5:$AI$404,$AL34))</f>
        <v/>
      </c>
      <c r="W34">
        <f>IF($AL34="","",INDEX('04_調査結果'!$AU$5:$AU$404,$AL34))</f>
        <v/>
      </c>
      <c r="X34" s="37">
        <f>IF($AL34="","",INDEX('04_調査結果'!$AW$5:$AW$404,$AL34))</f>
        <v/>
      </c>
      <c r="Y34" s="37">
        <f>IF($AL34="","",INDEX('04_調査結果'!$AX$5:$AX$404,$AL34))</f>
        <v/>
      </c>
      <c r="Z34">
        <f>IF($AL34="","",INDEX('04_調査結果'!$S$5:$S$404,$AL34)&amp;"")</f>
        <v/>
      </c>
      <c r="AA34">
        <f>IF($AL34="","",INDEX('04_調査結果'!$T$5:$T$404,$AL34))</f>
        <v/>
      </c>
      <c r="AB34">
        <f>IF($AL34="","",INDEX('04_調査結果'!$U$5:$U$404,$AL34))</f>
        <v/>
      </c>
      <c r="AC34">
        <f>IF($AL34="","",INDEX('04_調査結果'!$V$5:$V$404,$AL34))</f>
        <v/>
      </c>
      <c r="AD34">
        <f>IF($AL34="","",INDEX('04_調査結果'!$W$5:$W$404,$AL34))</f>
        <v/>
      </c>
      <c r="AE34">
        <f>IF($AL34="","",INDEX('04_調査結果'!$X$5:$X$404,$AL34))</f>
        <v/>
      </c>
      <c r="AF34">
        <f>IF($AL34="","",INDEX('04_調査結果'!$Y$5:$Y$404,$AL34))</f>
        <v/>
      </c>
      <c r="AG34">
        <f>IF($AL34="","",INDEX('04_調査結果'!$Z$5:$Z$404,$AL34))</f>
        <v/>
      </c>
      <c r="AH34">
        <f>IF($AL34="","",INDEX('04_調査結果'!$AK$5:$AK$404,$AL34))</f>
        <v/>
      </c>
      <c r="AI34">
        <f>IF($AL34="","",INDEX('04_調査結果'!$AH$5:$AH$404,$AL34)&amp;"")</f>
        <v/>
      </c>
      <c r="AJ34">
        <f>IF($AL34="","",INDEX('04_調査結果'!$AA$5:$AA$404,$AL34)&amp;"")</f>
        <v/>
      </c>
      <c r="AK34">
        <f>IF($AL34="","",INDEX('04_調査結果'!$AC$5:$AC$404,$AL34)&amp;"")</f>
        <v/>
      </c>
      <c r="AL34" s="34">
        <f>IFERROR(MATCH(ROW()-4,'04_調査結果'!$AZ$5:$AZ$404,0),"")</f>
        <v/>
      </c>
    </row>
    <row r="35">
      <c r="A35">
        <f>IF($AL35="","",'01_設定'!$C$36)</f>
        <v/>
      </c>
      <c r="B35">
        <f>IF($AL35="","",'01_設定'!$C$5)</f>
        <v/>
      </c>
      <c r="C35">
        <f>IF($AL35="","",'01_設定'!$C$6)</f>
        <v/>
      </c>
      <c r="D35" s="36">
        <f>IF($AL35="","",'01_設定'!$C$22)</f>
        <v/>
      </c>
      <c r="E35" s="36">
        <f>IF($AL35="","",'01_設定'!$C$23)</f>
        <v/>
      </c>
      <c r="F35">
        <f>IF($AL35="","",'01_設定'!$C$32)</f>
        <v/>
      </c>
      <c r="G35">
        <f>IF($AL35="","",ROW()-4)</f>
        <v/>
      </c>
      <c r="H35">
        <f>IF($AL35="","",INDEX('04_調査結果'!$AO$5:$AO$404,$AL35))</f>
        <v/>
      </c>
      <c r="I35">
        <f>IF($AL35="","",IFERROR(INDEX('M2_区分マスタ'!$I$5:$I$10,INDEX('04_調査結果'!$AP$5:$AP$404,$AL35)),""))</f>
        <v/>
      </c>
      <c r="J35">
        <f>IF($AL35="","",INDEX('04_調査結果'!$BE$5:$BE$404,$AL35)&amp;"")</f>
        <v/>
      </c>
      <c r="K35">
        <f>IF($AL35="","",INDEX('04_調査結果'!$F$5:$F$404,$AL35)&amp;"")</f>
        <v/>
      </c>
      <c r="L35">
        <f>IF($AL35="","",INDEX('04_調査結果'!$G$5:$G$404,$AL35)&amp;"")</f>
        <v/>
      </c>
      <c r="M35">
        <f>IF($AL35="","",INDEX('04_調査結果'!$AQ$5:$AQ$404,$AL35)&amp;"")</f>
        <v/>
      </c>
      <c r="N35">
        <f>IF($AL35="","",IFERROR(INDEX('M1_類型マスタ'!$B$5:$B$19,MATCH(M35,'M1_類型マスタ'!$A$5:$A$19,0)),""))</f>
        <v/>
      </c>
      <c r="O35">
        <f>IF($AL35="","",INDEX('04_調査結果'!$I$5:$I$404,$AL35)&amp;"")</f>
        <v/>
      </c>
      <c r="P35">
        <f>IF($AL35="","",INDEX('04_調査結果'!$J$5:$J$404,$AL35)&amp;"")</f>
        <v/>
      </c>
      <c r="Q35">
        <f>IF($AL35="","",INDEX('04_調査結果'!$K$5:$K$404,$AL35)&amp;"")</f>
        <v/>
      </c>
      <c r="R35">
        <f>IF($AL35="","",INDEX('04_調査結果'!$L$5:$L$404,$AL35)&amp;"")</f>
        <v/>
      </c>
      <c r="S35">
        <f>IF($AL35="","",INDEX('04_調査結果'!$M$5:$M$404,$AL35)&amp;"")</f>
        <v/>
      </c>
      <c r="T35" s="33">
        <f>IF($AL35="","",IF(INDEX('04_調査結果'!$AE$5:$AE$404,$AL35)&lt;&gt;"",INDEX('04_調査結果'!$AE$5:$AE$404,$AL35),INDEX('04_調査結果'!$AS$5:$AS$404,$AL35)))</f>
        <v/>
      </c>
      <c r="U35" s="33">
        <f>IF($AL35="","",IF(INDEX('04_調査結果'!$AF$5:$AF$404,$AL35)&lt;&gt;"",INDEX('04_調査結果'!$AF$5:$AF$404,$AL35),INDEX('04_調査結果'!$AT$5:$AT$404,$AL35)))</f>
        <v/>
      </c>
      <c r="V35" s="33">
        <f>IF($AL35="","",INDEX('04_調査結果'!$AI$5:$AI$404,$AL35))</f>
        <v/>
      </c>
      <c r="W35">
        <f>IF($AL35="","",INDEX('04_調査結果'!$AU$5:$AU$404,$AL35))</f>
        <v/>
      </c>
      <c r="X35" s="37">
        <f>IF($AL35="","",INDEX('04_調査結果'!$AW$5:$AW$404,$AL35))</f>
        <v/>
      </c>
      <c r="Y35" s="37">
        <f>IF($AL35="","",INDEX('04_調査結果'!$AX$5:$AX$404,$AL35))</f>
        <v/>
      </c>
      <c r="Z35">
        <f>IF($AL35="","",INDEX('04_調査結果'!$S$5:$S$404,$AL35)&amp;"")</f>
        <v/>
      </c>
      <c r="AA35">
        <f>IF($AL35="","",INDEX('04_調査結果'!$T$5:$T$404,$AL35))</f>
        <v/>
      </c>
      <c r="AB35">
        <f>IF($AL35="","",INDEX('04_調査結果'!$U$5:$U$404,$AL35))</f>
        <v/>
      </c>
      <c r="AC35">
        <f>IF($AL35="","",INDEX('04_調査結果'!$V$5:$V$404,$AL35))</f>
        <v/>
      </c>
      <c r="AD35">
        <f>IF($AL35="","",INDEX('04_調査結果'!$W$5:$W$404,$AL35))</f>
        <v/>
      </c>
      <c r="AE35">
        <f>IF($AL35="","",INDEX('04_調査結果'!$X$5:$X$404,$AL35))</f>
        <v/>
      </c>
      <c r="AF35">
        <f>IF($AL35="","",INDEX('04_調査結果'!$Y$5:$Y$404,$AL35))</f>
        <v/>
      </c>
      <c r="AG35">
        <f>IF($AL35="","",INDEX('04_調査結果'!$Z$5:$Z$404,$AL35))</f>
        <v/>
      </c>
      <c r="AH35">
        <f>IF($AL35="","",INDEX('04_調査結果'!$AK$5:$AK$404,$AL35))</f>
        <v/>
      </c>
      <c r="AI35">
        <f>IF($AL35="","",INDEX('04_調査結果'!$AH$5:$AH$404,$AL35)&amp;"")</f>
        <v/>
      </c>
      <c r="AJ35">
        <f>IF($AL35="","",INDEX('04_調査結果'!$AA$5:$AA$404,$AL35)&amp;"")</f>
        <v/>
      </c>
      <c r="AK35">
        <f>IF($AL35="","",INDEX('04_調査結果'!$AC$5:$AC$404,$AL35)&amp;"")</f>
        <v/>
      </c>
      <c r="AL35" s="34">
        <f>IFERROR(MATCH(ROW()-4,'04_調査結果'!$AZ$5:$AZ$404,0),"")</f>
        <v/>
      </c>
    </row>
    <row r="36">
      <c r="A36">
        <f>IF($AL36="","",'01_設定'!$C$36)</f>
        <v/>
      </c>
      <c r="B36">
        <f>IF($AL36="","",'01_設定'!$C$5)</f>
        <v/>
      </c>
      <c r="C36">
        <f>IF($AL36="","",'01_設定'!$C$6)</f>
        <v/>
      </c>
      <c r="D36" s="36">
        <f>IF($AL36="","",'01_設定'!$C$22)</f>
        <v/>
      </c>
      <c r="E36" s="36">
        <f>IF($AL36="","",'01_設定'!$C$23)</f>
        <v/>
      </c>
      <c r="F36">
        <f>IF($AL36="","",'01_設定'!$C$32)</f>
        <v/>
      </c>
      <c r="G36">
        <f>IF($AL36="","",ROW()-4)</f>
        <v/>
      </c>
      <c r="H36">
        <f>IF($AL36="","",INDEX('04_調査結果'!$AO$5:$AO$404,$AL36))</f>
        <v/>
      </c>
      <c r="I36">
        <f>IF($AL36="","",IFERROR(INDEX('M2_区分マスタ'!$I$5:$I$10,INDEX('04_調査結果'!$AP$5:$AP$404,$AL36)),""))</f>
        <v/>
      </c>
      <c r="J36">
        <f>IF($AL36="","",INDEX('04_調査結果'!$BE$5:$BE$404,$AL36)&amp;"")</f>
        <v/>
      </c>
      <c r="K36">
        <f>IF($AL36="","",INDEX('04_調査結果'!$F$5:$F$404,$AL36)&amp;"")</f>
        <v/>
      </c>
      <c r="L36">
        <f>IF($AL36="","",INDEX('04_調査結果'!$G$5:$G$404,$AL36)&amp;"")</f>
        <v/>
      </c>
      <c r="M36">
        <f>IF($AL36="","",INDEX('04_調査結果'!$AQ$5:$AQ$404,$AL36)&amp;"")</f>
        <v/>
      </c>
      <c r="N36">
        <f>IF($AL36="","",IFERROR(INDEX('M1_類型マスタ'!$B$5:$B$19,MATCH(M36,'M1_類型マスタ'!$A$5:$A$19,0)),""))</f>
        <v/>
      </c>
      <c r="O36">
        <f>IF($AL36="","",INDEX('04_調査結果'!$I$5:$I$404,$AL36)&amp;"")</f>
        <v/>
      </c>
      <c r="P36">
        <f>IF($AL36="","",INDEX('04_調査結果'!$J$5:$J$404,$AL36)&amp;"")</f>
        <v/>
      </c>
      <c r="Q36">
        <f>IF($AL36="","",INDEX('04_調査結果'!$K$5:$K$404,$AL36)&amp;"")</f>
        <v/>
      </c>
      <c r="R36">
        <f>IF($AL36="","",INDEX('04_調査結果'!$L$5:$L$404,$AL36)&amp;"")</f>
        <v/>
      </c>
      <c r="S36">
        <f>IF($AL36="","",INDEX('04_調査結果'!$M$5:$M$404,$AL36)&amp;"")</f>
        <v/>
      </c>
      <c r="T36" s="33">
        <f>IF($AL36="","",IF(INDEX('04_調査結果'!$AE$5:$AE$404,$AL36)&lt;&gt;"",INDEX('04_調査結果'!$AE$5:$AE$404,$AL36),INDEX('04_調査結果'!$AS$5:$AS$404,$AL36)))</f>
        <v/>
      </c>
      <c r="U36" s="33">
        <f>IF($AL36="","",IF(INDEX('04_調査結果'!$AF$5:$AF$404,$AL36)&lt;&gt;"",INDEX('04_調査結果'!$AF$5:$AF$404,$AL36),INDEX('04_調査結果'!$AT$5:$AT$404,$AL36)))</f>
        <v/>
      </c>
      <c r="V36" s="33">
        <f>IF($AL36="","",INDEX('04_調査結果'!$AI$5:$AI$404,$AL36))</f>
        <v/>
      </c>
      <c r="W36">
        <f>IF($AL36="","",INDEX('04_調査結果'!$AU$5:$AU$404,$AL36))</f>
        <v/>
      </c>
      <c r="X36" s="37">
        <f>IF($AL36="","",INDEX('04_調査結果'!$AW$5:$AW$404,$AL36))</f>
        <v/>
      </c>
      <c r="Y36" s="37">
        <f>IF($AL36="","",INDEX('04_調査結果'!$AX$5:$AX$404,$AL36))</f>
        <v/>
      </c>
      <c r="Z36">
        <f>IF($AL36="","",INDEX('04_調査結果'!$S$5:$S$404,$AL36)&amp;"")</f>
        <v/>
      </c>
      <c r="AA36">
        <f>IF($AL36="","",INDEX('04_調査結果'!$T$5:$T$404,$AL36))</f>
        <v/>
      </c>
      <c r="AB36">
        <f>IF($AL36="","",INDEX('04_調査結果'!$U$5:$U$404,$AL36))</f>
        <v/>
      </c>
      <c r="AC36">
        <f>IF($AL36="","",INDEX('04_調査結果'!$V$5:$V$404,$AL36))</f>
        <v/>
      </c>
      <c r="AD36">
        <f>IF($AL36="","",INDEX('04_調査結果'!$W$5:$W$404,$AL36))</f>
        <v/>
      </c>
      <c r="AE36">
        <f>IF($AL36="","",INDEX('04_調査結果'!$X$5:$X$404,$AL36))</f>
        <v/>
      </c>
      <c r="AF36">
        <f>IF($AL36="","",INDEX('04_調査結果'!$Y$5:$Y$404,$AL36))</f>
        <v/>
      </c>
      <c r="AG36">
        <f>IF($AL36="","",INDEX('04_調査結果'!$Z$5:$Z$404,$AL36))</f>
        <v/>
      </c>
      <c r="AH36">
        <f>IF($AL36="","",INDEX('04_調査結果'!$AK$5:$AK$404,$AL36))</f>
        <v/>
      </c>
      <c r="AI36">
        <f>IF($AL36="","",INDEX('04_調査結果'!$AH$5:$AH$404,$AL36)&amp;"")</f>
        <v/>
      </c>
      <c r="AJ36">
        <f>IF($AL36="","",INDEX('04_調査結果'!$AA$5:$AA$404,$AL36)&amp;"")</f>
        <v/>
      </c>
      <c r="AK36">
        <f>IF($AL36="","",INDEX('04_調査結果'!$AC$5:$AC$404,$AL36)&amp;"")</f>
        <v/>
      </c>
      <c r="AL36" s="34">
        <f>IFERROR(MATCH(ROW()-4,'04_調査結果'!$AZ$5:$AZ$404,0),"")</f>
        <v/>
      </c>
    </row>
    <row r="37">
      <c r="A37">
        <f>IF($AL37="","",'01_設定'!$C$36)</f>
        <v/>
      </c>
      <c r="B37">
        <f>IF($AL37="","",'01_設定'!$C$5)</f>
        <v/>
      </c>
      <c r="C37">
        <f>IF($AL37="","",'01_設定'!$C$6)</f>
        <v/>
      </c>
      <c r="D37" s="36">
        <f>IF($AL37="","",'01_設定'!$C$22)</f>
        <v/>
      </c>
      <c r="E37" s="36">
        <f>IF($AL37="","",'01_設定'!$C$23)</f>
        <v/>
      </c>
      <c r="F37">
        <f>IF($AL37="","",'01_設定'!$C$32)</f>
        <v/>
      </c>
      <c r="G37">
        <f>IF($AL37="","",ROW()-4)</f>
        <v/>
      </c>
      <c r="H37">
        <f>IF($AL37="","",INDEX('04_調査結果'!$AO$5:$AO$404,$AL37))</f>
        <v/>
      </c>
      <c r="I37">
        <f>IF($AL37="","",IFERROR(INDEX('M2_区分マスタ'!$I$5:$I$10,INDEX('04_調査結果'!$AP$5:$AP$404,$AL37)),""))</f>
        <v/>
      </c>
      <c r="J37">
        <f>IF($AL37="","",INDEX('04_調査結果'!$BE$5:$BE$404,$AL37)&amp;"")</f>
        <v/>
      </c>
      <c r="K37">
        <f>IF($AL37="","",INDEX('04_調査結果'!$F$5:$F$404,$AL37)&amp;"")</f>
        <v/>
      </c>
      <c r="L37">
        <f>IF($AL37="","",INDEX('04_調査結果'!$G$5:$G$404,$AL37)&amp;"")</f>
        <v/>
      </c>
      <c r="M37">
        <f>IF($AL37="","",INDEX('04_調査結果'!$AQ$5:$AQ$404,$AL37)&amp;"")</f>
        <v/>
      </c>
      <c r="N37">
        <f>IF($AL37="","",IFERROR(INDEX('M1_類型マスタ'!$B$5:$B$19,MATCH(M37,'M1_類型マスタ'!$A$5:$A$19,0)),""))</f>
        <v/>
      </c>
      <c r="O37">
        <f>IF($AL37="","",INDEX('04_調査結果'!$I$5:$I$404,$AL37)&amp;"")</f>
        <v/>
      </c>
      <c r="P37">
        <f>IF($AL37="","",INDEX('04_調査結果'!$J$5:$J$404,$AL37)&amp;"")</f>
        <v/>
      </c>
      <c r="Q37">
        <f>IF($AL37="","",INDEX('04_調査結果'!$K$5:$K$404,$AL37)&amp;"")</f>
        <v/>
      </c>
      <c r="R37">
        <f>IF($AL37="","",INDEX('04_調査結果'!$L$5:$L$404,$AL37)&amp;"")</f>
        <v/>
      </c>
      <c r="S37">
        <f>IF($AL37="","",INDEX('04_調査結果'!$M$5:$M$404,$AL37)&amp;"")</f>
        <v/>
      </c>
      <c r="T37" s="33">
        <f>IF($AL37="","",IF(INDEX('04_調査結果'!$AE$5:$AE$404,$AL37)&lt;&gt;"",INDEX('04_調査結果'!$AE$5:$AE$404,$AL37),INDEX('04_調査結果'!$AS$5:$AS$404,$AL37)))</f>
        <v/>
      </c>
      <c r="U37" s="33">
        <f>IF($AL37="","",IF(INDEX('04_調査結果'!$AF$5:$AF$404,$AL37)&lt;&gt;"",INDEX('04_調査結果'!$AF$5:$AF$404,$AL37),INDEX('04_調査結果'!$AT$5:$AT$404,$AL37)))</f>
        <v/>
      </c>
      <c r="V37" s="33">
        <f>IF($AL37="","",INDEX('04_調査結果'!$AI$5:$AI$404,$AL37))</f>
        <v/>
      </c>
      <c r="W37">
        <f>IF($AL37="","",INDEX('04_調査結果'!$AU$5:$AU$404,$AL37))</f>
        <v/>
      </c>
      <c r="X37" s="37">
        <f>IF($AL37="","",INDEX('04_調査結果'!$AW$5:$AW$404,$AL37))</f>
        <v/>
      </c>
      <c r="Y37" s="37">
        <f>IF($AL37="","",INDEX('04_調査結果'!$AX$5:$AX$404,$AL37))</f>
        <v/>
      </c>
      <c r="Z37">
        <f>IF($AL37="","",INDEX('04_調査結果'!$S$5:$S$404,$AL37)&amp;"")</f>
        <v/>
      </c>
      <c r="AA37">
        <f>IF($AL37="","",INDEX('04_調査結果'!$T$5:$T$404,$AL37))</f>
        <v/>
      </c>
      <c r="AB37">
        <f>IF($AL37="","",INDEX('04_調査結果'!$U$5:$U$404,$AL37))</f>
        <v/>
      </c>
      <c r="AC37">
        <f>IF($AL37="","",INDEX('04_調査結果'!$V$5:$V$404,$AL37))</f>
        <v/>
      </c>
      <c r="AD37">
        <f>IF($AL37="","",INDEX('04_調査結果'!$W$5:$W$404,$AL37))</f>
        <v/>
      </c>
      <c r="AE37">
        <f>IF($AL37="","",INDEX('04_調査結果'!$X$5:$X$404,$AL37))</f>
        <v/>
      </c>
      <c r="AF37">
        <f>IF($AL37="","",INDEX('04_調査結果'!$Y$5:$Y$404,$AL37))</f>
        <v/>
      </c>
      <c r="AG37">
        <f>IF($AL37="","",INDEX('04_調査結果'!$Z$5:$Z$404,$AL37))</f>
        <v/>
      </c>
      <c r="AH37">
        <f>IF($AL37="","",INDEX('04_調査結果'!$AK$5:$AK$404,$AL37))</f>
        <v/>
      </c>
      <c r="AI37">
        <f>IF($AL37="","",INDEX('04_調査結果'!$AH$5:$AH$404,$AL37)&amp;"")</f>
        <v/>
      </c>
      <c r="AJ37">
        <f>IF($AL37="","",INDEX('04_調査結果'!$AA$5:$AA$404,$AL37)&amp;"")</f>
        <v/>
      </c>
      <c r="AK37">
        <f>IF($AL37="","",INDEX('04_調査結果'!$AC$5:$AC$404,$AL37)&amp;"")</f>
        <v/>
      </c>
      <c r="AL37" s="34">
        <f>IFERROR(MATCH(ROW()-4,'04_調査結果'!$AZ$5:$AZ$404,0),"")</f>
        <v/>
      </c>
    </row>
    <row r="38">
      <c r="A38">
        <f>IF($AL38="","",'01_設定'!$C$36)</f>
        <v/>
      </c>
      <c r="B38">
        <f>IF($AL38="","",'01_設定'!$C$5)</f>
        <v/>
      </c>
      <c r="C38">
        <f>IF($AL38="","",'01_設定'!$C$6)</f>
        <v/>
      </c>
      <c r="D38" s="36">
        <f>IF($AL38="","",'01_設定'!$C$22)</f>
        <v/>
      </c>
      <c r="E38" s="36">
        <f>IF($AL38="","",'01_設定'!$C$23)</f>
        <v/>
      </c>
      <c r="F38">
        <f>IF($AL38="","",'01_設定'!$C$32)</f>
        <v/>
      </c>
      <c r="G38">
        <f>IF($AL38="","",ROW()-4)</f>
        <v/>
      </c>
      <c r="H38">
        <f>IF($AL38="","",INDEX('04_調査結果'!$AO$5:$AO$404,$AL38))</f>
        <v/>
      </c>
      <c r="I38">
        <f>IF($AL38="","",IFERROR(INDEX('M2_区分マスタ'!$I$5:$I$10,INDEX('04_調査結果'!$AP$5:$AP$404,$AL38)),""))</f>
        <v/>
      </c>
      <c r="J38">
        <f>IF($AL38="","",INDEX('04_調査結果'!$BE$5:$BE$404,$AL38)&amp;"")</f>
        <v/>
      </c>
      <c r="K38">
        <f>IF($AL38="","",INDEX('04_調査結果'!$F$5:$F$404,$AL38)&amp;"")</f>
        <v/>
      </c>
      <c r="L38">
        <f>IF($AL38="","",INDEX('04_調査結果'!$G$5:$G$404,$AL38)&amp;"")</f>
        <v/>
      </c>
      <c r="M38">
        <f>IF($AL38="","",INDEX('04_調査結果'!$AQ$5:$AQ$404,$AL38)&amp;"")</f>
        <v/>
      </c>
      <c r="N38">
        <f>IF($AL38="","",IFERROR(INDEX('M1_類型マスタ'!$B$5:$B$19,MATCH(M38,'M1_類型マスタ'!$A$5:$A$19,0)),""))</f>
        <v/>
      </c>
      <c r="O38">
        <f>IF($AL38="","",INDEX('04_調査結果'!$I$5:$I$404,$AL38)&amp;"")</f>
        <v/>
      </c>
      <c r="P38">
        <f>IF($AL38="","",INDEX('04_調査結果'!$J$5:$J$404,$AL38)&amp;"")</f>
        <v/>
      </c>
      <c r="Q38">
        <f>IF($AL38="","",INDEX('04_調査結果'!$K$5:$K$404,$AL38)&amp;"")</f>
        <v/>
      </c>
      <c r="R38">
        <f>IF($AL38="","",INDEX('04_調査結果'!$L$5:$L$404,$AL38)&amp;"")</f>
        <v/>
      </c>
      <c r="S38">
        <f>IF($AL38="","",INDEX('04_調査結果'!$M$5:$M$404,$AL38)&amp;"")</f>
        <v/>
      </c>
      <c r="T38" s="33">
        <f>IF($AL38="","",IF(INDEX('04_調査結果'!$AE$5:$AE$404,$AL38)&lt;&gt;"",INDEX('04_調査結果'!$AE$5:$AE$404,$AL38),INDEX('04_調査結果'!$AS$5:$AS$404,$AL38)))</f>
        <v/>
      </c>
      <c r="U38" s="33">
        <f>IF($AL38="","",IF(INDEX('04_調査結果'!$AF$5:$AF$404,$AL38)&lt;&gt;"",INDEX('04_調査結果'!$AF$5:$AF$404,$AL38),INDEX('04_調査結果'!$AT$5:$AT$404,$AL38)))</f>
        <v/>
      </c>
      <c r="V38" s="33">
        <f>IF($AL38="","",INDEX('04_調査結果'!$AI$5:$AI$404,$AL38))</f>
        <v/>
      </c>
      <c r="W38">
        <f>IF($AL38="","",INDEX('04_調査結果'!$AU$5:$AU$404,$AL38))</f>
        <v/>
      </c>
      <c r="X38" s="37">
        <f>IF($AL38="","",INDEX('04_調査結果'!$AW$5:$AW$404,$AL38))</f>
        <v/>
      </c>
      <c r="Y38" s="37">
        <f>IF($AL38="","",INDEX('04_調査結果'!$AX$5:$AX$404,$AL38))</f>
        <v/>
      </c>
      <c r="Z38">
        <f>IF($AL38="","",INDEX('04_調査結果'!$S$5:$S$404,$AL38)&amp;"")</f>
        <v/>
      </c>
      <c r="AA38">
        <f>IF($AL38="","",INDEX('04_調査結果'!$T$5:$T$404,$AL38))</f>
        <v/>
      </c>
      <c r="AB38">
        <f>IF($AL38="","",INDEX('04_調査結果'!$U$5:$U$404,$AL38))</f>
        <v/>
      </c>
      <c r="AC38">
        <f>IF($AL38="","",INDEX('04_調査結果'!$V$5:$V$404,$AL38))</f>
        <v/>
      </c>
      <c r="AD38">
        <f>IF($AL38="","",INDEX('04_調査結果'!$W$5:$W$404,$AL38))</f>
        <v/>
      </c>
      <c r="AE38">
        <f>IF($AL38="","",INDEX('04_調査結果'!$X$5:$X$404,$AL38))</f>
        <v/>
      </c>
      <c r="AF38">
        <f>IF($AL38="","",INDEX('04_調査結果'!$Y$5:$Y$404,$AL38))</f>
        <v/>
      </c>
      <c r="AG38">
        <f>IF($AL38="","",INDEX('04_調査結果'!$Z$5:$Z$404,$AL38))</f>
        <v/>
      </c>
      <c r="AH38">
        <f>IF($AL38="","",INDEX('04_調査結果'!$AK$5:$AK$404,$AL38))</f>
        <v/>
      </c>
      <c r="AI38">
        <f>IF($AL38="","",INDEX('04_調査結果'!$AH$5:$AH$404,$AL38)&amp;"")</f>
        <v/>
      </c>
      <c r="AJ38">
        <f>IF($AL38="","",INDEX('04_調査結果'!$AA$5:$AA$404,$AL38)&amp;"")</f>
        <v/>
      </c>
      <c r="AK38">
        <f>IF($AL38="","",INDEX('04_調査結果'!$AC$5:$AC$404,$AL38)&amp;"")</f>
        <v/>
      </c>
      <c r="AL38" s="34">
        <f>IFERROR(MATCH(ROW()-4,'04_調査結果'!$AZ$5:$AZ$404,0),"")</f>
        <v/>
      </c>
    </row>
    <row r="39">
      <c r="A39">
        <f>IF($AL39="","",'01_設定'!$C$36)</f>
        <v/>
      </c>
      <c r="B39">
        <f>IF($AL39="","",'01_設定'!$C$5)</f>
        <v/>
      </c>
      <c r="C39">
        <f>IF($AL39="","",'01_設定'!$C$6)</f>
        <v/>
      </c>
      <c r="D39" s="36">
        <f>IF($AL39="","",'01_設定'!$C$22)</f>
        <v/>
      </c>
      <c r="E39" s="36">
        <f>IF($AL39="","",'01_設定'!$C$23)</f>
        <v/>
      </c>
      <c r="F39">
        <f>IF($AL39="","",'01_設定'!$C$32)</f>
        <v/>
      </c>
      <c r="G39">
        <f>IF($AL39="","",ROW()-4)</f>
        <v/>
      </c>
      <c r="H39">
        <f>IF($AL39="","",INDEX('04_調査結果'!$AO$5:$AO$404,$AL39))</f>
        <v/>
      </c>
      <c r="I39">
        <f>IF($AL39="","",IFERROR(INDEX('M2_区分マスタ'!$I$5:$I$10,INDEX('04_調査結果'!$AP$5:$AP$404,$AL39)),""))</f>
        <v/>
      </c>
      <c r="J39">
        <f>IF($AL39="","",INDEX('04_調査結果'!$BE$5:$BE$404,$AL39)&amp;"")</f>
        <v/>
      </c>
      <c r="K39">
        <f>IF($AL39="","",INDEX('04_調査結果'!$F$5:$F$404,$AL39)&amp;"")</f>
        <v/>
      </c>
      <c r="L39">
        <f>IF($AL39="","",INDEX('04_調査結果'!$G$5:$G$404,$AL39)&amp;"")</f>
        <v/>
      </c>
      <c r="M39">
        <f>IF($AL39="","",INDEX('04_調査結果'!$AQ$5:$AQ$404,$AL39)&amp;"")</f>
        <v/>
      </c>
      <c r="N39">
        <f>IF($AL39="","",IFERROR(INDEX('M1_類型マスタ'!$B$5:$B$19,MATCH(M39,'M1_類型マスタ'!$A$5:$A$19,0)),""))</f>
        <v/>
      </c>
      <c r="O39">
        <f>IF($AL39="","",INDEX('04_調査結果'!$I$5:$I$404,$AL39)&amp;"")</f>
        <v/>
      </c>
      <c r="P39">
        <f>IF($AL39="","",INDEX('04_調査結果'!$J$5:$J$404,$AL39)&amp;"")</f>
        <v/>
      </c>
      <c r="Q39">
        <f>IF($AL39="","",INDEX('04_調査結果'!$K$5:$K$404,$AL39)&amp;"")</f>
        <v/>
      </c>
      <c r="R39">
        <f>IF($AL39="","",INDEX('04_調査結果'!$L$5:$L$404,$AL39)&amp;"")</f>
        <v/>
      </c>
      <c r="S39">
        <f>IF($AL39="","",INDEX('04_調査結果'!$M$5:$M$404,$AL39)&amp;"")</f>
        <v/>
      </c>
      <c r="T39" s="33">
        <f>IF($AL39="","",IF(INDEX('04_調査結果'!$AE$5:$AE$404,$AL39)&lt;&gt;"",INDEX('04_調査結果'!$AE$5:$AE$404,$AL39),INDEX('04_調査結果'!$AS$5:$AS$404,$AL39)))</f>
        <v/>
      </c>
      <c r="U39" s="33">
        <f>IF($AL39="","",IF(INDEX('04_調査結果'!$AF$5:$AF$404,$AL39)&lt;&gt;"",INDEX('04_調査結果'!$AF$5:$AF$404,$AL39),INDEX('04_調査結果'!$AT$5:$AT$404,$AL39)))</f>
        <v/>
      </c>
      <c r="V39" s="33">
        <f>IF($AL39="","",INDEX('04_調査結果'!$AI$5:$AI$404,$AL39))</f>
        <v/>
      </c>
      <c r="W39">
        <f>IF($AL39="","",INDEX('04_調査結果'!$AU$5:$AU$404,$AL39))</f>
        <v/>
      </c>
      <c r="X39" s="37">
        <f>IF($AL39="","",INDEX('04_調査結果'!$AW$5:$AW$404,$AL39))</f>
        <v/>
      </c>
      <c r="Y39" s="37">
        <f>IF($AL39="","",INDEX('04_調査結果'!$AX$5:$AX$404,$AL39))</f>
        <v/>
      </c>
      <c r="Z39">
        <f>IF($AL39="","",INDEX('04_調査結果'!$S$5:$S$404,$AL39)&amp;"")</f>
        <v/>
      </c>
      <c r="AA39">
        <f>IF($AL39="","",INDEX('04_調査結果'!$T$5:$T$404,$AL39))</f>
        <v/>
      </c>
      <c r="AB39">
        <f>IF($AL39="","",INDEX('04_調査結果'!$U$5:$U$404,$AL39))</f>
        <v/>
      </c>
      <c r="AC39">
        <f>IF($AL39="","",INDEX('04_調査結果'!$V$5:$V$404,$AL39))</f>
        <v/>
      </c>
      <c r="AD39">
        <f>IF($AL39="","",INDEX('04_調査結果'!$W$5:$W$404,$AL39))</f>
        <v/>
      </c>
      <c r="AE39">
        <f>IF($AL39="","",INDEX('04_調査結果'!$X$5:$X$404,$AL39))</f>
        <v/>
      </c>
      <c r="AF39">
        <f>IF($AL39="","",INDEX('04_調査結果'!$Y$5:$Y$404,$AL39))</f>
        <v/>
      </c>
      <c r="AG39">
        <f>IF($AL39="","",INDEX('04_調査結果'!$Z$5:$Z$404,$AL39))</f>
        <v/>
      </c>
      <c r="AH39">
        <f>IF($AL39="","",INDEX('04_調査結果'!$AK$5:$AK$404,$AL39))</f>
        <v/>
      </c>
      <c r="AI39">
        <f>IF($AL39="","",INDEX('04_調査結果'!$AH$5:$AH$404,$AL39)&amp;"")</f>
        <v/>
      </c>
      <c r="AJ39">
        <f>IF($AL39="","",INDEX('04_調査結果'!$AA$5:$AA$404,$AL39)&amp;"")</f>
        <v/>
      </c>
      <c r="AK39">
        <f>IF($AL39="","",INDEX('04_調査結果'!$AC$5:$AC$404,$AL39)&amp;"")</f>
        <v/>
      </c>
      <c r="AL39" s="34">
        <f>IFERROR(MATCH(ROW()-4,'04_調査結果'!$AZ$5:$AZ$404,0),"")</f>
        <v/>
      </c>
    </row>
    <row r="40">
      <c r="A40">
        <f>IF($AL40="","",'01_設定'!$C$36)</f>
        <v/>
      </c>
      <c r="B40">
        <f>IF($AL40="","",'01_設定'!$C$5)</f>
        <v/>
      </c>
      <c r="C40">
        <f>IF($AL40="","",'01_設定'!$C$6)</f>
        <v/>
      </c>
      <c r="D40" s="36">
        <f>IF($AL40="","",'01_設定'!$C$22)</f>
        <v/>
      </c>
      <c r="E40" s="36">
        <f>IF($AL40="","",'01_設定'!$C$23)</f>
        <v/>
      </c>
      <c r="F40">
        <f>IF($AL40="","",'01_設定'!$C$32)</f>
        <v/>
      </c>
      <c r="G40">
        <f>IF($AL40="","",ROW()-4)</f>
        <v/>
      </c>
      <c r="H40">
        <f>IF($AL40="","",INDEX('04_調査結果'!$AO$5:$AO$404,$AL40))</f>
        <v/>
      </c>
      <c r="I40">
        <f>IF($AL40="","",IFERROR(INDEX('M2_区分マスタ'!$I$5:$I$10,INDEX('04_調査結果'!$AP$5:$AP$404,$AL40)),""))</f>
        <v/>
      </c>
      <c r="J40">
        <f>IF($AL40="","",INDEX('04_調査結果'!$BE$5:$BE$404,$AL40)&amp;"")</f>
        <v/>
      </c>
      <c r="K40">
        <f>IF($AL40="","",INDEX('04_調査結果'!$F$5:$F$404,$AL40)&amp;"")</f>
        <v/>
      </c>
      <c r="L40">
        <f>IF($AL40="","",INDEX('04_調査結果'!$G$5:$G$404,$AL40)&amp;"")</f>
        <v/>
      </c>
      <c r="M40">
        <f>IF($AL40="","",INDEX('04_調査結果'!$AQ$5:$AQ$404,$AL40)&amp;"")</f>
        <v/>
      </c>
      <c r="N40">
        <f>IF($AL40="","",IFERROR(INDEX('M1_類型マスタ'!$B$5:$B$19,MATCH(M40,'M1_類型マスタ'!$A$5:$A$19,0)),""))</f>
        <v/>
      </c>
      <c r="O40">
        <f>IF($AL40="","",INDEX('04_調査結果'!$I$5:$I$404,$AL40)&amp;"")</f>
        <v/>
      </c>
      <c r="P40">
        <f>IF($AL40="","",INDEX('04_調査結果'!$J$5:$J$404,$AL40)&amp;"")</f>
        <v/>
      </c>
      <c r="Q40">
        <f>IF($AL40="","",INDEX('04_調査結果'!$K$5:$K$404,$AL40)&amp;"")</f>
        <v/>
      </c>
      <c r="R40">
        <f>IF($AL40="","",INDEX('04_調査結果'!$L$5:$L$404,$AL40)&amp;"")</f>
        <v/>
      </c>
      <c r="S40">
        <f>IF($AL40="","",INDEX('04_調査結果'!$M$5:$M$404,$AL40)&amp;"")</f>
        <v/>
      </c>
      <c r="T40" s="33">
        <f>IF($AL40="","",IF(INDEX('04_調査結果'!$AE$5:$AE$404,$AL40)&lt;&gt;"",INDEX('04_調査結果'!$AE$5:$AE$404,$AL40),INDEX('04_調査結果'!$AS$5:$AS$404,$AL40)))</f>
        <v/>
      </c>
      <c r="U40" s="33">
        <f>IF($AL40="","",IF(INDEX('04_調査結果'!$AF$5:$AF$404,$AL40)&lt;&gt;"",INDEX('04_調査結果'!$AF$5:$AF$404,$AL40),INDEX('04_調査結果'!$AT$5:$AT$404,$AL40)))</f>
        <v/>
      </c>
      <c r="V40" s="33">
        <f>IF($AL40="","",INDEX('04_調査結果'!$AI$5:$AI$404,$AL40))</f>
        <v/>
      </c>
      <c r="W40">
        <f>IF($AL40="","",INDEX('04_調査結果'!$AU$5:$AU$404,$AL40))</f>
        <v/>
      </c>
      <c r="X40" s="37">
        <f>IF($AL40="","",INDEX('04_調査結果'!$AW$5:$AW$404,$AL40))</f>
        <v/>
      </c>
      <c r="Y40" s="37">
        <f>IF($AL40="","",INDEX('04_調査結果'!$AX$5:$AX$404,$AL40))</f>
        <v/>
      </c>
      <c r="Z40">
        <f>IF($AL40="","",INDEX('04_調査結果'!$S$5:$S$404,$AL40)&amp;"")</f>
        <v/>
      </c>
      <c r="AA40">
        <f>IF($AL40="","",INDEX('04_調査結果'!$T$5:$T$404,$AL40))</f>
        <v/>
      </c>
      <c r="AB40">
        <f>IF($AL40="","",INDEX('04_調査結果'!$U$5:$U$404,$AL40))</f>
        <v/>
      </c>
      <c r="AC40">
        <f>IF($AL40="","",INDEX('04_調査結果'!$V$5:$V$404,$AL40))</f>
        <v/>
      </c>
      <c r="AD40">
        <f>IF($AL40="","",INDEX('04_調査結果'!$W$5:$W$404,$AL40))</f>
        <v/>
      </c>
      <c r="AE40">
        <f>IF($AL40="","",INDEX('04_調査結果'!$X$5:$X$404,$AL40))</f>
        <v/>
      </c>
      <c r="AF40">
        <f>IF($AL40="","",INDEX('04_調査結果'!$Y$5:$Y$404,$AL40))</f>
        <v/>
      </c>
      <c r="AG40">
        <f>IF($AL40="","",INDEX('04_調査結果'!$Z$5:$Z$404,$AL40))</f>
        <v/>
      </c>
      <c r="AH40">
        <f>IF($AL40="","",INDEX('04_調査結果'!$AK$5:$AK$404,$AL40))</f>
        <v/>
      </c>
      <c r="AI40">
        <f>IF($AL40="","",INDEX('04_調査結果'!$AH$5:$AH$404,$AL40)&amp;"")</f>
        <v/>
      </c>
      <c r="AJ40">
        <f>IF($AL40="","",INDEX('04_調査結果'!$AA$5:$AA$404,$AL40)&amp;"")</f>
        <v/>
      </c>
      <c r="AK40">
        <f>IF($AL40="","",INDEX('04_調査結果'!$AC$5:$AC$404,$AL40)&amp;"")</f>
        <v/>
      </c>
      <c r="AL40" s="34">
        <f>IFERROR(MATCH(ROW()-4,'04_調査結果'!$AZ$5:$AZ$404,0),"")</f>
        <v/>
      </c>
    </row>
    <row r="41">
      <c r="A41">
        <f>IF($AL41="","",'01_設定'!$C$36)</f>
        <v/>
      </c>
      <c r="B41">
        <f>IF($AL41="","",'01_設定'!$C$5)</f>
        <v/>
      </c>
      <c r="C41">
        <f>IF($AL41="","",'01_設定'!$C$6)</f>
        <v/>
      </c>
      <c r="D41" s="36">
        <f>IF($AL41="","",'01_設定'!$C$22)</f>
        <v/>
      </c>
      <c r="E41" s="36">
        <f>IF($AL41="","",'01_設定'!$C$23)</f>
        <v/>
      </c>
      <c r="F41">
        <f>IF($AL41="","",'01_設定'!$C$32)</f>
        <v/>
      </c>
      <c r="G41">
        <f>IF($AL41="","",ROW()-4)</f>
        <v/>
      </c>
      <c r="H41">
        <f>IF($AL41="","",INDEX('04_調査結果'!$AO$5:$AO$404,$AL41))</f>
        <v/>
      </c>
      <c r="I41">
        <f>IF($AL41="","",IFERROR(INDEX('M2_区分マスタ'!$I$5:$I$10,INDEX('04_調査結果'!$AP$5:$AP$404,$AL41)),""))</f>
        <v/>
      </c>
      <c r="J41">
        <f>IF($AL41="","",INDEX('04_調査結果'!$BE$5:$BE$404,$AL41)&amp;"")</f>
        <v/>
      </c>
      <c r="K41">
        <f>IF($AL41="","",INDEX('04_調査結果'!$F$5:$F$404,$AL41)&amp;"")</f>
        <v/>
      </c>
      <c r="L41">
        <f>IF($AL41="","",INDEX('04_調査結果'!$G$5:$G$404,$AL41)&amp;"")</f>
        <v/>
      </c>
      <c r="M41">
        <f>IF($AL41="","",INDEX('04_調査結果'!$AQ$5:$AQ$404,$AL41)&amp;"")</f>
        <v/>
      </c>
      <c r="N41">
        <f>IF($AL41="","",IFERROR(INDEX('M1_類型マスタ'!$B$5:$B$19,MATCH(M41,'M1_類型マスタ'!$A$5:$A$19,0)),""))</f>
        <v/>
      </c>
      <c r="O41">
        <f>IF($AL41="","",INDEX('04_調査結果'!$I$5:$I$404,$AL41)&amp;"")</f>
        <v/>
      </c>
      <c r="P41">
        <f>IF($AL41="","",INDEX('04_調査結果'!$J$5:$J$404,$AL41)&amp;"")</f>
        <v/>
      </c>
      <c r="Q41">
        <f>IF($AL41="","",INDEX('04_調査結果'!$K$5:$K$404,$AL41)&amp;"")</f>
        <v/>
      </c>
      <c r="R41">
        <f>IF($AL41="","",INDEX('04_調査結果'!$L$5:$L$404,$AL41)&amp;"")</f>
        <v/>
      </c>
      <c r="S41">
        <f>IF($AL41="","",INDEX('04_調査結果'!$M$5:$M$404,$AL41)&amp;"")</f>
        <v/>
      </c>
      <c r="T41" s="33">
        <f>IF($AL41="","",IF(INDEX('04_調査結果'!$AE$5:$AE$404,$AL41)&lt;&gt;"",INDEX('04_調査結果'!$AE$5:$AE$404,$AL41),INDEX('04_調査結果'!$AS$5:$AS$404,$AL41)))</f>
        <v/>
      </c>
      <c r="U41" s="33">
        <f>IF($AL41="","",IF(INDEX('04_調査結果'!$AF$5:$AF$404,$AL41)&lt;&gt;"",INDEX('04_調査結果'!$AF$5:$AF$404,$AL41),INDEX('04_調査結果'!$AT$5:$AT$404,$AL41)))</f>
        <v/>
      </c>
      <c r="V41" s="33">
        <f>IF($AL41="","",INDEX('04_調査結果'!$AI$5:$AI$404,$AL41))</f>
        <v/>
      </c>
      <c r="W41">
        <f>IF($AL41="","",INDEX('04_調査結果'!$AU$5:$AU$404,$AL41))</f>
        <v/>
      </c>
      <c r="X41" s="37">
        <f>IF($AL41="","",INDEX('04_調査結果'!$AW$5:$AW$404,$AL41))</f>
        <v/>
      </c>
      <c r="Y41" s="37">
        <f>IF($AL41="","",INDEX('04_調査結果'!$AX$5:$AX$404,$AL41))</f>
        <v/>
      </c>
      <c r="Z41">
        <f>IF($AL41="","",INDEX('04_調査結果'!$S$5:$S$404,$AL41)&amp;"")</f>
        <v/>
      </c>
      <c r="AA41">
        <f>IF($AL41="","",INDEX('04_調査結果'!$T$5:$T$404,$AL41))</f>
        <v/>
      </c>
      <c r="AB41">
        <f>IF($AL41="","",INDEX('04_調査結果'!$U$5:$U$404,$AL41))</f>
        <v/>
      </c>
      <c r="AC41">
        <f>IF($AL41="","",INDEX('04_調査結果'!$V$5:$V$404,$AL41))</f>
        <v/>
      </c>
      <c r="AD41">
        <f>IF($AL41="","",INDEX('04_調査結果'!$W$5:$W$404,$AL41))</f>
        <v/>
      </c>
      <c r="AE41">
        <f>IF($AL41="","",INDEX('04_調査結果'!$X$5:$X$404,$AL41))</f>
        <v/>
      </c>
      <c r="AF41">
        <f>IF($AL41="","",INDEX('04_調査結果'!$Y$5:$Y$404,$AL41))</f>
        <v/>
      </c>
      <c r="AG41">
        <f>IF($AL41="","",INDEX('04_調査結果'!$Z$5:$Z$404,$AL41))</f>
        <v/>
      </c>
      <c r="AH41">
        <f>IF($AL41="","",INDEX('04_調査結果'!$AK$5:$AK$404,$AL41))</f>
        <v/>
      </c>
      <c r="AI41">
        <f>IF($AL41="","",INDEX('04_調査結果'!$AH$5:$AH$404,$AL41)&amp;"")</f>
        <v/>
      </c>
      <c r="AJ41">
        <f>IF($AL41="","",INDEX('04_調査結果'!$AA$5:$AA$404,$AL41)&amp;"")</f>
        <v/>
      </c>
      <c r="AK41">
        <f>IF($AL41="","",INDEX('04_調査結果'!$AC$5:$AC$404,$AL41)&amp;"")</f>
        <v/>
      </c>
      <c r="AL41" s="34">
        <f>IFERROR(MATCH(ROW()-4,'04_調査結果'!$AZ$5:$AZ$404,0),"")</f>
        <v/>
      </c>
    </row>
    <row r="42">
      <c r="A42">
        <f>IF($AL42="","",'01_設定'!$C$36)</f>
        <v/>
      </c>
      <c r="B42">
        <f>IF($AL42="","",'01_設定'!$C$5)</f>
        <v/>
      </c>
      <c r="C42">
        <f>IF($AL42="","",'01_設定'!$C$6)</f>
        <v/>
      </c>
      <c r="D42" s="36">
        <f>IF($AL42="","",'01_設定'!$C$22)</f>
        <v/>
      </c>
      <c r="E42" s="36">
        <f>IF($AL42="","",'01_設定'!$C$23)</f>
        <v/>
      </c>
      <c r="F42">
        <f>IF($AL42="","",'01_設定'!$C$32)</f>
        <v/>
      </c>
      <c r="G42">
        <f>IF($AL42="","",ROW()-4)</f>
        <v/>
      </c>
      <c r="H42">
        <f>IF($AL42="","",INDEX('04_調査結果'!$AO$5:$AO$404,$AL42))</f>
        <v/>
      </c>
      <c r="I42">
        <f>IF($AL42="","",IFERROR(INDEX('M2_区分マスタ'!$I$5:$I$10,INDEX('04_調査結果'!$AP$5:$AP$404,$AL42)),""))</f>
        <v/>
      </c>
      <c r="J42">
        <f>IF($AL42="","",INDEX('04_調査結果'!$BE$5:$BE$404,$AL42)&amp;"")</f>
        <v/>
      </c>
      <c r="K42">
        <f>IF($AL42="","",INDEX('04_調査結果'!$F$5:$F$404,$AL42)&amp;"")</f>
        <v/>
      </c>
      <c r="L42">
        <f>IF($AL42="","",INDEX('04_調査結果'!$G$5:$G$404,$AL42)&amp;"")</f>
        <v/>
      </c>
      <c r="M42">
        <f>IF($AL42="","",INDEX('04_調査結果'!$AQ$5:$AQ$404,$AL42)&amp;"")</f>
        <v/>
      </c>
      <c r="N42">
        <f>IF($AL42="","",IFERROR(INDEX('M1_類型マスタ'!$B$5:$B$19,MATCH(M42,'M1_類型マスタ'!$A$5:$A$19,0)),""))</f>
        <v/>
      </c>
      <c r="O42">
        <f>IF($AL42="","",INDEX('04_調査結果'!$I$5:$I$404,$AL42)&amp;"")</f>
        <v/>
      </c>
      <c r="P42">
        <f>IF($AL42="","",INDEX('04_調査結果'!$J$5:$J$404,$AL42)&amp;"")</f>
        <v/>
      </c>
      <c r="Q42">
        <f>IF($AL42="","",INDEX('04_調査結果'!$K$5:$K$404,$AL42)&amp;"")</f>
        <v/>
      </c>
      <c r="R42">
        <f>IF($AL42="","",INDEX('04_調査結果'!$L$5:$L$404,$AL42)&amp;"")</f>
        <v/>
      </c>
      <c r="S42">
        <f>IF($AL42="","",INDEX('04_調査結果'!$M$5:$M$404,$AL42)&amp;"")</f>
        <v/>
      </c>
      <c r="T42" s="33">
        <f>IF($AL42="","",IF(INDEX('04_調査結果'!$AE$5:$AE$404,$AL42)&lt;&gt;"",INDEX('04_調査結果'!$AE$5:$AE$404,$AL42),INDEX('04_調査結果'!$AS$5:$AS$404,$AL42)))</f>
        <v/>
      </c>
      <c r="U42" s="33">
        <f>IF($AL42="","",IF(INDEX('04_調査結果'!$AF$5:$AF$404,$AL42)&lt;&gt;"",INDEX('04_調査結果'!$AF$5:$AF$404,$AL42),INDEX('04_調査結果'!$AT$5:$AT$404,$AL42)))</f>
        <v/>
      </c>
      <c r="V42" s="33">
        <f>IF($AL42="","",INDEX('04_調査結果'!$AI$5:$AI$404,$AL42))</f>
        <v/>
      </c>
      <c r="W42">
        <f>IF($AL42="","",INDEX('04_調査結果'!$AU$5:$AU$404,$AL42))</f>
        <v/>
      </c>
      <c r="X42" s="37">
        <f>IF($AL42="","",INDEX('04_調査結果'!$AW$5:$AW$404,$AL42))</f>
        <v/>
      </c>
      <c r="Y42" s="37">
        <f>IF($AL42="","",INDEX('04_調査結果'!$AX$5:$AX$404,$AL42))</f>
        <v/>
      </c>
      <c r="Z42">
        <f>IF($AL42="","",INDEX('04_調査結果'!$S$5:$S$404,$AL42)&amp;"")</f>
        <v/>
      </c>
      <c r="AA42">
        <f>IF($AL42="","",INDEX('04_調査結果'!$T$5:$T$404,$AL42))</f>
        <v/>
      </c>
      <c r="AB42">
        <f>IF($AL42="","",INDEX('04_調査結果'!$U$5:$U$404,$AL42))</f>
        <v/>
      </c>
      <c r="AC42">
        <f>IF($AL42="","",INDEX('04_調査結果'!$V$5:$V$404,$AL42))</f>
        <v/>
      </c>
      <c r="AD42">
        <f>IF($AL42="","",INDEX('04_調査結果'!$W$5:$W$404,$AL42))</f>
        <v/>
      </c>
      <c r="AE42">
        <f>IF($AL42="","",INDEX('04_調査結果'!$X$5:$X$404,$AL42))</f>
        <v/>
      </c>
      <c r="AF42">
        <f>IF($AL42="","",INDEX('04_調査結果'!$Y$5:$Y$404,$AL42))</f>
        <v/>
      </c>
      <c r="AG42">
        <f>IF($AL42="","",INDEX('04_調査結果'!$Z$5:$Z$404,$AL42))</f>
        <v/>
      </c>
      <c r="AH42">
        <f>IF($AL42="","",INDEX('04_調査結果'!$AK$5:$AK$404,$AL42))</f>
        <v/>
      </c>
      <c r="AI42">
        <f>IF($AL42="","",INDEX('04_調査結果'!$AH$5:$AH$404,$AL42)&amp;"")</f>
        <v/>
      </c>
      <c r="AJ42">
        <f>IF($AL42="","",INDEX('04_調査結果'!$AA$5:$AA$404,$AL42)&amp;"")</f>
        <v/>
      </c>
      <c r="AK42">
        <f>IF($AL42="","",INDEX('04_調査結果'!$AC$5:$AC$404,$AL42)&amp;"")</f>
        <v/>
      </c>
      <c r="AL42" s="34">
        <f>IFERROR(MATCH(ROW()-4,'04_調査結果'!$AZ$5:$AZ$404,0),"")</f>
        <v/>
      </c>
    </row>
    <row r="43">
      <c r="A43">
        <f>IF($AL43="","",'01_設定'!$C$36)</f>
        <v/>
      </c>
      <c r="B43">
        <f>IF($AL43="","",'01_設定'!$C$5)</f>
        <v/>
      </c>
      <c r="C43">
        <f>IF($AL43="","",'01_設定'!$C$6)</f>
        <v/>
      </c>
      <c r="D43" s="36">
        <f>IF($AL43="","",'01_設定'!$C$22)</f>
        <v/>
      </c>
      <c r="E43" s="36">
        <f>IF($AL43="","",'01_設定'!$C$23)</f>
        <v/>
      </c>
      <c r="F43">
        <f>IF($AL43="","",'01_設定'!$C$32)</f>
        <v/>
      </c>
      <c r="G43">
        <f>IF($AL43="","",ROW()-4)</f>
        <v/>
      </c>
      <c r="H43">
        <f>IF($AL43="","",INDEX('04_調査結果'!$AO$5:$AO$404,$AL43))</f>
        <v/>
      </c>
      <c r="I43">
        <f>IF($AL43="","",IFERROR(INDEX('M2_区分マスタ'!$I$5:$I$10,INDEX('04_調査結果'!$AP$5:$AP$404,$AL43)),""))</f>
        <v/>
      </c>
      <c r="J43">
        <f>IF($AL43="","",INDEX('04_調査結果'!$BE$5:$BE$404,$AL43)&amp;"")</f>
        <v/>
      </c>
      <c r="K43">
        <f>IF($AL43="","",INDEX('04_調査結果'!$F$5:$F$404,$AL43)&amp;"")</f>
        <v/>
      </c>
      <c r="L43">
        <f>IF($AL43="","",INDEX('04_調査結果'!$G$5:$G$404,$AL43)&amp;"")</f>
        <v/>
      </c>
      <c r="M43">
        <f>IF($AL43="","",INDEX('04_調査結果'!$AQ$5:$AQ$404,$AL43)&amp;"")</f>
        <v/>
      </c>
      <c r="N43">
        <f>IF($AL43="","",IFERROR(INDEX('M1_類型マスタ'!$B$5:$B$19,MATCH(M43,'M1_類型マスタ'!$A$5:$A$19,0)),""))</f>
        <v/>
      </c>
      <c r="O43">
        <f>IF($AL43="","",INDEX('04_調査結果'!$I$5:$I$404,$AL43)&amp;"")</f>
        <v/>
      </c>
      <c r="P43">
        <f>IF($AL43="","",INDEX('04_調査結果'!$J$5:$J$404,$AL43)&amp;"")</f>
        <v/>
      </c>
      <c r="Q43">
        <f>IF($AL43="","",INDEX('04_調査結果'!$K$5:$K$404,$AL43)&amp;"")</f>
        <v/>
      </c>
      <c r="R43">
        <f>IF($AL43="","",INDEX('04_調査結果'!$L$5:$L$404,$AL43)&amp;"")</f>
        <v/>
      </c>
      <c r="S43">
        <f>IF($AL43="","",INDEX('04_調査結果'!$M$5:$M$404,$AL43)&amp;"")</f>
        <v/>
      </c>
      <c r="T43" s="33">
        <f>IF($AL43="","",IF(INDEX('04_調査結果'!$AE$5:$AE$404,$AL43)&lt;&gt;"",INDEX('04_調査結果'!$AE$5:$AE$404,$AL43),INDEX('04_調査結果'!$AS$5:$AS$404,$AL43)))</f>
        <v/>
      </c>
      <c r="U43" s="33">
        <f>IF($AL43="","",IF(INDEX('04_調査結果'!$AF$5:$AF$404,$AL43)&lt;&gt;"",INDEX('04_調査結果'!$AF$5:$AF$404,$AL43),INDEX('04_調査結果'!$AT$5:$AT$404,$AL43)))</f>
        <v/>
      </c>
      <c r="V43" s="33">
        <f>IF($AL43="","",INDEX('04_調査結果'!$AI$5:$AI$404,$AL43))</f>
        <v/>
      </c>
      <c r="W43">
        <f>IF($AL43="","",INDEX('04_調査結果'!$AU$5:$AU$404,$AL43))</f>
        <v/>
      </c>
      <c r="X43" s="37">
        <f>IF($AL43="","",INDEX('04_調査結果'!$AW$5:$AW$404,$AL43))</f>
        <v/>
      </c>
      <c r="Y43" s="37">
        <f>IF($AL43="","",INDEX('04_調査結果'!$AX$5:$AX$404,$AL43))</f>
        <v/>
      </c>
      <c r="Z43">
        <f>IF($AL43="","",INDEX('04_調査結果'!$S$5:$S$404,$AL43)&amp;"")</f>
        <v/>
      </c>
      <c r="AA43">
        <f>IF($AL43="","",INDEX('04_調査結果'!$T$5:$T$404,$AL43))</f>
        <v/>
      </c>
      <c r="AB43">
        <f>IF($AL43="","",INDEX('04_調査結果'!$U$5:$U$404,$AL43))</f>
        <v/>
      </c>
      <c r="AC43">
        <f>IF($AL43="","",INDEX('04_調査結果'!$V$5:$V$404,$AL43))</f>
        <v/>
      </c>
      <c r="AD43">
        <f>IF($AL43="","",INDEX('04_調査結果'!$W$5:$W$404,$AL43))</f>
        <v/>
      </c>
      <c r="AE43">
        <f>IF($AL43="","",INDEX('04_調査結果'!$X$5:$X$404,$AL43))</f>
        <v/>
      </c>
      <c r="AF43">
        <f>IF($AL43="","",INDEX('04_調査結果'!$Y$5:$Y$404,$AL43))</f>
        <v/>
      </c>
      <c r="AG43">
        <f>IF($AL43="","",INDEX('04_調査結果'!$Z$5:$Z$404,$AL43))</f>
        <v/>
      </c>
      <c r="AH43">
        <f>IF($AL43="","",INDEX('04_調査結果'!$AK$5:$AK$404,$AL43))</f>
        <v/>
      </c>
      <c r="AI43">
        <f>IF($AL43="","",INDEX('04_調査結果'!$AH$5:$AH$404,$AL43)&amp;"")</f>
        <v/>
      </c>
      <c r="AJ43">
        <f>IF($AL43="","",INDEX('04_調査結果'!$AA$5:$AA$404,$AL43)&amp;"")</f>
        <v/>
      </c>
      <c r="AK43">
        <f>IF($AL43="","",INDEX('04_調査結果'!$AC$5:$AC$404,$AL43)&amp;"")</f>
        <v/>
      </c>
      <c r="AL43" s="34">
        <f>IFERROR(MATCH(ROW()-4,'04_調査結果'!$AZ$5:$AZ$404,0),"")</f>
        <v/>
      </c>
    </row>
    <row r="44">
      <c r="A44">
        <f>IF($AL44="","",'01_設定'!$C$36)</f>
        <v/>
      </c>
      <c r="B44">
        <f>IF($AL44="","",'01_設定'!$C$5)</f>
        <v/>
      </c>
      <c r="C44">
        <f>IF($AL44="","",'01_設定'!$C$6)</f>
        <v/>
      </c>
      <c r="D44" s="36">
        <f>IF($AL44="","",'01_設定'!$C$22)</f>
        <v/>
      </c>
      <c r="E44" s="36">
        <f>IF($AL44="","",'01_設定'!$C$23)</f>
        <v/>
      </c>
      <c r="F44">
        <f>IF($AL44="","",'01_設定'!$C$32)</f>
        <v/>
      </c>
      <c r="G44">
        <f>IF($AL44="","",ROW()-4)</f>
        <v/>
      </c>
      <c r="H44">
        <f>IF($AL44="","",INDEX('04_調査結果'!$AO$5:$AO$404,$AL44))</f>
        <v/>
      </c>
      <c r="I44">
        <f>IF($AL44="","",IFERROR(INDEX('M2_区分マスタ'!$I$5:$I$10,INDEX('04_調査結果'!$AP$5:$AP$404,$AL44)),""))</f>
        <v/>
      </c>
      <c r="J44">
        <f>IF($AL44="","",INDEX('04_調査結果'!$BE$5:$BE$404,$AL44)&amp;"")</f>
        <v/>
      </c>
      <c r="K44">
        <f>IF($AL44="","",INDEX('04_調査結果'!$F$5:$F$404,$AL44)&amp;"")</f>
        <v/>
      </c>
      <c r="L44">
        <f>IF($AL44="","",INDEX('04_調査結果'!$G$5:$G$404,$AL44)&amp;"")</f>
        <v/>
      </c>
      <c r="M44">
        <f>IF($AL44="","",INDEX('04_調査結果'!$AQ$5:$AQ$404,$AL44)&amp;"")</f>
        <v/>
      </c>
      <c r="N44">
        <f>IF($AL44="","",IFERROR(INDEX('M1_類型マスタ'!$B$5:$B$19,MATCH(M44,'M1_類型マスタ'!$A$5:$A$19,0)),""))</f>
        <v/>
      </c>
      <c r="O44">
        <f>IF($AL44="","",INDEX('04_調査結果'!$I$5:$I$404,$AL44)&amp;"")</f>
        <v/>
      </c>
      <c r="P44">
        <f>IF($AL44="","",INDEX('04_調査結果'!$J$5:$J$404,$AL44)&amp;"")</f>
        <v/>
      </c>
      <c r="Q44">
        <f>IF($AL44="","",INDEX('04_調査結果'!$K$5:$K$404,$AL44)&amp;"")</f>
        <v/>
      </c>
      <c r="R44">
        <f>IF($AL44="","",INDEX('04_調査結果'!$L$5:$L$404,$AL44)&amp;"")</f>
        <v/>
      </c>
      <c r="S44">
        <f>IF($AL44="","",INDEX('04_調査結果'!$M$5:$M$404,$AL44)&amp;"")</f>
        <v/>
      </c>
      <c r="T44" s="33">
        <f>IF($AL44="","",IF(INDEX('04_調査結果'!$AE$5:$AE$404,$AL44)&lt;&gt;"",INDEX('04_調査結果'!$AE$5:$AE$404,$AL44),INDEX('04_調査結果'!$AS$5:$AS$404,$AL44)))</f>
        <v/>
      </c>
      <c r="U44" s="33">
        <f>IF($AL44="","",IF(INDEX('04_調査結果'!$AF$5:$AF$404,$AL44)&lt;&gt;"",INDEX('04_調査結果'!$AF$5:$AF$404,$AL44),INDEX('04_調査結果'!$AT$5:$AT$404,$AL44)))</f>
        <v/>
      </c>
      <c r="V44" s="33">
        <f>IF($AL44="","",INDEX('04_調査結果'!$AI$5:$AI$404,$AL44))</f>
        <v/>
      </c>
      <c r="W44">
        <f>IF($AL44="","",INDEX('04_調査結果'!$AU$5:$AU$404,$AL44))</f>
        <v/>
      </c>
      <c r="X44" s="37">
        <f>IF($AL44="","",INDEX('04_調査結果'!$AW$5:$AW$404,$AL44))</f>
        <v/>
      </c>
      <c r="Y44" s="37">
        <f>IF($AL44="","",INDEX('04_調査結果'!$AX$5:$AX$404,$AL44))</f>
        <v/>
      </c>
      <c r="Z44">
        <f>IF($AL44="","",INDEX('04_調査結果'!$S$5:$S$404,$AL44)&amp;"")</f>
        <v/>
      </c>
      <c r="AA44">
        <f>IF($AL44="","",INDEX('04_調査結果'!$T$5:$T$404,$AL44))</f>
        <v/>
      </c>
      <c r="AB44">
        <f>IF($AL44="","",INDEX('04_調査結果'!$U$5:$U$404,$AL44))</f>
        <v/>
      </c>
      <c r="AC44">
        <f>IF($AL44="","",INDEX('04_調査結果'!$V$5:$V$404,$AL44))</f>
        <v/>
      </c>
      <c r="AD44">
        <f>IF($AL44="","",INDEX('04_調査結果'!$W$5:$W$404,$AL44))</f>
        <v/>
      </c>
      <c r="AE44">
        <f>IF($AL44="","",INDEX('04_調査結果'!$X$5:$X$404,$AL44))</f>
        <v/>
      </c>
      <c r="AF44">
        <f>IF($AL44="","",INDEX('04_調査結果'!$Y$5:$Y$404,$AL44))</f>
        <v/>
      </c>
      <c r="AG44">
        <f>IF($AL44="","",INDEX('04_調査結果'!$Z$5:$Z$404,$AL44))</f>
        <v/>
      </c>
      <c r="AH44">
        <f>IF($AL44="","",INDEX('04_調査結果'!$AK$5:$AK$404,$AL44))</f>
        <v/>
      </c>
      <c r="AI44">
        <f>IF($AL44="","",INDEX('04_調査結果'!$AH$5:$AH$404,$AL44)&amp;"")</f>
        <v/>
      </c>
      <c r="AJ44">
        <f>IF($AL44="","",INDEX('04_調査結果'!$AA$5:$AA$404,$AL44)&amp;"")</f>
        <v/>
      </c>
      <c r="AK44">
        <f>IF($AL44="","",INDEX('04_調査結果'!$AC$5:$AC$404,$AL44)&amp;"")</f>
        <v/>
      </c>
      <c r="AL44" s="34">
        <f>IFERROR(MATCH(ROW()-4,'04_調査結果'!$AZ$5:$AZ$404,0),"")</f>
        <v/>
      </c>
    </row>
    <row r="45">
      <c r="A45">
        <f>IF($AL45="","",'01_設定'!$C$36)</f>
        <v/>
      </c>
      <c r="B45">
        <f>IF($AL45="","",'01_設定'!$C$5)</f>
        <v/>
      </c>
      <c r="C45">
        <f>IF($AL45="","",'01_設定'!$C$6)</f>
        <v/>
      </c>
      <c r="D45" s="36">
        <f>IF($AL45="","",'01_設定'!$C$22)</f>
        <v/>
      </c>
      <c r="E45" s="36">
        <f>IF($AL45="","",'01_設定'!$C$23)</f>
        <v/>
      </c>
      <c r="F45">
        <f>IF($AL45="","",'01_設定'!$C$32)</f>
        <v/>
      </c>
      <c r="G45">
        <f>IF($AL45="","",ROW()-4)</f>
        <v/>
      </c>
      <c r="H45">
        <f>IF($AL45="","",INDEX('04_調査結果'!$AO$5:$AO$404,$AL45))</f>
        <v/>
      </c>
      <c r="I45">
        <f>IF($AL45="","",IFERROR(INDEX('M2_区分マスタ'!$I$5:$I$10,INDEX('04_調査結果'!$AP$5:$AP$404,$AL45)),""))</f>
        <v/>
      </c>
      <c r="J45">
        <f>IF($AL45="","",INDEX('04_調査結果'!$BE$5:$BE$404,$AL45)&amp;"")</f>
        <v/>
      </c>
      <c r="K45">
        <f>IF($AL45="","",INDEX('04_調査結果'!$F$5:$F$404,$AL45)&amp;"")</f>
        <v/>
      </c>
      <c r="L45">
        <f>IF($AL45="","",INDEX('04_調査結果'!$G$5:$G$404,$AL45)&amp;"")</f>
        <v/>
      </c>
      <c r="M45">
        <f>IF($AL45="","",INDEX('04_調査結果'!$AQ$5:$AQ$404,$AL45)&amp;"")</f>
        <v/>
      </c>
      <c r="N45">
        <f>IF($AL45="","",IFERROR(INDEX('M1_類型マスタ'!$B$5:$B$19,MATCH(M45,'M1_類型マスタ'!$A$5:$A$19,0)),""))</f>
        <v/>
      </c>
      <c r="O45">
        <f>IF($AL45="","",INDEX('04_調査結果'!$I$5:$I$404,$AL45)&amp;"")</f>
        <v/>
      </c>
      <c r="P45">
        <f>IF($AL45="","",INDEX('04_調査結果'!$J$5:$J$404,$AL45)&amp;"")</f>
        <v/>
      </c>
      <c r="Q45">
        <f>IF($AL45="","",INDEX('04_調査結果'!$K$5:$K$404,$AL45)&amp;"")</f>
        <v/>
      </c>
      <c r="R45">
        <f>IF($AL45="","",INDEX('04_調査結果'!$L$5:$L$404,$AL45)&amp;"")</f>
        <v/>
      </c>
      <c r="S45">
        <f>IF($AL45="","",INDEX('04_調査結果'!$M$5:$M$404,$AL45)&amp;"")</f>
        <v/>
      </c>
      <c r="T45" s="33">
        <f>IF($AL45="","",IF(INDEX('04_調査結果'!$AE$5:$AE$404,$AL45)&lt;&gt;"",INDEX('04_調査結果'!$AE$5:$AE$404,$AL45),INDEX('04_調査結果'!$AS$5:$AS$404,$AL45)))</f>
        <v/>
      </c>
      <c r="U45" s="33">
        <f>IF($AL45="","",IF(INDEX('04_調査結果'!$AF$5:$AF$404,$AL45)&lt;&gt;"",INDEX('04_調査結果'!$AF$5:$AF$404,$AL45),INDEX('04_調査結果'!$AT$5:$AT$404,$AL45)))</f>
        <v/>
      </c>
      <c r="V45" s="33">
        <f>IF($AL45="","",INDEX('04_調査結果'!$AI$5:$AI$404,$AL45))</f>
        <v/>
      </c>
      <c r="W45">
        <f>IF($AL45="","",INDEX('04_調査結果'!$AU$5:$AU$404,$AL45))</f>
        <v/>
      </c>
      <c r="X45" s="37">
        <f>IF($AL45="","",INDEX('04_調査結果'!$AW$5:$AW$404,$AL45))</f>
        <v/>
      </c>
      <c r="Y45" s="37">
        <f>IF($AL45="","",INDEX('04_調査結果'!$AX$5:$AX$404,$AL45))</f>
        <v/>
      </c>
      <c r="Z45">
        <f>IF($AL45="","",INDEX('04_調査結果'!$S$5:$S$404,$AL45)&amp;"")</f>
        <v/>
      </c>
      <c r="AA45">
        <f>IF($AL45="","",INDEX('04_調査結果'!$T$5:$T$404,$AL45))</f>
        <v/>
      </c>
      <c r="AB45">
        <f>IF($AL45="","",INDEX('04_調査結果'!$U$5:$U$404,$AL45))</f>
        <v/>
      </c>
      <c r="AC45">
        <f>IF($AL45="","",INDEX('04_調査結果'!$V$5:$V$404,$AL45))</f>
        <v/>
      </c>
      <c r="AD45">
        <f>IF($AL45="","",INDEX('04_調査結果'!$W$5:$W$404,$AL45))</f>
        <v/>
      </c>
      <c r="AE45">
        <f>IF($AL45="","",INDEX('04_調査結果'!$X$5:$X$404,$AL45))</f>
        <v/>
      </c>
      <c r="AF45">
        <f>IF($AL45="","",INDEX('04_調査結果'!$Y$5:$Y$404,$AL45))</f>
        <v/>
      </c>
      <c r="AG45">
        <f>IF($AL45="","",INDEX('04_調査結果'!$Z$5:$Z$404,$AL45))</f>
        <v/>
      </c>
      <c r="AH45">
        <f>IF($AL45="","",INDEX('04_調査結果'!$AK$5:$AK$404,$AL45))</f>
        <v/>
      </c>
      <c r="AI45">
        <f>IF($AL45="","",INDEX('04_調査結果'!$AH$5:$AH$404,$AL45)&amp;"")</f>
        <v/>
      </c>
      <c r="AJ45">
        <f>IF($AL45="","",INDEX('04_調査結果'!$AA$5:$AA$404,$AL45)&amp;"")</f>
        <v/>
      </c>
      <c r="AK45">
        <f>IF($AL45="","",INDEX('04_調査結果'!$AC$5:$AC$404,$AL45)&amp;"")</f>
        <v/>
      </c>
      <c r="AL45" s="34">
        <f>IFERROR(MATCH(ROW()-4,'04_調査結果'!$AZ$5:$AZ$404,0),"")</f>
        <v/>
      </c>
    </row>
    <row r="46">
      <c r="A46">
        <f>IF($AL46="","",'01_設定'!$C$36)</f>
        <v/>
      </c>
      <c r="B46">
        <f>IF($AL46="","",'01_設定'!$C$5)</f>
        <v/>
      </c>
      <c r="C46">
        <f>IF($AL46="","",'01_設定'!$C$6)</f>
        <v/>
      </c>
      <c r="D46" s="36">
        <f>IF($AL46="","",'01_設定'!$C$22)</f>
        <v/>
      </c>
      <c r="E46" s="36">
        <f>IF($AL46="","",'01_設定'!$C$23)</f>
        <v/>
      </c>
      <c r="F46">
        <f>IF($AL46="","",'01_設定'!$C$32)</f>
        <v/>
      </c>
      <c r="G46">
        <f>IF($AL46="","",ROW()-4)</f>
        <v/>
      </c>
      <c r="H46">
        <f>IF($AL46="","",INDEX('04_調査結果'!$AO$5:$AO$404,$AL46))</f>
        <v/>
      </c>
      <c r="I46">
        <f>IF($AL46="","",IFERROR(INDEX('M2_区分マスタ'!$I$5:$I$10,INDEX('04_調査結果'!$AP$5:$AP$404,$AL46)),""))</f>
        <v/>
      </c>
      <c r="J46">
        <f>IF($AL46="","",INDEX('04_調査結果'!$BE$5:$BE$404,$AL46)&amp;"")</f>
        <v/>
      </c>
      <c r="K46">
        <f>IF($AL46="","",INDEX('04_調査結果'!$F$5:$F$404,$AL46)&amp;"")</f>
        <v/>
      </c>
      <c r="L46">
        <f>IF($AL46="","",INDEX('04_調査結果'!$G$5:$G$404,$AL46)&amp;"")</f>
        <v/>
      </c>
      <c r="M46">
        <f>IF($AL46="","",INDEX('04_調査結果'!$AQ$5:$AQ$404,$AL46)&amp;"")</f>
        <v/>
      </c>
      <c r="N46">
        <f>IF($AL46="","",IFERROR(INDEX('M1_類型マスタ'!$B$5:$B$19,MATCH(M46,'M1_類型マスタ'!$A$5:$A$19,0)),""))</f>
        <v/>
      </c>
      <c r="O46">
        <f>IF($AL46="","",INDEX('04_調査結果'!$I$5:$I$404,$AL46)&amp;"")</f>
        <v/>
      </c>
      <c r="P46">
        <f>IF($AL46="","",INDEX('04_調査結果'!$J$5:$J$404,$AL46)&amp;"")</f>
        <v/>
      </c>
      <c r="Q46">
        <f>IF($AL46="","",INDEX('04_調査結果'!$K$5:$K$404,$AL46)&amp;"")</f>
        <v/>
      </c>
      <c r="R46">
        <f>IF($AL46="","",INDEX('04_調査結果'!$L$5:$L$404,$AL46)&amp;"")</f>
        <v/>
      </c>
      <c r="S46">
        <f>IF($AL46="","",INDEX('04_調査結果'!$M$5:$M$404,$AL46)&amp;"")</f>
        <v/>
      </c>
      <c r="T46" s="33">
        <f>IF($AL46="","",IF(INDEX('04_調査結果'!$AE$5:$AE$404,$AL46)&lt;&gt;"",INDEX('04_調査結果'!$AE$5:$AE$404,$AL46),INDEX('04_調査結果'!$AS$5:$AS$404,$AL46)))</f>
        <v/>
      </c>
      <c r="U46" s="33">
        <f>IF($AL46="","",IF(INDEX('04_調査結果'!$AF$5:$AF$404,$AL46)&lt;&gt;"",INDEX('04_調査結果'!$AF$5:$AF$404,$AL46),INDEX('04_調査結果'!$AT$5:$AT$404,$AL46)))</f>
        <v/>
      </c>
      <c r="V46" s="33">
        <f>IF($AL46="","",INDEX('04_調査結果'!$AI$5:$AI$404,$AL46))</f>
        <v/>
      </c>
      <c r="W46">
        <f>IF($AL46="","",INDEX('04_調査結果'!$AU$5:$AU$404,$AL46))</f>
        <v/>
      </c>
      <c r="X46" s="37">
        <f>IF($AL46="","",INDEX('04_調査結果'!$AW$5:$AW$404,$AL46))</f>
        <v/>
      </c>
      <c r="Y46" s="37">
        <f>IF($AL46="","",INDEX('04_調査結果'!$AX$5:$AX$404,$AL46))</f>
        <v/>
      </c>
      <c r="Z46">
        <f>IF($AL46="","",INDEX('04_調査結果'!$S$5:$S$404,$AL46)&amp;"")</f>
        <v/>
      </c>
      <c r="AA46">
        <f>IF($AL46="","",INDEX('04_調査結果'!$T$5:$T$404,$AL46))</f>
        <v/>
      </c>
      <c r="AB46">
        <f>IF($AL46="","",INDEX('04_調査結果'!$U$5:$U$404,$AL46))</f>
        <v/>
      </c>
      <c r="AC46">
        <f>IF($AL46="","",INDEX('04_調査結果'!$V$5:$V$404,$AL46))</f>
        <v/>
      </c>
      <c r="AD46">
        <f>IF($AL46="","",INDEX('04_調査結果'!$W$5:$W$404,$AL46))</f>
        <v/>
      </c>
      <c r="AE46">
        <f>IF($AL46="","",INDEX('04_調査結果'!$X$5:$X$404,$AL46))</f>
        <v/>
      </c>
      <c r="AF46">
        <f>IF($AL46="","",INDEX('04_調査結果'!$Y$5:$Y$404,$AL46))</f>
        <v/>
      </c>
      <c r="AG46">
        <f>IF($AL46="","",INDEX('04_調査結果'!$Z$5:$Z$404,$AL46))</f>
        <v/>
      </c>
      <c r="AH46">
        <f>IF($AL46="","",INDEX('04_調査結果'!$AK$5:$AK$404,$AL46))</f>
        <v/>
      </c>
      <c r="AI46">
        <f>IF($AL46="","",INDEX('04_調査結果'!$AH$5:$AH$404,$AL46)&amp;"")</f>
        <v/>
      </c>
      <c r="AJ46">
        <f>IF($AL46="","",INDEX('04_調査結果'!$AA$5:$AA$404,$AL46)&amp;"")</f>
        <v/>
      </c>
      <c r="AK46">
        <f>IF($AL46="","",INDEX('04_調査結果'!$AC$5:$AC$404,$AL46)&amp;"")</f>
        <v/>
      </c>
      <c r="AL46" s="34">
        <f>IFERROR(MATCH(ROW()-4,'04_調査結果'!$AZ$5:$AZ$404,0),"")</f>
        <v/>
      </c>
    </row>
    <row r="47">
      <c r="A47">
        <f>IF($AL47="","",'01_設定'!$C$36)</f>
        <v/>
      </c>
      <c r="B47">
        <f>IF($AL47="","",'01_設定'!$C$5)</f>
        <v/>
      </c>
      <c r="C47">
        <f>IF($AL47="","",'01_設定'!$C$6)</f>
        <v/>
      </c>
      <c r="D47" s="36">
        <f>IF($AL47="","",'01_設定'!$C$22)</f>
        <v/>
      </c>
      <c r="E47" s="36">
        <f>IF($AL47="","",'01_設定'!$C$23)</f>
        <v/>
      </c>
      <c r="F47">
        <f>IF($AL47="","",'01_設定'!$C$32)</f>
        <v/>
      </c>
      <c r="G47">
        <f>IF($AL47="","",ROW()-4)</f>
        <v/>
      </c>
      <c r="H47">
        <f>IF($AL47="","",INDEX('04_調査結果'!$AO$5:$AO$404,$AL47))</f>
        <v/>
      </c>
      <c r="I47">
        <f>IF($AL47="","",IFERROR(INDEX('M2_区分マスタ'!$I$5:$I$10,INDEX('04_調査結果'!$AP$5:$AP$404,$AL47)),""))</f>
        <v/>
      </c>
      <c r="J47">
        <f>IF($AL47="","",INDEX('04_調査結果'!$BE$5:$BE$404,$AL47)&amp;"")</f>
        <v/>
      </c>
      <c r="K47">
        <f>IF($AL47="","",INDEX('04_調査結果'!$F$5:$F$404,$AL47)&amp;"")</f>
        <v/>
      </c>
      <c r="L47">
        <f>IF($AL47="","",INDEX('04_調査結果'!$G$5:$G$404,$AL47)&amp;"")</f>
        <v/>
      </c>
      <c r="M47">
        <f>IF($AL47="","",INDEX('04_調査結果'!$AQ$5:$AQ$404,$AL47)&amp;"")</f>
        <v/>
      </c>
      <c r="N47">
        <f>IF($AL47="","",IFERROR(INDEX('M1_類型マスタ'!$B$5:$B$19,MATCH(M47,'M1_類型マスタ'!$A$5:$A$19,0)),""))</f>
        <v/>
      </c>
      <c r="O47">
        <f>IF($AL47="","",INDEX('04_調査結果'!$I$5:$I$404,$AL47)&amp;"")</f>
        <v/>
      </c>
      <c r="P47">
        <f>IF($AL47="","",INDEX('04_調査結果'!$J$5:$J$404,$AL47)&amp;"")</f>
        <v/>
      </c>
      <c r="Q47">
        <f>IF($AL47="","",INDEX('04_調査結果'!$K$5:$K$404,$AL47)&amp;"")</f>
        <v/>
      </c>
      <c r="R47">
        <f>IF($AL47="","",INDEX('04_調査結果'!$L$5:$L$404,$AL47)&amp;"")</f>
        <v/>
      </c>
      <c r="S47">
        <f>IF($AL47="","",INDEX('04_調査結果'!$M$5:$M$404,$AL47)&amp;"")</f>
        <v/>
      </c>
      <c r="T47" s="33">
        <f>IF($AL47="","",IF(INDEX('04_調査結果'!$AE$5:$AE$404,$AL47)&lt;&gt;"",INDEX('04_調査結果'!$AE$5:$AE$404,$AL47),INDEX('04_調査結果'!$AS$5:$AS$404,$AL47)))</f>
        <v/>
      </c>
      <c r="U47" s="33">
        <f>IF($AL47="","",IF(INDEX('04_調査結果'!$AF$5:$AF$404,$AL47)&lt;&gt;"",INDEX('04_調査結果'!$AF$5:$AF$404,$AL47),INDEX('04_調査結果'!$AT$5:$AT$404,$AL47)))</f>
        <v/>
      </c>
      <c r="V47" s="33">
        <f>IF($AL47="","",INDEX('04_調査結果'!$AI$5:$AI$404,$AL47))</f>
        <v/>
      </c>
      <c r="W47">
        <f>IF($AL47="","",INDEX('04_調査結果'!$AU$5:$AU$404,$AL47))</f>
        <v/>
      </c>
      <c r="X47" s="37">
        <f>IF($AL47="","",INDEX('04_調査結果'!$AW$5:$AW$404,$AL47))</f>
        <v/>
      </c>
      <c r="Y47" s="37">
        <f>IF($AL47="","",INDEX('04_調査結果'!$AX$5:$AX$404,$AL47))</f>
        <v/>
      </c>
      <c r="Z47">
        <f>IF($AL47="","",INDEX('04_調査結果'!$S$5:$S$404,$AL47)&amp;"")</f>
        <v/>
      </c>
      <c r="AA47">
        <f>IF($AL47="","",INDEX('04_調査結果'!$T$5:$T$404,$AL47))</f>
        <v/>
      </c>
      <c r="AB47">
        <f>IF($AL47="","",INDEX('04_調査結果'!$U$5:$U$404,$AL47))</f>
        <v/>
      </c>
      <c r="AC47">
        <f>IF($AL47="","",INDEX('04_調査結果'!$V$5:$V$404,$AL47))</f>
        <v/>
      </c>
      <c r="AD47">
        <f>IF($AL47="","",INDEX('04_調査結果'!$W$5:$W$404,$AL47))</f>
        <v/>
      </c>
      <c r="AE47">
        <f>IF($AL47="","",INDEX('04_調査結果'!$X$5:$X$404,$AL47))</f>
        <v/>
      </c>
      <c r="AF47">
        <f>IF($AL47="","",INDEX('04_調査結果'!$Y$5:$Y$404,$AL47))</f>
        <v/>
      </c>
      <c r="AG47">
        <f>IF($AL47="","",INDEX('04_調査結果'!$Z$5:$Z$404,$AL47))</f>
        <v/>
      </c>
      <c r="AH47">
        <f>IF($AL47="","",INDEX('04_調査結果'!$AK$5:$AK$404,$AL47))</f>
        <v/>
      </c>
      <c r="AI47">
        <f>IF($AL47="","",INDEX('04_調査結果'!$AH$5:$AH$404,$AL47)&amp;"")</f>
        <v/>
      </c>
      <c r="AJ47">
        <f>IF($AL47="","",INDEX('04_調査結果'!$AA$5:$AA$404,$AL47)&amp;"")</f>
        <v/>
      </c>
      <c r="AK47">
        <f>IF($AL47="","",INDEX('04_調査結果'!$AC$5:$AC$404,$AL47)&amp;"")</f>
        <v/>
      </c>
      <c r="AL47" s="34">
        <f>IFERROR(MATCH(ROW()-4,'04_調査結果'!$AZ$5:$AZ$404,0),"")</f>
        <v/>
      </c>
    </row>
    <row r="48">
      <c r="A48">
        <f>IF($AL48="","",'01_設定'!$C$36)</f>
        <v/>
      </c>
      <c r="B48">
        <f>IF($AL48="","",'01_設定'!$C$5)</f>
        <v/>
      </c>
      <c r="C48">
        <f>IF($AL48="","",'01_設定'!$C$6)</f>
        <v/>
      </c>
      <c r="D48" s="36">
        <f>IF($AL48="","",'01_設定'!$C$22)</f>
        <v/>
      </c>
      <c r="E48" s="36">
        <f>IF($AL48="","",'01_設定'!$C$23)</f>
        <v/>
      </c>
      <c r="F48">
        <f>IF($AL48="","",'01_設定'!$C$32)</f>
        <v/>
      </c>
      <c r="G48">
        <f>IF($AL48="","",ROW()-4)</f>
        <v/>
      </c>
      <c r="H48">
        <f>IF($AL48="","",INDEX('04_調査結果'!$AO$5:$AO$404,$AL48))</f>
        <v/>
      </c>
      <c r="I48">
        <f>IF($AL48="","",IFERROR(INDEX('M2_区分マスタ'!$I$5:$I$10,INDEX('04_調査結果'!$AP$5:$AP$404,$AL48)),""))</f>
        <v/>
      </c>
      <c r="J48">
        <f>IF($AL48="","",INDEX('04_調査結果'!$BE$5:$BE$404,$AL48)&amp;"")</f>
        <v/>
      </c>
      <c r="K48">
        <f>IF($AL48="","",INDEX('04_調査結果'!$F$5:$F$404,$AL48)&amp;"")</f>
        <v/>
      </c>
      <c r="L48">
        <f>IF($AL48="","",INDEX('04_調査結果'!$G$5:$G$404,$AL48)&amp;"")</f>
        <v/>
      </c>
      <c r="M48">
        <f>IF($AL48="","",INDEX('04_調査結果'!$AQ$5:$AQ$404,$AL48)&amp;"")</f>
        <v/>
      </c>
      <c r="N48">
        <f>IF($AL48="","",IFERROR(INDEX('M1_類型マスタ'!$B$5:$B$19,MATCH(M48,'M1_類型マスタ'!$A$5:$A$19,0)),""))</f>
        <v/>
      </c>
      <c r="O48">
        <f>IF($AL48="","",INDEX('04_調査結果'!$I$5:$I$404,$AL48)&amp;"")</f>
        <v/>
      </c>
      <c r="P48">
        <f>IF($AL48="","",INDEX('04_調査結果'!$J$5:$J$404,$AL48)&amp;"")</f>
        <v/>
      </c>
      <c r="Q48">
        <f>IF($AL48="","",INDEX('04_調査結果'!$K$5:$K$404,$AL48)&amp;"")</f>
        <v/>
      </c>
      <c r="R48">
        <f>IF($AL48="","",INDEX('04_調査結果'!$L$5:$L$404,$AL48)&amp;"")</f>
        <v/>
      </c>
      <c r="S48">
        <f>IF($AL48="","",INDEX('04_調査結果'!$M$5:$M$404,$AL48)&amp;"")</f>
        <v/>
      </c>
      <c r="T48" s="33">
        <f>IF($AL48="","",IF(INDEX('04_調査結果'!$AE$5:$AE$404,$AL48)&lt;&gt;"",INDEX('04_調査結果'!$AE$5:$AE$404,$AL48),INDEX('04_調査結果'!$AS$5:$AS$404,$AL48)))</f>
        <v/>
      </c>
      <c r="U48" s="33">
        <f>IF($AL48="","",IF(INDEX('04_調査結果'!$AF$5:$AF$404,$AL48)&lt;&gt;"",INDEX('04_調査結果'!$AF$5:$AF$404,$AL48),INDEX('04_調査結果'!$AT$5:$AT$404,$AL48)))</f>
        <v/>
      </c>
      <c r="V48" s="33">
        <f>IF($AL48="","",INDEX('04_調査結果'!$AI$5:$AI$404,$AL48))</f>
        <v/>
      </c>
      <c r="W48">
        <f>IF($AL48="","",INDEX('04_調査結果'!$AU$5:$AU$404,$AL48))</f>
        <v/>
      </c>
      <c r="X48" s="37">
        <f>IF($AL48="","",INDEX('04_調査結果'!$AW$5:$AW$404,$AL48))</f>
        <v/>
      </c>
      <c r="Y48" s="37">
        <f>IF($AL48="","",INDEX('04_調査結果'!$AX$5:$AX$404,$AL48))</f>
        <v/>
      </c>
      <c r="Z48">
        <f>IF($AL48="","",INDEX('04_調査結果'!$S$5:$S$404,$AL48)&amp;"")</f>
        <v/>
      </c>
      <c r="AA48">
        <f>IF($AL48="","",INDEX('04_調査結果'!$T$5:$T$404,$AL48))</f>
        <v/>
      </c>
      <c r="AB48">
        <f>IF($AL48="","",INDEX('04_調査結果'!$U$5:$U$404,$AL48))</f>
        <v/>
      </c>
      <c r="AC48">
        <f>IF($AL48="","",INDEX('04_調査結果'!$V$5:$V$404,$AL48))</f>
        <v/>
      </c>
      <c r="AD48">
        <f>IF($AL48="","",INDEX('04_調査結果'!$W$5:$W$404,$AL48))</f>
        <v/>
      </c>
      <c r="AE48">
        <f>IF($AL48="","",INDEX('04_調査結果'!$X$5:$X$404,$AL48))</f>
        <v/>
      </c>
      <c r="AF48">
        <f>IF($AL48="","",INDEX('04_調査結果'!$Y$5:$Y$404,$AL48))</f>
        <v/>
      </c>
      <c r="AG48">
        <f>IF($AL48="","",INDEX('04_調査結果'!$Z$5:$Z$404,$AL48))</f>
        <v/>
      </c>
      <c r="AH48">
        <f>IF($AL48="","",INDEX('04_調査結果'!$AK$5:$AK$404,$AL48))</f>
        <v/>
      </c>
      <c r="AI48">
        <f>IF($AL48="","",INDEX('04_調査結果'!$AH$5:$AH$404,$AL48)&amp;"")</f>
        <v/>
      </c>
      <c r="AJ48">
        <f>IF($AL48="","",INDEX('04_調査結果'!$AA$5:$AA$404,$AL48)&amp;"")</f>
        <v/>
      </c>
      <c r="AK48">
        <f>IF($AL48="","",INDEX('04_調査結果'!$AC$5:$AC$404,$AL48)&amp;"")</f>
        <v/>
      </c>
      <c r="AL48" s="34">
        <f>IFERROR(MATCH(ROW()-4,'04_調査結果'!$AZ$5:$AZ$404,0),"")</f>
        <v/>
      </c>
    </row>
    <row r="49">
      <c r="A49">
        <f>IF($AL49="","",'01_設定'!$C$36)</f>
        <v/>
      </c>
      <c r="B49">
        <f>IF($AL49="","",'01_設定'!$C$5)</f>
        <v/>
      </c>
      <c r="C49">
        <f>IF($AL49="","",'01_設定'!$C$6)</f>
        <v/>
      </c>
      <c r="D49" s="36">
        <f>IF($AL49="","",'01_設定'!$C$22)</f>
        <v/>
      </c>
      <c r="E49" s="36">
        <f>IF($AL49="","",'01_設定'!$C$23)</f>
        <v/>
      </c>
      <c r="F49">
        <f>IF($AL49="","",'01_設定'!$C$32)</f>
        <v/>
      </c>
      <c r="G49">
        <f>IF($AL49="","",ROW()-4)</f>
        <v/>
      </c>
      <c r="H49">
        <f>IF($AL49="","",INDEX('04_調査結果'!$AO$5:$AO$404,$AL49))</f>
        <v/>
      </c>
      <c r="I49">
        <f>IF($AL49="","",IFERROR(INDEX('M2_区分マスタ'!$I$5:$I$10,INDEX('04_調査結果'!$AP$5:$AP$404,$AL49)),""))</f>
        <v/>
      </c>
      <c r="J49">
        <f>IF($AL49="","",INDEX('04_調査結果'!$BE$5:$BE$404,$AL49)&amp;"")</f>
        <v/>
      </c>
      <c r="K49">
        <f>IF($AL49="","",INDEX('04_調査結果'!$F$5:$F$404,$AL49)&amp;"")</f>
        <v/>
      </c>
      <c r="L49">
        <f>IF($AL49="","",INDEX('04_調査結果'!$G$5:$G$404,$AL49)&amp;"")</f>
        <v/>
      </c>
      <c r="M49">
        <f>IF($AL49="","",INDEX('04_調査結果'!$AQ$5:$AQ$404,$AL49)&amp;"")</f>
        <v/>
      </c>
      <c r="N49">
        <f>IF($AL49="","",IFERROR(INDEX('M1_類型マスタ'!$B$5:$B$19,MATCH(M49,'M1_類型マスタ'!$A$5:$A$19,0)),""))</f>
        <v/>
      </c>
      <c r="O49">
        <f>IF($AL49="","",INDEX('04_調査結果'!$I$5:$I$404,$AL49)&amp;"")</f>
        <v/>
      </c>
      <c r="P49">
        <f>IF($AL49="","",INDEX('04_調査結果'!$J$5:$J$404,$AL49)&amp;"")</f>
        <v/>
      </c>
      <c r="Q49">
        <f>IF($AL49="","",INDEX('04_調査結果'!$K$5:$K$404,$AL49)&amp;"")</f>
        <v/>
      </c>
      <c r="R49">
        <f>IF($AL49="","",INDEX('04_調査結果'!$L$5:$L$404,$AL49)&amp;"")</f>
        <v/>
      </c>
      <c r="S49">
        <f>IF($AL49="","",INDEX('04_調査結果'!$M$5:$M$404,$AL49)&amp;"")</f>
        <v/>
      </c>
      <c r="T49" s="33">
        <f>IF($AL49="","",IF(INDEX('04_調査結果'!$AE$5:$AE$404,$AL49)&lt;&gt;"",INDEX('04_調査結果'!$AE$5:$AE$404,$AL49),INDEX('04_調査結果'!$AS$5:$AS$404,$AL49)))</f>
        <v/>
      </c>
      <c r="U49" s="33">
        <f>IF($AL49="","",IF(INDEX('04_調査結果'!$AF$5:$AF$404,$AL49)&lt;&gt;"",INDEX('04_調査結果'!$AF$5:$AF$404,$AL49),INDEX('04_調査結果'!$AT$5:$AT$404,$AL49)))</f>
        <v/>
      </c>
      <c r="V49" s="33">
        <f>IF($AL49="","",INDEX('04_調査結果'!$AI$5:$AI$404,$AL49))</f>
        <v/>
      </c>
      <c r="W49">
        <f>IF($AL49="","",INDEX('04_調査結果'!$AU$5:$AU$404,$AL49))</f>
        <v/>
      </c>
      <c r="X49" s="37">
        <f>IF($AL49="","",INDEX('04_調査結果'!$AW$5:$AW$404,$AL49))</f>
        <v/>
      </c>
      <c r="Y49" s="37">
        <f>IF($AL49="","",INDEX('04_調査結果'!$AX$5:$AX$404,$AL49))</f>
        <v/>
      </c>
      <c r="Z49">
        <f>IF($AL49="","",INDEX('04_調査結果'!$S$5:$S$404,$AL49)&amp;"")</f>
        <v/>
      </c>
      <c r="AA49">
        <f>IF($AL49="","",INDEX('04_調査結果'!$T$5:$T$404,$AL49))</f>
        <v/>
      </c>
      <c r="AB49">
        <f>IF($AL49="","",INDEX('04_調査結果'!$U$5:$U$404,$AL49))</f>
        <v/>
      </c>
      <c r="AC49">
        <f>IF($AL49="","",INDEX('04_調査結果'!$V$5:$V$404,$AL49))</f>
        <v/>
      </c>
      <c r="AD49">
        <f>IF($AL49="","",INDEX('04_調査結果'!$W$5:$W$404,$AL49))</f>
        <v/>
      </c>
      <c r="AE49">
        <f>IF($AL49="","",INDEX('04_調査結果'!$X$5:$X$404,$AL49))</f>
        <v/>
      </c>
      <c r="AF49">
        <f>IF($AL49="","",INDEX('04_調査結果'!$Y$5:$Y$404,$AL49))</f>
        <v/>
      </c>
      <c r="AG49">
        <f>IF($AL49="","",INDEX('04_調査結果'!$Z$5:$Z$404,$AL49))</f>
        <v/>
      </c>
      <c r="AH49">
        <f>IF($AL49="","",INDEX('04_調査結果'!$AK$5:$AK$404,$AL49))</f>
        <v/>
      </c>
      <c r="AI49">
        <f>IF($AL49="","",INDEX('04_調査結果'!$AH$5:$AH$404,$AL49)&amp;"")</f>
        <v/>
      </c>
      <c r="AJ49">
        <f>IF($AL49="","",INDEX('04_調査結果'!$AA$5:$AA$404,$AL49)&amp;"")</f>
        <v/>
      </c>
      <c r="AK49">
        <f>IF($AL49="","",INDEX('04_調査結果'!$AC$5:$AC$404,$AL49)&amp;"")</f>
        <v/>
      </c>
      <c r="AL49" s="34">
        <f>IFERROR(MATCH(ROW()-4,'04_調査結果'!$AZ$5:$AZ$404,0),"")</f>
        <v/>
      </c>
    </row>
    <row r="50">
      <c r="A50">
        <f>IF($AL50="","",'01_設定'!$C$36)</f>
        <v/>
      </c>
      <c r="B50">
        <f>IF($AL50="","",'01_設定'!$C$5)</f>
        <v/>
      </c>
      <c r="C50">
        <f>IF($AL50="","",'01_設定'!$C$6)</f>
        <v/>
      </c>
      <c r="D50" s="36">
        <f>IF($AL50="","",'01_設定'!$C$22)</f>
        <v/>
      </c>
      <c r="E50" s="36">
        <f>IF($AL50="","",'01_設定'!$C$23)</f>
        <v/>
      </c>
      <c r="F50">
        <f>IF($AL50="","",'01_設定'!$C$32)</f>
        <v/>
      </c>
      <c r="G50">
        <f>IF($AL50="","",ROW()-4)</f>
        <v/>
      </c>
      <c r="H50">
        <f>IF($AL50="","",INDEX('04_調査結果'!$AO$5:$AO$404,$AL50))</f>
        <v/>
      </c>
      <c r="I50">
        <f>IF($AL50="","",IFERROR(INDEX('M2_区分マスタ'!$I$5:$I$10,INDEX('04_調査結果'!$AP$5:$AP$404,$AL50)),""))</f>
        <v/>
      </c>
      <c r="J50">
        <f>IF($AL50="","",INDEX('04_調査結果'!$BE$5:$BE$404,$AL50)&amp;"")</f>
        <v/>
      </c>
      <c r="K50">
        <f>IF($AL50="","",INDEX('04_調査結果'!$F$5:$F$404,$AL50)&amp;"")</f>
        <v/>
      </c>
      <c r="L50">
        <f>IF($AL50="","",INDEX('04_調査結果'!$G$5:$G$404,$AL50)&amp;"")</f>
        <v/>
      </c>
      <c r="M50">
        <f>IF($AL50="","",INDEX('04_調査結果'!$AQ$5:$AQ$404,$AL50)&amp;"")</f>
        <v/>
      </c>
      <c r="N50">
        <f>IF($AL50="","",IFERROR(INDEX('M1_類型マスタ'!$B$5:$B$19,MATCH(M50,'M1_類型マスタ'!$A$5:$A$19,0)),""))</f>
        <v/>
      </c>
      <c r="O50">
        <f>IF($AL50="","",INDEX('04_調査結果'!$I$5:$I$404,$AL50)&amp;"")</f>
        <v/>
      </c>
      <c r="P50">
        <f>IF($AL50="","",INDEX('04_調査結果'!$J$5:$J$404,$AL50)&amp;"")</f>
        <v/>
      </c>
      <c r="Q50">
        <f>IF($AL50="","",INDEX('04_調査結果'!$K$5:$K$404,$AL50)&amp;"")</f>
        <v/>
      </c>
      <c r="R50">
        <f>IF($AL50="","",INDEX('04_調査結果'!$L$5:$L$404,$AL50)&amp;"")</f>
        <v/>
      </c>
      <c r="S50">
        <f>IF($AL50="","",INDEX('04_調査結果'!$M$5:$M$404,$AL50)&amp;"")</f>
        <v/>
      </c>
      <c r="T50" s="33">
        <f>IF($AL50="","",IF(INDEX('04_調査結果'!$AE$5:$AE$404,$AL50)&lt;&gt;"",INDEX('04_調査結果'!$AE$5:$AE$404,$AL50),INDEX('04_調査結果'!$AS$5:$AS$404,$AL50)))</f>
        <v/>
      </c>
      <c r="U50" s="33">
        <f>IF($AL50="","",IF(INDEX('04_調査結果'!$AF$5:$AF$404,$AL50)&lt;&gt;"",INDEX('04_調査結果'!$AF$5:$AF$404,$AL50),INDEX('04_調査結果'!$AT$5:$AT$404,$AL50)))</f>
        <v/>
      </c>
      <c r="V50" s="33">
        <f>IF($AL50="","",INDEX('04_調査結果'!$AI$5:$AI$404,$AL50))</f>
        <v/>
      </c>
      <c r="W50">
        <f>IF($AL50="","",INDEX('04_調査結果'!$AU$5:$AU$404,$AL50))</f>
        <v/>
      </c>
      <c r="X50" s="37">
        <f>IF($AL50="","",INDEX('04_調査結果'!$AW$5:$AW$404,$AL50))</f>
        <v/>
      </c>
      <c r="Y50" s="37">
        <f>IF($AL50="","",INDEX('04_調査結果'!$AX$5:$AX$404,$AL50))</f>
        <v/>
      </c>
      <c r="Z50">
        <f>IF($AL50="","",INDEX('04_調査結果'!$S$5:$S$404,$AL50)&amp;"")</f>
        <v/>
      </c>
      <c r="AA50">
        <f>IF($AL50="","",INDEX('04_調査結果'!$T$5:$T$404,$AL50))</f>
        <v/>
      </c>
      <c r="AB50">
        <f>IF($AL50="","",INDEX('04_調査結果'!$U$5:$U$404,$AL50))</f>
        <v/>
      </c>
      <c r="AC50">
        <f>IF($AL50="","",INDEX('04_調査結果'!$V$5:$V$404,$AL50))</f>
        <v/>
      </c>
      <c r="AD50">
        <f>IF($AL50="","",INDEX('04_調査結果'!$W$5:$W$404,$AL50))</f>
        <v/>
      </c>
      <c r="AE50">
        <f>IF($AL50="","",INDEX('04_調査結果'!$X$5:$X$404,$AL50))</f>
        <v/>
      </c>
      <c r="AF50">
        <f>IF($AL50="","",INDEX('04_調査結果'!$Y$5:$Y$404,$AL50))</f>
        <v/>
      </c>
      <c r="AG50">
        <f>IF($AL50="","",INDEX('04_調査結果'!$Z$5:$Z$404,$AL50))</f>
        <v/>
      </c>
      <c r="AH50">
        <f>IF($AL50="","",INDEX('04_調査結果'!$AK$5:$AK$404,$AL50))</f>
        <v/>
      </c>
      <c r="AI50">
        <f>IF($AL50="","",INDEX('04_調査結果'!$AH$5:$AH$404,$AL50)&amp;"")</f>
        <v/>
      </c>
      <c r="AJ50">
        <f>IF($AL50="","",INDEX('04_調査結果'!$AA$5:$AA$404,$AL50)&amp;"")</f>
        <v/>
      </c>
      <c r="AK50">
        <f>IF($AL50="","",INDEX('04_調査結果'!$AC$5:$AC$404,$AL50)&amp;"")</f>
        <v/>
      </c>
      <c r="AL50" s="34">
        <f>IFERROR(MATCH(ROW()-4,'04_調査結果'!$AZ$5:$AZ$404,0),"")</f>
        <v/>
      </c>
    </row>
    <row r="51">
      <c r="A51">
        <f>IF($AL51="","",'01_設定'!$C$36)</f>
        <v/>
      </c>
      <c r="B51">
        <f>IF($AL51="","",'01_設定'!$C$5)</f>
        <v/>
      </c>
      <c r="C51">
        <f>IF($AL51="","",'01_設定'!$C$6)</f>
        <v/>
      </c>
      <c r="D51" s="36">
        <f>IF($AL51="","",'01_設定'!$C$22)</f>
        <v/>
      </c>
      <c r="E51" s="36">
        <f>IF($AL51="","",'01_設定'!$C$23)</f>
        <v/>
      </c>
      <c r="F51">
        <f>IF($AL51="","",'01_設定'!$C$32)</f>
        <v/>
      </c>
      <c r="G51">
        <f>IF($AL51="","",ROW()-4)</f>
        <v/>
      </c>
      <c r="H51">
        <f>IF($AL51="","",INDEX('04_調査結果'!$AO$5:$AO$404,$AL51))</f>
        <v/>
      </c>
      <c r="I51">
        <f>IF($AL51="","",IFERROR(INDEX('M2_区分マスタ'!$I$5:$I$10,INDEX('04_調査結果'!$AP$5:$AP$404,$AL51)),""))</f>
        <v/>
      </c>
      <c r="J51">
        <f>IF($AL51="","",INDEX('04_調査結果'!$BE$5:$BE$404,$AL51)&amp;"")</f>
        <v/>
      </c>
      <c r="K51">
        <f>IF($AL51="","",INDEX('04_調査結果'!$F$5:$F$404,$AL51)&amp;"")</f>
        <v/>
      </c>
      <c r="L51">
        <f>IF($AL51="","",INDEX('04_調査結果'!$G$5:$G$404,$AL51)&amp;"")</f>
        <v/>
      </c>
      <c r="M51">
        <f>IF($AL51="","",INDEX('04_調査結果'!$AQ$5:$AQ$404,$AL51)&amp;"")</f>
        <v/>
      </c>
      <c r="N51">
        <f>IF($AL51="","",IFERROR(INDEX('M1_類型マスタ'!$B$5:$B$19,MATCH(M51,'M1_類型マスタ'!$A$5:$A$19,0)),""))</f>
        <v/>
      </c>
      <c r="O51">
        <f>IF($AL51="","",INDEX('04_調査結果'!$I$5:$I$404,$AL51)&amp;"")</f>
        <v/>
      </c>
      <c r="P51">
        <f>IF($AL51="","",INDEX('04_調査結果'!$J$5:$J$404,$AL51)&amp;"")</f>
        <v/>
      </c>
      <c r="Q51">
        <f>IF($AL51="","",INDEX('04_調査結果'!$K$5:$K$404,$AL51)&amp;"")</f>
        <v/>
      </c>
      <c r="R51">
        <f>IF($AL51="","",INDEX('04_調査結果'!$L$5:$L$404,$AL51)&amp;"")</f>
        <v/>
      </c>
      <c r="S51">
        <f>IF($AL51="","",INDEX('04_調査結果'!$M$5:$M$404,$AL51)&amp;"")</f>
        <v/>
      </c>
      <c r="T51" s="33">
        <f>IF($AL51="","",IF(INDEX('04_調査結果'!$AE$5:$AE$404,$AL51)&lt;&gt;"",INDEX('04_調査結果'!$AE$5:$AE$404,$AL51),INDEX('04_調査結果'!$AS$5:$AS$404,$AL51)))</f>
        <v/>
      </c>
      <c r="U51" s="33">
        <f>IF($AL51="","",IF(INDEX('04_調査結果'!$AF$5:$AF$404,$AL51)&lt;&gt;"",INDEX('04_調査結果'!$AF$5:$AF$404,$AL51),INDEX('04_調査結果'!$AT$5:$AT$404,$AL51)))</f>
        <v/>
      </c>
      <c r="V51" s="33">
        <f>IF($AL51="","",INDEX('04_調査結果'!$AI$5:$AI$404,$AL51))</f>
        <v/>
      </c>
      <c r="W51">
        <f>IF($AL51="","",INDEX('04_調査結果'!$AU$5:$AU$404,$AL51))</f>
        <v/>
      </c>
      <c r="X51" s="37">
        <f>IF($AL51="","",INDEX('04_調査結果'!$AW$5:$AW$404,$AL51))</f>
        <v/>
      </c>
      <c r="Y51" s="37">
        <f>IF($AL51="","",INDEX('04_調査結果'!$AX$5:$AX$404,$AL51))</f>
        <v/>
      </c>
      <c r="Z51">
        <f>IF($AL51="","",INDEX('04_調査結果'!$S$5:$S$404,$AL51)&amp;"")</f>
        <v/>
      </c>
      <c r="AA51">
        <f>IF($AL51="","",INDEX('04_調査結果'!$T$5:$T$404,$AL51))</f>
        <v/>
      </c>
      <c r="AB51">
        <f>IF($AL51="","",INDEX('04_調査結果'!$U$5:$U$404,$AL51))</f>
        <v/>
      </c>
      <c r="AC51">
        <f>IF($AL51="","",INDEX('04_調査結果'!$V$5:$V$404,$AL51))</f>
        <v/>
      </c>
      <c r="AD51">
        <f>IF($AL51="","",INDEX('04_調査結果'!$W$5:$W$404,$AL51))</f>
        <v/>
      </c>
      <c r="AE51">
        <f>IF($AL51="","",INDEX('04_調査結果'!$X$5:$X$404,$AL51))</f>
        <v/>
      </c>
      <c r="AF51">
        <f>IF($AL51="","",INDEX('04_調査結果'!$Y$5:$Y$404,$AL51))</f>
        <v/>
      </c>
      <c r="AG51">
        <f>IF($AL51="","",INDEX('04_調査結果'!$Z$5:$Z$404,$AL51))</f>
        <v/>
      </c>
      <c r="AH51">
        <f>IF($AL51="","",INDEX('04_調査結果'!$AK$5:$AK$404,$AL51))</f>
        <v/>
      </c>
      <c r="AI51">
        <f>IF($AL51="","",INDEX('04_調査結果'!$AH$5:$AH$404,$AL51)&amp;"")</f>
        <v/>
      </c>
      <c r="AJ51">
        <f>IF($AL51="","",INDEX('04_調査結果'!$AA$5:$AA$404,$AL51)&amp;"")</f>
        <v/>
      </c>
      <c r="AK51">
        <f>IF($AL51="","",INDEX('04_調査結果'!$AC$5:$AC$404,$AL51)&amp;"")</f>
        <v/>
      </c>
      <c r="AL51" s="34">
        <f>IFERROR(MATCH(ROW()-4,'04_調査結果'!$AZ$5:$AZ$404,0),"")</f>
        <v/>
      </c>
    </row>
    <row r="52">
      <c r="A52">
        <f>IF($AL52="","",'01_設定'!$C$36)</f>
        <v/>
      </c>
      <c r="B52">
        <f>IF($AL52="","",'01_設定'!$C$5)</f>
        <v/>
      </c>
      <c r="C52">
        <f>IF($AL52="","",'01_設定'!$C$6)</f>
        <v/>
      </c>
      <c r="D52" s="36">
        <f>IF($AL52="","",'01_設定'!$C$22)</f>
        <v/>
      </c>
      <c r="E52" s="36">
        <f>IF($AL52="","",'01_設定'!$C$23)</f>
        <v/>
      </c>
      <c r="F52">
        <f>IF($AL52="","",'01_設定'!$C$32)</f>
        <v/>
      </c>
      <c r="G52">
        <f>IF($AL52="","",ROW()-4)</f>
        <v/>
      </c>
      <c r="H52">
        <f>IF($AL52="","",INDEX('04_調査結果'!$AO$5:$AO$404,$AL52))</f>
        <v/>
      </c>
      <c r="I52">
        <f>IF($AL52="","",IFERROR(INDEX('M2_区分マスタ'!$I$5:$I$10,INDEX('04_調査結果'!$AP$5:$AP$404,$AL52)),""))</f>
        <v/>
      </c>
      <c r="J52">
        <f>IF($AL52="","",INDEX('04_調査結果'!$BE$5:$BE$404,$AL52)&amp;"")</f>
        <v/>
      </c>
      <c r="K52">
        <f>IF($AL52="","",INDEX('04_調査結果'!$F$5:$F$404,$AL52)&amp;"")</f>
        <v/>
      </c>
      <c r="L52">
        <f>IF($AL52="","",INDEX('04_調査結果'!$G$5:$G$404,$AL52)&amp;"")</f>
        <v/>
      </c>
      <c r="M52">
        <f>IF($AL52="","",INDEX('04_調査結果'!$AQ$5:$AQ$404,$AL52)&amp;"")</f>
        <v/>
      </c>
      <c r="N52">
        <f>IF($AL52="","",IFERROR(INDEX('M1_類型マスタ'!$B$5:$B$19,MATCH(M52,'M1_類型マスタ'!$A$5:$A$19,0)),""))</f>
        <v/>
      </c>
      <c r="O52">
        <f>IF($AL52="","",INDEX('04_調査結果'!$I$5:$I$404,$AL52)&amp;"")</f>
        <v/>
      </c>
      <c r="P52">
        <f>IF($AL52="","",INDEX('04_調査結果'!$J$5:$J$404,$AL52)&amp;"")</f>
        <v/>
      </c>
      <c r="Q52">
        <f>IF($AL52="","",INDEX('04_調査結果'!$K$5:$K$404,$AL52)&amp;"")</f>
        <v/>
      </c>
      <c r="R52">
        <f>IF($AL52="","",INDEX('04_調査結果'!$L$5:$L$404,$AL52)&amp;"")</f>
        <v/>
      </c>
      <c r="S52">
        <f>IF($AL52="","",INDEX('04_調査結果'!$M$5:$M$404,$AL52)&amp;"")</f>
        <v/>
      </c>
      <c r="T52" s="33">
        <f>IF($AL52="","",IF(INDEX('04_調査結果'!$AE$5:$AE$404,$AL52)&lt;&gt;"",INDEX('04_調査結果'!$AE$5:$AE$404,$AL52),INDEX('04_調査結果'!$AS$5:$AS$404,$AL52)))</f>
        <v/>
      </c>
      <c r="U52" s="33">
        <f>IF($AL52="","",IF(INDEX('04_調査結果'!$AF$5:$AF$404,$AL52)&lt;&gt;"",INDEX('04_調査結果'!$AF$5:$AF$404,$AL52),INDEX('04_調査結果'!$AT$5:$AT$404,$AL52)))</f>
        <v/>
      </c>
      <c r="V52" s="33">
        <f>IF($AL52="","",INDEX('04_調査結果'!$AI$5:$AI$404,$AL52))</f>
        <v/>
      </c>
      <c r="W52">
        <f>IF($AL52="","",INDEX('04_調査結果'!$AU$5:$AU$404,$AL52))</f>
        <v/>
      </c>
      <c r="X52" s="37">
        <f>IF($AL52="","",INDEX('04_調査結果'!$AW$5:$AW$404,$AL52))</f>
        <v/>
      </c>
      <c r="Y52" s="37">
        <f>IF($AL52="","",INDEX('04_調査結果'!$AX$5:$AX$404,$AL52))</f>
        <v/>
      </c>
      <c r="Z52">
        <f>IF($AL52="","",INDEX('04_調査結果'!$S$5:$S$404,$AL52)&amp;"")</f>
        <v/>
      </c>
      <c r="AA52">
        <f>IF($AL52="","",INDEX('04_調査結果'!$T$5:$T$404,$AL52))</f>
        <v/>
      </c>
      <c r="AB52">
        <f>IF($AL52="","",INDEX('04_調査結果'!$U$5:$U$404,$AL52))</f>
        <v/>
      </c>
      <c r="AC52">
        <f>IF($AL52="","",INDEX('04_調査結果'!$V$5:$V$404,$AL52))</f>
        <v/>
      </c>
      <c r="AD52">
        <f>IF($AL52="","",INDEX('04_調査結果'!$W$5:$W$404,$AL52))</f>
        <v/>
      </c>
      <c r="AE52">
        <f>IF($AL52="","",INDEX('04_調査結果'!$X$5:$X$404,$AL52))</f>
        <v/>
      </c>
      <c r="AF52">
        <f>IF($AL52="","",INDEX('04_調査結果'!$Y$5:$Y$404,$AL52))</f>
        <v/>
      </c>
      <c r="AG52">
        <f>IF($AL52="","",INDEX('04_調査結果'!$Z$5:$Z$404,$AL52))</f>
        <v/>
      </c>
      <c r="AH52">
        <f>IF($AL52="","",INDEX('04_調査結果'!$AK$5:$AK$404,$AL52))</f>
        <v/>
      </c>
      <c r="AI52">
        <f>IF($AL52="","",INDEX('04_調査結果'!$AH$5:$AH$404,$AL52)&amp;"")</f>
        <v/>
      </c>
      <c r="AJ52">
        <f>IF($AL52="","",INDEX('04_調査結果'!$AA$5:$AA$404,$AL52)&amp;"")</f>
        <v/>
      </c>
      <c r="AK52">
        <f>IF($AL52="","",INDEX('04_調査結果'!$AC$5:$AC$404,$AL52)&amp;"")</f>
        <v/>
      </c>
      <c r="AL52" s="34">
        <f>IFERROR(MATCH(ROW()-4,'04_調査結果'!$AZ$5:$AZ$404,0),"")</f>
        <v/>
      </c>
    </row>
    <row r="53">
      <c r="A53">
        <f>IF($AL53="","",'01_設定'!$C$36)</f>
        <v/>
      </c>
      <c r="B53">
        <f>IF($AL53="","",'01_設定'!$C$5)</f>
        <v/>
      </c>
      <c r="C53">
        <f>IF($AL53="","",'01_設定'!$C$6)</f>
        <v/>
      </c>
      <c r="D53" s="36">
        <f>IF($AL53="","",'01_設定'!$C$22)</f>
        <v/>
      </c>
      <c r="E53" s="36">
        <f>IF($AL53="","",'01_設定'!$C$23)</f>
        <v/>
      </c>
      <c r="F53">
        <f>IF($AL53="","",'01_設定'!$C$32)</f>
        <v/>
      </c>
      <c r="G53">
        <f>IF($AL53="","",ROW()-4)</f>
        <v/>
      </c>
      <c r="H53">
        <f>IF($AL53="","",INDEX('04_調査結果'!$AO$5:$AO$404,$AL53))</f>
        <v/>
      </c>
      <c r="I53">
        <f>IF($AL53="","",IFERROR(INDEX('M2_区分マスタ'!$I$5:$I$10,INDEX('04_調査結果'!$AP$5:$AP$404,$AL53)),""))</f>
        <v/>
      </c>
      <c r="J53">
        <f>IF($AL53="","",INDEX('04_調査結果'!$BE$5:$BE$404,$AL53)&amp;"")</f>
        <v/>
      </c>
      <c r="K53">
        <f>IF($AL53="","",INDEX('04_調査結果'!$F$5:$F$404,$AL53)&amp;"")</f>
        <v/>
      </c>
      <c r="L53">
        <f>IF($AL53="","",INDEX('04_調査結果'!$G$5:$G$404,$AL53)&amp;"")</f>
        <v/>
      </c>
      <c r="M53">
        <f>IF($AL53="","",INDEX('04_調査結果'!$AQ$5:$AQ$404,$AL53)&amp;"")</f>
        <v/>
      </c>
      <c r="N53">
        <f>IF($AL53="","",IFERROR(INDEX('M1_類型マスタ'!$B$5:$B$19,MATCH(M53,'M1_類型マスタ'!$A$5:$A$19,0)),""))</f>
        <v/>
      </c>
      <c r="O53">
        <f>IF($AL53="","",INDEX('04_調査結果'!$I$5:$I$404,$AL53)&amp;"")</f>
        <v/>
      </c>
      <c r="P53">
        <f>IF($AL53="","",INDEX('04_調査結果'!$J$5:$J$404,$AL53)&amp;"")</f>
        <v/>
      </c>
      <c r="Q53">
        <f>IF($AL53="","",INDEX('04_調査結果'!$K$5:$K$404,$AL53)&amp;"")</f>
        <v/>
      </c>
      <c r="R53">
        <f>IF($AL53="","",INDEX('04_調査結果'!$L$5:$L$404,$AL53)&amp;"")</f>
        <v/>
      </c>
      <c r="S53">
        <f>IF($AL53="","",INDEX('04_調査結果'!$M$5:$M$404,$AL53)&amp;"")</f>
        <v/>
      </c>
      <c r="T53" s="33">
        <f>IF($AL53="","",IF(INDEX('04_調査結果'!$AE$5:$AE$404,$AL53)&lt;&gt;"",INDEX('04_調査結果'!$AE$5:$AE$404,$AL53),INDEX('04_調査結果'!$AS$5:$AS$404,$AL53)))</f>
        <v/>
      </c>
      <c r="U53" s="33">
        <f>IF($AL53="","",IF(INDEX('04_調査結果'!$AF$5:$AF$404,$AL53)&lt;&gt;"",INDEX('04_調査結果'!$AF$5:$AF$404,$AL53),INDEX('04_調査結果'!$AT$5:$AT$404,$AL53)))</f>
        <v/>
      </c>
      <c r="V53" s="33">
        <f>IF($AL53="","",INDEX('04_調査結果'!$AI$5:$AI$404,$AL53))</f>
        <v/>
      </c>
      <c r="W53">
        <f>IF($AL53="","",INDEX('04_調査結果'!$AU$5:$AU$404,$AL53))</f>
        <v/>
      </c>
      <c r="X53" s="37">
        <f>IF($AL53="","",INDEX('04_調査結果'!$AW$5:$AW$404,$AL53))</f>
        <v/>
      </c>
      <c r="Y53" s="37">
        <f>IF($AL53="","",INDEX('04_調査結果'!$AX$5:$AX$404,$AL53))</f>
        <v/>
      </c>
      <c r="Z53">
        <f>IF($AL53="","",INDEX('04_調査結果'!$S$5:$S$404,$AL53)&amp;"")</f>
        <v/>
      </c>
      <c r="AA53">
        <f>IF($AL53="","",INDEX('04_調査結果'!$T$5:$T$404,$AL53))</f>
        <v/>
      </c>
      <c r="AB53">
        <f>IF($AL53="","",INDEX('04_調査結果'!$U$5:$U$404,$AL53))</f>
        <v/>
      </c>
      <c r="AC53">
        <f>IF($AL53="","",INDEX('04_調査結果'!$V$5:$V$404,$AL53))</f>
        <v/>
      </c>
      <c r="AD53">
        <f>IF($AL53="","",INDEX('04_調査結果'!$W$5:$W$404,$AL53))</f>
        <v/>
      </c>
      <c r="AE53">
        <f>IF($AL53="","",INDEX('04_調査結果'!$X$5:$X$404,$AL53))</f>
        <v/>
      </c>
      <c r="AF53">
        <f>IF($AL53="","",INDEX('04_調査結果'!$Y$5:$Y$404,$AL53))</f>
        <v/>
      </c>
      <c r="AG53">
        <f>IF($AL53="","",INDEX('04_調査結果'!$Z$5:$Z$404,$AL53))</f>
        <v/>
      </c>
      <c r="AH53">
        <f>IF($AL53="","",INDEX('04_調査結果'!$AK$5:$AK$404,$AL53))</f>
        <v/>
      </c>
      <c r="AI53">
        <f>IF($AL53="","",INDEX('04_調査結果'!$AH$5:$AH$404,$AL53)&amp;"")</f>
        <v/>
      </c>
      <c r="AJ53">
        <f>IF($AL53="","",INDEX('04_調査結果'!$AA$5:$AA$404,$AL53)&amp;"")</f>
        <v/>
      </c>
      <c r="AK53">
        <f>IF($AL53="","",INDEX('04_調査結果'!$AC$5:$AC$404,$AL53)&amp;"")</f>
        <v/>
      </c>
      <c r="AL53" s="34">
        <f>IFERROR(MATCH(ROW()-4,'04_調査結果'!$AZ$5:$AZ$404,0),"")</f>
        <v/>
      </c>
    </row>
    <row r="54">
      <c r="A54">
        <f>IF($AL54="","",'01_設定'!$C$36)</f>
        <v/>
      </c>
      <c r="B54">
        <f>IF($AL54="","",'01_設定'!$C$5)</f>
        <v/>
      </c>
      <c r="C54">
        <f>IF($AL54="","",'01_設定'!$C$6)</f>
        <v/>
      </c>
      <c r="D54" s="36">
        <f>IF($AL54="","",'01_設定'!$C$22)</f>
        <v/>
      </c>
      <c r="E54" s="36">
        <f>IF($AL54="","",'01_設定'!$C$23)</f>
        <v/>
      </c>
      <c r="F54">
        <f>IF($AL54="","",'01_設定'!$C$32)</f>
        <v/>
      </c>
      <c r="G54">
        <f>IF($AL54="","",ROW()-4)</f>
        <v/>
      </c>
      <c r="H54">
        <f>IF($AL54="","",INDEX('04_調査結果'!$AO$5:$AO$404,$AL54))</f>
        <v/>
      </c>
      <c r="I54">
        <f>IF($AL54="","",IFERROR(INDEX('M2_区分マスタ'!$I$5:$I$10,INDEX('04_調査結果'!$AP$5:$AP$404,$AL54)),""))</f>
        <v/>
      </c>
      <c r="J54">
        <f>IF($AL54="","",INDEX('04_調査結果'!$BE$5:$BE$404,$AL54)&amp;"")</f>
        <v/>
      </c>
      <c r="K54">
        <f>IF($AL54="","",INDEX('04_調査結果'!$F$5:$F$404,$AL54)&amp;"")</f>
        <v/>
      </c>
      <c r="L54">
        <f>IF($AL54="","",INDEX('04_調査結果'!$G$5:$G$404,$AL54)&amp;"")</f>
        <v/>
      </c>
      <c r="M54">
        <f>IF($AL54="","",INDEX('04_調査結果'!$AQ$5:$AQ$404,$AL54)&amp;"")</f>
        <v/>
      </c>
      <c r="N54">
        <f>IF($AL54="","",IFERROR(INDEX('M1_類型マスタ'!$B$5:$B$19,MATCH(M54,'M1_類型マスタ'!$A$5:$A$19,0)),""))</f>
        <v/>
      </c>
      <c r="O54">
        <f>IF($AL54="","",INDEX('04_調査結果'!$I$5:$I$404,$AL54)&amp;"")</f>
        <v/>
      </c>
      <c r="P54">
        <f>IF($AL54="","",INDEX('04_調査結果'!$J$5:$J$404,$AL54)&amp;"")</f>
        <v/>
      </c>
      <c r="Q54">
        <f>IF($AL54="","",INDEX('04_調査結果'!$K$5:$K$404,$AL54)&amp;"")</f>
        <v/>
      </c>
      <c r="R54">
        <f>IF($AL54="","",INDEX('04_調査結果'!$L$5:$L$404,$AL54)&amp;"")</f>
        <v/>
      </c>
      <c r="S54">
        <f>IF($AL54="","",INDEX('04_調査結果'!$M$5:$M$404,$AL54)&amp;"")</f>
        <v/>
      </c>
      <c r="T54" s="33">
        <f>IF($AL54="","",IF(INDEX('04_調査結果'!$AE$5:$AE$404,$AL54)&lt;&gt;"",INDEX('04_調査結果'!$AE$5:$AE$404,$AL54),INDEX('04_調査結果'!$AS$5:$AS$404,$AL54)))</f>
        <v/>
      </c>
      <c r="U54" s="33">
        <f>IF($AL54="","",IF(INDEX('04_調査結果'!$AF$5:$AF$404,$AL54)&lt;&gt;"",INDEX('04_調査結果'!$AF$5:$AF$404,$AL54),INDEX('04_調査結果'!$AT$5:$AT$404,$AL54)))</f>
        <v/>
      </c>
      <c r="V54" s="33">
        <f>IF($AL54="","",INDEX('04_調査結果'!$AI$5:$AI$404,$AL54))</f>
        <v/>
      </c>
      <c r="W54">
        <f>IF($AL54="","",INDEX('04_調査結果'!$AU$5:$AU$404,$AL54))</f>
        <v/>
      </c>
      <c r="X54" s="37">
        <f>IF($AL54="","",INDEX('04_調査結果'!$AW$5:$AW$404,$AL54))</f>
        <v/>
      </c>
      <c r="Y54" s="37">
        <f>IF($AL54="","",INDEX('04_調査結果'!$AX$5:$AX$404,$AL54))</f>
        <v/>
      </c>
      <c r="Z54">
        <f>IF($AL54="","",INDEX('04_調査結果'!$S$5:$S$404,$AL54)&amp;"")</f>
        <v/>
      </c>
      <c r="AA54">
        <f>IF($AL54="","",INDEX('04_調査結果'!$T$5:$T$404,$AL54))</f>
        <v/>
      </c>
      <c r="AB54">
        <f>IF($AL54="","",INDEX('04_調査結果'!$U$5:$U$404,$AL54))</f>
        <v/>
      </c>
      <c r="AC54">
        <f>IF($AL54="","",INDEX('04_調査結果'!$V$5:$V$404,$AL54))</f>
        <v/>
      </c>
      <c r="AD54">
        <f>IF($AL54="","",INDEX('04_調査結果'!$W$5:$W$404,$AL54))</f>
        <v/>
      </c>
      <c r="AE54">
        <f>IF($AL54="","",INDEX('04_調査結果'!$X$5:$X$404,$AL54))</f>
        <v/>
      </c>
      <c r="AF54">
        <f>IF($AL54="","",INDEX('04_調査結果'!$Y$5:$Y$404,$AL54))</f>
        <v/>
      </c>
      <c r="AG54">
        <f>IF($AL54="","",INDEX('04_調査結果'!$Z$5:$Z$404,$AL54))</f>
        <v/>
      </c>
      <c r="AH54">
        <f>IF($AL54="","",INDEX('04_調査結果'!$AK$5:$AK$404,$AL54))</f>
        <v/>
      </c>
      <c r="AI54">
        <f>IF($AL54="","",INDEX('04_調査結果'!$AH$5:$AH$404,$AL54)&amp;"")</f>
        <v/>
      </c>
      <c r="AJ54">
        <f>IF($AL54="","",INDEX('04_調査結果'!$AA$5:$AA$404,$AL54)&amp;"")</f>
        <v/>
      </c>
      <c r="AK54">
        <f>IF($AL54="","",INDEX('04_調査結果'!$AC$5:$AC$404,$AL54)&amp;"")</f>
        <v/>
      </c>
      <c r="AL54" s="34">
        <f>IFERROR(MATCH(ROW()-4,'04_調査結果'!$AZ$5:$AZ$404,0),"")</f>
        <v/>
      </c>
    </row>
    <row r="55">
      <c r="A55">
        <f>IF($AL55="","",'01_設定'!$C$36)</f>
        <v/>
      </c>
      <c r="B55">
        <f>IF($AL55="","",'01_設定'!$C$5)</f>
        <v/>
      </c>
      <c r="C55">
        <f>IF($AL55="","",'01_設定'!$C$6)</f>
        <v/>
      </c>
      <c r="D55" s="36">
        <f>IF($AL55="","",'01_設定'!$C$22)</f>
        <v/>
      </c>
      <c r="E55" s="36">
        <f>IF($AL55="","",'01_設定'!$C$23)</f>
        <v/>
      </c>
      <c r="F55">
        <f>IF($AL55="","",'01_設定'!$C$32)</f>
        <v/>
      </c>
      <c r="G55">
        <f>IF($AL55="","",ROW()-4)</f>
        <v/>
      </c>
      <c r="H55">
        <f>IF($AL55="","",INDEX('04_調査結果'!$AO$5:$AO$404,$AL55))</f>
        <v/>
      </c>
      <c r="I55">
        <f>IF($AL55="","",IFERROR(INDEX('M2_区分マスタ'!$I$5:$I$10,INDEX('04_調査結果'!$AP$5:$AP$404,$AL55)),""))</f>
        <v/>
      </c>
      <c r="J55">
        <f>IF($AL55="","",INDEX('04_調査結果'!$BE$5:$BE$404,$AL55)&amp;"")</f>
        <v/>
      </c>
      <c r="K55">
        <f>IF($AL55="","",INDEX('04_調査結果'!$F$5:$F$404,$AL55)&amp;"")</f>
        <v/>
      </c>
      <c r="L55">
        <f>IF($AL55="","",INDEX('04_調査結果'!$G$5:$G$404,$AL55)&amp;"")</f>
        <v/>
      </c>
      <c r="M55">
        <f>IF($AL55="","",INDEX('04_調査結果'!$AQ$5:$AQ$404,$AL55)&amp;"")</f>
        <v/>
      </c>
      <c r="N55">
        <f>IF($AL55="","",IFERROR(INDEX('M1_類型マスタ'!$B$5:$B$19,MATCH(M55,'M1_類型マスタ'!$A$5:$A$19,0)),""))</f>
        <v/>
      </c>
      <c r="O55">
        <f>IF($AL55="","",INDEX('04_調査結果'!$I$5:$I$404,$AL55)&amp;"")</f>
        <v/>
      </c>
      <c r="P55">
        <f>IF($AL55="","",INDEX('04_調査結果'!$J$5:$J$404,$AL55)&amp;"")</f>
        <v/>
      </c>
      <c r="Q55">
        <f>IF($AL55="","",INDEX('04_調査結果'!$K$5:$K$404,$AL55)&amp;"")</f>
        <v/>
      </c>
      <c r="R55">
        <f>IF($AL55="","",INDEX('04_調査結果'!$L$5:$L$404,$AL55)&amp;"")</f>
        <v/>
      </c>
      <c r="S55">
        <f>IF($AL55="","",INDEX('04_調査結果'!$M$5:$M$404,$AL55)&amp;"")</f>
        <v/>
      </c>
      <c r="T55" s="33">
        <f>IF($AL55="","",IF(INDEX('04_調査結果'!$AE$5:$AE$404,$AL55)&lt;&gt;"",INDEX('04_調査結果'!$AE$5:$AE$404,$AL55),INDEX('04_調査結果'!$AS$5:$AS$404,$AL55)))</f>
        <v/>
      </c>
      <c r="U55" s="33">
        <f>IF($AL55="","",IF(INDEX('04_調査結果'!$AF$5:$AF$404,$AL55)&lt;&gt;"",INDEX('04_調査結果'!$AF$5:$AF$404,$AL55),INDEX('04_調査結果'!$AT$5:$AT$404,$AL55)))</f>
        <v/>
      </c>
      <c r="V55" s="33">
        <f>IF($AL55="","",INDEX('04_調査結果'!$AI$5:$AI$404,$AL55))</f>
        <v/>
      </c>
      <c r="W55">
        <f>IF($AL55="","",INDEX('04_調査結果'!$AU$5:$AU$404,$AL55))</f>
        <v/>
      </c>
      <c r="X55" s="37">
        <f>IF($AL55="","",INDEX('04_調査結果'!$AW$5:$AW$404,$AL55))</f>
        <v/>
      </c>
      <c r="Y55" s="37">
        <f>IF($AL55="","",INDEX('04_調査結果'!$AX$5:$AX$404,$AL55))</f>
        <v/>
      </c>
      <c r="Z55">
        <f>IF($AL55="","",INDEX('04_調査結果'!$S$5:$S$404,$AL55)&amp;"")</f>
        <v/>
      </c>
      <c r="AA55">
        <f>IF($AL55="","",INDEX('04_調査結果'!$T$5:$T$404,$AL55))</f>
        <v/>
      </c>
      <c r="AB55">
        <f>IF($AL55="","",INDEX('04_調査結果'!$U$5:$U$404,$AL55))</f>
        <v/>
      </c>
      <c r="AC55">
        <f>IF($AL55="","",INDEX('04_調査結果'!$V$5:$V$404,$AL55))</f>
        <v/>
      </c>
      <c r="AD55">
        <f>IF($AL55="","",INDEX('04_調査結果'!$W$5:$W$404,$AL55))</f>
        <v/>
      </c>
      <c r="AE55">
        <f>IF($AL55="","",INDEX('04_調査結果'!$X$5:$X$404,$AL55))</f>
        <v/>
      </c>
      <c r="AF55">
        <f>IF($AL55="","",INDEX('04_調査結果'!$Y$5:$Y$404,$AL55))</f>
        <v/>
      </c>
      <c r="AG55">
        <f>IF($AL55="","",INDEX('04_調査結果'!$Z$5:$Z$404,$AL55))</f>
        <v/>
      </c>
      <c r="AH55">
        <f>IF($AL55="","",INDEX('04_調査結果'!$AK$5:$AK$404,$AL55))</f>
        <v/>
      </c>
      <c r="AI55">
        <f>IF($AL55="","",INDEX('04_調査結果'!$AH$5:$AH$404,$AL55)&amp;"")</f>
        <v/>
      </c>
      <c r="AJ55">
        <f>IF($AL55="","",INDEX('04_調査結果'!$AA$5:$AA$404,$AL55)&amp;"")</f>
        <v/>
      </c>
      <c r="AK55">
        <f>IF($AL55="","",INDEX('04_調査結果'!$AC$5:$AC$404,$AL55)&amp;"")</f>
        <v/>
      </c>
      <c r="AL55" s="34">
        <f>IFERROR(MATCH(ROW()-4,'04_調査結果'!$AZ$5:$AZ$404,0),"")</f>
        <v/>
      </c>
    </row>
    <row r="56">
      <c r="A56">
        <f>IF($AL56="","",'01_設定'!$C$36)</f>
        <v/>
      </c>
      <c r="B56">
        <f>IF($AL56="","",'01_設定'!$C$5)</f>
        <v/>
      </c>
      <c r="C56">
        <f>IF($AL56="","",'01_設定'!$C$6)</f>
        <v/>
      </c>
      <c r="D56" s="36">
        <f>IF($AL56="","",'01_設定'!$C$22)</f>
        <v/>
      </c>
      <c r="E56" s="36">
        <f>IF($AL56="","",'01_設定'!$C$23)</f>
        <v/>
      </c>
      <c r="F56">
        <f>IF($AL56="","",'01_設定'!$C$32)</f>
        <v/>
      </c>
      <c r="G56">
        <f>IF($AL56="","",ROW()-4)</f>
        <v/>
      </c>
      <c r="H56">
        <f>IF($AL56="","",INDEX('04_調査結果'!$AO$5:$AO$404,$AL56))</f>
        <v/>
      </c>
      <c r="I56">
        <f>IF($AL56="","",IFERROR(INDEX('M2_区分マスタ'!$I$5:$I$10,INDEX('04_調査結果'!$AP$5:$AP$404,$AL56)),""))</f>
        <v/>
      </c>
      <c r="J56">
        <f>IF($AL56="","",INDEX('04_調査結果'!$BE$5:$BE$404,$AL56)&amp;"")</f>
        <v/>
      </c>
      <c r="K56">
        <f>IF($AL56="","",INDEX('04_調査結果'!$F$5:$F$404,$AL56)&amp;"")</f>
        <v/>
      </c>
      <c r="L56">
        <f>IF($AL56="","",INDEX('04_調査結果'!$G$5:$G$404,$AL56)&amp;"")</f>
        <v/>
      </c>
      <c r="M56">
        <f>IF($AL56="","",INDEX('04_調査結果'!$AQ$5:$AQ$404,$AL56)&amp;"")</f>
        <v/>
      </c>
      <c r="N56">
        <f>IF($AL56="","",IFERROR(INDEX('M1_類型マスタ'!$B$5:$B$19,MATCH(M56,'M1_類型マスタ'!$A$5:$A$19,0)),""))</f>
        <v/>
      </c>
      <c r="O56">
        <f>IF($AL56="","",INDEX('04_調査結果'!$I$5:$I$404,$AL56)&amp;"")</f>
        <v/>
      </c>
      <c r="P56">
        <f>IF($AL56="","",INDEX('04_調査結果'!$J$5:$J$404,$AL56)&amp;"")</f>
        <v/>
      </c>
      <c r="Q56">
        <f>IF($AL56="","",INDEX('04_調査結果'!$K$5:$K$404,$AL56)&amp;"")</f>
        <v/>
      </c>
      <c r="R56">
        <f>IF($AL56="","",INDEX('04_調査結果'!$L$5:$L$404,$AL56)&amp;"")</f>
        <v/>
      </c>
      <c r="S56">
        <f>IF($AL56="","",INDEX('04_調査結果'!$M$5:$M$404,$AL56)&amp;"")</f>
        <v/>
      </c>
      <c r="T56" s="33">
        <f>IF($AL56="","",IF(INDEX('04_調査結果'!$AE$5:$AE$404,$AL56)&lt;&gt;"",INDEX('04_調査結果'!$AE$5:$AE$404,$AL56),INDEX('04_調査結果'!$AS$5:$AS$404,$AL56)))</f>
        <v/>
      </c>
      <c r="U56" s="33">
        <f>IF($AL56="","",IF(INDEX('04_調査結果'!$AF$5:$AF$404,$AL56)&lt;&gt;"",INDEX('04_調査結果'!$AF$5:$AF$404,$AL56),INDEX('04_調査結果'!$AT$5:$AT$404,$AL56)))</f>
        <v/>
      </c>
      <c r="V56" s="33">
        <f>IF($AL56="","",INDEX('04_調査結果'!$AI$5:$AI$404,$AL56))</f>
        <v/>
      </c>
      <c r="W56">
        <f>IF($AL56="","",INDEX('04_調査結果'!$AU$5:$AU$404,$AL56))</f>
        <v/>
      </c>
      <c r="X56" s="37">
        <f>IF($AL56="","",INDEX('04_調査結果'!$AW$5:$AW$404,$AL56))</f>
        <v/>
      </c>
      <c r="Y56" s="37">
        <f>IF($AL56="","",INDEX('04_調査結果'!$AX$5:$AX$404,$AL56))</f>
        <v/>
      </c>
      <c r="Z56">
        <f>IF($AL56="","",INDEX('04_調査結果'!$S$5:$S$404,$AL56)&amp;"")</f>
        <v/>
      </c>
      <c r="AA56">
        <f>IF($AL56="","",INDEX('04_調査結果'!$T$5:$T$404,$AL56))</f>
        <v/>
      </c>
      <c r="AB56">
        <f>IF($AL56="","",INDEX('04_調査結果'!$U$5:$U$404,$AL56))</f>
        <v/>
      </c>
      <c r="AC56">
        <f>IF($AL56="","",INDEX('04_調査結果'!$V$5:$V$404,$AL56))</f>
        <v/>
      </c>
      <c r="AD56">
        <f>IF($AL56="","",INDEX('04_調査結果'!$W$5:$W$404,$AL56))</f>
        <v/>
      </c>
      <c r="AE56">
        <f>IF($AL56="","",INDEX('04_調査結果'!$X$5:$X$404,$AL56))</f>
        <v/>
      </c>
      <c r="AF56">
        <f>IF($AL56="","",INDEX('04_調査結果'!$Y$5:$Y$404,$AL56))</f>
        <v/>
      </c>
      <c r="AG56">
        <f>IF($AL56="","",INDEX('04_調査結果'!$Z$5:$Z$404,$AL56))</f>
        <v/>
      </c>
      <c r="AH56">
        <f>IF($AL56="","",INDEX('04_調査結果'!$AK$5:$AK$404,$AL56))</f>
        <v/>
      </c>
      <c r="AI56">
        <f>IF($AL56="","",INDEX('04_調査結果'!$AH$5:$AH$404,$AL56)&amp;"")</f>
        <v/>
      </c>
      <c r="AJ56">
        <f>IF($AL56="","",INDEX('04_調査結果'!$AA$5:$AA$404,$AL56)&amp;"")</f>
        <v/>
      </c>
      <c r="AK56">
        <f>IF($AL56="","",INDEX('04_調査結果'!$AC$5:$AC$404,$AL56)&amp;"")</f>
        <v/>
      </c>
      <c r="AL56" s="34">
        <f>IFERROR(MATCH(ROW()-4,'04_調査結果'!$AZ$5:$AZ$404,0),"")</f>
        <v/>
      </c>
    </row>
    <row r="57">
      <c r="A57">
        <f>IF($AL57="","",'01_設定'!$C$36)</f>
        <v/>
      </c>
      <c r="B57">
        <f>IF($AL57="","",'01_設定'!$C$5)</f>
        <v/>
      </c>
      <c r="C57">
        <f>IF($AL57="","",'01_設定'!$C$6)</f>
        <v/>
      </c>
      <c r="D57" s="36">
        <f>IF($AL57="","",'01_設定'!$C$22)</f>
        <v/>
      </c>
      <c r="E57" s="36">
        <f>IF($AL57="","",'01_設定'!$C$23)</f>
        <v/>
      </c>
      <c r="F57">
        <f>IF($AL57="","",'01_設定'!$C$32)</f>
        <v/>
      </c>
      <c r="G57">
        <f>IF($AL57="","",ROW()-4)</f>
        <v/>
      </c>
      <c r="H57">
        <f>IF($AL57="","",INDEX('04_調査結果'!$AO$5:$AO$404,$AL57))</f>
        <v/>
      </c>
      <c r="I57">
        <f>IF($AL57="","",IFERROR(INDEX('M2_区分マスタ'!$I$5:$I$10,INDEX('04_調査結果'!$AP$5:$AP$404,$AL57)),""))</f>
        <v/>
      </c>
      <c r="J57">
        <f>IF($AL57="","",INDEX('04_調査結果'!$BE$5:$BE$404,$AL57)&amp;"")</f>
        <v/>
      </c>
      <c r="K57">
        <f>IF($AL57="","",INDEX('04_調査結果'!$F$5:$F$404,$AL57)&amp;"")</f>
        <v/>
      </c>
      <c r="L57">
        <f>IF($AL57="","",INDEX('04_調査結果'!$G$5:$G$404,$AL57)&amp;"")</f>
        <v/>
      </c>
      <c r="M57">
        <f>IF($AL57="","",INDEX('04_調査結果'!$AQ$5:$AQ$404,$AL57)&amp;"")</f>
        <v/>
      </c>
      <c r="N57">
        <f>IF($AL57="","",IFERROR(INDEX('M1_類型マスタ'!$B$5:$B$19,MATCH(M57,'M1_類型マスタ'!$A$5:$A$19,0)),""))</f>
        <v/>
      </c>
      <c r="O57">
        <f>IF($AL57="","",INDEX('04_調査結果'!$I$5:$I$404,$AL57)&amp;"")</f>
        <v/>
      </c>
      <c r="P57">
        <f>IF($AL57="","",INDEX('04_調査結果'!$J$5:$J$404,$AL57)&amp;"")</f>
        <v/>
      </c>
      <c r="Q57">
        <f>IF($AL57="","",INDEX('04_調査結果'!$K$5:$K$404,$AL57)&amp;"")</f>
        <v/>
      </c>
      <c r="R57">
        <f>IF($AL57="","",INDEX('04_調査結果'!$L$5:$L$404,$AL57)&amp;"")</f>
        <v/>
      </c>
      <c r="S57">
        <f>IF($AL57="","",INDEX('04_調査結果'!$M$5:$M$404,$AL57)&amp;"")</f>
        <v/>
      </c>
      <c r="T57" s="33">
        <f>IF($AL57="","",IF(INDEX('04_調査結果'!$AE$5:$AE$404,$AL57)&lt;&gt;"",INDEX('04_調査結果'!$AE$5:$AE$404,$AL57),INDEX('04_調査結果'!$AS$5:$AS$404,$AL57)))</f>
        <v/>
      </c>
      <c r="U57" s="33">
        <f>IF($AL57="","",IF(INDEX('04_調査結果'!$AF$5:$AF$404,$AL57)&lt;&gt;"",INDEX('04_調査結果'!$AF$5:$AF$404,$AL57),INDEX('04_調査結果'!$AT$5:$AT$404,$AL57)))</f>
        <v/>
      </c>
      <c r="V57" s="33">
        <f>IF($AL57="","",INDEX('04_調査結果'!$AI$5:$AI$404,$AL57))</f>
        <v/>
      </c>
      <c r="W57">
        <f>IF($AL57="","",INDEX('04_調査結果'!$AU$5:$AU$404,$AL57))</f>
        <v/>
      </c>
      <c r="X57" s="37">
        <f>IF($AL57="","",INDEX('04_調査結果'!$AW$5:$AW$404,$AL57))</f>
        <v/>
      </c>
      <c r="Y57" s="37">
        <f>IF($AL57="","",INDEX('04_調査結果'!$AX$5:$AX$404,$AL57))</f>
        <v/>
      </c>
      <c r="Z57">
        <f>IF($AL57="","",INDEX('04_調査結果'!$S$5:$S$404,$AL57)&amp;"")</f>
        <v/>
      </c>
      <c r="AA57">
        <f>IF($AL57="","",INDEX('04_調査結果'!$T$5:$T$404,$AL57))</f>
        <v/>
      </c>
      <c r="AB57">
        <f>IF($AL57="","",INDEX('04_調査結果'!$U$5:$U$404,$AL57))</f>
        <v/>
      </c>
      <c r="AC57">
        <f>IF($AL57="","",INDEX('04_調査結果'!$V$5:$V$404,$AL57))</f>
        <v/>
      </c>
      <c r="AD57">
        <f>IF($AL57="","",INDEX('04_調査結果'!$W$5:$W$404,$AL57))</f>
        <v/>
      </c>
      <c r="AE57">
        <f>IF($AL57="","",INDEX('04_調査結果'!$X$5:$X$404,$AL57))</f>
        <v/>
      </c>
      <c r="AF57">
        <f>IF($AL57="","",INDEX('04_調査結果'!$Y$5:$Y$404,$AL57))</f>
        <v/>
      </c>
      <c r="AG57">
        <f>IF($AL57="","",INDEX('04_調査結果'!$Z$5:$Z$404,$AL57))</f>
        <v/>
      </c>
      <c r="AH57">
        <f>IF($AL57="","",INDEX('04_調査結果'!$AK$5:$AK$404,$AL57))</f>
        <v/>
      </c>
      <c r="AI57">
        <f>IF($AL57="","",INDEX('04_調査結果'!$AH$5:$AH$404,$AL57)&amp;"")</f>
        <v/>
      </c>
      <c r="AJ57">
        <f>IF($AL57="","",INDEX('04_調査結果'!$AA$5:$AA$404,$AL57)&amp;"")</f>
        <v/>
      </c>
      <c r="AK57">
        <f>IF($AL57="","",INDEX('04_調査結果'!$AC$5:$AC$404,$AL57)&amp;"")</f>
        <v/>
      </c>
      <c r="AL57" s="34">
        <f>IFERROR(MATCH(ROW()-4,'04_調査結果'!$AZ$5:$AZ$404,0),"")</f>
        <v/>
      </c>
    </row>
    <row r="58">
      <c r="A58">
        <f>IF($AL58="","",'01_設定'!$C$36)</f>
        <v/>
      </c>
      <c r="B58">
        <f>IF($AL58="","",'01_設定'!$C$5)</f>
        <v/>
      </c>
      <c r="C58">
        <f>IF($AL58="","",'01_設定'!$C$6)</f>
        <v/>
      </c>
      <c r="D58" s="36">
        <f>IF($AL58="","",'01_設定'!$C$22)</f>
        <v/>
      </c>
      <c r="E58" s="36">
        <f>IF($AL58="","",'01_設定'!$C$23)</f>
        <v/>
      </c>
      <c r="F58">
        <f>IF($AL58="","",'01_設定'!$C$32)</f>
        <v/>
      </c>
      <c r="G58">
        <f>IF($AL58="","",ROW()-4)</f>
        <v/>
      </c>
      <c r="H58">
        <f>IF($AL58="","",INDEX('04_調査結果'!$AO$5:$AO$404,$AL58))</f>
        <v/>
      </c>
      <c r="I58">
        <f>IF($AL58="","",IFERROR(INDEX('M2_区分マスタ'!$I$5:$I$10,INDEX('04_調査結果'!$AP$5:$AP$404,$AL58)),""))</f>
        <v/>
      </c>
      <c r="J58">
        <f>IF($AL58="","",INDEX('04_調査結果'!$BE$5:$BE$404,$AL58)&amp;"")</f>
        <v/>
      </c>
      <c r="K58">
        <f>IF($AL58="","",INDEX('04_調査結果'!$F$5:$F$404,$AL58)&amp;"")</f>
        <v/>
      </c>
      <c r="L58">
        <f>IF($AL58="","",INDEX('04_調査結果'!$G$5:$G$404,$AL58)&amp;"")</f>
        <v/>
      </c>
      <c r="M58">
        <f>IF($AL58="","",INDEX('04_調査結果'!$AQ$5:$AQ$404,$AL58)&amp;"")</f>
        <v/>
      </c>
      <c r="N58">
        <f>IF($AL58="","",IFERROR(INDEX('M1_類型マスタ'!$B$5:$B$19,MATCH(M58,'M1_類型マスタ'!$A$5:$A$19,0)),""))</f>
        <v/>
      </c>
      <c r="O58">
        <f>IF($AL58="","",INDEX('04_調査結果'!$I$5:$I$404,$AL58)&amp;"")</f>
        <v/>
      </c>
      <c r="P58">
        <f>IF($AL58="","",INDEX('04_調査結果'!$J$5:$J$404,$AL58)&amp;"")</f>
        <v/>
      </c>
      <c r="Q58">
        <f>IF($AL58="","",INDEX('04_調査結果'!$K$5:$K$404,$AL58)&amp;"")</f>
        <v/>
      </c>
      <c r="R58">
        <f>IF($AL58="","",INDEX('04_調査結果'!$L$5:$L$404,$AL58)&amp;"")</f>
        <v/>
      </c>
      <c r="S58">
        <f>IF($AL58="","",INDEX('04_調査結果'!$M$5:$M$404,$AL58)&amp;"")</f>
        <v/>
      </c>
      <c r="T58" s="33">
        <f>IF($AL58="","",IF(INDEX('04_調査結果'!$AE$5:$AE$404,$AL58)&lt;&gt;"",INDEX('04_調査結果'!$AE$5:$AE$404,$AL58),INDEX('04_調査結果'!$AS$5:$AS$404,$AL58)))</f>
        <v/>
      </c>
      <c r="U58" s="33">
        <f>IF($AL58="","",IF(INDEX('04_調査結果'!$AF$5:$AF$404,$AL58)&lt;&gt;"",INDEX('04_調査結果'!$AF$5:$AF$404,$AL58),INDEX('04_調査結果'!$AT$5:$AT$404,$AL58)))</f>
        <v/>
      </c>
      <c r="V58" s="33">
        <f>IF($AL58="","",INDEX('04_調査結果'!$AI$5:$AI$404,$AL58))</f>
        <v/>
      </c>
      <c r="W58">
        <f>IF($AL58="","",INDEX('04_調査結果'!$AU$5:$AU$404,$AL58))</f>
        <v/>
      </c>
      <c r="X58" s="37">
        <f>IF($AL58="","",INDEX('04_調査結果'!$AW$5:$AW$404,$AL58))</f>
        <v/>
      </c>
      <c r="Y58" s="37">
        <f>IF($AL58="","",INDEX('04_調査結果'!$AX$5:$AX$404,$AL58))</f>
        <v/>
      </c>
      <c r="Z58">
        <f>IF($AL58="","",INDEX('04_調査結果'!$S$5:$S$404,$AL58)&amp;"")</f>
        <v/>
      </c>
      <c r="AA58">
        <f>IF($AL58="","",INDEX('04_調査結果'!$T$5:$T$404,$AL58))</f>
        <v/>
      </c>
      <c r="AB58">
        <f>IF($AL58="","",INDEX('04_調査結果'!$U$5:$U$404,$AL58))</f>
        <v/>
      </c>
      <c r="AC58">
        <f>IF($AL58="","",INDEX('04_調査結果'!$V$5:$V$404,$AL58))</f>
        <v/>
      </c>
      <c r="AD58">
        <f>IF($AL58="","",INDEX('04_調査結果'!$W$5:$W$404,$AL58))</f>
        <v/>
      </c>
      <c r="AE58">
        <f>IF($AL58="","",INDEX('04_調査結果'!$X$5:$X$404,$AL58))</f>
        <v/>
      </c>
      <c r="AF58">
        <f>IF($AL58="","",INDEX('04_調査結果'!$Y$5:$Y$404,$AL58))</f>
        <v/>
      </c>
      <c r="AG58">
        <f>IF($AL58="","",INDEX('04_調査結果'!$Z$5:$Z$404,$AL58))</f>
        <v/>
      </c>
      <c r="AH58">
        <f>IF($AL58="","",INDEX('04_調査結果'!$AK$5:$AK$404,$AL58))</f>
        <v/>
      </c>
      <c r="AI58">
        <f>IF($AL58="","",INDEX('04_調査結果'!$AH$5:$AH$404,$AL58)&amp;"")</f>
        <v/>
      </c>
      <c r="AJ58">
        <f>IF($AL58="","",INDEX('04_調査結果'!$AA$5:$AA$404,$AL58)&amp;"")</f>
        <v/>
      </c>
      <c r="AK58">
        <f>IF($AL58="","",INDEX('04_調査結果'!$AC$5:$AC$404,$AL58)&amp;"")</f>
        <v/>
      </c>
      <c r="AL58" s="34">
        <f>IFERROR(MATCH(ROW()-4,'04_調査結果'!$AZ$5:$AZ$404,0),"")</f>
        <v/>
      </c>
    </row>
    <row r="59">
      <c r="A59">
        <f>IF($AL59="","",'01_設定'!$C$36)</f>
        <v/>
      </c>
      <c r="B59">
        <f>IF($AL59="","",'01_設定'!$C$5)</f>
        <v/>
      </c>
      <c r="C59">
        <f>IF($AL59="","",'01_設定'!$C$6)</f>
        <v/>
      </c>
      <c r="D59" s="36">
        <f>IF($AL59="","",'01_設定'!$C$22)</f>
        <v/>
      </c>
      <c r="E59" s="36">
        <f>IF($AL59="","",'01_設定'!$C$23)</f>
        <v/>
      </c>
      <c r="F59">
        <f>IF($AL59="","",'01_設定'!$C$32)</f>
        <v/>
      </c>
      <c r="G59">
        <f>IF($AL59="","",ROW()-4)</f>
        <v/>
      </c>
      <c r="H59">
        <f>IF($AL59="","",INDEX('04_調査結果'!$AO$5:$AO$404,$AL59))</f>
        <v/>
      </c>
      <c r="I59">
        <f>IF($AL59="","",IFERROR(INDEX('M2_区分マスタ'!$I$5:$I$10,INDEX('04_調査結果'!$AP$5:$AP$404,$AL59)),""))</f>
        <v/>
      </c>
      <c r="J59">
        <f>IF($AL59="","",INDEX('04_調査結果'!$BE$5:$BE$404,$AL59)&amp;"")</f>
        <v/>
      </c>
      <c r="K59">
        <f>IF($AL59="","",INDEX('04_調査結果'!$F$5:$F$404,$AL59)&amp;"")</f>
        <v/>
      </c>
      <c r="L59">
        <f>IF($AL59="","",INDEX('04_調査結果'!$G$5:$G$404,$AL59)&amp;"")</f>
        <v/>
      </c>
      <c r="M59">
        <f>IF($AL59="","",INDEX('04_調査結果'!$AQ$5:$AQ$404,$AL59)&amp;"")</f>
        <v/>
      </c>
      <c r="N59">
        <f>IF($AL59="","",IFERROR(INDEX('M1_類型マスタ'!$B$5:$B$19,MATCH(M59,'M1_類型マスタ'!$A$5:$A$19,0)),""))</f>
        <v/>
      </c>
      <c r="O59">
        <f>IF($AL59="","",INDEX('04_調査結果'!$I$5:$I$404,$AL59)&amp;"")</f>
        <v/>
      </c>
      <c r="P59">
        <f>IF($AL59="","",INDEX('04_調査結果'!$J$5:$J$404,$AL59)&amp;"")</f>
        <v/>
      </c>
      <c r="Q59">
        <f>IF($AL59="","",INDEX('04_調査結果'!$K$5:$K$404,$AL59)&amp;"")</f>
        <v/>
      </c>
      <c r="R59">
        <f>IF($AL59="","",INDEX('04_調査結果'!$L$5:$L$404,$AL59)&amp;"")</f>
        <v/>
      </c>
      <c r="S59">
        <f>IF($AL59="","",INDEX('04_調査結果'!$M$5:$M$404,$AL59)&amp;"")</f>
        <v/>
      </c>
      <c r="T59" s="33">
        <f>IF($AL59="","",IF(INDEX('04_調査結果'!$AE$5:$AE$404,$AL59)&lt;&gt;"",INDEX('04_調査結果'!$AE$5:$AE$404,$AL59),INDEX('04_調査結果'!$AS$5:$AS$404,$AL59)))</f>
        <v/>
      </c>
      <c r="U59" s="33">
        <f>IF($AL59="","",IF(INDEX('04_調査結果'!$AF$5:$AF$404,$AL59)&lt;&gt;"",INDEX('04_調査結果'!$AF$5:$AF$404,$AL59),INDEX('04_調査結果'!$AT$5:$AT$404,$AL59)))</f>
        <v/>
      </c>
      <c r="V59" s="33">
        <f>IF($AL59="","",INDEX('04_調査結果'!$AI$5:$AI$404,$AL59))</f>
        <v/>
      </c>
      <c r="W59">
        <f>IF($AL59="","",INDEX('04_調査結果'!$AU$5:$AU$404,$AL59))</f>
        <v/>
      </c>
      <c r="X59" s="37">
        <f>IF($AL59="","",INDEX('04_調査結果'!$AW$5:$AW$404,$AL59))</f>
        <v/>
      </c>
      <c r="Y59" s="37">
        <f>IF($AL59="","",INDEX('04_調査結果'!$AX$5:$AX$404,$AL59))</f>
        <v/>
      </c>
      <c r="Z59">
        <f>IF($AL59="","",INDEX('04_調査結果'!$S$5:$S$404,$AL59)&amp;"")</f>
        <v/>
      </c>
      <c r="AA59">
        <f>IF($AL59="","",INDEX('04_調査結果'!$T$5:$T$404,$AL59))</f>
        <v/>
      </c>
      <c r="AB59">
        <f>IF($AL59="","",INDEX('04_調査結果'!$U$5:$U$404,$AL59))</f>
        <v/>
      </c>
      <c r="AC59">
        <f>IF($AL59="","",INDEX('04_調査結果'!$V$5:$V$404,$AL59))</f>
        <v/>
      </c>
      <c r="AD59">
        <f>IF($AL59="","",INDEX('04_調査結果'!$W$5:$W$404,$AL59))</f>
        <v/>
      </c>
      <c r="AE59">
        <f>IF($AL59="","",INDEX('04_調査結果'!$X$5:$X$404,$AL59))</f>
        <v/>
      </c>
      <c r="AF59">
        <f>IF($AL59="","",INDEX('04_調査結果'!$Y$5:$Y$404,$AL59))</f>
        <v/>
      </c>
      <c r="AG59">
        <f>IF($AL59="","",INDEX('04_調査結果'!$Z$5:$Z$404,$AL59))</f>
        <v/>
      </c>
      <c r="AH59">
        <f>IF($AL59="","",INDEX('04_調査結果'!$AK$5:$AK$404,$AL59))</f>
        <v/>
      </c>
      <c r="AI59">
        <f>IF($AL59="","",INDEX('04_調査結果'!$AH$5:$AH$404,$AL59)&amp;"")</f>
        <v/>
      </c>
      <c r="AJ59">
        <f>IF($AL59="","",INDEX('04_調査結果'!$AA$5:$AA$404,$AL59)&amp;"")</f>
        <v/>
      </c>
      <c r="AK59">
        <f>IF($AL59="","",INDEX('04_調査結果'!$AC$5:$AC$404,$AL59)&amp;"")</f>
        <v/>
      </c>
      <c r="AL59" s="34">
        <f>IFERROR(MATCH(ROW()-4,'04_調査結果'!$AZ$5:$AZ$404,0),"")</f>
        <v/>
      </c>
    </row>
    <row r="60">
      <c r="A60">
        <f>IF($AL60="","",'01_設定'!$C$36)</f>
        <v/>
      </c>
      <c r="B60">
        <f>IF($AL60="","",'01_設定'!$C$5)</f>
        <v/>
      </c>
      <c r="C60">
        <f>IF($AL60="","",'01_設定'!$C$6)</f>
        <v/>
      </c>
      <c r="D60" s="36">
        <f>IF($AL60="","",'01_設定'!$C$22)</f>
        <v/>
      </c>
      <c r="E60" s="36">
        <f>IF($AL60="","",'01_設定'!$C$23)</f>
        <v/>
      </c>
      <c r="F60">
        <f>IF($AL60="","",'01_設定'!$C$32)</f>
        <v/>
      </c>
      <c r="G60">
        <f>IF($AL60="","",ROW()-4)</f>
        <v/>
      </c>
      <c r="H60">
        <f>IF($AL60="","",INDEX('04_調査結果'!$AO$5:$AO$404,$AL60))</f>
        <v/>
      </c>
      <c r="I60">
        <f>IF($AL60="","",IFERROR(INDEX('M2_区分マスタ'!$I$5:$I$10,INDEX('04_調査結果'!$AP$5:$AP$404,$AL60)),""))</f>
        <v/>
      </c>
      <c r="J60">
        <f>IF($AL60="","",INDEX('04_調査結果'!$BE$5:$BE$404,$AL60)&amp;"")</f>
        <v/>
      </c>
      <c r="K60">
        <f>IF($AL60="","",INDEX('04_調査結果'!$F$5:$F$404,$AL60)&amp;"")</f>
        <v/>
      </c>
      <c r="L60">
        <f>IF($AL60="","",INDEX('04_調査結果'!$G$5:$G$404,$AL60)&amp;"")</f>
        <v/>
      </c>
      <c r="M60">
        <f>IF($AL60="","",INDEX('04_調査結果'!$AQ$5:$AQ$404,$AL60)&amp;"")</f>
        <v/>
      </c>
      <c r="N60">
        <f>IF($AL60="","",IFERROR(INDEX('M1_類型マスタ'!$B$5:$B$19,MATCH(M60,'M1_類型マスタ'!$A$5:$A$19,0)),""))</f>
        <v/>
      </c>
      <c r="O60">
        <f>IF($AL60="","",INDEX('04_調査結果'!$I$5:$I$404,$AL60)&amp;"")</f>
        <v/>
      </c>
      <c r="P60">
        <f>IF($AL60="","",INDEX('04_調査結果'!$J$5:$J$404,$AL60)&amp;"")</f>
        <v/>
      </c>
      <c r="Q60">
        <f>IF($AL60="","",INDEX('04_調査結果'!$K$5:$K$404,$AL60)&amp;"")</f>
        <v/>
      </c>
      <c r="R60">
        <f>IF($AL60="","",INDEX('04_調査結果'!$L$5:$L$404,$AL60)&amp;"")</f>
        <v/>
      </c>
      <c r="S60">
        <f>IF($AL60="","",INDEX('04_調査結果'!$M$5:$M$404,$AL60)&amp;"")</f>
        <v/>
      </c>
      <c r="T60" s="33">
        <f>IF($AL60="","",IF(INDEX('04_調査結果'!$AE$5:$AE$404,$AL60)&lt;&gt;"",INDEX('04_調査結果'!$AE$5:$AE$404,$AL60),INDEX('04_調査結果'!$AS$5:$AS$404,$AL60)))</f>
        <v/>
      </c>
      <c r="U60" s="33">
        <f>IF($AL60="","",IF(INDEX('04_調査結果'!$AF$5:$AF$404,$AL60)&lt;&gt;"",INDEX('04_調査結果'!$AF$5:$AF$404,$AL60),INDEX('04_調査結果'!$AT$5:$AT$404,$AL60)))</f>
        <v/>
      </c>
      <c r="V60" s="33">
        <f>IF($AL60="","",INDEX('04_調査結果'!$AI$5:$AI$404,$AL60))</f>
        <v/>
      </c>
      <c r="W60">
        <f>IF($AL60="","",INDEX('04_調査結果'!$AU$5:$AU$404,$AL60))</f>
        <v/>
      </c>
      <c r="X60" s="37">
        <f>IF($AL60="","",INDEX('04_調査結果'!$AW$5:$AW$404,$AL60))</f>
        <v/>
      </c>
      <c r="Y60" s="37">
        <f>IF($AL60="","",INDEX('04_調査結果'!$AX$5:$AX$404,$AL60))</f>
        <v/>
      </c>
      <c r="Z60">
        <f>IF($AL60="","",INDEX('04_調査結果'!$S$5:$S$404,$AL60)&amp;"")</f>
        <v/>
      </c>
      <c r="AA60">
        <f>IF($AL60="","",INDEX('04_調査結果'!$T$5:$T$404,$AL60))</f>
        <v/>
      </c>
      <c r="AB60">
        <f>IF($AL60="","",INDEX('04_調査結果'!$U$5:$U$404,$AL60))</f>
        <v/>
      </c>
      <c r="AC60">
        <f>IF($AL60="","",INDEX('04_調査結果'!$V$5:$V$404,$AL60))</f>
        <v/>
      </c>
      <c r="AD60">
        <f>IF($AL60="","",INDEX('04_調査結果'!$W$5:$W$404,$AL60))</f>
        <v/>
      </c>
      <c r="AE60">
        <f>IF($AL60="","",INDEX('04_調査結果'!$X$5:$X$404,$AL60))</f>
        <v/>
      </c>
      <c r="AF60">
        <f>IF($AL60="","",INDEX('04_調査結果'!$Y$5:$Y$404,$AL60))</f>
        <v/>
      </c>
      <c r="AG60">
        <f>IF($AL60="","",INDEX('04_調査結果'!$Z$5:$Z$404,$AL60))</f>
        <v/>
      </c>
      <c r="AH60">
        <f>IF($AL60="","",INDEX('04_調査結果'!$AK$5:$AK$404,$AL60))</f>
        <v/>
      </c>
      <c r="AI60">
        <f>IF($AL60="","",INDEX('04_調査結果'!$AH$5:$AH$404,$AL60)&amp;"")</f>
        <v/>
      </c>
      <c r="AJ60">
        <f>IF($AL60="","",INDEX('04_調査結果'!$AA$5:$AA$404,$AL60)&amp;"")</f>
        <v/>
      </c>
      <c r="AK60">
        <f>IF($AL60="","",INDEX('04_調査結果'!$AC$5:$AC$404,$AL60)&amp;"")</f>
        <v/>
      </c>
      <c r="AL60" s="34">
        <f>IFERROR(MATCH(ROW()-4,'04_調査結果'!$AZ$5:$AZ$404,0),"")</f>
        <v/>
      </c>
    </row>
    <row r="61">
      <c r="A61">
        <f>IF($AL61="","",'01_設定'!$C$36)</f>
        <v/>
      </c>
      <c r="B61">
        <f>IF($AL61="","",'01_設定'!$C$5)</f>
        <v/>
      </c>
      <c r="C61">
        <f>IF($AL61="","",'01_設定'!$C$6)</f>
        <v/>
      </c>
      <c r="D61" s="36">
        <f>IF($AL61="","",'01_設定'!$C$22)</f>
        <v/>
      </c>
      <c r="E61" s="36">
        <f>IF($AL61="","",'01_設定'!$C$23)</f>
        <v/>
      </c>
      <c r="F61">
        <f>IF($AL61="","",'01_設定'!$C$32)</f>
        <v/>
      </c>
      <c r="G61">
        <f>IF($AL61="","",ROW()-4)</f>
        <v/>
      </c>
      <c r="H61">
        <f>IF($AL61="","",INDEX('04_調査結果'!$AO$5:$AO$404,$AL61))</f>
        <v/>
      </c>
      <c r="I61">
        <f>IF($AL61="","",IFERROR(INDEX('M2_区分マスタ'!$I$5:$I$10,INDEX('04_調査結果'!$AP$5:$AP$404,$AL61)),""))</f>
        <v/>
      </c>
      <c r="J61">
        <f>IF($AL61="","",INDEX('04_調査結果'!$BE$5:$BE$404,$AL61)&amp;"")</f>
        <v/>
      </c>
      <c r="K61">
        <f>IF($AL61="","",INDEX('04_調査結果'!$F$5:$F$404,$AL61)&amp;"")</f>
        <v/>
      </c>
      <c r="L61">
        <f>IF($AL61="","",INDEX('04_調査結果'!$G$5:$G$404,$AL61)&amp;"")</f>
        <v/>
      </c>
      <c r="M61">
        <f>IF($AL61="","",INDEX('04_調査結果'!$AQ$5:$AQ$404,$AL61)&amp;"")</f>
        <v/>
      </c>
      <c r="N61">
        <f>IF($AL61="","",IFERROR(INDEX('M1_類型マスタ'!$B$5:$B$19,MATCH(M61,'M1_類型マスタ'!$A$5:$A$19,0)),""))</f>
        <v/>
      </c>
      <c r="O61">
        <f>IF($AL61="","",INDEX('04_調査結果'!$I$5:$I$404,$AL61)&amp;"")</f>
        <v/>
      </c>
      <c r="P61">
        <f>IF($AL61="","",INDEX('04_調査結果'!$J$5:$J$404,$AL61)&amp;"")</f>
        <v/>
      </c>
      <c r="Q61">
        <f>IF($AL61="","",INDEX('04_調査結果'!$K$5:$K$404,$AL61)&amp;"")</f>
        <v/>
      </c>
      <c r="R61">
        <f>IF($AL61="","",INDEX('04_調査結果'!$L$5:$L$404,$AL61)&amp;"")</f>
        <v/>
      </c>
      <c r="S61">
        <f>IF($AL61="","",INDEX('04_調査結果'!$M$5:$M$404,$AL61)&amp;"")</f>
        <v/>
      </c>
      <c r="T61" s="33">
        <f>IF($AL61="","",IF(INDEX('04_調査結果'!$AE$5:$AE$404,$AL61)&lt;&gt;"",INDEX('04_調査結果'!$AE$5:$AE$404,$AL61),INDEX('04_調査結果'!$AS$5:$AS$404,$AL61)))</f>
        <v/>
      </c>
      <c r="U61" s="33">
        <f>IF($AL61="","",IF(INDEX('04_調査結果'!$AF$5:$AF$404,$AL61)&lt;&gt;"",INDEX('04_調査結果'!$AF$5:$AF$404,$AL61),INDEX('04_調査結果'!$AT$5:$AT$404,$AL61)))</f>
        <v/>
      </c>
      <c r="V61" s="33">
        <f>IF($AL61="","",INDEX('04_調査結果'!$AI$5:$AI$404,$AL61))</f>
        <v/>
      </c>
      <c r="W61">
        <f>IF($AL61="","",INDEX('04_調査結果'!$AU$5:$AU$404,$AL61))</f>
        <v/>
      </c>
      <c r="X61" s="37">
        <f>IF($AL61="","",INDEX('04_調査結果'!$AW$5:$AW$404,$AL61))</f>
        <v/>
      </c>
      <c r="Y61" s="37">
        <f>IF($AL61="","",INDEX('04_調査結果'!$AX$5:$AX$404,$AL61))</f>
        <v/>
      </c>
      <c r="Z61">
        <f>IF($AL61="","",INDEX('04_調査結果'!$S$5:$S$404,$AL61)&amp;"")</f>
        <v/>
      </c>
      <c r="AA61">
        <f>IF($AL61="","",INDEX('04_調査結果'!$T$5:$T$404,$AL61))</f>
        <v/>
      </c>
      <c r="AB61">
        <f>IF($AL61="","",INDEX('04_調査結果'!$U$5:$U$404,$AL61))</f>
        <v/>
      </c>
      <c r="AC61">
        <f>IF($AL61="","",INDEX('04_調査結果'!$V$5:$V$404,$AL61))</f>
        <v/>
      </c>
      <c r="AD61">
        <f>IF($AL61="","",INDEX('04_調査結果'!$W$5:$W$404,$AL61))</f>
        <v/>
      </c>
      <c r="AE61">
        <f>IF($AL61="","",INDEX('04_調査結果'!$X$5:$X$404,$AL61))</f>
        <v/>
      </c>
      <c r="AF61">
        <f>IF($AL61="","",INDEX('04_調査結果'!$Y$5:$Y$404,$AL61))</f>
        <v/>
      </c>
      <c r="AG61">
        <f>IF($AL61="","",INDEX('04_調査結果'!$Z$5:$Z$404,$AL61))</f>
        <v/>
      </c>
      <c r="AH61">
        <f>IF($AL61="","",INDEX('04_調査結果'!$AK$5:$AK$404,$AL61))</f>
        <v/>
      </c>
      <c r="AI61">
        <f>IF($AL61="","",INDEX('04_調査結果'!$AH$5:$AH$404,$AL61)&amp;"")</f>
        <v/>
      </c>
      <c r="AJ61">
        <f>IF($AL61="","",INDEX('04_調査結果'!$AA$5:$AA$404,$AL61)&amp;"")</f>
        <v/>
      </c>
      <c r="AK61">
        <f>IF($AL61="","",INDEX('04_調査結果'!$AC$5:$AC$404,$AL61)&amp;"")</f>
        <v/>
      </c>
      <c r="AL61" s="34">
        <f>IFERROR(MATCH(ROW()-4,'04_調査結果'!$AZ$5:$AZ$404,0),"")</f>
        <v/>
      </c>
    </row>
    <row r="62">
      <c r="A62">
        <f>IF($AL62="","",'01_設定'!$C$36)</f>
        <v/>
      </c>
      <c r="B62">
        <f>IF($AL62="","",'01_設定'!$C$5)</f>
        <v/>
      </c>
      <c r="C62">
        <f>IF($AL62="","",'01_設定'!$C$6)</f>
        <v/>
      </c>
      <c r="D62" s="36">
        <f>IF($AL62="","",'01_設定'!$C$22)</f>
        <v/>
      </c>
      <c r="E62" s="36">
        <f>IF($AL62="","",'01_設定'!$C$23)</f>
        <v/>
      </c>
      <c r="F62">
        <f>IF($AL62="","",'01_設定'!$C$32)</f>
        <v/>
      </c>
      <c r="G62">
        <f>IF($AL62="","",ROW()-4)</f>
        <v/>
      </c>
      <c r="H62">
        <f>IF($AL62="","",INDEX('04_調査結果'!$AO$5:$AO$404,$AL62))</f>
        <v/>
      </c>
      <c r="I62">
        <f>IF($AL62="","",IFERROR(INDEX('M2_区分マスタ'!$I$5:$I$10,INDEX('04_調査結果'!$AP$5:$AP$404,$AL62)),""))</f>
        <v/>
      </c>
      <c r="J62">
        <f>IF($AL62="","",INDEX('04_調査結果'!$BE$5:$BE$404,$AL62)&amp;"")</f>
        <v/>
      </c>
      <c r="K62">
        <f>IF($AL62="","",INDEX('04_調査結果'!$F$5:$F$404,$AL62)&amp;"")</f>
        <v/>
      </c>
      <c r="L62">
        <f>IF($AL62="","",INDEX('04_調査結果'!$G$5:$G$404,$AL62)&amp;"")</f>
        <v/>
      </c>
      <c r="M62">
        <f>IF($AL62="","",INDEX('04_調査結果'!$AQ$5:$AQ$404,$AL62)&amp;"")</f>
        <v/>
      </c>
      <c r="N62">
        <f>IF($AL62="","",IFERROR(INDEX('M1_類型マスタ'!$B$5:$B$19,MATCH(M62,'M1_類型マスタ'!$A$5:$A$19,0)),""))</f>
        <v/>
      </c>
      <c r="O62">
        <f>IF($AL62="","",INDEX('04_調査結果'!$I$5:$I$404,$AL62)&amp;"")</f>
        <v/>
      </c>
      <c r="P62">
        <f>IF($AL62="","",INDEX('04_調査結果'!$J$5:$J$404,$AL62)&amp;"")</f>
        <v/>
      </c>
      <c r="Q62">
        <f>IF($AL62="","",INDEX('04_調査結果'!$K$5:$K$404,$AL62)&amp;"")</f>
        <v/>
      </c>
      <c r="R62">
        <f>IF($AL62="","",INDEX('04_調査結果'!$L$5:$L$404,$AL62)&amp;"")</f>
        <v/>
      </c>
      <c r="S62">
        <f>IF($AL62="","",INDEX('04_調査結果'!$M$5:$M$404,$AL62)&amp;"")</f>
        <v/>
      </c>
      <c r="T62" s="33">
        <f>IF($AL62="","",IF(INDEX('04_調査結果'!$AE$5:$AE$404,$AL62)&lt;&gt;"",INDEX('04_調査結果'!$AE$5:$AE$404,$AL62),INDEX('04_調査結果'!$AS$5:$AS$404,$AL62)))</f>
        <v/>
      </c>
      <c r="U62" s="33">
        <f>IF($AL62="","",IF(INDEX('04_調査結果'!$AF$5:$AF$404,$AL62)&lt;&gt;"",INDEX('04_調査結果'!$AF$5:$AF$404,$AL62),INDEX('04_調査結果'!$AT$5:$AT$404,$AL62)))</f>
        <v/>
      </c>
      <c r="V62" s="33">
        <f>IF($AL62="","",INDEX('04_調査結果'!$AI$5:$AI$404,$AL62))</f>
        <v/>
      </c>
      <c r="W62">
        <f>IF($AL62="","",INDEX('04_調査結果'!$AU$5:$AU$404,$AL62))</f>
        <v/>
      </c>
      <c r="X62" s="37">
        <f>IF($AL62="","",INDEX('04_調査結果'!$AW$5:$AW$404,$AL62))</f>
        <v/>
      </c>
      <c r="Y62" s="37">
        <f>IF($AL62="","",INDEX('04_調査結果'!$AX$5:$AX$404,$AL62))</f>
        <v/>
      </c>
      <c r="Z62">
        <f>IF($AL62="","",INDEX('04_調査結果'!$S$5:$S$404,$AL62)&amp;"")</f>
        <v/>
      </c>
      <c r="AA62">
        <f>IF($AL62="","",INDEX('04_調査結果'!$T$5:$T$404,$AL62))</f>
        <v/>
      </c>
      <c r="AB62">
        <f>IF($AL62="","",INDEX('04_調査結果'!$U$5:$U$404,$AL62))</f>
        <v/>
      </c>
      <c r="AC62">
        <f>IF($AL62="","",INDEX('04_調査結果'!$V$5:$V$404,$AL62))</f>
        <v/>
      </c>
      <c r="AD62">
        <f>IF($AL62="","",INDEX('04_調査結果'!$W$5:$W$404,$AL62))</f>
        <v/>
      </c>
      <c r="AE62">
        <f>IF($AL62="","",INDEX('04_調査結果'!$X$5:$X$404,$AL62))</f>
        <v/>
      </c>
      <c r="AF62">
        <f>IF($AL62="","",INDEX('04_調査結果'!$Y$5:$Y$404,$AL62))</f>
        <v/>
      </c>
      <c r="AG62">
        <f>IF($AL62="","",INDEX('04_調査結果'!$Z$5:$Z$404,$AL62))</f>
        <v/>
      </c>
      <c r="AH62">
        <f>IF($AL62="","",INDEX('04_調査結果'!$AK$5:$AK$404,$AL62))</f>
        <v/>
      </c>
      <c r="AI62">
        <f>IF($AL62="","",INDEX('04_調査結果'!$AH$5:$AH$404,$AL62)&amp;"")</f>
        <v/>
      </c>
      <c r="AJ62">
        <f>IF($AL62="","",INDEX('04_調査結果'!$AA$5:$AA$404,$AL62)&amp;"")</f>
        <v/>
      </c>
      <c r="AK62">
        <f>IF($AL62="","",INDEX('04_調査結果'!$AC$5:$AC$404,$AL62)&amp;"")</f>
        <v/>
      </c>
      <c r="AL62" s="34">
        <f>IFERROR(MATCH(ROW()-4,'04_調査結果'!$AZ$5:$AZ$404,0),"")</f>
        <v/>
      </c>
    </row>
    <row r="63">
      <c r="A63">
        <f>IF($AL63="","",'01_設定'!$C$36)</f>
        <v/>
      </c>
      <c r="B63">
        <f>IF($AL63="","",'01_設定'!$C$5)</f>
        <v/>
      </c>
      <c r="C63">
        <f>IF($AL63="","",'01_設定'!$C$6)</f>
        <v/>
      </c>
      <c r="D63" s="36">
        <f>IF($AL63="","",'01_設定'!$C$22)</f>
        <v/>
      </c>
      <c r="E63" s="36">
        <f>IF($AL63="","",'01_設定'!$C$23)</f>
        <v/>
      </c>
      <c r="F63">
        <f>IF($AL63="","",'01_設定'!$C$32)</f>
        <v/>
      </c>
      <c r="G63">
        <f>IF($AL63="","",ROW()-4)</f>
        <v/>
      </c>
      <c r="H63">
        <f>IF($AL63="","",INDEX('04_調査結果'!$AO$5:$AO$404,$AL63))</f>
        <v/>
      </c>
      <c r="I63">
        <f>IF($AL63="","",IFERROR(INDEX('M2_区分マスタ'!$I$5:$I$10,INDEX('04_調査結果'!$AP$5:$AP$404,$AL63)),""))</f>
        <v/>
      </c>
      <c r="J63">
        <f>IF($AL63="","",INDEX('04_調査結果'!$BE$5:$BE$404,$AL63)&amp;"")</f>
        <v/>
      </c>
      <c r="K63">
        <f>IF($AL63="","",INDEX('04_調査結果'!$F$5:$F$404,$AL63)&amp;"")</f>
        <v/>
      </c>
      <c r="L63">
        <f>IF($AL63="","",INDEX('04_調査結果'!$G$5:$G$404,$AL63)&amp;"")</f>
        <v/>
      </c>
      <c r="M63">
        <f>IF($AL63="","",INDEX('04_調査結果'!$AQ$5:$AQ$404,$AL63)&amp;"")</f>
        <v/>
      </c>
      <c r="N63">
        <f>IF($AL63="","",IFERROR(INDEX('M1_類型マスタ'!$B$5:$B$19,MATCH(M63,'M1_類型マスタ'!$A$5:$A$19,0)),""))</f>
        <v/>
      </c>
      <c r="O63">
        <f>IF($AL63="","",INDEX('04_調査結果'!$I$5:$I$404,$AL63)&amp;"")</f>
        <v/>
      </c>
      <c r="P63">
        <f>IF($AL63="","",INDEX('04_調査結果'!$J$5:$J$404,$AL63)&amp;"")</f>
        <v/>
      </c>
      <c r="Q63">
        <f>IF($AL63="","",INDEX('04_調査結果'!$K$5:$K$404,$AL63)&amp;"")</f>
        <v/>
      </c>
      <c r="R63">
        <f>IF($AL63="","",INDEX('04_調査結果'!$L$5:$L$404,$AL63)&amp;"")</f>
        <v/>
      </c>
      <c r="S63">
        <f>IF($AL63="","",INDEX('04_調査結果'!$M$5:$M$404,$AL63)&amp;"")</f>
        <v/>
      </c>
      <c r="T63" s="33">
        <f>IF($AL63="","",IF(INDEX('04_調査結果'!$AE$5:$AE$404,$AL63)&lt;&gt;"",INDEX('04_調査結果'!$AE$5:$AE$404,$AL63),INDEX('04_調査結果'!$AS$5:$AS$404,$AL63)))</f>
        <v/>
      </c>
      <c r="U63" s="33">
        <f>IF($AL63="","",IF(INDEX('04_調査結果'!$AF$5:$AF$404,$AL63)&lt;&gt;"",INDEX('04_調査結果'!$AF$5:$AF$404,$AL63),INDEX('04_調査結果'!$AT$5:$AT$404,$AL63)))</f>
        <v/>
      </c>
      <c r="V63" s="33">
        <f>IF($AL63="","",INDEX('04_調査結果'!$AI$5:$AI$404,$AL63))</f>
        <v/>
      </c>
      <c r="W63">
        <f>IF($AL63="","",INDEX('04_調査結果'!$AU$5:$AU$404,$AL63))</f>
        <v/>
      </c>
      <c r="X63" s="37">
        <f>IF($AL63="","",INDEX('04_調査結果'!$AW$5:$AW$404,$AL63))</f>
        <v/>
      </c>
      <c r="Y63" s="37">
        <f>IF($AL63="","",INDEX('04_調査結果'!$AX$5:$AX$404,$AL63))</f>
        <v/>
      </c>
      <c r="Z63">
        <f>IF($AL63="","",INDEX('04_調査結果'!$S$5:$S$404,$AL63)&amp;"")</f>
        <v/>
      </c>
      <c r="AA63">
        <f>IF($AL63="","",INDEX('04_調査結果'!$T$5:$T$404,$AL63))</f>
        <v/>
      </c>
      <c r="AB63">
        <f>IF($AL63="","",INDEX('04_調査結果'!$U$5:$U$404,$AL63))</f>
        <v/>
      </c>
      <c r="AC63">
        <f>IF($AL63="","",INDEX('04_調査結果'!$V$5:$V$404,$AL63))</f>
        <v/>
      </c>
      <c r="AD63">
        <f>IF($AL63="","",INDEX('04_調査結果'!$W$5:$W$404,$AL63))</f>
        <v/>
      </c>
      <c r="AE63">
        <f>IF($AL63="","",INDEX('04_調査結果'!$X$5:$X$404,$AL63))</f>
        <v/>
      </c>
      <c r="AF63">
        <f>IF($AL63="","",INDEX('04_調査結果'!$Y$5:$Y$404,$AL63))</f>
        <v/>
      </c>
      <c r="AG63">
        <f>IF($AL63="","",INDEX('04_調査結果'!$Z$5:$Z$404,$AL63))</f>
        <v/>
      </c>
      <c r="AH63">
        <f>IF($AL63="","",INDEX('04_調査結果'!$AK$5:$AK$404,$AL63))</f>
        <v/>
      </c>
      <c r="AI63">
        <f>IF($AL63="","",INDEX('04_調査結果'!$AH$5:$AH$404,$AL63)&amp;"")</f>
        <v/>
      </c>
      <c r="AJ63">
        <f>IF($AL63="","",INDEX('04_調査結果'!$AA$5:$AA$404,$AL63)&amp;"")</f>
        <v/>
      </c>
      <c r="AK63">
        <f>IF($AL63="","",INDEX('04_調査結果'!$AC$5:$AC$404,$AL63)&amp;"")</f>
        <v/>
      </c>
      <c r="AL63" s="34">
        <f>IFERROR(MATCH(ROW()-4,'04_調査結果'!$AZ$5:$AZ$404,0),"")</f>
        <v/>
      </c>
    </row>
    <row r="64">
      <c r="A64">
        <f>IF($AL64="","",'01_設定'!$C$36)</f>
        <v/>
      </c>
      <c r="B64">
        <f>IF($AL64="","",'01_設定'!$C$5)</f>
        <v/>
      </c>
      <c r="C64">
        <f>IF($AL64="","",'01_設定'!$C$6)</f>
        <v/>
      </c>
      <c r="D64" s="36">
        <f>IF($AL64="","",'01_設定'!$C$22)</f>
        <v/>
      </c>
      <c r="E64" s="36">
        <f>IF($AL64="","",'01_設定'!$C$23)</f>
        <v/>
      </c>
      <c r="F64">
        <f>IF($AL64="","",'01_設定'!$C$32)</f>
        <v/>
      </c>
      <c r="G64">
        <f>IF($AL64="","",ROW()-4)</f>
        <v/>
      </c>
      <c r="H64">
        <f>IF($AL64="","",INDEX('04_調査結果'!$AO$5:$AO$404,$AL64))</f>
        <v/>
      </c>
      <c r="I64">
        <f>IF($AL64="","",IFERROR(INDEX('M2_区分マスタ'!$I$5:$I$10,INDEX('04_調査結果'!$AP$5:$AP$404,$AL64)),""))</f>
        <v/>
      </c>
      <c r="J64">
        <f>IF($AL64="","",INDEX('04_調査結果'!$BE$5:$BE$404,$AL64)&amp;"")</f>
        <v/>
      </c>
      <c r="K64">
        <f>IF($AL64="","",INDEX('04_調査結果'!$F$5:$F$404,$AL64)&amp;"")</f>
        <v/>
      </c>
      <c r="L64">
        <f>IF($AL64="","",INDEX('04_調査結果'!$G$5:$G$404,$AL64)&amp;"")</f>
        <v/>
      </c>
      <c r="M64">
        <f>IF($AL64="","",INDEX('04_調査結果'!$AQ$5:$AQ$404,$AL64)&amp;"")</f>
        <v/>
      </c>
      <c r="N64">
        <f>IF($AL64="","",IFERROR(INDEX('M1_類型マスタ'!$B$5:$B$19,MATCH(M64,'M1_類型マスタ'!$A$5:$A$19,0)),""))</f>
        <v/>
      </c>
      <c r="O64">
        <f>IF($AL64="","",INDEX('04_調査結果'!$I$5:$I$404,$AL64)&amp;"")</f>
        <v/>
      </c>
      <c r="P64">
        <f>IF($AL64="","",INDEX('04_調査結果'!$J$5:$J$404,$AL64)&amp;"")</f>
        <v/>
      </c>
      <c r="Q64">
        <f>IF($AL64="","",INDEX('04_調査結果'!$K$5:$K$404,$AL64)&amp;"")</f>
        <v/>
      </c>
      <c r="R64">
        <f>IF($AL64="","",INDEX('04_調査結果'!$L$5:$L$404,$AL64)&amp;"")</f>
        <v/>
      </c>
      <c r="S64">
        <f>IF($AL64="","",INDEX('04_調査結果'!$M$5:$M$404,$AL64)&amp;"")</f>
        <v/>
      </c>
      <c r="T64" s="33">
        <f>IF($AL64="","",IF(INDEX('04_調査結果'!$AE$5:$AE$404,$AL64)&lt;&gt;"",INDEX('04_調査結果'!$AE$5:$AE$404,$AL64),INDEX('04_調査結果'!$AS$5:$AS$404,$AL64)))</f>
        <v/>
      </c>
      <c r="U64" s="33">
        <f>IF($AL64="","",IF(INDEX('04_調査結果'!$AF$5:$AF$404,$AL64)&lt;&gt;"",INDEX('04_調査結果'!$AF$5:$AF$404,$AL64),INDEX('04_調査結果'!$AT$5:$AT$404,$AL64)))</f>
        <v/>
      </c>
      <c r="V64" s="33">
        <f>IF($AL64="","",INDEX('04_調査結果'!$AI$5:$AI$404,$AL64))</f>
        <v/>
      </c>
      <c r="W64">
        <f>IF($AL64="","",INDEX('04_調査結果'!$AU$5:$AU$404,$AL64))</f>
        <v/>
      </c>
      <c r="X64" s="37">
        <f>IF($AL64="","",INDEX('04_調査結果'!$AW$5:$AW$404,$AL64))</f>
        <v/>
      </c>
      <c r="Y64" s="37">
        <f>IF($AL64="","",INDEX('04_調査結果'!$AX$5:$AX$404,$AL64))</f>
        <v/>
      </c>
      <c r="Z64">
        <f>IF($AL64="","",INDEX('04_調査結果'!$S$5:$S$404,$AL64)&amp;"")</f>
        <v/>
      </c>
      <c r="AA64">
        <f>IF($AL64="","",INDEX('04_調査結果'!$T$5:$T$404,$AL64))</f>
        <v/>
      </c>
      <c r="AB64">
        <f>IF($AL64="","",INDEX('04_調査結果'!$U$5:$U$404,$AL64))</f>
        <v/>
      </c>
      <c r="AC64">
        <f>IF($AL64="","",INDEX('04_調査結果'!$V$5:$V$404,$AL64))</f>
        <v/>
      </c>
      <c r="AD64">
        <f>IF($AL64="","",INDEX('04_調査結果'!$W$5:$W$404,$AL64))</f>
        <v/>
      </c>
      <c r="AE64">
        <f>IF($AL64="","",INDEX('04_調査結果'!$X$5:$X$404,$AL64))</f>
        <v/>
      </c>
      <c r="AF64">
        <f>IF($AL64="","",INDEX('04_調査結果'!$Y$5:$Y$404,$AL64))</f>
        <v/>
      </c>
      <c r="AG64">
        <f>IF($AL64="","",INDEX('04_調査結果'!$Z$5:$Z$404,$AL64))</f>
        <v/>
      </c>
      <c r="AH64">
        <f>IF($AL64="","",INDEX('04_調査結果'!$AK$5:$AK$404,$AL64))</f>
        <v/>
      </c>
      <c r="AI64">
        <f>IF($AL64="","",INDEX('04_調査結果'!$AH$5:$AH$404,$AL64)&amp;"")</f>
        <v/>
      </c>
      <c r="AJ64">
        <f>IF($AL64="","",INDEX('04_調査結果'!$AA$5:$AA$404,$AL64)&amp;"")</f>
        <v/>
      </c>
      <c r="AK64">
        <f>IF($AL64="","",INDEX('04_調査結果'!$AC$5:$AC$404,$AL64)&amp;"")</f>
        <v/>
      </c>
      <c r="AL64" s="34">
        <f>IFERROR(MATCH(ROW()-4,'04_調査結果'!$AZ$5:$AZ$404,0),"")</f>
        <v/>
      </c>
    </row>
    <row r="65">
      <c r="A65">
        <f>IF($AL65="","",'01_設定'!$C$36)</f>
        <v/>
      </c>
      <c r="B65">
        <f>IF($AL65="","",'01_設定'!$C$5)</f>
        <v/>
      </c>
      <c r="C65">
        <f>IF($AL65="","",'01_設定'!$C$6)</f>
        <v/>
      </c>
      <c r="D65" s="36">
        <f>IF($AL65="","",'01_設定'!$C$22)</f>
        <v/>
      </c>
      <c r="E65" s="36">
        <f>IF($AL65="","",'01_設定'!$C$23)</f>
        <v/>
      </c>
      <c r="F65">
        <f>IF($AL65="","",'01_設定'!$C$32)</f>
        <v/>
      </c>
      <c r="G65">
        <f>IF($AL65="","",ROW()-4)</f>
        <v/>
      </c>
      <c r="H65">
        <f>IF($AL65="","",INDEX('04_調査結果'!$AO$5:$AO$404,$AL65))</f>
        <v/>
      </c>
      <c r="I65">
        <f>IF($AL65="","",IFERROR(INDEX('M2_区分マスタ'!$I$5:$I$10,INDEX('04_調査結果'!$AP$5:$AP$404,$AL65)),""))</f>
        <v/>
      </c>
      <c r="J65">
        <f>IF($AL65="","",INDEX('04_調査結果'!$BE$5:$BE$404,$AL65)&amp;"")</f>
        <v/>
      </c>
      <c r="K65">
        <f>IF($AL65="","",INDEX('04_調査結果'!$F$5:$F$404,$AL65)&amp;"")</f>
        <v/>
      </c>
      <c r="L65">
        <f>IF($AL65="","",INDEX('04_調査結果'!$G$5:$G$404,$AL65)&amp;"")</f>
        <v/>
      </c>
      <c r="M65">
        <f>IF($AL65="","",INDEX('04_調査結果'!$AQ$5:$AQ$404,$AL65)&amp;"")</f>
        <v/>
      </c>
      <c r="N65">
        <f>IF($AL65="","",IFERROR(INDEX('M1_類型マスタ'!$B$5:$B$19,MATCH(M65,'M1_類型マスタ'!$A$5:$A$19,0)),""))</f>
        <v/>
      </c>
      <c r="O65">
        <f>IF($AL65="","",INDEX('04_調査結果'!$I$5:$I$404,$AL65)&amp;"")</f>
        <v/>
      </c>
      <c r="P65">
        <f>IF($AL65="","",INDEX('04_調査結果'!$J$5:$J$404,$AL65)&amp;"")</f>
        <v/>
      </c>
      <c r="Q65">
        <f>IF($AL65="","",INDEX('04_調査結果'!$K$5:$K$404,$AL65)&amp;"")</f>
        <v/>
      </c>
      <c r="R65">
        <f>IF($AL65="","",INDEX('04_調査結果'!$L$5:$L$404,$AL65)&amp;"")</f>
        <v/>
      </c>
      <c r="S65">
        <f>IF($AL65="","",INDEX('04_調査結果'!$M$5:$M$404,$AL65)&amp;"")</f>
        <v/>
      </c>
      <c r="T65" s="33">
        <f>IF($AL65="","",IF(INDEX('04_調査結果'!$AE$5:$AE$404,$AL65)&lt;&gt;"",INDEX('04_調査結果'!$AE$5:$AE$404,$AL65),INDEX('04_調査結果'!$AS$5:$AS$404,$AL65)))</f>
        <v/>
      </c>
      <c r="U65" s="33">
        <f>IF($AL65="","",IF(INDEX('04_調査結果'!$AF$5:$AF$404,$AL65)&lt;&gt;"",INDEX('04_調査結果'!$AF$5:$AF$404,$AL65),INDEX('04_調査結果'!$AT$5:$AT$404,$AL65)))</f>
        <v/>
      </c>
      <c r="V65" s="33">
        <f>IF($AL65="","",INDEX('04_調査結果'!$AI$5:$AI$404,$AL65))</f>
        <v/>
      </c>
      <c r="W65">
        <f>IF($AL65="","",INDEX('04_調査結果'!$AU$5:$AU$404,$AL65))</f>
        <v/>
      </c>
      <c r="X65" s="37">
        <f>IF($AL65="","",INDEX('04_調査結果'!$AW$5:$AW$404,$AL65))</f>
        <v/>
      </c>
      <c r="Y65" s="37">
        <f>IF($AL65="","",INDEX('04_調査結果'!$AX$5:$AX$404,$AL65))</f>
        <v/>
      </c>
      <c r="Z65">
        <f>IF($AL65="","",INDEX('04_調査結果'!$S$5:$S$404,$AL65)&amp;"")</f>
        <v/>
      </c>
      <c r="AA65">
        <f>IF($AL65="","",INDEX('04_調査結果'!$T$5:$T$404,$AL65))</f>
        <v/>
      </c>
      <c r="AB65">
        <f>IF($AL65="","",INDEX('04_調査結果'!$U$5:$U$404,$AL65))</f>
        <v/>
      </c>
      <c r="AC65">
        <f>IF($AL65="","",INDEX('04_調査結果'!$V$5:$V$404,$AL65))</f>
        <v/>
      </c>
      <c r="AD65">
        <f>IF($AL65="","",INDEX('04_調査結果'!$W$5:$W$404,$AL65))</f>
        <v/>
      </c>
      <c r="AE65">
        <f>IF($AL65="","",INDEX('04_調査結果'!$X$5:$X$404,$AL65))</f>
        <v/>
      </c>
      <c r="AF65">
        <f>IF($AL65="","",INDEX('04_調査結果'!$Y$5:$Y$404,$AL65))</f>
        <v/>
      </c>
      <c r="AG65">
        <f>IF($AL65="","",INDEX('04_調査結果'!$Z$5:$Z$404,$AL65))</f>
        <v/>
      </c>
      <c r="AH65">
        <f>IF($AL65="","",INDEX('04_調査結果'!$AK$5:$AK$404,$AL65))</f>
        <v/>
      </c>
      <c r="AI65">
        <f>IF($AL65="","",INDEX('04_調査結果'!$AH$5:$AH$404,$AL65)&amp;"")</f>
        <v/>
      </c>
      <c r="AJ65">
        <f>IF($AL65="","",INDEX('04_調査結果'!$AA$5:$AA$404,$AL65)&amp;"")</f>
        <v/>
      </c>
      <c r="AK65">
        <f>IF($AL65="","",INDEX('04_調査結果'!$AC$5:$AC$404,$AL65)&amp;"")</f>
        <v/>
      </c>
      <c r="AL65" s="34">
        <f>IFERROR(MATCH(ROW()-4,'04_調査結果'!$AZ$5:$AZ$404,0),"")</f>
        <v/>
      </c>
    </row>
    <row r="66">
      <c r="A66">
        <f>IF($AL66="","",'01_設定'!$C$36)</f>
        <v/>
      </c>
      <c r="B66">
        <f>IF($AL66="","",'01_設定'!$C$5)</f>
        <v/>
      </c>
      <c r="C66">
        <f>IF($AL66="","",'01_設定'!$C$6)</f>
        <v/>
      </c>
      <c r="D66" s="36">
        <f>IF($AL66="","",'01_設定'!$C$22)</f>
        <v/>
      </c>
      <c r="E66" s="36">
        <f>IF($AL66="","",'01_設定'!$C$23)</f>
        <v/>
      </c>
      <c r="F66">
        <f>IF($AL66="","",'01_設定'!$C$32)</f>
        <v/>
      </c>
      <c r="G66">
        <f>IF($AL66="","",ROW()-4)</f>
        <v/>
      </c>
      <c r="H66">
        <f>IF($AL66="","",INDEX('04_調査結果'!$AO$5:$AO$404,$AL66))</f>
        <v/>
      </c>
      <c r="I66">
        <f>IF($AL66="","",IFERROR(INDEX('M2_区分マスタ'!$I$5:$I$10,INDEX('04_調査結果'!$AP$5:$AP$404,$AL66)),""))</f>
        <v/>
      </c>
      <c r="J66">
        <f>IF($AL66="","",INDEX('04_調査結果'!$BE$5:$BE$404,$AL66)&amp;"")</f>
        <v/>
      </c>
      <c r="K66">
        <f>IF($AL66="","",INDEX('04_調査結果'!$F$5:$F$404,$AL66)&amp;"")</f>
        <v/>
      </c>
      <c r="L66">
        <f>IF($AL66="","",INDEX('04_調査結果'!$G$5:$G$404,$AL66)&amp;"")</f>
        <v/>
      </c>
      <c r="M66">
        <f>IF($AL66="","",INDEX('04_調査結果'!$AQ$5:$AQ$404,$AL66)&amp;"")</f>
        <v/>
      </c>
      <c r="N66">
        <f>IF($AL66="","",IFERROR(INDEX('M1_類型マスタ'!$B$5:$B$19,MATCH(M66,'M1_類型マスタ'!$A$5:$A$19,0)),""))</f>
        <v/>
      </c>
      <c r="O66">
        <f>IF($AL66="","",INDEX('04_調査結果'!$I$5:$I$404,$AL66)&amp;"")</f>
        <v/>
      </c>
      <c r="P66">
        <f>IF($AL66="","",INDEX('04_調査結果'!$J$5:$J$404,$AL66)&amp;"")</f>
        <v/>
      </c>
      <c r="Q66">
        <f>IF($AL66="","",INDEX('04_調査結果'!$K$5:$K$404,$AL66)&amp;"")</f>
        <v/>
      </c>
      <c r="R66">
        <f>IF($AL66="","",INDEX('04_調査結果'!$L$5:$L$404,$AL66)&amp;"")</f>
        <v/>
      </c>
      <c r="S66">
        <f>IF($AL66="","",INDEX('04_調査結果'!$M$5:$M$404,$AL66)&amp;"")</f>
        <v/>
      </c>
      <c r="T66" s="33">
        <f>IF($AL66="","",IF(INDEX('04_調査結果'!$AE$5:$AE$404,$AL66)&lt;&gt;"",INDEX('04_調査結果'!$AE$5:$AE$404,$AL66),INDEX('04_調査結果'!$AS$5:$AS$404,$AL66)))</f>
        <v/>
      </c>
      <c r="U66" s="33">
        <f>IF($AL66="","",IF(INDEX('04_調査結果'!$AF$5:$AF$404,$AL66)&lt;&gt;"",INDEX('04_調査結果'!$AF$5:$AF$404,$AL66),INDEX('04_調査結果'!$AT$5:$AT$404,$AL66)))</f>
        <v/>
      </c>
      <c r="V66" s="33">
        <f>IF($AL66="","",INDEX('04_調査結果'!$AI$5:$AI$404,$AL66))</f>
        <v/>
      </c>
      <c r="W66">
        <f>IF($AL66="","",INDEX('04_調査結果'!$AU$5:$AU$404,$AL66))</f>
        <v/>
      </c>
      <c r="X66" s="37">
        <f>IF($AL66="","",INDEX('04_調査結果'!$AW$5:$AW$404,$AL66))</f>
        <v/>
      </c>
      <c r="Y66" s="37">
        <f>IF($AL66="","",INDEX('04_調査結果'!$AX$5:$AX$404,$AL66))</f>
        <v/>
      </c>
      <c r="Z66">
        <f>IF($AL66="","",INDEX('04_調査結果'!$S$5:$S$404,$AL66)&amp;"")</f>
        <v/>
      </c>
      <c r="AA66">
        <f>IF($AL66="","",INDEX('04_調査結果'!$T$5:$T$404,$AL66))</f>
        <v/>
      </c>
      <c r="AB66">
        <f>IF($AL66="","",INDEX('04_調査結果'!$U$5:$U$404,$AL66))</f>
        <v/>
      </c>
      <c r="AC66">
        <f>IF($AL66="","",INDEX('04_調査結果'!$V$5:$V$404,$AL66))</f>
        <v/>
      </c>
      <c r="AD66">
        <f>IF($AL66="","",INDEX('04_調査結果'!$W$5:$W$404,$AL66))</f>
        <v/>
      </c>
      <c r="AE66">
        <f>IF($AL66="","",INDEX('04_調査結果'!$X$5:$X$404,$AL66))</f>
        <v/>
      </c>
      <c r="AF66">
        <f>IF($AL66="","",INDEX('04_調査結果'!$Y$5:$Y$404,$AL66))</f>
        <v/>
      </c>
      <c r="AG66">
        <f>IF($AL66="","",INDEX('04_調査結果'!$Z$5:$Z$404,$AL66))</f>
        <v/>
      </c>
      <c r="AH66">
        <f>IF($AL66="","",INDEX('04_調査結果'!$AK$5:$AK$404,$AL66))</f>
        <v/>
      </c>
      <c r="AI66">
        <f>IF($AL66="","",INDEX('04_調査結果'!$AH$5:$AH$404,$AL66)&amp;"")</f>
        <v/>
      </c>
      <c r="AJ66">
        <f>IF($AL66="","",INDEX('04_調査結果'!$AA$5:$AA$404,$AL66)&amp;"")</f>
        <v/>
      </c>
      <c r="AK66">
        <f>IF($AL66="","",INDEX('04_調査結果'!$AC$5:$AC$404,$AL66)&amp;"")</f>
        <v/>
      </c>
      <c r="AL66" s="34">
        <f>IFERROR(MATCH(ROW()-4,'04_調査結果'!$AZ$5:$AZ$404,0),"")</f>
        <v/>
      </c>
    </row>
    <row r="67">
      <c r="A67">
        <f>IF($AL67="","",'01_設定'!$C$36)</f>
        <v/>
      </c>
      <c r="B67">
        <f>IF($AL67="","",'01_設定'!$C$5)</f>
        <v/>
      </c>
      <c r="C67">
        <f>IF($AL67="","",'01_設定'!$C$6)</f>
        <v/>
      </c>
      <c r="D67" s="36">
        <f>IF($AL67="","",'01_設定'!$C$22)</f>
        <v/>
      </c>
      <c r="E67" s="36">
        <f>IF($AL67="","",'01_設定'!$C$23)</f>
        <v/>
      </c>
      <c r="F67">
        <f>IF($AL67="","",'01_設定'!$C$32)</f>
        <v/>
      </c>
      <c r="G67">
        <f>IF($AL67="","",ROW()-4)</f>
        <v/>
      </c>
      <c r="H67">
        <f>IF($AL67="","",INDEX('04_調査結果'!$AO$5:$AO$404,$AL67))</f>
        <v/>
      </c>
      <c r="I67">
        <f>IF($AL67="","",IFERROR(INDEX('M2_区分マスタ'!$I$5:$I$10,INDEX('04_調査結果'!$AP$5:$AP$404,$AL67)),""))</f>
        <v/>
      </c>
      <c r="J67">
        <f>IF($AL67="","",INDEX('04_調査結果'!$BE$5:$BE$404,$AL67)&amp;"")</f>
        <v/>
      </c>
      <c r="K67">
        <f>IF($AL67="","",INDEX('04_調査結果'!$F$5:$F$404,$AL67)&amp;"")</f>
        <v/>
      </c>
      <c r="L67">
        <f>IF($AL67="","",INDEX('04_調査結果'!$G$5:$G$404,$AL67)&amp;"")</f>
        <v/>
      </c>
      <c r="M67">
        <f>IF($AL67="","",INDEX('04_調査結果'!$AQ$5:$AQ$404,$AL67)&amp;"")</f>
        <v/>
      </c>
      <c r="N67">
        <f>IF($AL67="","",IFERROR(INDEX('M1_類型マスタ'!$B$5:$B$19,MATCH(M67,'M1_類型マスタ'!$A$5:$A$19,0)),""))</f>
        <v/>
      </c>
      <c r="O67">
        <f>IF($AL67="","",INDEX('04_調査結果'!$I$5:$I$404,$AL67)&amp;"")</f>
        <v/>
      </c>
      <c r="P67">
        <f>IF($AL67="","",INDEX('04_調査結果'!$J$5:$J$404,$AL67)&amp;"")</f>
        <v/>
      </c>
      <c r="Q67">
        <f>IF($AL67="","",INDEX('04_調査結果'!$K$5:$K$404,$AL67)&amp;"")</f>
        <v/>
      </c>
      <c r="R67">
        <f>IF($AL67="","",INDEX('04_調査結果'!$L$5:$L$404,$AL67)&amp;"")</f>
        <v/>
      </c>
      <c r="S67">
        <f>IF($AL67="","",INDEX('04_調査結果'!$M$5:$M$404,$AL67)&amp;"")</f>
        <v/>
      </c>
      <c r="T67" s="33">
        <f>IF($AL67="","",IF(INDEX('04_調査結果'!$AE$5:$AE$404,$AL67)&lt;&gt;"",INDEX('04_調査結果'!$AE$5:$AE$404,$AL67),INDEX('04_調査結果'!$AS$5:$AS$404,$AL67)))</f>
        <v/>
      </c>
      <c r="U67" s="33">
        <f>IF($AL67="","",IF(INDEX('04_調査結果'!$AF$5:$AF$404,$AL67)&lt;&gt;"",INDEX('04_調査結果'!$AF$5:$AF$404,$AL67),INDEX('04_調査結果'!$AT$5:$AT$404,$AL67)))</f>
        <v/>
      </c>
      <c r="V67" s="33">
        <f>IF($AL67="","",INDEX('04_調査結果'!$AI$5:$AI$404,$AL67))</f>
        <v/>
      </c>
      <c r="W67">
        <f>IF($AL67="","",INDEX('04_調査結果'!$AU$5:$AU$404,$AL67))</f>
        <v/>
      </c>
      <c r="X67" s="37">
        <f>IF($AL67="","",INDEX('04_調査結果'!$AW$5:$AW$404,$AL67))</f>
        <v/>
      </c>
      <c r="Y67" s="37">
        <f>IF($AL67="","",INDEX('04_調査結果'!$AX$5:$AX$404,$AL67))</f>
        <v/>
      </c>
      <c r="Z67">
        <f>IF($AL67="","",INDEX('04_調査結果'!$S$5:$S$404,$AL67)&amp;"")</f>
        <v/>
      </c>
      <c r="AA67">
        <f>IF($AL67="","",INDEX('04_調査結果'!$T$5:$T$404,$AL67))</f>
        <v/>
      </c>
      <c r="AB67">
        <f>IF($AL67="","",INDEX('04_調査結果'!$U$5:$U$404,$AL67))</f>
        <v/>
      </c>
      <c r="AC67">
        <f>IF($AL67="","",INDEX('04_調査結果'!$V$5:$V$404,$AL67))</f>
        <v/>
      </c>
      <c r="AD67">
        <f>IF($AL67="","",INDEX('04_調査結果'!$W$5:$W$404,$AL67))</f>
        <v/>
      </c>
      <c r="AE67">
        <f>IF($AL67="","",INDEX('04_調査結果'!$X$5:$X$404,$AL67))</f>
        <v/>
      </c>
      <c r="AF67">
        <f>IF($AL67="","",INDEX('04_調査結果'!$Y$5:$Y$404,$AL67))</f>
        <v/>
      </c>
      <c r="AG67">
        <f>IF($AL67="","",INDEX('04_調査結果'!$Z$5:$Z$404,$AL67))</f>
        <v/>
      </c>
      <c r="AH67">
        <f>IF($AL67="","",INDEX('04_調査結果'!$AK$5:$AK$404,$AL67))</f>
        <v/>
      </c>
      <c r="AI67">
        <f>IF($AL67="","",INDEX('04_調査結果'!$AH$5:$AH$404,$AL67)&amp;"")</f>
        <v/>
      </c>
      <c r="AJ67">
        <f>IF($AL67="","",INDEX('04_調査結果'!$AA$5:$AA$404,$AL67)&amp;"")</f>
        <v/>
      </c>
      <c r="AK67">
        <f>IF($AL67="","",INDEX('04_調査結果'!$AC$5:$AC$404,$AL67)&amp;"")</f>
        <v/>
      </c>
      <c r="AL67" s="34">
        <f>IFERROR(MATCH(ROW()-4,'04_調査結果'!$AZ$5:$AZ$404,0),"")</f>
        <v/>
      </c>
    </row>
    <row r="68">
      <c r="A68">
        <f>IF($AL68="","",'01_設定'!$C$36)</f>
        <v/>
      </c>
      <c r="B68">
        <f>IF($AL68="","",'01_設定'!$C$5)</f>
        <v/>
      </c>
      <c r="C68">
        <f>IF($AL68="","",'01_設定'!$C$6)</f>
        <v/>
      </c>
      <c r="D68" s="36">
        <f>IF($AL68="","",'01_設定'!$C$22)</f>
        <v/>
      </c>
      <c r="E68" s="36">
        <f>IF($AL68="","",'01_設定'!$C$23)</f>
        <v/>
      </c>
      <c r="F68">
        <f>IF($AL68="","",'01_設定'!$C$32)</f>
        <v/>
      </c>
      <c r="G68">
        <f>IF($AL68="","",ROW()-4)</f>
        <v/>
      </c>
      <c r="H68">
        <f>IF($AL68="","",INDEX('04_調査結果'!$AO$5:$AO$404,$AL68))</f>
        <v/>
      </c>
      <c r="I68">
        <f>IF($AL68="","",IFERROR(INDEX('M2_区分マスタ'!$I$5:$I$10,INDEX('04_調査結果'!$AP$5:$AP$404,$AL68)),""))</f>
        <v/>
      </c>
      <c r="J68">
        <f>IF($AL68="","",INDEX('04_調査結果'!$BE$5:$BE$404,$AL68)&amp;"")</f>
        <v/>
      </c>
      <c r="K68">
        <f>IF($AL68="","",INDEX('04_調査結果'!$F$5:$F$404,$AL68)&amp;"")</f>
        <v/>
      </c>
      <c r="L68">
        <f>IF($AL68="","",INDEX('04_調査結果'!$G$5:$G$404,$AL68)&amp;"")</f>
        <v/>
      </c>
      <c r="M68">
        <f>IF($AL68="","",INDEX('04_調査結果'!$AQ$5:$AQ$404,$AL68)&amp;"")</f>
        <v/>
      </c>
      <c r="N68">
        <f>IF($AL68="","",IFERROR(INDEX('M1_類型マスタ'!$B$5:$B$19,MATCH(M68,'M1_類型マスタ'!$A$5:$A$19,0)),""))</f>
        <v/>
      </c>
      <c r="O68">
        <f>IF($AL68="","",INDEX('04_調査結果'!$I$5:$I$404,$AL68)&amp;"")</f>
        <v/>
      </c>
      <c r="P68">
        <f>IF($AL68="","",INDEX('04_調査結果'!$J$5:$J$404,$AL68)&amp;"")</f>
        <v/>
      </c>
      <c r="Q68">
        <f>IF($AL68="","",INDEX('04_調査結果'!$K$5:$K$404,$AL68)&amp;"")</f>
        <v/>
      </c>
      <c r="R68">
        <f>IF($AL68="","",INDEX('04_調査結果'!$L$5:$L$404,$AL68)&amp;"")</f>
        <v/>
      </c>
      <c r="S68">
        <f>IF($AL68="","",INDEX('04_調査結果'!$M$5:$M$404,$AL68)&amp;"")</f>
        <v/>
      </c>
      <c r="T68" s="33">
        <f>IF($AL68="","",IF(INDEX('04_調査結果'!$AE$5:$AE$404,$AL68)&lt;&gt;"",INDEX('04_調査結果'!$AE$5:$AE$404,$AL68),INDEX('04_調査結果'!$AS$5:$AS$404,$AL68)))</f>
        <v/>
      </c>
      <c r="U68" s="33">
        <f>IF($AL68="","",IF(INDEX('04_調査結果'!$AF$5:$AF$404,$AL68)&lt;&gt;"",INDEX('04_調査結果'!$AF$5:$AF$404,$AL68),INDEX('04_調査結果'!$AT$5:$AT$404,$AL68)))</f>
        <v/>
      </c>
      <c r="V68" s="33">
        <f>IF($AL68="","",INDEX('04_調査結果'!$AI$5:$AI$404,$AL68))</f>
        <v/>
      </c>
      <c r="W68">
        <f>IF($AL68="","",INDEX('04_調査結果'!$AU$5:$AU$404,$AL68))</f>
        <v/>
      </c>
      <c r="X68" s="37">
        <f>IF($AL68="","",INDEX('04_調査結果'!$AW$5:$AW$404,$AL68))</f>
        <v/>
      </c>
      <c r="Y68" s="37">
        <f>IF($AL68="","",INDEX('04_調査結果'!$AX$5:$AX$404,$AL68))</f>
        <v/>
      </c>
      <c r="Z68">
        <f>IF($AL68="","",INDEX('04_調査結果'!$S$5:$S$404,$AL68)&amp;"")</f>
        <v/>
      </c>
      <c r="AA68">
        <f>IF($AL68="","",INDEX('04_調査結果'!$T$5:$T$404,$AL68))</f>
        <v/>
      </c>
      <c r="AB68">
        <f>IF($AL68="","",INDEX('04_調査結果'!$U$5:$U$404,$AL68))</f>
        <v/>
      </c>
      <c r="AC68">
        <f>IF($AL68="","",INDEX('04_調査結果'!$V$5:$V$404,$AL68))</f>
        <v/>
      </c>
      <c r="AD68">
        <f>IF($AL68="","",INDEX('04_調査結果'!$W$5:$W$404,$AL68))</f>
        <v/>
      </c>
      <c r="AE68">
        <f>IF($AL68="","",INDEX('04_調査結果'!$X$5:$X$404,$AL68))</f>
        <v/>
      </c>
      <c r="AF68">
        <f>IF($AL68="","",INDEX('04_調査結果'!$Y$5:$Y$404,$AL68))</f>
        <v/>
      </c>
      <c r="AG68">
        <f>IF($AL68="","",INDEX('04_調査結果'!$Z$5:$Z$404,$AL68))</f>
        <v/>
      </c>
      <c r="AH68">
        <f>IF($AL68="","",INDEX('04_調査結果'!$AK$5:$AK$404,$AL68))</f>
        <v/>
      </c>
      <c r="AI68">
        <f>IF($AL68="","",INDEX('04_調査結果'!$AH$5:$AH$404,$AL68)&amp;"")</f>
        <v/>
      </c>
      <c r="AJ68">
        <f>IF($AL68="","",INDEX('04_調査結果'!$AA$5:$AA$404,$AL68)&amp;"")</f>
        <v/>
      </c>
      <c r="AK68">
        <f>IF($AL68="","",INDEX('04_調査結果'!$AC$5:$AC$404,$AL68)&amp;"")</f>
        <v/>
      </c>
      <c r="AL68" s="34">
        <f>IFERROR(MATCH(ROW()-4,'04_調査結果'!$AZ$5:$AZ$404,0),"")</f>
        <v/>
      </c>
    </row>
    <row r="69">
      <c r="A69">
        <f>IF($AL69="","",'01_設定'!$C$36)</f>
        <v/>
      </c>
      <c r="B69">
        <f>IF($AL69="","",'01_設定'!$C$5)</f>
        <v/>
      </c>
      <c r="C69">
        <f>IF($AL69="","",'01_設定'!$C$6)</f>
        <v/>
      </c>
      <c r="D69" s="36">
        <f>IF($AL69="","",'01_設定'!$C$22)</f>
        <v/>
      </c>
      <c r="E69" s="36">
        <f>IF($AL69="","",'01_設定'!$C$23)</f>
        <v/>
      </c>
      <c r="F69">
        <f>IF($AL69="","",'01_設定'!$C$32)</f>
        <v/>
      </c>
      <c r="G69">
        <f>IF($AL69="","",ROW()-4)</f>
        <v/>
      </c>
      <c r="H69">
        <f>IF($AL69="","",INDEX('04_調査結果'!$AO$5:$AO$404,$AL69))</f>
        <v/>
      </c>
      <c r="I69">
        <f>IF($AL69="","",IFERROR(INDEX('M2_区分マスタ'!$I$5:$I$10,INDEX('04_調査結果'!$AP$5:$AP$404,$AL69)),""))</f>
        <v/>
      </c>
      <c r="J69">
        <f>IF($AL69="","",INDEX('04_調査結果'!$BE$5:$BE$404,$AL69)&amp;"")</f>
        <v/>
      </c>
      <c r="K69">
        <f>IF($AL69="","",INDEX('04_調査結果'!$F$5:$F$404,$AL69)&amp;"")</f>
        <v/>
      </c>
      <c r="L69">
        <f>IF($AL69="","",INDEX('04_調査結果'!$G$5:$G$404,$AL69)&amp;"")</f>
        <v/>
      </c>
      <c r="M69">
        <f>IF($AL69="","",INDEX('04_調査結果'!$AQ$5:$AQ$404,$AL69)&amp;"")</f>
        <v/>
      </c>
      <c r="N69">
        <f>IF($AL69="","",IFERROR(INDEX('M1_類型マスタ'!$B$5:$B$19,MATCH(M69,'M1_類型マスタ'!$A$5:$A$19,0)),""))</f>
        <v/>
      </c>
      <c r="O69">
        <f>IF($AL69="","",INDEX('04_調査結果'!$I$5:$I$404,$AL69)&amp;"")</f>
        <v/>
      </c>
      <c r="P69">
        <f>IF($AL69="","",INDEX('04_調査結果'!$J$5:$J$404,$AL69)&amp;"")</f>
        <v/>
      </c>
      <c r="Q69">
        <f>IF($AL69="","",INDEX('04_調査結果'!$K$5:$K$404,$AL69)&amp;"")</f>
        <v/>
      </c>
      <c r="R69">
        <f>IF($AL69="","",INDEX('04_調査結果'!$L$5:$L$404,$AL69)&amp;"")</f>
        <v/>
      </c>
      <c r="S69">
        <f>IF($AL69="","",INDEX('04_調査結果'!$M$5:$M$404,$AL69)&amp;"")</f>
        <v/>
      </c>
      <c r="T69" s="33">
        <f>IF($AL69="","",IF(INDEX('04_調査結果'!$AE$5:$AE$404,$AL69)&lt;&gt;"",INDEX('04_調査結果'!$AE$5:$AE$404,$AL69),INDEX('04_調査結果'!$AS$5:$AS$404,$AL69)))</f>
        <v/>
      </c>
      <c r="U69" s="33">
        <f>IF($AL69="","",IF(INDEX('04_調査結果'!$AF$5:$AF$404,$AL69)&lt;&gt;"",INDEX('04_調査結果'!$AF$5:$AF$404,$AL69),INDEX('04_調査結果'!$AT$5:$AT$404,$AL69)))</f>
        <v/>
      </c>
      <c r="V69" s="33">
        <f>IF($AL69="","",INDEX('04_調査結果'!$AI$5:$AI$404,$AL69))</f>
        <v/>
      </c>
      <c r="W69">
        <f>IF($AL69="","",INDEX('04_調査結果'!$AU$5:$AU$404,$AL69))</f>
        <v/>
      </c>
      <c r="X69" s="37">
        <f>IF($AL69="","",INDEX('04_調査結果'!$AW$5:$AW$404,$AL69))</f>
        <v/>
      </c>
      <c r="Y69" s="37">
        <f>IF($AL69="","",INDEX('04_調査結果'!$AX$5:$AX$404,$AL69))</f>
        <v/>
      </c>
      <c r="Z69">
        <f>IF($AL69="","",INDEX('04_調査結果'!$S$5:$S$404,$AL69)&amp;"")</f>
        <v/>
      </c>
      <c r="AA69">
        <f>IF($AL69="","",INDEX('04_調査結果'!$T$5:$T$404,$AL69))</f>
        <v/>
      </c>
      <c r="AB69">
        <f>IF($AL69="","",INDEX('04_調査結果'!$U$5:$U$404,$AL69))</f>
        <v/>
      </c>
      <c r="AC69">
        <f>IF($AL69="","",INDEX('04_調査結果'!$V$5:$V$404,$AL69))</f>
        <v/>
      </c>
      <c r="AD69">
        <f>IF($AL69="","",INDEX('04_調査結果'!$W$5:$W$404,$AL69))</f>
        <v/>
      </c>
      <c r="AE69">
        <f>IF($AL69="","",INDEX('04_調査結果'!$X$5:$X$404,$AL69))</f>
        <v/>
      </c>
      <c r="AF69">
        <f>IF($AL69="","",INDEX('04_調査結果'!$Y$5:$Y$404,$AL69))</f>
        <v/>
      </c>
      <c r="AG69">
        <f>IF($AL69="","",INDEX('04_調査結果'!$Z$5:$Z$404,$AL69))</f>
        <v/>
      </c>
      <c r="AH69">
        <f>IF($AL69="","",INDEX('04_調査結果'!$AK$5:$AK$404,$AL69))</f>
        <v/>
      </c>
      <c r="AI69">
        <f>IF($AL69="","",INDEX('04_調査結果'!$AH$5:$AH$404,$AL69)&amp;"")</f>
        <v/>
      </c>
      <c r="AJ69">
        <f>IF($AL69="","",INDEX('04_調査結果'!$AA$5:$AA$404,$AL69)&amp;"")</f>
        <v/>
      </c>
      <c r="AK69">
        <f>IF($AL69="","",INDEX('04_調査結果'!$AC$5:$AC$404,$AL69)&amp;"")</f>
        <v/>
      </c>
      <c r="AL69" s="34">
        <f>IFERROR(MATCH(ROW()-4,'04_調査結果'!$AZ$5:$AZ$404,0),"")</f>
        <v/>
      </c>
    </row>
    <row r="70">
      <c r="A70">
        <f>IF($AL70="","",'01_設定'!$C$36)</f>
        <v/>
      </c>
      <c r="B70">
        <f>IF($AL70="","",'01_設定'!$C$5)</f>
        <v/>
      </c>
      <c r="C70">
        <f>IF($AL70="","",'01_設定'!$C$6)</f>
        <v/>
      </c>
      <c r="D70" s="36">
        <f>IF($AL70="","",'01_設定'!$C$22)</f>
        <v/>
      </c>
      <c r="E70" s="36">
        <f>IF($AL70="","",'01_設定'!$C$23)</f>
        <v/>
      </c>
      <c r="F70">
        <f>IF($AL70="","",'01_設定'!$C$32)</f>
        <v/>
      </c>
      <c r="G70">
        <f>IF($AL70="","",ROW()-4)</f>
        <v/>
      </c>
      <c r="H70">
        <f>IF($AL70="","",INDEX('04_調査結果'!$AO$5:$AO$404,$AL70))</f>
        <v/>
      </c>
      <c r="I70">
        <f>IF($AL70="","",IFERROR(INDEX('M2_区分マスタ'!$I$5:$I$10,INDEX('04_調査結果'!$AP$5:$AP$404,$AL70)),""))</f>
        <v/>
      </c>
      <c r="J70">
        <f>IF($AL70="","",INDEX('04_調査結果'!$BE$5:$BE$404,$AL70)&amp;"")</f>
        <v/>
      </c>
      <c r="K70">
        <f>IF($AL70="","",INDEX('04_調査結果'!$F$5:$F$404,$AL70)&amp;"")</f>
        <v/>
      </c>
      <c r="L70">
        <f>IF($AL70="","",INDEX('04_調査結果'!$G$5:$G$404,$AL70)&amp;"")</f>
        <v/>
      </c>
      <c r="M70">
        <f>IF($AL70="","",INDEX('04_調査結果'!$AQ$5:$AQ$404,$AL70)&amp;"")</f>
        <v/>
      </c>
      <c r="N70">
        <f>IF($AL70="","",IFERROR(INDEX('M1_類型マスタ'!$B$5:$B$19,MATCH(M70,'M1_類型マスタ'!$A$5:$A$19,0)),""))</f>
        <v/>
      </c>
      <c r="O70">
        <f>IF($AL70="","",INDEX('04_調査結果'!$I$5:$I$404,$AL70)&amp;"")</f>
        <v/>
      </c>
      <c r="P70">
        <f>IF($AL70="","",INDEX('04_調査結果'!$J$5:$J$404,$AL70)&amp;"")</f>
        <v/>
      </c>
      <c r="Q70">
        <f>IF($AL70="","",INDEX('04_調査結果'!$K$5:$K$404,$AL70)&amp;"")</f>
        <v/>
      </c>
      <c r="R70">
        <f>IF($AL70="","",INDEX('04_調査結果'!$L$5:$L$404,$AL70)&amp;"")</f>
        <v/>
      </c>
      <c r="S70">
        <f>IF($AL70="","",INDEX('04_調査結果'!$M$5:$M$404,$AL70)&amp;"")</f>
        <v/>
      </c>
      <c r="T70" s="33">
        <f>IF($AL70="","",IF(INDEX('04_調査結果'!$AE$5:$AE$404,$AL70)&lt;&gt;"",INDEX('04_調査結果'!$AE$5:$AE$404,$AL70),INDEX('04_調査結果'!$AS$5:$AS$404,$AL70)))</f>
        <v/>
      </c>
      <c r="U70" s="33">
        <f>IF($AL70="","",IF(INDEX('04_調査結果'!$AF$5:$AF$404,$AL70)&lt;&gt;"",INDEX('04_調査結果'!$AF$5:$AF$404,$AL70),INDEX('04_調査結果'!$AT$5:$AT$404,$AL70)))</f>
        <v/>
      </c>
      <c r="V70" s="33">
        <f>IF($AL70="","",INDEX('04_調査結果'!$AI$5:$AI$404,$AL70))</f>
        <v/>
      </c>
      <c r="W70">
        <f>IF($AL70="","",INDEX('04_調査結果'!$AU$5:$AU$404,$AL70))</f>
        <v/>
      </c>
      <c r="X70" s="37">
        <f>IF($AL70="","",INDEX('04_調査結果'!$AW$5:$AW$404,$AL70))</f>
        <v/>
      </c>
      <c r="Y70" s="37">
        <f>IF($AL70="","",INDEX('04_調査結果'!$AX$5:$AX$404,$AL70))</f>
        <v/>
      </c>
      <c r="Z70">
        <f>IF($AL70="","",INDEX('04_調査結果'!$S$5:$S$404,$AL70)&amp;"")</f>
        <v/>
      </c>
      <c r="AA70">
        <f>IF($AL70="","",INDEX('04_調査結果'!$T$5:$T$404,$AL70))</f>
        <v/>
      </c>
      <c r="AB70">
        <f>IF($AL70="","",INDEX('04_調査結果'!$U$5:$U$404,$AL70))</f>
        <v/>
      </c>
      <c r="AC70">
        <f>IF($AL70="","",INDEX('04_調査結果'!$V$5:$V$404,$AL70))</f>
        <v/>
      </c>
      <c r="AD70">
        <f>IF($AL70="","",INDEX('04_調査結果'!$W$5:$W$404,$AL70))</f>
        <v/>
      </c>
      <c r="AE70">
        <f>IF($AL70="","",INDEX('04_調査結果'!$X$5:$X$404,$AL70))</f>
        <v/>
      </c>
      <c r="AF70">
        <f>IF($AL70="","",INDEX('04_調査結果'!$Y$5:$Y$404,$AL70))</f>
        <v/>
      </c>
      <c r="AG70">
        <f>IF($AL70="","",INDEX('04_調査結果'!$Z$5:$Z$404,$AL70))</f>
        <v/>
      </c>
      <c r="AH70">
        <f>IF($AL70="","",INDEX('04_調査結果'!$AK$5:$AK$404,$AL70))</f>
        <v/>
      </c>
      <c r="AI70">
        <f>IF($AL70="","",INDEX('04_調査結果'!$AH$5:$AH$404,$AL70)&amp;"")</f>
        <v/>
      </c>
      <c r="AJ70">
        <f>IF($AL70="","",INDEX('04_調査結果'!$AA$5:$AA$404,$AL70)&amp;"")</f>
        <v/>
      </c>
      <c r="AK70">
        <f>IF($AL70="","",INDEX('04_調査結果'!$AC$5:$AC$404,$AL70)&amp;"")</f>
        <v/>
      </c>
      <c r="AL70" s="34">
        <f>IFERROR(MATCH(ROW()-4,'04_調査結果'!$AZ$5:$AZ$404,0),"")</f>
        <v/>
      </c>
    </row>
    <row r="71">
      <c r="A71">
        <f>IF($AL71="","",'01_設定'!$C$36)</f>
        <v/>
      </c>
      <c r="B71">
        <f>IF($AL71="","",'01_設定'!$C$5)</f>
        <v/>
      </c>
      <c r="C71">
        <f>IF($AL71="","",'01_設定'!$C$6)</f>
        <v/>
      </c>
      <c r="D71" s="36">
        <f>IF($AL71="","",'01_設定'!$C$22)</f>
        <v/>
      </c>
      <c r="E71" s="36">
        <f>IF($AL71="","",'01_設定'!$C$23)</f>
        <v/>
      </c>
      <c r="F71">
        <f>IF($AL71="","",'01_設定'!$C$32)</f>
        <v/>
      </c>
      <c r="G71">
        <f>IF($AL71="","",ROW()-4)</f>
        <v/>
      </c>
      <c r="H71">
        <f>IF($AL71="","",INDEX('04_調査結果'!$AO$5:$AO$404,$AL71))</f>
        <v/>
      </c>
      <c r="I71">
        <f>IF($AL71="","",IFERROR(INDEX('M2_区分マスタ'!$I$5:$I$10,INDEX('04_調査結果'!$AP$5:$AP$404,$AL71)),""))</f>
        <v/>
      </c>
      <c r="J71">
        <f>IF($AL71="","",INDEX('04_調査結果'!$BE$5:$BE$404,$AL71)&amp;"")</f>
        <v/>
      </c>
      <c r="K71">
        <f>IF($AL71="","",INDEX('04_調査結果'!$F$5:$F$404,$AL71)&amp;"")</f>
        <v/>
      </c>
      <c r="L71">
        <f>IF($AL71="","",INDEX('04_調査結果'!$G$5:$G$404,$AL71)&amp;"")</f>
        <v/>
      </c>
      <c r="M71">
        <f>IF($AL71="","",INDEX('04_調査結果'!$AQ$5:$AQ$404,$AL71)&amp;"")</f>
        <v/>
      </c>
      <c r="N71">
        <f>IF($AL71="","",IFERROR(INDEX('M1_類型マスタ'!$B$5:$B$19,MATCH(M71,'M1_類型マスタ'!$A$5:$A$19,0)),""))</f>
        <v/>
      </c>
      <c r="O71">
        <f>IF($AL71="","",INDEX('04_調査結果'!$I$5:$I$404,$AL71)&amp;"")</f>
        <v/>
      </c>
      <c r="P71">
        <f>IF($AL71="","",INDEX('04_調査結果'!$J$5:$J$404,$AL71)&amp;"")</f>
        <v/>
      </c>
      <c r="Q71">
        <f>IF($AL71="","",INDEX('04_調査結果'!$K$5:$K$404,$AL71)&amp;"")</f>
        <v/>
      </c>
      <c r="R71">
        <f>IF($AL71="","",INDEX('04_調査結果'!$L$5:$L$404,$AL71)&amp;"")</f>
        <v/>
      </c>
      <c r="S71">
        <f>IF($AL71="","",INDEX('04_調査結果'!$M$5:$M$404,$AL71)&amp;"")</f>
        <v/>
      </c>
      <c r="T71" s="33">
        <f>IF($AL71="","",IF(INDEX('04_調査結果'!$AE$5:$AE$404,$AL71)&lt;&gt;"",INDEX('04_調査結果'!$AE$5:$AE$404,$AL71),INDEX('04_調査結果'!$AS$5:$AS$404,$AL71)))</f>
        <v/>
      </c>
      <c r="U71" s="33">
        <f>IF($AL71="","",IF(INDEX('04_調査結果'!$AF$5:$AF$404,$AL71)&lt;&gt;"",INDEX('04_調査結果'!$AF$5:$AF$404,$AL71),INDEX('04_調査結果'!$AT$5:$AT$404,$AL71)))</f>
        <v/>
      </c>
      <c r="V71" s="33">
        <f>IF($AL71="","",INDEX('04_調査結果'!$AI$5:$AI$404,$AL71))</f>
        <v/>
      </c>
      <c r="W71">
        <f>IF($AL71="","",INDEX('04_調査結果'!$AU$5:$AU$404,$AL71))</f>
        <v/>
      </c>
      <c r="X71" s="37">
        <f>IF($AL71="","",INDEX('04_調査結果'!$AW$5:$AW$404,$AL71))</f>
        <v/>
      </c>
      <c r="Y71" s="37">
        <f>IF($AL71="","",INDEX('04_調査結果'!$AX$5:$AX$404,$AL71))</f>
        <v/>
      </c>
      <c r="Z71">
        <f>IF($AL71="","",INDEX('04_調査結果'!$S$5:$S$404,$AL71)&amp;"")</f>
        <v/>
      </c>
      <c r="AA71">
        <f>IF($AL71="","",INDEX('04_調査結果'!$T$5:$T$404,$AL71))</f>
        <v/>
      </c>
      <c r="AB71">
        <f>IF($AL71="","",INDEX('04_調査結果'!$U$5:$U$404,$AL71))</f>
        <v/>
      </c>
      <c r="AC71">
        <f>IF($AL71="","",INDEX('04_調査結果'!$V$5:$V$404,$AL71))</f>
        <v/>
      </c>
      <c r="AD71">
        <f>IF($AL71="","",INDEX('04_調査結果'!$W$5:$W$404,$AL71))</f>
        <v/>
      </c>
      <c r="AE71">
        <f>IF($AL71="","",INDEX('04_調査結果'!$X$5:$X$404,$AL71))</f>
        <v/>
      </c>
      <c r="AF71">
        <f>IF($AL71="","",INDEX('04_調査結果'!$Y$5:$Y$404,$AL71))</f>
        <v/>
      </c>
      <c r="AG71">
        <f>IF($AL71="","",INDEX('04_調査結果'!$Z$5:$Z$404,$AL71))</f>
        <v/>
      </c>
      <c r="AH71">
        <f>IF($AL71="","",INDEX('04_調査結果'!$AK$5:$AK$404,$AL71))</f>
        <v/>
      </c>
      <c r="AI71">
        <f>IF($AL71="","",INDEX('04_調査結果'!$AH$5:$AH$404,$AL71)&amp;"")</f>
        <v/>
      </c>
      <c r="AJ71">
        <f>IF($AL71="","",INDEX('04_調査結果'!$AA$5:$AA$404,$AL71)&amp;"")</f>
        <v/>
      </c>
      <c r="AK71">
        <f>IF($AL71="","",INDEX('04_調査結果'!$AC$5:$AC$404,$AL71)&amp;"")</f>
        <v/>
      </c>
      <c r="AL71" s="34">
        <f>IFERROR(MATCH(ROW()-4,'04_調査結果'!$AZ$5:$AZ$404,0),"")</f>
        <v/>
      </c>
    </row>
    <row r="72">
      <c r="A72">
        <f>IF($AL72="","",'01_設定'!$C$36)</f>
        <v/>
      </c>
      <c r="B72">
        <f>IF($AL72="","",'01_設定'!$C$5)</f>
        <v/>
      </c>
      <c r="C72">
        <f>IF($AL72="","",'01_設定'!$C$6)</f>
        <v/>
      </c>
      <c r="D72" s="36">
        <f>IF($AL72="","",'01_設定'!$C$22)</f>
        <v/>
      </c>
      <c r="E72" s="36">
        <f>IF($AL72="","",'01_設定'!$C$23)</f>
        <v/>
      </c>
      <c r="F72">
        <f>IF($AL72="","",'01_設定'!$C$32)</f>
        <v/>
      </c>
      <c r="G72">
        <f>IF($AL72="","",ROW()-4)</f>
        <v/>
      </c>
      <c r="H72">
        <f>IF($AL72="","",INDEX('04_調査結果'!$AO$5:$AO$404,$AL72))</f>
        <v/>
      </c>
      <c r="I72">
        <f>IF($AL72="","",IFERROR(INDEX('M2_区分マスタ'!$I$5:$I$10,INDEX('04_調査結果'!$AP$5:$AP$404,$AL72)),""))</f>
        <v/>
      </c>
      <c r="J72">
        <f>IF($AL72="","",INDEX('04_調査結果'!$BE$5:$BE$404,$AL72)&amp;"")</f>
        <v/>
      </c>
      <c r="K72">
        <f>IF($AL72="","",INDEX('04_調査結果'!$F$5:$F$404,$AL72)&amp;"")</f>
        <v/>
      </c>
      <c r="L72">
        <f>IF($AL72="","",INDEX('04_調査結果'!$G$5:$G$404,$AL72)&amp;"")</f>
        <v/>
      </c>
      <c r="M72">
        <f>IF($AL72="","",INDEX('04_調査結果'!$AQ$5:$AQ$404,$AL72)&amp;"")</f>
        <v/>
      </c>
      <c r="N72">
        <f>IF($AL72="","",IFERROR(INDEX('M1_類型マスタ'!$B$5:$B$19,MATCH(M72,'M1_類型マスタ'!$A$5:$A$19,0)),""))</f>
        <v/>
      </c>
      <c r="O72">
        <f>IF($AL72="","",INDEX('04_調査結果'!$I$5:$I$404,$AL72)&amp;"")</f>
        <v/>
      </c>
      <c r="P72">
        <f>IF($AL72="","",INDEX('04_調査結果'!$J$5:$J$404,$AL72)&amp;"")</f>
        <v/>
      </c>
      <c r="Q72">
        <f>IF($AL72="","",INDEX('04_調査結果'!$K$5:$K$404,$AL72)&amp;"")</f>
        <v/>
      </c>
      <c r="R72">
        <f>IF($AL72="","",INDEX('04_調査結果'!$L$5:$L$404,$AL72)&amp;"")</f>
        <v/>
      </c>
      <c r="S72">
        <f>IF($AL72="","",INDEX('04_調査結果'!$M$5:$M$404,$AL72)&amp;"")</f>
        <v/>
      </c>
      <c r="T72" s="33">
        <f>IF($AL72="","",IF(INDEX('04_調査結果'!$AE$5:$AE$404,$AL72)&lt;&gt;"",INDEX('04_調査結果'!$AE$5:$AE$404,$AL72),INDEX('04_調査結果'!$AS$5:$AS$404,$AL72)))</f>
        <v/>
      </c>
      <c r="U72" s="33">
        <f>IF($AL72="","",IF(INDEX('04_調査結果'!$AF$5:$AF$404,$AL72)&lt;&gt;"",INDEX('04_調査結果'!$AF$5:$AF$404,$AL72),INDEX('04_調査結果'!$AT$5:$AT$404,$AL72)))</f>
        <v/>
      </c>
      <c r="V72" s="33">
        <f>IF($AL72="","",INDEX('04_調査結果'!$AI$5:$AI$404,$AL72))</f>
        <v/>
      </c>
      <c r="W72">
        <f>IF($AL72="","",INDEX('04_調査結果'!$AU$5:$AU$404,$AL72))</f>
        <v/>
      </c>
      <c r="X72" s="37">
        <f>IF($AL72="","",INDEX('04_調査結果'!$AW$5:$AW$404,$AL72))</f>
        <v/>
      </c>
      <c r="Y72" s="37">
        <f>IF($AL72="","",INDEX('04_調査結果'!$AX$5:$AX$404,$AL72))</f>
        <v/>
      </c>
      <c r="Z72">
        <f>IF($AL72="","",INDEX('04_調査結果'!$S$5:$S$404,$AL72)&amp;"")</f>
        <v/>
      </c>
      <c r="AA72">
        <f>IF($AL72="","",INDEX('04_調査結果'!$T$5:$T$404,$AL72))</f>
        <v/>
      </c>
      <c r="AB72">
        <f>IF($AL72="","",INDEX('04_調査結果'!$U$5:$U$404,$AL72))</f>
        <v/>
      </c>
      <c r="AC72">
        <f>IF($AL72="","",INDEX('04_調査結果'!$V$5:$V$404,$AL72))</f>
        <v/>
      </c>
      <c r="AD72">
        <f>IF($AL72="","",INDEX('04_調査結果'!$W$5:$W$404,$AL72))</f>
        <v/>
      </c>
      <c r="AE72">
        <f>IF($AL72="","",INDEX('04_調査結果'!$X$5:$X$404,$AL72))</f>
        <v/>
      </c>
      <c r="AF72">
        <f>IF($AL72="","",INDEX('04_調査結果'!$Y$5:$Y$404,$AL72))</f>
        <v/>
      </c>
      <c r="AG72">
        <f>IF($AL72="","",INDEX('04_調査結果'!$Z$5:$Z$404,$AL72))</f>
        <v/>
      </c>
      <c r="AH72">
        <f>IF($AL72="","",INDEX('04_調査結果'!$AK$5:$AK$404,$AL72))</f>
        <v/>
      </c>
      <c r="AI72">
        <f>IF($AL72="","",INDEX('04_調査結果'!$AH$5:$AH$404,$AL72)&amp;"")</f>
        <v/>
      </c>
      <c r="AJ72">
        <f>IF($AL72="","",INDEX('04_調査結果'!$AA$5:$AA$404,$AL72)&amp;"")</f>
        <v/>
      </c>
      <c r="AK72">
        <f>IF($AL72="","",INDEX('04_調査結果'!$AC$5:$AC$404,$AL72)&amp;"")</f>
        <v/>
      </c>
      <c r="AL72" s="34">
        <f>IFERROR(MATCH(ROW()-4,'04_調査結果'!$AZ$5:$AZ$404,0),"")</f>
        <v/>
      </c>
    </row>
    <row r="73">
      <c r="A73">
        <f>IF($AL73="","",'01_設定'!$C$36)</f>
        <v/>
      </c>
      <c r="B73">
        <f>IF($AL73="","",'01_設定'!$C$5)</f>
        <v/>
      </c>
      <c r="C73">
        <f>IF($AL73="","",'01_設定'!$C$6)</f>
        <v/>
      </c>
      <c r="D73" s="36">
        <f>IF($AL73="","",'01_設定'!$C$22)</f>
        <v/>
      </c>
      <c r="E73" s="36">
        <f>IF($AL73="","",'01_設定'!$C$23)</f>
        <v/>
      </c>
      <c r="F73">
        <f>IF($AL73="","",'01_設定'!$C$32)</f>
        <v/>
      </c>
      <c r="G73">
        <f>IF($AL73="","",ROW()-4)</f>
        <v/>
      </c>
      <c r="H73">
        <f>IF($AL73="","",INDEX('04_調査結果'!$AO$5:$AO$404,$AL73))</f>
        <v/>
      </c>
      <c r="I73">
        <f>IF($AL73="","",IFERROR(INDEX('M2_区分マスタ'!$I$5:$I$10,INDEX('04_調査結果'!$AP$5:$AP$404,$AL73)),""))</f>
        <v/>
      </c>
      <c r="J73">
        <f>IF($AL73="","",INDEX('04_調査結果'!$BE$5:$BE$404,$AL73)&amp;"")</f>
        <v/>
      </c>
      <c r="K73">
        <f>IF($AL73="","",INDEX('04_調査結果'!$F$5:$F$404,$AL73)&amp;"")</f>
        <v/>
      </c>
      <c r="L73">
        <f>IF($AL73="","",INDEX('04_調査結果'!$G$5:$G$404,$AL73)&amp;"")</f>
        <v/>
      </c>
      <c r="M73">
        <f>IF($AL73="","",INDEX('04_調査結果'!$AQ$5:$AQ$404,$AL73)&amp;"")</f>
        <v/>
      </c>
      <c r="N73">
        <f>IF($AL73="","",IFERROR(INDEX('M1_類型マスタ'!$B$5:$B$19,MATCH(M73,'M1_類型マスタ'!$A$5:$A$19,0)),""))</f>
        <v/>
      </c>
      <c r="O73">
        <f>IF($AL73="","",INDEX('04_調査結果'!$I$5:$I$404,$AL73)&amp;"")</f>
        <v/>
      </c>
      <c r="P73">
        <f>IF($AL73="","",INDEX('04_調査結果'!$J$5:$J$404,$AL73)&amp;"")</f>
        <v/>
      </c>
      <c r="Q73">
        <f>IF($AL73="","",INDEX('04_調査結果'!$K$5:$K$404,$AL73)&amp;"")</f>
        <v/>
      </c>
      <c r="R73">
        <f>IF($AL73="","",INDEX('04_調査結果'!$L$5:$L$404,$AL73)&amp;"")</f>
        <v/>
      </c>
      <c r="S73">
        <f>IF($AL73="","",INDEX('04_調査結果'!$M$5:$M$404,$AL73)&amp;"")</f>
        <v/>
      </c>
      <c r="T73" s="33">
        <f>IF($AL73="","",IF(INDEX('04_調査結果'!$AE$5:$AE$404,$AL73)&lt;&gt;"",INDEX('04_調査結果'!$AE$5:$AE$404,$AL73),INDEX('04_調査結果'!$AS$5:$AS$404,$AL73)))</f>
        <v/>
      </c>
      <c r="U73" s="33">
        <f>IF($AL73="","",IF(INDEX('04_調査結果'!$AF$5:$AF$404,$AL73)&lt;&gt;"",INDEX('04_調査結果'!$AF$5:$AF$404,$AL73),INDEX('04_調査結果'!$AT$5:$AT$404,$AL73)))</f>
        <v/>
      </c>
      <c r="V73" s="33">
        <f>IF($AL73="","",INDEX('04_調査結果'!$AI$5:$AI$404,$AL73))</f>
        <v/>
      </c>
      <c r="W73">
        <f>IF($AL73="","",INDEX('04_調査結果'!$AU$5:$AU$404,$AL73))</f>
        <v/>
      </c>
      <c r="X73" s="37">
        <f>IF($AL73="","",INDEX('04_調査結果'!$AW$5:$AW$404,$AL73))</f>
        <v/>
      </c>
      <c r="Y73" s="37">
        <f>IF($AL73="","",INDEX('04_調査結果'!$AX$5:$AX$404,$AL73))</f>
        <v/>
      </c>
      <c r="Z73">
        <f>IF($AL73="","",INDEX('04_調査結果'!$S$5:$S$404,$AL73)&amp;"")</f>
        <v/>
      </c>
      <c r="AA73">
        <f>IF($AL73="","",INDEX('04_調査結果'!$T$5:$T$404,$AL73))</f>
        <v/>
      </c>
      <c r="AB73">
        <f>IF($AL73="","",INDEX('04_調査結果'!$U$5:$U$404,$AL73))</f>
        <v/>
      </c>
      <c r="AC73">
        <f>IF($AL73="","",INDEX('04_調査結果'!$V$5:$V$404,$AL73))</f>
        <v/>
      </c>
      <c r="AD73">
        <f>IF($AL73="","",INDEX('04_調査結果'!$W$5:$W$404,$AL73))</f>
        <v/>
      </c>
      <c r="AE73">
        <f>IF($AL73="","",INDEX('04_調査結果'!$X$5:$X$404,$AL73))</f>
        <v/>
      </c>
      <c r="AF73">
        <f>IF($AL73="","",INDEX('04_調査結果'!$Y$5:$Y$404,$AL73))</f>
        <v/>
      </c>
      <c r="AG73">
        <f>IF($AL73="","",INDEX('04_調査結果'!$Z$5:$Z$404,$AL73))</f>
        <v/>
      </c>
      <c r="AH73">
        <f>IF($AL73="","",INDEX('04_調査結果'!$AK$5:$AK$404,$AL73))</f>
        <v/>
      </c>
      <c r="AI73">
        <f>IF($AL73="","",INDEX('04_調査結果'!$AH$5:$AH$404,$AL73)&amp;"")</f>
        <v/>
      </c>
      <c r="AJ73">
        <f>IF($AL73="","",INDEX('04_調査結果'!$AA$5:$AA$404,$AL73)&amp;"")</f>
        <v/>
      </c>
      <c r="AK73">
        <f>IF($AL73="","",INDEX('04_調査結果'!$AC$5:$AC$404,$AL73)&amp;"")</f>
        <v/>
      </c>
      <c r="AL73" s="34">
        <f>IFERROR(MATCH(ROW()-4,'04_調査結果'!$AZ$5:$AZ$404,0),"")</f>
        <v/>
      </c>
    </row>
    <row r="74">
      <c r="A74">
        <f>IF($AL74="","",'01_設定'!$C$36)</f>
        <v/>
      </c>
      <c r="B74">
        <f>IF($AL74="","",'01_設定'!$C$5)</f>
        <v/>
      </c>
      <c r="C74">
        <f>IF($AL74="","",'01_設定'!$C$6)</f>
        <v/>
      </c>
      <c r="D74" s="36">
        <f>IF($AL74="","",'01_設定'!$C$22)</f>
        <v/>
      </c>
      <c r="E74" s="36">
        <f>IF($AL74="","",'01_設定'!$C$23)</f>
        <v/>
      </c>
      <c r="F74">
        <f>IF($AL74="","",'01_設定'!$C$32)</f>
        <v/>
      </c>
      <c r="G74">
        <f>IF($AL74="","",ROW()-4)</f>
        <v/>
      </c>
      <c r="H74">
        <f>IF($AL74="","",INDEX('04_調査結果'!$AO$5:$AO$404,$AL74))</f>
        <v/>
      </c>
      <c r="I74">
        <f>IF($AL74="","",IFERROR(INDEX('M2_区分マスタ'!$I$5:$I$10,INDEX('04_調査結果'!$AP$5:$AP$404,$AL74)),""))</f>
        <v/>
      </c>
      <c r="J74">
        <f>IF($AL74="","",INDEX('04_調査結果'!$BE$5:$BE$404,$AL74)&amp;"")</f>
        <v/>
      </c>
      <c r="K74">
        <f>IF($AL74="","",INDEX('04_調査結果'!$F$5:$F$404,$AL74)&amp;"")</f>
        <v/>
      </c>
      <c r="L74">
        <f>IF($AL74="","",INDEX('04_調査結果'!$G$5:$G$404,$AL74)&amp;"")</f>
        <v/>
      </c>
      <c r="M74">
        <f>IF($AL74="","",INDEX('04_調査結果'!$AQ$5:$AQ$404,$AL74)&amp;"")</f>
        <v/>
      </c>
      <c r="N74">
        <f>IF($AL74="","",IFERROR(INDEX('M1_類型マスタ'!$B$5:$B$19,MATCH(M74,'M1_類型マスタ'!$A$5:$A$19,0)),""))</f>
        <v/>
      </c>
      <c r="O74">
        <f>IF($AL74="","",INDEX('04_調査結果'!$I$5:$I$404,$AL74)&amp;"")</f>
        <v/>
      </c>
      <c r="P74">
        <f>IF($AL74="","",INDEX('04_調査結果'!$J$5:$J$404,$AL74)&amp;"")</f>
        <v/>
      </c>
      <c r="Q74">
        <f>IF($AL74="","",INDEX('04_調査結果'!$K$5:$K$404,$AL74)&amp;"")</f>
        <v/>
      </c>
      <c r="R74">
        <f>IF($AL74="","",INDEX('04_調査結果'!$L$5:$L$404,$AL74)&amp;"")</f>
        <v/>
      </c>
      <c r="S74">
        <f>IF($AL74="","",INDEX('04_調査結果'!$M$5:$M$404,$AL74)&amp;"")</f>
        <v/>
      </c>
      <c r="T74" s="33">
        <f>IF($AL74="","",IF(INDEX('04_調査結果'!$AE$5:$AE$404,$AL74)&lt;&gt;"",INDEX('04_調査結果'!$AE$5:$AE$404,$AL74),INDEX('04_調査結果'!$AS$5:$AS$404,$AL74)))</f>
        <v/>
      </c>
      <c r="U74" s="33">
        <f>IF($AL74="","",IF(INDEX('04_調査結果'!$AF$5:$AF$404,$AL74)&lt;&gt;"",INDEX('04_調査結果'!$AF$5:$AF$404,$AL74),INDEX('04_調査結果'!$AT$5:$AT$404,$AL74)))</f>
        <v/>
      </c>
      <c r="V74" s="33">
        <f>IF($AL74="","",INDEX('04_調査結果'!$AI$5:$AI$404,$AL74))</f>
        <v/>
      </c>
      <c r="W74">
        <f>IF($AL74="","",INDEX('04_調査結果'!$AU$5:$AU$404,$AL74))</f>
        <v/>
      </c>
      <c r="X74" s="37">
        <f>IF($AL74="","",INDEX('04_調査結果'!$AW$5:$AW$404,$AL74))</f>
        <v/>
      </c>
      <c r="Y74" s="37">
        <f>IF($AL74="","",INDEX('04_調査結果'!$AX$5:$AX$404,$AL74))</f>
        <v/>
      </c>
      <c r="Z74">
        <f>IF($AL74="","",INDEX('04_調査結果'!$S$5:$S$404,$AL74)&amp;"")</f>
        <v/>
      </c>
      <c r="AA74">
        <f>IF($AL74="","",INDEX('04_調査結果'!$T$5:$T$404,$AL74))</f>
        <v/>
      </c>
      <c r="AB74">
        <f>IF($AL74="","",INDEX('04_調査結果'!$U$5:$U$404,$AL74))</f>
        <v/>
      </c>
      <c r="AC74">
        <f>IF($AL74="","",INDEX('04_調査結果'!$V$5:$V$404,$AL74))</f>
        <v/>
      </c>
      <c r="AD74">
        <f>IF($AL74="","",INDEX('04_調査結果'!$W$5:$W$404,$AL74))</f>
        <v/>
      </c>
      <c r="AE74">
        <f>IF($AL74="","",INDEX('04_調査結果'!$X$5:$X$404,$AL74))</f>
        <v/>
      </c>
      <c r="AF74">
        <f>IF($AL74="","",INDEX('04_調査結果'!$Y$5:$Y$404,$AL74))</f>
        <v/>
      </c>
      <c r="AG74">
        <f>IF($AL74="","",INDEX('04_調査結果'!$Z$5:$Z$404,$AL74))</f>
        <v/>
      </c>
      <c r="AH74">
        <f>IF($AL74="","",INDEX('04_調査結果'!$AK$5:$AK$404,$AL74))</f>
        <v/>
      </c>
      <c r="AI74">
        <f>IF($AL74="","",INDEX('04_調査結果'!$AH$5:$AH$404,$AL74)&amp;"")</f>
        <v/>
      </c>
      <c r="AJ74">
        <f>IF($AL74="","",INDEX('04_調査結果'!$AA$5:$AA$404,$AL74)&amp;"")</f>
        <v/>
      </c>
      <c r="AK74">
        <f>IF($AL74="","",INDEX('04_調査結果'!$AC$5:$AC$404,$AL74)&amp;"")</f>
        <v/>
      </c>
      <c r="AL74" s="34">
        <f>IFERROR(MATCH(ROW()-4,'04_調査結果'!$AZ$5:$AZ$404,0),"")</f>
        <v/>
      </c>
    </row>
    <row r="75">
      <c r="A75">
        <f>IF($AL75="","",'01_設定'!$C$36)</f>
        <v/>
      </c>
      <c r="B75">
        <f>IF($AL75="","",'01_設定'!$C$5)</f>
        <v/>
      </c>
      <c r="C75">
        <f>IF($AL75="","",'01_設定'!$C$6)</f>
        <v/>
      </c>
      <c r="D75" s="36">
        <f>IF($AL75="","",'01_設定'!$C$22)</f>
        <v/>
      </c>
      <c r="E75" s="36">
        <f>IF($AL75="","",'01_設定'!$C$23)</f>
        <v/>
      </c>
      <c r="F75">
        <f>IF($AL75="","",'01_設定'!$C$32)</f>
        <v/>
      </c>
      <c r="G75">
        <f>IF($AL75="","",ROW()-4)</f>
        <v/>
      </c>
      <c r="H75">
        <f>IF($AL75="","",INDEX('04_調査結果'!$AO$5:$AO$404,$AL75))</f>
        <v/>
      </c>
      <c r="I75">
        <f>IF($AL75="","",IFERROR(INDEX('M2_区分マスタ'!$I$5:$I$10,INDEX('04_調査結果'!$AP$5:$AP$404,$AL75)),""))</f>
        <v/>
      </c>
      <c r="J75">
        <f>IF($AL75="","",INDEX('04_調査結果'!$BE$5:$BE$404,$AL75)&amp;"")</f>
        <v/>
      </c>
      <c r="K75">
        <f>IF($AL75="","",INDEX('04_調査結果'!$F$5:$F$404,$AL75)&amp;"")</f>
        <v/>
      </c>
      <c r="L75">
        <f>IF($AL75="","",INDEX('04_調査結果'!$G$5:$G$404,$AL75)&amp;"")</f>
        <v/>
      </c>
      <c r="M75">
        <f>IF($AL75="","",INDEX('04_調査結果'!$AQ$5:$AQ$404,$AL75)&amp;"")</f>
        <v/>
      </c>
      <c r="N75">
        <f>IF($AL75="","",IFERROR(INDEX('M1_類型マスタ'!$B$5:$B$19,MATCH(M75,'M1_類型マスタ'!$A$5:$A$19,0)),""))</f>
        <v/>
      </c>
      <c r="O75">
        <f>IF($AL75="","",INDEX('04_調査結果'!$I$5:$I$404,$AL75)&amp;"")</f>
        <v/>
      </c>
      <c r="P75">
        <f>IF($AL75="","",INDEX('04_調査結果'!$J$5:$J$404,$AL75)&amp;"")</f>
        <v/>
      </c>
      <c r="Q75">
        <f>IF($AL75="","",INDEX('04_調査結果'!$K$5:$K$404,$AL75)&amp;"")</f>
        <v/>
      </c>
      <c r="R75">
        <f>IF($AL75="","",INDEX('04_調査結果'!$L$5:$L$404,$AL75)&amp;"")</f>
        <v/>
      </c>
      <c r="S75">
        <f>IF($AL75="","",INDEX('04_調査結果'!$M$5:$M$404,$AL75)&amp;"")</f>
        <v/>
      </c>
      <c r="T75" s="33">
        <f>IF($AL75="","",IF(INDEX('04_調査結果'!$AE$5:$AE$404,$AL75)&lt;&gt;"",INDEX('04_調査結果'!$AE$5:$AE$404,$AL75),INDEX('04_調査結果'!$AS$5:$AS$404,$AL75)))</f>
        <v/>
      </c>
      <c r="U75" s="33">
        <f>IF($AL75="","",IF(INDEX('04_調査結果'!$AF$5:$AF$404,$AL75)&lt;&gt;"",INDEX('04_調査結果'!$AF$5:$AF$404,$AL75),INDEX('04_調査結果'!$AT$5:$AT$404,$AL75)))</f>
        <v/>
      </c>
      <c r="V75" s="33">
        <f>IF($AL75="","",INDEX('04_調査結果'!$AI$5:$AI$404,$AL75))</f>
        <v/>
      </c>
      <c r="W75">
        <f>IF($AL75="","",INDEX('04_調査結果'!$AU$5:$AU$404,$AL75))</f>
        <v/>
      </c>
      <c r="X75" s="37">
        <f>IF($AL75="","",INDEX('04_調査結果'!$AW$5:$AW$404,$AL75))</f>
        <v/>
      </c>
      <c r="Y75" s="37">
        <f>IF($AL75="","",INDEX('04_調査結果'!$AX$5:$AX$404,$AL75))</f>
        <v/>
      </c>
      <c r="Z75">
        <f>IF($AL75="","",INDEX('04_調査結果'!$S$5:$S$404,$AL75)&amp;"")</f>
        <v/>
      </c>
      <c r="AA75">
        <f>IF($AL75="","",INDEX('04_調査結果'!$T$5:$T$404,$AL75))</f>
        <v/>
      </c>
      <c r="AB75">
        <f>IF($AL75="","",INDEX('04_調査結果'!$U$5:$U$404,$AL75))</f>
        <v/>
      </c>
      <c r="AC75">
        <f>IF($AL75="","",INDEX('04_調査結果'!$V$5:$V$404,$AL75))</f>
        <v/>
      </c>
      <c r="AD75">
        <f>IF($AL75="","",INDEX('04_調査結果'!$W$5:$W$404,$AL75))</f>
        <v/>
      </c>
      <c r="AE75">
        <f>IF($AL75="","",INDEX('04_調査結果'!$X$5:$X$404,$AL75))</f>
        <v/>
      </c>
      <c r="AF75">
        <f>IF($AL75="","",INDEX('04_調査結果'!$Y$5:$Y$404,$AL75))</f>
        <v/>
      </c>
      <c r="AG75">
        <f>IF($AL75="","",INDEX('04_調査結果'!$Z$5:$Z$404,$AL75))</f>
        <v/>
      </c>
      <c r="AH75">
        <f>IF($AL75="","",INDEX('04_調査結果'!$AK$5:$AK$404,$AL75))</f>
        <v/>
      </c>
      <c r="AI75">
        <f>IF($AL75="","",INDEX('04_調査結果'!$AH$5:$AH$404,$AL75)&amp;"")</f>
        <v/>
      </c>
      <c r="AJ75">
        <f>IF($AL75="","",INDEX('04_調査結果'!$AA$5:$AA$404,$AL75)&amp;"")</f>
        <v/>
      </c>
      <c r="AK75">
        <f>IF($AL75="","",INDEX('04_調査結果'!$AC$5:$AC$404,$AL75)&amp;"")</f>
        <v/>
      </c>
      <c r="AL75" s="34">
        <f>IFERROR(MATCH(ROW()-4,'04_調査結果'!$AZ$5:$AZ$404,0),"")</f>
        <v/>
      </c>
    </row>
    <row r="76">
      <c r="A76">
        <f>IF($AL76="","",'01_設定'!$C$36)</f>
        <v/>
      </c>
      <c r="B76">
        <f>IF($AL76="","",'01_設定'!$C$5)</f>
        <v/>
      </c>
      <c r="C76">
        <f>IF($AL76="","",'01_設定'!$C$6)</f>
        <v/>
      </c>
      <c r="D76" s="36">
        <f>IF($AL76="","",'01_設定'!$C$22)</f>
        <v/>
      </c>
      <c r="E76" s="36">
        <f>IF($AL76="","",'01_設定'!$C$23)</f>
        <v/>
      </c>
      <c r="F76">
        <f>IF($AL76="","",'01_設定'!$C$32)</f>
        <v/>
      </c>
      <c r="G76">
        <f>IF($AL76="","",ROW()-4)</f>
        <v/>
      </c>
      <c r="H76">
        <f>IF($AL76="","",INDEX('04_調査結果'!$AO$5:$AO$404,$AL76))</f>
        <v/>
      </c>
      <c r="I76">
        <f>IF($AL76="","",IFERROR(INDEX('M2_区分マスタ'!$I$5:$I$10,INDEX('04_調査結果'!$AP$5:$AP$404,$AL76)),""))</f>
        <v/>
      </c>
      <c r="J76">
        <f>IF($AL76="","",INDEX('04_調査結果'!$BE$5:$BE$404,$AL76)&amp;"")</f>
        <v/>
      </c>
      <c r="K76">
        <f>IF($AL76="","",INDEX('04_調査結果'!$F$5:$F$404,$AL76)&amp;"")</f>
        <v/>
      </c>
      <c r="L76">
        <f>IF($AL76="","",INDEX('04_調査結果'!$G$5:$G$404,$AL76)&amp;"")</f>
        <v/>
      </c>
      <c r="M76">
        <f>IF($AL76="","",INDEX('04_調査結果'!$AQ$5:$AQ$404,$AL76)&amp;"")</f>
        <v/>
      </c>
      <c r="N76">
        <f>IF($AL76="","",IFERROR(INDEX('M1_類型マスタ'!$B$5:$B$19,MATCH(M76,'M1_類型マスタ'!$A$5:$A$19,0)),""))</f>
        <v/>
      </c>
      <c r="O76">
        <f>IF($AL76="","",INDEX('04_調査結果'!$I$5:$I$404,$AL76)&amp;"")</f>
        <v/>
      </c>
      <c r="P76">
        <f>IF($AL76="","",INDEX('04_調査結果'!$J$5:$J$404,$AL76)&amp;"")</f>
        <v/>
      </c>
      <c r="Q76">
        <f>IF($AL76="","",INDEX('04_調査結果'!$K$5:$K$404,$AL76)&amp;"")</f>
        <v/>
      </c>
      <c r="R76">
        <f>IF($AL76="","",INDEX('04_調査結果'!$L$5:$L$404,$AL76)&amp;"")</f>
        <v/>
      </c>
      <c r="S76">
        <f>IF($AL76="","",INDEX('04_調査結果'!$M$5:$M$404,$AL76)&amp;"")</f>
        <v/>
      </c>
      <c r="T76" s="33">
        <f>IF($AL76="","",IF(INDEX('04_調査結果'!$AE$5:$AE$404,$AL76)&lt;&gt;"",INDEX('04_調査結果'!$AE$5:$AE$404,$AL76),INDEX('04_調査結果'!$AS$5:$AS$404,$AL76)))</f>
        <v/>
      </c>
      <c r="U76" s="33">
        <f>IF($AL76="","",IF(INDEX('04_調査結果'!$AF$5:$AF$404,$AL76)&lt;&gt;"",INDEX('04_調査結果'!$AF$5:$AF$404,$AL76),INDEX('04_調査結果'!$AT$5:$AT$404,$AL76)))</f>
        <v/>
      </c>
      <c r="V76" s="33">
        <f>IF($AL76="","",INDEX('04_調査結果'!$AI$5:$AI$404,$AL76))</f>
        <v/>
      </c>
      <c r="W76">
        <f>IF($AL76="","",INDEX('04_調査結果'!$AU$5:$AU$404,$AL76))</f>
        <v/>
      </c>
      <c r="X76" s="37">
        <f>IF($AL76="","",INDEX('04_調査結果'!$AW$5:$AW$404,$AL76))</f>
        <v/>
      </c>
      <c r="Y76" s="37">
        <f>IF($AL76="","",INDEX('04_調査結果'!$AX$5:$AX$404,$AL76))</f>
        <v/>
      </c>
      <c r="Z76">
        <f>IF($AL76="","",INDEX('04_調査結果'!$S$5:$S$404,$AL76)&amp;"")</f>
        <v/>
      </c>
      <c r="AA76">
        <f>IF($AL76="","",INDEX('04_調査結果'!$T$5:$T$404,$AL76))</f>
        <v/>
      </c>
      <c r="AB76">
        <f>IF($AL76="","",INDEX('04_調査結果'!$U$5:$U$404,$AL76))</f>
        <v/>
      </c>
      <c r="AC76">
        <f>IF($AL76="","",INDEX('04_調査結果'!$V$5:$V$404,$AL76))</f>
        <v/>
      </c>
      <c r="AD76">
        <f>IF($AL76="","",INDEX('04_調査結果'!$W$5:$W$404,$AL76))</f>
        <v/>
      </c>
      <c r="AE76">
        <f>IF($AL76="","",INDEX('04_調査結果'!$X$5:$X$404,$AL76))</f>
        <v/>
      </c>
      <c r="AF76">
        <f>IF($AL76="","",INDEX('04_調査結果'!$Y$5:$Y$404,$AL76))</f>
        <v/>
      </c>
      <c r="AG76">
        <f>IF($AL76="","",INDEX('04_調査結果'!$Z$5:$Z$404,$AL76))</f>
        <v/>
      </c>
      <c r="AH76">
        <f>IF($AL76="","",INDEX('04_調査結果'!$AK$5:$AK$404,$AL76))</f>
        <v/>
      </c>
      <c r="AI76">
        <f>IF($AL76="","",INDEX('04_調査結果'!$AH$5:$AH$404,$AL76)&amp;"")</f>
        <v/>
      </c>
      <c r="AJ76">
        <f>IF($AL76="","",INDEX('04_調査結果'!$AA$5:$AA$404,$AL76)&amp;"")</f>
        <v/>
      </c>
      <c r="AK76">
        <f>IF($AL76="","",INDEX('04_調査結果'!$AC$5:$AC$404,$AL76)&amp;"")</f>
        <v/>
      </c>
      <c r="AL76" s="34">
        <f>IFERROR(MATCH(ROW()-4,'04_調査結果'!$AZ$5:$AZ$404,0),"")</f>
        <v/>
      </c>
    </row>
    <row r="77">
      <c r="A77">
        <f>IF($AL77="","",'01_設定'!$C$36)</f>
        <v/>
      </c>
      <c r="B77">
        <f>IF($AL77="","",'01_設定'!$C$5)</f>
        <v/>
      </c>
      <c r="C77">
        <f>IF($AL77="","",'01_設定'!$C$6)</f>
        <v/>
      </c>
      <c r="D77" s="36">
        <f>IF($AL77="","",'01_設定'!$C$22)</f>
        <v/>
      </c>
      <c r="E77" s="36">
        <f>IF($AL77="","",'01_設定'!$C$23)</f>
        <v/>
      </c>
      <c r="F77">
        <f>IF($AL77="","",'01_設定'!$C$32)</f>
        <v/>
      </c>
      <c r="G77">
        <f>IF($AL77="","",ROW()-4)</f>
        <v/>
      </c>
      <c r="H77">
        <f>IF($AL77="","",INDEX('04_調査結果'!$AO$5:$AO$404,$AL77))</f>
        <v/>
      </c>
      <c r="I77">
        <f>IF($AL77="","",IFERROR(INDEX('M2_区分マスタ'!$I$5:$I$10,INDEX('04_調査結果'!$AP$5:$AP$404,$AL77)),""))</f>
        <v/>
      </c>
      <c r="J77">
        <f>IF($AL77="","",INDEX('04_調査結果'!$BE$5:$BE$404,$AL77)&amp;"")</f>
        <v/>
      </c>
      <c r="K77">
        <f>IF($AL77="","",INDEX('04_調査結果'!$F$5:$F$404,$AL77)&amp;"")</f>
        <v/>
      </c>
      <c r="L77">
        <f>IF($AL77="","",INDEX('04_調査結果'!$G$5:$G$404,$AL77)&amp;"")</f>
        <v/>
      </c>
      <c r="M77">
        <f>IF($AL77="","",INDEX('04_調査結果'!$AQ$5:$AQ$404,$AL77)&amp;"")</f>
        <v/>
      </c>
      <c r="N77">
        <f>IF($AL77="","",IFERROR(INDEX('M1_類型マスタ'!$B$5:$B$19,MATCH(M77,'M1_類型マスタ'!$A$5:$A$19,0)),""))</f>
        <v/>
      </c>
      <c r="O77">
        <f>IF($AL77="","",INDEX('04_調査結果'!$I$5:$I$404,$AL77)&amp;"")</f>
        <v/>
      </c>
      <c r="P77">
        <f>IF($AL77="","",INDEX('04_調査結果'!$J$5:$J$404,$AL77)&amp;"")</f>
        <v/>
      </c>
      <c r="Q77">
        <f>IF($AL77="","",INDEX('04_調査結果'!$K$5:$K$404,$AL77)&amp;"")</f>
        <v/>
      </c>
      <c r="R77">
        <f>IF($AL77="","",INDEX('04_調査結果'!$L$5:$L$404,$AL77)&amp;"")</f>
        <v/>
      </c>
      <c r="S77">
        <f>IF($AL77="","",INDEX('04_調査結果'!$M$5:$M$404,$AL77)&amp;"")</f>
        <v/>
      </c>
      <c r="T77" s="33">
        <f>IF($AL77="","",IF(INDEX('04_調査結果'!$AE$5:$AE$404,$AL77)&lt;&gt;"",INDEX('04_調査結果'!$AE$5:$AE$404,$AL77),INDEX('04_調査結果'!$AS$5:$AS$404,$AL77)))</f>
        <v/>
      </c>
      <c r="U77" s="33">
        <f>IF($AL77="","",IF(INDEX('04_調査結果'!$AF$5:$AF$404,$AL77)&lt;&gt;"",INDEX('04_調査結果'!$AF$5:$AF$404,$AL77),INDEX('04_調査結果'!$AT$5:$AT$404,$AL77)))</f>
        <v/>
      </c>
      <c r="V77" s="33">
        <f>IF($AL77="","",INDEX('04_調査結果'!$AI$5:$AI$404,$AL77))</f>
        <v/>
      </c>
      <c r="W77">
        <f>IF($AL77="","",INDEX('04_調査結果'!$AU$5:$AU$404,$AL77))</f>
        <v/>
      </c>
      <c r="X77" s="37">
        <f>IF($AL77="","",INDEX('04_調査結果'!$AW$5:$AW$404,$AL77))</f>
        <v/>
      </c>
      <c r="Y77" s="37">
        <f>IF($AL77="","",INDEX('04_調査結果'!$AX$5:$AX$404,$AL77))</f>
        <v/>
      </c>
      <c r="Z77">
        <f>IF($AL77="","",INDEX('04_調査結果'!$S$5:$S$404,$AL77)&amp;"")</f>
        <v/>
      </c>
      <c r="AA77">
        <f>IF($AL77="","",INDEX('04_調査結果'!$T$5:$T$404,$AL77))</f>
        <v/>
      </c>
      <c r="AB77">
        <f>IF($AL77="","",INDEX('04_調査結果'!$U$5:$U$404,$AL77))</f>
        <v/>
      </c>
      <c r="AC77">
        <f>IF($AL77="","",INDEX('04_調査結果'!$V$5:$V$404,$AL77))</f>
        <v/>
      </c>
      <c r="AD77">
        <f>IF($AL77="","",INDEX('04_調査結果'!$W$5:$W$404,$AL77))</f>
        <v/>
      </c>
      <c r="AE77">
        <f>IF($AL77="","",INDEX('04_調査結果'!$X$5:$X$404,$AL77))</f>
        <v/>
      </c>
      <c r="AF77">
        <f>IF($AL77="","",INDEX('04_調査結果'!$Y$5:$Y$404,$AL77))</f>
        <v/>
      </c>
      <c r="AG77">
        <f>IF($AL77="","",INDEX('04_調査結果'!$Z$5:$Z$404,$AL77))</f>
        <v/>
      </c>
      <c r="AH77">
        <f>IF($AL77="","",INDEX('04_調査結果'!$AK$5:$AK$404,$AL77))</f>
        <v/>
      </c>
      <c r="AI77">
        <f>IF($AL77="","",INDEX('04_調査結果'!$AH$5:$AH$404,$AL77)&amp;"")</f>
        <v/>
      </c>
      <c r="AJ77">
        <f>IF($AL77="","",INDEX('04_調査結果'!$AA$5:$AA$404,$AL77)&amp;"")</f>
        <v/>
      </c>
      <c r="AK77">
        <f>IF($AL77="","",INDEX('04_調査結果'!$AC$5:$AC$404,$AL77)&amp;"")</f>
        <v/>
      </c>
      <c r="AL77" s="34">
        <f>IFERROR(MATCH(ROW()-4,'04_調査結果'!$AZ$5:$AZ$404,0),"")</f>
        <v/>
      </c>
    </row>
    <row r="78">
      <c r="A78">
        <f>IF($AL78="","",'01_設定'!$C$36)</f>
        <v/>
      </c>
      <c r="B78">
        <f>IF($AL78="","",'01_設定'!$C$5)</f>
        <v/>
      </c>
      <c r="C78">
        <f>IF($AL78="","",'01_設定'!$C$6)</f>
        <v/>
      </c>
      <c r="D78" s="36">
        <f>IF($AL78="","",'01_設定'!$C$22)</f>
        <v/>
      </c>
      <c r="E78" s="36">
        <f>IF($AL78="","",'01_設定'!$C$23)</f>
        <v/>
      </c>
      <c r="F78">
        <f>IF($AL78="","",'01_設定'!$C$32)</f>
        <v/>
      </c>
      <c r="G78">
        <f>IF($AL78="","",ROW()-4)</f>
        <v/>
      </c>
      <c r="H78">
        <f>IF($AL78="","",INDEX('04_調査結果'!$AO$5:$AO$404,$AL78))</f>
        <v/>
      </c>
      <c r="I78">
        <f>IF($AL78="","",IFERROR(INDEX('M2_区分マスタ'!$I$5:$I$10,INDEX('04_調査結果'!$AP$5:$AP$404,$AL78)),""))</f>
        <v/>
      </c>
      <c r="J78">
        <f>IF($AL78="","",INDEX('04_調査結果'!$BE$5:$BE$404,$AL78)&amp;"")</f>
        <v/>
      </c>
      <c r="K78">
        <f>IF($AL78="","",INDEX('04_調査結果'!$F$5:$F$404,$AL78)&amp;"")</f>
        <v/>
      </c>
      <c r="L78">
        <f>IF($AL78="","",INDEX('04_調査結果'!$G$5:$G$404,$AL78)&amp;"")</f>
        <v/>
      </c>
      <c r="M78">
        <f>IF($AL78="","",INDEX('04_調査結果'!$AQ$5:$AQ$404,$AL78)&amp;"")</f>
        <v/>
      </c>
      <c r="N78">
        <f>IF($AL78="","",IFERROR(INDEX('M1_類型マスタ'!$B$5:$B$19,MATCH(M78,'M1_類型マスタ'!$A$5:$A$19,0)),""))</f>
        <v/>
      </c>
      <c r="O78">
        <f>IF($AL78="","",INDEX('04_調査結果'!$I$5:$I$404,$AL78)&amp;"")</f>
        <v/>
      </c>
      <c r="P78">
        <f>IF($AL78="","",INDEX('04_調査結果'!$J$5:$J$404,$AL78)&amp;"")</f>
        <v/>
      </c>
      <c r="Q78">
        <f>IF($AL78="","",INDEX('04_調査結果'!$K$5:$K$404,$AL78)&amp;"")</f>
        <v/>
      </c>
      <c r="R78">
        <f>IF($AL78="","",INDEX('04_調査結果'!$L$5:$L$404,$AL78)&amp;"")</f>
        <v/>
      </c>
      <c r="S78">
        <f>IF($AL78="","",INDEX('04_調査結果'!$M$5:$M$404,$AL78)&amp;"")</f>
        <v/>
      </c>
      <c r="T78" s="33">
        <f>IF($AL78="","",IF(INDEX('04_調査結果'!$AE$5:$AE$404,$AL78)&lt;&gt;"",INDEX('04_調査結果'!$AE$5:$AE$404,$AL78),INDEX('04_調査結果'!$AS$5:$AS$404,$AL78)))</f>
        <v/>
      </c>
      <c r="U78" s="33">
        <f>IF($AL78="","",IF(INDEX('04_調査結果'!$AF$5:$AF$404,$AL78)&lt;&gt;"",INDEX('04_調査結果'!$AF$5:$AF$404,$AL78),INDEX('04_調査結果'!$AT$5:$AT$404,$AL78)))</f>
        <v/>
      </c>
      <c r="V78" s="33">
        <f>IF($AL78="","",INDEX('04_調査結果'!$AI$5:$AI$404,$AL78))</f>
        <v/>
      </c>
      <c r="W78">
        <f>IF($AL78="","",INDEX('04_調査結果'!$AU$5:$AU$404,$AL78))</f>
        <v/>
      </c>
      <c r="X78" s="37">
        <f>IF($AL78="","",INDEX('04_調査結果'!$AW$5:$AW$404,$AL78))</f>
        <v/>
      </c>
      <c r="Y78" s="37">
        <f>IF($AL78="","",INDEX('04_調査結果'!$AX$5:$AX$404,$AL78))</f>
        <v/>
      </c>
      <c r="Z78">
        <f>IF($AL78="","",INDEX('04_調査結果'!$S$5:$S$404,$AL78)&amp;"")</f>
        <v/>
      </c>
      <c r="AA78">
        <f>IF($AL78="","",INDEX('04_調査結果'!$T$5:$T$404,$AL78))</f>
        <v/>
      </c>
      <c r="AB78">
        <f>IF($AL78="","",INDEX('04_調査結果'!$U$5:$U$404,$AL78))</f>
        <v/>
      </c>
      <c r="AC78">
        <f>IF($AL78="","",INDEX('04_調査結果'!$V$5:$V$404,$AL78))</f>
        <v/>
      </c>
      <c r="AD78">
        <f>IF($AL78="","",INDEX('04_調査結果'!$W$5:$W$404,$AL78))</f>
        <v/>
      </c>
      <c r="AE78">
        <f>IF($AL78="","",INDEX('04_調査結果'!$X$5:$X$404,$AL78))</f>
        <v/>
      </c>
      <c r="AF78">
        <f>IF($AL78="","",INDEX('04_調査結果'!$Y$5:$Y$404,$AL78))</f>
        <v/>
      </c>
      <c r="AG78">
        <f>IF($AL78="","",INDEX('04_調査結果'!$Z$5:$Z$404,$AL78))</f>
        <v/>
      </c>
      <c r="AH78">
        <f>IF($AL78="","",INDEX('04_調査結果'!$AK$5:$AK$404,$AL78))</f>
        <v/>
      </c>
      <c r="AI78">
        <f>IF($AL78="","",INDEX('04_調査結果'!$AH$5:$AH$404,$AL78)&amp;"")</f>
        <v/>
      </c>
      <c r="AJ78">
        <f>IF($AL78="","",INDEX('04_調査結果'!$AA$5:$AA$404,$AL78)&amp;"")</f>
        <v/>
      </c>
      <c r="AK78">
        <f>IF($AL78="","",INDEX('04_調査結果'!$AC$5:$AC$404,$AL78)&amp;"")</f>
        <v/>
      </c>
      <c r="AL78" s="34">
        <f>IFERROR(MATCH(ROW()-4,'04_調査結果'!$AZ$5:$AZ$404,0),"")</f>
        <v/>
      </c>
    </row>
    <row r="79">
      <c r="A79">
        <f>IF($AL79="","",'01_設定'!$C$36)</f>
        <v/>
      </c>
      <c r="B79">
        <f>IF($AL79="","",'01_設定'!$C$5)</f>
        <v/>
      </c>
      <c r="C79">
        <f>IF($AL79="","",'01_設定'!$C$6)</f>
        <v/>
      </c>
      <c r="D79" s="36">
        <f>IF($AL79="","",'01_設定'!$C$22)</f>
        <v/>
      </c>
      <c r="E79" s="36">
        <f>IF($AL79="","",'01_設定'!$C$23)</f>
        <v/>
      </c>
      <c r="F79">
        <f>IF($AL79="","",'01_設定'!$C$32)</f>
        <v/>
      </c>
      <c r="G79">
        <f>IF($AL79="","",ROW()-4)</f>
        <v/>
      </c>
      <c r="H79">
        <f>IF($AL79="","",INDEX('04_調査結果'!$AO$5:$AO$404,$AL79))</f>
        <v/>
      </c>
      <c r="I79">
        <f>IF($AL79="","",IFERROR(INDEX('M2_区分マスタ'!$I$5:$I$10,INDEX('04_調査結果'!$AP$5:$AP$404,$AL79)),""))</f>
        <v/>
      </c>
      <c r="J79">
        <f>IF($AL79="","",INDEX('04_調査結果'!$BE$5:$BE$404,$AL79)&amp;"")</f>
        <v/>
      </c>
      <c r="K79">
        <f>IF($AL79="","",INDEX('04_調査結果'!$F$5:$F$404,$AL79)&amp;"")</f>
        <v/>
      </c>
      <c r="L79">
        <f>IF($AL79="","",INDEX('04_調査結果'!$G$5:$G$404,$AL79)&amp;"")</f>
        <v/>
      </c>
      <c r="M79">
        <f>IF($AL79="","",INDEX('04_調査結果'!$AQ$5:$AQ$404,$AL79)&amp;"")</f>
        <v/>
      </c>
      <c r="N79">
        <f>IF($AL79="","",IFERROR(INDEX('M1_類型マスタ'!$B$5:$B$19,MATCH(M79,'M1_類型マスタ'!$A$5:$A$19,0)),""))</f>
        <v/>
      </c>
      <c r="O79">
        <f>IF($AL79="","",INDEX('04_調査結果'!$I$5:$I$404,$AL79)&amp;"")</f>
        <v/>
      </c>
      <c r="P79">
        <f>IF($AL79="","",INDEX('04_調査結果'!$J$5:$J$404,$AL79)&amp;"")</f>
        <v/>
      </c>
      <c r="Q79">
        <f>IF($AL79="","",INDEX('04_調査結果'!$K$5:$K$404,$AL79)&amp;"")</f>
        <v/>
      </c>
      <c r="R79">
        <f>IF($AL79="","",INDEX('04_調査結果'!$L$5:$L$404,$AL79)&amp;"")</f>
        <v/>
      </c>
      <c r="S79">
        <f>IF($AL79="","",INDEX('04_調査結果'!$M$5:$M$404,$AL79)&amp;"")</f>
        <v/>
      </c>
      <c r="T79" s="33">
        <f>IF($AL79="","",IF(INDEX('04_調査結果'!$AE$5:$AE$404,$AL79)&lt;&gt;"",INDEX('04_調査結果'!$AE$5:$AE$404,$AL79),INDEX('04_調査結果'!$AS$5:$AS$404,$AL79)))</f>
        <v/>
      </c>
      <c r="U79" s="33">
        <f>IF($AL79="","",IF(INDEX('04_調査結果'!$AF$5:$AF$404,$AL79)&lt;&gt;"",INDEX('04_調査結果'!$AF$5:$AF$404,$AL79),INDEX('04_調査結果'!$AT$5:$AT$404,$AL79)))</f>
        <v/>
      </c>
      <c r="V79" s="33">
        <f>IF($AL79="","",INDEX('04_調査結果'!$AI$5:$AI$404,$AL79))</f>
        <v/>
      </c>
      <c r="W79">
        <f>IF($AL79="","",INDEX('04_調査結果'!$AU$5:$AU$404,$AL79))</f>
        <v/>
      </c>
      <c r="X79" s="37">
        <f>IF($AL79="","",INDEX('04_調査結果'!$AW$5:$AW$404,$AL79))</f>
        <v/>
      </c>
      <c r="Y79" s="37">
        <f>IF($AL79="","",INDEX('04_調査結果'!$AX$5:$AX$404,$AL79))</f>
        <v/>
      </c>
      <c r="Z79">
        <f>IF($AL79="","",INDEX('04_調査結果'!$S$5:$S$404,$AL79)&amp;"")</f>
        <v/>
      </c>
      <c r="AA79">
        <f>IF($AL79="","",INDEX('04_調査結果'!$T$5:$T$404,$AL79))</f>
        <v/>
      </c>
      <c r="AB79">
        <f>IF($AL79="","",INDEX('04_調査結果'!$U$5:$U$404,$AL79))</f>
        <v/>
      </c>
      <c r="AC79">
        <f>IF($AL79="","",INDEX('04_調査結果'!$V$5:$V$404,$AL79))</f>
        <v/>
      </c>
      <c r="AD79">
        <f>IF($AL79="","",INDEX('04_調査結果'!$W$5:$W$404,$AL79))</f>
        <v/>
      </c>
      <c r="AE79">
        <f>IF($AL79="","",INDEX('04_調査結果'!$X$5:$X$404,$AL79))</f>
        <v/>
      </c>
      <c r="AF79">
        <f>IF($AL79="","",INDEX('04_調査結果'!$Y$5:$Y$404,$AL79))</f>
        <v/>
      </c>
      <c r="AG79">
        <f>IF($AL79="","",INDEX('04_調査結果'!$Z$5:$Z$404,$AL79))</f>
        <v/>
      </c>
      <c r="AH79">
        <f>IF($AL79="","",INDEX('04_調査結果'!$AK$5:$AK$404,$AL79))</f>
        <v/>
      </c>
      <c r="AI79">
        <f>IF($AL79="","",INDEX('04_調査結果'!$AH$5:$AH$404,$AL79)&amp;"")</f>
        <v/>
      </c>
      <c r="AJ79">
        <f>IF($AL79="","",INDEX('04_調査結果'!$AA$5:$AA$404,$AL79)&amp;"")</f>
        <v/>
      </c>
      <c r="AK79">
        <f>IF($AL79="","",INDEX('04_調査結果'!$AC$5:$AC$404,$AL79)&amp;"")</f>
        <v/>
      </c>
      <c r="AL79" s="34">
        <f>IFERROR(MATCH(ROW()-4,'04_調査結果'!$AZ$5:$AZ$404,0),"")</f>
        <v/>
      </c>
    </row>
    <row r="80">
      <c r="A80">
        <f>IF($AL80="","",'01_設定'!$C$36)</f>
        <v/>
      </c>
      <c r="B80">
        <f>IF($AL80="","",'01_設定'!$C$5)</f>
        <v/>
      </c>
      <c r="C80">
        <f>IF($AL80="","",'01_設定'!$C$6)</f>
        <v/>
      </c>
      <c r="D80" s="36">
        <f>IF($AL80="","",'01_設定'!$C$22)</f>
        <v/>
      </c>
      <c r="E80" s="36">
        <f>IF($AL80="","",'01_設定'!$C$23)</f>
        <v/>
      </c>
      <c r="F80">
        <f>IF($AL80="","",'01_設定'!$C$32)</f>
        <v/>
      </c>
      <c r="G80">
        <f>IF($AL80="","",ROW()-4)</f>
        <v/>
      </c>
      <c r="H80">
        <f>IF($AL80="","",INDEX('04_調査結果'!$AO$5:$AO$404,$AL80))</f>
        <v/>
      </c>
      <c r="I80">
        <f>IF($AL80="","",IFERROR(INDEX('M2_区分マスタ'!$I$5:$I$10,INDEX('04_調査結果'!$AP$5:$AP$404,$AL80)),""))</f>
        <v/>
      </c>
      <c r="J80">
        <f>IF($AL80="","",INDEX('04_調査結果'!$BE$5:$BE$404,$AL80)&amp;"")</f>
        <v/>
      </c>
      <c r="K80">
        <f>IF($AL80="","",INDEX('04_調査結果'!$F$5:$F$404,$AL80)&amp;"")</f>
        <v/>
      </c>
      <c r="L80">
        <f>IF($AL80="","",INDEX('04_調査結果'!$G$5:$G$404,$AL80)&amp;"")</f>
        <v/>
      </c>
      <c r="M80">
        <f>IF($AL80="","",INDEX('04_調査結果'!$AQ$5:$AQ$404,$AL80)&amp;"")</f>
        <v/>
      </c>
      <c r="N80">
        <f>IF($AL80="","",IFERROR(INDEX('M1_類型マスタ'!$B$5:$B$19,MATCH(M80,'M1_類型マスタ'!$A$5:$A$19,0)),""))</f>
        <v/>
      </c>
      <c r="O80">
        <f>IF($AL80="","",INDEX('04_調査結果'!$I$5:$I$404,$AL80)&amp;"")</f>
        <v/>
      </c>
      <c r="P80">
        <f>IF($AL80="","",INDEX('04_調査結果'!$J$5:$J$404,$AL80)&amp;"")</f>
        <v/>
      </c>
      <c r="Q80">
        <f>IF($AL80="","",INDEX('04_調査結果'!$K$5:$K$404,$AL80)&amp;"")</f>
        <v/>
      </c>
      <c r="R80">
        <f>IF($AL80="","",INDEX('04_調査結果'!$L$5:$L$404,$AL80)&amp;"")</f>
        <v/>
      </c>
      <c r="S80">
        <f>IF($AL80="","",INDEX('04_調査結果'!$M$5:$M$404,$AL80)&amp;"")</f>
        <v/>
      </c>
      <c r="T80" s="33">
        <f>IF($AL80="","",IF(INDEX('04_調査結果'!$AE$5:$AE$404,$AL80)&lt;&gt;"",INDEX('04_調査結果'!$AE$5:$AE$404,$AL80),INDEX('04_調査結果'!$AS$5:$AS$404,$AL80)))</f>
        <v/>
      </c>
      <c r="U80" s="33">
        <f>IF($AL80="","",IF(INDEX('04_調査結果'!$AF$5:$AF$404,$AL80)&lt;&gt;"",INDEX('04_調査結果'!$AF$5:$AF$404,$AL80),INDEX('04_調査結果'!$AT$5:$AT$404,$AL80)))</f>
        <v/>
      </c>
      <c r="V80" s="33">
        <f>IF($AL80="","",INDEX('04_調査結果'!$AI$5:$AI$404,$AL80))</f>
        <v/>
      </c>
      <c r="W80">
        <f>IF($AL80="","",INDEX('04_調査結果'!$AU$5:$AU$404,$AL80))</f>
        <v/>
      </c>
      <c r="X80" s="37">
        <f>IF($AL80="","",INDEX('04_調査結果'!$AW$5:$AW$404,$AL80))</f>
        <v/>
      </c>
      <c r="Y80" s="37">
        <f>IF($AL80="","",INDEX('04_調査結果'!$AX$5:$AX$404,$AL80))</f>
        <v/>
      </c>
      <c r="Z80">
        <f>IF($AL80="","",INDEX('04_調査結果'!$S$5:$S$404,$AL80)&amp;"")</f>
        <v/>
      </c>
      <c r="AA80">
        <f>IF($AL80="","",INDEX('04_調査結果'!$T$5:$T$404,$AL80))</f>
        <v/>
      </c>
      <c r="AB80">
        <f>IF($AL80="","",INDEX('04_調査結果'!$U$5:$U$404,$AL80))</f>
        <v/>
      </c>
      <c r="AC80">
        <f>IF($AL80="","",INDEX('04_調査結果'!$V$5:$V$404,$AL80))</f>
        <v/>
      </c>
      <c r="AD80">
        <f>IF($AL80="","",INDEX('04_調査結果'!$W$5:$W$404,$AL80))</f>
        <v/>
      </c>
      <c r="AE80">
        <f>IF($AL80="","",INDEX('04_調査結果'!$X$5:$X$404,$AL80))</f>
        <v/>
      </c>
      <c r="AF80">
        <f>IF($AL80="","",INDEX('04_調査結果'!$Y$5:$Y$404,$AL80))</f>
        <v/>
      </c>
      <c r="AG80">
        <f>IF($AL80="","",INDEX('04_調査結果'!$Z$5:$Z$404,$AL80))</f>
        <v/>
      </c>
      <c r="AH80">
        <f>IF($AL80="","",INDEX('04_調査結果'!$AK$5:$AK$404,$AL80))</f>
        <v/>
      </c>
      <c r="AI80">
        <f>IF($AL80="","",INDEX('04_調査結果'!$AH$5:$AH$404,$AL80)&amp;"")</f>
        <v/>
      </c>
      <c r="AJ80">
        <f>IF($AL80="","",INDEX('04_調査結果'!$AA$5:$AA$404,$AL80)&amp;"")</f>
        <v/>
      </c>
      <c r="AK80">
        <f>IF($AL80="","",INDEX('04_調査結果'!$AC$5:$AC$404,$AL80)&amp;"")</f>
        <v/>
      </c>
      <c r="AL80" s="34">
        <f>IFERROR(MATCH(ROW()-4,'04_調査結果'!$AZ$5:$AZ$404,0),"")</f>
        <v/>
      </c>
    </row>
    <row r="81">
      <c r="A81">
        <f>IF($AL81="","",'01_設定'!$C$36)</f>
        <v/>
      </c>
      <c r="B81">
        <f>IF($AL81="","",'01_設定'!$C$5)</f>
        <v/>
      </c>
      <c r="C81">
        <f>IF($AL81="","",'01_設定'!$C$6)</f>
        <v/>
      </c>
      <c r="D81" s="36">
        <f>IF($AL81="","",'01_設定'!$C$22)</f>
        <v/>
      </c>
      <c r="E81" s="36">
        <f>IF($AL81="","",'01_設定'!$C$23)</f>
        <v/>
      </c>
      <c r="F81">
        <f>IF($AL81="","",'01_設定'!$C$32)</f>
        <v/>
      </c>
      <c r="G81">
        <f>IF($AL81="","",ROW()-4)</f>
        <v/>
      </c>
      <c r="H81">
        <f>IF($AL81="","",INDEX('04_調査結果'!$AO$5:$AO$404,$AL81))</f>
        <v/>
      </c>
      <c r="I81">
        <f>IF($AL81="","",IFERROR(INDEX('M2_区分マスタ'!$I$5:$I$10,INDEX('04_調査結果'!$AP$5:$AP$404,$AL81)),""))</f>
        <v/>
      </c>
      <c r="J81">
        <f>IF($AL81="","",INDEX('04_調査結果'!$BE$5:$BE$404,$AL81)&amp;"")</f>
        <v/>
      </c>
      <c r="K81">
        <f>IF($AL81="","",INDEX('04_調査結果'!$F$5:$F$404,$AL81)&amp;"")</f>
        <v/>
      </c>
      <c r="L81">
        <f>IF($AL81="","",INDEX('04_調査結果'!$G$5:$G$404,$AL81)&amp;"")</f>
        <v/>
      </c>
      <c r="M81">
        <f>IF($AL81="","",INDEX('04_調査結果'!$AQ$5:$AQ$404,$AL81)&amp;"")</f>
        <v/>
      </c>
      <c r="N81">
        <f>IF($AL81="","",IFERROR(INDEX('M1_類型マスタ'!$B$5:$B$19,MATCH(M81,'M1_類型マスタ'!$A$5:$A$19,0)),""))</f>
        <v/>
      </c>
      <c r="O81">
        <f>IF($AL81="","",INDEX('04_調査結果'!$I$5:$I$404,$AL81)&amp;"")</f>
        <v/>
      </c>
      <c r="P81">
        <f>IF($AL81="","",INDEX('04_調査結果'!$J$5:$J$404,$AL81)&amp;"")</f>
        <v/>
      </c>
      <c r="Q81">
        <f>IF($AL81="","",INDEX('04_調査結果'!$K$5:$K$404,$AL81)&amp;"")</f>
        <v/>
      </c>
      <c r="R81">
        <f>IF($AL81="","",INDEX('04_調査結果'!$L$5:$L$404,$AL81)&amp;"")</f>
        <v/>
      </c>
      <c r="S81">
        <f>IF($AL81="","",INDEX('04_調査結果'!$M$5:$M$404,$AL81)&amp;"")</f>
        <v/>
      </c>
      <c r="T81" s="33">
        <f>IF($AL81="","",IF(INDEX('04_調査結果'!$AE$5:$AE$404,$AL81)&lt;&gt;"",INDEX('04_調査結果'!$AE$5:$AE$404,$AL81),INDEX('04_調査結果'!$AS$5:$AS$404,$AL81)))</f>
        <v/>
      </c>
      <c r="U81" s="33">
        <f>IF($AL81="","",IF(INDEX('04_調査結果'!$AF$5:$AF$404,$AL81)&lt;&gt;"",INDEX('04_調査結果'!$AF$5:$AF$404,$AL81),INDEX('04_調査結果'!$AT$5:$AT$404,$AL81)))</f>
        <v/>
      </c>
      <c r="V81" s="33">
        <f>IF($AL81="","",INDEX('04_調査結果'!$AI$5:$AI$404,$AL81))</f>
        <v/>
      </c>
      <c r="W81">
        <f>IF($AL81="","",INDEX('04_調査結果'!$AU$5:$AU$404,$AL81))</f>
        <v/>
      </c>
      <c r="X81" s="37">
        <f>IF($AL81="","",INDEX('04_調査結果'!$AW$5:$AW$404,$AL81))</f>
        <v/>
      </c>
      <c r="Y81" s="37">
        <f>IF($AL81="","",INDEX('04_調査結果'!$AX$5:$AX$404,$AL81))</f>
        <v/>
      </c>
      <c r="Z81">
        <f>IF($AL81="","",INDEX('04_調査結果'!$S$5:$S$404,$AL81)&amp;"")</f>
        <v/>
      </c>
      <c r="AA81">
        <f>IF($AL81="","",INDEX('04_調査結果'!$T$5:$T$404,$AL81))</f>
        <v/>
      </c>
      <c r="AB81">
        <f>IF($AL81="","",INDEX('04_調査結果'!$U$5:$U$404,$AL81))</f>
        <v/>
      </c>
      <c r="AC81">
        <f>IF($AL81="","",INDEX('04_調査結果'!$V$5:$V$404,$AL81))</f>
        <v/>
      </c>
      <c r="AD81">
        <f>IF($AL81="","",INDEX('04_調査結果'!$W$5:$W$404,$AL81))</f>
        <v/>
      </c>
      <c r="AE81">
        <f>IF($AL81="","",INDEX('04_調査結果'!$X$5:$X$404,$AL81))</f>
        <v/>
      </c>
      <c r="AF81">
        <f>IF($AL81="","",INDEX('04_調査結果'!$Y$5:$Y$404,$AL81))</f>
        <v/>
      </c>
      <c r="AG81">
        <f>IF($AL81="","",INDEX('04_調査結果'!$Z$5:$Z$404,$AL81))</f>
        <v/>
      </c>
      <c r="AH81">
        <f>IF($AL81="","",INDEX('04_調査結果'!$AK$5:$AK$404,$AL81))</f>
        <v/>
      </c>
      <c r="AI81">
        <f>IF($AL81="","",INDEX('04_調査結果'!$AH$5:$AH$404,$AL81)&amp;"")</f>
        <v/>
      </c>
      <c r="AJ81">
        <f>IF($AL81="","",INDEX('04_調査結果'!$AA$5:$AA$404,$AL81)&amp;"")</f>
        <v/>
      </c>
      <c r="AK81">
        <f>IF($AL81="","",INDEX('04_調査結果'!$AC$5:$AC$404,$AL81)&amp;"")</f>
        <v/>
      </c>
      <c r="AL81" s="34">
        <f>IFERROR(MATCH(ROW()-4,'04_調査結果'!$AZ$5:$AZ$404,0),"")</f>
        <v/>
      </c>
    </row>
    <row r="82">
      <c r="A82">
        <f>IF($AL82="","",'01_設定'!$C$36)</f>
        <v/>
      </c>
      <c r="B82">
        <f>IF($AL82="","",'01_設定'!$C$5)</f>
        <v/>
      </c>
      <c r="C82">
        <f>IF($AL82="","",'01_設定'!$C$6)</f>
        <v/>
      </c>
      <c r="D82" s="36">
        <f>IF($AL82="","",'01_設定'!$C$22)</f>
        <v/>
      </c>
      <c r="E82" s="36">
        <f>IF($AL82="","",'01_設定'!$C$23)</f>
        <v/>
      </c>
      <c r="F82">
        <f>IF($AL82="","",'01_設定'!$C$32)</f>
        <v/>
      </c>
      <c r="G82">
        <f>IF($AL82="","",ROW()-4)</f>
        <v/>
      </c>
      <c r="H82">
        <f>IF($AL82="","",INDEX('04_調査結果'!$AO$5:$AO$404,$AL82))</f>
        <v/>
      </c>
      <c r="I82">
        <f>IF($AL82="","",IFERROR(INDEX('M2_区分マスタ'!$I$5:$I$10,INDEX('04_調査結果'!$AP$5:$AP$404,$AL82)),""))</f>
        <v/>
      </c>
      <c r="J82">
        <f>IF($AL82="","",INDEX('04_調査結果'!$BE$5:$BE$404,$AL82)&amp;"")</f>
        <v/>
      </c>
      <c r="K82">
        <f>IF($AL82="","",INDEX('04_調査結果'!$F$5:$F$404,$AL82)&amp;"")</f>
        <v/>
      </c>
      <c r="L82">
        <f>IF($AL82="","",INDEX('04_調査結果'!$G$5:$G$404,$AL82)&amp;"")</f>
        <v/>
      </c>
      <c r="M82">
        <f>IF($AL82="","",INDEX('04_調査結果'!$AQ$5:$AQ$404,$AL82)&amp;"")</f>
        <v/>
      </c>
      <c r="N82">
        <f>IF($AL82="","",IFERROR(INDEX('M1_類型マスタ'!$B$5:$B$19,MATCH(M82,'M1_類型マスタ'!$A$5:$A$19,0)),""))</f>
        <v/>
      </c>
      <c r="O82">
        <f>IF($AL82="","",INDEX('04_調査結果'!$I$5:$I$404,$AL82)&amp;"")</f>
        <v/>
      </c>
      <c r="P82">
        <f>IF($AL82="","",INDEX('04_調査結果'!$J$5:$J$404,$AL82)&amp;"")</f>
        <v/>
      </c>
      <c r="Q82">
        <f>IF($AL82="","",INDEX('04_調査結果'!$K$5:$K$404,$AL82)&amp;"")</f>
        <v/>
      </c>
      <c r="R82">
        <f>IF($AL82="","",INDEX('04_調査結果'!$L$5:$L$404,$AL82)&amp;"")</f>
        <v/>
      </c>
      <c r="S82">
        <f>IF($AL82="","",INDEX('04_調査結果'!$M$5:$M$404,$AL82)&amp;"")</f>
        <v/>
      </c>
      <c r="T82" s="33">
        <f>IF($AL82="","",IF(INDEX('04_調査結果'!$AE$5:$AE$404,$AL82)&lt;&gt;"",INDEX('04_調査結果'!$AE$5:$AE$404,$AL82),INDEX('04_調査結果'!$AS$5:$AS$404,$AL82)))</f>
        <v/>
      </c>
      <c r="U82" s="33">
        <f>IF($AL82="","",IF(INDEX('04_調査結果'!$AF$5:$AF$404,$AL82)&lt;&gt;"",INDEX('04_調査結果'!$AF$5:$AF$404,$AL82),INDEX('04_調査結果'!$AT$5:$AT$404,$AL82)))</f>
        <v/>
      </c>
      <c r="V82" s="33">
        <f>IF($AL82="","",INDEX('04_調査結果'!$AI$5:$AI$404,$AL82))</f>
        <v/>
      </c>
      <c r="W82">
        <f>IF($AL82="","",INDEX('04_調査結果'!$AU$5:$AU$404,$AL82))</f>
        <v/>
      </c>
      <c r="X82" s="37">
        <f>IF($AL82="","",INDEX('04_調査結果'!$AW$5:$AW$404,$AL82))</f>
        <v/>
      </c>
      <c r="Y82" s="37">
        <f>IF($AL82="","",INDEX('04_調査結果'!$AX$5:$AX$404,$AL82))</f>
        <v/>
      </c>
      <c r="Z82">
        <f>IF($AL82="","",INDEX('04_調査結果'!$S$5:$S$404,$AL82)&amp;"")</f>
        <v/>
      </c>
      <c r="AA82">
        <f>IF($AL82="","",INDEX('04_調査結果'!$T$5:$T$404,$AL82))</f>
        <v/>
      </c>
      <c r="AB82">
        <f>IF($AL82="","",INDEX('04_調査結果'!$U$5:$U$404,$AL82))</f>
        <v/>
      </c>
      <c r="AC82">
        <f>IF($AL82="","",INDEX('04_調査結果'!$V$5:$V$404,$AL82))</f>
        <v/>
      </c>
      <c r="AD82">
        <f>IF($AL82="","",INDEX('04_調査結果'!$W$5:$W$404,$AL82))</f>
        <v/>
      </c>
      <c r="AE82">
        <f>IF($AL82="","",INDEX('04_調査結果'!$X$5:$X$404,$AL82))</f>
        <v/>
      </c>
      <c r="AF82">
        <f>IF($AL82="","",INDEX('04_調査結果'!$Y$5:$Y$404,$AL82))</f>
        <v/>
      </c>
      <c r="AG82">
        <f>IF($AL82="","",INDEX('04_調査結果'!$Z$5:$Z$404,$AL82))</f>
        <v/>
      </c>
      <c r="AH82">
        <f>IF($AL82="","",INDEX('04_調査結果'!$AK$5:$AK$404,$AL82))</f>
        <v/>
      </c>
      <c r="AI82">
        <f>IF($AL82="","",INDEX('04_調査結果'!$AH$5:$AH$404,$AL82)&amp;"")</f>
        <v/>
      </c>
      <c r="AJ82">
        <f>IF($AL82="","",INDEX('04_調査結果'!$AA$5:$AA$404,$AL82)&amp;"")</f>
        <v/>
      </c>
      <c r="AK82">
        <f>IF($AL82="","",INDEX('04_調査結果'!$AC$5:$AC$404,$AL82)&amp;"")</f>
        <v/>
      </c>
      <c r="AL82" s="34">
        <f>IFERROR(MATCH(ROW()-4,'04_調査結果'!$AZ$5:$AZ$404,0),"")</f>
        <v/>
      </c>
    </row>
    <row r="83">
      <c r="A83">
        <f>IF($AL83="","",'01_設定'!$C$36)</f>
        <v/>
      </c>
      <c r="B83">
        <f>IF($AL83="","",'01_設定'!$C$5)</f>
        <v/>
      </c>
      <c r="C83">
        <f>IF($AL83="","",'01_設定'!$C$6)</f>
        <v/>
      </c>
      <c r="D83" s="36">
        <f>IF($AL83="","",'01_設定'!$C$22)</f>
        <v/>
      </c>
      <c r="E83" s="36">
        <f>IF($AL83="","",'01_設定'!$C$23)</f>
        <v/>
      </c>
      <c r="F83">
        <f>IF($AL83="","",'01_設定'!$C$32)</f>
        <v/>
      </c>
      <c r="G83">
        <f>IF($AL83="","",ROW()-4)</f>
        <v/>
      </c>
      <c r="H83">
        <f>IF($AL83="","",INDEX('04_調査結果'!$AO$5:$AO$404,$AL83))</f>
        <v/>
      </c>
      <c r="I83">
        <f>IF($AL83="","",IFERROR(INDEX('M2_区分マスタ'!$I$5:$I$10,INDEX('04_調査結果'!$AP$5:$AP$404,$AL83)),""))</f>
        <v/>
      </c>
      <c r="J83">
        <f>IF($AL83="","",INDEX('04_調査結果'!$BE$5:$BE$404,$AL83)&amp;"")</f>
        <v/>
      </c>
      <c r="K83">
        <f>IF($AL83="","",INDEX('04_調査結果'!$F$5:$F$404,$AL83)&amp;"")</f>
        <v/>
      </c>
      <c r="L83">
        <f>IF($AL83="","",INDEX('04_調査結果'!$G$5:$G$404,$AL83)&amp;"")</f>
        <v/>
      </c>
      <c r="M83">
        <f>IF($AL83="","",INDEX('04_調査結果'!$AQ$5:$AQ$404,$AL83)&amp;"")</f>
        <v/>
      </c>
      <c r="N83">
        <f>IF($AL83="","",IFERROR(INDEX('M1_類型マスタ'!$B$5:$B$19,MATCH(M83,'M1_類型マスタ'!$A$5:$A$19,0)),""))</f>
        <v/>
      </c>
      <c r="O83">
        <f>IF($AL83="","",INDEX('04_調査結果'!$I$5:$I$404,$AL83)&amp;"")</f>
        <v/>
      </c>
      <c r="P83">
        <f>IF($AL83="","",INDEX('04_調査結果'!$J$5:$J$404,$AL83)&amp;"")</f>
        <v/>
      </c>
      <c r="Q83">
        <f>IF($AL83="","",INDEX('04_調査結果'!$K$5:$K$404,$AL83)&amp;"")</f>
        <v/>
      </c>
      <c r="R83">
        <f>IF($AL83="","",INDEX('04_調査結果'!$L$5:$L$404,$AL83)&amp;"")</f>
        <v/>
      </c>
      <c r="S83">
        <f>IF($AL83="","",INDEX('04_調査結果'!$M$5:$M$404,$AL83)&amp;"")</f>
        <v/>
      </c>
      <c r="T83" s="33">
        <f>IF($AL83="","",IF(INDEX('04_調査結果'!$AE$5:$AE$404,$AL83)&lt;&gt;"",INDEX('04_調査結果'!$AE$5:$AE$404,$AL83),INDEX('04_調査結果'!$AS$5:$AS$404,$AL83)))</f>
        <v/>
      </c>
      <c r="U83" s="33">
        <f>IF($AL83="","",IF(INDEX('04_調査結果'!$AF$5:$AF$404,$AL83)&lt;&gt;"",INDEX('04_調査結果'!$AF$5:$AF$404,$AL83),INDEX('04_調査結果'!$AT$5:$AT$404,$AL83)))</f>
        <v/>
      </c>
      <c r="V83" s="33">
        <f>IF($AL83="","",INDEX('04_調査結果'!$AI$5:$AI$404,$AL83))</f>
        <v/>
      </c>
      <c r="W83">
        <f>IF($AL83="","",INDEX('04_調査結果'!$AU$5:$AU$404,$AL83))</f>
        <v/>
      </c>
      <c r="X83" s="37">
        <f>IF($AL83="","",INDEX('04_調査結果'!$AW$5:$AW$404,$AL83))</f>
        <v/>
      </c>
      <c r="Y83" s="37">
        <f>IF($AL83="","",INDEX('04_調査結果'!$AX$5:$AX$404,$AL83))</f>
        <v/>
      </c>
      <c r="Z83">
        <f>IF($AL83="","",INDEX('04_調査結果'!$S$5:$S$404,$AL83)&amp;"")</f>
        <v/>
      </c>
      <c r="AA83">
        <f>IF($AL83="","",INDEX('04_調査結果'!$T$5:$T$404,$AL83))</f>
        <v/>
      </c>
      <c r="AB83">
        <f>IF($AL83="","",INDEX('04_調査結果'!$U$5:$U$404,$AL83))</f>
        <v/>
      </c>
      <c r="AC83">
        <f>IF($AL83="","",INDEX('04_調査結果'!$V$5:$V$404,$AL83))</f>
        <v/>
      </c>
      <c r="AD83">
        <f>IF($AL83="","",INDEX('04_調査結果'!$W$5:$W$404,$AL83))</f>
        <v/>
      </c>
      <c r="AE83">
        <f>IF($AL83="","",INDEX('04_調査結果'!$X$5:$X$404,$AL83))</f>
        <v/>
      </c>
      <c r="AF83">
        <f>IF($AL83="","",INDEX('04_調査結果'!$Y$5:$Y$404,$AL83))</f>
        <v/>
      </c>
      <c r="AG83">
        <f>IF($AL83="","",INDEX('04_調査結果'!$Z$5:$Z$404,$AL83))</f>
        <v/>
      </c>
      <c r="AH83">
        <f>IF($AL83="","",INDEX('04_調査結果'!$AK$5:$AK$404,$AL83))</f>
        <v/>
      </c>
      <c r="AI83">
        <f>IF($AL83="","",INDEX('04_調査結果'!$AH$5:$AH$404,$AL83)&amp;"")</f>
        <v/>
      </c>
      <c r="AJ83">
        <f>IF($AL83="","",INDEX('04_調査結果'!$AA$5:$AA$404,$AL83)&amp;"")</f>
        <v/>
      </c>
      <c r="AK83">
        <f>IF($AL83="","",INDEX('04_調査結果'!$AC$5:$AC$404,$AL83)&amp;"")</f>
        <v/>
      </c>
      <c r="AL83" s="34">
        <f>IFERROR(MATCH(ROW()-4,'04_調査結果'!$AZ$5:$AZ$404,0),"")</f>
        <v/>
      </c>
    </row>
    <row r="84">
      <c r="A84">
        <f>IF($AL84="","",'01_設定'!$C$36)</f>
        <v/>
      </c>
      <c r="B84">
        <f>IF($AL84="","",'01_設定'!$C$5)</f>
        <v/>
      </c>
      <c r="C84">
        <f>IF($AL84="","",'01_設定'!$C$6)</f>
        <v/>
      </c>
      <c r="D84" s="36">
        <f>IF($AL84="","",'01_設定'!$C$22)</f>
        <v/>
      </c>
      <c r="E84" s="36">
        <f>IF($AL84="","",'01_設定'!$C$23)</f>
        <v/>
      </c>
      <c r="F84">
        <f>IF($AL84="","",'01_設定'!$C$32)</f>
        <v/>
      </c>
      <c r="G84">
        <f>IF($AL84="","",ROW()-4)</f>
        <v/>
      </c>
      <c r="H84">
        <f>IF($AL84="","",INDEX('04_調査結果'!$AO$5:$AO$404,$AL84))</f>
        <v/>
      </c>
      <c r="I84">
        <f>IF($AL84="","",IFERROR(INDEX('M2_区分マスタ'!$I$5:$I$10,INDEX('04_調査結果'!$AP$5:$AP$404,$AL84)),""))</f>
        <v/>
      </c>
      <c r="J84">
        <f>IF($AL84="","",INDEX('04_調査結果'!$BE$5:$BE$404,$AL84)&amp;"")</f>
        <v/>
      </c>
      <c r="K84">
        <f>IF($AL84="","",INDEX('04_調査結果'!$F$5:$F$404,$AL84)&amp;"")</f>
        <v/>
      </c>
      <c r="L84">
        <f>IF($AL84="","",INDEX('04_調査結果'!$G$5:$G$404,$AL84)&amp;"")</f>
        <v/>
      </c>
      <c r="M84">
        <f>IF($AL84="","",INDEX('04_調査結果'!$AQ$5:$AQ$404,$AL84)&amp;"")</f>
        <v/>
      </c>
      <c r="N84">
        <f>IF($AL84="","",IFERROR(INDEX('M1_類型マスタ'!$B$5:$B$19,MATCH(M84,'M1_類型マスタ'!$A$5:$A$19,0)),""))</f>
        <v/>
      </c>
      <c r="O84">
        <f>IF($AL84="","",INDEX('04_調査結果'!$I$5:$I$404,$AL84)&amp;"")</f>
        <v/>
      </c>
      <c r="P84">
        <f>IF($AL84="","",INDEX('04_調査結果'!$J$5:$J$404,$AL84)&amp;"")</f>
        <v/>
      </c>
      <c r="Q84">
        <f>IF($AL84="","",INDEX('04_調査結果'!$K$5:$K$404,$AL84)&amp;"")</f>
        <v/>
      </c>
      <c r="R84">
        <f>IF($AL84="","",INDEX('04_調査結果'!$L$5:$L$404,$AL84)&amp;"")</f>
        <v/>
      </c>
      <c r="S84">
        <f>IF($AL84="","",INDEX('04_調査結果'!$M$5:$M$404,$AL84)&amp;"")</f>
        <v/>
      </c>
      <c r="T84" s="33">
        <f>IF($AL84="","",IF(INDEX('04_調査結果'!$AE$5:$AE$404,$AL84)&lt;&gt;"",INDEX('04_調査結果'!$AE$5:$AE$404,$AL84),INDEX('04_調査結果'!$AS$5:$AS$404,$AL84)))</f>
        <v/>
      </c>
      <c r="U84" s="33">
        <f>IF($AL84="","",IF(INDEX('04_調査結果'!$AF$5:$AF$404,$AL84)&lt;&gt;"",INDEX('04_調査結果'!$AF$5:$AF$404,$AL84),INDEX('04_調査結果'!$AT$5:$AT$404,$AL84)))</f>
        <v/>
      </c>
      <c r="V84" s="33">
        <f>IF($AL84="","",INDEX('04_調査結果'!$AI$5:$AI$404,$AL84))</f>
        <v/>
      </c>
      <c r="W84">
        <f>IF($AL84="","",INDEX('04_調査結果'!$AU$5:$AU$404,$AL84))</f>
        <v/>
      </c>
      <c r="X84" s="37">
        <f>IF($AL84="","",INDEX('04_調査結果'!$AW$5:$AW$404,$AL84))</f>
        <v/>
      </c>
      <c r="Y84" s="37">
        <f>IF($AL84="","",INDEX('04_調査結果'!$AX$5:$AX$404,$AL84))</f>
        <v/>
      </c>
      <c r="Z84">
        <f>IF($AL84="","",INDEX('04_調査結果'!$S$5:$S$404,$AL84)&amp;"")</f>
        <v/>
      </c>
      <c r="AA84">
        <f>IF($AL84="","",INDEX('04_調査結果'!$T$5:$T$404,$AL84))</f>
        <v/>
      </c>
      <c r="AB84">
        <f>IF($AL84="","",INDEX('04_調査結果'!$U$5:$U$404,$AL84))</f>
        <v/>
      </c>
      <c r="AC84">
        <f>IF($AL84="","",INDEX('04_調査結果'!$V$5:$V$404,$AL84))</f>
        <v/>
      </c>
      <c r="AD84">
        <f>IF($AL84="","",INDEX('04_調査結果'!$W$5:$W$404,$AL84))</f>
        <v/>
      </c>
      <c r="AE84">
        <f>IF($AL84="","",INDEX('04_調査結果'!$X$5:$X$404,$AL84))</f>
        <v/>
      </c>
      <c r="AF84">
        <f>IF($AL84="","",INDEX('04_調査結果'!$Y$5:$Y$404,$AL84))</f>
        <v/>
      </c>
      <c r="AG84">
        <f>IF($AL84="","",INDEX('04_調査結果'!$Z$5:$Z$404,$AL84))</f>
        <v/>
      </c>
      <c r="AH84">
        <f>IF($AL84="","",INDEX('04_調査結果'!$AK$5:$AK$404,$AL84))</f>
        <v/>
      </c>
      <c r="AI84">
        <f>IF($AL84="","",INDEX('04_調査結果'!$AH$5:$AH$404,$AL84)&amp;"")</f>
        <v/>
      </c>
      <c r="AJ84">
        <f>IF($AL84="","",INDEX('04_調査結果'!$AA$5:$AA$404,$AL84)&amp;"")</f>
        <v/>
      </c>
      <c r="AK84">
        <f>IF($AL84="","",INDEX('04_調査結果'!$AC$5:$AC$404,$AL84)&amp;"")</f>
        <v/>
      </c>
      <c r="AL84" s="34">
        <f>IFERROR(MATCH(ROW()-4,'04_調査結果'!$AZ$5:$AZ$404,0),"")</f>
        <v/>
      </c>
    </row>
    <row r="85">
      <c r="A85">
        <f>IF($AL85="","",'01_設定'!$C$36)</f>
        <v/>
      </c>
      <c r="B85">
        <f>IF($AL85="","",'01_設定'!$C$5)</f>
        <v/>
      </c>
      <c r="C85">
        <f>IF($AL85="","",'01_設定'!$C$6)</f>
        <v/>
      </c>
      <c r="D85" s="36">
        <f>IF($AL85="","",'01_設定'!$C$22)</f>
        <v/>
      </c>
      <c r="E85" s="36">
        <f>IF($AL85="","",'01_設定'!$C$23)</f>
        <v/>
      </c>
      <c r="F85">
        <f>IF($AL85="","",'01_設定'!$C$32)</f>
        <v/>
      </c>
      <c r="G85">
        <f>IF($AL85="","",ROW()-4)</f>
        <v/>
      </c>
      <c r="H85">
        <f>IF($AL85="","",INDEX('04_調査結果'!$AO$5:$AO$404,$AL85))</f>
        <v/>
      </c>
      <c r="I85">
        <f>IF($AL85="","",IFERROR(INDEX('M2_区分マスタ'!$I$5:$I$10,INDEX('04_調査結果'!$AP$5:$AP$404,$AL85)),""))</f>
        <v/>
      </c>
      <c r="J85">
        <f>IF($AL85="","",INDEX('04_調査結果'!$BE$5:$BE$404,$AL85)&amp;"")</f>
        <v/>
      </c>
      <c r="K85">
        <f>IF($AL85="","",INDEX('04_調査結果'!$F$5:$F$404,$AL85)&amp;"")</f>
        <v/>
      </c>
      <c r="L85">
        <f>IF($AL85="","",INDEX('04_調査結果'!$G$5:$G$404,$AL85)&amp;"")</f>
        <v/>
      </c>
      <c r="M85">
        <f>IF($AL85="","",INDEX('04_調査結果'!$AQ$5:$AQ$404,$AL85)&amp;"")</f>
        <v/>
      </c>
      <c r="N85">
        <f>IF($AL85="","",IFERROR(INDEX('M1_類型マスタ'!$B$5:$B$19,MATCH(M85,'M1_類型マスタ'!$A$5:$A$19,0)),""))</f>
        <v/>
      </c>
      <c r="O85">
        <f>IF($AL85="","",INDEX('04_調査結果'!$I$5:$I$404,$AL85)&amp;"")</f>
        <v/>
      </c>
      <c r="P85">
        <f>IF($AL85="","",INDEX('04_調査結果'!$J$5:$J$404,$AL85)&amp;"")</f>
        <v/>
      </c>
      <c r="Q85">
        <f>IF($AL85="","",INDEX('04_調査結果'!$K$5:$K$404,$AL85)&amp;"")</f>
        <v/>
      </c>
      <c r="R85">
        <f>IF($AL85="","",INDEX('04_調査結果'!$L$5:$L$404,$AL85)&amp;"")</f>
        <v/>
      </c>
      <c r="S85">
        <f>IF($AL85="","",INDEX('04_調査結果'!$M$5:$M$404,$AL85)&amp;"")</f>
        <v/>
      </c>
      <c r="T85" s="33">
        <f>IF($AL85="","",IF(INDEX('04_調査結果'!$AE$5:$AE$404,$AL85)&lt;&gt;"",INDEX('04_調査結果'!$AE$5:$AE$404,$AL85),INDEX('04_調査結果'!$AS$5:$AS$404,$AL85)))</f>
        <v/>
      </c>
      <c r="U85" s="33">
        <f>IF($AL85="","",IF(INDEX('04_調査結果'!$AF$5:$AF$404,$AL85)&lt;&gt;"",INDEX('04_調査結果'!$AF$5:$AF$404,$AL85),INDEX('04_調査結果'!$AT$5:$AT$404,$AL85)))</f>
        <v/>
      </c>
      <c r="V85" s="33">
        <f>IF($AL85="","",INDEX('04_調査結果'!$AI$5:$AI$404,$AL85))</f>
        <v/>
      </c>
      <c r="W85">
        <f>IF($AL85="","",INDEX('04_調査結果'!$AU$5:$AU$404,$AL85))</f>
        <v/>
      </c>
      <c r="X85" s="37">
        <f>IF($AL85="","",INDEX('04_調査結果'!$AW$5:$AW$404,$AL85))</f>
        <v/>
      </c>
      <c r="Y85" s="37">
        <f>IF($AL85="","",INDEX('04_調査結果'!$AX$5:$AX$404,$AL85))</f>
        <v/>
      </c>
      <c r="Z85">
        <f>IF($AL85="","",INDEX('04_調査結果'!$S$5:$S$404,$AL85)&amp;"")</f>
        <v/>
      </c>
      <c r="AA85">
        <f>IF($AL85="","",INDEX('04_調査結果'!$T$5:$T$404,$AL85))</f>
        <v/>
      </c>
      <c r="AB85">
        <f>IF($AL85="","",INDEX('04_調査結果'!$U$5:$U$404,$AL85))</f>
        <v/>
      </c>
      <c r="AC85">
        <f>IF($AL85="","",INDEX('04_調査結果'!$V$5:$V$404,$AL85))</f>
        <v/>
      </c>
      <c r="AD85">
        <f>IF($AL85="","",INDEX('04_調査結果'!$W$5:$W$404,$AL85))</f>
        <v/>
      </c>
      <c r="AE85">
        <f>IF($AL85="","",INDEX('04_調査結果'!$X$5:$X$404,$AL85))</f>
        <v/>
      </c>
      <c r="AF85">
        <f>IF($AL85="","",INDEX('04_調査結果'!$Y$5:$Y$404,$AL85))</f>
        <v/>
      </c>
      <c r="AG85">
        <f>IF($AL85="","",INDEX('04_調査結果'!$Z$5:$Z$404,$AL85))</f>
        <v/>
      </c>
      <c r="AH85">
        <f>IF($AL85="","",INDEX('04_調査結果'!$AK$5:$AK$404,$AL85))</f>
        <v/>
      </c>
      <c r="AI85">
        <f>IF($AL85="","",INDEX('04_調査結果'!$AH$5:$AH$404,$AL85)&amp;"")</f>
        <v/>
      </c>
      <c r="AJ85">
        <f>IF($AL85="","",INDEX('04_調査結果'!$AA$5:$AA$404,$AL85)&amp;"")</f>
        <v/>
      </c>
      <c r="AK85">
        <f>IF($AL85="","",INDEX('04_調査結果'!$AC$5:$AC$404,$AL85)&amp;"")</f>
        <v/>
      </c>
      <c r="AL85" s="34">
        <f>IFERROR(MATCH(ROW()-4,'04_調査結果'!$AZ$5:$AZ$404,0),"")</f>
        <v/>
      </c>
    </row>
    <row r="86">
      <c r="A86">
        <f>IF($AL86="","",'01_設定'!$C$36)</f>
        <v/>
      </c>
      <c r="B86">
        <f>IF($AL86="","",'01_設定'!$C$5)</f>
        <v/>
      </c>
      <c r="C86">
        <f>IF($AL86="","",'01_設定'!$C$6)</f>
        <v/>
      </c>
      <c r="D86" s="36">
        <f>IF($AL86="","",'01_設定'!$C$22)</f>
        <v/>
      </c>
      <c r="E86" s="36">
        <f>IF($AL86="","",'01_設定'!$C$23)</f>
        <v/>
      </c>
      <c r="F86">
        <f>IF($AL86="","",'01_設定'!$C$32)</f>
        <v/>
      </c>
      <c r="G86">
        <f>IF($AL86="","",ROW()-4)</f>
        <v/>
      </c>
      <c r="H86">
        <f>IF($AL86="","",INDEX('04_調査結果'!$AO$5:$AO$404,$AL86))</f>
        <v/>
      </c>
      <c r="I86">
        <f>IF($AL86="","",IFERROR(INDEX('M2_区分マスタ'!$I$5:$I$10,INDEX('04_調査結果'!$AP$5:$AP$404,$AL86)),""))</f>
        <v/>
      </c>
      <c r="J86">
        <f>IF($AL86="","",INDEX('04_調査結果'!$BE$5:$BE$404,$AL86)&amp;"")</f>
        <v/>
      </c>
      <c r="K86">
        <f>IF($AL86="","",INDEX('04_調査結果'!$F$5:$F$404,$AL86)&amp;"")</f>
        <v/>
      </c>
      <c r="L86">
        <f>IF($AL86="","",INDEX('04_調査結果'!$G$5:$G$404,$AL86)&amp;"")</f>
        <v/>
      </c>
      <c r="M86">
        <f>IF($AL86="","",INDEX('04_調査結果'!$AQ$5:$AQ$404,$AL86)&amp;"")</f>
        <v/>
      </c>
      <c r="N86">
        <f>IF($AL86="","",IFERROR(INDEX('M1_類型マスタ'!$B$5:$B$19,MATCH(M86,'M1_類型マスタ'!$A$5:$A$19,0)),""))</f>
        <v/>
      </c>
      <c r="O86">
        <f>IF($AL86="","",INDEX('04_調査結果'!$I$5:$I$404,$AL86)&amp;"")</f>
        <v/>
      </c>
      <c r="P86">
        <f>IF($AL86="","",INDEX('04_調査結果'!$J$5:$J$404,$AL86)&amp;"")</f>
        <v/>
      </c>
      <c r="Q86">
        <f>IF($AL86="","",INDEX('04_調査結果'!$K$5:$K$404,$AL86)&amp;"")</f>
        <v/>
      </c>
      <c r="R86">
        <f>IF($AL86="","",INDEX('04_調査結果'!$L$5:$L$404,$AL86)&amp;"")</f>
        <v/>
      </c>
      <c r="S86">
        <f>IF($AL86="","",INDEX('04_調査結果'!$M$5:$M$404,$AL86)&amp;"")</f>
        <v/>
      </c>
      <c r="T86" s="33">
        <f>IF($AL86="","",IF(INDEX('04_調査結果'!$AE$5:$AE$404,$AL86)&lt;&gt;"",INDEX('04_調査結果'!$AE$5:$AE$404,$AL86),INDEX('04_調査結果'!$AS$5:$AS$404,$AL86)))</f>
        <v/>
      </c>
      <c r="U86" s="33">
        <f>IF($AL86="","",IF(INDEX('04_調査結果'!$AF$5:$AF$404,$AL86)&lt;&gt;"",INDEX('04_調査結果'!$AF$5:$AF$404,$AL86),INDEX('04_調査結果'!$AT$5:$AT$404,$AL86)))</f>
        <v/>
      </c>
      <c r="V86" s="33">
        <f>IF($AL86="","",INDEX('04_調査結果'!$AI$5:$AI$404,$AL86))</f>
        <v/>
      </c>
      <c r="W86">
        <f>IF($AL86="","",INDEX('04_調査結果'!$AU$5:$AU$404,$AL86))</f>
        <v/>
      </c>
      <c r="X86" s="37">
        <f>IF($AL86="","",INDEX('04_調査結果'!$AW$5:$AW$404,$AL86))</f>
        <v/>
      </c>
      <c r="Y86" s="37">
        <f>IF($AL86="","",INDEX('04_調査結果'!$AX$5:$AX$404,$AL86))</f>
        <v/>
      </c>
      <c r="Z86">
        <f>IF($AL86="","",INDEX('04_調査結果'!$S$5:$S$404,$AL86)&amp;"")</f>
        <v/>
      </c>
      <c r="AA86">
        <f>IF($AL86="","",INDEX('04_調査結果'!$T$5:$T$404,$AL86))</f>
        <v/>
      </c>
      <c r="AB86">
        <f>IF($AL86="","",INDEX('04_調査結果'!$U$5:$U$404,$AL86))</f>
        <v/>
      </c>
      <c r="AC86">
        <f>IF($AL86="","",INDEX('04_調査結果'!$V$5:$V$404,$AL86))</f>
        <v/>
      </c>
      <c r="AD86">
        <f>IF($AL86="","",INDEX('04_調査結果'!$W$5:$W$404,$AL86))</f>
        <v/>
      </c>
      <c r="AE86">
        <f>IF($AL86="","",INDEX('04_調査結果'!$X$5:$X$404,$AL86))</f>
        <v/>
      </c>
      <c r="AF86">
        <f>IF($AL86="","",INDEX('04_調査結果'!$Y$5:$Y$404,$AL86))</f>
        <v/>
      </c>
      <c r="AG86">
        <f>IF($AL86="","",INDEX('04_調査結果'!$Z$5:$Z$404,$AL86))</f>
        <v/>
      </c>
      <c r="AH86">
        <f>IF($AL86="","",INDEX('04_調査結果'!$AK$5:$AK$404,$AL86))</f>
        <v/>
      </c>
      <c r="AI86">
        <f>IF($AL86="","",INDEX('04_調査結果'!$AH$5:$AH$404,$AL86)&amp;"")</f>
        <v/>
      </c>
      <c r="AJ86">
        <f>IF($AL86="","",INDEX('04_調査結果'!$AA$5:$AA$404,$AL86)&amp;"")</f>
        <v/>
      </c>
      <c r="AK86">
        <f>IF($AL86="","",INDEX('04_調査結果'!$AC$5:$AC$404,$AL86)&amp;"")</f>
        <v/>
      </c>
      <c r="AL86" s="34">
        <f>IFERROR(MATCH(ROW()-4,'04_調査結果'!$AZ$5:$AZ$404,0),"")</f>
        <v/>
      </c>
    </row>
    <row r="87">
      <c r="A87">
        <f>IF($AL87="","",'01_設定'!$C$36)</f>
        <v/>
      </c>
      <c r="B87">
        <f>IF($AL87="","",'01_設定'!$C$5)</f>
        <v/>
      </c>
      <c r="C87">
        <f>IF($AL87="","",'01_設定'!$C$6)</f>
        <v/>
      </c>
      <c r="D87" s="36">
        <f>IF($AL87="","",'01_設定'!$C$22)</f>
        <v/>
      </c>
      <c r="E87" s="36">
        <f>IF($AL87="","",'01_設定'!$C$23)</f>
        <v/>
      </c>
      <c r="F87">
        <f>IF($AL87="","",'01_設定'!$C$32)</f>
        <v/>
      </c>
      <c r="G87">
        <f>IF($AL87="","",ROW()-4)</f>
        <v/>
      </c>
      <c r="H87">
        <f>IF($AL87="","",INDEX('04_調査結果'!$AO$5:$AO$404,$AL87))</f>
        <v/>
      </c>
      <c r="I87">
        <f>IF($AL87="","",IFERROR(INDEX('M2_区分マスタ'!$I$5:$I$10,INDEX('04_調査結果'!$AP$5:$AP$404,$AL87)),""))</f>
        <v/>
      </c>
      <c r="J87">
        <f>IF($AL87="","",INDEX('04_調査結果'!$BE$5:$BE$404,$AL87)&amp;"")</f>
        <v/>
      </c>
      <c r="K87">
        <f>IF($AL87="","",INDEX('04_調査結果'!$F$5:$F$404,$AL87)&amp;"")</f>
        <v/>
      </c>
      <c r="L87">
        <f>IF($AL87="","",INDEX('04_調査結果'!$G$5:$G$404,$AL87)&amp;"")</f>
        <v/>
      </c>
      <c r="M87">
        <f>IF($AL87="","",INDEX('04_調査結果'!$AQ$5:$AQ$404,$AL87)&amp;"")</f>
        <v/>
      </c>
      <c r="N87">
        <f>IF($AL87="","",IFERROR(INDEX('M1_類型マスタ'!$B$5:$B$19,MATCH(M87,'M1_類型マスタ'!$A$5:$A$19,0)),""))</f>
        <v/>
      </c>
      <c r="O87">
        <f>IF($AL87="","",INDEX('04_調査結果'!$I$5:$I$404,$AL87)&amp;"")</f>
        <v/>
      </c>
      <c r="P87">
        <f>IF($AL87="","",INDEX('04_調査結果'!$J$5:$J$404,$AL87)&amp;"")</f>
        <v/>
      </c>
      <c r="Q87">
        <f>IF($AL87="","",INDEX('04_調査結果'!$K$5:$K$404,$AL87)&amp;"")</f>
        <v/>
      </c>
      <c r="R87">
        <f>IF($AL87="","",INDEX('04_調査結果'!$L$5:$L$404,$AL87)&amp;"")</f>
        <v/>
      </c>
      <c r="S87">
        <f>IF($AL87="","",INDEX('04_調査結果'!$M$5:$M$404,$AL87)&amp;"")</f>
        <v/>
      </c>
      <c r="T87" s="33">
        <f>IF($AL87="","",IF(INDEX('04_調査結果'!$AE$5:$AE$404,$AL87)&lt;&gt;"",INDEX('04_調査結果'!$AE$5:$AE$404,$AL87),INDEX('04_調査結果'!$AS$5:$AS$404,$AL87)))</f>
        <v/>
      </c>
      <c r="U87" s="33">
        <f>IF($AL87="","",IF(INDEX('04_調査結果'!$AF$5:$AF$404,$AL87)&lt;&gt;"",INDEX('04_調査結果'!$AF$5:$AF$404,$AL87),INDEX('04_調査結果'!$AT$5:$AT$404,$AL87)))</f>
        <v/>
      </c>
      <c r="V87" s="33">
        <f>IF($AL87="","",INDEX('04_調査結果'!$AI$5:$AI$404,$AL87))</f>
        <v/>
      </c>
      <c r="W87">
        <f>IF($AL87="","",INDEX('04_調査結果'!$AU$5:$AU$404,$AL87))</f>
        <v/>
      </c>
      <c r="X87" s="37">
        <f>IF($AL87="","",INDEX('04_調査結果'!$AW$5:$AW$404,$AL87))</f>
        <v/>
      </c>
      <c r="Y87" s="37">
        <f>IF($AL87="","",INDEX('04_調査結果'!$AX$5:$AX$404,$AL87))</f>
        <v/>
      </c>
      <c r="Z87">
        <f>IF($AL87="","",INDEX('04_調査結果'!$S$5:$S$404,$AL87)&amp;"")</f>
        <v/>
      </c>
      <c r="AA87">
        <f>IF($AL87="","",INDEX('04_調査結果'!$T$5:$T$404,$AL87))</f>
        <v/>
      </c>
      <c r="AB87">
        <f>IF($AL87="","",INDEX('04_調査結果'!$U$5:$U$404,$AL87))</f>
        <v/>
      </c>
      <c r="AC87">
        <f>IF($AL87="","",INDEX('04_調査結果'!$V$5:$V$404,$AL87))</f>
        <v/>
      </c>
      <c r="AD87">
        <f>IF($AL87="","",INDEX('04_調査結果'!$W$5:$W$404,$AL87))</f>
        <v/>
      </c>
      <c r="AE87">
        <f>IF($AL87="","",INDEX('04_調査結果'!$X$5:$X$404,$AL87))</f>
        <v/>
      </c>
      <c r="AF87">
        <f>IF($AL87="","",INDEX('04_調査結果'!$Y$5:$Y$404,$AL87))</f>
        <v/>
      </c>
      <c r="AG87">
        <f>IF($AL87="","",INDEX('04_調査結果'!$Z$5:$Z$404,$AL87))</f>
        <v/>
      </c>
      <c r="AH87">
        <f>IF($AL87="","",INDEX('04_調査結果'!$AK$5:$AK$404,$AL87))</f>
        <v/>
      </c>
      <c r="AI87">
        <f>IF($AL87="","",INDEX('04_調査結果'!$AH$5:$AH$404,$AL87)&amp;"")</f>
        <v/>
      </c>
      <c r="AJ87">
        <f>IF($AL87="","",INDEX('04_調査結果'!$AA$5:$AA$404,$AL87)&amp;"")</f>
        <v/>
      </c>
      <c r="AK87">
        <f>IF($AL87="","",INDEX('04_調査結果'!$AC$5:$AC$404,$AL87)&amp;"")</f>
        <v/>
      </c>
      <c r="AL87" s="34">
        <f>IFERROR(MATCH(ROW()-4,'04_調査結果'!$AZ$5:$AZ$404,0),"")</f>
        <v/>
      </c>
    </row>
    <row r="88">
      <c r="A88">
        <f>IF($AL88="","",'01_設定'!$C$36)</f>
        <v/>
      </c>
      <c r="B88">
        <f>IF($AL88="","",'01_設定'!$C$5)</f>
        <v/>
      </c>
      <c r="C88">
        <f>IF($AL88="","",'01_設定'!$C$6)</f>
        <v/>
      </c>
      <c r="D88" s="36">
        <f>IF($AL88="","",'01_設定'!$C$22)</f>
        <v/>
      </c>
      <c r="E88" s="36">
        <f>IF($AL88="","",'01_設定'!$C$23)</f>
        <v/>
      </c>
      <c r="F88">
        <f>IF($AL88="","",'01_設定'!$C$32)</f>
        <v/>
      </c>
      <c r="G88">
        <f>IF($AL88="","",ROW()-4)</f>
        <v/>
      </c>
      <c r="H88">
        <f>IF($AL88="","",INDEX('04_調査結果'!$AO$5:$AO$404,$AL88))</f>
        <v/>
      </c>
      <c r="I88">
        <f>IF($AL88="","",IFERROR(INDEX('M2_区分マスタ'!$I$5:$I$10,INDEX('04_調査結果'!$AP$5:$AP$404,$AL88)),""))</f>
        <v/>
      </c>
      <c r="J88">
        <f>IF($AL88="","",INDEX('04_調査結果'!$BE$5:$BE$404,$AL88)&amp;"")</f>
        <v/>
      </c>
      <c r="K88">
        <f>IF($AL88="","",INDEX('04_調査結果'!$F$5:$F$404,$AL88)&amp;"")</f>
        <v/>
      </c>
      <c r="L88">
        <f>IF($AL88="","",INDEX('04_調査結果'!$G$5:$G$404,$AL88)&amp;"")</f>
        <v/>
      </c>
      <c r="M88">
        <f>IF($AL88="","",INDEX('04_調査結果'!$AQ$5:$AQ$404,$AL88)&amp;"")</f>
        <v/>
      </c>
      <c r="N88">
        <f>IF($AL88="","",IFERROR(INDEX('M1_類型マスタ'!$B$5:$B$19,MATCH(M88,'M1_類型マスタ'!$A$5:$A$19,0)),""))</f>
        <v/>
      </c>
      <c r="O88">
        <f>IF($AL88="","",INDEX('04_調査結果'!$I$5:$I$404,$AL88)&amp;"")</f>
        <v/>
      </c>
      <c r="P88">
        <f>IF($AL88="","",INDEX('04_調査結果'!$J$5:$J$404,$AL88)&amp;"")</f>
        <v/>
      </c>
      <c r="Q88">
        <f>IF($AL88="","",INDEX('04_調査結果'!$K$5:$K$404,$AL88)&amp;"")</f>
        <v/>
      </c>
      <c r="R88">
        <f>IF($AL88="","",INDEX('04_調査結果'!$L$5:$L$404,$AL88)&amp;"")</f>
        <v/>
      </c>
      <c r="S88">
        <f>IF($AL88="","",INDEX('04_調査結果'!$M$5:$M$404,$AL88)&amp;"")</f>
        <v/>
      </c>
      <c r="T88" s="33">
        <f>IF($AL88="","",IF(INDEX('04_調査結果'!$AE$5:$AE$404,$AL88)&lt;&gt;"",INDEX('04_調査結果'!$AE$5:$AE$404,$AL88),INDEX('04_調査結果'!$AS$5:$AS$404,$AL88)))</f>
        <v/>
      </c>
      <c r="U88" s="33">
        <f>IF($AL88="","",IF(INDEX('04_調査結果'!$AF$5:$AF$404,$AL88)&lt;&gt;"",INDEX('04_調査結果'!$AF$5:$AF$404,$AL88),INDEX('04_調査結果'!$AT$5:$AT$404,$AL88)))</f>
        <v/>
      </c>
      <c r="V88" s="33">
        <f>IF($AL88="","",INDEX('04_調査結果'!$AI$5:$AI$404,$AL88))</f>
        <v/>
      </c>
      <c r="W88">
        <f>IF($AL88="","",INDEX('04_調査結果'!$AU$5:$AU$404,$AL88))</f>
        <v/>
      </c>
      <c r="X88" s="37">
        <f>IF($AL88="","",INDEX('04_調査結果'!$AW$5:$AW$404,$AL88))</f>
        <v/>
      </c>
      <c r="Y88" s="37">
        <f>IF($AL88="","",INDEX('04_調査結果'!$AX$5:$AX$404,$AL88))</f>
        <v/>
      </c>
      <c r="Z88">
        <f>IF($AL88="","",INDEX('04_調査結果'!$S$5:$S$404,$AL88)&amp;"")</f>
        <v/>
      </c>
      <c r="AA88">
        <f>IF($AL88="","",INDEX('04_調査結果'!$T$5:$T$404,$AL88))</f>
        <v/>
      </c>
      <c r="AB88">
        <f>IF($AL88="","",INDEX('04_調査結果'!$U$5:$U$404,$AL88))</f>
        <v/>
      </c>
      <c r="AC88">
        <f>IF($AL88="","",INDEX('04_調査結果'!$V$5:$V$404,$AL88))</f>
        <v/>
      </c>
      <c r="AD88">
        <f>IF($AL88="","",INDEX('04_調査結果'!$W$5:$W$404,$AL88))</f>
        <v/>
      </c>
      <c r="AE88">
        <f>IF($AL88="","",INDEX('04_調査結果'!$X$5:$X$404,$AL88))</f>
        <v/>
      </c>
      <c r="AF88">
        <f>IF($AL88="","",INDEX('04_調査結果'!$Y$5:$Y$404,$AL88))</f>
        <v/>
      </c>
      <c r="AG88">
        <f>IF($AL88="","",INDEX('04_調査結果'!$Z$5:$Z$404,$AL88))</f>
        <v/>
      </c>
      <c r="AH88">
        <f>IF($AL88="","",INDEX('04_調査結果'!$AK$5:$AK$404,$AL88))</f>
        <v/>
      </c>
      <c r="AI88">
        <f>IF($AL88="","",INDEX('04_調査結果'!$AH$5:$AH$404,$AL88)&amp;"")</f>
        <v/>
      </c>
      <c r="AJ88">
        <f>IF($AL88="","",INDEX('04_調査結果'!$AA$5:$AA$404,$AL88)&amp;"")</f>
        <v/>
      </c>
      <c r="AK88">
        <f>IF($AL88="","",INDEX('04_調査結果'!$AC$5:$AC$404,$AL88)&amp;"")</f>
        <v/>
      </c>
      <c r="AL88" s="34">
        <f>IFERROR(MATCH(ROW()-4,'04_調査結果'!$AZ$5:$AZ$404,0),"")</f>
        <v/>
      </c>
    </row>
    <row r="89">
      <c r="A89">
        <f>IF($AL89="","",'01_設定'!$C$36)</f>
        <v/>
      </c>
      <c r="B89">
        <f>IF($AL89="","",'01_設定'!$C$5)</f>
        <v/>
      </c>
      <c r="C89">
        <f>IF($AL89="","",'01_設定'!$C$6)</f>
        <v/>
      </c>
      <c r="D89" s="36">
        <f>IF($AL89="","",'01_設定'!$C$22)</f>
        <v/>
      </c>
      <c r="E89" s="36">
        <f>IF($AL89="","",'01_設定'!$C$23)</f>
        <v/>
      </c>
      <c r="F89">
        <f>IF($AL89="","",'01_設定'!$C$32)</f>
        <v/>
      </c>
      <c r="G89">
        <f>IF($AL89="","",ROW()-4)</f>
        <v/>
      </c>
      <c r="H89">
        <f>IF($AL89="","",INDEX('04_調査結果'!$AO$5:$AO$404,$AL89))</f>
        <v/>
      </c>
      <c r="I89">
        <f>IF($AL89="","",IFERROR(INDEX('M2_区分マスタ'!$I$5:$I$10,INDEX('04_調査結果'!$AP$5:$AP$404,$AL89)),""))</f>
        <v/>
      </c>
      <c r="J89">
        <f>IF($AL89="","",INDEX('04_調査結果'!$BE$5:$BE$404,$AL89)&amp;"")</f>
        <v/>
      </c>
      <c r="K89">
        <f>IF($AL89="","",INDEX('04_調査結果'!$F$5:$F$404,$AL89)&amp;"")</f>
        <v/>
      </c>
      <c r="L89">
        <f>IF($AL89="","",INDEX('04_調査結果'!$G$5:$G$404,$AL89)&amp;"")</f>
        <v/>
      </c>
      <c r="M89">
        <f>IF($AL89="","",INDEX('04_調査結果'!$AQ$5:$AQ$404,$AL89)&amp;"")</f>
        <v/>
      </c>
      <c r="N89">
        <f>IF($AL89="","",IFERROR(INDEX('M1_類型マスタ'!$B$5:$B$19,MATCH(M89,'M1_類型マスタ'!$A$5:$A$19,0)),""))</f>
        <v/>
      </c>
      <c r="O89">
        <f>IF($AL89="","",INDEX('04_調査結果'!$I$5:$I$404,$AL89)&amp;"")</f>
        <v/>
      </c>
      <c r="P89">
        <f>IF($AL89="","",INDEX('04_調査結果'!$J$5:$J$404,$AL89)&amp;"")</f>
        <v/>
      </c>
      <c r="Q89">
        <f>IF($AL89="","",INDEX('04_調査結果'!$K$5:$K$404,$AL89)&amp;"")</f>
        <v/>
      </c>
      <c r="R89">
        <f>IF($AL89="","",INDEX('04_調査結果'!$L$5:$L$404,$AL89)&amp;"")</f>
        <v/>
      </c>
      <c r="S89">
        <f>IF($AL89="","",INDEX('04_調査結果'!$M$5:$M$404,$AL89)&amp;"")</f>
        <v/>
      </c>
      <c r="T89" s="33">
        <f>IF($AL89="","",IF(INDEX('04_調査結果'!$AE$5:$AE$404,$AL89)&lt;&gt;"",INDEX('04_調査結果'!$AE$5:$AE$404,$AL89),INDEX('04_調査結果'!$AS$5:$AS$404,$AL89)))</f>
        <v/>
      </c>
      <c r="U89" s="33">
        <f>IF($AL89="","",IF(INDEX('04_調査結果'!$AF$5:$AF$404,$AL89)&lt;&gt;"",INDEX('04_調査結果'!$AF$5:$AF$404,$AL89),INDEX('04_調査結果'!$AT$5:$AT$404,$AL89)))</f>
        <v/>
      </c>
      <c r="V89" s="33">
        <f>IF($AL89="","",INDEX('04_調査結果'!$AI$5:$AI$404,$AL89))</f>
        <v/>
      </c>
      <c r="W89">
        <f>IF($AL89="","",INDEX('04_調査結果'!$AU$5:$AU$404,$AL89))</f>
        <v/>
      </c>
      <c r="X89" s="37">
        <f>IF($AL89="","",INDEX('04_調査結果'!$AW$5:$AW$404,$AL89))</f>
        <v/>
      </c>
      <c r="Y89" s="37">
        <f>IF($AL89="","",INDEX('04_調査結果'!$AX$5:$AX$404,$AL89))</f>
        <v/>
      </c>
      <c r="Z89">
        <f>IF($AL89="","",INDEX('04_調査結果'!$S$5:$S$404,$AL89)&amp;"")</f>
        <v/>
      </c>
      <c r="AA89">
        <f>IF($AL89="","",INDEX('04_調査結果'!$T$5:$T$404,$AL89))</f>
        <v/>
      </c>
      <c r="AB89">
        <f>IF($AL89="","",INDEX('04_調査結果'!$U$5:$U$404,$AL89))</f>
        <v/>
      </c>
      <c r="AC89">
        <f>IF($AL89="","",INDEX('04_調査結果'!$V$5:$V$404,$AL89))</f>
        <v/>
      </c>
      <c r="AD89">
        <f>IF($AL89="","",INDEX('04_調査結果'!$W$5:$W$404,$AL89))</f>
        <v/>
      </c>
      <c r="AE89">
        <f>IF($AL89="","",INDEX('04_調査結果'!$X$5:$X$404,$AL89))</f>
        <v/>
      </c>
      <c r="AF89">
        <f>IF($AL89="","",INDEX('04_調査結果'!$Y$5:$Y$404,$AL89))</f>
        <v/>
      </c>
      <c r="AG89">
        <f>IF($AL89="","",INDEX('04_調査結果'!$Z$5:$Z$404,$AL89))</f>
        <v/>
      </c>
      <c r="AH89">
        <f>IF($AL89="","",INDEX('04_調査結果'!$AK$5:$AK$404,$AL89))</f>
        <v/>
      </c>
      <c r="AI89">
        <f>IF($AL89="","",INDEX('04_調査結果'!$AH$5:$AH$404,$AL89)&amp;"")</f>
        <v/>
      </c>
      <c r="AJ89">
        <f>IF($AL89="","",INDEX('04_調査結果'!$AA$5:$AA$404,$AL89)&amp;"")</f>
        <v/>
      </c>
      <c r="AK89">
        <f>IF($AL89="","",INDEX('04_調査結果'!$AC$5:$AC$404,$AL89)&amp;"")</f>
        <v/>
      </c>
      <c r="AL89" s="34">
        <f>IFERROR(MATCH(ROW()-4,'04_調査結果'!$AZ$5:$AZ$404,0),"")</f>
        <v/>
      </c>
    </row>
    <row r="90">
      <c r="A90">
        <f>IF($AL90="","",'01_設定'!$C$36)</f>
        <v/>
      </c>
      <c r="B90">
        <f>IF($AL90="","",'01_設定'!$C$5)</f>
        <v/>
      </c>
      <c r="C90">
        <f>IF($AL90="","",'01_設定'!$C$6)</f>
        <v/>
      </c>
      <c r="D90" s="36">
        <f>IF($AL90="","",'01_設定'!$C$22)</f>
        <v/>
      </c>
      <c r="E90" s="36">
        <f>IF($AL90="","",'01_設定'!$C$23)</f>
        <v/>
      </c>
      <c r="F90">
        <f>IF($AL90="","",'01_設定'!$C$32)</f>
        <v/>
      </c>
      <c r="G90">
        <f>IF($AL90="","",ROW()-4)</f>
        <v/>
      </c>
      <c r="H90">
        <f>IF($AL90="","",INDEX('04_調査結果'!$AO$5:$AO$404,$AL90))</f>
        <v/>
      </c>
      <c r="I90">
        <f>IF($AL90="","",IFERROR(INDEX('M2_区分マスタ'!$I$5:$I$10,INDEX('04_調査結果'!$AP$5:$AP$404,$AL90)),""))</f>
        <v/>
      </c>
      <c r="J90">
        <f>IF($AL90="","",INDEX('04_調査結果'!$BE$5:$BE$404,$AL90)&amp;"")</f>
        <v/>
      </c>
      <c r="K90">
        <f>IF($AL90="","",INDEX('04_調査結果'!$F$5:$F$404,$AL90)&amp;"")</f>
        <v/>
      </c>
      <c r="L90">
        <f>IF($AL90="","",INDEX('04_調査結果'!$G$5:$G$404,$AL90)&amp;"")</f>
        <v/>
      </c>
      <c r="M90">
        <f>IF($AL90="","",INDEX('04_調査結果'!$AQ$5:$AQ$404,$AL90)&amp;"")</f>
        <v/>
      </c>
      <c r="N90">
        <f>IF($AL90="","",IFERROR(INDEX('M1_類型マスタ'!$B$5:$B$19,MATCH(M90,'M1_類型マスタ'!$A$5:$A$19,0)),""))</f>
        <v/>
      </c>
      <c r="O90">
        <f>IF($AL90="","",INDEX('04_調査結果'!$I$5:$I$404,$AL90)&amp;"")</f>
        <v/>
      </c>
      <c r="P90">
        <f>IF($AL90="","",INDEX('04_調査結果'!$J$5:$J$404,$AL90)&amp;"")</f>
        <v/>
      </c>
      <c r="Q90">
        <f>IF($AL90="","",INDEX('04_調査結果'!$K$5:$K$404,$AL90)&amp;"")</f>
        <v/>
      </c>
      <c r="R90">
        <f>IF($AL90="","",INDEX('04_調査結果'!$L$5:$L$404,$AL90)&amp;"")</f>
        <v/>
      </c>
      <c r="S90">
        <f>IF($AL90="","",INDEX('04_調査結果'!$M$5:$M$404,$AL90)&amp;"")</f>
        <v/>
      </c>
      <c r="T90" s="33">
        <f>IF($AL90="","",IF(INDEX('04_調査結果'!$AE$5:$AE$404,$AL90)&lt;&gt;"",INDEX('04_調査結果'!$AE$5:$AE$404,$AL90),INDEX('04_調査結果'!$AS$5:$AS$404,$AL90)))</f>
        <v/>
      </c>
      <c r="U90" s="33">
        <f>IF($AL90="","",IF(INDEX('04_調査結果'!$AF$5:$AF$404,$AL90)&lt;&gt;"",INDEX('04_調査結果'!$AF$5:$AF$404,$AL90),INDEX('04_調査結果'!$AT$5:$AT$404,$AL90)))</f>
        <v/>
      </c>
      <c r="V90" s="33">
        <f>IF($AL90="","",INDEX('04_調査結果'!$AI$5:$AI$404,$AL90))</f>
        <v/>
      </c>
      <c r="W90">
        <f>IF($AL90="","",INDEX('04_調査結果'!$AU$5:$AU$404,$AL90))</f>
        <v/>
      </c>
      <c r="X90" s="37">
        <f>IF($AL90="","",INDEX('04_調査結果'!$AW$5:$AW$404,$AL90))</f>
        <v/>
      </c>
      <c r="Y90" s="37">
        <f>IF($AL90="","",INDEX('04_調査結果'!$AX$5:$AX$404,$AL90))</f>
        <v/>
      </c>
      <c r="Z90">
        <f>IF($AL90="","",INDEX('04_調査結果'!$S$5:$S$404,$AL90)&amp;"")</f>
        <v/>
      </c>
      <c r="AA90">
        <f>IF($AL90="","",INDEX('04_調査結果'!$T$5:$T$404,$AL90))</f>
        <v/>
      </c>
      <c r="AB90">
        <f>IF($AL90="","",INDEX('04_調査結果'!$U$5:$U$404,$AL90))</f>
        <v/>
      </c>
      <c r="AC90">
        <f>IF($AL90="","",INDEX('04_調査結果'!$V$5:$V$404,$AL90))</f>
        <v/>
      </c>
      <c r="AD90">
        <f>IF($AL90="","",INDEX('04_調査結果'!$W$5:$W$404,$AL90))</f>
        <v/>
      </c>
      <c r="AE90">
        <f>IF($AL90="","",INDEX('04_調査結果'!$X$5:$X$404,$AL90))</f>
        <v/>
      </c>
      <c r="AF90">
        <f>IF($AL90="","",INDEX('04_調査結果'!$Y$5:$Y$404,$AL90))</f>
        <v/>
      </c>
      <c r="AG90">
        <f>IF($AL90="","",INDEX('04_調査結果'!$Z$5:$Z$404,$AL90))</f>
        <v/>
      </c>
      <c r="AH90">
        <f>IF($AL90="","",INDEX('04_調査結果'!$AK$5:$AK$404,$AL90))</f>
        <v/>
      </c>
      <c r="AI90">
        <f>IF($AL90="","",INDEX('04_調査結果'!$AH$5:$AH$404,$AL90)&amp;"")</f>
        <v/>
      </c>
      <c r="AJ90">
        <f>IF($AL90="","",INDEX('04_調査結果'!$AA$5:$AA$404,$AL90)&amp;"")</f>
        <v/>
      </c>
      <c r="AK90">
        <f>IF($AL90="","",INDEX('04_調査結果'!$AC$5:$AC$404,$AL90)&amp;"")</f>
        <v/>
      </c>
      <c r="AL90" s="34">
        <f>IFERROR(MATCH(ROW()-4,'04_調査結果'!$AZ$5:$AZ$404,0),"")</f>
        <v/>
      </c>
    </row>
    <row r="91">
      <c r="A91">
        <f>IF($AL91="","",'01_設定'!$C$36)</f>
        <v/>
      </c>
      <c r="B91">
        <f>IF($AL91="","",'01_設定'!$C$5)</f>
        <v/>
      </c>
      <c r="C91">
        <f>IF($AL91="","",'01_設定'!$C$6)</f>
        <v/>
      </c>
      <c r="D91" s="36">
        <f>IF($AL91="","",'01_設定'!$C$22)</f>
        <v/>
      </c>
      <c r="E91" s="36">
        <f>IF($AL91="","",'01_設定'!$C$23)</f>
        <v/>
      </c>
      <c r="F91">
        <f>IF($AL91="","",'01_設定'!$C$32)</f>
        <v/>
      </c>
      <c r="G91">
        <f>IF($AL91="","",ROW()-4)</f>
        <v/>
      </c>
      <c r="H91">
        <f>IF($AL91="","",INDEX('04_調査結果'!$AO$5:$AO$404,$AL91))</f>
        <v/>
      </c>
      <c r="I91">
        <f>IF($AL91="","",IFERROR(INDEX('M2_区分マスタ'!$I$5:$I$10,INDEX('04_調査結果'!$AP$5:$AP$404,$AL91)),""))</f>
        <v/>
      </c>
      <c r="J91">
        <f>IF($AL91="","",INDEX('04_調査結果'!$BE$5:$BE$404,$AL91)&amp;"")</f>
        <v/>
      </c>
      <c r="K91">
        <f>IF($AL91="","",INDEX('04_調査結果'!$F$5:$F$404,$AL91)&amp;"")</f>
        <v/>
      </c>
      <c r="L91">
        <f>IF($AL91="","",INDEX('04_調査結果'!$G$5:$G$404,$AL91)&amp;"")</f>
        <v/>
      </c>
      <c r="M91">
        <f>IF($AL91="","",INDEX('04_調査結果'!$AQ$5:$AQ$404,$AL91)&amp;"")</f>
        <v/>
      </c>
      <c r="N91">
        <f>IF($AL91="","",IFERROR(INDEX('M1_類型マスタ'!$B$5:$B$19,MATCH(M91,'M1_類型マスタ'!$A$5:$A$19,0)),""))</f>
        <v/>
      </c>
      <c r="O91">
        <f>IF($AL91="","",INDEX('04_調査結果'!$I$5:$I$404,$AL91)&amp;"")</f>
        <v/>
      </c>
      <c r="P91">
        <f>IF($AL91="","",INDEX('04_調査結果'!$J$5:$J$404,$AL91)&amp;"")</f>
        <v/>
      </c>
      <c r="Q91">
        <f>IF($AL91="","",INDEX('04_調査結果'!$K$5:$K$404,$AL91)&amp;"")</f>
        <v/>
      </c>
      <c r="R91">
        <f>IF($AL91="","",INDEX('04_調査結果'!$L$5:$L$404,$AL91)&amp;"")</f>
        <v/>
      </c>
      <c r="S91">
        <f>IF($AL91="","",INDEX('04_調査結果'!$M$5:$M$404,$AL91)&amp;"")</f>
        <v/>
      </c>
      <c r="T91" s="33">
        <f>IF($AL91="","",IF(INDEX('04_調査結果'!$AE$5:$AE$404,$AL91)&lt;&gt;"",INDEX('04_調査結果'!$AE$5:$AE$404,$AL91),INDEX('04_調査結果'!$AS$5:$AS$404,$AL91)))</f>
        <v/>
      </c>
      <c r="U91" s="33">
        <f>IF($AL91="","",IF(INDEX('04_調査結果'!$AF$5:$AF$404,$AL91)&lt;&gt;"",INDEX('04_調査結果'!$AF$5:$AF$404,$AL91),INDEX('04_調査結果'!$AT$5:$AT$404,$AL91)))</f>
        <v/>
      </c>
      <c r="V91" s="33">
        <f>IF($AL91="","",INDEX('04_調査結果'!$AI$5:$AI$404,$AL91))</f>
        <v/>
      </c>
      <c r="W91">
        <f>IF($AL91="","",INDEX('04_調査結果'!$AU$5:$AU$404,$AL91))</f>
        <v/>
      </c>
      <c r="X91" s="37">
        <f>IF($AL91="","",INDEX('04_調査結果'!$AW$5:$AW$404,$AL91))</f>
        <v/>
      </c>
      <c r="Y91" s="37">
        <f>IF($AL91="","",INDEX('04_調査結果'!$AX$5:$AX$404,$AL91))</f>
        <v/>
      </c>
      <c r="Z91">
        <f>IF($AL91="","",INDEX('04_調査結果'!$S$5:$S$404,$AL91)&amp;"")</f>
        <v/>
      </c>
      <c r="AA91">
        <f>IF($AL91="","",INDEX('04_調査結果'!$T$5:$T$404,$AL91))</f>
        <v/>
      </c>
      <c r="AB91">
        <f>IF($AL91="","",INDEX('04_調査結果'!$U$5:$U$404,$AL91))</f>
        <v/>
      </c>
      <c r="AC91">
        <f>IF($AL91="","",INDEX('04_調査結果'!$V$5:$V$404,$AL91))</f>
        <v/>
      </c>
      <c r="AD91">
        <f>IF($AL91="","",INDEX('04_調査結果'!$W$5:$W$404,$AL91))</f>
        <v/>
      </c>
      <c r="AE91">
        <f>IF($AL91="","",INDEX('04_調査結果'!$X$5:$X$404,$AL91))</f>
        <v/>
      </c>
      <c r="AF91">
        <f>IF($AL91="","",INDEX('04_調査結果'!$Y$5:$Y$404,$AL91))</f>
        <v/>
      </c>
      <c r="AG91">
        <f>IF($AL91="","",INDEX('04_調査結果'!$Z$5:$Z$404,$AL91))</f>
        <v/>
      </c>
      <c r="AH91">
        <f>IF($AL91="","",INDEX('04_調査結果'!$AK$5:$AK$404,$AL91))</f>
        <v/>
      </c>
      <c r="AI91">
        <f>IF($AL91="","",INDEX('04_調査結果'!$AH$5:$AH$404,$AL91)&amp;"")</f>
        <v/>
      </c>
      <c r="AJ91">
        <f>IF($AL91="","",INDEX('04_調査結果'!$AA$5:$AA$404,$AL91)&amp;"")</f>
        <v/>
      </c>
      <c r="AK91">
        <f>IF($AL91="","",INDEX('04_調査結果'!$AC$5:$AC$404,$AL91)&amp;"")</f>
        <v/>
      </c>
      <c r="AL91" s="34">
        <f>IFERROR(MATCH(ROW()-4,'04_調査結果'!$AZ$5:$AZ$404,0),"")</f>
        <v/>
      </c>
    </row>
    <row r="92">
      <c r="A92">
        <f>IF($AL92="","",'01_設定'!$C$36)</f>
        <v/>
      </c>
      <c r="B92">
        <f>IF($AL92="","",'01_設定'!$C$5)</f>
        <v/>
      </c>
      <c r="C92">
        <f>IF($AL92="","",'01_設定'!$C$6)</f>
        <v/>
      </c>
      <c r="D92" s="36">
        <f>IF($AL92="","",'01_設定'!$C$22)</f>
        <v/>
      </c>
      <c r="E92" s="36">
        <f>IF($AL92="","",'01_設定'!$C$23)</f>
        <v/>
      </c>
      <c r="F92">
        <f>IF($AL92="","",'01_設定'!$C$32)</f>
        <v/>
      </c>
      <c r="G92">
        <f>IF($AL92="","",ROW()-4)</f>
        <v/>
      </c>
      <c r="H92">
        <f>IF($AL92="","",INDEX('04_調査結果'!$AO$5:$AO$404,$AL92))</f>
        <v/>
      </c>
      <c r="I92">
        <f>IF($AL92="","",IFERROR(INDEX('M2_区分マスタ'!$I$5:$I$10,INDEX('04_調査結果'!$AP$5:$AP$404,$AL92)),""))</f>
        <v/>
      </c>
      <c r="J92">
        <f>IF($AL92="","",INDEX('04_調査結果'!$BE$5:$BE$404,$AL92)&amp;"")</f>
        <v/>
      </c>
      <c r="K92">
        <f>IF($AL92="","",INDEX('04_調査結果'!$F$5:$F$404,$AL92)&amp;"")</f>
        <v/>
      </c>
      <c r="L92">
        <f>IF($AL92="","",INDEX('04_調査結果'!$G$5:$G$404,$AL92)&amp;"")</f>
        <v/>
      </c>
      <c r="M92">
        <f>IF($AL92="","",INDEX('04_調査結果'!$AQ$5:$AQ$404,$AL92)&amp;"")</f>
        <v/>
      </c>
      <c r="N92">
        <f>IF($AL92="","",IFERROR(INDEX('M1_類型マスタ'!$B$5:$B$19,MATCH(M92,'M1_類型マスタ'!$A$5:$A$19,0)),""))</f>
        <v/>
      </c>
      <c r="O92">
        <f>IF($AL92="","",INDEX('04_調査結果'!$I$5:$I$404,$AL92)&amp;"")</f>
        <v/>
      </c>
      <c r="P92">
        <f>IF($AL92="","",INDEX('04_調査結果'!$J$5:$J$404,$AL92)&amp;"")</f>
        <v/>
      </c>
      <c r="Q92">
        <f>IF($AL92="","",INDEX('04_調査結果'!$K$5:$K$404,$AL92)&amp;"")</f>
        <v/>
      </c>
      <c r="R92">
        <f>IF($AL92="","",INDEX('04_調査結果'!$L$5:$L$404,$AL92)&amp;"")</f>
        <v/>
      </c>
      <c r="S92">
        <f>IF($AL92="","",INDEX('04_調査結果'!$M$5:$M$404,$AL92)&amp;"")</f>
        <v/>
      </c>
      <c r="T92" s="33">
        <f>IF($AL92="","",IF(INDEX('04_調査結果'!$AE$5:$AE$404,$AL92)&lt;&gt;"",INDEX('04_調査結果'!$AE$5:$AE$404,$AL92),INDEX('04_調査結果'!$AS$5:$AS$404,$AL92)))</f>
        <v/>
      </c>
      <c r="U92" s="33">
        <f>IF($AL92="","",IF(INDEX('04_調査結果'!$AF$5:$AF$404,$AL92)&lt;&gt;"",INDEX('04_調査結果'!$AF$5:$AF$404,$AL92),INDEX('04_調査結果'!$AT$5:$AT$404,$AL92)))</f>
        <v/>
      </c>
      <c r="V92" s="33">
        <f>IF($AL92="","",INDEX('04_調査結果'!$AI$5:$AI$404,$AL92))</f>
        <v/>
      </c>
      <c r="W92">
        <f>IF($AL92="","",INDEX('04_調査結果'!$AU$5:$AU$404,$AL92))</f>
        <v/>
      </c>
      <c r="X92" s="37">
        <f>IF($AL92="","",INDEX('04_調査結果'!$AW$5:$AW$404,$AL92))</f>
        <v/>
      </c>
      <c r="Y92" s="37">
        <f>IF($AL92="","",INDEX('04_調査結果'!$AX$5:$AX$404,$AL92))</f>
        <v/>
      </c>
      <c r="Z92">
        <f>IF($AL92="","",INDEX('04_調査結果'!$S$5:$S$404,$AL92)&amp;"")</f>
        <v/>
      </c>
      <c r="AA92">
        <f>IF($AL92="","",INDEX('04_調査結果'!$T$5:$T$404,$AL92))</f>
        <v/>
      </c>
      <c r="AB92">
        <f>IF($AL92="","",INDEX('04_調査結果'!$U$5:$U$404,$AL92))</f>
        <v/>
      </c>
      <c r="AC92">
        <f>IF($AL92="","",INDEX('04_調査結果'!$V$5:$V$404,$AL92))</f>
        <v/>
      </c>
      <c r="AD92">
        <f>IF($AL92="","",INDEX('04_調査結果'!$W$5:$W$404,$AL92))</f>
        <v/>
      </c>
      <c r="AE92">
        <f>IF($AL92="","",INDEX('04_調査結果'!$X$5:$X$404,$AL92))</f>
        <v/>
      </c>
      <c r="AF92">
        <f>IF($AL92="","",INDEX('04_調査結果'!$Y$5:$Y$404,$AL92))</f>
        <v/>
      </c>
      <c r="AG92">
        <f>IF($AL92="","",INDEX('04_調査結果'!$Z$5:$Z$404,$AL92))</f>
        <v/>
      </c>
      <c r="AH92">
        <f>IF($AL92="","",INDEX('04_調査結果'!$AK$5:$AK$404,$AL92))</f>
        <v/>
      </c>
      <c r="AI92">
        <f>IF($AL92="","",INDEX('04_調査結果'!$AH$5:$AH$404,$AL92)&amp;"")</f>
        <v/>
      </c>
      <c r="AJ92">
        <f>IF($AL92="","",INDEX('04_調査結果'!$AA$5:$AA$404,$AL92)&amp;"")</f>
        <v/>
      </c>
      <c r="AK92">
        <f>IF($AL92="","",INDEX('04_調査結果'!$AC$5:$AC$404,$AL92)&amp;"")</f>
        <v/>
      </c>
      <c r="AL92" s="34">
        <f>IFERROR(MATCH(ROW()-4,'04_調査結果'!$AZ$5:$AZ$404,0),"")</f>
        <v/>
      </c>
    </row>
    <row r="93">
      <c r="A93">
        <f>IF($AL93="","",'01_設定'!$C$36)</f>
        <v/>
      </c>
      <c r="B93">
        <f>IF($AL93="","",'01_設定'!$C$5)</f>
        <v/>
      </c>
      <c r="C93">
        <f>IF($AL93="","",'01_設定'!$C$6)</f>
        <v/>
      </c>
      <c r="D93" s="36">
        <f>IF($AL93="","",'01_設定'!$C$22)</f>
        <v/>
      </c>
      <c r="E93" s="36">
        <f>IF($AL93="","",'01_設定'!$C$23)</f>
        <v/>
      </c>
      <c r="F93">
        <f>IF($AL93="","",'01_設定'!$C$32)</f>
        <v/>
      </c>
      <c r="G93">
        <f>IF($AL93="","",ROW()-4)</f>
        <v/>
      </c>
      <c r="H93">
        <f>IF($AL93="","",INDEX('04_調査結果'!$AO$5:$AO$404,$AL93))</f>
        <v/>
      </c>
      <c r="I93">
        <f>IF($AL93="","",IFERROR(INDEX('M2_区分マスタ'!$I$5:$I$10,INDEX('04_調査結果'!$AP$5:$AP$404,$AL93)),""))</f>
        <v/>
      </c>
      <c r="J93">
        <f>IF($AL93="","",INDEX('04_調査結果'!$BE$5:$BE$404,$AL93)&amp;"")</f>
        <v/>
      </c>
      <c r="K93">
        <f>IF($AL93="","",INDEX('04_調査結果'!$F$5:$F$404,$AL93)&amp;"")</f>
        <v/>
      </c>
      <c r="L93">
        <f>IF($AL93="","",INDEX('04_調査結果'!$G$5:$G$404,$AL93)&amp;"")</f>
        <v/>
      </c>
      <c r="M93">
        <f>IF($AL93="","",INDEX('04_調査結果'!$AQ$5:$AQ$404,$AL93)&amp;"")</f>
        <v/>
      </c>
      <c r="N93">
        <f>IF($AL93="","",IFERROR(INDEX('M1_類型マスタ'!$B$5:$B$19,MATCH(M93,'M1_類型マスタ'!$A$5:$A$19,0)),""))</f>
        <v/>
      </c>
      <c r="O93">
        <f>IF($AL93="","",INDEX('04_調査結果'!$I$5:$I$404,$AL93)&amp;"")</f>
        <v/>
      </c>
      <c r="P93">
        <f>IF($AL93="","",INDEX('04_調査結果'!$J$5:$J$404,$AL93)&amp;"")</f>
        <v/>
      </c>
      <c r="Q93">
        <f>IF($AL93="","",INDEX('04_調査結果'!$K$5:$K$404,$AL93)&amp;"")</f>
        <v/>
      </c>
      <c r="R93">
        <f>IF($AL93="","",INDEX('04_調査結果'!$L$5:$L$404,$AL93)&amp;"")</f>
        <v/>
      </c>
      <c r="S93">
        <f>IF($AL93="","",INDEX('04_調査結果'!$M$5:$M$404,$AL93)&amp;"")</f>
        <v/>
      </c>
      <c r="T93" s="33">
        <f>IF($AL93="","",IF(INDEX('04_調査結果'!$AE$5:$AE$404,$AL93)&lt;&gt;"",INDEX('04_調査結果'!$AE$5:$AE$404,$AL93),INDEX('04_調査結果'!$AS$5:$AS$404,$AL93)))</f>
        <v/>
      </c>
      <c r="U93" s="33">
        <f>IF($AL93="","",IF(INDEX('04_調査結果'!$AF$5:$AF$404,$AL93)&lt;&gt;"",INDEX('04_調査結果'!$AF$5:$AF$404,$AL93),INDEX('04_調査結果'!$AT$5:$AT$404,$AL93)))</f>
        <v/>
      </c>
      <c r="V93" s="33">
        <f>IF($AL93="","",INDEX('04_調査結果'!$AI$5:$AI$404,$AL93))</f>
        <v/>
      </c>
      <c r="W93">
        <f>IF($AL93="","",INDEX('04_調査結果'!$AU$5:$AU$404,$AL93))</f>
        <v/>
      </c>
      <c r="X93" s="37">
        <f>IF($AL93="","",INDEX('04_調査結果'!$AW$5:$AW$404,$AL93))</f>
        <v/>
      </c>
      <c r="Y93" s="37">
        <f>IF($AL93="","",INDEX('04_調査結果'!$AX$5:$AX$404,$AL93))</f>
        <v/>
      </c>
      <c r="Z93">
        <f>IF($AL93="","",INDEX('04_調査結果'!$S$5:$S$404,$AL93)&amp;"")</f>
        <v/>
      </c>
      <c r="AA93">
        <f>IF($AL93="","",INDEX('04_調査結果'!$T$5:$T$404,$AL93))</f>
        <v/>
      </c>
      <c r="AB93">
        <f>IF($AL93="","",INDEX('04_調査結果'!$U$5:$U$404,$AL93))</f>
        <v/>
      </c>
      <c r="AC93">
        <f>IF($AL93="","",INDEX('04_調査結果'!$V$5:$V$404,$AL93))</f>
        <v/>
      </c>
      <c r="AD93">
        <f>IF($AL93="","",INDEX('04_調査結果'!$W$5:$W$404,$AL93))</f>
        <v/>
      </c>
      <c r="AE93">
        <f>IF($AL93="","",INDEX('04_調査結果'!$X$5:$X$404,$AL93))</f>
        <v/>
      </c>
      <c r="AF93">
        <f>IF($AL93="","",INDEX('04_調査結果'!$Y$5:$Y$404,$AL93))</f>
        <v/>
      </c>
      <c r="AG93">
        <f>IF($AL93="","",INDEX('04_調査結果'!$Z$5:$Z$404,$AL93))</f>
        <v/>
      </c>
      <c r="AH93">
        <f>IF($AL93="","",INDEX('04_調査結果'!$AK$5:$AK$404,$AL93))</f>
        <v/>
      </c>
      <c r="AI93">
        <f>IF($AL93="","",INDEX('04_調査結果'!$AH$5:$AH$404,$AL93)&amp;"")</f>
        <v/>
      </c>
      <c r="AJ93">
        <f>IF($AL93="","",INDEX('04_調査結果'!$AA$5:$AA$404,$AL93)&amp;"")</f>
        <v/>
      </c>
      <c r="AK93">
        <f>IF($AL93="","",INDEX('04_調査結果'!$AC$5:$AC$404,$AL93)&amp;"")</f>
        <v/>
      </c>
      <c r="AL93" s="34">
        <f>IFERROR(MATCH(ROW()-4,'04_調査結果'!$AZ$5:$AZ$404,0),"")</f>
        <v/>
      </c>
    </row>
    <row r="94">
      <c r="A94">
        <f>IF($AL94="","",'01_設定'!$C$36)</f>
        <v/>
      </c>
      <c r="B94">
        <f>IF($AL94="","",'01_設定'!$C$5)</f>
        <v/>
      </c>
      <c r="C94">
        <f>IF($AL94="","",'01_設定'!$C$6)</f>
        <v/>
      </c>
      <c r="D94" s="36">
        <f>IF($AL94="","",'01_設定'!$C$22)</f>
        <v/>
      </c>
      <c r="E94" s="36">
        <f>IF($AL94="","",'01_設定'!$C$23)</f>
        <v/>
      </c>
      <c r="F94">
        <f>IF($AL94="","",'01_設定'!$C$32)</f>
        <v/>
      </c>
      <c r="G94">
        <f>IF($AL94="","",ROW()-4)</f>
        <v/>
      </c>
      <c r="H94">
        <f>IF($AL94="","",INDEX('04_調査結果'!$AO$5:$AO$404,$AL94))</f>
        <v/>
      </c>
      <c r="I94">
        <f>IF($AL94="","",IFERROR(INDEX('M2_区分マスタ'!$I$5:$I$10,INDEX('04_調査結果'!$AP$5:$AP$404,$AL94)),""))</f>
        <v/>
      </c>
      <c r="J94">
        <f>IF($AL94="","",INDEX('04_調査結果'!$BE$5:$BE$404,$AL94)&amp;"")</f>
        <v/>
      </c>
      <c r="K94">
        <f>IF($AL94="","",INDEX('04_調査結果'!$F$5:$F$404,$AL94)&amp;"")</f>
        <v/>
      </c>
      <c r="L94">
        <f>IF($AL94="","",INDEX('04_調査結果'!$G$5:$G$404,$AL94)&amp;"")</f>
        <v/>
      </c>
      <c r="M94">
        <f>IF($AL94="","",INDEX('04_調査結果'!$AQ$5:$AQ$404,$AL94)&amp;"")</f>
        <v/>
      </c>
      <c r="N94">
        <f>IF($AL94="","",IFERROR(INDEX('M1_類型マスタ'!$B$5:$B$19,MATCH(M94,'M1_類型マスタ'!$A$5:$A$19,0)),""))</f>
        <v/>
      </c>
      <c r="O94">
        <f>IF($AL94="","",INDEX('04_調査結果'!$I$5:$I$404,$AL94)&amp;"")</f>
        <v/>
      </c>
      <c r="P94">
        <f>IF($AL94="","",INDEX('04_調査結果'!$J$5:$J$404,$AL94)&amp;"")</f>
        <v/>
      </c>
      <c r="Q94">
        <f>IF($AL94="","",INDEX('04_調査結果'!$K$5:$K$404,$AL94)&amp;"")</f>
        <v/>
      </c>
      <c r="R94">
        <f>IF($AL94="","",INDEX('04_調査結果'!$L$5:$L$404,$AL94)&amp;"")</f>
        <v/>
      </c>
      <c r="S94">
        <f>IF($AL94="","",INDEX('04_調査結果'!$M$5:$M$404,$AL94)&amp;"")</f>
        <v/>
      </c>
      <c r="T94" s="33">
        <f>IF($AL94="","",IF(INDEX('04_調査結果'!$AE$5:$AE$404,$AL94)&lt;&gt;"",INDEX('04_調査結果'!$AE$5:$AE$404,$AL94),INDEX('04_調査結果'!$AS$5:$AS$404,$AL94)))</f>
        <v/>
      </c>
      <c r="U94" s="33">
        <f>IF($AL94="","",IF(INDEX('04_調査結果'!$AF$5:$AF$404,$AL94)&lt;&gt;"",INDEX('04_調査結果'!$AF$5:$AF$404,$AL94),INDEX('04_調査結果'!$AT$5:$AT$404,$AL94)))</f>
        <v/>
      </c>
      <c r="V94" s="33">
        <f>IF($AL94="","",INDEX('04_調査結果'!$AI$5:$AI$404,$AL94))</f>
        <v/>
      </c>
      <c r="W94">
        <f>IF($AL94="","",INDEX('04_調査結果'!$AU$5:$AU$404,$AL94))</f>
        <v/>
      </c>
      <c r="X94" s="37">
        <f>IF($AL94="","",INDEX('04_調査結果'!$AW$5:$AW$404,$AL94))</f>
        <v/>
      </c>
      <c r="Y94" s="37">
        <f>IF($AL94="","",INDEX('04_調査結果'!$AX$5:$AX$404,$AL94))</f>
        <v/>
      </c>
      <c r="Z94">
        <f>IF($AL94="","",INDEX('04_調査結果'!$S$5:$S$404,$AL94)&amp;"")</f>
        <v/>
      </c>
      <c r="AA94">
        <f>IF($AL94="","",INDEX('04_調査結果'!$T$5:$T$404,$AL94))</f>
        <v/>
      </c>
      <c r="AB94">
        <f>IF($AL94="","",INDEX('04_調査結果'!$U$5:$U$404,$AL94))</f>
        <v/>
      </c>
      <c r="AC94">
        <f>IF($AL94="","",INDEX('04_調査結果'!$V$5:$V$404,$AL94))</f>
        <v/>
      </c>
      <c r="AD94">
        <f>IF($AL94="","",INDEX('04_調査結果'!$W$5:$W$404,$AL94))</f>
        <v/>
      </c>
      <c r="AE94">
        <f>IF($AL94="","",INDEX('04_調査結果'!$X$5:$X$404,$AL94))</f>
        <v/>
      </c>
      <c r="AF94">
        <f>IF($AL94="","",INDEX('04_調査結果'!$Y$5:$Y$404,$AL94))</f>
        <v/>
      </c>
      <c r="AG94">
        <f>IF($AL94="","",INDEX('04_調査結果'!$Z$5:$Z$404,$AL94))</f>
        <v/>
      </c>
      <c r="AH94">
        <f>IF($AL94="","",INDEX('04_調査結果'!$AK$5:$AK$404,$AL94))</f>
        <v/>
      </c>
      <c r="AI94">
        <f>IF($AL94="","",INDEX('04_調査結果'!$AH$5:$AH$404,$AL94)&amp;"")</f>
        <v/>
      </c>
      <c r="AJ94">
        <f>IF($AL94="","",INDEX('04_調査結果'!$AA$5:$AA$404,$AL94)&amp;"")</f>
        <v/>
      </c>
      <c r="AK94">
        <f>IF($AL94="","",INDEX('04_調査結果'!$AC$5:$AC$404,$AL94)&amp;"")</f>
        <v/>
      </c>
      <c r="AL94" s="34">
        <f>IFERROR(MATCH(ROW()-4,'04_調査結果'!$AZ$5:$AZ$404,0),"")</f>
        <v/>
      </c>
    </row>
    <row r="95">
      <c r="A95">
        <f>IF($AL95="","",'01_設定'!$C$36)</f>
        <v/>
      </c>
      <c r="B95">
        <f>IF($AL95="","",'01_設定'!$C$5)</f>
        <v/>
      </c>
      <c r="C95">
        <f>IF($AL95="","",'01_設定'!$C$6)</f>
        <v/>
      </c>
      <c r="D95" s="36">
        <f>IF($AL95="","",'01_設定'!$C$22)</f>
        <v/>
      </c>
      <c r="E95" s="36">
        <f>IF($AL95="","",'01_設定'!$C$23)</f>
        <v/>
      </c>
      <c r="F95">
        <f>IF($AL95="","",'01_設定'!$C$32)</f>
        <v/>
      </c>
      <c r="G95">
        <f>IF($AL95="","",ROW()-4)</f>
        <v/>
      </c>
      <c r="H95">
        <f>IF($AL95="","",INDEX('04_調査結果'!$AO$5:$AO$404,$AL95))</f>
        <v/>
      </c>
      <c r="I95">
        <f>IF($AL95="","",IFERROR(INDEX('M2_区分マスタ'!$I$5:$I$10,INDEX('04_調査結果'!$AP$5:$AP$404,$AL95)),""))</f>
        <v/>
      </c>
      <c r="J95">
        <f>IF($AL95="","",INDEX('04_調査結果'!$BE$5:$BE$404,$AL95)&amp;"")</f>
        <v/>
      </c>
      <c r="K95">
        <f>IF($AL95="","",INDEX('04_調査結果'!$F$5:$F$404,$AL95)&amp;"")</f>
        <v/>
      </c>
      <c r="L95">
        <f>IF($AL95="","",INDEX('04_調査結果'!$G$5:$G$404,$AL95)&amp;"")</f>
        <v/>
      </c>
      <c r="M95">
        <f>IF($AL95="","",INDEX('04_調査結果'!$AQ$5:$AQ$404,$AL95)&amp;"")</f>
        <v/>
      </c>
      <c r="N95">
        <f>IF($AL95="","",IFERROR(INDEX('M1_類型マスタ'!$B$5:$B$19,MATCH(M95,'M1_類型マスタ'!$A$5:$A$19,0)),""))</f>
        <v/>
      </c>
      <c r="O95">
        <f>IF($AL95="","",INDEX('04_調査結果'!$I$5:$I$404,$AL95)&amp;"")</f>
        <v/>
      </c>
      <c r="P95">
        <f>IF($AL95="","",INDEX('04_調査結果'!$J$5:$J$404,$AL95)&amp;"")</f>
        <v/>
      </c>
      <c r="Q95">
        <f>IF($AL95="","",INDEX('04_調査結果'!$K$5:$K$404,$AL95)&amp;"")</f>
        <v/>
      </c>
      <c r="R95">
        <f>IF($AL95="","",INDEX('04_調査結果'!$L$5:$L$404,$AL95)&amp;"")</f>
        <v/>
      </c>
      <c r="S95">
        <f>IF($AL95="","",INDEX('04_調査結果'!$M$5:$M$404,$AL95)&amp;"")</f>
        <v/>
      </c>
      <c r="T95" s="33">
        <f>IF($AL95="","",IF(INDEX('04_調査結果'!$AE$5:$AE$404,$AL95)&lt;&gt;"",INDEX('04_調査結果'!$AE$5:$AE$404,$AL95),INDEX('04_調査結果'!$AS$5:$AS$404,$AL95)))</f>
        <v/>
      </c>
      <c r="U95" s="33">
        <f>IF($AL95="","",IF(INDEX('04_調査結果'!$AF$5:$AF$404,$AL95)&lt;&gt;"",INDEX('04_調査結果'!$AF$5:$AF$404,$AL95),INDEX('04_調査結果'!$AT$5:$AT$404,$AL95)))</f>
        <v/>
      </c>
      <c r="V95" s="33">
        <f>IF($AL95="","",INDEX('04_調査結果'!$AI$5:$AI$404,$AL95))</f>
        <v/>
      </c>
      <c r="W95">
        <f>IF($AL95="","",INDEX('04_調査結果'!$AU$5:$AU$404,$AL95))</f>
        <v/>
      </c>
      <c r="X95" s="37">
        <f>IF($AL95="","",INDEX('04_調査結果'!$AW$5:$AW$404,$AL95))</f>
        <v/>
      </c>
      <c r="Y95" s="37">
        <f>IF($AL95="","",INDEX('04_調査結果'!$AX$5:$AX$404,$AL95))</f>
        <v/>
      </c>
      <c r="Z95">
        <f>IF($AL95="","",INDEX('04_調査結果'!$S$5:$S$404,$AL95)&amp;"")</f>
        <v/>
      </c>
      <c r="AA95">
        <f>IF($AL95="","",INDEX('04_調査結果'!$T$5:$T$404,$AL95))</f>
        <v/>
      </c>
      <c r="AB95">
        <f>IF($AL95="","",INDEX('04_調査結果'!$U$5:$U$404,$AL95))</f>
        <v/>
      </c>
      <c r="AC95">
        <f>IF($AL95="","",INDEX('04_調査結果'!$V$5:$V$404,$AL95))</f>
        <v/>
      </c>
      <c r="AD95">
        <f>IF($AL95="","",INDEX('04_調査結果'!$W$5:$W$404,$AL95))</f>
        <v/>
      </c>
      <c r="AE95">
        <f>IF($AL95="","",INDEX('04_調査結果'!$X$5:$X$404,$AL95))</f>
        <v/>
      </c>
      <c r="AF95">
        <f>IF($AL95="","",INDEX('04_調査結果'!$Y$5:$Y$404,$AL95))</f>
        <v/>
      </c>
      <c r="AG95">
        <f>IF($AL95="","",INDEX('04_調査結果'!$Z$5:$Z$404,$AL95))</f>
        <v/>
      </c>
      <c r="AH95">
        <f>IF($AL95="","",INDEX('04_調査結果'!$AK$5:$AK$404,$AL95))</f>
        <v/>
      </c>
      <c r="AI95">
        <f>IF($AL95="","",INDEX('04_調査結果'!$AH$5:$AH$404,$AL95)&amp;"")</f>
        <v/>
      </c>
      <c r="AJ95">
        <f>IF($AL95="","",INDEX('04_調査結果'!$AA$5:$AA$404,$AL95)&amp;"")</f>
        <v/>
      </c>
      <c r="AK95">
        <f>IF($AL95="","",INDEX('04_調査結果'!$AC$5:$AC$404,$AL95)&amp;"")</f>
        <v/>
      </c>
      <c r="AL95" s="34">
        <f>IFERROR(MATCH(ROW()-4,'04_調査結果'!$AZ$5:$AZ$404,0),"")</f>
        <v/>
      </c>
    </row>
    <row r="96">
      <c r="A96">
        <f>IF($AL96="","",'01_設定'!$C$36)</f>
        <v/>
      </c>
      <c r="B96">
        <f>IF($AL96="","",'01_設定'!$C$5)</f>
        <v/>
      </c>
      <c r="C96">
        <f>IF($AL96="","",'01_設定'!$C$6)</f>
        <v/>
      </c>
      <c r="D96" s="36">
        <f>IF($AL96="","",'01_設定'!$C$22)</f>
        <v/>
      </c>
      <c r="E96" s="36">
        <f>IF($AL96="","",'01_設定'!$C$23)</f>
        <v/>
      </c>
      <c r="F96">
        <f>IF($AL96="","",'01_設定'!$C$32)</f>
        <v/>
      </c>
      <c r="G96">
        <f>IF($AL96="","",ROW()-4)</f>
        <v/>
      </c>
      <c r="H96">
        <f>IF($AL96="","",INDEX('04_調査結果'!$AO$5:$AO$404,$AL96))</f>
        <v/>
      </c>
      <c r="I96">
        <f>IF($AL96="","",IFERROR(INDEX('M2_区分マスタ'!$I$5:$I$10,INDEX('04_調査結果'!$AP$5:$AP$404,$AL96)),""))</f>
        <v/>
      </c>
      <c r="J96">
        <f>IF($AL96="","",INDEX('04_調査結果'!$BE$5:$BE$404,$AL96)&amp;"")</f>
        <v/>
      </c>
      <c r="K96">
        <f>IF($AL96="","",INDEX('04_調査結果'!$F$5:$F$404,$AL96)&amp;"")</f>
        <v/>
      </c>
      <c r="L96">
        <f>IF($AL96="","",INDEX('04_調査結果'!$G$5:$G$404,$AL96)&amp;"")</f>
        <v/>
      </c>
      <c r="M96">
        <f>IF($AL96="","",INDEX('04_調査結果'!$AQ$5:$AQ$404,$AL96)&amp;"")</f>
        <v/>
      </c>
      <c r="N96">
        <f>IF($AL96="","",IFERROR(INDEX('M1_類型マスタ'!$B$5:$B$19,MATCH(M96,'M1_類型マスタ'!$A$5:$A$19,0)),""))</f>
        <v/>
      </c>
      <c r="O96">
        <f>IF($AL96="","",INDEX('04_調査結果'!$I$5:$I$404,$AL96)&amp;"")</f>
        <v/>
      </c>
      <c r="P96">
        <f>IF($AL96="","",INDEX('04_調査結果'!$J$5:$J$404,$AL96)&amp;"")</f>
        <v/>
      </c>
      <c r="Q96">
        <f>IF($AL96="","",INDEX('04_調査結果'!$K$5:$K$404,$AL96)&amp;"")</f>
        <v/>
      </c>
      <c r="R96">
        <f>IF($AL96="","",INDEX('04_調査結果'!$L$5:$L$404,$AL96)&amp;"")</f>
        <v/>
      </c>
      <c r="S96">
        <f>IF($AL96="","",INDEX('04_調査結果'!$M$5:$M$404,$AL96)&amp;"")</f>
        <v/>
      </c>
      <c r="T96" s="33">
        <f>IF($AL96="","",IF(INDEX('04_調査結果'!$AE$5:$AE$404,$AL96)&lt;&gt;"",INDEX('04_調査結果'!$AE$5:$AE$404,$AL96),INDEX('04_調査結果'!$AS$5:$AS$404,$AL96)))</f>
        <v/>
      </c>
      <c r="U96" s="33">
        <f>IF($AL96="","",IF(INDEX('04_調査結果'!$AF$5:$AF$404,$AL96)&lt;&gt;"",INDEX('04_調査結果'!$AF$5:$AF$404,$AL96),INDEX('04_調査結果'!$AT$5:$AT$404,$AL96)))</f>
        <v/>
      </c>
      <c r="V96" s="33">
        <f>IF($AL96="","",INDEX('04_調査結果'!$AI$5:$AI$404,$AL96))</f>
        <v/>
      </c>
      <c r="W96">
        <f>IF($AL96="","",INDEX('04_調査結果'!$AU$5:$AU$404,$AL96))</f>
        <v/>
      </c>
      <c r="X96" s="37">
        <f>IF($AL96="","",INDEX('04_調査結果'!$AW$5:$AW$404,$AL96))</f>
        <v/>
      </c>
      <c r="Y96" s="37">
        <f>IF($AL96="","",INDEX('04_調査結果'!$AX$5:$AX$404,$AL96))</f>
        <v/>
      </c>
      <c r="Z96">
        <f>IF($AL96="","",INDEX('04_調査結果'!$S$5:$S$404,$AL96)&amp;"")</f>
        <v/>
      </c>
      <c r="AA96">
        <f>IF($AL96="","",INDEX('04_調査結果'!$T$5:$T$404,$AL96))</f>
        <v/>
      </c>
      <c r="AB96">
        <f>IF($AL96="","",INDEX('04_調査結果'!$U$5:$U$404,$AL96))</f>
        <v/>
      </c>
      <c r="AC96">
        <f>IF($AL96="","",INDEX('04_調査結果'!$V$5:$V$404,$AL96))</f>
        <v/>
      </c>
      <c r="AD96">
        <f>IF($AL96="","",INDEX('04_調査結果'!$W$5:$W$404,$AL96))</f>
        <v/>
      </c>
      <c r="AE96">
        <f>IF($AL96="","",INDEX('04_調査結果'!$X$5:$X$404,$AL96))</f>
        <v/>
      </c>
      <c r="AF96">
        <f>IF($AL96="","",INDEX('04_調査結果'!$Y$5:$Y$404,$AL96))</f>
        <v/>
      </c>
      <c r="AG96">
        <f>IF($AL96="","",INDEX('04_調査結果'!$Z$5:$Z$404,$AL96))</f>
        <v/>
      </c>
      <c r="AH96">
        <f>IF($AL96="","",INDEX('04_調査結果'!$AK$5:$AK$404,$AL96))</f>
        <v/>
      </c>
      <c r="AI96">
        <f>IF($AL96="","",INDEX('04_調査結果'!$AH$5:$AH$404,$AL96)&amp;"")</f>
        <v/>
      </c>
      <c r="AJ96">
        <f>IF($AL96="","",INDEX('04_調査結果'!$AA$5:$AA$404,$AL96)&amp;"")</f>
        <v/>
      </c>
      <c r="AK96">
        <f>IF($AL96="","",INDEX('04_調査結果'!$AC$5:$AC$404,$AL96)&amp;"")</f>
        <v/>
      </c>
      <c r="AL96" s="34">
        <f>IFERROR(MATCH(ROW()-4,'04_調査結果'!$AZ$5:$AZ$404,0),"")</f>
        <v/>
      </c>
    </row>
    <row r="97">
      <c r="A97">
        <f>IF($AL97="","",'01_設定'!$C$36)</f>
        <v/>
      </c>
      <c r="B97">
        <f>IF($AL97="","",'01_設定'!$C$5)</f>
        <v/>
      </c>
      <c r="C97">
        <f>IF($AL97="","",'01_設定'!$C$6)</f>
        <v/>
      </c>
      <c r="D97" s="36">
        <f>IF($AL97="","",'01_設定'!$C$22)</f>
        <v/>
      </c>
      <c r="E97" s="36">
        <f>IF($AL97="","",'01_設定'!$C$23)</f>
        <v/>
      </c>
      <c r="F97">
        <f>IF($AL97="","",'01_設定'!$C$32)</f>
        <v/>
      </c>
      <c r="G97">
        <f>IF($AL97="","",ROW()-4)</f>
        <v/>
      </c>
      <c r="H97">
        <f>IF($AL97="","",INDEX('04_調査結果'!$AO$5:$AO$404,$AL97))</f>
        <v/>
      </c>
      <c r="I97">
        <f>IF($AL97="","",IFERROR(INDEX('M2_区分マスタ'!$I$5:$I$10,INDEX('04_調査結果'!$AP$5:$AP$404,$AL97)),""))</f>
        <v/>
      </c>
      <c r="J97">
        <f>IF($AL97="","",INDEX('04_調査結果'!$BE$5:$BE$404,$AL97)&amp;"")</f>
        <v/>
      </c>
      <c r="K97">
        <f>IF($AL97="","",INDEX('04_調査結果'!$F$5:$F$404,$AL97)&amp;"")</f>
        <v/>
      </c>
      <c r="L97">
        <f>IF($AL97="","",INDEX('04_調査結果'!$G$5:$G$404,$AL97)&amp;"")</f>
        <v/>
      </c>
      <c r="M97">
        <f>IF($AL97="","",INDEX('04_調査結果'!$AQ$5:$AQ$404,$AL97)&amp;"")</f>
        <v/>
      </c>
      <c r="N97">
        <f>IF($AL97="","",IFERROR(INDEX('M1_類型マスタ'!$B$5:$B$19,MATCH(M97,'M1_類型マスタ'!$A$5:$A$19,0)),""))</f>
        <v/>
      </c>
      <c r="O97">
        <f>IF($AL97="","",INDEX('04_調査結果'!$I$5:$I$404,$AL97)&amp;"")</f>
        <v/>
      </c>
      <c r="P97">
        <f>IF($AL97="","",INDEX('04_調査結果'!$J$5:$J$404,$AL97)&amp;"")</f>
        <v/>
      </c>
      <c r="Q97">
        <f>IF($AL97="","",INDEX('04_調査結果'!$K$5:$K$404,$AL97)&amp;"")</f>
        <v/>
      </c>
      <c r="R97">
        <f>IF($AL97="","",INDEX('04_調査結果'!$L$5:$L$404,$AL97)&amp;"")</f>
        <v/>
      </c>
      <c r="S97">
        <f>IF($AL97="","",INDEX('04_調査結果'!$M$5:$M$404,$AL97)&amp;"")</f>
        <v/>
      </c>
      <c r="T97" s="33">
        <f>IF($AL97="","",IF(INDEX('04_調査結果'!$AE$5:$AE$404,$AL97)&lt;&gt;"",INDEX('04_調査結果'!$AE$5:$AE$404,$AL97),INDEX('04_調査結果'!$AS$5:$AS$404,$AL97)))</f>
        <v/>
      </c>
      <c r="U97" s="33">
        <f>IF($AL97="","",IF(INDEX('04_調査結果'!$AF$5:$AF$404,$AL97)&lt;&gt;"",INDEX('04_調査結果'!$AF$5:$AF$404,$AL97),INDEX('04_調査結果'!$AT$5:$AT$404,$AL97)))</f>
        <v/>
      </c>
      <c r="V97" s="33">
        <f>IF($AL97="","",INDEX('04_調査結果'!$AI$5:$AI$404,$AL97))</f>
        <v/>
      </c>
      <c r="W97">
        <f>IF($AL97="","",INDEX('04_調査結果'!$AU$5:$AU$404,$AL97))</f>
        <v/>
      </c>
      <c r="X97" s="37">
        <f>IF($AL97="","",INDEX('04_調査結果'!$AW$5:$AW$404,$AL97))</f>
        <v/>
      </c>
      <c r="Y97" s="37">
        <f>IF($AL97="","",INDEX('04_調査結果'!$AX$5:$AX$404,$AL97))</f>
        <v/>
      </c>
      <c r="Z97">
        <f>IF($AL97="","",INDEX('04_調査結果'!$S$5:$S$404,$AL97)&amp;"")</f>
        <v/>
      </c>
      <c r="AA97">
        <f>IF($AL97="","",INDEX('04_調査結果'!$T$5:$T$404,$AL97))</f>
        <v/>
      </c>
      <c r="AB97">
        <f>IF($AL97="","",INDEX('04_調査結果'!$U$5:$U$404,$AL97))</f>
        <v/>
      </c>
      <c r="AC97">
        <f>IF($AL97="","",INDEX('04_調査結果'!$V$5:$V$404,$AL97))</f>
        <v/>
      </c>
      <c r="AD97">
        <f>IF($AL97="","",INDEX('04_調査結果'!$W$5:$W$404,$AL97))</f>
        <v/>
      </c>
      <c r="AE97">
        <f>IF($AL97="","",INDEX('04_調査結果'!$X$5:$X$404,$AL97))</f>
        <v/>
      </c>
      <c r="AF97">
        <f>IF($AL97="","",INDEX('04_調査結果'!$Y$5:$Y$404,$AL97))</f>
        <v/>
      </c>
      <c r="AG97">
        <f>IF($AL97="","",INDEX('04_調査結果'!$Z$5:$Z$404,$AL97))</f>
        <v/>
      </c>
      <c r="AH97">
        <f>IF($AL97="","",INDEX('04_調査結果'!$AK$5:$AK$404,$AL97))</f>
        <v/>
      </c>
      <c r="AI97">
        <f>IF($AL97="","",INDEX('04_調査結果'!$AH$5:$AH$404,$AL97)&amp;"")</f>
        <v/>
      </c>
      <c r="AJ97">
        <f>IF($AL97="","",INDEX('04_調査結果'!$AA$5:$AA$404,$AL97)&amp;"")</f>
        <v/>
      </c>
      <c r="AK97">
        <f>IF($AL97="","",INDEX('04_調査結果'!$AC$5:$AC$404,$AL97)&amp;"")</f>
        <v/>
      </c>
      <c r="AL97" s="34">
        <f>IFERROR(MATCH(ROW()-4,'04_調査結果'!$AZ$5:$AZ$404,0),"")</f>
        <v/>
      </c>
    </row>
    <row r="98">
      <c r="A98">
        <f>IF($AL98="","",'01_設定'!$C$36)</f>
        <v/>
      </c>
      <c r="B98">
        <f>IF($AL98="","",'01_設定'!$C$5)</f>
        <v/>
      </c>
      <c r="C98">
        <f>IF($AL98="","",'01_設定'!$C$6)</f>
        <v/>
      </c>
      <c r="D98" s="36">
        <f>IF($AL98="","",'01_設定'!$C$22)</f>
        <v/>
      </c>
      <c r="E98" s="36">
        <f>IF($AL98="","",'01_設定'!$C$23)</f>
        <v/>
      </c>
      <c r="F98">
        <f>IF($AL98="","",'01_設定'!$C$32)</f>
        <v/>
      </c>
      <c r="G98">
        <f>IF($AL98="","",ROW()-4)</f>
        <v/>
      </c>
      <c r="H98">
        <f>IF($AL98="","",INDEX('04_調査結果'!$AO$5:$AO$404,$AL98))</f>
        <v/>
      </c>
      <c r="I98">
        <f>IF($AL98="","",IFERROR(INDEX('M2_区分マスタ'!$I$5:$I$10,INDEX('04_調査結果'!$AP$5:$AP$404,$AL98)),""))</f>
        <v/>
      </c>
      <c r="J98">
        <f>IF($AL98="","",INDEX('04_調査結果'!$BE$5:$BE$404,$AL98)&amp;"")</f>
        <v/>
      </c>
      <c r="K98">
        <f>IF($AL98="","",INDEX('04_調査結果'!$F$5:$F$404,$AL98)&amp;"")</f>
        <v/>
      </c>
      <c r="L98">
        <f>IF($AL98="","",INDEX('04_調査結果'!$G$5:$G$404,$AL98)&amp;"")</f>
        <v/>
      </c>
      <c r="M98">
        <f>IF($AL98="","",INDEX('04_調査結果'!$AQ$5:$AQ$404,$AL98)&amp;"")</f>
        <v/>
      </c>
      <c r="N98">
        <f>IF($AL98="","",IFERROR(INDEX('M1_類型マスタ'!$B$5:$B$19,MATCH(M98,'M1_類型マスタ'!$A$5:$A$19,0)),""))</f>
        <v/>
      </c>
      <c r="O98">
        <f>IF($AL98="","",INDEX('04_調査結果'!$I$5:$I$404,$AL98)&amp;"")</f>
        <v/>
      </c>
      <c r="P98">
        <f>IF($AL98="","",INDEX('04_調査結果'!$J$5:$J$404,$AL98)&amp;"")</f>
        <v/>
      </c>
      <c r="Q98">
        <f>IF($AL98="","",INDEX('04_調査結果'!$K$5:$K$404,$AL98)&amp;"")</f>
        <v/>
      </c>
      <c r="R98">
        <f>IF($AL98="","",INDEX('04_調査結果'!$L$5:$L$404,$AL98)&amp;"")</f>
        <v/>
      </c>
      <c r="S98">
        <f>IF($AL98="","",INDEX('04_調査結果'!$M$5:$M$404,$AL98)&amp;"")</f>
        <v/>
      </c>
      <c r="T98" s="33">
        <f>IF($AL98="","",IF(INDEX('04_調査結果'!$AE$5:$AE$404,$AL98)&lt;&gt;"",INDEX('04_調査結果'!$AE$5:$AE$404,$AL98),INDEX('04_調査結果'!$AS$5:$AS$404,$AL98)))</f>
        <v/>
      </c>
      <c r="U98" s="33">
        <f>IF($AL98="","",IF(INDEX('04_調査結果'!$AF$5:$AF$404,$AL98)&lt;&gt;"",INDEX('04_調査結果'!$AF$5:$AF$404,$AL98),INDEX('04_調査結果'!$AT$5:$AT$404,$AL98)))</f>
        <v/>
      </c>
      <c r="V98" s="33">
        <f>IF($AL98="","",INDEX('04_調査結果'!$AI$5:$AI$404,$AL98))</f>
        <v/>
      </c>
      <c r="W98">
        <f>IF($AL98="","",INDEX('04_調査結果'!$AU$5:$AU$404,$AL98))</f>
        <v/>
      </c>
      <c r="X98" s="37">
        <f>IF($AL98="","",INDEX('04_調査結果'!$AW$5:$AW$404,$AL98))</f>
        <v/>
      </c>
      <c r="Y98" s="37">
        <f>IF($AL98="","",INDEX('04_調査結果'!$AX$5:$AX$404,$AL98))</f>
        <v/>
      </c>
      <c r="Z98">
        <f>IF($AL98="","",INDEX('04_調査結果'!$S$5:$S$404,$AL98)&amp;"")</f>
        <v/>
      </c>
      <c r="AA98">
        <f>IF($AL98="","",INDEX('04_調査結果'!$T$5:$T$404,$AL98))</f>
        <v/>
      </c>
      <c r="AB98">
        <f>IF($AL98="","",INDEX('04_調査結果'!$U$5:$U$404,$AL98))</f>
        <v/>
      </c>
      <c r="AC98">
        <f>IF($AL98="","",INDEX('04_調査結果'!$V$5:$V$404,$AL98))</f>
        <v/>
      </c>
      <c r="AD98">
        <f>IF($AL98="","",INDEX('04_調査結果'!$W$5:$W$404,$AL98))</f>
        <v/>
      </c>
      <c r="AE98">
        <f>IF($AL98="","",INDEX('04_調査結果'!$X$5:$X$404,$AL98))</f>
        <v/>
      </c>
      <c r="AF98">
        <f>IF($AL98="","",INDEX('04_調査結果'!$Y$5:$Y$404,$AL98))</f>
        <v/>
      </c>
      <c r="AG98">
        <f>IF($AL98="","",INDEX('04_調査結果'!$Z$5:$Z$404,$AL98))</f>
        <v/>
      </c>
      <c r="AH98">
        <f>IF($AL98="","",INDEX('04_調査結果'!$AK$5:$AK$404,$AL98))</f>
        <v/>
      </c>
      <c r="AI98">
        <f>IF($AL98="","",INDEX('04_調査結果'!$AH$5:$AH$404,$AL98)&amp;"")</f>
        <v/>
      </c>
      <c r="AJ98">
        <f>IF($AL98="","",INDEX('04_調査結果'!$AA$5:$AA$404,$AL98)&amp;"")</f>
        <v/>
      </c>
      <c r="AK98">
        <f>IF($AL98="","",INDEX('04_調査結果'!$AC$5:$AC$404,$AL98)&amp;"")</f>
        <v/>
      </c>
      <c r="AL98" s="34">
        <f>IFERROR(MATCH(ROW()-4,'04_調査結果'!$AZ$5:$AZ$404,0),"")</f>
        <v/>
      </c>
    </row>
    <row r="99">
      <c r="A99">
        <f>IF($AL99="","",'01_設定'!$C$36)</f>
        <v/>
      </c>
      <c r="B99">
        <f>IF($AL99="","",'01_設定'!$C$5)</f>
        <v/>
      </c>
      <c r="C99">
        <f>IF($AL99="","",'01_設定'!$C$6)</f>
        <v/>
      </c>
      <c r="D99" s="36">
        <f>IF($AL99="","",'01_設定'!$C$22)</f>
        <v/>
      </c>
      <c r="E99" s="36">
        <f>IF($AL99="","",'01_設定'!$C$23)</f>
        <v/>
      </c>
      <c r="F99">
        <f>IF($AL99="","",'01_設定'!$C$32)</f>
        <v/>
      </c>
      <c r="G99">
        <f>IF($AL99="","",ROW()-4)</f>
        <v/>
      </c>
      <c r="H99">
        <f>IF($AL99="","",INDEX('04_調査結果'!$AO$5:$AO$404,$AL99))</f>
        <v/>
      </c>
      <c r="I99">
        <f>IF($AL99="","",IFERROR(INDEX('M2_区分マスタ'!$I$5:$I$10,INDEX('04_調査結果'!$AP$5:$AP$404,$AL99)),""))</f>
        <v/>
      </c>
      <c r="J99">
        <f>IF($AL99="","",INDEX('04_調査結果'!$BE$5:$BE$404,$AL99)&amp;"")</f>
        <v/>
      </c>
      <c r="K99">
        <f>IF($AL99="","",INDEX('04_調査結果'!$F$5:$F$404,$AL99)&amp;"")</f>
        <v/>
      </c>
      <c r="L99">
        <f>IF($AL99="","",INDEX('04_調査結果'!$G$5:$G$404,$AL99)&amp;"")</f>
        <v/>
      </c>
      <c r="M99">
        <f>IF($AL99="","",INDEX('04_調査結果'!$AQ$5:$AQ$404,$AL99)&amp;"")</f>
        <v/>
      </c>
      <c r="N99">
        <f>IF($AL99="","",IFERROR(INDEX('M1_類型マスタ'!$B$5:$B$19,MATCH(M99,'M1_類型マスタ'!$A$5:$A$19,0)),""))</f>
        <v/>
      </c>
      <c r="O99">
        <f>IF($AL99="","",INDEX('04_調査結果'!$I$5:$I$404,$AL99)&amp;"")</f>
        <v/>
      </c>
      <c r="P99">
        <f>IF($AL99="","",INDEX('04_調査結果'!$J$5:$J$404,$AL99)&amp;"")</f>
        <v/>
      </c>
      <c r="Q99">
        <f>IF($AL99="","",INDEX('04_調査結果'!$K$5:$K$404,$AL99)&amp;"")</f>
        <v/>
      </c>
      <c r="R99">
        <f>IF($AL99="","",INDEX('04_調査結果'!$L$5:$L$404,$AL99)&amp;"")</f>
        <v/>
      </c>
      <c r="S99">
        <f>IF($AL99="","",INDEX('04_調査結果'!$M$5:$M$404,$AL99)&amp;"")</f>
        <v/>
      </c>
      <c r="T99" s="33">
        <f>IF($AL99="","",IF(INDEX('04_調査結果'!$AE$5:$AE$404,$AL99)&lt;&gt;"",INDEX('04_調査結果'!$AE$5:$AE$404,$AL99),INDEX('04_調査結果'!$AS$5:$AS$404,$AL99)))</f>
        <v/>
      </c>
      <c r="U99" s="33">
        <f>IF($AL99="","",IF(INDEX('04_調査結果'!$AF$5:$AF$404,$AL99)&lt;&gt;"",INDEX('04_調査結果'!$AF$5:$AF$404,$AL99),INDEX('04_調査結果'!$AT$5:$AT$404,$AL99)))</f>
        <v/>
      </c>
      <c r="V99" s="33">
        <f>IF($AL99="","",INDEX('04_調査結果'!$AI$5:$AI$404,$AL99))</f>
        <v/>
      </c>
      <c r="W99">
        <f>IF($AL99="","",INDEX('04_調査結果'!$AU$5:$AU$404,$AL99))</f>
        <v/>
      </c>
      <c r="X99" s="37">
        <f>IF($AL99="","",INDEX('04_調査結果'!$AW$5:$AW$404,$AL99))</f>
        <v/>
      </c>
      <c r="Y99" s="37">
        <f>IF($AL99="","",INDEX('04_調査結果'!$AX$5:$AX$404,$AL99))</f>
        <v/>
      </c>
      <c r="Z99">
        <f>IF($AL99="","",INDEX('04_調査結果'!$S$5:$S$404,$AL99)&amp;"")</f>
        <v/>
      </c>
      <c r="AA99">
        <f>IF($AL99="","",INDEX('04_調査結果'!$T$5:$T$404,$AL99))</f>
        <v/>
      </c>
      <c r="AB99">
        <f>IF($AL99="","",INDEX('04_調査結果'!$U$5:$U$404,$AL99))</f>
        <v/>
      </c>
      <c r="AC99">
        <f>IF($AL99="","",INDEX('04_調査結果'!$V$5:$V$404,$AL99))</f>
        <v/>
      </c>
      <c r="AD99">
        <f>IF($AL99="","",INDEX('04_調査結果'!$W$5:$W$404,$AL99))</f>
        <v/>
      </c>
      <c r="AE99">
        <f>IF($AL99="","",INDEX('04_調査結果'!$X$5:$X$404,$AL99))</f>
        <v/>
      </c>
      <c r="AF99">
        <f>IF($AL99="","",INDEX('04_調査結果'!$Y$5:$Y$404,$AL99))</f>
        <v/>
      </c>
      <c r="AG99">
        <f>IF($AL99="","",INDEX('04_調査結果'!$Z$5:$Z$404,$AL99))</f>
        <v/>
      </c>
      <c r="AH99">
        <f>IF($AL99="","",INDEX('04_調査結果'!$AK$5:$AK$404,$AL99))</f>
        <v/>
      </c>
      <c r="AI99">
        <f>IF($AL99="","",INDEX('04_調査結果'!$AH$5:$AH$404,$AL99)&amp;"")</f>
        <v/>
      </c>
      <c r="AJ99">
        <f>IF($AL99="","",INDEX('04_調査結果'!$AA$5:$AA$404,$AL99)&amp;"")</f>
        <v/>
      </c>
      <c r="AK99">
        <f>IF($AL99="","",INDEX('04_調査結果'!$AC$5:$AC$404,$AL99)&amp;"")</f>
        <v/>
      </c>
      <c r="AL99" s="34">
        <f>IFERROR(MATCH(ROW()-4,'04_調査結果'!$AZ$5:$AZ$404,0),"")</f>
        <v/>
      </c>
    </row>
    <row r="100">
      <c r="A100">
        <f>IF($AL100="","",'01_設定'!$C$36)</f>
        <v/>
      </c>
      <c r="B100">
        <f>IF($AL100="","",'01_設定'!$C$5)</f>
        <v/>
      </c>
      <c r="C100">
        <f>IF($AL100="","",'01_設定'!$C$6)</f>
        <v/>
      </c>
      <c r="D100" s="36">
        <f>IF($AL100="","",'01_設定'!$C$22)</f>
        <v/>
      </c>
      <c r="E100" s="36">
        <f>IF($AL100="","",'01_設定'!$C$23)</f>
        <v/>
      </c>
      <c r="F100">
        <f>IF($AL100="","",'01_設定'!$C$32)</f>
        <v/>
      </c>
      <c r="G100">
        <f>IF($AL100="","",ROW()-4)</f>
        <v/>
      </c>
      <c r="H100">
        <f>IF($AL100="","",INDEX('04_調査結果'!$AO$5:$AO$404,$AL100))</f>
        <v/>
      </c>
      <c r="I100">
        <f>IF($AL100="","",IFERROR(INDEX('M2_区分マスタ'!$I$5:$I$10,INDEX('04_調査結果'!$AP$5:$AP$404,$AL100)),""))</f>
        <v/>
      </c>
      <c r="J100">
        <f>IF($AL100="","",INDEX('04_調査結果'!$BE$5:$BE$404,$AL100)&amp;"")</f>
        <v/>
      </c>
      <c r="K100">
        <f>IF($AL100="","",INDEX('04_調査結果'!$F$5:$F$404,$AL100)&amp;"")</f>
        <v/>
      </c>
      <c r="L100">
        <f>IF($AL100="","",INDEX('04_調査結果'!$G$5:$G$404,$AL100)&amp;"")</f>
        <v/>
      </c>
      <c r="M100">
        <f>IF($AL100="","",INDEX('04_調査結果'!$AQ$5:$AQ$404,$AL100)&amp;"")</f>
        <v/>
      </c>
      <c r="N100">
        <f>IF($AL100="","",IFERROR(INDEX('M1_類型マスタ'!$B$5:$B$19,MATCH(M100,'M1_類型マスタ'!$A$5:$A$19,0)),""))</f>
        <v/>
      </c>
      <c r="O100">
        <f>IF($AL100="","",INDEX('04_調査結果'!$I$5:$I$404,$AL100)&amp;"")</f>
        <v/>
      </c>
      <c r="P100">
        <f>IF($AL100="","",INDEX('04_調査結果'!$J$5:$J$404,$AL100)&amp;"")</f>
        <v/>
      </c>
      <c r="Q100">
        <f>IF($AL100="","",INDEX('04_調査結果'!$K$5:$K$404,$AL100)&amp;"")</f>
        <v/>
      </c>
      <c r="R100">
        <f>IF($AL100="","",INDEX('04_調査結果'!$L$5:$L$404,$AL100)&amp;"")</f>
        <v/>
      </c>
      <c r="S100">
        <f>IF($AL100="","",INDEX('04_調査結果'!$M$5:$M$404,$AL100)&amp;"")</f>
        <v/>
      </c>
      <c r="T100" s="33">
        <f>IF($AL100="","",IF(INDEX('04_調査結果'!$AE$5:$AE$404,$AL100)&lt;&gt;"",INDEX('04_調査結果'!$AE$5:$AE$404,$AL100),INDEX('04_調査結果'!$AS$5:$AS$404,$AL100)))</f>
        <v/>
      </c>
      <c r="U100" s="33">
        <f>IF($AL100="","",IF(INDEX('04_調査結果'!$AF$5:$AF$404,$AL100)&lt;&gt;"",INDEX('04_調査結果'!$AF$5:$AF$404,$AL100),INDEX('04_調査結果'!$AT$5:$AT$404,$AL100)))</f>
        <v/>
      </c>
      <c r="V100" s="33">
        <f>IF($AL100="","",INDEX('04_調査結果'!$AI$5:$AI$404,$AL100))</f>
        <v/>
      </c>
      <c r="W100">
        <f>IF($AL100="","",INDEX('04_調査結果'!$AU$5:$AU$404,$AL100))</f>
        <v/>
      </c>
      <c r="X100" s="37">
        <f>IF($AL100="","",INDEX('04_調査結果'!$AW$5:$AW$404,$AL100))</f>
        <v/>
      </c>
      <c r="Y100" s="37">
        <f>IF($AL100="","",INDEX('04_調査結果'!$AX$5:$AX$404,$AL100))</f>
        <v/>
      </c>
      <c r="Z100">
        <f>IF($AL100="","",INDEX('04_調査結果'!$S$5:$S$404,$AL100)&amp;"")</f>
        <v/>
      </c>
      <c r="AA100">
        <f>IF($AL100="","",INDEX('04_調査結果'!$T$5:$T$404,$AL100))</f>
        <v/>
      </c>
      <c r="AB100">
        <f>IF($AL100="","",INDEX('04_調査結果'!$U$5:$U$404,$AL100))</f>
        <v/>
      </c>
      <c r="AC100">
        <f>IF($AL100="","",INDEX('04_調査結果'!$V$5:$V$404,$AL100))</f>
        <v/>
      </c>
      <c r="AD100">
        <f>IF($AL100="","",INDEX('04_調査結果'!$W$5:$W$404,$AL100))</f>
        <v/>
      </c>
      <c r="AE100">
        <f>IF($AL100="","",INDEX('04_調査結果'!$X$5:$X$404,$AL100))</f>
        <v/>
      </c>
      <c r="AF100">
        <f>IF($AL100="","",INDEX('04_調査結果'!$Y$5:$Y$404,$AL100))</f>
        <v/>
      </c>
      <c r="AG100">
        <f>IF($AL100="","",INDEX('04_調査結果'!$Z$5:$Z$404,$AL100))</f>
        <v/>
      </c>
      <c r="AH100">
        <f>IF($AL100="","",INDEX('04_調査結果'!$AK$5:$AK$404,$AL100))</f>
        <v/>
      </c>
      <c r="AI100">
        <f>IF($AL100="","",INDEX('04_調査結果'!$AH$5:$AH$404,$AL100)&amp;"")</f>
        <v/>
      </c>
      <c r="AJ100">
        <f>IF($AL100="","",INDEX('04_調査結果'!$AA$5:$AA$404,$AL100)&amp;"")</f>
        <v/>
      </c>
      <c r="AK100">
        <f>IF($AL100="","",INDEX('04_調査結果'!$AC$5:$AC$404,$AL100)&amp;"")</f>
        <v/>
      </c>
      <c r="AL100" s="34">
        <f>IFERROR(MATCH(ROW()-4,'04_調査結果'!$AZ$5:$AZ$404,0),"")</f>
        <v/>
      </c>
    </row>
    <row r="101">
      <c r="A101">
        <f>IF($AL101="","",'01_設定'!$C$36)</f>
        <v/>
      </c>
      <c r="B101">
        <f>IF($AL101="","",'01_設定'!$C$5)</f>
        <v/>
      </c>
      <c r="C101">
        <f>IF($AL101="","",'01_設定'!$C$6)</f>
        <v/>
      </c>
      <c r="D101" s="36">
        <f>IF($AL101="","",'01_設定'!$C$22)</f>
        <v/>
      </c>
      <c r="E101" s="36">
        <f>IF($AL101="","",'01_設定'!$C$23)</f>
        <v/>
      </c>
      <c r="F101">
        <f>IF($AL101="","",'01_設定'!$C$32)</f>
        <v/>
      </c>
      <c r="G101">
        <f>IF($AL101="","",ROW()-4)</f>
        <v/>
      </c>
      <c r="H101">
        <f>IF($AL101="","",INDEX('04_調査結果'!$AO$5:$AO$404,$AL101))</f>
        <v/>
      </c>
      <c r="I101">
        <f>IF($AL101="","",IFERROR(INDEX('M2_区分マスタ'!$I$5:$I$10,INDEX('04_調査結果'!$AP$5:$AP$404,$AL101)),""))</f>
        <v/>
      </c>
      <c r="J101">
        <f>IF($AL101="","",INDEX('04_調査結果'!$BE$5:$BE$404,$AL101)&amp;"")</f>
        <v/>
      </c>
      <c r="K101">
        <f>IF($AL101="","",INDEX('04_調査結果'!$F$5:$F$404,$AL101)&amp;"")</f>
        <v/>
      </c>
      <c r="L101">
        <f>IF($AL101="","",INDEX('04_調査結果'!$G$5:$G$404,$AL101)&amp;"")</f>
        <v/>
      </c>
      <c r="M101">
        <f>IF($AL101="","",INDEX('04_調査結果'!$AQ$5:$AQ$404,$AL101)&amp;"")</f>
        <v/>
      </c>
      <c r="N101">
        <f>IF($AL101="","",IFERROR(INDEX('M1_類型マスタ'!$B$5:$B$19,MATCH(M101,'M1_類型マスタ'!$A$5:$A$19,0)),""))</f>
        <v/>
      </c>
      <c r="O101">
        <f>IF($AL101="","",INDEX('04_調査結果'!$I$5:$I$404,$AL101)&amp;"")</f>
        <v/>
      </c>
      <c r="P101">
        <f>IF($AL101="","",INDEX('04_調査結果'!$J$5:$J$404,$AL101)&amp;"")</f>
        <v/>
      </c>
      <c r="Q101">
        <f>IF($AL101="","",INDEX('04_調査結果'!$K$5:$K$404,$AL101)&amp;"")</f>
        <v/>
      </c>
      <c r="R101">
        <f>IF($AL101="","",INDEX('04_調査結果'!$L$5:$L$404,$AL101)&amp;"")</f>
        <v/>
      </c>
      <c r="S101">
        <f>IF($AL101="","",INDEX('04_調査結果'!$M$5:$M$404,$AL101)&amp;"")</f>
        <v/>
      </c>
      <c r="T101" s="33">
        <f>IF($AL101="","",IF(INDEX('04_調査結果'!$AE$5:$AE$404,$AL101)&lt;&gt;"",INDEX('04_調査結果'!$AE$5:$AE$404,$AL101),INDEX('04_調査結果'!$AS$5:$AS$404,$AL101)))</f>
        <v/>
      </c>
      <c r="U101" s="33">
        <f>IF($AL101="","",IF(INDEX('04_調査結果'!$AF$5:$AF$404,$AL101)&lt;&gt;"",INDEX('04_調査結果'!$AF$5:$AF$404,$AL101),INDEX('04_調査結果'!$AT$5:$AT$404,$AL101)))</f>
        <v/>
      </c>
      <c r="V101" s="33">
        <f>IF($AL101="","",INDEX('04_調査結果'!$AI$5:$AI$404,$AL101))</f>
        <v/>
      </c>
      <c r="W101">
        <f>IF($AL101="","",INDEX('04_調査結果'!$AU$5:$AU$404,$AL101))</f>
        <v/>
      </c>
      <c r="X101" s="37">
        <f>IF($AL101="","",INDEX('04_調査結果'!$AW$5:$AW$404,$AL101))</f>
        <v/>
      </c>
      <c r="Y101" s="37">
        <f>IF($AL101="","",INDEX('04_調査結果'!$AX$5:$AX$404,$AL101))</f>
        <v/>
      </c>
      <c r="Z101">
        <f>IF($AL101="","",INDEX('04_調査結果'!$S$5:$S$404,$AL101)&amp;"")</f>
        <v/>
      </c>
      <c r="AA101">
        <f>IF($AL101="","",INDEX('04_調査結果'!$T$5:$T$404,$AL101))</f>
        <v/>
      </c>
      <c r="AB101">
        <f>IF($AL101="","",INDEX('04_調査結果'!$U$5:$U$404,$AL101))</f>
        <v/>
      </c>
      <c r="AC101">
        <f>IF($AL101="","",INDEX('04_調査結果'!$V$5:$V$404,$AL101))</f>
        <v/>
      </c>
      <c r="AD101">
        <f>IF($AL101="","",INDEX('04_調査結果'!$W$5:$W$404,$AL101))</f>
        <v/>
      </c>
      <c r="AE101">
        <f>IF($AL101="","",INDEX('04_調査結果'!$X$5:$X$404,$AL101))</f>
        <v/>
      </c>
      <c r="AF101">
        <f>IF($AL101="","",INDEX('04_調査結果'!$Y$5:$Y$404,$AL101))</f>
        <v/>
      </c>
      <c r="AG101">
        <f>IF($AL101="","",INDEX('04_調査結果'!$Z$5:$Z$404,$AL101))</f>
        <v/>
      </c>
      <c r="AH101">
        <f>IF($AL101="","",INDEX('04_調査結果'!$AK$5:$AK$404,$AL101))</f>
        <v/>
      </c>
      <c r="AI101">
        <f>IF($AL101="","",INDEX('04_調査結果'!$AH$5:$AH$404,$AL101)&amp;"")</f>
        <v/>
      </c>
      <c r="AJ101">
        <f>IF($AL101="","",INDEX('04_調査結果'!$AA$5:$AA$404,$AL101)&amp;"")</f>
        <v/>
      </c>
      <c r="AK101">
        <f>IF($AL101="","",INDEX('04_調査結果'!$AC$5:$AC$404,$AL101)&amp;"")</f>
        <v/>
      </c>
      <c r="AL101" s="34">
        <f>IFERROR(MATCH(ROW()-4,'04_調査結果'!$AZ$5:$AZ$404,0),"")</f>
        <v/>
      </c>
    </row>
    <row r="102">
      <c r="A102">
        <f>IF($AL102="","",'01_設定'!$C$36)</f>
        <v/>
      </c>
      <c r="B102">
        <f>IF($AL102="","",'01_設定'!$C$5)</f>
        <v/>
      </c>
      <c r="C102">
        <f>IF($AL102="","",'01_設定'!$C$6)</f>
        <v/>
      </c>
      <c r="D102" s="36">
        <f>IF($AL102="","",'01_設定'!$C$22)</f>
        <v/>
      </c>
      <c r="E102" s="36">
        <f>IF($AL102="","",'01_設定'!$C$23)</f>
        <v/>
      </c>
      <c r="F102">
        <f>IF($AL102="","",'01_設定'!$C$32)</f>
        <v/>
      </c>
      <c r="G102">
        <f>IF($AL102="","",ROW()-4)</f>
        <v/>
      </c>
      <c r="H102">
        <f>IF($AL102="","",INDEX('04_調査結果'!$AO$5:$AO$404,$AL102))</f>
        <v/>
      </c>
      <c r="I102">
        <f>IF($AL102="","",IFERROR(INDEX('M2_区分マスタ'!$I$5:$I$10,INDEX('04_調査結果'!$AP$5:$AP$404,$AL102)),""))</f>
        <v/>
      </c>
      <c r="J102">
        <f>IF($AL102="","",INDEX('04_調査結果'!$BE$5:$BE$404,$AL102)&amp;"")</f>
        <v/>
      </c>
      <c r="K102">
        <f>IF($AL102="","",INDEX('04_調査結果'!$F$5:$F$404,$AL102)&amp;"")</f>
        <v/>
      </c>
      <c r="L102">
        <f>IF($AL102="","",INDEX('04_調査結果'!$G$5:$G$404,$AL102)&amp;"")</f>
        <v/>
      </c>
      <c r="M102">
        <f>IF($AL102="","",INDEX('04_調査結果'!$AQ$5:$AQ$404,$AL102)&amp;"")</f>
        <v/>
      </c>
      <c r="N102">
        <f>IF($AL102="","",IFERROR(INDEX('M1_類型マスタ'!$B$5:$B$19,MATCH(M102,'M1_類型マスタ'!$A$5:$A$19,0)),""))</f>
        <v/>
      </c>
      <c r="O102">
        <f>IF($AL102="","",INDEX('04_調査結果'!$I$5:$I$404,$AL102)&amp;"")</f>
        <v/>
      </c>
      <c r="P102">
        <f>IF($AL102="","",INDEX('04_調査結果'!$J$5:$J$404,$AL102)&amp;"")</f>
        <v/>
      </c>
      <c r="Q102">
        <f>IF($AL102="","",INDEX('04_調査結果'!$K$5:$K$404,$AL102)&amp;"")</f>
        <v/>
      </c>
      <c r="R102">
        <f>IF($AL102="","",INDEX('04_調査結果'!$L$5:$L$404,$AL102)&amp;"")</f>
        <v/>
      </c>
      <c r="S102">
        <f>IF($AL102="","",INDEX('04_調査結果'!$M$5:$M$404,$AL102)&amp;"")</f>
        <v/>
      </c>
      <c r="T102" s="33">
        <f>IF($AL102="","",IF(INDEX('04_調査結果'!$AE$5:$AE$404,$AL102)&lt;&gt;"",INDEX('04_調査結果'!$AE$5:$AE$404,$AL102),INDEX('04_調査結果'!$AS$5:$AS$404,$AL102)))</f>
        <v/>
      </c>
      <c r="U102" s="33">
        <f>IF($AL102="","",IF(INDEX('04_調査結果'!$AF$5:$AF$404,$AL102)&lt;&gt;"",INDEX('04_調査結果'!$AF$5:$AF$404,$AL102),INDEX('04_調査結果'!$AT$5:$AT$404,$AL102)))</f>
        <v/>
      </c>
      <c r="V102" s="33">
        <f>IF($AL102="","",INDEX('04_調査結果'!$AI$5:$AI$404,$AL102))</f>
        <v/>
      </c>
      <c r="W102">
        <f>IF($AL102="","",INDEX('04_調査結果'!$AU$5:$AU$404,$AL102))</f>
        <v/>
      </c>
      <c r="X102" s="37">
        <f>IF($AL102="","",INDEX('04_調査結果'!$AW$5:$AW$404,$AL102))</f>
        <v/>
      </c>
      <c r="Y102" s="37">
        <f>IF($AL102="","",INDEX('04_調査結果'!$AX$5:$AX$404,$AL102))</f>
        <v/>
      </c>
      <c r="Z102">
        <f>IF($AL102="","",INDEX('04_調査結果'!$S$5:$S$404,$AL102)&amp;"")</f>
        <v/>
      </c>
      <c r="AA102">
        <f>IF($AL102="","",INDEX('04_調査結果'!$T$5:$T$404,$AL102))</f>
        <v/>
      </c>
      <c r="AB102">
        <f>IF($AL102="","",INDEX('04_調査結果'!$U$5:$U$404,$AL102))</f>
        <v/>
      </c>
      <c r="AC102">
        <f>IF($AL102="","",INDEX('04_調査結果'!$V$5:$V$404,$AL102))</f>
        <v/>
      </c>
      <c r="AD102">
        <f>IF($AL102="","",INDEX('04_調査結果'!$W$5:$W$404,$AL102))</f>
        <v/>
      </c>
      <c r="AE102">
        <f>IF($AL102="","",INDEX('04_調査結果'!$X$5:$X$404,$AL102))</f>
        <v/>
      </c>
      <c r="AF102">
        <f>IF($AL102="","",INDEX('04_調査結果'!$Y$5:$Y$404,$AL102))</f>
        <v/>
      </c>
      <c r="AG102">
        <f>IF($AL102="","",INDEX('04_調査結果'!$Z$5:$Z$404,$AL102))</f>
        <v/>
      </c>
      <c r="AH102">
        <f>IF($AL102="","",INDEX('04_調査結果'!$AK$5:$AK$404,$AL102))</f>
        <v/>
      </c>
      <c r="AI102">
        <f>IF($AL102="","",INDEX('04_調査結果'!$AH$5:$AH$404,$AL102)&amp;"")</f>
        <v/>
      </c>
      <c r="AJ102">
        <f>IF($AL102="","",INDEX('04_調査結果'!$AA$5:$AA$404,$AL102)&amp;"")</f>
        <v/>
      </c>
      <c r="AK102">
        <f>IF($AL102="","",INDEX('04_調査結果'!$AC$5:$AC$404,$AL102)&amp;"")</f>
        <v/>
      </c>
      <c r="AL102" s="34">
        <f>IFERROR(MATCH(ROW()-4,'04_調査結果'!$AZ$5:$AZ$404,0),"")</f>
        <v/>
      </c>
    </row>
    <row r="103">
      <c r="A103">
        <f>IF($AL103="","",'01_設定'!$C$36)</f>
        <v/>
      </c>
      <c r="B103">
        <f>IF($AL103="","",'01_設定'!$C$5)</f>
        <v/>
      </c>
      <c r="C103">
        <f>IF($AL103="","",'01_設定'!$C$6)</f>
        <v/>
      </c>
      <c r="D103" s="36">
        <f>IF($AL103="","",'01_設定'!$C$22)</f>
        <v/>
      </c>
      <c r="E103" s="36">
        <f>IF($AL103="","",'01_設定'!$C$23)</f>
        <v/>
      </c>
      <c r="F103">
        <f>IF($AL103="","",'01_設定'!$C$32)</f>
        <v/>
      </c>
      <c r="G103">
        <f>IF($AL103="","",ROW()-4)</f>
        <v/>
      </c>
      <c r="H103">
        <f>IF($AL103="","",INDEX('04_調査結果'!$AO$5:$AO$404,$AL103))</f>
        <v/>
      </c>
      <c r="I103">
        <f>IF($AL103="","",IFERROR(INDEX('M2_区分マスタ'!$I$5:$I$10,INDEX('04_調査結果'!$AP$5:$AP$404,$AL103)),""))</f>
        <v/>
      </c>
      <c r="J103">
        <f>IF($AL103="","",INDEX('04_調査結果'!$BE$5:$BE$404,$AL103)&amp;"")</f>
        <v/>
      </c>
      <c r="K103">
        <f>IF($AL103="","",INDEX('04_調査結果'!$F$5:$F$404,$AL103)&amp;"")</f>
        <v/>
      </c>
      <c r="L103">
        <f>IF($AL103="","",INDEX('04_調査結果'!$G$5:$G$404,$AL103)&amp;"")</f>
        <v/>
      </c>
      <c r="M103">
        <f>IF($AL103="","",INDEX('04_調査結果'!$AQ$5:$AQ$404,$AL103)&amp;"")</f>
        <v/>
      </c>
      <c r="N103">
        <f>IF($AL103="","",IFERROR(INDEX('M1_類型マスタ'!$B$5:$B$19,MATCH(M103,'M1_類型マスタ'!$A$5:$A$19,0)),""))</f>
        <v/>
      </c>
      <c r="O103">
        <f>IF($AL103="","",INDEX('04_調査結果'!$I$5:$I$404,$AL103)&amp;"")</f>
        <v/>
      </c>
      <c r="P103">
        <f>IF($AL103="","",INDEX('04_調査結果'!$J$5:$J$404,$AL103)&amp;"")</f>
        <v/>
      </c>
      <c r="Q103">
        <f>IF($AL103="","",INDEX('04_調査結果'!$K$5:$K$404,$AL103)&amp;"")</f>
        <v/>
      </c>
      <c r="R103">
        <f>IF($AL103="","",INDEX('04_調査結果'!$L$5:$L$404,$AL103)&amp;"")</f>
        <v/>
      </c>
      <c r="S103">
        <f>IF($AL103="","",INDEX('04_調査結果'!$M$5:$M$404,$AL103)&amp;"")</f>
        <v/>
      </c>
      <c r="T103" s="33">
        <f>IF($AL103="","",IF(INDEX('04_調査結果'!$AE$5:$AE$404,$AL103)&lt;&gt;"",INDEX('04_調査結果'!$AE$5:$AE$404,$AL103),INDEX('04_調査結果'!$AS$5:$AS$404,$AL103)))</f>
        <v/>
      </c>
      <c r="U103" s="33">
        <f>IF($AL103="","",IF(INDEX('04_調査結果'!$AF$5:$AF$404,$AL103)&lt;&gt;"",INDEX('04_調査結果'!$AF$5:$AF$404,$AL103),INDEX('04_調査結果'!$AT$5:$AT$404,$AL103)))</f>
        <v/>
      </c>
      <c r="V103" s="33">
        <f>IF($AL103="","",INDEX('04_調査結果'!$AI$5:$AI$404,$AL103))</f>
        <v/>
      </c>
      <c r="W103">
        <f>IF($AL103="","",INDEX('04_調査結果'!$AU$5:$AU$404,$AL103))</f>
        <v/>
      </c>
      <c r="X103" s="37">
        <f>IF($AL103="","",INDEX('04_調査結果'!$AW$5:$AW$404,$AL103))</f>
        <v/>
      </c>
      <c r="Y103" s="37">
        <f>IF($AL103="","",INDEX('04_調査結果'!$AX$5:$AX$404,$AL103))</f>
        <v/>
      </c>
      <c r="Z103">
        <f>IF($AL103="","",INDEX('04_調査結果'!$S$5:$S$404,$AL103)&amp;"")</f>
        <v/>
      </c>
      <c r="AA103">
        <f>IF($AL103="","",INDEX('04_調査結果'!$T$5:$T$404,$AL103))</f>
        <v/>
      </c>
      <c r="AB103">
        <f>IF($AL103="","",INDEX('04_調査結果'!$U$5:$U$404,$AL103))</f>
        <v/>
      </c>
      <c r="AC103">
        <f>IF($AL103="","",INDEX('04_調査結果'!$V$5:$V$404,$AL103))</f>
        <v/>
      </c>
      <c r="AD103">
        <f>IF($AL103="","",INDEX('04_調査結果'!$W$5:$W$404,$AL103))</f>
        <v/>
      </c>
      <c r="AE103">
        <f>IF($AL103="","",INDEX('04_調査結果'!$X$5:$X$404,$AL103))</f>
        <v/>
      </c>
      <c r="AF103">
        <f>IF($AL103="","",INDEX('04_調査結果'!$Y$5:$Y$404,$AL103))</f>
        <v/>
      </c>
      <c r="AG103">
        <f>IF($AL103="","",INDEX('04_調査結果'!$Z$5:$Z$404,$AL103))</f>
        <v/>
      </c>
      <c r="AH103">
        <f>IF($AL103="","",INDEX('04_調査結果'!$AK$5:$AK$404,$AL103))</f>
        <v/>
      </c>
      <c r="AI103">
        <f>IF($AL103="","",INDEX('04_調査結果'!$AH$5:$AH$404,$AL103)&amp;"")</f>
        <v/>
      </c>
      <c r="AJ103">
        <f>IF($AL103="","",INDEX('04_調査結果'!$AA$5:$AA$404,$AL103)&amp;"")</f>
        <v/>
      </c>
      <c r="AK103">
        <f>IF($AL103="","",INDEX('04_調査結果'!$AC$5:$AC$404,$AL103)&amp;"")</f>
        <v/>
      </c>
      <c r="AL103" s="34">
        <f>IFERROR(MATCH(ROW()-4,'04_調査結果'!$AZ$5:$AZ$404,0),"")</f>
        <v/>
      </c>
    </row>
    <row r="104">
      <c r="A104">
        <f>IF($AL104="","",'01_設定'!$C$36)</f>
        <v/>
      </c>
      <c r="B104">
        <f>IF($AL104="","",'01_設定'!$C$5)</f>
        <v/>
      </c>
      <c r="C104">
        <f>IF($AL104="","",'01_設定'!$C$6)</f>
        <v/>
      </c>
      <c r="D104" s="36">
        <f>IF($AL104="","",'01_設定'!$C$22)</f>
        <v/>
      </c>
      <c r="E104" s="36">
        <f>IF($AL104="","",'01_設定'!$C$23)</f>
        <v/>
      </c>
      <c r="F104">
        <f>IF($AL104="","",'01_設定'!$C$32)</f>
        <v/>
      </c>
      <c r="G104">
        <f>IF($AL104="","",ROW()-4)</f>
        <v/>
      </c>
      <c r="H104">
        <f>IF($AL104="","",INDEX('04_調査結果'!$AO$5:$AO$404,$AL104))</f>
        <v/>
      </c>
      <c r="I104">
        <f>IF($AL104="","",IFERROR(INDEX('M2_区分マスタ'!$I$5:$I$10,INDEX('04_調査結果'!$AP$5:$AP$404,$AL104)),""))</f>
        <v/>
      </c>
      <c r="J104">
        <f>IF($AL104="","",INDEX('04_調査結果'!$BE$5:$BE$404,$AL104)&amp;"")</f>
        <v/>
      </c>
      <c r="K104">
        <f>IF($AL104="","",INDEX('04_調査結果'!$F$5:$F$404,$AL104)&amp;"")</f>
        <v/>
      </c>
      <c r="L104">
        <f>IF($AL104="","",INDEX('04_調査結果'!$G$5:$G$404,$AL104)&amp;"")</f>
        <v/>
      </c>
      <c r="M104">
        <f>IF($AL104="","",INDEX('04_調査結果'!$AQ$5:$AQ$404,$AL104)&amp;"")</f>
        <v/>
      </c>
      <c r="N104">
        <f>IF($AL104="","",IFERROR(INDEX('M1_類型マスタ'!$B$5:$B$19,MATCH(M104,'M1_類型マスタ'!$A$5:$A$19,0)),""))</f>
        <v/>
      </c>
      <c r="O104">
        <f>IF($AL104="","",INDEX('04_調査結果'!$I$5:$I$404,$AL104)&amp;"")</f>
        <v/>
      </c>
      <c r="P104">
        <f>IF($AL104="","",INDEX('04_調査結果'!$J$5:$J$404,$AL104)&amp;"")</f>
        <v/>
      </c>
      <c r="Q104">
        <f>IF($AL104="","",INDEX('04_調査結果'!$K$5:$K$404,$AL104)&amp;"")</f>
        <v/>
      </c>
      <c r="R104">
        <f>IF($AL104="","",INDEX('04_調査結果'!$L$5:$L$404,$AL104)&amp;"")</f>
        <v/>
      </c>
      <c r="S104">
        <f>IF($AL104="","",INDEX('04_調査結果'!$M$5:$M$404,$AL104)&amp;"")</f>
        <v/>
      </c>
      <c r="T104" s="33">
        <f>IF($AL104="","",IF(INDEX('04_調査結果'!$AE$5:$AE$404,$AL104)&lt;&gt;"",INDEX('04_調査結果'!$AE$5:$AE$404,$AL104),INDEX('04_調査結果'!$AS$5:$AS$404,$AL104)))</f>
        <v/>
      </c>
      <c r="U104" s="33">
        <f>IF($AL104="","",IF(INDEX('04_調査結果'!$AF$5:$AF$404,$AL104)&lt;&gt;"",INDEX('04_調査結果'!$AF$5:$AF$404,$AL104),INDEX('04_調査結果'!$AT$5:$AT$404,$AL104)))</f>
        <v/>
      </c>
      <c r="V104" s="33">
        <f>IF($AL104="","",INDEX('04_調査結果'!$AI$5:$AI$404,$AL104))</f>
        <v/>
      </c>
      <c r="W104">
        <f>IF($AL104="","",INDEX('04_調査結果'!$AU$5:$AU$404,$AL104))</f>
        <v/>
      </c>
      <c r="X104" s="37">
        <f>IF($AL104="","",INDEX('04_調査結果'!$AW$5:$AW$404,$AL104))</f>
        <v/>
      </c>
      <c r="Y104" s="37">
        <f>IF($AL104="","",INDEX('04_調査結果'!$AX$5:$AX$404,$AL104))</f>
        <v/>
      </c>
      <c r="Z104">
        <f>IF($AL104="","",INDEX('04_調査結果'!$S$5:$S$404,$AL104)&amp;"")</f>
        <v/>
      </c>
      <c r="AA104">
        <f>IF($AL104="","",INDEX('04_調査結果'!$T$5:$T$404,$AL104))</f>
        <v/>
      </c>
      <c r="AB104">
        <f>IF($AL104="","",INDEX('04_調査結果'!$U$5:$U$404,$AL104))</f>
        <v/>
      </c>
      <c r="AC104">
        <f>IF($AL104="","",INDEX('04_調査結果'!$V$5:$V$404,$AL104))</f>
        <v/>
      </c>
      <c r="AD104">
        <f>IF($AL104="","",INDEX('04_調査結果'!$W$5:$W$404,$AL104))</f>
        <v/>
      </c>
      <c r="AE104">
        <f>IF($AL104="","",INDEX('04_調査結果'!$X$5:$X$404,$AL104))</f>
        <v/>
      </c>
      <c r="AF104">
        <f>IF($AL104="","",INDEX('04_調査結果'!$Y$5:$Y$404,$AL104))</f>
        <v/>
      </c>
      <c r="AG104">
        <f>IF($AL104="","",INDEX('04_調査結果'!$Z$5:$Z$404,$AL104))</f>
        <v/>
      </c>
      <c r="AH104">
        <f>IF($AL104="","",INDEX('04_調査結果'!$AK$5:$AK$404,$AL104))</f>
        <v/>
      </c>
      <c r="AI104">
        <f>IF($AL104="","",INDEX('04_調査結果'!$AH$5:$AH$404,$AL104)&amp;"")</f>
        <v/>
      </c>
      <c r="AJ104">
        <f>IF($AL104="","",INDEX('04_調査結果'!$AA$5:$AA$404,$AL104)&amp;"")</f>
        <v/>
      </c>
      <c r="AK104">
        <f>IF($AL104="","",INDEX('04_調査結果'!$AC$5:$AC$404,$AL104)&amp;"")</f>
        <v/>
      </c>
      <c r="AL104" s="34">
        <f>IFERROR(MATCH(ROW()-4,'04_調査結果'!$AZ$5:$AZ$404,0),"")</f>
        <v/>
      </c>
    </row>
    <row r="105">
      <c r="A105">
        <f>IF($AL105="","",'01_設定'!$C$36)</f>
        <v/>
      </c>
      <c r="B105">
        <f>IF($AL105="","",'01_設定'!$C$5)</f>
        <v/>
      </c>
      <c r="C105">
        <f>IF($AL105="","",'01_設定'!$C$6)</f>
        <v/>
      </c>
      <c r="D105" s="36">
        <f>IF($AL105="","",'01_設定'!$C$22)</f>
        <v/>
      </c>
      <c r="E105" s="36">
        <f>IF($AL105="","",'01_設定'!$C$23)</f>
        <v/>
      </c>
      <c r="F105">
        <f>IF($AL105="","",'01_設定'!$C$32)</f>
        <v/>
      </c>
      <c r="G105">
        <f>IF($AL105="","",ROW()-4)</f>
        <v/>
      </c>
      <c r="H105">
        <f>IF($AL105="","",INDEX('04_調査結果'!$AO$5:$AO$404,$AL105))</f>
        <v/>
      </c>
      <c r="I105">
        <f>IF($AL105="","",IFERROR(INDEX('M2_区分マスタ'!$I$5:$I$10,INDEX('04_調査結果'!$AP$5:$AP$404,$AL105)),""))</f>
        <v/>
      </c>
      <c r="J105">
        <f>IF($AL105="","",INDEX('04_調査結果'!$BE$5:$BE$404,$AL105)&amp;"")</f>
        <v/>
      </c>
      <c r="K105">
        <f>IF($AL105="","",INDEX('04_調査結果'!$F$5:$F$404,$AL105)&amp;"")</f>
        <v/>
      </c>
      <c r="L105">
        <f>IF($AL105="","",INDEX('04_調査結果'!$G$5:$G$404,$AL105)&amp;"")</f>
        <v/>
      </c>
      <c r="M105">
        <f>IF($AL105="","",INDEX('04_調査結果'!$AQ$5:$AQ$404,$AL105)&amp;"")</f>
        <v/>
      </c>
      <c r="N105">
        <f>IF($AL105="","",IFERROR(INDEX('M1_類型マスタ'!$B$5:$B$19,MATCH(M105,'M1_類型マスタ'!$A$5:$A$19,0)),""))</f>
        <v/>
      </c>
      <c r="O105">
        <f>IF($AL105="","",INDEX('04_調査結果'!$I$5:$I$404,$AL105)&amp;"")</f>
        <v/>
      </c>
      <c r="P105">
        <f>IF($AL105="","",INDEX('04_調査結果'!$J$5:$J$404,$AL105)&amp;"")</f>
        <v/>
      </c>
      <c r="Q105">
        <f>IF($AL105="","",INDEX('04_調査結果'!$K$5:$K$404,$AL105)&amp;"")</f>
        <v/>
      </c>
      <c r="R105">
        <f>IF($AL105="","",INDEX('04_調査結果'!$L$5:$L$404,$AL105)&amp;"")</f>
        <v/>
      </c>
      <c r="S105">
        <f>IF($AL105="","",INDEX('04_調査結果'!$M$5:$M$404,$AL105)&amp;"")</f>
        <v/>
      </c>
      <c r="T105" s="33">
        <f>IF($AL105="","",IF(INDEX('04_調査結果'!$AE$5:$AE$404,$AL105)&lt;&gt;"",INDEX('04_調査結果'!$AE$5:$AE$404,$AL105),INDEX('04_調査結果'!$AS$5:$AS$404,$AL105)))</f>
        <v/>
      </c>
      <c r="U105" s="33">
        <f>IF($AL105="","",IF(INDEX('04_調査結果'!$AF$5:$AF$404,$AL105)&lt;&gt;"",INDEX('04_調査結果'!$AF$5:$AF$404,$AL105),INDEX('04_調査結果'!$AT$5:$AT$404,$AL105)))</f>
        <v/>
      </c>
      <c r="V105" s="33">
        <f>IF($AL105="","",INDEX('04_調査結果'!$AI$5:$AI$404,$AL105))</f>
        <v/>
      </c>
      <c r="W105">
        <f>IF($AL105="","",INDEX('04_調査結果'!$AU$5:$AU$404,$AL105))</f>
        <v/>
      </c>
      <c r="X105" s="37">
        <f>IF($AL105="","",INDEX('04_調査結果'!$AW$5:$AW$404,$AL105))</f>
        <v/>
      </c>
      <c r="Y105" s="37">
        <f>IF($AL105="","",INDEX('04_調査結果'!$AX$5:$AX$404,$AL105))</f>
        <v/>
      </c>
      <c r="Z105">
        <f>IF($AL105="","",INDEX('04_調査結果'!$S$5:$S$404,$AL105)&amp;"")</f>
        <v/>
      </c>
      <c r="AA105">
        <f>IF($AL105="","",INDEX('04_調査結果'!$T$5:$T$404,$AL105))</f>
        <v/>
      </c>
      <c r="AB105">
        <f>IF($AL105="","",INDEX('04_調査結果'!$U$5:$U$404,$AL105))</f>
        <v/>
      </c>
      <c r="AC105">
        <f>IF($AL105="","",INDEX('04_調査結果'!$V$5:$V$404,$AL105))</f>
        <v/>
      </c>
      <c r="AD105">
        <f>IF($AL105="","",INDEX('04_調査結果'!$W$5:$W$404,$AL105))</f>
        <v/>
      </c>
      <c r="AE105">
        <f>IF($AL105="","",INDEX('04_調査結果'!$X$5:$X$404,$AL105))</f>
        <v/>
      </c>
      <c r="AF105">
        <f>IF($AL105="","",INDEX('04_調査結果'!$Y$5:$Y$404,$AL105))</f>
        <v/>
      </c>
      <c r="AG105">
        <f>IF($AL105="","",INDEX('04_調査結果'!$Z$5:$Z$404,$AL105))</f>
        <v/>
      </c>
      <c r="AH105">
        <f>IF($AL105="","",INDEX('04_調査結果'!$AK$5:$AK$404,$AL105))</f>
        <v/>
      </c>
      <c r="AI105">
        <f>IF($AL105="","",INDEX('04_調査結果'!$AH$5:$AH$404,$AL105)&amp;"")</f>
        <v/>
      </c>
      <c r="AJ105">
        <f>IF($AL105="","",INDEX('04_調査結果'!$AA$5:$AA$404,$AL105)&amp;"")</f>
        <v/>
      </c>
      <c r="AK105">
        <f>IF($AL105="","",INDEX('04_調査結果'!$AC$5:$AC$404,$AL105)&amp;"")</f>
        <v/>
      </c>
      <c r="AL105" s="34">
        <f>IFERROR(MATCH(ROW()-4,'04_調査結果'!$AZ$5:$AZ$404,0),"")</f>
        <v/>
      </c>
    </row>
    <row r="106">
      <c r="A106">
        <f>IF($AL106="","",'01_設定'!$C$36)</f>
        <v/>
      </c>
      <c r="B106">
        <f>IF($AL106="","",'01_設定'!$C$5)</f>
        <v/>
      </c>
      <c r="C106">
        <f>IF($AL106="","",'01_設定'!$C$6)</f>
        <v/>
      </c>
      <c r="D106" s="36">
        <f>IF($AL106="","",'01_設定'!$C$22)</f>
        <v/>
      </c>
      <c r="E106" s="36">
        <f>IF($AL106="","",'01_設定'!$C$23)</f>
        <v/>
      </c>
      <c r="F106">
        <f>IF($AL106="","",'01_設定'!$C$32)</f>
        <v/>
      </c>
      <c r="G106">
        <f>IF($AL106="","",ROW()-4)</f>
        <v/>
      </c>
      <c r="H106">
        <f>IF($AL106="","",INDEX('04_調査結果'!$AO$5:$AO$404,$AL106))</f>
        <v/>
      </c>
      <c r="I106">
        <f>IF($AL106="","",IFERROR(INDEX('M2_区分マスタ'!$I$5:$I$10,INDEX('04_調査結果'!$AP$5:$AP$404,$AL106)),""))</f>
        <v/>
      </c>
      <c r="J106">
        <f>IF($AL106="","",INDEX('04_調査結果'!$BE$5:$BE$404,$AL106)&amp;"")</f>
        <v/>
      </c>
      <c r="K106">
        <f>IF($AL106="","",INDEX('04_調査結果'!$F$5:$F$404,$AL106)&amp;"")</f>
        <v/>
      </c>
      <c r="L106">
        <f>IF($AL106="","",INDEX('04_調査結果'!$G$5:$G$404,$AL106)&amp;"")</f>
        <v/>
      </c>
      <c r="M106">
        <f>IF($AL106="","",INDEX('04_調査結果'!$AQ$5:$AQ$404,$AL106)&amp;"")</f>
        <v/>
      </c>
      <c r="N106">
        <f>IF($AL106="","",IFERROR(INDEX('M1_類型マスタ'!$B$5:$B$19,MATCH(M106,'M1_類型マスタ'!$A$5:$A$19,0)),""))</f>
        <v/>
      </c>
      <c r="O106">
        <f>IF($AL106="","",INDEX('04_調査結果'!$I$5:$I$404,$AL106)&amp;"")</f>
        <v/>
      </c>
      <c r="P106">
        <f>IF($AL106="","",INDEX('04_調査結果'!$J$5:$J$404,$AL106)&amp;"")</f>
        <v/>
      </c>
      <c r="Q106">
        <f>IF($AL106="","",INDEX('04_調査結果'!$K$5:$K$404,$AL106)&amp;"")</f>
        <v/>
      </c>
      <c r="R106">
        <f>IF($AL106="","",INDEX('04_調査結果'!$L$5:$L$404,$AL106)&amp;"")</f>
        <v/>
      </c>
      <c r="S106">
        <f>IF($AL106="","",INDEX('04_調査結果'!$M$5:$M$404,$AL106)&amp;"")</f>
        <v/>
      </c>
      <c r="T106" s="33">
        <f>IF($AL106="","",IF(INDEX('04_調査結果'!$AE$5:$AE$404,$AL106)&lt;&gt;"",INDEX('04_調査結果'!$AE$5:$AE$404,$AL106),INDEX('04_調査結果'!$AS$5:$AS$404,$AL106)))</f>
        <v/>
      </c>
      <c r="U106" s="33">
        <f>IF($AL106="","",IF(INDEX('04_調査結果'!$AF$5:$AF$404,$AL106)&lt;&gt;"",INDEX('04_調査結果'!$AF$5:$AF$404,$AL106),INDEX('04_調査結果'!$AT$5:$AT$404,$AL106)))</f>
        <v/>
      </c>
      <c r="V106" s="33">
        <f>IF($AL106="","",INDEX('04_調査結果'!$AI$5:$AI$404,$AL106))</f>
        <v/>
      </c>
      <c r="W106">
        <f>IF($AL106="","",INDEX('04_調査結果'!$AU$5:$AU$404,$AL106))</f>
        <v/>
      </c>
      <c r="X106" s="37">
        <f>IF($AL106="","",INDEX('04_調査結果'!$AW$5:$AW$404,$AL106))</f>
        <v/>
      </c>
      <c r="Y106" s="37">
        <f>IF($AL106="","",INDEX('04_調査結果'!$AX$5:$AX$404,$AL106))</f>
        <v/>
      </c>
      <c r="Z106">
        <f>IF($AL106="","",INDEX('04_調査結果'!$S$5:$S$404,$AL106)&amp;"")</f>
        <v/>
      </c>
      <c r="AA106">
        <f>IF($AL106="","",INDEX('04_調査結果'!$T$5:$T$404,$AL106))</f>
        <v/>
      </c>
      <c r="AB106">
        <f>IF($AL106="","",INDEX('04_調査結果'!$U$5:$U$404,$AL106))</f>
        <v/>
      </c>
      <c r="AC106">
        <f>IF($AL106="","",INDEX('04_調査結果'!$V$5:$V$404,$AL106))</f>
        <v/>
      </c>
      <c r="AD106">
        <f>IF($AL106="","",INDEX('04_調査結果'!$W$5:$W$404,$AL106))</f>
        <v/>
      </c>
      <c r="AE106">
        <f>IF($AL106="","",INDEX('04_調査結果'!$X$5:$X$404,$AL106))</f>
        <v/>
      </c>
      <c r="AF106">
        <f>IF($AL106="","",INDEX('04_調査結果'!$Y$5:$Y$404,$AL106))</f>
        <v/>
      </c>
      <c r="AG106">
        <f>IF($AL106="","",INDEX('04_調査結果'!$Z$5:$Z$404,$AL106))</f>
        <v/>
      </c>
      <c r="AH106">
        <f>IF($AL106="","",INDEX('04_調査結果'!$AK$5:$AK$404,$AL106))</f>
        <v/>
      </c>
      <c r="AI106">
        <f>IF($AL106="","",INDEX('04_調査結果'!$AH$5:$AH$404,$AL106)&amp;"")</f>
        <v/>
      </c>
      <c r="AJ106">
        <f>IF($AL106="","",INDEX('04_調査結果'!$AA$5:$AA$404,$AL106)&amp;"")</f>
        <v/>
      </c>
      <c r="AK106">
        <f>IF($AL106="","",INDEX('04_調査結果'!$AC$5:$AC$404,$AL106)&amp;"")</f>
        <v/>
      </c>
      <c r="AL106" s="34">
        <f>IFERROR(MATCH(ROW()-4,'04_調査結果'!$AZ$5:$AZ$404,0),"")</f>
        <v/>
      </c>
    </row>
    <row r="107">
      <c r="A107">
        <f>IF($AL107="","",'01_設定'!$C$36)</f>
        <v/>
      </c>
      <c r="B107">
        <f>IF($AL107="","",'01_設定'!$C$5)</f>
        <v/>
      </c>
      <c r="C107">
        <f>IF($AL107="","",'01_設定'!$C$6)</f>
        <v/>
      </c>
      <c r="D107" s="36">
        <f>IF($AL107="","",'01_設定'!$C$22)</f>
        <v/>
      </c>
      <c r="E107" s="36">
        <f>IF($AL107="","",'01_設定'!$C$23)</f>
        <v/>
      </c>
      <c r="F107">
        <f>IF($AL107="","",'01_設定'!$C$32)</f>
        <v/>
      </c>
      <c r="G107">
        <f>IF($AL107="","",ROW()-4)</f>
        <v/>
      </c>
      <c r="H107">
        <f>IF($AL107="","",INDEX('04_調査結果'!$AO$5:$AO$404,$AL107))</f>
        <v/>
      </c>
      <c r="I107">
        <f>IF($AL107="","",IFERROR(INDEX('M2_区分マスタ'!$I$5:$I$10,INDEX('04_調査結果'!$AP$5:$AP$404,$AL107)),""))</f>
        <v/>
      </c>
      <c r="J107">
        <f>IF($AL107="","",INDEX('04_調査結果'!$BE$5:$BE$404,$AL107)&amp;"")</f>
        <v/>
      </c>
      <c r="K107">
        <f>IF($AL107="","",INDEX('04_調査結果'!$F$5:$F$404,$AL107)&amp;"")</f>
        <v/>
      </c>
      <c r="L107">
        <f>IF($AL107="","",INDEX('04_調査結果'!$G$5:$G$404,$AL107)&amp;"")</f>
        <v/>
      </c>
      <c r="M107">
        <f>IF($AL107="","",INDEX('04_調査結果'!$AQ$5:$AQ$404,$AL107)&amp;"")</f>
        <v/>
      </c>
      <c r="N107">
        <f>IF($AL107="","",IFERROR(INDEX('M1_類型マスタ'!$B$5:$B$19,MATCH(M107,'M1_類型マスタ'!$A$5:$A$19,0)),""))</f>
        <v/>
      </c>
      <c r="O107">
        <f>IF($AL107="","",INDEX('04_調査結果'!$I$5:$I$404,$AL107)&amp;"")</f>
        <v/>
      </c>
      <c r="P107">
        <f>IF($AL107="","",INDEX('04_調査結果'!$J$5:$J$404,$AL107)&amp;"")</f>
        <v/>
      </c>
      <c r="Q107">
        <f>IF($AL107="","",INDEX('04_調査結果'!$K$5:$K$404,$AL107)&amp;"")</f>
        <v/>
      </c>
      <c r="R107">
        <f>IF($AL107="","",INDEX('04_調査結果'!$L$5:$L$404,$AL107)&amp;"")</f>
        <v/>
      </c>
      <c r="S107">
        <f>IF($AL107="","",INDEX('04_調査結果'!$M$5:$M$404,$AL107)&amp;"")</f>
        <v/>
      </c>
      <c r="T107" s="33">
        <f>IF($AL107="","",IF(INDEX('04_調査結果'!$AE$5:$AE$404,$AL107)&lt;&gt;"",INDEX('04_調査結果'!$AE$5:$AE$404,$AL107),INDEX('04_調査結果'!$AS$5:$AS$404,$AL107)))</f>
        <v/>
      </c>
      <c r="U107" s="33">
        <f>IF($AL107="","",IF(INDEX('04_調査結果'!$AF$5:$AF$404,$AL107)&lt;&gt;"",INDEX('04_調査結果'!$AF$5:$AF$404,$AL107),INDEX('04_調査結果'!$AT$5:$AT$404,$AL107)))</f>
        <v/>
      </c>
      <c r="V107" s="33">
        <f>IF($AL107="","",INDEX('04_調査結果'!$AI$5:$AI$404,$AL107))</f>
        <v/>
      </c>
      <c r="W107">
        <f>IF($AL107="","",INDEX('04_調査結果'!$AU$5:$AU$404,$AL107))</f>
        <v/>
      </c>
      <c r="X107" s="37">
        <f>IF($AL107="","",INDEX('04_調査結果'!$AW$5:$AW$404,$AL107))</f>
        <v/>
      </c>
      <c r="Y107" s="37">
        <f>IF($AL107="","",INDEX('04_調査結果'!$AX$5:$AX$404,$AL107))</f>
        <v/>
      </c>
      <c r="Z107">
        <f>IF($AL107="","",INDEX('04_調査結果'!$S$5:$S$404,$AL107)&amp;"")</f>
        <v/>
      </c>
      <c r="AA107">
        <f>IF($AL107="","",INDEX('04_調査結果'!$T$5:$T$404,$AL107))</f>
        <v/>
      </c>
      <c r="AB107">
        <f>IF($AL107="","",INDEX('04_調査結果'!$U$5:$U$404,$AL107))</f>
        <v/>
      </c>
      <c r="AC107">
        <f>IF($AL107="","",INDEX('04_調査結果'!$V$5:$V$404,$AL107))</f>
        <v/>
      </c>
      <c r="AD107">
        <f>IF($AL107="","",INDEX('04_調査結果'!$W$5:$W$404,$AL107))</f>
        <v/>
      </c>
      <c r="AE107">
        <f>IF($AL107="","",INDEX('04_調査結果'!$X$5:$X$404,$AL107))</f>
        <v/>
      </c>
      <c r="AF107">
        <f>IF($AL107="","",INDEX('04_調査結果'!$Y$5:$Y$404,$AL107))</f>
        <v/>
      </c>
      <c r="AG107">
        <f>IF($AL107="","",INDEX('04_調査結果'!$Z$5:$Z$404,$AL107))</f>
        <v/>
      </c>
      <c r="AH107">
        <f>IF($AL107="","",INDEX('04_調査結果'!$AK$5:$AK$404,$AL107))</f>
        <v/>
      </c>
      <c r="AI107">
        <f>IF($AL107="","",INDEX('04_調査結果'!$AH$5:$AH$404,$AL107)&amp;"")</f>
        <v/>
      </c>
      <c r="AJ107">
        <f>IF($AL107="","",INDEX('04_調査結果'!$AA$5:$AA$404,$AL107)&amp;"")</f>
        <v/>
      </c>
      <c r="AK107">
        <f>IF($AL107="","",INDEX('04_調査結果'!$AC$5:$AC$404,$AL107)&amp;"")</f>
        <v/>
      </c>
      <c r="AL107" s="34">
        <f>IFERROR(MATCH(ROW()-4,'04_調査結果'!$AZ$5:$AZ$404,0),"")</f>
        <v/>
      </c>
    </row>
    <row r="108">
      <c r="A108">
        <f>IF($AL108="","",'01_設定'!$C$36)</f>
        <v/>
      </c>
      <c r="B108">
        <f>IF($AL108="","",'01_設定'!$C$5)</f>
        <v/>
      </c>
      <c r="C108">
        <f>IF($AL108="","",'01_設定'!$C$6)</f>
        <v/>
      </c>
      <c r="D108" s="36">
        <f>IF($AL108="","",'01_設定'!$C$22)</f>
        <v/>
      </c>
      <c r="E108" s="36">
        <f>IF($AL108="","",'01_設定'!$C$23)</f>
        <v/>
      </c>
      <c r="F108">
        <f>IF($AL108="","",'01_設定'!$C$32)</f>
        <v/>
      </c>
      <c r="G108">
        <f>IF($AL108="","",ROW()-4)</f>
        <v/>
      </c>
      <c r="H108">
        <f>IF($AL108="","",INDEX('04_調査結果'!$AO$5:$AO$404,$AL108))</f>
        <v/>
      </c>
      <c r="I108">
        <f>IF($AL108="","",IFERROR(INDEX('M2_区分マスタ'!$I$5:$I$10,INDEX('04_調査結果'!$AP$5:$AP$404,$AL108)),""))</f>
        <v/>
      </c>
      <c r="J108">
        <f>IF($AL108="","",INDEX('04_調査結果'!$BE$5:$BE$404,$AL108)&amp;"")</f>
        <v/>
      </c>
      <c r="K108">
        <f>IF($AL108="","",INDEX('04_調査結果'!$F$5:$F$404,$AL108)&amp;"")</f>
        <v/>
      </c>
      <c r="L108">
        <f>IF($AL108="","",INDEX('04_調査結果'!$G$5:$G$404,$AL108)&amp;"")</f>
        <v/>
      </c>
      <c r="M108">
        <f>IF($AL108="","",INDEX('04_調査結果'!$AQ$5:$AQ$404,$AL108)&amp;"")</f>
        <v/>
      </c>
      <c r="N108">
        <f>IF($AL108="","",IFERROR(INDEX('M1_類型マスタ'!$B$5:$B$19,MATCH(M108,'M1_類型マスタ'!$A$5:$A$19,0)),""))</f>
        <v/>
      </c>
      <c r="O108">
        <f>IF($AL108="","",INDEX('04_調査結果'!$I$5:$I$404,$AL108)&amp;"")</f>
        <v/>
      </c>
      <c r="P108">
        <f>IF($AL108="","",INDEX('04_調査結果'!$J$5:$J$404,$AL108)&amp;"")</f>
        <v/>
      </c>
      <c r="Q108">
        <f>IF($AL108="","",INDEX('04_調査結果'!$K$5:$K$404,$AL108)&amp;"")</f>
        <v/>
      </c>
      <c r="R108">
        <f>IF($AL108="","",INDEX('04_調査結果'!$L$5:$L$404,$AL108)&amp;"")</f>
        <v/>
      </c>
      <c r="S108">
        <f>IF($AL108="","",INDEX('04_調査結果'!$M$5:$M$404,$AL108)&amp;"")</f>
        <v/>
      </c>
      <c r="T108" s="33">
        <f>IF($AL108="","",IF(INDEX('04_調査結果'!$AE$5:$AE$404,$AL108)&lt;&gt;"",INDEX('04_調査結果'!$AE$5:$AE$404,$AL108),INDEX('04_調査結果'!$AS$5:$AS$404,$AL108)))</f>
        <v/>
      </c>
      <c r="U108" s="33">
        <f>IF($AL108="","",IF(INDEX('04_調査結果'!$AF$5:$AF$404,$AL108)&lt;&gt;"",INDEX('04_調査結果'!$AF$5:$AF$404,$AL108),INDEX('04_調査結果'!$AT$5:$AT$404,$AL108)))</f>
        <v/>
      </c>
      <c r="V108" s="33">
        <f>IF($AL108="","",INDEX('04_調査結果'!$AI$5:$AI$404,$AL108))</f>
        <v/>
      </c>
      <c r="W108">
        <f>IF($AL108="","",INDEX('04_調査結果'!$AU$5:$AU$404,$AL108))</f>
        <v/>
      </c>
      <c r="X108" s="37">
        <f>IF($AL108="","",INDEX('04_調査結果'!$AW$5:$AW$404,$AL108))</f>
        <v/>
      </c>
      <c r="Y108" s="37">
        <f>IF($AL108="","",INDEX('04_調査結果'!$AX$5:$AX$404,$AL108))</f>
        <v/>
      </c>
      <c r="Z108">
        <f>IF($AL108="","",INDEX('04_調査結果'!$S$5:$S$404,$AL108)&amp;"")</f>
        <v/>
      </c>
      <c r="AA108">
        <f>IF($AL108="","",INDEX('04_調査結果'!$T$5:$T$404,$AL108))</f>
        <v/>
      </c>
      <c r="AB108">
        <f>IF($AL108="","",INDEX('04_調査結果'!$U$5:$U$404,$AL108))</f>
        <v/>
      </c>
      <c r="AC108">
        <f>IF($AL108="","",INDEX('04_調査結果'!$V$5:$V$404,$AL108))</f>
        <v/>
      </c>
      <c r="AD108">
        <f>IF($AL108="","",INDEX('04_調査結果'!$W$5:$W$404,$AL108))</f>
        <v/>
      </c>
      <c r="AE108">
        <f>IF($AL108="","",INDEX('04_調査結果'!$X$5:$X$404,$AL108))</f>
        <v/>
      </c>
      <c r="AF108">
        <f>IF($AL108="","",INDEX('04_調査結果'!$Y$5:$Y$404,$AL108))</f>
        <v/>
      </c>
      <c r="AG108">
        <f>IF($AL108="","",INDEX('04_調査結果'!$Z$5:$Z$404,$AL108))</f>
        <v/>
      </c>
      <c r="AH108">
        <f>IF($AL108="","",INDEX('04_調査結果'!$AK$5:$AK$404,$AL108))</f>
        <v/>
      </c>
      <c r="AI108">
        <f>IF($AL108="","",INDEX('04_調査結果'!$AH$5:$AH$404,$AL108)&amp;"")</f>
        <v/>
      </c>
      <c r="AJ108">
        <f>IF($AL108="","",INDEX('04_調査結果'!$AA$5:$AA$404,$AL108)&amp;"")</f>
        <v/>
      </c>
      <c r="AK108">
        <f>IF($AL108="","",INDEX('04_調査結果'!$AC$5:$AC$404,$AL108)&amp;"")</f>
        <v/>
      </c>
      <c r="AL108" s="34">
        <f>IFERROR(MATCH(ROW()-4,'04_調査結果'!$AZ$5:$AZ$404,0),"")</f>
        <v/>
      </c>
    </row>
    <row r="109">
      <c r="A109">
        <f>IF($AL109="","",'01_設定'!$C$36)</f>
        <v/>
      </c>
      <c r="B109">
        <f>IF($AL109="","",'01_設定'!$C$5)</f>
        <v/>
      </c>
      <c r="C109">
        <f>IF($AL109="","",'01_設定'!$C$6)</f>
        <v/>
      </c>
      <c r="D109" s="36">
        <f>IF($AL109="","",'01_設定'!$C$22)</f>
        <v/>
      </c>
      <c r="E109" s="36">
        <f>IF($AL109="","",'01_設定'!$C$23)</f>
        <v/>
      </c>
      <c r="F109">
        <f>IF($AL109="","",'01_設定'!$C$32)</f>
        <v/>
      </c>
      <c r="G109">
        <f>IF($AL109="","",ROW()-4)</f>
        <v/>
      </c>
      <c r="H109">
        <f>IF($AL109="","",INDEX('04_調査結果'!$AO$5:$AO$404,$AL109))</f>
        <v/>
      </c>
      <c r="I109">
        <f>IF($AL109="","",IFERROR(INDEX('M2_区分マスタ'!$I$5:$I$10,INDEX('04_調査結果'!$AP$5:$AP$404,$AL109)),""))</f>
        <v/>
      </c>
      <c r="J109">
        <f>IF($AL109="","",INDEX('04_調査結果'!$BE$5:$BE$404,$AL109)&amp;"")</f>
        <v/>
      </c>
      <c r="K109">
        <f>IF($AL109="","",INDEX('04_調査結果'!$F$5:$F$404,$AL109)&amp;"")</f>
        <v/>
      </c>
      <c r="L109">
        <f>IF($AL109="","",INDEX('04_調査結果'!$G$5:$G$404,$AL109)&amp;"")</f>
        <v/>
      </c>
      <c r="M109">
        <f>IF($AL109="","",INDEX('04_調査結果'!$AQ$5:$AQ$404,$AL109)&amp;"")</f>
        <v/>
      </c>
      <c r="N109">
        <f>IF($AL109="","",IFERROR(INDEX('M1_類型マスタ'!$B$5:$B$19,MATCH(M109,'M1_類型マスタ'!$A$5:$A$19,0)),""))</f>
        <v/>
      </c>
      <c r="O109">
        <f>IF($AL109="","",INDEX('04_調査結果'!$I$5:$I$404,$AL109)&amp;"")</f>
        <v/>
      </c>
      <c r="P109">
        <f>IF($AL109="","",INDEX('04_調査結果'!$J$5:$J$404,$AL109)&amp;"")</f>
        <v/>
      </c>
      <c r="Q109">
        <f>IF($AL109="","",INDEX('04_調査結果'!$K$5:$K$404,$AL109)&amp;"")</f>
        <v/>
      </c>
      <c r="R109">
        <f>IF($AL109="","",INDEX('04_調査結果'!$L$5:$L$404,$AL109)&amp;"")</f>
        <v/>
      </c>
      <c r="S109">
        <f>IF($AL109="","",INDEX('04_調査結果'!$M$5:$M$404,$AL109)&amp;"")</f>
        <v/>
      </c>
      <c r="T109" s="33">
        <f>IF($AL109="","",IF(INDEX('04_調査結果'!$AE$5:$AE$404,$AL109)&lt;&gt;"",INDEX('04_調査結果'!$AE$5:$AE$404,$AL109),INDEX('04_調査結果'!$AS$5:$AS$404,$AL109)))</f>
        <v/>
      </c>
      <c r="U109" s="33">
        <f>IF($AL109="","",IF(INDEX('04_調査結果'!$AF$5:$AF$404,$AL109)&lt;&gt;"",INDEX('04_調査結果'!$AF$5:$AF$404,$AL109),INDEX('04_調査結果'!$AT$5:$AT$404,$AL109)))</f>
        <v/>
      </c>
      <c r="V109" s="33">
        <f>IF($AL109="","",INDEX('04_調査結果'!$AI$5:$AI$404,$AL109))</f>
        <v/>
      </c>
      <c r="W109">
        <f>IF($AL109="","",INDEX('04_調査結果'!$AU$5:$AU$404,$AL109))</f>
        <v/>
      </c>
      <c r="X109" s="37">
        <f>IF($AL109="","",INDEX('04_調査結果'!$AW$5:$AW$404,$AL109))</f>
        <v/>
      </c>
      <c r="Y109" s="37">
        <f>IF($AL109="","",INDEX('04_調査結果'!$AX$5:$AX$404,$AL109))</f>
        <v/>
      </c>
      <c r="Z109">
        <f>IF($AL109="","",INDEX('04_調査結果'!$S$5:$S$404,$AL109)&amp;"")</f>
        <v/>
      </c>
      <c r="AA109">
        <f>IF($AL109="","",INDEX('04_調査結果'!$T$5:$T$404,$AL109))</f>
        <v/>
      </c>
      <c r="AB109">
        <f>IF($AL109="","",INDEX('04_調査結果'!$U$5:$U$404,$AL109))</f>
        <v/>
      </c>
      <c r="AC109">
        <f>IF($AL109="","",INDEX('04_調査結果'!$V$5:$V$404,$AL109))</f>
        <v/>
      </c>
      <c r="AD109">
        <f>IF($AL109="","",INDEX('04_調査結果'!$W$5:$W$404,$AL109))</f>
        <v/>
      </c>
      <c r="AE109">
        <f>IF($AL109="","",INDEX('04_調査結果'!$X$5:$X$404,$AL109))</f>
        <v/>
      </c>
      <c r="AF109">
        <f>IF($AL109="","",INDEX('04_調査結果'!$Y$5:$Y$404,$AL109))</f>
        <v/>
      </c>
      <c r="AG109">
        <f>IF($AL109="","",INDEX('04_調査結果'!$Z$5:$Z$404,$AL109))</f>
        <v/>
      </c>
      <c r="AH109">
        <f>IF($AL109="","",INDEX('04_調査結果'!$AK$5:$AK$404,$AL109))</f>
        <v/>
      </c>
      <c r="AI109">
        <f>IF($AL109="","",INDEX('04_調査結果'!$AH$5:$AH$404,$AL109)&amp;"")</f>
        <v/>
      </c>
      <c r="AJ109">
        <f>IF($AL109="","",INDEX('04_調査結果'!$AA$5:$AA$404,$AL109)&amp;"")</f>
        <v/>
      </c>
      <c r="AK109">
        <f>IF($AL109="","",INDEX('04_調査結果'!$AC$5:$AC$404,$AL109)&amp;"")</f>
        <v/>
      </c>
      <c r="AL109" s="34">
        <f>IFERROR(MATCH(ROW()-4,'04_調査結果'!$AZ$5:$AZ$404,0),"")</f>
        <v/>
      </c>
    </row>
    <row r="110">
      <c r="A110">
        <f>IF($AL110="","",'01_設定'!$C$36)</f>
        <v/>
      </c>
      <c r="B110">
        <f>IF($AL110="","",'01_設定'!$C$5)</f>
        <v/>
      </c>
      <c r="C110">
        <f>IF($AL110="","",'01_設定'!$C$6)</f>
        <v/>
      </c>
      <c r="D110" s="36">
        <f>IF($AL110="","",'01_設定'!$C$22)</f>
        <v/>
      </c>
      <c r="E110" s="36">
        <f>IF($AL110="","",'01_設定'!$C$23)</f>
        <v/>
      </c>
      <c r="F110">
        <f>IF($AL110="","",'01_設定'!$C$32)</f>
        <v/>
      </c>
      <c r="G110">
        <f>IF($AL110="","",ROW()-4)</f>
        <v/>
      </c>
      <c r="H110">
        <f>IF($AL110="","",INDEX('04_調査結果'!$AO$5:$AO$404,$AL110))</f>
        <v/>
      </c>
      <c r="I110">
        <f>IF($AL110="","",IFERROR(INDEX('M2_区分マスタ'!$I$5:$I$10,INDEX('04_調査結果'!$AP$5:$AP$404,$AL110)),""))</f>
        <v/>
      </c>
      <c r="J110">
        <f>IF($AL110="","",INDEX('04_調査結果'!$BE$5:$BE$404,$AL110)&amp;"")</f>
        <v/>
      </c>
      <c r="K110">
        <f>IF($AL110="","",INDEX('04_調査結果'!$F$5:$F$404,$AL110)&amp;"")</f>
        <v/>
      </c>
      <c r="L110">
        <f>IF($AL110="","",INDEX('04_調査結果'!$G$5:$G$404,$AL110)&amp;"")</f>
        <v/>
      </c>
      <c r="M110">
        <f>IF($AL110="","",INDEX('04_調査結果'!$AQ$5:$AQ$404,$AL110)&amp;"")</f>
        <v/>
      </c>
      <c r="N110">
        <f>IF($AL110="","",IFERROR(INDEX('M1_類型マスタ'!$B$5:$B$19,MATCH(M110,'M1_類型マスタ'!$A$5:$A$19,0)),""))</f>
        <v/>
      </c>
      <c r="O110">
        <f>IF($AL110="","",INDEX('04_調査結果'!$I$5:$I$404,$AL110)&amp;"")</f>
        <v/>
      </c>
      <c r="P110">
        <f>IF($AL110="","",INDEX('04_調査結果'!$J$5:$J$404,$AL110)&amp;"")</f>
        <v/>
      </c>
      <c r="Q110">
        <f>IF($AL110="","",INDEX('04_調査結果'!$K$5:$K$404,$AL110)&amp;"")</f>
        <v/>
      </c>
      <c r="R110">
        <f>IF($AL110="","",INDEX('04_調査結果'!$L$5:$L$404,$AL110)&amp;"")</f>
        <v/>
      </c>
      <c r="S110">
        <f>IF($AL110="","",INDEX('04_調査結果'!$M$5:$M$404,$AL110)&amp;"")</f>
        <v/>
      </c>
      <c r="T110" s="33">
        <f>IF($AL110="","",IF(INDEX('04_調査結果'!$AE$5:$AE$404,$AL110)&lt;&gt;"",INDEX('04_調査結果'!$AE$5:$AE$404,$AL110),INDEX('04_調査結果'!$AS$5:$AS$404,$AL110)))</f>
        <v/>
      </c>
      <c r="U110" s="33">
        <f>IF($AL110="","",IF(INDEX('04_調査結果'!$AF$5:$AF$404,$AL110)&lt;&gt;"",INDEX('04_調査結果'!$AF$5:$AF$404,$AL110),INDEX('04_調査結果'!$AT$5:$AT$404,$AL110)))</f>
        <v/>
      </c>
      <c r="V110" s="33">
        <f>IF($AL110="","",INDEX('04_調査結果'!$AI$5:$AI$404,$AL110))</f>
        <v/>
      </c>
      <c r="W110">
        <f>IF($AL110="","",INDEX('04_調査結果'!$AU$5:$AU$404,$AL110))</f>
        <v/>
      </c>
      <c r="X110" s="37">
        <f>IF($AL110="","",INDEX('04_調査結果'!$AW$5:$AW$404,$AL110))</f>
        <v/>
      </c>
      <c r="Y110" s="37">
        <f>IF($AL110="","",INDEX('04_調査結果'!$AX$5:$AX$404,$AL110))</f>
        <v/>
      </c>
      <c r="Z110">
        <f>IF($AL110="","",INDEX('04_調査結果'!$S$5:$S$404,$AL110)&amp;"")</f>
        <v/>
      </c>
      <c r="AA110">
        <f>IF($AL110="","",INDEX('04_調査結果'!$T$5:$T$404,$AL110))</f>
        <v/>
      </c>
      <c r="AB110">
        <f>IF($AL110="","",INDEX('04_調査結果'!$U$5:$U$404,$AL110))</f>
        <v/>
      </c>
      <c r="AC110">
        <f>IF($AL110="","",INDEX('04_調査結果'!$V$5:$V$404,$AL110))</f>
        <v/>
      </c>
      <c r="AD110">
        <f>IF($AL110="","",INDEX('04_調査結果'!$W$5:$W$404,$AL110))</f>
        <v/>
      </c>
      <c r="AE110">
        <f>IF($AL110="","",INDEX('04_調査結果'!$X$5:$X$404,$AL110))</f>
        <v/>
      </c>
      <c r="AF110">
        <f>IF($AL110="","",INDEX('04_調査結果'!$Y$5:$Y$404,$AL110))</f>
        <v/>
      </c>
      <c r="AG110">
        <f>IF($AL110="","",INDEX('04_調査結果'!$Z$5:$Z$404,$AL110))</f>
        <v/>
      </c>
      <c r="AH110">
        <f>IF($AL110="","",INDEX('04_調査結果'!$AK$5:$AK$404,$AL110))</f>
        <v/>
      </c>
      <c r="AI110">
        <f>IF($AL110="","",INDEX('04_調査結果'!$AH$5:$AH$404,$AL110)&amp;"")</f>
        <v/>
      </c>
      <c r="AJ110">
        <f>IF($AL110="","",INDEX('04_調査結果'!$AA$5:$AA$404,$AL110)&amp;"")</f>
        <v/>
      </c>
      <c r="AK110">
        <f>IF($AL110="","",INDEX('04_調査結果'!$AC$5:$AC$404,$AL110)&amp;"")</f>
        <v/>
      </c>
      <c r="AL110" s="34">
        <f>IFERROR(MATCH(ROW()-4,'04_調査結果'!$AZ$5:$AZ$404,0),"")</f>
        <v/>
      </c>
    </row>
    <row r="111">
      <c r="A111">
        <f>IF($AL111="","",'01_設定'!$C$36)</f>
        <v/>
      </c>
      <c r="B111">
        <f>IF($AL111="","",'01_設定'!$C$5)</f>
        <v/>
      </c>
      <c r="C111">
        <f>IF($AL111="","",'01_設定'!$C$6)</f>
        <v/>
      </c>
      <c r="D111" s="36">
        <f>IF($AL111="","",'01_設定'!$C$22)</f>
        <v/>
      </c>
      <c r="E111" s="36">
        <f>IF($AL111="","",'01_設定'!$C$23)</f>
        <v/>
      </c>
      <c r="F111">
        <f>IF($AL111="","",'01_設定'!$C$32)</f>
        <v/>
      </c>
      <c r="G111">
        <f>IF($AL111="","",ROW()-4)</f>
        <v/>
      </c>
      <c r="H111">
        <f>IF($AL111="","",INDEX('04_調査結果'!$AO$5:$AO$404,$AL111))</f>
        <v/>
      </c>
      <c r="I111">
        <f>IF($AL111="","",IFERROR(INDEX('M2_区分マスタ'!$I$5:$I$10,INDEX('04_調査結果'!$AP$5:$AP$404,$AL111)),""))</f>
        <v/>
      </c>
      <c r="J111">
        <f>IF($AL111="","",INDEX('04_調査結果'!$BE$5:$BE$404,$AL111)&amp;"")</f>
        <v/>
      </c>
      <c r="K111">
        <f>IF($AL111="","",INDEX('04_調査結果'!$F$5:$F$404,$AL111)&amp;"")</f>
        <v/>
      </c>
      <c r="L111">
        <f>IF($AL111="","",INDEX('04_調査結果'!$G$5:$G$404,$AL111)&amp;"")</f>
        <v/>
      </c>
      <c r="M111">
        <f>IF($AL111="","",INDEX('04_調査結果'!$AQ$5:$AQ$404,$AL111)&amp;"")</f>
        <v/>
      </c>
      <c r="N111">
        <f>IF($AL111="","",IFERROR(INDEX('M1_類型マスタ'!$B$5:$B$19,MATCH(M111,'M1_類型マスタ'!$A$5:$A$19,0)),""))</f>
        <v/>
      </c>
      <c r="O111">
        <f>IF($AL111="","",INDEX('04_調査結果'!$I$5:$I$404,$AL111)&amp;"")</f>
        <v/>
      </c>
      <c r="P111">
        <f>IF($AL111="","",INDEX('04_調査結果'!$J$5:$J$404,$AL111)&amp;"")</f>
        <v/>
      </c>
      <c r="Q111">
        <f>IF($AL111="","",INDEX('04_調査結果'!$K$5:$K$404,$AL111)&amp;"")</f>
        <v/>
      </c>
      <c r="R111">
        <f>IF($AL111="","",INDEX('04_調査結果'!$L$5:$L$404,$AL111)&amp;"")</f>
        <v/>
      </c>
      <c r="S111">
        <f>IF($AL111="","",INDEX('04_調査結果'!$M$5:$M$404,$AL111)&amp;"")</f>
        <v/>
      </c>
      <c r="T111" s="33">
        <f>IF($AL111="","",IF(INDEX('04_調査結果'!$AE$5:$AE$404,$AL111)&lt;&gt;"",INDEX('04_調査結果'!$AE$5:$AE$404,$AL111),INDEX('04_調査結果'!$AS$5:$AS$404,$AL111)))</f>
        <v/>
      </c>
      <c r="U111" s="33">
        <f>IF($AL111="","",IF(INDEX('04_調査結果'!$AF$5:$AF$404,$AL111)&lt;&gt;"",INDEX('04_調査結果'!$AF$5:$AF$404,$AL111),INDEX('04_調査結果'!$AT$5:$AT$404,$AL111)))</f>
        <v/>
      </c>
      <c r="V111" s="33">
        <f>IF($AL111="","",INDEX('04_調査結果'!$AI$5:$AI$404,$AL111))</f>
        <v/>
      </c>
      <c r="W111">
        <f>IF($AL111="","",INDEX('04_調査結果'!$AU$5:$AU$404,$AL111))</f>
        <v/>
      </c>
      <c r="X111" s="37">
        <f>IF($AL111="","",INDEX('04_調査結果'!$AW$5:$AW$404,$AL111))</f>
        <v/>
      </c>
      <c r="Y111" s="37">
        <f>IF($AL111="","",INDEX('04_調査結果'!$AX$5:$AX$404,$AL111))</f>
        <v/>
      </c>
      <c r="Z111">
        <f>IF($AL111="","",INDEX('04_調査結果'!$S$5:$S$404,$AL111)&amp;"")</f>
        <v/>
      </c>
      <c r="AA111">
        <f>IF($AL111="","",INDEX('04_調査結果'!$T$5:$T$404,$AL111))</f>
        <v/>
      </c>
      <c r="AB111">
        <f>IF($AL111="","",INDEX('04_調査結果'!$U$5:$U$404,$AL111))</f>
        <v/>
      </c>
      <c r="AC111">
        <f>IF($AL111="","",INDEX('04_調査結果'!$V$5:$V$404,$AL111))</f>
        <v/>
      </c>
      <c r="AD111">
        <f>IF($AL111="","",INDEX('04_調査結果'!$W$5:$W$404,$AL111))</f>
        <v/>
      </c>
      <c r="AE111">
        <f>IF($AL111="","",INDEX('04_調査結果'!$X$5:$X$404,$AL111))</f>
        <v/>
      </c>
      <c r="AF111">
        <f>IF($AL111="","",INDEX('04_調査結果'!$Y$5:$Y$404,$AL111))</f>
        <v/>
      </c>
      <c r="AG111">
        <f>IF($AL111="","",INDEX('04_調査結果'!$Z$5:$Z$404,$AL111))</f>
        <v/>
      </c>
      <c r="AH111">
        <f>IF($AL111="","",INDEX('04_調査結果'!$AK$5:$AK$404,$AL111))</f>
        <v/>
      </c>
      <c r="AI111">
        <f>IF($AL111="","",INDEX('04_調査結果'!$AH$5:$AH$404,$AL111)&amp;"")</f>
        <v/>
      </c>
      <c r="AJ111">
        <f>IF($AL111="","",INDEX('04_調査結果'!$AA$5:$AA$404,$AL111)&amp;"")</f>
        <v/>
      </c>
      <c r="AK111">
        <f>IF($AL111="","",INDEX('04_調査結果'!$AC$5:$AC$404,$AL111)&amp;"")</f>
        <v/>
      </c>
      <c r="AL111" s="34">
        <f>IFERROR(MATCH(ROW()-4,'04_調査結果'!$AZ$5:$AZ$404,0),"")</f>
        <v/>
      </c>
    </row>
    <row r="112">
      <c r="A112">
        <f>IF($AL112="","",'01_設定'!$C$36)</f>
        <v/>
      </c>
      <c r="B112">
        <f>IF($AL112="","",'01_設定'!$C$5)</f>
        <v/>
      </c>
      <c r="C112">
        <f>IF($AL112="","",'01_設定'!$C$6)</f>
        <v/>
      </c>
      <c r="D112" s="36">
        <f>IF($AL112="","",'01_設定'!$C$22)</f>
        <v/>
      </c>
      <c r="E112" s="36">
        <f>IF($AL112="","",'01_設定'!$C$23)</f>
        <v/>
      </c>
      <c r="F112">
        <f>IF($AL112="","",'01_設定'!$C$32)</f>
        <v/>
      </c>
      <c r="G112">
        <f>IF($AL112="","",ROW()-4)</f>
        <v/>
      </c>
      <c r="H112">
        <f>IF($AL112="","",INDEX('04_調査結果'!$AO$5:$AO$404,$AL112))</f>
        <v/>
      </c>
      <c r="I112">
        <f>IF($AL112="","",IFERROR(INDEX('M2_区分マスタ'!$I$5:$I$10,INDEX('04_調査結果'!$AP$5:$AP$404,$AL112)),""))</f>
        <v/>
      </c>
      <c r="J112">
        <f>IF($AL112="","",INDEX('04_調査結果'!$BE$5:$BE$404,$AL112)&amp;"")</f>
        <v/>
      </c>
      <c r="K112">
        <f>IF($AL112="","",INDEX('04_調査結果'!$F$5:$F$404,$AL112)&amp;"")</f>
        <v/>
      </c>
      <c r="L112">
        <f>IF($AL112="","",INDEX('04_調査結果'!$G$5:$G$404,$AL112)&amp;"")</f>
        <v/>
      </c>
      <c r="M112">
        <f>IF($AL112="","",INDEX('04_調査結果'!$AQ$5:$AQ$404,$AL112)&amp;"")</f>
        <v/>
      </c>
      <c r="N112">
        <f>IF($AL112="","",IFERROR(INDEX('M1_類型マスタ'!$B$5:$B$19,MATCH(M112,'M1_類型マスタ'!$A$5:$A$19,0)),""))</f>
        <v/>
      </c>
      <c r="O112">
        <f>IF($AL112="","",INDEX('04_調査結果'!$I$5:$I$404,$AL112)&amp;"")</f>
        <v/>
      </c>
      <c r="P112">
        <f>IF($AL112="","",INDEX('04_調査結果'!$J$5:$J$404,$AL112)&amp;"")</f>
        <v/>
      </c>
      <c r="Q112">
        <f>IF($AL112="","",INDEX('04_調査結果'!$K$5:$K$404,$AL112)&amp;"")</f>
        <v/>
      </c>
      <c r="R112">
        <f>IF($AL112="","",INDEX('04_調査結果'!$L$5:$L$404,$AL112)&amp;"")</f>
        <v/>
      </c>
      <c r="S112">
        <f>IF($AL112="","",INDEX('04_調査結果'!$M$5:$M$404,$AL112)&amp;"")</f>
        <v/>
      </c>
      <c r="T112" s="33">
        <f>IF($AL112="","",IF(INDEX('04_調査結果'!$AE$5:$AE$404,$AL112)&lt;&gt;"",INDEX('04_調査結果'!$AE$5:$AE$404,$AL112),INDEX('04_調査結果'!$AS$5:$AS$404,$AL112)))</f>
        <v/>
      </c>
      <c r="U112" s="33">
        <f>IF($AL112="","",IF(INDEX('04_調査結果'!$AF$5:$AF$404,$AL112)&lt;&gt;"",INDEX('04_調査結果'!$AF$5:$AF$404,$AL112),INDEX('04_調査結果'!$AT$5:$AT$404,$AL112)))</f>
        <v/>
      </c>
      <c r="V112" s="33">
        <f>IF($AL112="","",INDEX('04_調査結果'!$AI$5:$AI$404,$AL112))</f>
        <v/>
      </c>
      <c r="W112">
        <f>IF($AL112="","",INDEX('04_調査結果'!$AU$5:$AU$404,$AL112))</f>
        <v/>
      </c>
      <c r="X112" s="37">
        <f>IF($AL112="","",INDEX('04_調査結果'!$AW$5:$AW$404,$AL112))</f>
        <v/>
      </c>
      <c r="Y112" s="37">
        <f>IF($AL112="","",INDEX('04_調査結果'!$AX$5:$AX$404,$AL112))</f>
        <v/>
      </c>
      <c r="Z112">
        <f>IF($AL112="","",INDEX('04_調査結果'!$S$5:$S$404,$AL112)&amp;"")</f>
        <v/>
      </c>
      <c r="AA112">
        <f>IF($AL112="","",INDEX('04_調査結果'!$T$5:$T$404,$AL112))</f>
        <v/>
      </c>
      <c r="AB112">
        <f>IF($AL112="","",INDEX('04_調査結果'!$U$5:$U$404,$AL112))</f>
        <v/>
      </c>
      <c r="AC112">
        <f>IF($AL112="","",INDEX('04_調査結果'!$V$5:$V$404,$AL112))</f>
        <v/>
      </c>
      <c r="AD112">
        <f>IF($AL112="","",INDEX('04_調査結果'!$W$5:$W$404,$AL112))</f>
        <v/>
      </c>
      <c r="AE112">
        <f>IF($AL112="","",INDEX('04_調査結果'!$X$5:$X$404,$AL112))</f>
        <v/>
      </c>
      <c r="AF112">
        <f>IF($AL112="","",INDEX('04_調査結果'!$Y$5:$Y$404,$AL112))</f>
        <v/>
      </c>
      <c r="AG112">
        <f>IF($AL112="","",INDEX('04_調査結果'!$Z$5:$Z$404,$AL112))</f>
        <v/>
      </c>
      <c r="AH112">
        <f>IF($AL112="","",INDEX('04_調査結果'!$AK$5:$AK$404,$AL112))</f>
        <v/>
      </c>
      <c r="AI112">
        <f>IF($AL112="","",INDEX('04_調査結果'!$AH$5:$AH$404,$AL112)&amp;"")</f>
        <v/>
      </c>
      <c r="AJ112">
        <f>IF($AL112="","",INDEX('04_調査結果'!$AA$5:$AA$404,$AL112)&amp;"")</f>
        <v/>
      </c>
      <c r="AK112">
        <f>IF($AL112="","",INDEX('04_調査結果'!$AC$5:$AC$404,$AL112)&amp;"")</f>
        <v/>
      </c>
      <c r="AL112" s="34">
        <f>IFERROR(MATCH(ROW()-4,'04_調査結果'!$AZ$5:$AZ$404,0),"")</f>
        <v/>
      </c>
    </row>
    <row r="113">
      <c r="A113">
        <f>IF($AL113="","",'01_設定'!$C$36)</f>
        <v/>
      </c>
      <c r="B113">
        <f>IF($AL113="","",'01_設定'!$C$5)</f>
        <v/>
      </c>
      <c r="C113">
        <f>IF($AL113="","",'01_設定'!$C$6)</f>
        <v/>
      </c>
      <c r="D113" s="36">
        <f>IF($AL113="","",'01_設定'!$C$22)</f>
        <v/>
      </c>
      <c r="E113" s="36">
        <f>IF($AL113="","",'01_設定'!$C$23)</f>
        <v/>
      </c>
      <c r="F113">
        <f>IF($AL113="","",'01_設定'!$C$32)</f>
        <v/>
      </c>
      <c r="G113">
        <f>IF($AL113="","",ROW()-4)</f>
        <v/>
      </c>
      <c r="H113">
        <f>IF($AL113="","",INDEX('04_調査結果'!$AO$5:$AO$404,$AL113))</f>
        <v/>
      </c>
      <c r="I113">
        <f>IF($AL113="","",IFERROR(INDEX('M2_区分マスタ'!$I$5:$I$10,INDEX('04_調査結果'!$AP$5:$AP$404,$AL113)),""))</f>
        <v/>
      </c>
      <c r="J113">
        <f>IF($AL113="","",INDEX('04_調査結果'!$BE$5:$BE$404,$AL113)&amp;"")</f>
        <v/>
      </c>
      <c r="K113">
        <f>IF($AL113="","",INDEX('04_調査結果'!$F$5:$F$404,$AL113)&amp;"")</f>
        <v/>
      </c>
      <c r="L113">
        <f>IF($AL113="","",INDEX('04_調査結果'!$G$5:$G$404,$AL113)&amp;"")</f>
        <v/>
      </c>
      <c r="M113">
        <f>IF($AL113="","",INDEX('04_調査結果'!$AQ$5:$AQ$404,$AL113)&amp;"")</f>
        <v/>
      </c>
      <c r="N113">
        <f>IF($AL113="","",IFERROR(INDEX('M1_類型マスタ'!$B$5:$B$19,MATCH(M113,'M1_類型マスタ'!$A$5:$A$19,0)),""))</f>
        <v/>
      </c>
      <c r="O113">
        <f>IF($AL113="","",INDEX('04_調査結果'!$I$5:$I$404,$AL113)&amp;"")</f>
        <v/>
      </c>
      <c r="P113">
        <f>IF($AL113="","",INDEX('04_調査結果'!$J$5:$J$404,$AL113)&amp;"")</f>
        <v/>
      </c>
      <c r="Q113">
        <f>IF($AL113="","",INDEX('04_調査結果'!$K$5:$K$404,$AL113)&amp;"")</f>
        <v/>
      </c>
      <c r="R113">
        <f>IF($AL113="","",INDEX('04_調査結果'!$L$5:$L$404,$AL113)&amp;"")</f>
        <v/>
      </c>
      <c r="S113">
        <f>IF($AL113="","",INDEX('04_調査結果'!$M$5:$M$404,$AL113)&amp;"")</f>
        <v/>
      </c>
      <c r="T113" s="33">
        <f>IF($AL113="","",IF(INDEX('04_調査結果'!$AE$5:$AE$404,$AL113)&lt;&gt;"",INDEX('04_調査結果'!$AE$5:$AE$404,$AL113),INDEX('04_調査結果'!$AS$5:$AS$404,$AL113)))</f>
        <v/>
      </c>
      <c r="U113" s="33">
        <f>IF($AL113="","",IF(INDEX('04_調査結果'!$AF$5:$AF$404,$AL113)&lt;&gt;"",INDEX('04_調査結果'!$AF$5:$AF$404,$AL113),INDEX('04_調査結果'!$AT$5:$AT$404,$AL113)))</f>
        <v/>
      </c>
      <c r="V113" s="33">
        <f>IF($AL113="","",INDEX('04_調査結果'!$AI$5:$AI$404,$AL113))</f>
        <v/>
      </c>
      <c r="W113">
        <f>IF($AL113="","",INDEX('04_調査結果'!$AU$5:$AU$404,$AL113))</f>
        <v/>
      </c>
      <c r="X113" s="37">
        <f>IF($AL113="","",INDEX('04_調査結果'!$AW$5:$AW$404,$AL113))</f>
        <v/>
      </c>
      <c r="Y113" s="37">
        <f>IF($AL113="","",INDEX('04_調査結果'!$AX$5:$AX$404,$AL113))</f>
        <v/>
      </c>
      <c r="Z113">
        <f>IF($AL113="","",INDEX('04_調査結果'!$S$5:$S$404,$AL113)&amp;"")</f>
        <v/>
      </c>
      <c r="AA113">
        <f>IF($AL113="","",INDEX('04_調査結果'!$T$5:$T$404,$AL113))</f>
        <v/>
      </c>
      <c r="AB113">
        <f>IF($AL113="","",INDEX('04_調査結果'!$U$5:$U$404,$AL113))</f>
        <v/>
      </c>
      <c r="AC113">
        <f>IF($AL113="","",INDEX('04_調査結果'!$V$5:$V$404,$AL113))</f>
        <v/>
      </c>
      <c r="AD113">
        <f>IF($AL113="","",INDEX('04_調査結果'!$W$5:$W$404,$AL113))</f>
        <v/>
      </c>
      <c r="AE113">
        <f>IF($AL113="","",INDEX('04_調査結果'!$X$5:$X$404,$AL113))</f>
        <v/>
      </c>
      <c r="AF113">
        <f>IF($AL113="","",INDEX('04_調査結果'!$Y$5:$Y$404,$AL113))</f>
        <v/>
      </c>
      <c r="AG113">
        <f>IF($AL113="","",INDEX('04_調査結果'!$Z$5:$Z$404,$AL113))</f>
        <v/>
      </c>
      <c r="AH113">
        <f>IF($AL113="","",INDEX('04_調査結果'!$AK$5:$AK$404,$AL113))</f>
        <v/>
      </c>
      <c r="AI113">
        <f>IF($AL113="","",INDEX('04_調査結果'!$AH$5:$AH$404,$AL113)&amp;"")</f>
        <v/>
      </c>
      <c r="AJ113">
        <f>IF($AL113="","",INDEX('04_調査結果'!$AA$5:$AA$404,$AL113)&amp;"")</f>
        <v/>
      </c>
      <c r="AK113">
        <f>IF($AL113="","",INDEX('04_調査結果'!$AC$5:$AC$404,$AL113)&amp;"")</f>
        <v/>
      </c>
      <c r="AL113" s="34">
        <f>IFERROR(MATCH(ROW()-4,'04_調査結果'!$AZ$5:$AZ$404,0),"")</f>
        <v/>
      </c>
    </row>
    <row r="114">
      <c r="A114">
        <f>IF($AL114="","",'01_設定'!$C$36)</f>
        <v/>
      </c>
      <c r="B114">
        <f>IF($AL114="","",'01_設定'!$C$5)</f>
        <v/>
      </c>
      <c r="C114">
        <f>IF($AL114="","",'01_設定'!$C$6)</f>
        <v/>
      </c>
      <c r="D114" s="36">
        <f>IF($AL114="","",'01_設定'!$C$22)</f>
        <v/>
      </c>
      <c r="E114" s="36">
        <f>IF($AL114="","",'01_設定'!$C$23)</f>
        <v/>
      </c>
      <c r="F114">
        <f>IF($AL114="","",'01_設定'!$C$32)</f>
        <v/>
      </c>
      <c r="G114">
        <f>IF($AL114="","",ROW()-4)</f>
        <v/>
      </c>
      <c r="H114">
        <f>IF($AL114="","",INDEX('04_調査結果'!$AO$5:$AO$404,$AL114))</f>
        <v/>
      </c>
      <c r="I114">
        <f>IF($AL114="","",IFERROR(INDEX('M2_区分マスタ'!$I$5:$I$10,INDEX('04_調査結果'!$AP$5:$AP$404,$AL114)),""))</f>
        <v/>
      </c>
      <c r="J114">
        <f>IF($AL114="","",INDEX('04_調査結果'!$BE$5:$BE$404,$AL114)&amp;"")</f>
        <v/>
      </c>
      <c r="K114">
        <f>IF($AL114="","",INDEX('04_調査結果'!$F$5:$F$404,$AL114)&amp;"")</f>
        <v/>
      </c>
      <c r="L114">
        <f>IF($AL114="","",INDEX('04_調査結果'!$G$5:$G$404,$AL114)&amp;"")</f>
        <v/>
      </c>
      <c r="M114">
        <f>IF($AL114="","",INDEX('04_調査結果'!$AQ$5:$AQ$404,$AL114)&amp;"")</f>
        <v/>
      </c>
      <c r="N114">
        <f>IF($AL114="","",IFERROR(INDEX('M1_類型マスタ'!$B$5:$B$19,MATCH(M114,'M1_類型マスタ'!$A$5:$A$19,0)),""))</f>
        <v/>
      </c>
      <c r="O114">
        <f>IF($AL114="","",INDEX('04_調査結果'!$I$5:$I$404,$AL114)&amp;"")</f>
        <v/>
      </c>
      <c r="P114">
        <f>IF($AL114="","",INDEX('04_調査結果'!$J$5:$J$404,$AL114)&amp;"")</f>
        <v/>
      </c>
      <c r="Q114">
        <f>IF($AL114="","",INDEX('04_調査結果'!$K$5:$K$404,$AL114)&amp;"")</f>
        <v/>
      </c>
      <c r="R114">
        <f>IF($AL114="","",INDEX('04_調査結果'!$L$5:$L$404,$AL114)&amp;"")</f>
        <v/>
      </c>
      <c r="S114">
        <f>IF($AL114="","",INDEX('04_調査結果'!$M$5:$M$404,$AL114)&amp;"")</f>
        <v/>
      </c>
      <c r="T114" s="33">
        <f>IF($AL114="","",IF(INDEX('04_調査結果'!$AE$5:$AE$404,$AL114)&lt;&gt;"",INDEX('04_調査結果'!$AE$5:$AE$404,$AL114),INDEX('04_調査結果'!$AS$5:$AS$404,$AL114)))</f>
        <v/>
      </c>
      <c r="U114" s="33">
        <f>IF($AL114="","",IF(INDEX('04_調査結果'!$AF$5:$AF$404,$AL114)&lt;&gt;"",INDEX('04_調査結果'!$AF$5:$AF$404,$AL114),INDEX('04_調査結果'!$AT$5:$AT$404,$AL114)))</f>
        <v/>
      </c>
      <c r="V114" s="33">
        <f>IF($AL114="","",INDEX('04_調査結果'!$AI$5:$AI$404,$AL114))</f>
        <v/>
      </c>
      <c r="W114">
        <f>IF($AL114="","",INDEX('04_調査結果'!$AU$5:$AU$404,$AL114))</f>
        <v/>
      </c>
      <c r="X114" s="37">
        <f>IF($AL114="","",INDEX('04_調査結果'!$AW$5:$AW$404,$AL114))</f>
        <v/>
      </c>
      <c r="Y114" s="37">
        <f>IF($AL114="","",INDEX('04_調査結果'!$AX$5:$AX$404,$AL114))</f>
        <v/>
      </c>
      <c r="Z114">
        <f>IF($AL114="","",INDEX('04_調査結果'!$S$5:$S$404,$AL114)&amp;"")</f>
        <v/>
      </c>
      <c r="AA114">
        <f>IF($AL114="","",INDEX('04_調査結果'!$T$5:$T$404,$AL114))</f>
        <v/>
      </c>
      <c r="AB114">
        <f>IF($AL114="","",INDEX('04_調査結果'!$U$5:$U$404,$AL114))</f>
        <v/>
      </c>
      <c r="AC114">
        <f>IF($AL114="","",INDEX('04_調査結果'!$V$5:$V$404,$AL114))</f>
        <v/>
      </c>
      <c r="AD114">
        <f>IF($AL114="","",INDEX('04_調査結果'!$W$5:$W$404,$AL114))</f>
        <v/>
      </c>
      <c r="AE114">
        <f>IF($AL114="","",INDEX('04_調査結果'!$X$5:$X$404,$AL114))</f>
        <v/>
      </c>
      <c r="AF114">
        <f>IF($AL114="","",INDEX('04_調査結果'!$Y$5:$Y$404,$AL114))</f>
        <v/>
      </c>
      <c r="AG114">
        <f>IF($AL114="","",INDEX('04_調査結果'!$Z$5:$Z$404,$AL114))</f>
        <v/>
      </c>
      <c r="AH114">
        <f>IF($AL114="","",INDEX('04_調査結果'!$AK$5:$AK$404,$AL114))</f>
        <v/>
      </c>
      <c r="AI114">
        <f>IF($AL114="","",INDEX('04_調査結果'!$AH$5:$AH$404,$AL114)&amp;"")</f>
        <v/>
      </c>
      <c r="AJ114">
        <f>IF($AL114="","",INDEX('04_調査結果'!$AA$5:$AA$404,$AL114)&amp;"")</f>
        <v/>
      </c>
      <c r="AK114">
        <f>IF($AL114="","",INDEX('04_調査結果'!$AC$5:$AC$404,$AL114)&amp;"")</f>
        <v/>
      </c>
      <c r="AL114" s="34">
        <f>IFERROR(MATCH(ROW()-4,'04_調査結果'!$AZ$5:$AZ$404,0),"")</f>
        <v/>
      </c>
    </row>
    <row r="115">
      <c r="A115">
        <f>IF($AL115="","",'01_設定'!$C$36)</f>
        <v/>
      </c>
      <c r="B115">
        <f>IF($AL115="","",'01_設定'!$C$5)</f>
        <v/>
      </c>
      <c r="C115">
        <f>IF($AL115="","",'01_設定'!$C$6)</f>
        <v/>
      </c>
      <c r="D115" s="36">
        <f>IF($AL115="","",'01_設定'!$C$22)</f>
        <v/>
      </c>
      <c r="E115" s="36">
        <f>IF($AL115="","",'01_設定'!$C$23)</f>
        <v/>
      </c>
      <c r="F115">
        <f>IF($AL115="","",'01_設定'!$C$32)</f>
        <v/>
      </c>
      <c r="G115">
        <f>IF($AL115="","",ROW()-4)</f>
        <v/>
      </c>
      <c r="H115">
        <f>IF($AL115="","",INDEX('04_調査結果'!$AO$5:$AO$404,$AL115))</f>
        <v/>
      </c>
      <c r="I115">
        <f>IF($AL115="","",IFERROR(INDEX('M2_区分マスタ'!$I$5:$I$10,INDEX('04_調査結果'!$AP$5:$AP$404,$AL115)),""))</f>
        <v/>
      </c>
      <c r="J115">
        <f>IF($AL115="","",INDEX('04_調査結果'!$BE$5:$BE$404,$AL115)&amp;"")</f>
        <v/>
      </c>
      <c r="K115">
        <f>IF($AL115="","",INDEX('04_調査結果'!$F$5:$F$404,$AL115)&amp;"")</f>
        <v/>
      </c>
      <c r="L115">
        <f>IF($AL115="","",INDEX('04_調査結果'!$G$5:$G$404,$AL115)&amp;"")</f>
        <v/>
      </c>
      <c r="M115">
        <f>IF($AL115="","",INDEX('04_調査結果'!$AQ$5:$AQ$404,$AL115)&amp;"")</f>
        <v/>
      </c>
      <c r="N115">
        <f>IF($AL115="","",IFERROR(INDEX('M1_類型マスタ'!$B$5:$B$19,MATCH(M115,'M1_類型マスタ'!$A$5:$A$19,0)),""))</f>
        <v/>
      </c>
      <c r="O115">
        <f>IF($AL115="","",INDEX('04_調査結果'!$I$5:$I$404,$AL115)&amp;"")</f>
        <v/>
      </c>
      <c r="P115">
        <f>IF($AL115="","",INDEX('04_調査結果'!$J$5:$J$404,$AL115)&amp;"")</f>
        <v/>
      </c>
      <c r="Q115">
        <f>IF($AL115="","",INDEX('04_調査結果'!$K$5:$K$404,$AL115)&amp;"")</f>
        <v/>
      </c>
      <c r="R115">
        <f>IF($AL115="","",INDEX('04_調査結果'!$L$5:$L$404,$AL115)&amp;"")</f>
        <v/>
      </c>
      <c r="S115">
        <f>IF($AL115="","",INDEX('04_調査結果'!$M$5:$M$404,$AL115)&amp;"")</f>
        <v/>
      </c>
      <c r="T115" s="33">
        <f>IF($AL115="","",IF(INDEX('04_調査結果'!$AE$5:$AE$404,$AL115)&lt;&gt;"",INDEX('04_調査結果'!$AE$5:$AE$404,$AL115),INDEX('04_調査結果'!$AS$5:$AS$404,$AL115)))</f>
        <v/>
      </c>
      <c r="U115" s="33">
        <f>IF($AL115="","",IF(INDEX('04_調査結果'!$AF$5:$AF$404,$AL115)&lt;&gt;"",INDEX('04_調査結果'!$AF$5:$AF$404,$AL115),INDEX('04_調査結果'!$AT$5:$AT$404,$AL115)))</f>
        <v/>
      </c>
      <c r="V115" s="33">
        <f>IF($AL115="","",INDEX('04_調査結果'!$AI$5:$AI$404,$AL115))</f>
        <v/>
      </c>
      <c r="W115">
        <f>IF($AL115="","",INDEX('04_調査結果'!$AU$5:$AU$404,$AL115))</f>
        <v/>
      </c>
      <c r="X115" s="37">
        <f>IF($AL115="","",INDEX('04_調査結果'!$AW$5:$AW$404,$AL115))</f>
        <v/>
      </c>
      <c r="Y115" s="37">
        <f>IF($AL115="","",INDEX('04_調査結果'!$AX$5:$AX$404,$AL115))</f>
        <v/>
      </c>
      <c r="Z115">
        <f>IF($AL115="","",INDEX('04_調査結果'!$S$5:$S$404,$AL115)&amp;"")</f>
        <v/>
      </c>
      <c r="AA115">
        <f>IF($AL115="","",INDEX('04_調査結果'!$T$5:$T$404,$AL115))</f>
        <v/>
      </c>
      <c r="AB115">
        <f>IF($AL115="","",INDEX('04_調査結果'!$U$5:$U$404,$AL115))</f>
        <v/>
      </c>
      <c r="AC115">
        <f>IF($AL115="","",INDEX('04_調査結果'!$V$5:$V$404,$AL115))</f>
        <v/>
      </c>
      <c r="AD115">
        <f>IF($AL115="","",INDEX('04_調査結果'!$W$5:$W$404,$AL115))</f>
        <v/>
      </c>
      <c r="AE115">
        <f>IF($AL115="","",INDEX('04_調査結果'!$X$5:$X$404,$AL115))</f>
        <v/>
      </c>
      <c r="AF115">
        <f>IF($AL115="","",INDEX('04_調査結果'!$Y$5:$Y$404,$AL115))</f>
        <v/>
      </c>
      <c r="AG115">
        <f>IF($AL115="","",INDEX('04_調査結果'!$Z$5:$Z$404,$AL115))</f>
        <v/>
      </c>
      <c r="AH115">
        <f>IF($AL115="","",INDEX('04_調査結果'!$AK$5:$AK$404,$AL115))</f>
        <v/>
      </c>
      <c r="AI115">
        <f>IF($AL115="","",INDEX('04_調査結果'!$AH$5:$AH$404,$AL115)&amp;"")</f>
        <v/>
      </c>
      <c r="AJ115">
        <f>IF($AL115="","",INDEX('04_調査結果'!$AA$5:$AA$404,$AL115)&amp;"")</f>
        <v/>
      </c>
      <c r="AK115">
        <f>IF($AL115="","",INDEX('04_調査結果'!$AC$5:$AC$404,$AL115)&amp;"")</f>
        <v/>
      </c>
      <c r="AL115" s="34">
        <f>IFERROR(MATCH(ROW()-4,'04_調査結果'!$AZ$5:$AZ$404,0),"")</f>
        <v/>
      </c>
    </row>
    <row r="116">
      <c r="A116">
        <f>IF($AL116="","",'01_設定'!$C$36)</f>
        <v/>
      </c>
      <c r="B116">
        <f>IF($AL116="","",'01_設定'!$C$5)</f>
        <v/>
      </c>
      <c r="C116">
        <f>IF($AL116="","",'01_設定'!$C$6)</f>
        <v/>
      </c>
      <c r="D116" s="36">
        <f>IF($AL116="","",'01_設定'!$C$22)</f>
        <v/>
      </c>
      <c r="E116" s="36">
        <f>IF($AL116="","",'01_設定'!$C$23)</f>
        <v/>
      </c>
      <c r="F116">
        <f>IF($AL116="","",'01_設定'!$C$32)</f>
        <v/>
      </c>
      <c r="G116">
        <f>IF($AL116="","",ROW()-4)</f>
        <v/>
      </c>
      <c r="H116">
        <f>IF($AL116="","",INDEX('04_調査結果'!$AO$5:$AO$404,$AL116))</f>
        <v/>
      </c>
      <c r="I116">
        <f>IF($AL116="","",IFERROR(INDEX('M2_区分マスタ'!$I$5:$I$10,INDEX('04_調査結果'!$AP$5:$AP$404,$AL116)),""))</f>
        <v/>
      </c>
      <c r="J116">
        <f>IF($AL116="","",INDEX('04_調査結果'!$BE$5:$BE$404,$AL116)&amp;"")</f>
        <v/>
      </c>
      <c r="K116">
        <f>IF($AL116="","",INDEX('04_調査結果'!$F$5:$F$404,$AL116)&amp;"")</f>
        <v/>
      </c>
      <c r="L116">
        <f>IF($AL116="","",INDEX('04_調査結果'!$G$5:$G$404,$AL116)&amp;"")</f>
        <v/>
      </c>
      <c r="M116">
        <f>IF($AL116="","",INDEX('04_調査結果'!$AQ$5:$AQ$404,$AL116)&amp;"")</f>
        <v/>
      </c>
      <c r="N116">
        <f>IF($AL116="","",IFERROR(INDEX('M1_類型マスタ'!$B$5:$B$19,MATCH(M116,'M1_類型マスタ'!$A$5:$A$19,0)),""))</f>
        <v/>
      </c>
      <c r="O116">
        <f>IF($AL116="","",INDEX('04_調査結果'!$I$5:$I$404,$AL116)&amp;"")</f>
        <v/>
      </c>
      <c r="P116">
        <f>IF($AL116="","",INDEX('04_調査結果'!$J$5:$J$404,$AL116)&amp;"")</f>
        <v/>
      </c>
      <c r="Q116">
        <f>IF($AL116="","",INDEX('04_調査結果'!$K$5:$K$404,$AL116)&amp;"")</f>
        <v/>
      </c>
      <c r="R116">
        <f>IF($AL116="","",INDEX('04_調査結果'!$L$5:$L$404,$AL116)&amp;"")</f>
        <v/>
      </c>
      <c r="S116">
        <f>IF($AL116="","",INDEX('04_調査結果'!$M$5:$M$404,$AL116)&amp;"")</f>
        <v/>
      </c>
      <c r="T116" s="33">
        <f>IF($AL116="","",IF(INDEX('04_調査結果'!$AE$5:$AE$404,$AL116)&lt;&gt;"",INDEX('04_調査結果'!$AE$5:$AE$404,$AL116),INDEX('04_調査結果'!$AS$5:$AS$404,$AL116)))</f>
        <v/>
      </c>
      <c r="U116" s="33">
        <f>IF($AL116="","",IF(INDEX('04_調査結果'!$AF$5:$AF$404,$AL116)&lt;&gt;"",INDEX('04_調査結果'!$AF$5:$AF$404,$AL116),INDEX('04_調査結果'!$AT$5:$AT$404,$AL116)))</f>
        <v/>
      </c>
      <c r="V116" s="33">
        <f>IF($AL116="","",INDEX('04_調査結果'!$AI$5:$AI$404,$AL116))</f>
        <v/>
      </c>
      <c r="W116">
        <f>IF($AL116="","",INDEX('04_調査結果'!$AU$5:$AU$404,$AL116))</f>
        <v/>
      </c>
      <c r="X116" s="37">
        <f>IF($AL116="","",INDEX('04_調査結果'!$AW$5:$AW$404,$AL116))</f>
        <v/>
      </c>
      <c r="Y116" s="37">
        <f>IF($AL116="","",INDEX('04_調査結果'!$AX$5:$AX$404,$AL116))</f>
        <v/>
      </c>
      <c r="Z116">
        <f>IF($AL116="","",INDEX('04_調査結果'!$S$5:$S$404,$AL116)&amp;"")</f>
        <v/>
      </c>
      <c r="AA116">
        <f>IF($AL116="","",INDEX('04_調査結果'!$T$5:$T$404,$AL116))</f>
        <v/>
      </c>
      <c r="AB116">
        <f>IF($AL116="","",INDEX('04_調査結果'!$U$5:$U$404,$AL116))</f>
        <v/>
      </c>
      <c r="AC116">
        <f>IF($AL116="","",INDEX('04_調査結果'!$V$5:$V$404,$AL116))</f>
        <v/>
      </c>
      <c r="AD116">
        <f>IF($AL116="","",INDEX('04_調査結果'!$W$5:$W$404,$AL116))</f>
        <v/>
      </c>
      <c r="AE116">
        <f>IF($AL116="","",INDEX('04_調査結果'!$X$5:$X$404,$AL116))</f>
        <v/>
      </c>
      <c r="AF116">
        <f>IF($AL116="","",INDEX('04_調査結果'!$Y$5:$Y$404,$AL116))</f>
        <v/>
      </c>
      <c r="AG116">
        <f>IF($AL116="","",INDEX('04_調査結果'!$Z$5:$Z$404,$AL116))</f>
        <v/>
      </c>
      <c r="AH116">
        <f>IF($AL116="","",INDEX('04_調査結果'!$AK$5:$AK$404,$AL116))</f>
        <v/>
      </c>
      <c r="AI116">
        <f>IF($AL116="","",INDEX('04_調査結果'!$AH$5:$AH$404,$AL116)&amp;"")</f>
        <v/>
      </c>
      <c r="AJ116">
        <f>IF($AL116="","",INDEX('04_調査結果'!$AA$5:$AA$404,$AL116)&amp;"")</f>
        <v/>
      </c>
      <c r="AK116">
        <f>IF($AL116="","",INDEX('04_調査結果'!$AC$5:$AC$404,$AL116)&amp;"")</f>
        <v/>
      </c>
      <c r="AL116" s="34">
        <f>IFERROR(MATCH(ROW()-4,'04_調査結果'!$AZ$5:$AZ$404,0),"")</f>
        <v/>
      </c>
    </row>
    <row r="117">
      <c r="A117">
        <f>IF($AL117="","",'01_設定'!$C$36)</f>
        <v/>
      </c>
      <c r="B117">
        <f>IF($AL117="","",'01_設定'!$C$5)</f>
        <v/>
      </c>
      <c r="C117">
        <f>IF($AL117="","",'01_設定'!$C$6)</f>
        <v/>
      </c>
      <c r="D117" s="36">
        <f>IF($AL117="","",'01_設定'!$C$22)</f>
        <v/>
      </c>
      <c r="E117" s="36">
        <f>IF($AL117="","",'01_設定'!$C$23)</f>
        <v/>
      </c>
      <c r="F117">
        <f>IF($AL117="","",'01_設定'!$C$32)</f>
        <v/>
      </c>
      <c r="G117">
        <f>IF($AL117="","",ROW()-4)</f>
        <v/>
      </c>
      <c r="H117">
        <f>IF($AL117="","",INDEX('04_調査結果'!$AO$5:$AO$404,$AL117))</f>
        <v/>
      </c>
      <c r="I117">
        <f>IF($AL117="","",IFERROR(INDEX('M2_区分マスタ'!$I$5:$I$10,INDEX('04_調査結果'!$AP$5:$AP$404,$AL117)),""))</f>
        <v/>
      </c>
      <c r="J117">
        <f>IF($AL117="","",INDEX('04_調査結果'!$BE$5:$BE$404,$AL117)&amp;"")</f>
        <v/>
      </c>
      <c r="K117">
        <f>IF($AL117="","",INDEX('04_調査結果'!$F$5:$F$404,$AL117)&amp;"")</f>
        <v/>
      </c>
      <c r="L117">
        <f>IF($AL117="","",INDEX('04_調査結果'!$G$5:$G$404,$AL117)&amp;"")</f>
        <v/>
      </c>
      <c r="M117">
        <f>IF($AL117="","",INDEX('04_調査結果'!$AQ$5:$AQ$404,$AL117)&amp;"")</f>
        <v/>
      </c>
      <c r="N117">
        <f>IF($AL117="","",IFERROR(INDEX('M1_類型マスタ'!$B$5:$B$19,MATCH(M117,'M1_類型マスタ'!$A$5:$A$19,0)),""))</f>
        <v/>
      </c>
      <c r="O117">
        <f>IF($AL117="","",INDEX('04_調査結果'!$I$5:$I$404,$AL117)&amp;"")</f>
        <v/>
      </c>
      <c r="P117">
        <f>IF($AL117="","",INDEX('04_調査結果'!$J$5:$J$404,$AL117)&amp;"")</f>
        <v/>
      </c>
      <c r="Q117">
        <f>IF($AL117="","",INDEX('04_調査結果'!$K$5:$K$404,$AL117)&amp;"")</f>
        <v/>
      </c>
      <c r="R117">
        <f>IF($AL117="","",INDEX('04_調査結果'!$L$5:$L$404,$AL117)&amp;"")</f>
        <v/>
      </c>
      <c r="S117">
        <f>IF($AL117="","",INDEX('04_調査結果'!$M$5:$M$404,$AL117)&amp;"")</f>
        <v/>
      </c>
      <c r="T117" s="33">
        <f>IF($AL117="","",IF(INDEX('04_調査結果'!$AE$5:$AE$404,$AL117)&lt;&gt;"",INDEX('04_調査結果'!$AE$5:$AE$404,$AL117),INDEX('04_調査結果'!$AS$5:$AS$404,$AL117)))</f>
        <v/>
      </c>
      <c r="U117" s="33">
        <f>IF($AL117="","",IF(INDEX('04_調査結果'!$AF$5:$AF$404,$AL117)&lt;&gt;"",INDEX('04_調査結果'!$AF$5:$AF$404,$AL117),INDEX('04_調査結果'!$AT$5:$AT$404,$AL117)))</f>
        <v/>
      </c>
      <c r="V117" s="33">
        <f>IF($AL117="","",INDEX('04_調査結果'!$AI$5:$AI$404,$AL117))</f>
        <v/>
      </c>
      <c r="W117">
        <f>IF($AL117="","",INDEX('04_調査結果'!$AU$5:$AU$404,$AL117))</f>
        <v/>
      </c>
      <c r="X117" s="37">
        <f>IF($AL117="","",INDEX('04_調査結果'!$AW$5:$AW$404,$AL117))</f>
        <v/>
      </c>
      <c r="Y117" s="37">
        <f>IF($AL117="","",INDEX('04_調査結果'!$AX$5:$AX$404,$AL117))</f>
        <v/>
      </c>
      <c r="Z117">
        <f>IF($AL117="","",INDEX('04_調査結果'!$S$5:$S$404,$AL117)&amp;"")</f>
        <v/>
      </c>
      <c r="AA117">
        <f>IF($AL117="","",INDEX('04_調査結果'!$T$5:$T$404,$AL117))</f>
        <v/>
      </c>
      <c r="AB117">
        <f>IF($AL117="","",INDEX('04_調査結果'!$U$5:$U$404,$AL117))</f>
        <v/>
      </c>
      <c r="AC117">
        <f>IF($AL117="","",INDEX('04_調査結果'!$V$5:$V$404,$AL117))</f>
        <v/>
      </c>
      <c r="AD117">
        <f>IF($AL117="","",INDEX('04_調査結果'!$W$5:$W$404,$AL117))</f>
        <v/>
      </c>
      <c r="AE117">
        <f>IF($AL117="","",INDEX('04_調査結果'!$X$5:$X$404,$AL117))</f>
        <v/>
      </c>
      <c r="AF117">
        <f>IF($AL117="","",INDEX('04_調査結果'!$Y$5:$Y$404,$AL117))</f>
        <v/>
      </c>
      <c r="AG117">
        <f>IF($AL117="","",INDEX('04_調査結果'!$Z$5:$Z$404,$AL117))</f>
        <v/>
      </c>
      <c r="AH117">
        <f>IF($AL117="","",INDEX('04_調査結果'!$AK$5:$AK$404,$AL117))</f>
        <v/>
      </c>
      <c r="AI117">
        <f>IF($AL117="","",INDEX('04_調査結果'!$AH$5:$AH$404,$AL117)&amp;"")</f>
        <v/>
      </c>
      <c r="AJ117">
        <f>IF($AL117="","",INDEX('04_調査結果'!$AA$5:$AA$404,$AL117)&amp;"")</f>
        <v/>
      </c>
      <c r="AK117">
        <f>IF($AL117="","",INDEX('04_調査結果'!$AC$5:$AC$404,$AL117)&amp;"")</f>
        <v/>
      </c>
      <c r="AL117" s="34">
        <f>IFERROR(MATCH(ROW()-4,'04_調査結果'!$AZ$5:$AZ$404,0),"")</f>
        <v/>
      </c>
    </row>
    <row r="118">
      <c r="A118">
        <f>IF($AL118="","",'01_設定'!$C$36)</f>
        <v/>
      </c>
      <c r="B118">
        <f>IF($AL118="","",'01_設定'!$C$5)</f>
        <v/>
      </c>
      <c r="C118">
        <f>IF($AL118="","",'01_設定'!$C$6)</f>
        <v/>
      </c>
      <c r="D118" s="36">
        <f>IF($AL118="","",'01_設定'!$C$22)</f>
        <v/>
      </c>
      <c r="E118" s="36">
        <f>IF($AL118="","",'01_設定'!$C$23)</f>
        <v/>
      </c>
      <c r="F118">
        <f>IF($AL118="","",'01_設定'!$C$32)</f>
        <v/>
      </c>
      <c r="G118">
        <f>IF($AL118="","",ROW()-4)</f>
        <v/>
      </c>
      <c r="H118">
        <f>IF($AL118="","",INDEX('04_調査結果'!$AO$5:$AO$404,$AL118))</f>
        <v/>
      </c>
      <c r="I118">
        <f>IF($AL118="","",IFERROR(INDEX('M2_区分マスタ'!$I$5:$I$10,INDEX('04_調査結果'!$AP$5:$AP$404,$AL118)),""))</f>
        <v/>
      </c>
      <c r="J118">
        <f>IF($AL118="","",INDEX('04_調査結果'!$BE$5:$BE$404,$AL118)&amp;"")</f>
        <v/>
      </c>
      <c r="K118">
        <f>IF($AL118="","",INDEX('04_調査結果'!$F$5:$F$404,$AL118)&amp;"")</f>
        <v/>
      </c>
      <c r="L118">
        <f>IF($AL118="","",INDEX('04_調査結果'!$G$5:$G$404,$AL118)&amp;"")</f>
        <v/>
      </c>
      <c r="M118">
        <f>IF($AL118="","",INDEX('04_調査結果'!$AQ$5:$AQ$404,$AL118)&amp;"")</f>
        <v/>
      </c>
      <c r="N118">
        <f>IF($AL118="","",IFERROR(INDEX('M1_類型マスタ'!$B$5:$B$19,MATCH(M118,'M1_類型マスタ'!$A$5:$A$19,0)),""))</f>
        <v/>
      </c>
      <c r="O118">
        <f>IF($AL118="","",INDEX('04_調査結果'!$I$5:$I$404,$AL118)&amp;"")</f>
        <v/>
      </c>
      <c r="P118">
        <f>IF($AL118="","",INDEX('04_調査結果'!$J$5:$J$404,$AL118)&amp;"")</f>
        <v/>
      </c>
      <c r="Q118">
        <f>IF($AL118="","",INDEX('04_調査結果'!$K$5:$K$404,$AL118)&amp;"")</f>
        <v/>
      </c>
      <c r="R118">
        <f>IF($AL118="","",INDEX('04_調査結果'!$L$5:$L$404,$AL118)&amp;"")</f>
        <v/>
      </c>
      <c r="S118">
        <f>IF($AL118="","",INDEX('04_調査結果'!$M$5:$M$404,$AL118)&amp;"")</f>
        <v/>
      </c>
      <c r="T118" s="33">
        <f>IF($AL118="","",IF(INDEX('04_調査結果'!$AE$5:$AE$404,$AL118)&lt;&gt;"",INDEX('04_調査結果'!$AE$5:$AE$404,$AL118),INDEX('04_調査結果'!$AS$5:$AS$404,$AL118)))</f>
        <v/>
      </c>
      <c r="U118" s="33">
        <f>IF($AL118="","",IF(INDEX('04_調査結果'!$AF$5:$AF$404,$AL118)&lt;&gt;"",INDEX('04_調査結果'!$AF$5:$AF$404,$AL118),INDEX('04_調査結果'!$AT$5:$AT$404,$AL118)))</f>
        <v/>
      </c>
      <c r="V118" s="33">
        <f>IF($AL118="","",INDEX('04_調査結果'!$AI$5:$AI$404,$AL118))</f>
        <v/>
      </c>
      <c r="W118">
        <f>IF($AL118="","",INDEX('04_調査結果'!$AU$5:$AU$404,$AL118))</f>
        <v/>
      </c>
      <c r="X118" s="37">
        <f>IF($AL118="","",INDEX('04_調査結果'!$AW$5:$AW$404,$AL118))</f>
        <v/>
      </c>
      <c r="Y118" s="37">
        <f>IF($AL118="","",INDEX('04_調査結果'!$AX$5:$AX$404,$AL118))</f>
        <v/>
      </c>
      <c r="Z118">
        <f>IF($AL118="","",INDEX('04_調査結果'!$S$5:$S$404,$AL118)&amp;"")</f>
        <v/>
      </c>
      <c r="AA118">
        <f>IF($AL118="","",INDEX('04_調査結果'!$T$5:$T$404,$AL118))</f>
        <v/>
      </c>
      <c r="AB118">
        <f>IF($AL118="","",INDEX('04_調査結果'!$U$5:$U$404,$AL118))</f>
        <v/>
      </c>
      <c r="AC118">
        <f>IF($AL118="","",INDEX('04_調査結果'!$V$5:$V$404,$AL118))</f>
        <v/>
      </c>
      <c r="AD118">
        <f>IF($AL118="","",INDEX('04_調査結果'!$W$5:$W$404,$AL118))</f>
        <v/>
      </c>
      <c r="AE118">
        <f>IF($AL118="","",INDEX('04_調査結果'!$X$5:$X$404,$AL118))</f>
        <v/>
      </c>
      <c r="AF118">
        <f>IF($AL118="","",INDEX('04_調査結果'!$Y$5:$Y$404,$AL118))</f>
        <v/>
      </c>
      <c r="AG118">
        <f>IF($AL118="","",INDEX('04_調査結果'!$Z$5:$Z$404,$AL118))</f>
        <v/>
      </c>
      <c r="AH118">
        <f>IF($AL118="","",INDEX('04_調査結果'!$AK$5:$AK$404,$AL118))</f>
        <v/>
      </c>
      <c r="AI118">
        <f>IF($AL118="","",INDEX('04_調査結果'!$AH$5:$AH$404,$AL118)&amp;"")</f>
        <v/>
      </c>
      <c r="AJ118">
        <f>IF($AL118="","",INDEX('04_調査結果'!$AA$5:$AA$404,$AL118)&amp;"")</f>
        <v/>
      </c>
      <c r="AK118">
        <f>IF($AL118="","",INDEX('04_調査結果'!$AC$5:$AC$404,$AL118)&amp;"")</f>
        <v/>
      </c>
      <c r="AL118" s="34">
        <f>IFERROR(MATCH(ROW()-4,'04_調査結果'!$AZ$5:$AZ$404,0),"")</f>
        <v/>
      </c>
    </row>
    <row r="119">
      <c r="A119">
        <f>IF($AL119="","",'01_設定'!$C$36)</f>
        <v/>
      </c>
      <c r="B119">
        <f>IF($AL119="","",'01_設定'!$C$5)</f>
        <v/>
      </c>
      <c r="C119">
        <f>IF($AL119="","",'01_設定'!$C$6)</f>
        <v/>
      </c>
      <c r="D119" s="36">
        <f>IF($AL119="","",'01_設定'!$C$22)</f>
        <v/>
      </c>
      <c r="E119" s="36">
        <f>IF($AL119="","",'01_設定'!$C$23)</f>
        <v/>
      </c>
      <c r="F119">
        <f>IF($AL119="","",'01_設定'!$C$32)</f>
        <v/>
      </c>
      <c r="G119">
        <f>IF($AL119="","",ROW()-4)</f>
        <v/>
      </c>
      <c r="H119">
        <f>IF($AL119="","",INDEX('04_調査結果'!$AO$5:$AO$404,$AL119))</f>
        <v/>
      </c>
      <c r="I119">
        <f>IF($AL119="","",IFERROR(INDEX('M2_区分マスタ'!$I$5:$I$10,INDEX('04_調査結果'!$AP$5:$AP$404,$AL119)),""))</f>
        <v/>
      </c>
      <c r="J119">
        <f>IF($AL119="","",INDEX('04_調査結果'!$BE$5:$BE$404,$AL119)&amp;"")</f>
        <v/>
      </c>
      <c r="K119">
        <f>IF($AL119="","",INDEX('04_調査結果'!$F$5:$F$404,$AL119)&amp;"")</f>
        <v/>
      </c>
      <c r="L119">
        <f>IF($AL119="","",INDEX('04_調査結果'!$G$5:$G$404,$AL119)&amp;"")</f>
        <v/>
      </c>
      <c r="M119">
        <f>IF($AL119="","",INDEX('04_調査結果'!$AQ$5:$AQ$404,$AL119)&amp;"")</f>
        <v/>
      </c>
      <c r="N119">
        <f>IF($AL119="","",IFERROR(INDEX('M1_類型マスタ'!$B$5:$B$19,MATCH(M119,'M1_類型マスタ'!$A$5:$A$19,0)),""))</f>
        <v/>
      </c>
      <c r="O119">
        <f>IF($AL119="","",INDEX('04_調査結果'!$I$5:$I$404,$AL119)&amp;"")</f>
        <v/>
      </c>
      <c r="P119">
        <f>IF($AL119="","",INDEX('04_調査結果'!$J$5:$J$404,$AL119)&amp;"")</f>
        <v/>
      </c>
      <c r="Q119">
        <f>IF($AL119="","",INDEX('04_調査結果'!$K$5:$K$404,$AL119)&amp;"")</f>
        <v/>
      </c>
      <c r="R119">
        <f>IF($AL119="","",INDEX('04_調査結果'!$L$5:$L$404,$AL119)&amp;"")</f>
        <v/>
      </c>
      <c r="S119">
        <f>IF($AL119="","",INDEX('04_調査結果'!$M$5:$M$404,$AL119)&amp;"")</f>
        <v/>
      </c>
      <c r="T119" s="33">
        <f>IF($AL119="","",IF(INDEX('04_調査結果'!$AE$5:$AE$404,$AL119)&lt;&gt;"",INDEX('04_調査結果'!$AE$5:$AE$404,$AL119),INDEX('04_調査結果'!$AS$5:$AS$404,$AL119)))</f>
        <v/>
      </c>
      <c r="U119" s="33">
        <f>IF($AL119="","",IF(INDEX('04_調査結果'!$AF$5:$AF$404,$AL119)&lt;&gt;"",INDEX('04_調査結果'!$AF$5:$AF$404,$AL119),INDEX('04_調査結果'!$AT$5:$AT$404,$AL119)))</f>
        <v/>
      </c>
      <c r="V119" s="33">
        <f>IF($AL119="","",INDEX('04_調査結果'!$AI$5:$AI$404,$AL119))</f>
        <v/>
      </c>
      <c r="W119">
        <f>IF($AL119="","",INDEX('04_調査結果'!$AU$5:$AU$404,$AL119))</f>
        <v/>
      </c>
      <c r="X119" s="37">
        <f>IF($AL119="","",INDEX('04_調査結果'!$AW$5:$AW$404,$AL119))</f>
        <v/>
      </c>
      <c r="Y119" s="37">
        <f>IF($AL119="","",INDEX('04_調査結果'!$AX$5:$AX$404,$AL119))</f>
        <v/>
      </c>
      <c r="Z119">
        <f>IF($AL119="","",INDEX('04_調査結果'!$S$5:$S$404,$AL119)&amp;"")</f>
        <v/>
      </c>
      <c r="AA119">
        <f>IF($AL119="","",INDEX('04_調査結果'!$T$5:$T$404,$AL119))</f>
        <v/>
      </c>
      <c r="AB119">
        <f>IF($AL119="","",INDEX('04_調査結果'!$U$5:$U$404,$AL119))</f>
        <v/>
      </c>
      <c r="AC119">
        <f>IF($AL119="","",INDEX('04_調査結果'!$V$5:$V$404,$AL119))</f>
        <v/>
      </c>
      <c r="AD119">
        <f>IF($AL119="","",INDEX('04_調査結果'!$W$5:$W$404,$AL119))</f>
        <v/>
      </c>
      <c r="AE119">
        <f>IF($AL119="","",INDEX('04_調査結果'!$X$5:$X$404,$AL119))</f>
        <v/>
      </c>
      <c r="AF119">
        <f>IF($AL119="","",INDEX('04_調査結果'!$Y$5:$Y$404,$AL119))</f>
        <v/>
      </c>
      <c r="AG119">
        <f>IF($AL119="","",INDEX('04_調査結果'!$Z$5:$Z$404,$AL119))</f>
        <v/>
      </c>
      <c r="AH119">
        <f>IF($AL119="","",INDEX('04_調査結果'!$AK$5:$AK$404,$AL119))</f>
        <v/>
      </c>
      <c r="AI119">
        <f>IF($AL119="","",INDEX('04_調査結果'!$AH$5:$AH$404,$AL119)&amp;"")</f>
        <v/>
      </c>
      <c r="AJ119">
        <f>IF($AL119="","",INDEX('04_調査結果'!$AA$5:$AA$404,$AL119)&amp;"")</f>
        <v/>
      </c>
      <c r="AK119">
        <f>IF($AL119="","",INDEX('04_調査結果'!$AC$5:$AC$404,$AL119)&amp;"")</f>
        <v/>
      </c>
      <c r="AL119" s="34">
        <f>IFERROR(MATCH(ROW()-4,'04_調査結果'!$AZ$5:$AZ$404,0),"")</f>
        <v/>
      </c>
    </row>
    <row r="120">
      <c r="A120">
        <f>IF($AL120="","",'01_設定'!$C$36)</f>
        <v/>
      </c>
      <c r="B120">
        <f>IF($AL120="","",'01_設定'!$C$5)</f>
        <v/>
      </c>
      <c r="C120">
        <f>IF($AL120="","",'01_設定'!$C$6)</f>
        <v/>
      </c>
      <c r="D120" s="36">
        <f>IF($AL120="","",'01_設定'!$C$22)</f>
        <v/>
      </c>
      <c r="E120" s="36">
        <f>IF($AL120="","",'01_設定'!$C$23)</f>
        <v/>
      </c>
      <c r="F120">
        <f>IF($AL120="","",'01_設定'!$C$32)</f>
        <v/>
      </c>
      <c r="G120">
        <f>IF($AL120="","",ROW()-4)</f>
        <v/>
      </c>
      <c r="H120">
        <f>IF($AL120="","",INDEX('04_調査結果'!$AO$5:$AO$404,$AL120))</f>
        <v/>
      </c>
      <c r="I120">
        <f>IF($AL120="","",IFERROR(INDEX('M2_区分マスタ'!$I$5:$I$10,INDEX('04_調査結果'!$AP$5:$AP$404,$AL120)),""))</f>
        <v/>
      </c>
      <c r="J120">
        <f>IF($AL120="","",INDEX('04_調査結果'!$BE$5:$BE$404,$AL120)&amp;"")</f>
        <v/>
      </c>
      <c r="K120">
        <f>IF($AL120="","",INDEX('04_調査結果'!$F$5:$F$404,$AL120)&amp;"")</f>
        <v/>
      </c>
      <c r="L120">
        <f>IF($AL120="","",INDEX('04_調査結果'!$G$5:$G$404,$AL120)&amp;"")</f>
        <v/>
      </c>
      <c r="M120">
        <f>IF($AL120="","",INDEX('04_調査結果'!$AQ$5:$AQ$404,$AL120)&amp;"")</f>
        <v/>
      </c>
      <c r="N120">
        <f>IF($AL120="","",IFERROR(INDEX('M1_類型マスタ'!$B$5:$B$19,MATCH(M120,'M1_類型マスタ'!$A$5:$A$19,0)),""))</f>
        <v/>
      </c>
      <c r="O120">
        <f>IF($AL120="","",INDEX('04_調査結果'!$I$5:$I$404,$AL120)&amp;"")</f>
        <v/>
      </c>
      <c r="P120">
        <f>IF($AL120="","",INDEX('04_調査結果'!$J$5:$J$404,$AL120)&amp;"")</f>
        <v/>
      </c>
      <c r="Q120">
        <f>IF($AL120="","",INDEX('04_調査結果'!$K$5:$K$404,$AL120)&amp;"")</f>
        <v/>
      </c>
      <c r="R120">
        <f>IF($AL120="","",INDEX('04_調査結果'!$L$5:$L$404,$AL120)&amp;"")</f>
        <v/>
      </c>
      <c r="S120">
        <f>IF($AL120="","",INDEX('04_調査結果'!$M$5:$M$404,$AL120)&amp;"")</f>
        <v/>
      </c>
      <c r="T120" s="33">
        <f>IF($AL120="","",IF(INDEX('04_調査結果'!$AE$5:$AE$404,$AL120)&lt;&gt;"",INDEX('04_調査結果'!$AE$5:$AE$404,$AL120),INDEX('04_調査結果'!$AS$5:$AS$404,$AL120)))</f>
        <v/>
      </c>
      <c r="U120" s="33">
        <f>IF($AL120="","",IF(INDEX('04_調査結果'!$AF$5:$AF$404,$AL120)&lt;&gt;"",INDEX('04_調査結果'!$AF$5:$AF$404,$AL120),INDEX('04_調査結果'!$AT$5:$AT$404,$AL120)))</f>
        <v/>
      </c>
      <c r="V120" s="33">
        <f>IF($AL120="","",INDEX('04_調査結果'!$AI$5:$AI$404,$AL120))</f>
        <v/>
      </c>
      <c r="W120">
        <f>IF($AL120="","",INDEX('04_調査結果'!$AU$5:$AU$404,$AL120))</f>
        <v/>
      </c>
      <c r="X120" s="37">
        <f>IF($AL120="","",INDEX('04_調査結果'!$AW$5:$AW$404,$AL120))</f>
        <v/>
      </c>
      <c r="Y120" s="37">
        <f>IF($AL120="","",INDEX('04_調査結果'!$AX$5:$AX$404,$AL120))</f>
        <v/>
      </c>
      <c r="Z120">
        <f>IF($AL120="","",INDEX('04_調査結果'!$S$5:$S$404,$AL120)&amp;"")</f>
        <v/>
      </c>
      <c r="AA120">
        <f>IF($AL120="","",INDEX('04_調査結果'!$T$5:$T$404,$AL120))</f>
        <v/>
      </c>
      <c r="AB120">
        <f>IF($AL120="","",INDEX('04_調査結果'!$U$5:$U$404,$AL120))</f>
        <v/>
      </c>
      <c r="AC120">
        <f>IF($AL120="","",INDEX('04_調査結果'!$V$5:$V$404,$AL120))</f>
        <v/>
      </c>
      <c r="AD120">
        <f>IF($AL120="","",INDEX('04_調査結果'!$W$5:$W$404,$AL120))</f>
        <v/>
      </c>
      <c r="AE120">
        <f>IF($AL120="","",INDEX('04_調査結果'!$X$5:$X$404,$AL120))</f>
        <v/>
      </c>
      <c r="AF120">
        <f>IF($AL120="","",INDEX('04_調査結果'!$Y$5:$Y$404,$AL120))</f>
        <v/>
      </c>
      <c r="AG120">
        <f>IF($AL120="","",INDEX('04_調査結果'!$Z$5:$Z$404,$AL120))</f>
        <v/>
      </c>
      <c r="AH120">
        <f>IF($AL120="","",INDEX('04_調査結果'!$AK$5:$AK$404,$AL120))</f>
        <v/>
      </c>
      <c r="AI120">
        <f>IF($AL120="","",INDEX('04_調査結果'!$AH$5:$AH$404,$AL120)&amp;"")</f>
        <v/>
      </c>
      <c r="AJ120">
        <f>IF($AL120="","",INDEX('04_調査結果'!$AA$5:$AA$404,$AL120)&amp;"")</f>
        <v/>
      </c>
      <c r="AK120">
        <f>IF($AL120="","",INDEX('04_調査結果'!$AC$5:$AC$404,$AL120)&amp;"")</f>
        <v/>
      </c>
      <c r="AL120" s="34">
        <f>IFERROR(MATCH(ROW()-4,'04_調査結果'!$AZ$5:$AZ$404,0),"")</f>
        <v/>
      </c>
    </row>
    <row r="121">
      <c r="A121">
        <f>IF($AL121="","",'01_設定'!$C$36)</f>
        <v/>
      </c>
      <c r="B121">
        <f>IF($AL121="","",'01_設定'!$C$5)</f>
        <v/>
      </c>
      <c r="C121">
        <f>IF($AL121="","",'01_設定'!$C$6)</f>
        <v/>
      </c>
      <c r="D121" s="36">
        <f>IF($AL121="","",'01_設定'!$C$22)</f>
        <v/>
      </c>
      <c r="E121" s="36">
        <f>IF($AL121="","",'01_設定'!$C$23)</f>
        <v/>
      </c>
      <c r="F121">
        <f>IF($AL121="","",'01_設定'!$C$32)</f>
        <v/>
      </c>
      <c r="G121">
        <f>IF($AL121="","",ROW()-4)</f>
        <v/>
      </c>
      <c r="H121">
        <f>IF($AL121="","",INDEX('04_調査結果'!$AO$5:$AO$404,$AL121))</f>
        <v/>
      </c>
      <c r="I121">
        <f>IF($AL121="","",IFERROR(INDEX('M2_区分マスタ'!$I$5:$I$10,INDEX('04_調査結果'!$AP$5:$AP$404,$AL121)),""))</f>
        <v/>
      </c>
      <c r="J121">
        <f>IF($AL121="","",INDEX('04_調査結果'!$BE$5:$BE$404,$AL121)&amp;"")</f>
        <v/>
      </c>
      <c r="K121">
        <f>IF($AL121="","",INDEX('04_調査結果'!$F$5:$F$404,$AL121)&amp;"")</f>
        <v/>
      </c>
      <c r="L121">
        <f>IF($AL121="","",INDEX('04_調査結果'!$G$5:$G$404,$AL121)&amp;"")</f>
        <v/>
      </c>
      <c r="M121">
        <f>IF($AL121="","",INDEX('04_調査結果'!$AQ$5:$AQ$404,$AL121)&amp;"")</f>
        <v/>
      </c>
      <c r="N121">
        <f>IF($AL121="","",IFERROR(INDEX('M1_類型マスタ'!$B$5:$B$19,MATCH(M121,'M1_類型マスタ'!$A$5:$A$19,0)),""))</f>
        <v/>
      </c>
      <c r="O121">
        <f>IF($AL121="","",INDEX('04_調査結果'!$I$5:$I$404,$AL121)&amp;"")</f>
        <v/>
      </c>
      <c r="P121">
        <f>IF($AL121="","",INDEX('04_調査結果'!$J$5:$J$404,$AL121)&amp;"")</f>
        <v/>
      </c>
      <c r="Q121">
        <f>IF($AL121="","",INDEX('04_調査結果'!$K$5:$K$404,$AL121)&amp;"")</f>
        <v/>
      </c>
      <c r="R121">
        <f>IF($AL121="","",INDEX('04_調査結果'!$L$5:$L$404,$AL121)&amp;"")</f>
        <v/>
      </c>
      <c r="S121">
        <f>IF($AL121="","",INDEX('04_調査結果'!$M$5:$M$404,$AL121)&amp;"")</f>
        <v/>
      </c>
      <c r="T121" s="33">
        <f>IF($AL121="","",IF(INDEX('04_調査結果'!$AE$5:$AE$404,$AL121)&lt;&gt;"",INDEX('04_調査結果'!$AE$5:$AE$404,$AL121),INDEX('04_調査結果'!$AS$5:$AS$404,$AL121)))</f>
        <v/>
      </c>
      <c r="U121" s="33">
        <f>IF($AL121="","",IF(INDEX('04_調査結果'!$AF$5:$AF$404,$AL121)&lt;&gt;"",INDEX('04_調査結果'!$AF$5:$AF$404,$AL121),INDEX('04_調査結果'!$AT$5:$AT$404,$AL121)))</f>
        <v/>
      </c>
      <c r="V121" s="33">
        <f>IF($AL121="","",INDEX('04_調査結果'!$AI$5:$AI$404,$AL121))</f>
        <v/>
      </c>
      <c r="W121">
        <f>IF($AL121="","",INDEX('04_調査結果'!$AU$5:$AU$404,$AL121))</f>
        <v/>
      </c>
      <c r="X121" s="37">
        <f>IF($AL121="","",INDEX('04_調査結果'!$AW$5:$AW$404,$AL121))</f>
        <v/>
      </c>
      <c r="Y121" s="37">
        <f>IF($AL121="","",INDEX('04_調査結果'!$AX$5:$AX$404,$AL121))</f>
        <v/>
      </c>
      <c r="Z121">
        <f>IF($AL121="","",INDEX('04_調査結果'!$S$5:$S$404,$AL121)&amp;"")</f>
        <v/>
      </c>
      <c r="AA121">
        <f>IF($AL121="","",INDEX('04_調査結果'!$T$5:$T$404,$AL121))</f>
        <v/>
      </c>
      <c r="AB121">
        <f>IF($AL121="","",INDEX('04_調査結果'!$U$5:$U$404,$AL121))</f>
        <v/>
      </c>
      <c r="AC121">
        <f>IF($AL121="","",INDEX('04_調査結果'!$V$5:$V$404,$AL121))</f>
        <v/>
      </c>
      <c r="AD121">
        <f>IF($AL121="","",INDEX('04_調査結果'!$W$5:$W$404,$AL121))</f>
        <v/>
      </c>
      <c r="AE121">
        <f>IF($AL121="","",INDEX('04_調査結果'!$X$5:$X$404,$AL121))</f>
        <v/>
      </c>
      <c r="AF121">
        <f>IF($AL121="","",INDEX('04_調査結果'!$Y$5:$Y$404,$AL121))</f>
        <v/>
      </c>
      <c r="AG121">
        <f>IF($AL121="","",INDEX('04_調査結果'!$Z$5:$Z$404,$AL121))</f>
        <v/>
      </c>
      <c r="AH121">
        <f>IF($AL121="","",INDEX('04_調査結果'!$AK$5:$AK$404,$AL121))</f>
        <v/>
      </c>
      <c r="AI121">
        <f>IF($AL121="","",INDEX('04_調査結果'!$AH$5:$AH$404,$AL121)&amp;"")</f>
        <v/>
      </c>
      <c r="AJ121">
        <f>IF($AL121="","",INDEX('04_調査結果'!$AA$5:$AA$404,$AL121)&amp;"")</f>
        <v/>
      </c>
      <c r="AK121">
        <f>IF($AL121="","",INDEX('04_調査結果'!$AC$5:$AC$404,$AL121)&amp;"")</f>
        <v/>
      </c>
      <c r="AL121" s="34">
        <f>IFERROR(MATCH(ROW()-4,'04_調査結果'!$AZ$5:$AZ$404,0),"")</f>
        <v/>
      </c>
    </row>
    <row r="122">
      <c r="A122">
        <f>IF($AL122="","",'01_設定'!$C$36)</f>
        <v/>
      </c>
      <c r="B122">
        <f>IF($AL122="","",'01_設定'!$C$5)</f>
        <v/>
      </c>
      <c r="C122">
        <f>IF($AL122="","",'01_設定'!$C$6)</f>
        <v/>
      </c>
      <c r="D122" s="36">
        <f>IF($AL122="","",'01_設定'!$C$22)</f>
        <v/>
      </c>
      <c r="E122" s="36">
        <f>IF($AL122="","",'01_設定'!$C$23)</f>
        <v/>
      </c>
      <c r="F122">
        <f>IF($AL122="","",'01_設定'!$C$32)</f>
        <v/>
      </c>
      <c r="G122">
        <f>IF($AL122="","",ROW()-4)</f>
        <v/>
      </c>
      <c r="H122">
        <f>IF($AL122="","",INDEX('04_調査結果'!$AO$5:$AO$404,$AL122))</f>
        <v/>
      </c>
      <c r="I122">
        <f>IF($AL122="","",IFERROR(INDEX('M2_区分マスタ'!$I$5:$I$10,INDEX('04_調査結果'!$AP$5:$AP$404,$AL122)),""))</f>
        <v/>
      </c>
      <c r="J122">
        <f>IF($AL122="","",INDEX('04_調査結果'!$BE$5:$BE$404,$AL122)&amp;"")</f>
        <v/>
      </c>
      <c r="K122">
        <f>IF($AL122="","",INDEX('04_調査結果'!$F$5:$F$404,$AL122)&amp;"")</f>
        <v/>
      </c>
      <c r="L122">
        <f>IF($AL122="","",INDEX('04_調査結果'!$G$5:$G$404,$AL122)&amp;"")</f>
        <v/>
      </c>
      <c r="M122">
        <f>IF($AL122="","",INDEX('04_調査結果'!$AQ$5:$AQ$404,$AL122)&amp;"")</f>
        <v/>
      </c>
      <c r="N122">
        <f>IF($AL122="","",IFERROR(INDEX('M1_類型マスタ'!$B$5:$B$19,MATCH(M122,'M1_類型マスタ'!$A$5:$A$19,0)),""))</f>
        <v/>
      </c>
      <c r="O122">
        <f>IF($AL122="","",INDEX('04_調査結果'!$I$5:$I$404,$AL122)&amp;"")</f>
        <v/>
      </c>
      <c r="P122">
        <f>IF($AL122="","",INDEX('04_調査結果'!$J$5:$J$404,$AL122)&amp;"")</f>
        <v/>
      </c>
      <c r="Q122">
        <f>IF($AL122="","",INDEX('04_調査結果'!$K$5:$K$404,$AL122)&amp;"")</f>
        <v/>
      </c>
      <c r="R122">
        <f>IF($AL122="","",INDEX('04_調査結果'!$L$5:$L$404,$AL122)&amp;"")</f>
        <v/>
      </c>
      <c r="S122">
        <f>IF($AL122="","",INDEX('04_調査結果'!$M$5:$M$404,$AL122)&amp;"")</f>
        <v/>
      </c>
      <c r="T122" s="33">
        <f>IF($AL122="","",IF(INDEX('04_調査結果'!$AE$5:$AE$404,$AL122)&lt;&gt;"",INDEX('04_調査結果'!$AE$5:$AE$404,$AL122),INDEX('04_調査結果'!$AS$5:$AS$404,$AL122)))</f>
        <v/>
      </c>
      <c r="U122" s="33">
        <f>IF($AL122="","",IF(INDEX('04_調査結果'!$AF$5:$AF$404,$AL122)&lt;&gt;"",INDEX('04_調査結果'!$AF$5:$AF$404,$AL122),INDEX('04_調査結果'!$AT$5:$AT$404,$AL122)))</f>
        <v/>
      </c>
      <c r="V122" s="33">
        <f>IF($AL122="","",INDEX('04_調査結果'!$AI$5:$AI$404,$AL122))</f>
        <v/>
      </c>
      <c r="W122">
        <f>IF($AL122="","",INDEX('04_調査結果'!$AU$5:$AU$404,$AL122))</f>
        <v/>
      </c>
      <c r="X122" s="37">
        <f>IF($AL122="","",INDEX('04_調査結果'!$AW$5:$AW$404,$AL122))</f>
        <v/>
      </c>
      <c r="Y122" s="37">
        <f>IF($AL122="","",INDEX('04_調査結果'!$AX$5:$AX$404,$AL122))</f>
        <v/>
      </c>
      <c r="Z122">
        <f>IF($AL122="","",INDEX('04_調査結果'!$S$5:$S$404,$AL122)&amp;"")</f>
        <v/>
      </c>
      <c r="AA122">
        <f>IF($AL122="","",INDEX('04_調査結果'!$T$5:$T$404,$AL122))</f>
        <v/>
      </c>
      <c r="AB122">
        <f>IF($AL122="","",INDEX('04_調査結果'!$U$5:$U$404,$AL122))</f>
        <v/>
      </c>
      <c r="AC122">
        <f>IF($AL122="","",INDEX('04_調査結果'!$V$5:$V$404,$AL122))</f>
        <v/>
      </c>
      <c r="AD122">
        <f>IF($AL122="","",INDEX('04_調査結果'!$W$5:$W$404,$AL122))</f>
        <v/>
      </c>
      <c r="AE122">
        <f>IF($AL122="","",INDEX('04_調査結果'!$X$5:$X$404,$AL122))</f>
        <v/>
      </c>
      <c r="AF122">
        <f>IF($AL122="","",INDEX('04_調査結果'!$Y$5:$Y$404,$AL122))</f>
        <v/>
      </c>
      <c r="AG122">
        <f>IF($AL122="","",INDEX('04_調査結果'!$Z$5:$Z$404,$AL122))</f>
        <v/>
      </c>
      <c r="AH122">
        <f>IF($AL122="","",INDEX('04_調査結果'!$AK$5:$AK$404,$AL122))</f>
        <v/>
      </c>
      <c r="AI122">
        <f>IF($AL122="","",INDEX('04_調査結果'!$AH$5:$AH$404,$AL122)&amp;"")</f>
        <v/>
      </c>
      <c r="AJ122">
        <f>IF($AL122="","",INDEX('04_調査結果'!$AA$5:$AA$404,$AL122)&amp;"")</f>
        <v/>
      </c>
      <c r="AK122">
        <f>IF($AL122="","",INDEX('04_調査結果'!$AC$5:$AC$404,$AL122)&amp;"")</f>
        <v/>
      </c>
      <c r="AL122" s="34">
        <f>IFERROR(MATCH(ROW()-4,'04_調査結果'!$AZ$5:$AZ$404,0),"")</f>
        <v/>
      </c>
    </row>
    <row r="123">
      <c r="A123">
        <f>IF($AL123="","",'01_設定'!$C$36)</f>
        <v/>
      </c>
      <c r="B123">
        <f>IF($AL123="","",'01_設定'!$C$5)</f>
        <v/>
      </c>
      <c r="C123">
        <f>IF($AL123="","",'01_設定'!$C$6)</f>
        <v/>
      </c>
      <c r="D123" s="36">
        <f>IF($AL123="","",'01_設定'!$C$22)</f>
        <v/>
      </c>
      <c r="E123" s="36">
        <f>IF($AL123="","",'01_設定'!$C$23)</f>
        <v/>
      </c>
      <c r="F123">
        <f>IF($AL123="","",'01_設定'!$C$32)</f>
        <v/>
      </c>
      <c r="G123">
        <f>IF($AL123="","",ROW()-4)</f>
        <v/>
      </c>
      <c r="H123">
        <f>IF($AL123="","",INDEX('04_調査結果'!$AO$5:$AO$404,$AL123))</f>
        <v/>
      </c>
      <c r="I123">
        <f>IF($AL123="","",IFERROR(INDEX('M2_区分マスタ'!$I$5:$I$10,INDEX('04_調査結果'!$AP$5:$AP$404,$AL123)),""))</f>
        <v/>
      </c>
      <c r="J123">
        <f>IF($AL123="","",INDEX('04_調査結果'!$BE$5:$BE$404,$AL123)&amp;"")</f>
        <v/>
      </c>
      <c r="K123">
        <f>IF($AL123="","",INDEX('04_調査結果'!$F$5:$F$404,$AL123)&amp;"")</f>
        <v/>
      </c>
      <c r="L123">
        <f>IF($AL123="","",INDEX('04_調査結果'!$G$5:$G$404,$AL123)&amp;"")</f>
        <v/>
      </c>
      <c r="M123">
        <f>IF($AL123="","",INDEX('04_調査結果'!$AQ$5:$AQ$404,$AL123)&amp;"")</f>
        <v/>
      </c>
      <c r="N123">
        <f>IF($AL123="","",IFERROR(INDEX('M1_類型マスタ'!$B$5:$B$19,MATCH(M123,'M1_類型マスタ'!$A$5:$A$19,0)),""))</f>
        <v/>
      </c>
      <c r="O123">
        <f>IF($AL123="","",INDEX('04_調査結果'!$I$5:$I$404,$AL123)&amp;"")</f>
        <v/>
      </c>
      <c r="P123">
        <f>IF($AL123="","",INDEX('04_調査結果'!$J$5:$J$404,$AL123)&amp;"")</f>
        <v/>
      </c>
      <c r="Q123">
        <f>IF($AL123="","",INDEX('04_調査結果'!$K$5:$K$404,$AL123)&amp;"")</f>
        <v/>
      </c>
      <c r="R123">
        <f>IF($AL123="","",INDEX('04_調査結果'!$L$5:$L$404,$AL123)&amp;"")</f>
        <v/>
      </c>
      <c r="S123">
        <f>IF($AL123="","",INDEX('04_調査結果'!$M$5:$M$404,$AL123)&amp;"")</f>
        <v/>
      </c>
      <c r="T123" s="33">
        <f>IF($AL123="","",IF(INDEX('04_調査結果'!$AE$5:$AE$404,$AL123)&lt;&gt;"",INDEX('04_調査結果'!$AE$5:$AE$404,$AL123),INDEX('04_調査結果'!$AS$5:$AS$404,$AL123)))</f>
        <v/>
      </c>
      <c r="U123" s="33">
        <f>IF($AL123="","",IF(INDEX('04_調査結果'!$AF$5:$AF$404,$AL123)&lt;&gt;"",INDEX('04_調査結果'!$AF$5:$AF$404,$AL123),INDEX('04_調査結果'!$AT$5:$AT$404,$AL123)))</f>
        <v/>
      </c>
      <c r="V123" s="33">
        <f>IF($AL123="","",INDEX('04_調査結果'!$AI$5:$AI$404,$AL123))</f>
        <v/>
      </c>
      <c r="W123">
        <f>IF($AL123="","",INDEX('04_調査結果'!$AU$5:$AU$404,$AL123))</f>
        <v/>
      </c>
      <c r="X123" s="37">
        <f>IF($AL123="","",INDEX('04_調査結果'!$AW$5:$AW$404,$AL123))</f>
        <v/>
      </c>
      <c r="Y123" s="37">
        <f>IF($AL123="","",INDEX('04_調査結果'!$AX$5:$AX$404,$AL123))</f>
        <v/>
      </c>
      <c r="Z123">
        <f>IF($AL123="","",INDEX('04_調査結果'!$S$5:$S$404,$AL123)&amp;"")</f>
        <v/>
      </c>
      <c r="AA123">
        <f>IF($AL123="","",INDEX('04_調査結果'!$T$5:$T$404,$AL123))</f>
        <v/>
      </c>
      <c r="AB123">
        <f>IF($AL123="","",INDEX('04_調査結果'!$U$5:$U$404,$AL123))</f>
        <v/>
      </c>
      <c r="AC123">
        <f>IF($AL123="","",INDEX('04_調査結果'!$V$5:$V$404,$AL123))</f>
        <v/>
      </c>
      <c r="AD123">
        <f>IF($AL123="","",INDEX('04_調査結果'!$W$5:$W$404,$AL123))</f>
        <v/>
      </c>
      <c r="AE123">
        <f>IF($AL123="","",INDEX('04_調査結果'!$X$5:$X$404,$AL123))</f>
        <v/>
      </c>
      <c r="AF123">
        <f>IF($AL123="","",INDEX('04_調査結果'!$Y$5:$Y$404,$AL123))</f>
        <v/>
      </c>
      <c r="AG123">
        <f>IF($AL123="","",INDEX('04_調査結果'!$Z$5:$Z$404,$AL123))</f>
        <v/>
      </c>
      <c r="AH123">
        <f>IF($AL123="","",INDEX('04_調査結果'!$AK$5:$AK$404,$AL123))</f>
        <v/>
      </c>
      <c r="AI123">
        <f>IF($AL123="","",INDEX('04_調査結果'!$AH$5:$AH$404,$AL123)&amp;"")</f>
        <v/>
      </c>
      <c r="AJ123">
        <f>IF($AL123="","",INDEX('04_調査結果'!$AA$5:$AA$404,$AL123)&amp;"")</f>
        <v/>
      </c>
      <c r="AK123">
        <f>IF($AL123="","",INDEX('04_調査結果'!$AC$5:$AC$404,$AL123)&amp;"")</f>
        <v/>
      </c>
      <c r="AL123" s="34">
        <f>IFERROR(MATCH(ROW()-4,'04_調査結果'!$AZ$5:$AZ$404,0),"")</f>
        <v/>
      </c>
    </row>
    <row r="124">
      <c r="A124">
        <f>IF($AL124="","",'01_設定'!$C$36)</f>
        <v/>
      </c>
      <c r="B124">
        <f>IF($AL124="","",'01_設定'!$C$5)</f>
        <v/>
      </c>
      <c r="C124">
        <f>IF($AL124="","",'01_設定'!$C$6)</f>
        <v/>
      </c>
      <c r="D124" s="36">
        <f>IF($AL124="","",'01_設定'!$C$22)</f>
        <v/>
      </c>
      <c r="E124" s="36">
        <f>IF($AL124="","",'01_設定'!$C$23)</f>
        <v/>
      </c>
      <c r="F124">
        <f>IF($AL124="","",'01_設定'!$C$32)</f>
        <v/>
      </c>
      <c r="G124">
        <f>IF($AL124="","",ROW()-4)</f>
        <v/>
      </c>
      <c r="H124">
        <f>IF($AL124="","",INDEX('04_調査結果'!$AO$5:$AO$404,$AL124))</f>
        <v/>
      </c>
      <c r="I124">
        <f>IF($AL124="","",IFERROR(INDEX('M2_区分マスタ'!$I$5:$I$10,INDEX('04_調査結果'!$AP$5:$AP$404,$AL124)),""))</f>
        <v/>
      </c>
      <c r="J124">
        <f>IF($AL124="","",INDEX('04_調査結果'!$BE$5:$BE$404,$AL124)&amp;"")</f>
        <v/>
      </c>
      <c r="K124">
        <f>IF($AL124="","",INDEX('04_調査結果'!$F$5:$F$404,$AL124)&amp;"")</f>
        <v/>
      </c>
      <c r="L124">
        <f>IF($AL124="","",INDEX('04_調査結果'!$G$5:$G$404,$AL124)&amp;"")</f>
        <v/>
      </c>
      <c r="M124">
        <f>IF($AL124="","",INDEX('04_調査結果'!$AQ$5:$AQ$404,$AL124)&amp;"")</f>
        <v/>
      </c>
      <c r="N124">
        <f>IF($AL124="","",IFERROR(INDEX('M1_類型マスタ'!$B$5:$B$19,MATCH(M124,'M1_類型マスタ'!$A$5:$A$19,0)),""))</f>
        <v/>
      </c>
      <c r="O124">
        <f>IF($AL124="","",INDEX('04_調査結果'!$I$5:$I$404,$AL124)&amp;"")</f>
        <v/>
      </c>
      <c r="P124">
        <f>IF($AL124="","",INDEX('04_調査結果'!$J$5:$J$404,$AL124)&amp;"")</f>
        <v/>
      </c>
      <c r="Q124">
        <f>IF($AL124="","",INDEX('04_調査結果'!$K$5:$K$404,$AL124)&amp;"")</f>
        <v/>
      </c>
      <c r="R124">
        <f>IF($AL124="","",INDEX('04_調査結果'!$L$5:$L$404,$AL124)&amp;"")</f>
        <v/>
      </c>
      <c r="S124">
        <f>IF($AL124="","",INDEX('04_調査結果'!$M$5:$M$404,$AL124)&amp;"")</f>
        <v/>
      </c>
      <c r="T124" s="33">
        <f>IF($AL124="","",IF(INDEX('04_調査結果'!$AE$5:$AE$404,$AL124)&lt;&gt;"",INDEX('04_調査結果'!$AE$5:$AE$404,$AL124),INDEX('04_調査結果'!$AS$5:$AS$404,$AL124)))</f>
        <v/>
      </c>
      <c r="U124" s="33">
        <f>IF($AL124="","",IF(INDEX('04_調査結果'!$AF$5:$AF$404,$AL124)&lt;&gt;"",INDEX('04_調査結果'!$AF$5:$AF$404,$AL124),INDEX('04_調査結果'!$AT$5:$AT$404,$AL124)))</f>
        <v/>
      </c>
      <c r="V124" s="33">
        <f>IF($AL124="","",INDEX('04_調査結果'!$AI$5:$AI$404,$AL124))</f>
        <v/>
      </c>
      <c r="W124">
        <f>IF($AL124="","",INDEX('04_調査結果'!$AU$5:$AU$404,$AL124))</f>
        <v/>
      </c>
      <c r="X124" s="37">
        <f>IF($AL124="","",INDEX('04_調査結果'!$AW$5:$AW$404,$AL124))</f>
        <v/>
      </c>
      <c r="Y124" s="37">
        <f>IF($AL124="","",INDEX('04_調査結果'!$AX$5:$AX$404,$AL124))</f>
        <v/>
      </c>
      <c r="Z124">
        <f>IF($AL124="","",INDEX('04_調査結果'!$S$5:$S$404,$AL124)&amp;"")</f>
        <v/>
      </c>
      <c r="AA124">
        <f>IF($AL124="","",INDEX('04_調査結果'!$T$5:$T$404,$AL124))</f>
        <v/>
      </c>
      <c r="AB124">
        <f>IF($AL124="","",INDEX('04_調査結果'!$U$5:$U$404,$AL124))</f>
        <v/>
      </c>
      <c r="AC124">
        <f>IF($AL124="","",INDEX('04_調査結果'!$V$5:$V$404,$AL124))</f>
        <v/>
      </c>
      <c r="AD124">
        <f>IF($AL124="","",INDEX('04_調査結果'!$W$5:$W$404,$AL124))</f>
        <v/>
      </c>
      <c r="AE124">
        <f>IF($AL124="","",INDEX('04_調査結果'!$X$5:$X$404,$AL124))</f>
        <v/>
      </c>
      <c r="AF124">
        <f>IF($AL124="","",INDEX('04_調査結果'!$Y$5:$Y$404,$AL124))</f>
        <v/>
      </c>
      <c r="AG124">
        <f>IF($AL124="","",INDEX('04_調査結果'!$Z$5:$Z$404,$AL124))</f>
        <v/>
      </c>
      <c r="AH124">
        <f>IF($AL124="","",INDEX('04_調査結果'!$AK$5:$AK$404,$AL124))</f>
        <v/>
      </c>
      <c r="AI124">
        <f>IF($AL124="","",INDEX('04_調査結果'!$AH$5:$AH$404,$AL124)&amp;"")</f>
        <v/>
      </c>
      <c r="AJ124">
        <f>IF($AL124="","",INDEX('04_調査結果'!$AA$5:$AA$404,$AL124)&amp;"")</f>
        <v/>
      </c>
      <c r="AK124">
        <f>IF($AL124="","",INDEX('04_調査結果'!$AC$5:$AC$404,$AL124)&amp;"")</f>
        <v/>
      </c>
      <c r="AL124" s="34">
        <f>IFERROR(MATCH(ROW()-4,'04_調査結果'!$AZ$5:$AZ$404,0),"")</f>
        <v/>
      </c>
    </row>
    <row r="125">
      <c r="A125">
        <f>IF($AL125="","",'01_設定'!$C$36)</f>
        <v/>
      </c>
      <c r="B125">
        <f>IF($AL125="","",'01_設定'!$C$5)</f>
        <v/>
      </c>
      <c r="C125">
        <f>IF($AL125="","",'01_設定'!$C$6)</f>
        <v/>
      </c>
      <c r="D125" s="36">
        <f>IF($AL125="","",'01_設定'!$C$22)</f>
        <v/>
      </c>
      <c r="E125" s="36">
        <f>IF($AL125="","",'01_設定'!$C$23)</f>
        <v/>
      </c>
      <c r="F125">
        <f>IF($AL125="","",'01_設定'!$C$32)</f>
        <v/>
      </c>
      <c r="G125">
        <f>IF($AL125="","",ROW()-4)</f>
        <v/>
      </c>
      <c r="H125">
        <f>IF($AL125="","",INDEX('04_調査結果'!$AO$5:$AO$404,$AL125))</f>
        <v/>
      </c>
      <c r="I125">
        <f>IF($AL125="","",IFERROR(INDEX('M2_区分マスタ'!$I$5:$I$10,INDEX('04_調査結果'!$AP$5:$AP$404,$AL125)),""))</f>
        <v/>
      </c>
      <c r="J125">
        <f>IF($AL125="","",INDEX('04_調査結果'!$BE$5:$BE$404,$AL125)&amp;"")</f>
        <v/>
      </c>
      <c r="K125">
        <f>IF($AL125="","",INDEX('04_調査結果'!$F$5:$F$404,$AL125)&amp;"")</f>
        <v/>
      </c>
      <c r="L125">
        <f>IF($AL125="","",INDEX('04_調査結果'!$G$5:$G$404,$AL125)&amp;"")</f>
        <v/>
      </c>
      <c r="M125">
        <f>IF($AL125="","",INDEX('04_調査結果'!$AQ$5:$AQ$404,$AL125)&amp;"")</f>
        <v/>
      </c>
      <c r="N125">
        <f>IF($AL125="","",IFERROR(INDEX('M1_類型マスタ'!$B$5:$B$19,MATCH(M125,'M1_類型マスタ'!$A$5:$A$19,0)),""))</f>
        <v/>
      </c>
      <c r="O125">
        <f>IF($AL125="","",INDEX('04_調査結果'!$I$5:$I$404,$AL125)&amp;"")</f>
        <v/>
      </c>
      <c r="P125">
        <f>IF($AL125="","",INDEX('04_調査結果'!$J$5:$J$404,$AL125)&amp;"")</f>
        <v/>
      </c>
      <c r="Q125">
        <f>IF($AL125="","",INDEX('04_調査結果'!$K$5:$K$404,$AL125)&amp;"")</f>
        <v/>
      </c>
      <c r="R125">
        <f>IF($AL125="","",INDEX('04_調査結果'!$L$5:$L$404,$AL125)&amp;"")</f>
        <v/>
      </c>
      <c r="S125">
        <f>IF($AL125="","",INDEX('04_調査結果'!$M$5:$M$404,$AL125)&amp;"")</f>
        <v/>
      </c>
      <c r="T125" s="33">
        <f>IF($AL125="","",IF(INDEX('04_調査結果'!$AE$5:$AE$404,$AL125)&lt;&gt;"",INDEX('04_調査結果'!$AE$5:$AE$404,$AL125),INDEX('04_調査結果'!$AS$5:$AS$404,$AL125)))</f>
        <v/>
      </c>
      <c r="U125" s="33">
        <f>IF($AL125="","",IF(INDEX('04_調査結果'!$AF$5:$AF$404,$AL125)&lt;&gt;"",INDEX('04_調査結果'!$AF$5:$AF$404,$AL125),INDEX('04_調査結果'!$AT$5:$AT$404,$AL125)))</f>
        <v/>
      </c>
      <c r="V125" s="33">
        <f>IF($AL125="","",INDEX('04_調査結果'!$AI$5:$AI$404,$AL125))</f>
        <v/>
      </c>
      <c r="W125">
        <f>IF($AL125="","",INDEX('04_調査結果'!$AU$5:$AU$404,$AL125))</f>
        <v/>
      </c>
      <c r="X125" s="37">
        <f>IF($AL125="","",INDEX('04_調査結果'!$AW$5:$AW$404,$AL125))</f>
        <v/>
      </c>
      <c r="Y125" s="37">
        <f>IF($AL125="","",INDEX('04_調査結果'!$AX$5:$AX$404,$AL125))</f>
        <v/>
      </c>
      <c r="Z125">
        <f>IF($AL125="","",INDEX('04_調査結果'!$S$5:$S$404,$AL125)&amp;"")</f>
        <v/>
      </c>
      <c r="AA125">
        <f>IF($AL125="","",INDEX('04_調査結果'!$T$5:$T$404,$AL125))</f>
        <v/>
      </c>
      <c r="AB125">
        <f>IF($AL125="","",INDEX('04_調査結果'!$U$5:$U$404,$AL125))</f>
        <v/>
      </c>
      <c r="AC125">
        <f>IF($AL125="","",INDEX('04_調査結果'!$V$5:$V$404,$AL125))</f>
        <v/>
      </c>
      <c r="AD125">
        <f>IF($AL125="","",INDEX('04_調査結果'!$W$5:$W$404,$AL125))</f>
        <v/>
      </c>
      <c r="AE125">
        <f>IF($AL125="","",INDEX('04_調査結果'!$X$5:$X$404,$AL125))</f>
        <v/>
      </c>
      <c r="AF125">
        <f>IF($AL125="","",INDEX('04_調査結果'!$Y$5:$Y$404,$AL125))</f>
        <v/>
      </c>
      <c r="AG125">
        <f>IF($AL125="","",INDEX('04_調査結果'!$Z$5:$Z$404,$AL125))</f>
        <v/>
      </c>
      <c r="AH125">
        <f>IF($AL125="","",INDEX('04_調査結果'!$AK$5:$AK$404,$AL125))</f>
        <v/>
      </c>
      <c r="AI125">
        <f>IF($AL125="","",INDEX('04_調査結果'!$AH$5:$AH$404,$AL125)&amp;"")</f>
        <v/>
      </c>
      <c r="AJ125">
        <f>IF($AL125="","",INDEX('04_調査結果'!$AA$5:$AA$404,$AL125)&amp;"")</f>
        <v/>
      </c>
      <c r="AK125">
        <f>IF($AL125="","",INDEX('04_調査結果'!$AC$5:$AC$404,$AL125)&amp;"")</f>
        <v/>
      </c>
      <c r="AL125" s="34">
        <f>IFERROR(MATCH(ROW()-4,'04_調査結果'!$AZ$5:$AZ$404,0),"")</f>
        <v/>
      </c>
    </row>
    <row r="126">
      <c r="A126">
        <f>IF($AL126="","",'01_設定'!$C$36)</f>
        <v/>
      </c>
      <c r="B126">
        <f>IF($AL126="","",'01_設定'!$C$5)</f>
        <v/>
      </c>
      <c r="C126">
        <f>IF($AL126="","",'01_設定'!$C$6)</f>
        <v/>
      </c>
      <c r="D126" s="36">
        <f>IF($AL126="","",'01_設定'!$C$22)</f>
        <v/>
      </c>
      <c r="E126" s="36">
        <f>IF($AL126="","",'01_設定'!$C$23)</f>
        <v/>
      </c>
      <c r="F126">
        <f>IF($AL126="","",'01_設定'!$C$32)</f>
        <v/>
      </c>
      <c r="G126">
        <f>IF($AL126="","",ROW()-4)</f>
        <v/>
      </c>
      <c r="H126">
        <f>IF($AL126="","",INDEX('04_調査結果'!$AO$5:$AO$404,$AL126))</f>
        <v/>
      </c>
      <c r="I126">
        <f>IF($AL126="","",IFERROR(INDEX('M2_区分マスタ'!$I$5:$I$10,INDEX('04_調査結果'!$AP$5:$AP$404,$AL126)),""))</f>
        <v/>
      </c>
      <c r="J126">
        <f>IF($AL126="","",INDEX('04_調査結果'!$BE$5:$BE$404,$AL126)&amp;"")</f>
        <v/>
      </c>
      <c r="K126">
        <f>IF($AL126="","",INDEX('04_調査結果'!$F$5:$F$404,$AL126)&amp;"")</f>
        <v/>
      </c>
      <c r="L126">
        <f>IF($AL126="","",INDEX('04_調査結果'!$G$5:$G$404,$AL126)&amp;"")</f>
        <v/>
      </c>
      <c r="M126">
        <f>IF($AL126="","",INDEX('04_調査結果'!$AQ$5:$AQ$404,$AL126)&amp;"")</f>
        <v/>
      </c>
      <c r="N126">
        <f>IF($AL126="","",IFERROR(INDEX('M1_類型マスタ'!$B$5:$B$19,MATCH(M126,'M1_類型マスタ'!$A$5:$A$19,0)),""))</f>
        <v/>
      </c>
      <c r="O126">
        <f>IF($AL126="","",INDEX('04_調査結果'!$I$5:$I$404,$AL126)&amp;"")</f>
        <v/>
      </c>
      <c r="P126">
        <f>IF($AL126="","",INDEX('04_調査結果'!$J$5:$J$404,$AL126)&amp;"")</f>
        <v/>
      </c>
      <c r="Q126">
        <f>IF($AL126="","",INDEX('04_調査結果'!$K$5:$K$404,$AL126)&amp;"")</f>
        <v/>
      </c>
      <c r="R126">
        <f>IF($AL126="","",INDEX('04_調査結果'!$L$5:$L$404,$AL126)&amp;"")</f>
        <v/>
      </c>
      <c r="S126">
        <f>IF($AL126="","",INDEX('04_調査結果'!$M$5:$M$404,$AL126)&amp;"")</f>
        <v/>
      </c>
      <c r="T126" s="33">
        <f>IF($AL126="","",IF(INDEX('04_調査結果'!$AE$5:$AE$404,$AL126)&lt;&gt;"",INDEX('04_調査結果'!$AE$5:$AE$404,$AL126),INDEX('04_調査結果'!$AS$5:$AS$404,$AL126)))</f>
        <v/>
      </c>
      <c r="U126" s="33">
        <f>IF($AL126="","",IF(INDEX('04_調査結果'!$AF$5:$AF$404,$AL126)&lt;&gt;"",INDEX('04_調査結果'!$AF$5:$AF$404,$AL126),INDEX('04_調査結果'!$AT$5:$AT$404,$AL126)))</f>
        <v/>
      </c>
      <c r="V126" s="33">
        <f>IF($AL126="","",INDEX('04_調査結果'!$AI$5:$AI$404,$AL126))</f>
        <v/>
      </c>
      <c r="W126">
        <f>IF($AL126="","",INDEX('04_調査結果'!$AU$5:$AU$404,$AL126))</f>
        <v/>
      </c>
      <c r="X126" s="37">
        <f>IF($AL126="","",INDEX('04_調査結果'!$AW$5:$AW$404,$AL126))</f>
        <v/>
      </c>
      <c r="Y126" s="37">
        <f>IF($AL126="","",INDEX('04_調査結果'!$AX$5:$AX$404,$AL126))</f>
        <v/>
      </c>
      <c r="Z126">
        <f>IF($AL126="","",INDEX('04_調査結果'!$S$5:$S$404,$AL126)&amp;"")</f>
        <v/>
      </c>
      <c r="AA126">
        <f>IF($AL126="","",INDEX('04_調査結果'!$T$5:$T$404,$AL126))</f>
        <v/>
      </c>
      <c r="AB126">
        <f>IF($AL126="","",INDEX('04_調査結果'!$U$5:$U$404,$AL126))</f>
        <v/>
      </c>
      <c r="AC126">
        <f>IF($AL126="","",INDEX('04_調査結果'!$V$5:$V$404,$AL126))</f>
        <v/>
      </c>
      <c r="AD126">
        <f>IF($AL126="","",INDEX('04_調査結果'!$W$5:$W$404,$AL126))</f>
        <v/>
      </c>
      <c r="AE126">
        <f>IF($AL126="","",INDEX('04_調査結果'!$X$5:$X$404,$AL126))</f>
        <v/>
      </c>
      <c r="AF126">
        <f>IF($AL126="","",INDEX('04_調査結果'!$Y$5:$Y$404,$AL126))</f>
        <v/>
      </c>
      <c r="AG126">
        <f>IF($AL126="","",INDEX('04_調査結果'!$Z$5:$Z$404,$AL126))</f>
        <v/>
      </c>
      <c r="AH126">
        <f>IF($AL126="","",INDEX('04_調査結果'!$AK$5:$AK$404,$AL126))</f>
        <v/>
      </c>
      <c r="AI126">
        <f>IF($AL126="","",INDEX('04_調査結果'!$AH$5:$AH$404,$AL126)&amp;"")</f>
        <v/>
      </c>
      <c r="AJ126">
        <f>IF($AL126="","",INDEX('04_調査結果'!$AA$5:$AA$404,$AL126)&amp;"")</f>
        <v/>
      </c>
      <c r="AK126">
        <f>IF($AL126="","",INDEX('04_調査結果'!$AC$5:$AC$404,$AL126)&amp;"")</f>
        <v/>
      </c>
      <c r="AL126" s="34">
        <f>IFERROR(MATCH(ROW()-4,'04_調査結果'!$AZ$5:$AZ$404,0),"")</f>
        <v/>
      </c>
    </row>
    <row r="127">
      <c r="A127">
        <f>IF($AL127="","",'01_設定'!$C$36)</f>
        <v/>
      </c>
      <c r="B127">
        <f>IF($AL127="","",'01_設定'!$C$5)</f>
        <v/>
      </c>
      <c r="C127">
        <f>IF($AL127="","",'01_設定'!$C$6)</f>
        <v/>
      </c>
      <c r="D127" s="36">
        <f>IF($AL127="","",'01_設定'!$C$22)</f>
        <v/>
      </c>
      <c r="E127" s="36">
        <f>IF($AL127="","",'01_設定'!$C$23)</f>
        <v/>
      </c>
      <c r="F127">
        <f>IF($AL127="","",'01_設定'!$C$32)</f>
        <v/>
      </c>
      <c r="G127">
        <f>IF($AL127="","",ROW()-4)</f>
        <v/>
      </c>
      <c r="H127">
        <f>IF($AL127="","",INDEX('04_調査結果'!$AO$5:$AO$404,$AL127))</f>
        <v/>
      </c>
      <c r="I127">
        <f>IF($AL127="","",IFERROR(INDEX('M2_区分マスタ'!$I$5:$I$10,INDEX('04_調査結果'!$AP$5:$AP$404,$AL127)),""))</f>
        <v/>
      </c>
      <c r="J127">
        <f>IF($AL127="","",INDEX('04_調査結果'!$BE$5:$BE$404,$AL127)&amp;"")</f>
        <v/>
      </c>
      <c r="K127">
        <f>IF($AL127="","",INDEX('04_調査結果'!$F$5:$F$404,$AL127)&amp;"")</f>
        <v/>
      </c>
      <c r="L127">
        <f>IF($AL127="","",INDEX('04_調査結果'!$G$5:$G$404,$AL127)&amp;"")</f>
        <v/>
      </c>
      <c r="M127">
        <f>IF($AL127="","",INDEX('04_調査結果'!$AQ$5:$AQ$404,$AL127)&amp;"")</f>
        <v/>
      </c>
      <c r="N127">
        <f>IF($AL127="","",IFERROR(INDEX('M1_類型マスタ'!$B$5:$B$19,MATCH(M127,'M1_類型マスタ'!$A$5:$A$19,0)),""))</f>
        <v/>
      </c>
      <c r="O127">
        <f>IF($AL127="","",INDEX('04_調査結果'!$I$5:$I$404,$AL127)&amp;"")</f>
        <v/>
      </c>
      <c r="P127">
        <f>IF($AL127="","",INDEX('04_調査結果'!$J$5:$J$404,$AL127)&amp;"")</f>
        <v/>
      </c>
      <c r="Q127">
        <f>IF($AL127="","",INDEX('04_調査結果'!$K$5:$K$404,$AL127)&amp;"")</f>
        <v/>
      </c>
      <c r="R127">
        <f>IF($AL127="","",INDEX('04_調査結果'!$L$5:$L$404,$AL127)&amp;"")</f>
        <v/>
      </c>
      <c r="S127">
        <f>IF($AL127="","",INDEX('04_調査結果'!$M$5:$M$404,$AL127)&amp;"")</f>
        <v/>
      </c>
      <c r="T127" s="33">
        <f>IF($AL127="","",IF(INDEX('04_調査結果'!$AE$5:$AE$404,$AL127)&lt;&gt;"",INDEX('04_調査結果'!$AE$5:$AE$404,$AL127),INDEX('04_調査結果'!$AS$5:$AS$404,$AL127)))</f>
        <v/>
      </c>
      <c r="U127" s="33">
        <f>IF($AL127="","",IF(INDEX('04_調査結果'!$AF$5:$AF$404,$AL127)&lt;&gt;"",INDEX('04_調査結果'!$AF$5:$AF$404,$AL127),INDEX('04_調査結果'!$AT$5:$AT$404,$AL127)))</f>
        <v/>
      </c>
      <c r="V127" s="33">
        <f>IF($AL127="","",INDEX('04_調査結果'!$AI$5:$AI$404,$AL127))</f>
        <v/>
      </c>
      <c r="W127">
        <f>IF($AL127="","",INDEX('04_調査結果'!$AU$5:$AU$404,$AL127))</f>
        <v/>
      </c>
      <c r="X127" s="37">
        <f>IF($AL127="","",INDEX('04_調査結果'!$AW$5:$AW$404,$AL127))</f>
        <v/>
      </c>
      <c r="Y127" s="37">
        <f>IF($AL127="","",INDEX('04_調査結果'!$AX$5:$AX$404,$AL127))</f>
        <v/>
      </c>
      <c r="Z127">
        <f>IF($AL127="","",INDEX('04_調査結果'!$S$5:$S$404,$AL127)&amp;"")</f>
        <v/>
      </c>
      <c r="AA127">
        <f>IF($AL127="","",INDEX('04_調査結果'!$T$5:$T$404,$AL127))</f>
        <v/>
      </c>
      <c r="AB127">
        <f>IF($AL127="","",INDEX('04_調査結果'!$U$5:$U$404,$AL127))</f>
        <v/>
      </c>
      <c r="AC127">
        <f>IF($AL127="","",INDEX('04_調査結果'!$V$5:$V$404,$AL127))</f>
        <v/>
      </c>
      <c r="AD127">
        <f>IF($AL127="","",INDEX('04_調査結果'!$W$5:$W$404,$AL127))</f>
        <v/>
      </c>
      <c r="AE127">
        <f>IF($AL127="","",INDEX('04_調査結果'!$X$5:$X$404,$AL127))</f>
        <v/>
      </c>
      <c r="AF127">
        <f>IF($AL127="","",INDEX('04_調査結果'!$Y$5:$Y$404,$AL127))</f>
        <v/>
      </c>
      <c r="AG127">
        <f>IF($AL127="","",INDEX('04_調査結果'!$Z$5:$Z$404,$AL127))</f>
        <v/>
      </c>
      <c r="AH127">
        <f>IF($AL127="","",INDEX('04_調査結果'!$AK$5:$AK$404,$AL127))</f>
        <v/>
      </c>
      <c r="AI127">
        <f>IF($AL127="","",INDEX('04_調査結果'!$AH$5:$AH$404,$AL127)&amp;"")</f>
        <v/>
      </c>
      <c r="AJ127">
        <f>IF($AL127="","",INDEX('04_調査結果'!$AA$5:$AA$404,$AL127)&amp;"")</f>
        <v/>
      </c>
      <c r="AK127">
        <f>IF($AL127="","",INDEX('04_調査結果'!$AC$5:$AC$404,$AL127)&amp;"")</f>
        <v/>
      </c>
      <c r="AL127" s="34">
        <f>IFERROR(MATCH(ROW()-4,'04_調査結果'!$AZ$5:$AZ$404,0),"")</f>
        <v/>
      </c>
    </row>
    <row r="128">
      <c r="A128">
        <f>IF($AL128="","",'01_設定'!$C$36)</f>
        <v/>
      </c>
      <c r="B128">
        <f>IF($AL128="","",'01_設定'!$C$5)</f>
        <v/>
      </c>
      <c r="C128">
        <f>IF($AL128="","",'01_設定'!$C$6)</f>
        <v/>
      </c>
      <c r="D128" s="36">
        <f>IF($AL128="","",'01_設定'!$C$22)</f>
        <v/>
      </c>
      <c r="E128" s="36">
        <f>IF($AL128="","",'01_設定'!$C$23)</f>
        <v/>
      </c>
      <c r="F128">
        <f>IF($AL128="","",'01_設定'!$C$32)</f>
        <v/>
      </c>
      <c r="G128">
        <f>IF($AL128="","",ROW()-4)</f>
        <v/>
      </c>
      <c r="H128">
        <f>IF($AL128="","",INDEX('04_調査結果'!$AO$5:$AO$404,$AL128))</f>
        <v/>
      </c>
      <c r="I128">
        <f>IF($AL128="","",IFERROR(INDEX('M2_区分マスタ'!$I$5:$I$10,INDEX('04_調査結果'!$AP$5:$AP$404,$AL128)),""))</f>
        <v/>
      </c>
      <c r="J128">
        <f>IF($AL128="","",INDEX('04_調査結果'!$BE$5:$BE$404,$AL128)&amp;"")</f>
        <v/>
      </c>
      <c r="K128">
        <f>IF($AL128="","",INDEX('04_調査結果'!$F$5:$F$404,$AL128)&amp;"")</f>
        <v/>
      </c>
      <c r="L128">
        <f>IF($AL128="","",INDEX('04_調査結果'!$G$5:$G$404,$AL128)&amp;"")</f>
        <v/>
      </c>
      <c r="M128">
        <f>IF($AL128="","",INDEX('04_調査結果'!$AQ$5:$AQ$404,$AL128)&amp;"")</f>
        <v/>
      </c>
      <c r="N128">
        <f>IF($AL128="","",IFERROR(INDEX('M1_類型マスタ'!$B$5:$B$19,MATCH(M128,'M1_類型マスタ'!$A$5:$A$19,0)),""))</f>
        <v/>
      </c>
      <c r="O128">
        <f>IF($AL128="","",INDEX('04_調査結果'!$I$5:$I$404,$AL128)&amp;"")</f>
        <v/>
      </c>
      <c r="P128">
        <f>IF($AL128="","",INDEX('04_調査結果'!$J$5:$J$404,$AL128)&amp;"")</f>
        <v/>
      </c>
      <c r="Q128">
        <f>IF($AL128="","",INDEX('04_調査結果'!$K$5:$K$404,$AL128)&amp;"")</f>
        <v/>
      </c>
      <c r="R128">
        <f>IF($AL128="","",INDEX('04_調査結果'!$L$5:$L$404,$AL128)&amp;"")</f>
        <v/>
      </c>
      <c r="S128">
        <f>IF($AL128="","",INDEX('04_調査結果'!$M$5:$M$404,$AL128)&amp;"")</f>
        <v/>
      </c>
      <c r="T128" s="33">
        <f>IF($AL128="","",IF(INDEX('04_調査結果'!$AE$5:$AE$404,$AL128)&lt;&gt;"",INDEX('04_調査結果'!$AE$5:$AE$404,$AL128),INDEX('04_調査結果'!$AS$5:$AS$404,$AL128)))</f>
        <v/>
      </c>
      <c r="U128" s="33">
        <f>IF($AL128="","",IF(INDEX('04_調査結果'!$AF$5:$AF$404,$AL128)&lt;&gt;"",INDEX('04_調査結果'!$AF$5:$AF$404,$AL128),INDEX('04_調査結果'!$AT$5:$AT$404,$AL128)))</f>
        <v/>
      </c>
      <c r="V128" s="33">
        <f>IF($AL128="","",INDEX('04_調査結果'!$AI$5:$AI$404,$AL128))</f>
        <v/>
      </c>
      <c r="W128">
        <f>IF($AL128="","",INDEX('04_調査結果'!$AU$5:$AU$404,$AL128))</f>
        <v/>
      </c>
      <c r="X128" s="37">
        <f>IF($AL128="","",INDEX('04_調査結果'!$AW$5:$AW$404,$AL128))</f>
        <v/>
      </c>
      <c r="Y128" s="37">
        <f>IF($AL128="","",INDEX('04_調査結果'!$AX$5:$AX$404,$AL128))</f>
        <v/>
      </c>
      <c r="Z128">
        <f>IF($AL128="","",INDEX('04_調査結果'!$S$5:$S$404,$AL128)&amp;"")</f>
        <v/>
      </c>
      <c r="AA128">
        <f>IF($AL128="","",INDEX('04_調査結果'!$T$5:$T$404,$AL128))</f>
        <v/>
      </c>
      <c r="AB128">
        <f>IF($AL128="","",INDEX('04_調査結果'!$U$5:$U$404,$AL128))</f>
        <v/>
      </c>
      <c r="AC128">
        <f>IF($AL128="","",INDEX('04_調査結果'!$V$5:$V$404,$AL128))</f>
        <v/>
      </c>
      <c r="AD128">
        <f>IF($AL128="","",INDEX('04_調査結果'!$W$5:$W$404,$AL128))</f>
        <v/>
      </c>
      <c r="AE128">
        <f>IF($AL128="","",INDEX('04_調査結果'!$X$5:$X$404,$AL128))</f>
        <v/>
      </c>
      <c r="AF128">
        <f>IF($AL128="","",INDEX('04_調査結果'!$Y$5:$Y$404,$AL128))</f>
        <v/>
      </c>
      <c r="AG128">
        <f>IF($AL128="","",INDEX('04_調査結果'!$Z$5:$Z$404,$AL128))</f>
        <v/>
      </c>
      <c r="AH128">
        <f>IF($AL128="","",INDEX('04_調査結果'!$AK$5:$AK$404,$AL128))</f>
        <v/>
      </c>
      <c r="AI128">
        <f>IF($AL128="","",INDEX('04_調査結果'!$AH$5:$AH$404,$AL128)&amp;"")</f>
        <v/>
      </c>
      <c r="AJ128">
        <f>IF($AL128="","",INDEX('04_調査結果'!$AA$5:$AA$404,$AL128)&amp;"")</f>
        <v/>
      </c>
      <c r="AK128">
        <f>IF($AL128="","",INDEX('04_調査結果'!$AC$5:$AC$404,$AL128)&amp;"")</f>
        <v/>
      </c>
      <c r="AL128" s="34">
        <f>IFERROR(MATCH(ROW()-4,'04_調査結果'!$AZ$5:$AZ$404,0),"")</f>
        <v/>
      </c>
    </row>
    <row r="129">
      <c r="A129">
        <f>IF($AL129="","",'01_設定'!$C$36)</f>
        <v/>
      </c>
      <c r="B129">
        <f>IF($AL129="","",'01_設定'!$C$5)</f>
        <v/>
      </c>
      <c r="C129">
        <f>IF($AL129="","",'01_設定'!$C$6)</f>
        <v/>
      </c>
      <c r="D129" s="36">
        <f>IF($AL129="","",'01_設定'!$C$22)</f>
        <v/>
      </c>
      <c r="E129" s="36">
        <f>IF($AL129="","",'01_設定'!$C$23)</f>
        <v/>
      </c>
      <c r="F129">
        <f>IF($AL129="","",'01_設定'!$C$32)</f>
        <v/>
      </c>
      <c r="G129">
        <f>IF($AL129="","",ROW()-4)</f>
        <v/>
      </c>
      <c r="H129">
        <f>IF($AL129="","",INDEX('04_調査結果'!$AO$5:$AO$404,$AL129))</f>
        <v/>
      </c>
      <c r="I129">
        <f>IF($AL129="","",IFERROR(INDEX('M2_区分マスタ'!$I$5:$I$10,INDEX('04_調査結果'!$AP$5:$AP$404,$AL129)),""))</f>
        <v/>
      </c>
      <c r="J129">
        <f>IF($AL129="","",INDEX('04_調査結果'!$BE$5:$BE$404,$AL129)&amp;"")</f>
        <v/>
      </c>
      <c r="K129">
        <f>IF($AL129="","",INDEX('04_調査結果'!$F$5:$F$404,$AL129)&amp;"")</f>
        <v/>
      </c>
      <c r="L129">
        <f>IF($AL129="","",INDEX('04_調査結果'!$G$5:$G$404,$AL129)&amp;"")</f>
        <v/>
      </c>
      <c r="M129">
        <f>IF($AL129="","",INDEX('04_調査結果'!$AQ$5:$AQ$404,$AL129)&amp;"")</f>
        <v/>
      </c>
      <c r="N129">
        <f>IF($AL129="","",IFERROR(INDEX('M1_類型マスタ'!$B$5:$B$19,MATCH(M129,'M1_類型マスタ'!$A$5:$A$19,0)),""))</f>
        <v/>
      </c>
      <c r="O129">
        <f>IF($AL129="","",INDEX('04_調査結果'!$I$5:$I$404,$AL129)&amp;"")</f>
        <v/>
      </c>
      <c r="P129">
        <f>IF($AL129="","",INDEX('04_調査結果'!$J$5:$J$404,$AL129)&amp;"")</f>
        <v/>
      </c>
      <c r="Q129">
        <f>IF($AL129="","",INDEX('04_調査結果'!$K$5:$K$404,$AL129)&amp;"")</f>
        <v/>
      </c>
      <c r="R129">
        <f>IF($AL129="","",INDEX('04_調査結果'!$L$5:$L$404,$AL129)&amp;"")</f>
        <v/>
      </c>
      <c r="S129">
        <f>IF($AL129="","",INDEX('04_調査結果'!$M$5:$M$404,$AL129)&amp;"")</f>
        <v/>
      </c>
      <c r="T129" s="33">
        <f>IF($AL129="","",IF(INDEX('04_調査結果'!$AE$5:$AE$404,$AL129)&lt;&gt;"",INDEX('04_調査結果'!$AE$5:$AE$404,$AL129),INDEX('04_調査結果'!$AS$5:$AS$404,$AL129)))</f>
        <v/>
      </c>
      <c r="U129" s="33">
        <f>IF($AL129="","",IF(INDEX('04_調査結果'!$AF$5:$AF$404,$AL129)&lt;&gt;"",INDEX('04_調査結果'!$AF$5:$AF$404,$AL129),INDEX('04_調査結果'!$AT$5:$AT$404,$AL129)))</f>
        <v/>
      </c>
      <c r="V129" s="33">
        <f>IF($AL129="","",INDEX('04_調査結果'!$AI$5:$AI$404,$AL129))</f>
        <v/>
      </c>
      <c r="W129">
        <f>IF($AL129="","",INDEX('04_調査結果'!$AU$5:$AU$404,$AL129))</f>
        <v/>
      </c>
      <c r="X129" s="37">
        <f>IF($AL129="","",INDEX('04_調査結果'!$AW$5:$AW$404,$AL129))</f>
        <v/>
      </c>
      <c r="Y129" s="37">
        <f>IF($AL129="","",INDEX('04_調査結果'!$AX$5:$AX$404,$AL129))</f>
        <v/>
      </c>
      <c r="Z129">
        <f>IF($AL129="","",INDEX('04_調査結果'!$S$5:$S$404,$AL129)&amp;"")</f>
        <v/>
      </c>
      <c r="AA129">
        <f>IF($AL129="","",INDEX('04_調査結果'!$T$5:$T$404,$AL129))</f>
        <v/>
      </c>
      <c r="AB129">
        <f>IF($AL129="","",INDEX('04_調査結果'!$U$5:$U$404,$AL129))</f>
        <v/>
      </c>
      <c r="AC129">
        <f>IF($AL129="","",INDEX('04_調査結果'!$V$5:$V$404,$AL129))</f>
        <v/>
      </c>
      <c r="AD129">
        <f>IF($AL129="","",INDEX('04_調査結果'!$W$5:$W$404,$AL129))</f>
        <v/>
      </c>
      <c r="AE129">
        <f>IF($AL129="","",INDEX('04_調査結果'!$X$5:$X$404,$AL129))</f>
        <v/>
      </c>
      <c r="AF129">
        <f>IF($AL129="","",INDEX('04_調査結果'!$Y$5:$Y$404,$AL129))</f>
        <v/>
      </c>
      <c r="AG129">
        <f>IF($AL129="","",INDEX('04_調査結果'!$Z$5:$Z$404,$AL129))</f>
        <v/>
      </c>
      <c r="AH129">
        <f>IF($AL129="","",INDEX('04_調査結果'!$AK$5:$AK$404,$AL129))</f>
        <v/>
      </c>
      <c r="AI129">
        <f>IF($AL129="","",INDEX('04_調査結果'!$AH$5:$AH$404,$AL129)&amp;"")</f>
        <v/>
      </c>
      <c r="AJ129">
        <f>IF($AL129="","",INDEX('04_調査結果'!$AA$5:$AA$404,$AL129)&amp;"")</f>
        <v/>
      </c>
      <c r="AK129">
        <f>IF($AL129="","",INDEX('04_調査結果'!$AC$5:$AC$404,$AL129)&amp;"")</f>
        <v/>
      </c>
      <c r="AL129" s="34">
        <f>IFERROR(MATCH(ROW()-4,'04_調査結果'!$AZ$5:$AZ$404,0),"")</f>
        <v/>
      </c>
    </row>
    <row r="130">
      <c r="A130">
        <f>IF($AL130="","",'01_設定'!$C$36)</f>
        <v/>
      </c>
      <c r="B130">
        <f>IF($AL130="","",'01_設定'!$C$5)</f>
        <v/>
      </c>
      <c r="C130">
        <f>IF($AL130="","",'01_設定'!$C$6)</f>
        <v/>
      </c>
      <c r="D130" s="36">
        <f>IF($AL130="","",'01_設定'!$C$22)</f>
        <v/>
      </c>
      <c r="E130" s="36">
        <f>IF($AL130="","",'01_設定'!$C$23)</f>
        <v/>
      </c>
      <c r="F130">
        <f>IF($AL130="","",'01_設定'!$C$32)</f>
        <v/>
      </c>
      <c r="G130">
        <f>IF($AL130="","",ROW()-4)</f>
        <v/>
      </c>
      <c r="H130">
        <f>IF($AL130="","",INDEX('04_調査結果'!$AO$5:$AO$404,$AL130))</f>
        <v/>
      </c>
      <c r="I130">
        <f>IF($AL130="","",IFERROR(INDEX('M2_区分マスタ'!$I$5:$I$10,INDEX('04_調査結果'!$AP$5:$AP$404,$AL130)),""))</f>
        <v/>
      </c>
      <c r="J130">
        <f>IF($AL130="","",INDEX('04_調査結果'!$BE$5:$BE$404,$AL130)&amp;"")</f>
        <v/>
      </c>
      <c r="K130">
        <f>IF($AL130="","",INDEX('04_調査結果'!$F$5:$F$404,$AL130)&amp;"")</f>
        <v/>
      </c>
      <c r="L130">
        <f>IF($AL130="","",INDEX('04_調査結果'!$G$5:$G$404,$AL130)&amp;"")</f>
        <v/>
      </c>
      <c r="M130">
        <f>IF($AL130="","",INDEX('04_調査結果'!$AQ$5:$AQ$404,$AL130)&amp;"")</f>
        <v/>
      </c>
      <c r="N130">
        <f>IF($AL130="","",IFERROR(INDEX('M1_類型マスタ'!$B$5:$B$19,MATCH(M130,'M1_類型マスタ'!$A$5:$A$19,0)),""))</f>
        <v/>
      </c>
      <c r="O130">
        <f>IF($AL130="","",INDEX('04_調査結果'!$I$5:$I$404,$AL130)&amp;"")</f>
        <v/>
      </c>
      <c r="P130">
        <f>IF($AL130="","",INDEX('04_調査結果'!$J$5:$J$404,$AL130)&amp;"")</f>
        <v/>
      </c>
      <c r="Q130">
        <f>IF($AL130="","",INDEX('04_調査結果'!$K$5:$K$404,$AL130)&amp;"")</f>
        <v/>
      </c>
      <c r="R130">
        <f>IF($AL130="","",INDEX('04_調査結果'!$L$5:$L$404,$AL130)&amp;"")</f>
        <v/>
      </c>
      <c r="S130">
        <f>IF($AL130="","",INDEX('04_調査結果'!$M$5:$M$404,$AL130)&amp;"")</f>
        <v/>
      </c>
      <c r="T130" s="33">
        <f>IF($AL130="","",IF(INDEX('04_調査結果'!$AE$5:$AE$404,$AL130)&lt;&gt;"",INDEX('04_調査結果'!$AE$5:$AE$404,$AL130),INDEX('04_調査結果'!$AS$5:$AS$404,$AL130)))</f>
        <v/>
      </c>
      <c r="U130" s="33">
        <f>IF($AL130="","",IF(INDEX('04_調査結果'!$AF$5:$AF$404,$AL130)&lt;&gt;"",INDEX('04_調査結果'!$AF$5:$AF$404,$AL130),INDEX('04_調査結果'!$AT$5:$AT$404,$AL130)))</f>
        <v/>
      </c>
      <c r="V130" s="33">
        <f>IF($AL130="","",INDEX('04_調査結果'!$AI$5:$AI$404,$AL130))</f>
        <v/>
      </c>
      <c r="W130">
        <f>IF($AL130="","",INDEX('04_調査結果'!$AU$5:$AU$404,$AL130))</f>
        <v/>
      </c>
      <c r="X130" s="37">
        <f>IF($AL130="","",INDEX('04_調査結果'!$AW$5:$AW$404,$AL130))</f>
        <v/>
      </c>
      <c r="Y130" s="37">
        <f>IF($AL130="","",INDEX('04_調査結果'!$AX$5:$AX$404,$AL130))</f>
        <v/>
      </c>
      <c r="Z130">
        <f>IF($AL130="","",INDEX('04_調査結果'!$S$5:$S$404,$AL130)&amp;"")</f>
        <v/>
      </c>
      <c r="AA130">
        <f>IF($AL130="","",INDEX('04_調査結果'!$T$5:$T$404,$AL130))</f>
        <v/>
      </c>
      <c r="AB130">
        <f>IF($AL130="","",INDEX('04_調査結果'!$U$5:$U$404,$AL130))</f>
        <v/>
      </c>
      <c r="AC130">
        <f>IF($AL130="","",INDEX('04_調査結果'!$V$5:$V$404,$AL130))</f>
        <v/>
      </c>
      <c r="AD130">
        <f>IF($AL130="","",INDEX('04_調査結果'!$W$5:$W$404,$AL130))</f>
        <v/>
      </c>
      <c r="AE130">
        <f>IF($AL130="","",INDEX('04_調査結果'!$X$5:$X$404,$AL130))</f>
        <v/>
      </c>
      <c r="AF130">
        <f>IF($AL130="","",INDEX('04_調査結果'!$Y$5:$Y$404,$AL130))</f>
        <v/>
      </c>
      <c r="AG130">
        <f>IF($AL130="","",INDEX('04_調査結果'!$Z$5:$Z$404,$AL130))</f>
        <v/>
      </c>
      <c r="AH130">
        <f>IF($AL130="","",INDEX('04_調査結果'!$AK$5:$AK$404,$AL130))</f>
        <v/>
      </c>
      <c r="AI130">
        <f>IF($AL130="","",INDEX('04_調査結果'!$AH$5:$AH$404,$AL130)&amp;"")</f>
        <v/>
      </c>
      <c r="AJ130">
        <f>IF($AL130="","",INDEX('04_調査結果'!$AA$5:$AA$404,$AL130)&amp;"")</f>
        <v/>
      </c>
      <c r="AK130">
        <f>IF($AL130="","",INDEX('04_調査結果'!$AC$5:$AC$404,$AL130)&amp;"")</f>
        <v/>
      </c>
      <c r="AL130" s="34">
        <f>IFERROR(MATCH(ROW()-4,'04_調査結果'!$AZ$5:$AZ$404,0),"")</f>
        <v/>
      </c>
    </row>
    <row r="131">
      <c r="A131">
        <f>IF($AL131="","",'01_設定'!$C$36)</f>
        <v/>
      </c>
      <c r="B131">
        <f>IF($AL131="","",'01_設定'!$C$5)</f>
        <v/>
      </c>
      <c r="C131">
        <f>IF($AL131="","",'01_設定'!$C$6)</f>
        <v/>
      </c>
      <c r="D131" s="36">
        <f>IF($AL131="","",'01_設定'!$C$22)</f>
        <v/>
      </c>
      <c r="E131" s="36">
        <f>IF($AL131="","",'01_設定'!$C$23)</f>
        <v/>
      </c>
      <c r="F131">
        <f>IF($AL131="","",'01_設定'!$C$32)</f>
        <v/>
      </c>
      <c r="G131">
        <f>IF($AL131="","",ROW()-4)</f>
        <v/>
      </c>
      <c r="H131">
        <f>IF($AL131="","",INDEX('04_調査結果'!$AO$5:$AO$404,$AL131))</f>
        <v/>
      </c>
      <c r="I131">
        <f>IF($AL131="","",IFERROR(INDEX('M2_区分マスタ'!$I$5:$I$10,INDEX('04_調査結果'!$AP$5:$AP$404,$AL131)),""))</f>
        <v/>
      </c>
      <c r="J131">
        <f>IF($AL131="","",INDEX('04_調査結果'!$BE$5:$BE$404,$AL131)&amp;"")</f>
        <v/>
      </c>
      <c r="K131">
        <f>IF($AL131="","",INDEX('04_調査結果'!$F$5:$F$404,$AL131)&amp;"")</f>
        <v/>
      </c>
      <c r="L131">
        <f>IF($AL131="","",INDEX('04_調査結果'!$G$5:$G$404,$AL131)&amp;"")</f>
        <v/>
      </c>
      <c r="M131">
        <f>IF($AL131="","",INDEX('04_調査結果'!$AQ$5:$AQ$404,$AL131)&amp;"")</f>
        <v/>
      </c>
      <c r="N131">
        <f>IF($AL131="","",IFERROR(INDEX('M1_類型マスタ'!$B$5:$B$19,MATCH(M131,'M1_類型マスタ'!$A$5:$A$19,0)),""))</f>
        <v/>
      </c>
      <c r="O131">
        <f>IF($AL131="","",INDEX('04_調査結果'!$I$5:$I$404,$AL131)&amp;"")</f>
        <v/>
      </c>
      <c r="P131">
        <f>IF($AL131="","",INDEX('04_調査結果'!$J$5:$J$404,$AL131)&amp;"")</f>
        <v/>
      </c>
      <c r="Q131">
        <f>IF($AL131="","",INDEX('04_調査結果'!$K$5:$K$404,$AL131)&amp;"")</f>
        <v/>
      </c>
      <c r="R131">
        <f>IF($AL131="","",INDEX('04_調査結果'!$L$5:$L$404,$AL131)&amp;"")</f>
        <v/>
      </c>
      <c r="S131">
        <f>IF($AL131="","",INDEX('04_調査結果'!$M$5:$M$404,$AL131)&amp;"")</f>
        <v/>
      </c>
      <c r="T131" s="33">
        <f>IF($AL131="","",IF(INDEX('04_調査結果'!$AE$5:$AE$404,$AL131)&lt;&gt;"",INDEX('04_調査結果'!$AE$5:$AE$404,$AL131),INDEX('04_調査結果'!$AS$5:$AS$404,$AL131)))</f>
        <v/>
      </c>
      <c r="U131" s="33">
        <f>IF($AL131="","",IF(INDEX('04_調査結果'!$AF$5:$AF$404,$AL131)&lt;&gt;"",INDEX('04_調査結果'!$AF$5:$AF$404,$AL131),INDEX('04_調査結果'!$AT$5:$AT$404,$AL131)))</f>
        <v/>
      </c>
      <c r="V131" s="33">
        <f>IF($AL131="","",INDEX('04_調査結果'!$AI$5:$AI$404,$AL131))</f>
        <v/>
      </c>
      <c r="W131">
        <f>IF($AL131="","",INDEX('04_調査結果'!$AU$5:$AU$404,$AL131))</f>
        <v/>
      </c>
      <c r="X131" s="37">
        <f>IF($AL131="","",INDEX('04_調査結果'!$AW$5:$AW$404,$AL131))</f>
        <v/>
      </c>
      <c r="Y131" s="37">
        <f>IF($AL131="","",INDEX('04_調査結果'!$AX$5:$AX$404,$AL131))</f>
        <v/>
      </c>
      <c r="Z131">
        <f>IF($AL131="","",INDEX('04_調査結果'!$S$5:$S$404,$AL131)&amp;"")</f>
        <v/>
      </c>
      <c r="AA131">
        <f>IF($AL131="","",INDEX('04_調査結果'!$T$5:$T$404,$AL131))</f>
        <v/>
      </c>
      <c r="AB131">
        <f>IF($AL131="","",INDEX('04_調査結果'!$U$5:$U$404,$AL131))</f>
        <v/>
      </c>
      <c r="AC131">
        <f>IF($AL131="","",INDEX('04_調査結果'!$V$5:$V$404,$AL131))</f>
        <v/>
      </c>
      <c r="AD131">
        <f>IF($AL131="","",INDEX('04_調査結果'!$W$5:$W$404,$AL131))</f>
        <v/>
      </c>
      <c r="AE131">
        <f>IF($AL131="","",INDEX('04_調査結果'!$X$5:$X$404,$AL131))</f>
        <v/>
      </c>
      <c r="AF131">
        <f>IF($AL131="","",INDEX('04_調査結果'!$Y$5:$Y$404,$AL131))</f>
        <v/>
      </c>
      <c r="AG131">
        <f>IF($AL131="","",INDEX('04_調査結果'!$Z$5:$Z$404,$AL131))</f>
        <v/>
      </c>
      <c r="AH131">
        <f>IF($AL131="","",INDEX('04_調査結果'!$AK$5:$AK$404,$AL131))</f>
        <v/>
      </c>
      <c r="AI131">
        <f>IF($AL131="","",INDEX('04_調査結果'!$AH$5:$AH$404,$AL131)&amp;"")</f>
        <v/>
      </c>
      <c r="AJ131">
        <f>IF($AL131="","",INDEX('04_調査結果'!$AA$5:$AA$404,$AL131)&amp;"")</f>
        <v/>
      </c>
      <c r="AK131">
        <f>IF($AL131="","",INDEX('04_調査結果'!$AC$5:$AC$404,$AL131)&amp;"")</f>
        <v/>
      </c>
      <c r="AL131" s="34">
        <f>IFERROR(MATCH(ROW()-4,'04_調査結果'!$AZ$5:$AZ$404,0),"")</f>
        <v/>
      </c>
    </row>
    <row r="132">
      <c r="A132">
        <f>IF($AL132="","",'01_設定'!$C$36)</f>
        <v/>
      </c>
      <c r="B132">
        <f>IF($AL132="","",'01_設定'!$C$5)</f>
        <v/>
      </c>
      <c r="C132">
        <f>IF($AL132="","",'01_設定'!$C$6)</f>
        <v/>
      </c>
      <c r="D132" s="36">
        <f>IF($AL132="","",'01_設定'!$C$22)</f>
        <v/>
      </c>
      <c r="E132" s="36">
        <f>IF($AL132="","",'01_設定'!$C$23)</f>
        <v/>
      </c>
      <c r="F132">
        <f>IF($AL132="","",'01_設定'!$C$32)</f>
        <v/>
      </c>
      <c r="G132">
        <f>IF($AL132="","",ROW()-4)</f>
        <v/>
      </c>
      <c r="H132">
        <f>IF($AL132="","",INDEX('04_調査結果'!$AO$5:$AO$404,$AL132))</f>
        <v/>
      </c>
      <c r="I132">
        <f>IF($AL132="","",IFERROR(INDEX('M2_区分マスタ'!$I$5:$I$10,INDEX('04_調査結果'!$AP$5:$AP$404,$AL132)),""))</f>
        <v/>
      </c>
      <c r="J132">
        <f>IF($AL132="","",INDEX('04_調査結果'!$BE$5:$BE$404,$AL132)&amp;"")</f>
        <v/>
      </c>
      <c r="K132">
        <f>IF($AL132="","",INDEX('04_調査結果'!$F$5:$F$404,$AL132)&amp;"")</f>
        <v/>
      </c>
      <c r="L132">
        <f>IF($AL132="","",INDEX('04_調査結果'!$G$5:$G$404,$AL132)&amp;"")</f>
        <v/>
      </c>
      <c r="M132">
        <f>IF($AL132="","",INDEX('04_調査結果'!$AQ$5:$AQ$404,$AL132)&amp;"")</f>
        <v/>
      </c>
      <c r="N132">
        <f>IF($AL132="","",IFERROR(INDEX('M1_類型マスタ'!$B$5:$B$19,MATCH(M132,'M1_類型マスタ'!$A$5:$A$19,0)),""))</f>
        <v/>
      </c>
      <c r="O132">
        <f>IF($AL132="","",INDEX('04_調査結果'!$I$5:$I$404,$AL132)&amp;"")</f>
        <v/>
      </c>
      <c r="P132">
        <f>IF($AL132="","",INDEX('04_調査結果'!$J$5:$J$404,$AL132)&amp;"")</f>
        <v/>
      </c>
      <c r="Q132">
        <f>IF($AL132="","",INDEX('04_調査結果'!$K$5:$K$404,$AL132)&amp;"")</f>
        <v/>
      </c>
      <c r="R132">
        <f>IF($AL132="","",INDEX('04_調査結果'!$L$5:$L$404,$AL132)&amp;"")</f>
        <v/>
      </c>
      <c r="S132">
        <f>IF($AL132="","",INDEX('04_調査結果'!$M$5:$M$404,$AL132)&amp;"")</f>
        <v/>
      </c>
      <c r="T132" s="33">
        <f>IF($AL132="","",IF(INDEX('04_調査結果'!$AE$5:$AE$404,$AL132)&lt;&gt;"",INDEX('04_調査結果'!$AE$5:$AE$404,$AL132),INDEX('04_調査結果'!$AS$5:$AS$404,$AL132)))</f>
        <v/>
      </c>
      <c r="U132" s="33">
        <f>IF($AL132="","",IF(INDEX('04_調査結果'!$AF$5:$AF$404,$AL132)&lt;&gt;"",INDEX('04_調査結果'!$AF$5:$AF$404,$AL132),INDEX('04_調査結果'!$AT$5:$AT$404,$AL132)))</f>
        <v/>
      </c>
      <c r="V132" s="33">
        <f>IF($AL132="","",INDEX('04_調査結果'!$AI$5:$AI$404,$AL132))</f>
        <v/>
      </c>
      <c r="W132">
        <f>IF($AL132="","",INDEX('04_調査結果'!$AU$5:$AU$404,$AL132))</f>
        <v/>
      </c>
      <c r="X132" s="37">
        <f>IF($AL132="","",INDEX('04_調査結果'!$AW$5:$AW$404,$AL132))</f>
        <v/>
      </c>
      <c r="Y132" s="37">
        <f>IF($AL132="","",INDEX('04_調査結果'!$AX$5:$AX$404,$AL132))</f>
        <v/>
      </c>
      <c r="Z132">
        <f>IF($AL132="","",INDEX('04_調査結果'!$S$5:$S$404,$AL132)&amp;"")</f>
        <v/>
      </c>
      <c r="AA132">
        <f>IF($AL132="","",INDEX('04_調査結果'!$T$5:$T$404,$AL132))</f>
        <v/>
      </c>
      <c r="AB132">
        <f>IF($AL132="","",INDEX('04_調査結果'!$U$5:$U$404,$AL132))</f>
        <v/>
      </c>
      <c r="AC132">
        <f>IF($AL132="","",INDEX('04_調査結果'!$V$5:$V$404,$AL132))</f>
        <v/>
      </c>
      <c r="AD132">
        <f>IF($AL132="","",INDEX('04_調査結果'!$W$5:$W$404,$AL132))</f>
        <v/>
      </c>
      <c r="AE132">
        <f>IF($AL132="","",INDEX('04_調査結果'!$X$5:$X$404,$AL132))</f>
        <v/>
      </c>
      <c r="AF132">
        <f>IF($AL132="","",INDEX('04_調査結果'!$Y$5:$Y$404,$AL132))</f>
        <v/>
      </c>
      <c r="AG132">
        <f>IF($AL132="","",INDEX('04_調査結果'!$Z$5:$Z$404,$AL132))</f>
        <v/>
      </c>
      <c r="AH132">
        <f>IF($AL132="","",INDEX('04_調査結果'!$AK$5:$AK$404,$AL132))</f>
        <v/>
      </c>
      <c r="AI132">
        <f>IF($AL132="","",INDEX('04_調査結果'!$AH$5:$AH$404,$AL132)&amp;"")</f>
        <v/>
      </c>
      <c r="AJ132">
        <f>IF($AL132="","",INDEX('04_調査結果'!$AA$5:$AA$404,$AL132)&amp;"")</f>
        <v/>
      </c>
      <c r="AK132">
        <f>IF($AL132="","",INDEX('04_調査結果'!$AC$5:$AC$404,$AL132)&amp;"")</f>
        <v/>
      </c>
      <c r="AL132" s="34">
        <f>IFERROR(MATCH(ROW()-4,'04_調査結果'!$AZ$5:$AZ$404,0),"")</f>
        <v/>
      </c>
    </row>
    <row r="133">
      <c r="A133">
        <f>IF($AL133="","",'01_設定'!$C$36)</f>
        <v/>
      </c>
      <c r="B133">
        <f>IF($AL133="","",'01_設定'!$C$5)</f>
        <v/>
      </c>
      <c r="C133">
        <f>IF($AL133="","",'01_設定'!$C$6)</f>
        <v/>
      </c>
      <c r="D133" s="36">
        <f>IF($AL133="","",'01_設定'!$C$22)</f>
        <v/>
      </c>
      <c r="E133" s="36">
        <f>IF($AL133="","",'01_設定'!$C$23)</f>
        <v/>
      </c>
      <c r="F133">
        <f>IF($AL133="","",'01_設定'!$C$32)</f>
        <v/>
      </c>
      <c r="G133">
        <f>IF($AL133="","",ROW()-4)</f>
        <v/>
      </c>
      <c r="H133">
        <f>IF($AL133="","",INDEX('04_調査結果'!$AO$5:$AO$404,$AL133))</f>
        <v/>
      </c>
      <c r="I133">
        <f>IF($AL133="","",IFERROR(INDEX('M2_区分マスタ'!$I$5:$I$10,INDEX('04_調査結果'!$AP$5:$AP$404,$AL133)),""))</f>
        <v/>
      </c>
      <c r="J133">
        <f>IF($AL133="","",INDEX('04_調査結果'!$BE$5:$BE$404,$AL133)&amp;"")</f>
        <v/>
      </c>
      <c r="K133">
        <f>IF($AL133="","",INDEX('04_調査結果'!$F$5:$F$404,$AL133)&amp;"")</f>
        <v/>
      </c>
      <c r="L133">
        <f>IF($AL133="","",INDEX('04_調査結果'!$G$5:$G$404,$AL133)&amp;"")</f>
        <v/>
      </c>
      <c r="M133">
        <f>IF($AL133="","",INDEX('04_調査結果'!$AQ$5:$AQ$404,$AL133)&amp;"")</f>
        <v/>
      </c>
      <c r="N133">
        <f>IF($AL133="","",IFERROR(INDEX('M1_類型マスタ'!$B$5:$B$19,MATCH(M133,'M1_類型マスタ'!$A$5:$A$19,0)),""))</f>
        <v/>
      </c>
      <c r="O133">
        <f>IF($AL133="","",INDEX('04_調査結果'!$I$5:$I$404,$AL133)&amp;"")</f>
        <v/>
      </c>
      <c r="P133">
        <f>IF($AL133="","",INDEX('04_調査結果'!$J$5:$J$404,$AL133)&amp;"")</f>
        <v/>
      </c>
      <c r="Q133">
        <f>IF($AL133="","",INDEX('04_調査結果'!$K$5:$K$404,$AL133)&amp;"")</f>
        <v/>
      </c>
      <c r="R133">
        <f>IF($AL133="","",INDEX('04_調査結果'!$L$5:$L$404,$AL133)&amp;"")</f>
        <v/>
      </c>
      <c r="S133">
        <f>IF($AL133="","",INDEX('04_調査結果'!$M$5:$M$404,$AL133)&amp;"")</f>
        <v/>
      </c>
      <c r="T133" s="33">
        <f>IF($AL133="","",IF(INDEX('04_調査結果'!$AE$5:$AE$404,$AL133)&lt;&gt;"",INDEX('04_調査結果'!$AE$5:$AE$404,$AL133),INDEX('04_調査結果'!$AS$5:$AS$404,$AL133)))</f>
        <v/>
      </c>
      <c r="U133" s="33">
        <f>IF($AL133="","",IF(INDEX('04_調査結果'!$AF$5:$AF$404,$AL133)&lt;&gt;"",INDEX('04_調査結果'!$AF$5:$AF$404,$AL133),INDEX('04_調査結果'!$AT$5:$AT$404,$AL133)))</f>
        <v/>
      </c>
      <c r="V133" s="33">
        <f>IF($AL133="","",INDEX('04_調査結果'!$AI$5:$AI$404,$AL133))</f>
        <v/>
      </c>
      <c r="W133">
        <f>IF($AL133="","",INDEX('04_調査結果'!$AU$5:$AU$404,$AL133))</f>
        <v/>
      </c>
      <c r="X133" s="37">
        <f>IF($AL133="","",INDEX('04_調査結果'!$AW$5:$AW$404,$AL133))</f>
        <v/>
      </c>
      <c r="Y133" s="37">
        <f>IF($AL133="","",INDEX('04_調査結果'!$AX$5:$AX$404,$AL133))</f>
        <v/>
      </c>
      <c r="Z133">
        <f>IF($AL133="","",INDEX('04_調査結果'!$S$5:$S$404,$AL133)&amp;"")</f>
        <v/>
      </c>
      <c r="AA133">
        <f>IF($AL133="","",INDEX('04_調査結果'!$T$5:$T$404,$AL133))</f>
        <v/>
      </c>
      <c r="AB133">
        <f>IF($AL133="","",INDEX('04_調査結果'!$U$5:$U$404,$AL133))</f>
        <v/>
      </c>
      <c r="AC133">
        <f>IF($AL133="","",INDEX('04_調査結果'!$V$5:$V$404,$AL133))</f>
        <v/>
      </c>
      <c r="AD133">
        <f>IF($AL133="","",INDEX('04_調査結果'!$W$5:$W$404,$AL133))</f>
        <v/>
      </c>
      <c r="AE133">
        <f>IF($AL133="","",INDEX('04_調査結果'!$X$5:$X$404,$AL133))</f>
        <v/>
      </c>
      <c r="AF133">
        <f>IF($AL133="","",INDEX('04_調査結果'!$Y$5:$Y$404,$AL133))</f>
        <v/>
      </c>
      <c r="AG133">
        <f>IF($AL133="","",INDEX('04_調査結果'!$Z$5:$Z$404,$AL133))</f>
        <v/>
      </c>
      <c r="AH133">
        <f>IF($AL133="","",INDEX('04_調査結果'!$AK$5:$AK$404,$AL133))</f>
        <v/>
      </c>
      <c r="AI133">
        <f>IF($AL133="","",INDEX('04_調査結果'!$AH$5:$AH$404,$AL133)&amp;"")</f>
        <v/>
      </c>
      <c r="AJ133">
        <f>IF($AL133="","",INDEX('04_調査結果'!$AA$5:$AA$404,$AL133)&amp;"")</f>
        <v/>
      </c>
      <c r="AK133">
        <f>IF($AL133="","",INDEX('04_調査結果'!$AC$5:$AC$404,$AL133)&amp;"")</f>
        <v/>
      </c>
      <c r="AL133" s="34">
        <f>IFERROR(MATCH(ROW()-4,'04_調査結果'!$AZ$5:$AZ$404,0),"")</f>
        <v/>
      </c>
    </row>
    <row r="134">
      <c r="A134">
        <f>IF($AL134="","",'01_設定'!$C$36)</f>
        <v/>
      </c>
      <c r="B134">
        <f>IF($AL134="","",'01_設定'!$C$5)</f>
        <v/>
      </c>
      <c r="C134">
        <f>IF($AL134="","",'01_設定'!$C$6)</f>
        <v/>
      </c>
      <c r="D134" s="36">
        <f>IF($AL134="","",'01_設定'!$C$22)</f>
        <v/>
      </c>
      <c r="E134" s="36">
        <f>IF($AL134="","",'01_設定'!$C$23)</f>
        <v/>
      </c>
      <c r="F134">
        <f>IF($AL134="","",'01_設定'!$C$32)</f>
        <v/>
      </c>
      <c r="G134">
        <f>IF($AL134="","",ROW()-4)</f>
        <v/>
      </c>
      <c r="H134">
        <f>IF($AL134="","",INDEX('04_調査結果'!$AO$5:$AO$404,$AL134))</f>
        <v/>
      </c>
      <c r="I134">
        <f>IF($AL134="","",IFERROR(INDEX('M2_区分マスタ'!$I$5:$I$10,INDEX('04_調査結果'!$AP$5:$AP$404,$AL134)),""))</f>
        <v/>
      </c>
      <c r="J134">
        <f>IF($AL134="","",INDEX('04_調査結果'!$BE$5:$BE$404,$AL134)&amp;"")</f>
        <v/>
      </c>
      <c r="K134">
        <f>IF($AL134="","",INDEX('04_調査結果'!$F$5:$F$404,$AL134)&amp;"")</f>
        <v/>
      </c>
      <c r="L134">
        <f>IF($AL134="","",INDEX('04_調査結果'!$G$5:$G$404,$AL134)&amp;"")</f>
        <v/>
      </c>
      <c r="M134">
        <f>IF($AL134="","",INDEX('04_調査結果'!$AQ$5:$AQ$404,$AL134)&amp;"")</f>
        <v/>
      </c>
      <c r="N134">
        <f>IF($AL134="","",IFERROR(INDEX('M1_類型マスタ'!$B$5:$B$19,MATCH(M134,'M1_類型マスタ'!$A$5:$A$19,0)),""))</f>
        <v/>
      </c>
      <c r="O134">
        <f>IF($AL134="","",INDEX('04_調査結果'!$I$5:$I$404,$AL134)&amp;"")</f>
        <v/>
      </c>
      <c r="P134">
        <f>IF($AL134="","",INDEX('04_調査結果'!$J$5:$J$404,$AL134)&amp;"")</f>
        <v/>
      </c>
      <c r="Q134">
        <f>IF($AL134="","",INDEX('04_調査結果'!$K$5:$K$404,$AL134)&amp;"")</f>
        <v/>
      </c>
      <c r="R134">
        <f>IF($AL134="","",INDEX('04_調査結果'!$L$5:$L$404,$AL134)&amp;"")</f>
        <v/>
      </c>
      <c r="S134">
        <f>IF($AL134="","",INDEX('04_調査結果'!$M$5:$M$404,$AL134)&amp;"")</f>
        <v/>
      </c>
      <c r="T134" s="33">
        <f>IF($AL134="","",IF(INDEX('04_調査結果'!$AE$5:$AE$404,$AL134)&lt;&gt;"",INDEX('04_調査結果'!$AE$5:$AE$404,$AL134),INDEX('04_調査結果'!$AS$5:$AS$404,$AL134)))</f>
        <v/>
      </c>
      <c r="U134" s="33">
        <f>IF($AL134="","",IF(INDEX('04_調査結果'!$AF$5:$AF$404,$AL134)&lt;&gt;"",INDEX('04_調査結果'!$AF$5:$AF$404,$AL134),INDEX('04_調査結果'!$AT$5:$AT$404,$AL134)))</f>
        <v/>
      </c>
      <c r="V134" s="33">
        <f>IF($AL134="","",INDEX('04_調査結果'!$AI$5:$AI$404,$AL134))</f>
        <v/>
      </c>
      <c r="W134">
        <f>IF($AL134="","",INDEX('04_調査結果'!$AU$5:$AU$404,$AL134))</f>
        <v/>
      </c>
      <c r="X134" s="37">
        <f>IF($AL134="","",INDEX('04_調査結果'!$AW$5:$AW$404,$AL134))</f>
        <v/>
      </c>
      <c r="Y134" s="37">
        <f>IF($AL134="","",INDEX('04_調査結果'!$AX$5:$AX$404,$AL134))</f>
        <v/>
      </c>
      <c r="Z134">
        <f>IF($AL134="","",INDEX('04_調査結果'!$S$5:$S$404,$AL134)&amp;"")</f>
        <v/>
      </c>
      <c r="AA134">
        <f>IF($AL134="","",INDEX('04_調査結果'!$T$5:$T$404,$AL134))</f>
        <v/>
      </c>
      <c r="AB134">
        <f>IF($AL134="","",INDEX('04_調査結果'!$U$5:$U$404,$AL134))</f>
        <v/>
      </c>
      <c r="AC134">
        <f>IF($AL134="","",INDEX('04_調査結果'!$V$5:$V$404,$AL134))</f>
        <v/>
      </c>
      <c r="AD134">
        <f>IF($AL134="","",INDEX('04_調査結果'!$W$5:$W$404,$AL134))</f>
        <v/>
      </c>
      <c r="AE134">
        <f>IF($AL134="","",INDEX('04_調査結果'!$X$5:$X$404,$AL134))</f>
        <v/>
      </c>
      <c r="AF134">
        <f>IF($AL134="","",INDEX('04_調査結果'!$Y$5:$Y$404,$AL134))</f>
        <v/>
      </c>
      <c r="AG134">
        <f>IF($AL134="","",INDEX('04_調査結果'!$Z$5:$Z$404,$AL134))</f>
        <v/>
      </c>
      <c r="AH134">
        <f>IF($AL134="","",INDEX('04_調査結果'!$AK$5:$AK$404,$AL134))</f>
        <v/>
      </c>
      <c r="AI134">
        <f>IF($AL134="","",INDEX('04_調査結果'!$AH$5:$AH$404,$AL134)&amp;"")</f>
        <v/>
      </c>
      <c r="AJ134">
        <f>IF($AL134="","",INDEX('04_調査結果'!$AA$5:$AA$404,$AL134)&amp;"")</f>
        <v/>
      </c>
      <c r="AK134">
        <f>IF($AL134="","",INDEX('04_調査結果'!$AC$5:$AC$404,$AL134)&amp;"")</f>
        <v/>
      </c>
      <c r="AL134" s="34">
        <f>IFERROR(MATCH(ROW()-4,'04_調査結果'!$AZ$5:$AZ$404,0),"")</f>
        <v/>
      </c>
    </row>
    <row r="135">
      <c r="A135">
        <f>IF($AL135="","",'01_設定'!$C$36)</f>
        <v/>
      </c>
      <c r="B135">
        <f>IF($AL135="","",'01_設定'!$C$5)</f>
        <v/>
      </c>
      <c r="C135">
        <f>IF($AL135="","",'01_設定'!$C$6)</f>
        <v/>
      </c>
      <c r="D135" s="36">
        <f>IF($AL135="","",'01_設定'!$C$22)</f>
        <v/>
      </c>
      <c r="E135" s="36">
        <f>IF($AL135="","",'01_設定'!$C$23)</f>
        <v/>
      </c>
      <c r="F135">
        <f>IF($AL135="","",'01_設定'!$C$32)</f>
        <v/>
      </c>
      <c r="G135">
        <f>IF($AL135="","",ROW()-4)</f>
        <v/>
      </c>
      <c r="H135">
        <f>IF($AL135="","",INDEX('04_調査結果'!$AO$5:$AO$404,$AL135))</f>
        <v/>
      </c>
      <c r="I135">
        <f>IF($AL135="","",IFERROR(INDEX('M2_区分マスタ'!$I$5:$I$10,INDEX('04_調査結果'!$AP$5:$AP$404,$AL135)),""))</f>
        <v/>
      </c>
      <c r="J135">
        <f>IF($AL135="","",INDEX('04_調査結果'!$BE$5:$BE$404,$AL135)&amp;"")</f>
        <v/>
      </c>
      <c r="K135">
        <f>IF($AL135="","",INDEX('04_調査結果'!$F$5:$F$404,$AL135)&amp;"")</f>
        <v/>
      </c>
      <c r="L135">
        <f>IF($AL135="","",INDEX('04_調査結果'!$G$5:$G$404,$AL135)&amp;"")</f>
        <v/>
      </c>
      <c r="M135">
        <f>IF($AL135="","",INDEX('04_調査結果'!$AQ$5:$AQ$404,$AL135)&amp;"")</f>
        <v/>
      </c>
      <c r="N135">
        <f>IF($AL135="","",IFERROR(INDEX('M1_類型マスタ'!$B$5:$B$19,MATCH(M135,'M1_類型マスタ'!$A$5:$A$19,0)),""))</f>
        <v/>
      </c>
      <c r="O135">
        <f>IF($AL135="","",INDEX('04_調査結果'!$I$5:$I$404,$AL135)&amp;"")</f>
        <v/>
      </c>
      <c r="P135">
        <f>IF($AL135="","",INDEX('04_調査結果'!$J$5:$J$404,$AL135)&amp;"")</f>
        <v/>
      </c>
      <c r="Q135">
        <f>IF($AL135="","",INDEX('04_調査結果'!$K$5:$K$404,$AL135)&amp;"")</f>
        <v/>
      </c>
      <c r="R135">
        <f>IF($AL135="","",INDEX('04_調査結果'!$L$5:$L$404,$AL135)&amp;"")</f>
        <v/>
      </c>
      <c r="S135">
        <f>IF($AL135="","",INDEX('04_調査結果'!$M$5:$M$404,$AL135)&amp;"")</f>
        <v/>
      </c>
      <c r="T135" s="33">
        <f>IF($AL135="","",IF(INDEX('04_調査結果'!$AE$5:$AE$404,$AL135)&lt;&gt;"",INDEX('04_調査結果'!$AE$5:$AE$404,$AL135),INDEX('04_調査結果'!$AS$5:$AS$404,$AL135)))</f>
        <v/>
      </c>
      <c r="U135" s="33">
        <f>IF($AL135="","",IF(INDEX('04_調査結果'!$AF$5:$AF$404,$AL135)&lt;&gt;"",INDEX('04_調査結果'!$AF$5:$AF$404,$AL135),INDEX('04_調査結果'!$AT$5:$AT$404,$AL135)))</f>
        <v/>
      </c>
      <c r="V135" s="33">
        <f>IF($AL135="","",INDEX('04_調査結果'!$AI$5:$AI$404,$AL135))</f>
        <v/>
      </c>
      <c r="W135">
        <f>IF($AL135="","",INDEX('04_調査結果'!$AU$5:$AU$404,$AL135))</f>
        <v/>
      </c>
      <c r="X135" s="37">
        <f>IF($AL135="","",INDEX('04_調査結果'!$AW$5:$AW$404,$AL135))</f>
        <v/>
      </c>
      <c r="Y135" s="37">
        <f>IF($AL135="","",INDEX('04_調査結果'!$AX$5:$AX$404,$AL135))</f>
        <v/>
      </c>
      <c r="Z135">
        <f>IF($AL135="","",INDEX('04_調査結果'!$S$5:$S$404,$AL135)&amp;"")</f>
        <v/>
      </c>
      <c r="AA135">
        <f>IF($AL135="","",INDEX('04_調査結果'!$T$5:$T$404,$AL135))</f>
        <v/>
      </c>
      <c r="AB135">
        <f>IF($AL135="","",INDEX('04_調査結果'!$U$5:$U$404,$AL135))</f>
        <v/>
      </c>
      <c r="AC135">
        <f>IF($AL135="","",INDEX('04_調査結果'!$V$5:$V$404,$AL135))</f>
        <v/>
      </c>
      <c r="AD135">
        <f>IF($AL135="","",INDEX('04_調査結果'!$W$5:$W$404,$AL135))</f>
        <v/>
      </c>
      <c r="AE135">
        <f>IF($AL135="","",INDEX('04_調査結果'!$X$5:$X$404,$AL135))</f>
        <v/>
      </c>
      <c r="AF135">
        <f>IF($AL135="","",INDEX('04_調査結果'!$Y$5:$Y$404,$AL135))</f>
        <v/>
      </c>
      <c r="AG135">
        <f>IF($AL135="","",INDEX('04_調査結果'!$Z$5:$Z$404,$AL135))</f>
        <v/>
      </c>
      <c r="AH135">
        <f>IF($AL135="","",INDEX('04_調査結果'!$AK$5:$AK$404,$AL135))</f>
        <v/>
      </c>
      <c r="AI135">
        <f>IF($AL135="","",INDEX('04_調査結果'!$AH$5:$AH$404,$AL135)&amp;"")</f>
        <v/>
      </c>
      <c r="AJ135">
        <f>IF($AL135="","",INDEX('04_調査結果'!$AA$5:$AA$404,$AL135)&amp;"")</f>
        <v/>
      </c>
      <c r="AK135">
        <f>IF($AL135="","",INDEX('04_調査結果'!$AC$5:$AC$404,$AL135)&amp;"")</f>
        <v/>
      </c>
      <c r="AL135" s="34">
        <f>IFERROR(MATCH(ROW()-4,'04_調査結果'!$AZ$5:$AZ$404,0),"")</f>
        <v/>
      </c>
    </row>
    <row r="136">
      <c r="A136">
        <f>IF($AL136="","",'01_設定'!$C$36)</f>
        <v/>
      </c>
      <c r="B136">
        <f>IF($AL136="","",'01_設定'!$C$5)</f>
        <v/>
      </c>
      <c r="C136">
        <f>IF($AL136="","",'01_設定'!$C$6)</f>
        <v/>
      </c>
      <c r="D136" s="36">
        <f>IF($AL136="","",'01_設定'!$C$22)</f>
        <v/>
      </c>
      <c r="E136" s="36">
        <f>IF($AL136="","",'01_設定'!$C$23)</f>
        <v/>
      </c>
      <c r="F136">
        <f>IF($AL136="","",'01_設定'!$C$32)</f>
        <v/>
      </c>
      <c r="G136">
        <f>IF($AL136="","",ROW()-4)</f>
        <v/>
      </c>
      <c r="H136">
        <f>IF($AL136="","",INDEX('04_調査結果'!$AO$5:$AO$404,$AL136))</f>
        <v/>
      </c>
      <c r="I136">
        <f>IF($AL136="","",IFERROR(INDEX('M2_区分マスタ'!$I$5:$I$10,INDEX('04_調査結果'!$AP$5:$AP$404,$AL136)),""))</f>
        <v/>
      </c>
      <c r="J136">
        <f>IF($AL136="","",INDEX('04_調査結果'!$BE$5:$BE$404,$AL136)&amp;"")</f>
        <v/>
      </c>
      <c r="K136">
        <f>IF($AL136="","",INDEX('04_調査結果'!$F$5:$F$404,$AL136)&amp;"")</f>
        <v/>
      </c>
      <c r="L136">
        <f>IF($AL136="","",INDEX('04_調査結果'!$G$5:$G$404,$AL136)&amp;"")</f>
        <v/>
      </c>
      <c r="M136">
        <f>IF($AL136="","",INDEX('04_調査結果'!$AQ$5:$AQ$404,$AL136)&amp;"")</f>
        <v/>
      </c>
      <c r="N136">
        <f>IF($AL136="","",IFERROR(INDEX('M1_類型マスタ'!$B$5:$B$19,MATCH(M136,'M1_類型マスタ'!$A$5:$A$19,0)),""))</f>
        <v/>
      </c>
      <c r="O136">
        <f>IF($AL136="","",INDEX('04_調査結果'!$I$5:$I$404,$AL136)&amp;"")</f>
        <v/>
      </c>
      <c r="P136">
        <f>IF($AL136="","",INDEX('04_調査結果'!$J$5:$J$404,$AL136)&amp;"")</f>
        <v/>
      </c>
      <c r="Q136">
        <f>IF($AL136="","",INDEX('04_調査結果'!$K$5:$K$404,$AL136)&amp;"")</f>
        <v/>
      </c>
      <c r="R136">
        <f>IF($AL136="","",INDEX('04_調査結果'!$L$5:$L$404,$AL136)&amp;"")</f>
        <v/>
      </c>
      <c r="S136">
        <f>IF($AL136="","",INDEX('04_調査結果'!$M$5:$M$404,$AL136)&amp;"")</f>
        <v/>
      </c>
      <c r="T136" s="33">
        <f>IF($AL136="","",IF(INDEX('04_調査結果'!$AE$5:$AE$404,$AL136)&lt;&gt;"",INDEX('04_調査結果'!$AE$5:$AE$404,$AL136),INDEX('04_調査結果'!$AS$5:$AS$404,$AL136)))</f>
        <v/>
      </c>
      <c r="U136" s="33">
        <f>IF($AL136="","",IF(INDEX('04_調査結果'!$AF$5:$AF$404,$AL136)&lt;&gt;"",INDEX('04_調査結果'!$AF$5:$AF$404,$AL136),INDEX('04_調査結果'!$AT$5:$AT$404,$AL136)))</f>
        <v/>
      </c>
      <c r="V136" s="33">
        <f>IF($AL136="","",INDEX('04_調査結果'!$AI$5:$AI$404,$AL136))</f>
        <v/>
      </c>
      <c r="W136">
        <f>IF($AL136="","",INDEX('04_調査結果'!$AU$5:$AU$404,$AL136))</f>
        <v/>
      </c>
      <c r="X136" s="37">
        <f>IF($AL136="","",INDEX('04_調査結果'!$AW$5:$AW$404,$AL136))</f>
        <v/>
      </c>
      <c r="Y136" s="37">
        <f>IF($AL136="","",INDEX('04_調査結果'!$AX$5:$AX$404,$AL136))</f>
        <v/>
      </c>
      <c r="Z136">
        <f>IF($AL136="","",INDEX('04_調査結果'!$S$5:$S$404,$AL136)&amp;"")</f>
        <v/>
      </c>
      <c r="AA136">
        <f>IF($AL136="","",INDEX('04_調査結果'!$T$5:$T$404,$AL136))</f>
        <v/>
      </c>
      <c r="AB136">
        <f>IF($AL136="","",INDEX('04_調査結果'!$U$5:$U$404,$AL136))</f>
        <v/>
      </c>
      <c r="AC136">
        <f>IF($AL136="","",INDEX('04_調査結果'!$V$5:$V$404,$AL136))</f>
        <v/>
      </c>
      <c r="AD136">
        <f>IF($AL136="","",INDEX('04_調査結果'!$W$5:$W$404,$AL136))</f>
        <v/>
      </c>
      <c r="AE136">
        <f>IF($AL136="","",INDEX('04_調査結果'!$X$5:$X$404,$AL136))</f>
        <v/>
      </c>
      <c r="AF136">
        <f>IF($AL136="","",INDEX('04_調査結果'!$Y$5:$Y$404,$AL136))</f>
        <v/>
      </c>
      <c r="AG136">
        <f>IF($AL136="","",INDEX('04_調査結果'!$Z$5:$Z$404,$AL136))</f>
        <v/>
      </c>
      <c r="AH136">
        <f>IF($AL136="","",INDEX('04_調査結果'!$AK$5:$AK$404,$AL136))</f>
        <v/>
      </c>
      <c r="AI136">
        <f>IF($AL136="","",INDEX('04_調査結果'!$AH$5:$AH$404,$AL136)&amp;"")</f>
        <v/>
      </c>
      <c r="AJ136">
        <f>IF($AL136="","",INDEX('04_調査結果'!$AA$5:$AA$404,$AL136)&amp;"")</f>
        <v/>
      </c>
      <c r="AK136">
        <f>IF($AL136="","",INDEX('04_調査結果'!$AC$5:$AC$404,$AL136)&amp;"")</f>
        <v/>
      </c>
      <c r="AL136" s="34">
        <f>IFERROR(MATCH(ROW()-4,'04_調査結果'!$AZ$5:$AZ$404,0),"")</f>
        <v/>
      </c>
    </row>
    <row r="137">
      <c r="A137">
        <f>IF($AL137="","",'01_設定'!$C$36)</f>
        <v/>
      </c>
      <c r="B137">
        <f>IF($AL137="","",'01_設定'!$C$5)</f>
        <v/>
      </c>
      <c r="C137">
        <f>IF($AL137="","",'01_設定'!$C$6)</f>
        <v/>
      </c>
      <c r="D137" s="36">
        <f>IF($AL137="","",'01_設定'!$C$22)</f>
        <v/>
      </c>
      <c r="E137" s="36">
        <f>IF($AL137="","",'01_設定'!$C$23)</f>
        <v/>
      </c>
      <c r="F137">
        <f>IF($AL137="","",'01_設定'!$C$32)</f>
        <v/>
      </c>
      <c r="G137">
        <f>IF($AL137="","",ROW()-4)</f>
        <v/>
      </c>
      <c r="H137">
        <f>IF($AL137="","",INDEX('04_調査結果'!$AO$5:$AO$404,$AL137))</f>
        <v/>
      </c>
      <c r="I137">
        <f>IF($AL137="","",IFERROR(INDEX('M2_区分マスタ'!$I$5:$I$10,INDEX('04_調査結果'!$AP$5:$AP$404,$AL137)),""))</f>
        <v/>
      </c>
      <c r="J137">
        <f>IF($AL137="","",INDEX('04_調査結果'!$BE$5:$BE$404,$AL137)&amp;"")</f>
        <v/>
      </c>
      <c r="K137">
        <f>IF($AL137="","",INDEX('04_調査結果'!$F$5:$F$404,$AL137)&amp;"")</f>
        <v/>
      </c>
      <c r="L137">
        <f>IF($AL137="","",INDEX('04_調査結果'!$G$5:$G$404,$AL137)&amp;"")</f>
        <v/>
      </c>
      <c r="M137">
        <f>IF($AL137="","",INDEX('04_調査結果'!$AQ$5:$AQ$404,$AL137)&amp;"")</f>
        <v/>
      </c>
      <c r="N137">
        <f>IF($AL137="","",IFERROR(INDEX('M1_類型マスタ'!$B$5:$B$19,MATCH(M137,'M1_類型マスタ'!$A$5:$A$19,0)),""))</f>
        <v/>
      </c>
      <c r="O137">
        <f>IF($AL137="","",INDEX('04_調査結果'!$I$5:$I$404,$AL137)&amp;"")</f>
        <v/>
      </c>
      <c r="P137">
        <f>IF($AL137="","",INDEX('04_調査結果'!$J$5:$J$404,$AL137)&amp;"")</f>
        <v/>
      </c>
      <c r="Q137">
        <f>IF($AL137="","",INDEX('04_調査結果'!$K$5:$K$404,$AL137)&amp;"")</f>
        <v/>
      </c>
      <c r="R137">
        <f>IF($AL137="","",INDEX('04_調査結果'!$L$5:$L$404,$AL137)&amp;"")</f>
        <v/>
      </c>
      <c r="S137">
        <f>IF($AL137="","",INDEX('04_調査結果'!$M$5:$M$404,$AL137)&amp;"")</f>
        <v/>
      </c>
      <c r="T137" s="33">
        <f>IF($AL137="","",IF(INDEX('04_調査結果'!$AE$5:$AE$404,$AL137)&lt;&gt;"",INDEX('04_調査結果'!$AE$5:$AE$404,$AL137),INDEX('04_調査結果'!$AS$5:$AS$404,$AL137)))</f>
        <v/>
      </c>
      <c r="U137" s="33">
        <f>IF($AL137="","",IF(INDEX('04_調査結果'!$AF$5:$AF$404,$AL137)&lt;&gt;"",INDEX('04_調査結果'!$AF$5:$AF$404,$AL137),INDEX('04_調査結果'!$AT$5:$AT$404,$AL137)))</f>
        <v/>
      </c>
      <c r="V137" s="33">
        <f>IF($AL137="","",INDEX('04_調査結果'!$AI$5:$AI$404,$AL137))</f>
        <v/>
      </c>
      <c r="W137">
        <f>IF($AL137="","",INDEX('04_調査結果'!$AU$5:$AU$404,$AL137))</f>
        <v/>
      </c>
      <c r="X137" s="37">
        <f>IF($AL137="","",INDEX('04_調査結果'!$AW$5:$AW$404,$AL137))</f>
        <v/>
      </c>
      <c r="Y137" s="37">
        <f>IF($AL137="","",INDEX('04_調査結果'!$AX$5:$AX$404,$AL137))</f>
        <v/>
      </c>
      <c r="Z137">
        <f>IF($AL137="","",INDEX('04_調査結果'!$S$5:$S$404,$AL137)&amp;"")</f>
        <v/>
      </c>
      <c r="AA137">
        <f>IF($AL137="","",INDEX('04_調査結果'!$T$5:$T$404,$AL137))</f>
        <v/>
      </c>
      <c r="AB137">
        <f>IF($AL137="","",INDEX('04_調査結果'!$U$5:$U$404,$AL137))</f>
        <v/>
      </c>
      <c r="AC137">
        <f>IF($AL137="","",INDEX('04_調査結果'!$V$5:$V$404,$AL137))</f>
        <v/>
      </c>
      <c r="AD137">
        <f>IF($AL137="","",INDEX('04_調査結果'!$W$5:$W$404,$AL137))</f>
        <v/>
      </c>
      <c r="AE137">
        <f>IF($AL137="","",INDEX('04_調査結果'!$X$5:$X$404,$AL137))</f>
        <v/>
      </c>
      <c r="AF137">
        <f>IF($AL137="","",INDEX('04_調査結果'!$Y$5:$Y$404,$AL137))</f>
        <v/>
      </c>
      <c r="AG137">
        <f>IF($AL137="","",INDEX('04_調査結果'!$Z$5:$Z$404,$AL137))</f>
        <v/>
      </c>
      <c r="AH137">
        <f>IF($AL137="","",INDEX('04_調査結果'!$AK$5:$AK$404,$AL137))</f>
        <v/>
      </c>
      <c r="AI137">
        <f>IF($AL137="","",INDEX('04_調査結果'!$AH$5:$AH$404,$AL137)&amp;"")</f>
        <v/>
      </c>
      <c r="AJ137">
        <f>IF($AL137="","",INDEX('04_調査結果'!$AA$5:$AA$404,$AL137)&amp;"")</f>
        <v/>
      </c>
      <c r="AK137">
        <f>IF($AL137="","",INDEX('04_調査結果'!$AC$5:$AC$404,$AL137)&amp;"")</f>
        <v/>
      </c>
      <c r="AL137" s="34">
        <f>IFERROR(MATCH(ROW()-4,'04_調査結果'!$AZ$5:$AZ$404,0),"")</f>
        <v/>
      </c>
    </row>
    <row r="138">
      <c r="A138">
        <f>IF($AL138="","",'01_設定'!$C$36)</f>
        <v/>
      </c>
      <c r="B138">
        <f>IF($AL138="","",'01_設定'!$C$5)</f>
        <v/>
      </c>
      <c r="C138">
        <f>IF($AL138="","",'01_設定'!$C$6)</f>
        <v/>
      </c>
      <c r="D138" s="36">
        <f>IF($AL138="","",'01_設定'!$C$22)</f>
        <v/>
      </c>
      <c r="E138" s="36">
        <f>IF($AL138="","",'01_設定'!$C$23)</f>
        <v/>
      </c>
      <c r="F138">
        <f>IF($AL138="","",'01_設定'!$C$32)</f>
        <v/>
      </c>
      <c r="G138">
        <f>IF($AL138="","",ROW()-4)</f>
        <v/>
      </c>
      <c r="H138">
        <f>IF($AL138="","",INDEX('04_調査結果'!$AO$5:$AO$404,$AL138))</f>
        <v/>
      </c>
      <c r="I138">
        <f>IF($AL138="","",IFERROR(INDEX('M2_区分マスタ'!$I$5:$I$10,INDEX('04_調査結果'!$AP$5:$AP$404,$AL138)),""))</f>
        <v/>
      </c>
      <c r="J138">
        <f>IF($AL138="","",INDEX('04_調査結果'!$BE$5:$BE$404,$AL138)&amp;"")</f>
        <v/>
      </c>
      <c r="K138">
        <f>IF($AL138="","",INDEX('04_調査結果'!$F$5:$F$404,$AL138)&amp;"")</f>
        <v/>
      </c>
      <c r="L138">
        <f>IF($AL138="","",INDEX('04_調査結果'!$G$5:$G$404,$AL138)&amp;"")</f>
        <v/>
      </c>
      <c r="M138">
        <f>IF($AL138="","",INDEX('04_調査結果'!$AQ$5:$AQ$404,$AL138)&amp;"")</f>
        <v/>
      </c>
      <c r="N138">
        <f>IF($AL138="","",IFERROR(INDEX('M1_類型マスタ'!$B$5:$B$19,MATCH(M138,'M1_類型マスタ'!$A$5:$A$19,0)),""))</f>
        <v/>
      </c>
      <c r="O138">
        <f>IF($AL138="","",INDEX('04_調査結果'!$I$5:$I$404,$AL138)&amp;"")</f>
        <v/>
      </c>
      <c r="P138">
        <f>IF($AL138="","",INDEX('04_調査結果'!$J$5:$J$404,$AL138)&amp;"")</f>
        <v/>
      </c>
      <c r="Q138">
        <f>IF($AL138="","",INDEX('04_調査結果'!$K$5:$K$404,$AL138)&amp;"")</f>
        <v/>
      </c>
      <c r="R138">
        <f>IF($AL138="","",INDEX('04_調査結果'!$L$5:$L$404,$AL138)&amp;"")</f>
        <v/>
      </c>
      <c r="S138">
        <f>IF($AL138="","",INDEX('04_調査結果'!$M$5:$M$404,$AL138)&amp;"")</f>
        <v/>
      </c>
      <c r="T138" s="33">
        <f>IF($AL138="","",IF(INDEX('04_調査結果'!$AE$5:$AE$404,$AL138)&lt;&gt;"",INDEX('04_調査結果'!$AE$5:$AE$404,$AL138),INDEX('04_調査結果'!$AS$5:$AS$404,$AL138)))</f>
        <v/>
      </c>
      <c r="U138" s="33">
        <f>IF($AL138="","",IF(INDEX('04_調査結果'!$AF$5:$AF$404,$AL138)&lt;&gt;"",INDEX('04_調査結果'!$AF$5:$AF$404,$AL138),INDEX('04_調査結果'!$AT$5:$AT$404,$AL138)))</f>
        <v/>
      </c>
      <c r="V138" s="33">
        <f>IF($AL138="","",INDEX('04_調査結果'!$AI$5:$AI$404,$AL138))</f>
        <v/>
      </c>
      <c r="W138">
        <f>IF($AL138="","",INDEX('04_調査結果'!$AU$5:$AU$404,$AL138))</f>
        <v/>
      </c>
      <c r="X138" s="37">
        <f>IF($AL138="","",INDEX('04_調査結果'!$AW$5:$AW$404,$AL138))</f>
        <v/>
      </c>
      <c r="Y138" s="37">
        <f>IF($AL138="","",INDEX('04_調査結果'!$AX$5:$AX$404,$AL138))</f>
        <v/>
      </c>
      <c r="Z138">
        <f>IF($AL138="","",INDEX('04_調査結果'!$S$5:$S$404,$AL138)&amp;"")</f>
        <v/>
      </c>
      <c r="AA138">
        <f>IF($AL138="","",INDEX('04_調査結果'!$T$5:$T$404,$AL138))</f>
        <v/>
      </c>
      <c r="AB138">
        <f>IF($AL138="","",INDEX('04_調査結果'!$U$5:$U$404,$AL138))</f>
        <v/>
      </c>
      <c r="AC138">
        <f>IF($AL138="","",INDEX('04_調査結果'!$V$5:$V$404,$AL138))</f>
        <v/>
      </c>
      <c r="AD138">
        <f>IF($AL138="","",INDEX('04_調査結果'!$W$5:$W$404,$AL138))</f>
        <v/>
      </c>
      <c r="AE138">
        <f>IF($AL138="","",INDEX('04_調査結果'!$X$5:$X$404,$AL138))</f>
        <v/>
      </c>
      <c r="AF138">
        <f>IF($AL138="","",INDEX('04_調査結果'!$Y$5:$Y$404,$AL138))</f>
        <v/>
      </c>
      <c r="AG138">
        <f>IF($AL138="","",INDEX('04_調査結果'!$Z$5:$Z$404,$AL138))</f>
        <v/>
      </c>
      <c r="AH138">
        <f>IF($AL138="","",INDEX('04_調査結果'!$AK$5:$AK$404,$AL138))</f>
        <v/>
      </c>
      <c r="AI138">
        <f>IF($AL138="","",INDEX('04_調査結果'!$AH$5:$AH$404,$AL138)&amp;"")</f>
        <v/>
      </c>
      <c r="AJ138">
        <f>IF($AL138="","",INDEX('04_調査結果'!$AA$5:$AA$404,$AL138)&amp;"")</f>
        <v/>
      </c>
      <c r="AK138">
        <f>IF($AL138="","",INDEX('04_調査結果'!$AC$5:$AC$404,$AL138)&amp;"")</f>
        <v/>
      </c>
      <c r="AL138" s="34">
        <f>IFERROR(MATCH(ROW()-4,'04_調査結果'!$AZ$5:$AZ$404,0),"")</f>
        <v/>
      </c>
    </row>
    <row r="139">
      <c r="A139">
        <f>IF($AL139="","",'01_設定'!$C$36)</f>
        <v/>
      </c>
      <c r="B139">
        <f>IF($AL139="","",'01_設定'!$C$5)</f>
        <v/>
      </c>
      <c r="C139">
        <f>IF($AL139="","",'01_設定'!$C$6)</f>
        <v/>
      </c>
      <c r="D139" s="36">
        <f>IF($AL139="","",'01_設定'!$C$22)</f>
        <v/>
      </c>
      <c r="E139" s="36">
        <f>IF($AL139="","",'01_設定'!$C$23)</f>
        <v/>
      </c>
      <c r="F139">
        <f>IF($AL139="","",'01_設定'!$C$32)</f>
        <v/>
      </c>
      <c r="G139">
        <f>IF($AL139="","",ROW()-4)</f>
        <v/>
      </c>
      <c r="H139">
        <f>IF($AL139="","",INDEX('04_調査結果'!$AO$5:$AO$404,$AL139))</f>
        <v/>
      </c>
      <c r="I139">
        <f>IF($AL139="","",IFERROR(INDEX('M2_区分マスタ'!$I$5:$I$10,INDEX('04_調査結果'!$AP$5:$AP$404,$AL139)),""))</f>
        <v/>
      </c>
      <c r="J139">
        <f>IF($AL139="","",INDEX('04_調査結果'!$BE$5:$BE$404,$AL139)&amp;"")</f>
        <v/>
      </c>
      <c r="K139">
        <f>IF($AL139="","",INDEX('04_調査結果'!$F$5:$F$404,$AL139)&amp;"")</f>
        <v/>
      </c>
      <c r="L139">
        <f>IF($AL139="","",INDEX('04_調査結果'!$G$5:$G$404,$AL139)&amp;"")</f>
        <v/>
      </c>
      <c r="M139">
        <f>IF($AL139="","",INDEX('04_調査結果'!$AQ$5:$AQ$404,$AL139)&amp;"")</f>
        <v/>
      </c>
      <c r="N139">
        <f>IF($AL139="","",IFERROR(INDEX('M1_類型マスタ'!$B$5:$B$19,MATCH(M139,'M1_類型マスタ'!$A$5:$A$19,0)),""))</f>
        <v/>
      </c>
      <c r="O139">
        <f>IF($AL139="","",INDEX('04_調査結果'!$I$5:$I$404,$AL139)&amp;"")</f>
        <v/>
      </c>
      <c r="P139">
        <f>IF($AL139="","",INDEX('04_調査結果'!$J$5:$J$404,$AL139)&amp;"")</f>
        <v/>
      </c>
      <c r="Q139">
        <f>IF($AL139="","",INDEX('04_調査結果'!$K$5:$K$404,$AL139)&amp;"")</f>
        <v/>
      </c>
      <c r="R139">
        <f>IF($AL139="","",INDEX('04_調査結果'!$L$5:$L$404,$AL139)&amp;"")</f>
        <v/>
      </c>
      <c r="S139">
        <f>IF($AL139="","",INDEX('04_調査結果'!$M$5:$M$404,$AL139)&amp;"")</f>
        <v/>
      </c>
      <c r="T139" s="33">
        <f>IF($AL139="","",IF(INDEX('04_調査結果'!$AE$5:$AE$404,$AL139)&lt;&gt;"",INDEX('04_調査結果'!$AE$5:$AE$404,$AL139),INDEX('04_調査結果'!$AS$5:$AS$404,$AL139)))</f>
        <v/>
      </c>
      <c r="U139" s="33">
        <f>IF($AL139="","",IF(INDEX('04_調査結果'!$AF$5:$AF$404,$AL139)&lt;&gt;"",INDEX('04_調査結果'!$AF$5:$AF$404,$AL139),INDEX('04_調査結果'!$AT$5:$AT$404,$AL139)))</f>
        <v/>
      </c>
      <c r="V139" s="33">
        <f>IF($AL139="","",INDEX('04_調査結果'!$AI$5:$AI$404,$AL139))</f>
        <v/>
      </c>
      <c r="W139">
        <f>IF($AL139="","",INDEX('04_調査結果'!$AU$5:$AU$404,$AL139))</f>
        <v/>
      </c>
      <c r="X139" s="37">
        <f>IF($AL139="","",INDEX('04_調査結果'!$AW$5:$AW$404,$AL139))</f>
        <v/>
      </c>
      <c r="Y139" s="37">
        <f>IF($AL139="","",INDEX('04_調査結果'!$AX$5:$AX$404,$AL139))</f>
        <v/>
      </c>
      <c r="Z139">
        <f>IF($AL139="","",INDEX('04_調査結果'!$S$5:$S$404,$AL139)&amp;"")</f>
        <v/>
      </c>
      <c r="AA139">
        <f>IF($AL139="","",INDEX('04_調査結果'!$T$5:$T$404,$AL139))</f>
        <v/>
      </c>
      <c r="AB139">
        <f>IF($AL139="","",INDEX('04_調査結果'!$U$5:$U$404,$AL139))</f>
        <v/>
      </c>
      <c r="AC139">
        <f>IF($AL139="","",INDEX('04_調査結果'!$V$5:$V$404,$AL139))</f>
        <v/>
      </c>
      <c r="AD139">
        <f>IF($AL139="","",INDEX('04_調査結果'!$W$5:$W$404,$AL139))</f>
        <v/>
      </c>
      <c r="AE139">
        <f>IF($AL139="","",INDEX('04_調査結果'!$X$5:$X$404,$AL139))</f>
        <v/>
      </c>
      <c r="AF139">
        <f>IF($AL139="","",INDEX('04_調査結果'!$Y$5:$Y$404,$AL139))</f>
        <v/>
      </c>
      <c r="AG139">
        <f>IF($AL139="","",INDEX('04_調査結果'!$Z$5:$Z$404,$AL139))</f>
        <v/>
      </c>
      <c r="AH139">
        <f>IF($AL139="","",INDEX('04_調査結果'!$AK$5:$AK$404,$AL139))</f>
        <v/>
      </c>
      <c r="AI139">
        <f>IF($AL139="","",INDEX('04_調査結果'!$AH$5:$AH$404,$AL139)&amp;"")</f>
        <v/>
      </c>
      <c r="AJ139">
        <f>IF($AL139="","",INDEX('04_調査結果'!$AA$5:$AA$404,$AL139)&amp;"")</f>
        <v/>
      </c>
      <c r="AK139">
        <f>IF($AL139="","",INDEX('04_調査結果'!$AC$5:$AC$404,$AL139)&amp;"")</f>
        <v/>
      </c>
      <c r="AL139" s="34">
        <f>IFERROR(MATCH(ROW()-4,'04_調査結果'!$AZ$5:$AZ$404,0),"")</f>
        <v/>
      </c>
    </row>
    <row r="140">
      <c r="A140">
        <f>IF($AL140="","",'01_設定'!$C$36)</f>
        <v/>
      </c>
      <c r="B140">
        <f>IF($AL140="","",'01_設定'!$C$5)</f>
        <v/>
      </c>
      <c r="C140">
        <f>IF($AL140="","",'01_設定'!$C$6)</f>
        <v/>
      </c>
      <c r="D140" s="36">
        <f>IF($AL140="","",'01_設定'!$C$22)</f>
        <v/>
      </c>
      <c r="E140" s="36">
        <f>IF($AL140="","",'01_設定'!$C$23)</f>
        <v/>
      </c>
      <c r="F140">
        <f>IF($AL140="","",'01_設定'!$C$32)</f>
        <v/>
      </c>
      <c r="G140">
        <f>IF($AL140="","",ROW()-4)</f>
        <v/>
      </c>
      <c r="H140">
        <f>IF($AL140="","",INDEX('04_調査結果'!$AO$5:$AO$404,$AL140))</f>
        <v/>
      </c>
      <c r="I140">
        <f>IF($AL140="","",IFERROR(INDEX('M2_区分マスタ'!$I$5:$I$10,INDEX('04_調査結果'!$AP$5:$AP$404,$AL140)),""))</f>
        <v/>
      </c>
      <c r="J140">
        <f>IF($AL140="","",INDEX('04_調査結果'!$BE$5:$BE$404,$AL140)&amp;"")</f>
        <v/>
      </c>
      <c r="K140">
        <f>IF($AL140="","",INDEX('04_調査結果'!$F$5:$F$404,$AL140)&amp;"")</f>
        <v/>
      </c>
      <c r="L140">
        <f>IF($AL140="","",INDEX('04_調査結果'!$G$5:$G$404,$AL140)&amp;"")</f>
        <v/>
      </c>
      <c r="M140">
        <f>IF($AL140="","",INDEX('04_調査結果'!$AQ$5:$AQ$404,$AL140)&amp;"")</f>
        <v/>
      </c>
      <c r="N140">
        <f>IF($AL140="","",IFERROR(INDEX('M1_類型マスタ'!$B$5:$B$19,MATCH(M140,'M1_類型マスタ'!$A$5:$A$19,0)),""))</f>
        <v/>
      </c>
      <c r="O140">
        <f>IF($AL140="","",INDEX('04_調査結果'!$I$5:$I$404,$AL140)&amp;"")</f>
        <v/>
      </c>
      <c r="P140">
        <f>IF($AL140="","",INDEX('04_調査結果'!$J$5:$J$404,$AL140)&amp;"")</f>
        <v/>
      </c>
      <c r="Q140">
        <f>IF($AL140="","",INDEX('04_調査結果'!$K$5:$K$404,$AL140)&amp;"")</f>
        <v/>
      </c>
      <c r="R140">
        <f>IF($AL140="","",INDEX('04_調査結果'!$L$5:$L$404,$AL140)&amp;"")</f>
        <v/>
      </c>
      <c r="S140">
        <f>IF($AL140="","",INDEX('04_調査結果'!$M$5:$M$404,$AL140)&amp;"")</f>
        <v/>
      </c>
      <c r="T140" s="33">
        <f>IF($AL140="","",IF(INDEX('04_調査結果'!$AE$5:$AE$404,$AL140)&lt;&gt;"",INDEX('04_調査結果'!$AE$5:$AE$404,$AL140),INDEX('04_調査結果'!$AS$5:$AS$404,$AL140)))</f>
        <v/>
      </c>
      <c r="U140" s="33">
        <f>IF($AL140="","",IF(INDEX('04_調査結果'!$AF$5:$AF$404,$AL140)&lt;&gt;"",INDEX('04_調査結果'!$AF$5:$AF$404,$AL140),INDEX('04_調査結果'!$AT$5:$AT$404,$AL140)))</f>
        <v/>
      </c>
      <c r="V140" s="33">
        <f>IF($AL140="","",INDEX('04_調査結果'!$AI$5:$AI$404,$AL140))</f>
        <v/>
      </c>
      <c r="W140">
        <f>IF($AL140="","",INDEX('04_調査結果'!$AU$5:$AU$404,$AL140))</f>
        <v/>
      </c>
      <c r="X140" s="37">
        <f>IF($AL140="","",INDEX('04_調査結果'!$AW$5:$AW$404,$AL140))</f>
        <v/>
      </c>
      <c r="Y140" s="37">
        <f>IF($AL140="","",INDEX('04_調査結果'!$AX$5:$AX$404,$AL140))</f>
        <v/>
      </c>
      <c r="Z140">
        <f>IF($AL140="","",INDEX('04_調査結果'!$S$5:$S$404,$AL140)&amp;"")</f>
        <v/>
      </c>
      <c r="AA140">
        <f>IF($AL140="","",INDEX('04_調査結果'!$T$5:$T$404,$AL140))</f>
        <v/>
      </c>
      <c r="AB140">
        <f>IF($AL140="","",INDEX('04_調査結果'!$U$5:$U$404,$AL140))</f>
        <v/>
      </c>
      <c r="AC140">
        <f>IF($AL140="","",INDEX('04_調査結果'!$V$5:$V$404,$AL140))</f>
        <v/>
      </c>
      <c r="AD140">
        <f>IF($AL140="","",INDEX('04_調査結果'!$W$5:$W$404,$AL140))</f>
        <v/>
      </c>
      <c r="AE140">
        <f>IF($AL140="","",INDEX('04_調査結果'!$X$5:$X$404,$AL140))</f>
        <v/>
      </c>
      <c r="AF140">
        <f>IF($AL140="","",INDEX('04_調査結果'!$Y$5:$Y$404,$AL140))</f>
        <v/>
      </c>
      <c r="AG140">
        <f>IF($AL140="","",INDEX('04_調査結果'!$Z$5:$Z$404,$AL140))</f>
        <v/>
      </c>
      <c r="AH140">
        <f>IF($AL140="","",INDEX('04_調査結果'!$AK$5:$AK$404,$AL140))</f>
        <v/>
      </c>
      <c r="AI140">
        <f>IF($AL140="","",INDEX('04_調査結果'!$AH$5:$AH$404,$AL140)&amp;"")</f>
        <v/>
      </c>
      <c r="AJ140">
        <f>IF($AL140="","",INDEX('04_調査結果'!$AA$5:$AA$404,$AL140)&amp;"")</f>
        <v/>
      </c>
      <c r="AK140">
        <f>IF($AL140="","",INDEX('04_調査結果'!$AC$5:$AC$404,$AL140)&amp;"")</f>
        <v/>
      </c>
      <c r="AL140" s="34">
        <f>IFERROR(MATCH(ROW()-4,'04_調査結果'!$AZ$5:$AZ$404,0),"")</f>
        <v/>
      </c>
    </row>
    <row r="141">
      <c r="A141">
        <f>IF($AL141="","",'01_設定'!$C$36)</f>
        <v/>
      </c>
      <c r="B141">
        <f>IF($AL141="","",'01_設定'!$C$5)</f>
        <v/>
      </c>
      <c r="C141">
        <f>IF($AL141="","",'01_設定'!$C$6)</f>
        <v/>
      </c>
      <c r="D141" s="36">
        <f>IF($AL141="","",'01_設定'!$C$22)</f>
        <v/>
      </c>
      <c r="E141" s="36">
        <f>IF($AL141="","",'01_設定'!$C$23)</f>
        <v/>
      </c>
      <c r="F141">
        <f>IF($AL141="","",'01_設定'!$C$32)</f>
        <v/>
      </c>
      <c r="G141">
        <f>IF($AL141="","",ROW()-4)</f>
        <v/>
      </c>
      <c r="H141">
        <f>IF($AL141="","",INDEX('04_調査結果'!$AO$5:$AO$404,$AL141))</f>
        <v/>
      </c>
      <c r="I141">
        <f>IF($AL141="","",IFERROR(INDEX('M2_区分マスタ'!$I$5:$I$10,INDEX('04_調査結果'!$AP$5:$AP$404,$AL141)),""))</f>
        <v/>
      </c>
      <c r="J141">
        <f>IF($AL141="","",INDEX('04_調査結果'!$BE$5:$BE$404,$AL141)&amp;"")</f>
        <v/>
      </c>
      <c r="K141">
        <f>IF($AL141="","",INDEX('04_調査結果'!$F$5:$F$404,$AL141)&amp;"")</f>
        <v/>
      </c>
      <c r="L141">
        <f>IF($AL141="","",INDEX('04_調査結果'!$G$5:$G$404,$AL141)&amp;"")</f>
        <v/>
      </c>
      <c r="M141">
        <f>IF($AL141="","",INDEX('04_調査結果'!$AQ$5:$AQ$404,$AL141)&amp;"")</f>
        <v/>
      </c>
      <c r="N141">
        <f>IF($AL141="","",IFERROR(INDEX('M1_類型マスタ'!$B$5:$B$19,MATCH(M141,'M1_類型マスタ'!$A$5:$A$19,0)),""))</f>
        <v/>
      </c>
      <c r="O141">
        <f>IF($AL141="","",INDEX('04_調査結果'!$I$5:$I$404,$AL141)&amp;"")</f>
        <v/>
      </c>
      <c r="P141">
        <f>IF($AL141="","",INDEX('04_調査結果'!$J$5:$J$404,$AL141)&amp;"")</f>
        <v/>
      </c>
      <c r="Q141">
        <f>IF($AL141="","",INDEX('04_調査結果'!$K$5:$K$404,$AL141)&amp;"")</f>
        <v/>
      </c>
      <c r="R141">
        <f>IF($AL141="","",INDEX('04_調査結果'!$L$5:$L$404,$AL141)&amp;"")</f>
        <v/>
      </c>
      <c r="S141">
        <f>IF($AL141="","",INDEX('04_調査結果'!$M$5:$M$404,$AL141)&amp;"")</f>
        <v/>
      </c>
      <c r="T141" s="33">
        <f>IF($AL141="","",IF(INDEX('04_調査結果'!$AE$5:$AE$404,$AL141)&lt;&gt;"",INDEX('04_調査結果'!$AE$5:$AE$404,$AL141),INDEX('04_調査結果'!$AS$5:$AS$404,$AL141)))</f>
        <v/>
      </c>
      <c r="U141" s="33">
        <f>IF($AL141="","",IF(INDEX('04_調査結果'!$AF$5:$AF$404,$AL141)&lt;&gt;"",INDEX('04_調査結果'!$AF$5:$AF$404,$AL141),INDEX('04_調査結果'!$AT$5:$AT$404,$AL141)))</f>
        <v/>
      </c>
      <c r="V141" s="33">
        <f>IF($AL141="","",INDEX('04_調査結果'!$AI$5:$AI$404,$AL141))</f>
        <v/>
      </c>
      <c r="W141">
        <f>IF($AL141="","",INDEX('04_調査結果'!$AU$5:$AU$404,$AL141))</f>
        <v/>
      </c>
      <c r="X141" s="37">
        <f>IF($AL141="","",INDEX('04_調査結果'!$AW$5:$AW$404,$AL141))</f>
        <v/>
      </c>
      <c r="Y141" s="37">
        <f>IF($AL141="","",INDEX('04_調査結果'!$AX$5:$AX$404,$AL141))</f>
        <v/>
      </c>
      <c r="Z141">
        <f>IF($AL141="","",INDEX('04_調査結果'!$S$5:$S$404,$AL141)&amp;"")</f>
        <v/>
      </c>
      <c r="AA141">
        <f>IF($AL141="","",INDEX('04_調査結果'!$T$5:$T$404,$AL141))</f>
        <v/>
      </c>
      <c r="AB141">
        <f>IF($AL141="","",INDEX('04_調査結果'!$U$5:$U$404,$AL141))</f>
        <v/>
      </c>
      <c r="AC141">
        <f>IF($AL141="","",INDEX('04_調査結果'!$V$5:$V$404,$AL141))</f>
        <v/>
      </c>
      <c r="AD141">
        <f>IF($AL141="","",INDEX('04_調査結果'!$W$5:$W$404,$AL141))</f>
        <v/>
      </c>
      <c r="AE141">
        <f>IF($AL141="","",INDEX('04_調査結果'!$X$5:$X$404,$AL141))</f>
        <v/>
      </c>
      <c r="AF141">
        <f>IF($AL141="","",INDEX('04_調査結果'!$Y$5:$Y$404,$AL141))</f>
        <v/>
      </c>
      <c r="AG141">
        <f>IF($AL141="","",INDEX('04_調査結果'!$Z$5:$Z$404,$AL141))</f>
        <v/>
      </c>
      <c r="AH141">
        <f>IF($AL141="","",INDEX('04_調査結果'!$AK$5:$AK$404,$AL141))</f>
        <v/>
      </c>
      <c r="AI141">
        <f>IF($AL141="","",INDEX('04_調査結果'!$AH$5:$AH$404,$AL141)&amp;"")</f>
        <v/>
      </c>
      <c r="AJ141">
        <f>IF($AL141="","",INDEX('04_調査結果'!$AA$5:$AA$404,$AL141)&amp;"")</f>
        <v/>
      </c>
      <c r="AK141">
        <f>IF($AL141="","",INDEX('04_調査結果'!$AC$5:$AC$404,$AL141)&amp;"")</f>
        <v/>
      </c>
      <c r="AL141" s="34">
        <f>IFERROR(MATCH(ROW()-4,'04_調査結果'!$AZ$5:$AZ$404,0),"")</f>
        <v/>
      </c>
    </row>
    <row r="142">
      <c r="A142">
        <f>IF($AL142="","",'01_設定'!$C$36)</f>
        <v/>
      </c>
      <c r="B142">
        <f>IF($AL142="","",'01_設定'!$C$5)</f>
        <v/>
      </c>
      <c r="C142">
        <f>IF($AL142="","",'01_設定'!$C$6)</f>
        <v/>
      </c>
      <c r="D142" s="36">
        <f>IF($AL142="","",'01_設定'!$C$22)</f>
        <v/>
      </c>
      <c r="E142" s="36">
        <f>IF($AL142="","",'01_設定'!$C$23)</f>
        <v/>
      </c>
      <c r="F142">
        <f>IF($AL142="","",'01_設定'!$C$32)</f>
        <v/>
      </c>
      <c r="G142">
        <f>IF($AL142="","",ROW()-4)</f>
        <v/>
      </c>
      <c r="H142">
        <f>IF($AL142="","",INDEX('04_調査結果'!$AO$5:$AO$404,$AL142))</f>
        <v/>
      </c>
      <c r="I142">
        <f>IF($AL142="","",IFERROR(INDEX('M2_区分マスタ'!$I$5:$I$10,INDEX('04_調査結果'!$AP$5:$AP$404,$AL142)),""))</f>
        <v/>
      </c>
      <c r="J142">
        <f>IF($AL142="","",INDEX('04_調査結果'!$BE$5:$BE$404,$AL142)&amp;"")</f>
        <v/>
      </c>
      <c r="K142">
        <f>IF($AL142="","",INDEX('04_調査結果'!$F$5:$F$404,$AL142)&amp;"")</f>
        <v/>
      </c>
      <c r="L142">
        <f>IF($AL142="","",INDEX('04_調査結果'!$G$5:$G$404,$AL142)&amp;"")</f>
        <v/>
      </c>
      <c r="M142">
        <f>IF($AL142="","",INDEX('04_調査結果'!$AQ$5:$AQ$404,$AL142)&amp;"")</f>
        <v/>
      </c>
      <c r="N142">
        <f>IF($AL142="","",IFERROR(INDEX('M1_類型マスタ'!$B$5:$B$19,MATCH(M142,'M1_類型マスタ'!$A$5:$A$19,0)),""))</f>
        <v/>
      </c>
      <c r="O142">
        <f>IF($AL142="","",INDEX('04_調査結果'!$I$5:$I$404,$AL142)&amp;"")</f>
        <v/>
      </c>
      <c r="P142">
        <f>IF($AL142="","",INDEX('04_調査結果'!$J$5:$J$404,$AL142)&amp;"")</f>
        <v/>
      </c>
      <c r="Q142">
        <f>IF($AL142="","",INDEX('04_調査結果'!$K$5:$K$404,$AL142)&amp;"")</f>
        <v/>
      </c>
      <c r="R142">
        <f>IF($AL142="","",INDEX('04_調査結果'!$L$5:$L$404,$AL142)&amp;"")</f>
        <v/>
      </c>
      <c r="S142">
        <f>IF($AL142="","",INDEX('04_調査結果'!$M$5:$M$404,$AL142)&amp;"")</f>
        <v/>
      </c>
      <c r="T142" s="33">
        <f>IF($AL142="","",IF(INDEX('04_調査結果'!$AE$5:$AE$404,$AL142)&lt;&gt;"",INDEX('04_調査結果'!$AE$5:$AE$404,$AL142),INDEX('04_調査結果'!$AS$5:$AS$404,$AL142)))</f>
        <v/>
      </c>
      <c r="U142" s="33">
        <f>IF($AL142="","",IF(INDEX('04_調査結果'!$AF$5:$AF$404,$AL142)&lt;&gt;"",INDEX('04_調査結果'!$AF$5:$AF$404,$AL142),INDEX('04_調査結果'!$AT$5:$AT$404,$AL142)))</f>
        <v/>
      </c>
      <c r="V142" s="33">
        <f>IF($AL142="","",INDEX('04_調査結果'!$AI$5:$AI$404,$AL142))</f>
        <v/>
      </c>
      <c r="W142">
        <f>IF($AL142="","",INDEX('04_調査結果'!$AU$5:$AU$404,$AL142))</f>
        <v/>
      </c>
      <c r="X142" s="37">
        <f>IF($AL142="","",INDEX('04_調査結果'!$AW$5:$AW$404,$AL142))</f>
        <v/>
      </c>
      <c r="Y142" s="37">
        <f>IF($AL142="","",INDEX('04_調査結果'!$AX$5:$AX$404,$AL142))</f>
        <v/>
      </c>
      <c r="Z142">
        <f>IF($AL142="","",INDEX('04_調査結果'!$S$5:$S$404,$AL142)&amp;"")</f>
        <v/>
      </c>
      <c r="AA142">
        <f>IF($AL142="","",INDEX('04_調査結果'!$T$5:$T$404,$AL142))</f>
        <v/>
      </c>
      <c r="AB142">
        <f>IF($AL142="","",INDEX('04_調査結果'!$U$5:$U$404,$AL142))</f>
        <v/>
      </c>
      <c r="AC142">
        <f>IF($AL142="","",INDEX('04_調査結果'!$V$5:$V$404,$AL142))</f>
        <v/>
      </c>
      <c r="AD142">
        <f>IF($AL142="","",INDEX('04_調査結果'!$W$5:$W$404,$AL142))</f>
        <v/>
      </c>
      <c r="AE142">
        <f>IF($AL142="","",INDEX('04_調査結果'!$X$5:$X$404,$AL142))</f>
        <v/>
      </c>
      <c r="AF142">
        <f>IF($AL142="","",INDEX('04_調査結果'!$Y$5:$Y$404,$AL142))</f>
        <v/>
      </c>
      <c r="AG142">
        <f>IF($AL142="","",INDEX('04_調査結果'!$Z$5:$Z$404,$AL142))</f>
        <v/>
      </c>
      <c r="AH142">
        <f>IF($AL142="","",INDEX('04_調査結果'!$AK$5:$AK$404,$AL142))</f>
        <v/>
      </c>
      <c r="AI142">
        <f>IF($AL142="","",INDEX('04_調査結果'!$AH$5:$AH$404,$AL142)&amp;"")</f>
        <v/>
      </c>
      <c r="AJ142">
        <f>IF($AL142="","",INDEX('04_調査結果'!$AA$5:$AA$404,$AL142)&amp;"")</f>
        <v/>
      </c>
      <c r="AK142">
        <f>IF($AL142="","",INDEX('04_調査結果'!$AC$5:$AC$404,$AL142)&amp;"")</f>
        <v/>
      </c>
      <c r="AL142" s="34">
        <f>IFERROR(MATCH(ROW()-4,'04_調査結果'!$AZ$5:$AZ$404,0),"")</f>
        <v/>
      </c>
    </row>
    <row r="143">
      <c r="A143">
        <f>IF($AL143="","",'01_設定'!$C$36)</f>
        <v/>
      </c>
      <c r="B143">
        <f>IF($AL143="","",'01_設定'!$C$5)</f>
        <v/>
      </c>
      <c r="C143">
        <f>IF($AL143="","",'01_設定'!$C$6)</f>
        <v/>
      </c>
      <c r="D143" s="36">
        <f>IF($AL143="","",'01_設定'!$C$22)</f>
        <v/>
      </c>
      <c r="E143" s="36">
        <f>IF($AL143="","",'01_設定'!$C$23)</f>
        <v/>
      </c>
      <c r="F143">
        <f>IF($AL143="","",'01_設定'!$C$32)</f>
        <v/>
      </c>
      <c r="G143">
        <f>IF($AL143="","",ROW()-4)</f>
        <v/>
      </c>
      <c r="H143">
        <f>IF($AL143="","",INDEX('04_調査結果'!$AO$5:$AO$404,$AL143))</f>
        <v/>
      </c>
      <c r="I143">
        <f>IF($AL143="","",IFERROR(INDEX('M2_区分マスタ'!$I$5:$I$10,INDEX('04_調査結果'!$AP$5:$AP$404,$AL143)),""))</f>
        <v/>
      </c>
      <c r="J143">
        <f>IF($AL143="","",INDEX('04_調査結果'!$BE$5:$BE$404,$AL143)&amp;"")</f>
        <v/>
      </c>
      <c r="K143">
        <f>IF($AL143="","",INDEX('04_調査結果'!$F$5:$F$404,$AL143)&amp;"")</f>
        <v/>
      </c>
      <c r="L143">
        <f>IF($AL143="","",INDEX('04_調査結果'!$G$5:$G$404,$AL143)&amp;"")</f>
        <v/>
      </c>
      <c r="M143">
        <f>IF($AL143="","",INDEX('04_調査結果'!$AQ$5:$AQ$404,$AL143)&amp;"")</f>
        <v/>
      </c>
      <c r="N143">
        <f>IF($AL143="","",IFERROR(INDEX('M1_類型マスタ'!$B$5:$B$19,MATCH(M143,'M1_類型マスタ'!$A$5:$A$19,0)),""))</f>
        <v/>
      </c>
      <c r="O143">
        <f>IF($AL143="","",INDEX('04_調査結果'!$I$5:$I$404,$AL143)&amp;"")</f>
        <v/>
      </c>
      <c r="P143">
        <f>IF($AL143="","",INDEX('04_調査結果'!$J$5:$J$404,$AL143)&amp;"")</f>
        <v/>
      </c>
      <c r="Q143">
        <f>IF($AL143="","",INDEX('04_調査結果'!$K$5:$K$404,$AL143)&amp;"")</f>
        <v/>
      </c>
      <c r="R143">
        <f>IF($AL143="","",INDEX('04_調査結果'!$L$5:$L$404,$AL143)&amp;"")</f>
        <v/>
      </c>
      <c r="S143">
        <f>IF($AL143="","",INDEX('04_調査結果'!$M$5:$M$404,$AL143)&amp;"")</f>
        <v/>
      </c>
      <c r="T143" s="33">
        <f>IF($AL143="","",IF(INDEX('04_調査結果'!$AE$5:$AE$404,$AL143)&lt;&gt;"",INDEX('04_調査結果'!$AE$5:$AE$404,$AL143),INDEX('04_調査結果'!$AS$5:$AS$404,$AL143)))</f>
        <v/>
      </c>
      <c r="U143" s="33">
        <f>IF($AL143="","",IF(INDEX('04_調査結果'!$AF$5:$AF$404,$AL143)&lt;&gt;"",INDEX('04_調査結果'!$AF$5:$AF$404,$AL143),INDEX('04_調査結果'!$AT$5:$AT$404,$AL143)))</f>
        <v/>
      </c>
      <c r="V143" s="33">
        <f>IF($AL143="","",INDEX('04_調査結果'!$AI$5:$AI$404,$AL143))</f>
        <v/>
      </c>
      <c r="W143">
        <f>IF($AL143="","",INDEX('04_調査結果'!$AU$5:$AU$404,$AL143))</f>
        <v/>
      </c>
      <c r="X143" s="37">
        <f>IF($AL143="","",INDEX('04_調査結果'!$AW$5:$AW$404,$AL143))</f>
        <v/>
      </c>
      <c r="Y143" s="37">
        <f>IF($AL143="","",INDEX('04_調査結果'!$AX$5:$AX$404,$AL143))</f>
        <v/>
      </c>
      <c r="Z143">
        <f>IF($AL143="","",INDEX('04_調査結果'!$S$5:$S$404,$AL143)&amp;"")</f>
        <v/>
      </c>
      <c r="AA143">
        <f>IF($AL143="","",INDEX('04_調査結果'!$T$5:$T$404,$AL143))</f>
        <v/>
      </c>
      <c r="AB143">
        <f>IF($AL143="","",INDEX('04_調査結果'!$U$5:$U$404,$AL143))</f>
        <v/>
      </c>
      <c r="AC143">
        <f>IF($AL143="","",INDEX('04_調査結果'!$V$5:$V$404,$AL143))</f>
        <v/>
      </c>
      <c r="AD143">
        <f>IF($AL143="","",INDEX('04_調査結果'!$W$5:$W$404,$AL143))</f>
        <v/>
      </c>
      <c r="AE143">
        <f>IF($AL143="","",INDEX('04_調査結果'!$X$5:$X$404,$AL143))</f>
        <v/>
      </c>
      <c r="AF143">
        <f>IF($AL143="","",INDEX('04_調査結果'!$Y$5:$Y$404,$AL143))</f>
        <v/>
      </c>
      <c r="AG143">
        <f>IF($AL143="","",INDEX('04_調査結果'!$Z$5:$Z$404,$AL143))</f>
        <v/>
      </c>
      <c r="AH143">
        <f>IF($AL143="","",INDEX('04_調査結果'!$AK$5:$AK$404,$AL143))</f>
        <v/>
      </c>
      <c r="AI143">
        <f>IF($AL143="","",INDEX('04_調査結果'!$AH$5:$AH$404,$AL143)&amp;"")</f>
        <v/>
      </c>
      <c r="AJ143">
        <f>IF($AL143="","",INDEX('04_調査結果'!$AA$5:$AA$404,$AL143)&amp;"")</f>
        <v/>
      </c>
      <c r="AK143">
        <f>IF($AL143="","",INDEX('04_調査結果'!$AC$5:$AC$404,$AL143)&amp;"")</f>
        <v/>
      </c>
      <c r="AL143" s="34">
        <f>IFERROR(MATCH(ROW()-4,'04_調査結果'!$AZ$5:$AZ$404,0),"")</f>
        <v/>
      </c>
    </row>
    <row r="144">
      <c r="A144">
        <f>IF($AL144="","",'01_設定'!$C$36)</f>
        <v/>
      </c>
      <c r="B144">
        <f>IF($AL144="","",'01_設定'!$C$5)</f>
        <v/>
      </c>
      <c r="C144">
        <f>IF($AL144="","",'01_設定'!$C$6)</f>
        <v/>
      </c>
      <c r="D144" s="36">
        <f>IF($AL144="","",'01_設定'!$C$22)</f>
        <v/>
      </c>
      <c r="E144" s="36">
        <f>IF($AL144="","",'01_設定'!$C$23)</f>
        <v/>
      </c>
      <c r="F144">
        <f>IF($AL144="","",'01_設定'!$C$32)</f>
        <v/>
      </c>
      <c r="G144">
        <f>IF($AL144="","",ROW()-4)</f>
        <v/>
      </c>
      <c r="H144">
        <f>IF($AL144="","",INDEX('04_調査結果'!$AO$5:$AO$404,$AL144))</f>
        <v/>
      </c>
      <c r="I144">
        <f>IF($AL144="","",IFERROR(INDEX('M2_区分マスタ'!$I$5:$I$10,INDEX('04_調査結果'!$AP$5:$AP$404,$AL144)),""))</f>
        <v/>
      </c>
      <c r="J144">
        <f>IF($AL144="","",INDEX('04_調査結果'!$BE$5:$BE$404,$AL144)&amp;"")</f>
        <v/>
      </c>
      <c r="K144">
        <f>IF($AL144="","",INDEX('04_調査結果'!$F$5:$F$404,$AL144)&amp;"")</f>
        <v/>
      </c>
      <c r="L144">
        <f>IF($AL144="","",INDEX('04_調査結果'!$G$5:$G$404,$AL144)&amp;"")</f>
        <v/>
      </c>
      <c r="M144">
        <f>IF($AL144="","",INDEX('04_調査結果'!$AQ$5:$AQ$404,$AL144)&amp;"")</f>
        <v/>
      </c>
      <c r="N144">
        <f>IF($AL144="","",IFERROR(INDEX('M1_類型マスタ'!$B$5:$B$19,MATCH(M144,'M1_類型マスタ'!$A$5:$A$19,0)),""))</f>
        <v/>
      </c>
      <c r="O144">
        <f>IF($AL144="","",INDEX('04_調査結果'!$I$5:$I$404,$AL144)&amp;"")</f>
        <v/>
      </c>
      <c r="P144">
        <f>IF($AL144="","",INDEX('04_調査結果'!$J$5:$J$404,$AL144)&amp;"")</f>
        <v/>
      </c>
      <c r="Q144">
        <f>IF($AL144="","",INDEX('04_調査結果'!$K$5:$K$404,$AL144)&amp;"")</f>
        <v/>
      </c>
      <c r="R144">
        <f>IF($AL144="","",INDEX('04_調査結果'!$L$5:$L$404,$AL144)&amp;"")</f>
        <v/>
      </c>
      <c r="S144">
        <f>IF($AL144="","",INDEX('04_調査結果'!$M$5:$M$404,$AL144)&amp;"")</f>
        <v/>
      </c>
      <c r="T144" s="33">
        <f>IF($AL144="","",IF(INDEX('04_調査結果'!$AE$5:$AE$404,$AL144)&lt;&gt;"",INDEX('04_調査結果'!$AE$5:$AE$404,$AL144),INDEX('04_調査結果'!$AS$5:$AS$404,$AL144)))</f>
        <v/>
      </c>
      <c r="U144" s="33">
        <f>IF($AL144="","",IF(INDEX('04_調査結果'!$AF$5:$AF$404,$AL144)&lt;&gt;"",INDEX('04_調査結果'!$AF$5:$AF$404,$AL144),INDEX('04_調査結果'!$AT$5:$AT$404,$AL144)))</f>
        <v/>
      </c>
      <c r="V144" s="33">
        <f>IF($AL144="","",INDEX('04_調査結果'!$AI$5:$AI$404,$AL144))</f>
        <v/>
      </c>
      <c r="W144">
        <f>IF($AL144="","",INDEX('04_調査結果'!$AU$5:$AU$404,$AL144))</f>
        <v/>
      </c>
      <c r="X144" s="37">
        <f>IF($AL144="","",INDEX('04_調査結果'!$AW$5:$AW$404,$AL144))</f>
        <v/>
      </c>
      <c r="Y144" s="37">
        <f>IF($AL144="","",INDEX('04_調査結果'!$AX$5:$AX$404,$AL144))</f>
        <v/>
      </c>
      <c r="Z144">
        <f>IF($AL144="","",INDEX('04_調査結果'!$S$5:$S$404,$AL144)&amp;"")</f>
        <v/>
      </c>
      <c r="AA144">
        <f>IF($AL144="","",INDEX('04_調査結果'!$T$5:$T$404,$AL144))</f>
        <v/>
      </c>
      <c r="AB144">
        <f>IF($AL144="","",INDEX('04_調査結果'!$U$5:$U$404,$AL144))</f>
        <v/>
      </c>
      <c r="AC144">
        <f>IF($AL144="","",INDEX('04_調査結果'!$V$5:$V$404,$AL144))</f>
        <v/>
      </c>
      <c r="AD144">
        <f>IF($AL144="","",INDEX('04_調査結果'!$W$5:$W$404,$AL144))</f>
        <v/>
      </c>
      <c r="AE144">
        <f>IF($AL144="","",INDEX('04_調査結果'!$X$5:$X$404,$AL144))</f>
        <v/>
      </c>
      <c r="AF144">
        <f>IF($AL144="","",INDEX('04_調査結果'!$Y$5:$Y$404,$AL144))</f>
        <v/>
      </c>
      <c r="AG144">
        <f>IF($AL144="","",INDEX('04_調査結果'!$Z$5:$Z$404,$AL144))</f>
        <v/>
      </c>
      <c r="AH144">
        <f>IF($AL144="","",INDEX('04_調査結果'!$AK$5:$AK$404,$AL144))</f>
        <v/>
      </c>
      <c r="AI144">
        <f>IF($AL144="","",INDEX('04_調査結果'!$AH$5:$AH$404,$AL144)&amp;"")</f>
        <v/>
      </c>
      <c r="AJ144">
        <f>IF($AL144="","",INDEX('04_調査結果'!$AA$5:$AA$404,$AL144)&amp;"")</f>
        <v/>
      </c>
      <c r="AK144">
        <f>IF($AL144="","",INDEX('04_調査結果'!$AC$5:$AC$404,$AL144)&amp;"")</f>
        <v/>
      </c>
      <c r="AL144" s="34">
        <f>IFERROR(MATCH(ROW()-4,'04_調査結果'!$AZ$5:$AZ$404,0),"")</f>
        <v/>
      </c>
    </row>
    <row r="145">
      <c r="A145">
        <f>IF($AL145="","",'01_設定'!$C$36)</f>
        <v/>
      </c>
      <c r="B145">
        <f>IF($AL145="","",'01_設定'!$C$5)</f>
        <v/>
      </c>
      <c r="C145">
        <f>IF($AL145="","",'01_設定'!$C$6)</f>
        <v/>
      </c>
      <c r="D145" s="36">
        <f>IF($AL145="","",'01_設定'!$C$22)</f>
        <v/>
      </c>
      <c r="E145" s="36">
        <f>IF($AL145="","",'01_設定'!$C$23)</f>
        <v/>
      </c>
      <c r="F145">
        <f>IF($AL145="","",'01_設定'!$C$32)</f>
        <v/>
      </c>
      <c r="G145">
        <f>IF($AL145="","",ROW()-4)</f>
        <v/>
      </c>
      <c r="H145">
        <f>IF($AL145="","",INDEX('04_調査結果'!$AO$5:$AO$404,$AL145))</f>
        <v/>
      </c>
      <c r="I145">
        <f>IF($AL145="","",IFERROR(INDEX('M2_区分マスタ'!$I$5:$I$10,INDEX('04_調査結果'!$AP$5:$AP$404,$AL145)),""))</f>
        <v/>
      </c>
      <c r="J145">
        <f>IF($AL145="","",INDEX('04_調査結果'!$BE$5:$BE$404,$AL145)&amp;"")</f>
        <v/>
      </c>
      <c r="K145">
        <f>IF($AL145="","",INDEX('04_調査結果'!$F$5:$F$404,$AL145)&amp;"")</f>
        <v/>
      </c>
      <c r="L145">
        <f>IF($AL145="","",INDEX('04_調査結果'!$G$5:$G$404,$AL145)&amp;"")</f>
        <v/>
      </c>
      <c r="M145">
        <f>IF($AL145="","",INDEX('04_調査結果'!$AQ$5:$AQ$404,$AL145)&amp;"")</f>
        <v/>
      </c>
      <c r="N145">
        <f>IF($AL145="","",IFERROR(INDEX('M1_類型マスタ'!$B$5:$B$19,MATCH(M145,'M1_類型マスタ'!$A$5:$A$19,0)),""))</f>
        <v/>
      </c>
      <c r="O145">
        <f>IF($AL145="","",INDEX('04_調査結果'!$I$5:$I$404,$AL145)&amp;"")</f>
        <v/>
      </c>
      <c r="P145">
        <f>IF($AL145="","",INDEX('04_調査結果'!$J$5:$J$404,$AL145)&amp;"")</f>
        <v/>
      </c>
      <c r="Q145">
        <f>IF($AL145="","",INDEX('04_調査結果'!$K$5:$K$404,$AL145)&amp;"")</f>
        <v/>
      </c>
      <c r="R145">
        <f>IF($AL145="","",INDEX('04_調査結果'!$L$5:$L$404,$AL145)&amp;"")</f>
        <v/>
      </c>
      <c r="S145">
        <f>IF($AL145="","",INDEX('04_調査結果'!$M$5:$M$404,$AL145)&amp;"")</f>
        <v/>
      </c>
      <c r="T145" s="33">
        <f>IF($AL145="","",IF(INDEX('04_調査結果'!$AE$5:$AE$404,$AL145)&lt;&gt;"",INDEX('04_調査結果'!$AE$5:$AE$404,$AL145),INDEX('04_調査結果'!$AS$5:$AS$404,$AL145)))</f>
        <v/>
      </c>
      <c r="U145" s="33">
        <f>IF($AL145="","",IF(INDEX('04_調査結果'!$AF$5:$AF$404,$AL145)&lt;&gt;"",INDEX('04_調査結果'!$AF$5:$AF$404,$AL145),INDEX('04_調査結果'!$AT$5:$AT$404,$AL145)))</f>
        <v/>
      </c>
      <c r="V145" s="33">
        <f>IF($AL145="","",INDEX('04_調査結果'!$AI$5:$AI$404,$AL145))</f>
        <v/>
      </c>
      <c r="W145">
        <f>IF($AL145="","",INDEX('04_調査結果'!$AU$5:$AU$404,$AL145))</f>
        <v/>
      </c>
      <c r="X145" s="37">
        <f>IF($AL145="","",INDEX('04_調査結果'!$AW$5:$AW$404,$AL145))</f>
        <v/>
      </c>
      <c r="Y145" s="37">
        <f>IF($AL145="","",INDEX('04_調査結果'!$AX$5:$AX$404,$AL145))</f>
        <v/>
      </c>
      <c r="Z145">
        <f>IF($AL145="","",INDEX('04_調査結果'!$S$5:$S$404,$AL145)&amp;"")</f>
        <v/>
      </c>
      <c r="AA145">
        <f>IF($AL145="","",INDEX('04_調査結果'!$T$5:$T$404,$AL145))</f>
        <v/>
      </c>
      <c r="AB145">
        <f>IF($AL145="","",INDEX('04_調査結果'!$U$5:$U$404,$AL145))</f>
        <v/>
      </c>
      <c r="AC145">
        <f>IF($AL145="","",INDEX('04_調査結果'!$V$5:$V$404,$AL145))</f>
        <v/>
      </c>
      <c r="AD145">
        <f>IF($AL145="","",INDEX('04_調査結果'!$W$5:$W$404,$AL145))</f>
        <v/>
      </c>
      <c r="AE145">
        <f>IF($AL145="","",INDEX('04_調査結果'!$X$5:$X$404,$AL145))</f>
        <v/>
      </c>
      <c r="AF145">
        <f>IF($AL145="","",INDEX('04_調査結果'!$Y$5:$Y$404,$AL145))</f>
        <v/>
      </c>
      <c r="AG145">
        <f>IF($AL145="","",INDEX('04_調査結果'!$Z$5:$Z$404,$AL145))</f>
        <v/>
      </c>
      <c r="AH145">
        <f>IF($AL145="","",INDEX('04_調査結果'!$AK$5:$AK$404,$AL145))</f>
        <v/>
      </c>
      <c r="AI145">
        <f>IF($AL145="","",INDEX('04_調査結果'!$AH$5:$AH$404,$AL145)&amp;"")</f>
        <v/>
      </c>
      <c r="AJ145">
        <f>IF($AL145="","",INDEX('04_調査結果'!$AA$5:$AA$404,$AL145)&amp;"")</f>
        <v/>
      </c>
      <c r="AK145">
        <f>IF($AL145="","",INDEX('04_調査結果'!$AC$5:$AC$404,$AL145)&amp;"")</f>
        <v/>
      </c>
      <c r="AL145" s="34">
        <f>IFERROR(MATCH(ROW()-4,'04_調査結果'!$AZ$5:$AZ$404,0),"")</f>
        <v/>
      </c>
    </row>
    <row r="146">
      <c r="A146">
        <f>IF($AL146="","",'01_設定'!$C$36)</f>
        <v/>
      </c>
      <c r="B146">
        <f>IF($AL146="","",'01_設定'!$C$5)</f>
        <v/>
      </c>
      <c r="C146">
        <f>IF($AL146="","",'01_設定'!$C$6)</f>
        <v/>
      </c>
      <c r="D146" s="36">
        <f>IF($AL146="","",'01_設定'!$C$22)</f>
        <v/>
      </c>
      <c r="E146" s="36">
        <f>IF($AL146="","",'01_設定'!$C$23)</f>
        <v/>
      </c>
      <c r="F146">
        <f>IF($AL146="","",'01_設定'!$C$32)</f>
        <v/>
      </c>
      <c r="G146">
        <f>IF($AL146="","",ROW()-4)</f>
        <v/>
      </c>
      <c r="H146">
        <f>IF($AL146="","",INDEX('04_調査結果'!$AO$5:$AO$404,$AL146))</f>
        <v/>
      </c>
      <c r="I146">
        <f>IF($AL146="","",IFERROR(INDEX('M2_区分マスタ'!$I$5:$I$10,INDEX('04_調査結果'!$AP$5:$AP$404,$AL146)),""))</f>
        <v/>
      </c>
      <c r="J146">
        <f>IF($AL146="","",INDEX('04_調査結果'!$BE$5:$BE$404,$AL146)&amp;"")</f>
        <v/>
      </c>
      <c r="K146">
        <f>IF($AL146="","",INDEX('04_調査結果'!$F$5:$F$404,$AL146)&amp;"")</f>
        <v/>
      </c>
      <c r="L146">
        <f>IF($AL146="","",INDEX('04_調査結果'!$G$5:$G$404,$AL146)&amp;"")</f>
        <v/>
      </c>
      <c r="M146">
        <f>IF($AL146="","",INDEX('04_調査結果'!$AQ$5:$AQ$404,$AL146)&amp;"")</f>
        <v/>
      </c>
      <c r="N146">
        <f>IF($AL146="","",IFERROR(INDEX('M1_類型マスタ'!$B$5:$B$19,MATCH(M146,'M1_類型マスタ'!$A$5:$A$19,0)),""))</f>
        <v/>
      </c>
      <c r="O146">
        <f>IF($AL146="","",INDEX('04_調査結果'!$I$5:$I$404,$AL146)&amp;"")</f>
        <v/>
      </c>
      <c r="P146">
        <f>IF($AL146="","",INDEX('04_調査結果'!$J$5:$J$404,$AL146)&amp;"")</f>
        <v/>
      </c>
      <c r="Q146">
        <f>IF($AL146="","",INDEX('04_調査結果'!$K$5:$K$404,$AL146)&amp;"")</f>
        <v/>
      </c>
      <c r="R146">
        <f>IF($AL146="","",INDEX('04_調査結果'!$L$5:$L$404,$AL146)&amp;"")</f>
        <v/>
      </c>
      <c r="S146">
        <f>IF($AL146="","",INDEX('04_調査結果'!$M$5:$M$404,$AL146)&amp;"")</f>
        <v/>
      </c>
      <c r="T146" s="33">
        <f>IF($AL146="","",IF(INDEX('04_調査結果'!$AE$5:$AE$404,$AL146)&lt;&gt;"",INDEX('04_調査結果'!$AE$5:$AE$404,$AL146),INDEX('04_調査結果'!$AS$5:$AS$404,$AL146)))</f>
        <v/>
      </c>
      <c r="U146" s="33">
        <f>IF($AL146="","",IF(INDEX('04_調査結果'!$AF$5:$AF$404,$AL146)&lt;&gt;"",INDEX('04_調査結果'!$AF$5:$AF$404,$AL146),INDEX('04_調査結果'!$AT$5:$AT$404,$AL146)))</f>
        <v/>
      </c>
      <c r="V146" s="33">
        <f>IF($AL146="","",INDEX('04_調査結果'!$AI$5:$AI$404,$AL146))</f>
        <v/>
      </c>
      <c r="W146">
        <f>IF($AL146="","",INDEX('04_調査結果'!$AU$5:$AU$404,$AL146))</f>
        <v/>
      </c>
      <c r="X146" s="37">
        <f>IF($AL146="","",INDEX('04_調査結果'!$AW$5:$AW$404,$AL146))</f>
        <v/>
      </c>
      <c r="Y146" s="37">
        <f>IF($AL146="","",INDEX('04_調査結果'!$AX$5:$AX$404,$AL146))</f>
        <v/>
      </c>
      <c r="Z146">
        <f>IF($AL146="","",INDEX('04_調査結果'!$S$5:$S$404,$AL146)&amp;"")</f>
        <v/>
      </c>
      <c r="AA146">
        <f>IF($AL146="","",INDEX('04_調査結果'!$T$5:$T$404,$AL146))</f>
        <v/>
      </c>
      <c r="AB146">
        <f>IF($AL146="","",INDEX('04_調査結果'!$U$5:$U$404,$AL146))</f>
        <v/>
      </c>
      <c r="AC146">
        <f>IF($AL146="","",INDEX('04_調査結果'!$V$5:$V$404,$AL146))</f>
        <v/>
      </c>
      <c r="AD146">
        <f>IF($AL146="","",INDEX('04_調査結果'!$W$5:$W$404,$AL146))</f>
        <v/>
      </c>
      <c r="AE146">
        <f>IF($AL146="","",INDEX('04_調査結果'!$X$5:$X$404,$AL146))</f>
        <v/>
      </c>
      <c r="AF146">
        <f>IF($AL146="","",INDEX('04_調査結果'!$Y$5:$Y$404,$AL146))</f>
        <v/>
      </c>
      <c r="AG146">
        <f>IF($AL146="","",INDEX('04_調査結果'!$Z$5:$Z$404,$AL146))</f>
        <v/>
      </c>
      <c r="AH146">
        <f>IF($AL146="","",INDEX('04_調査結果'!$AK$5:$AK$404,$AL146))</f>
        <v/>
      </c>
      <c r="AI146">
        <f>IF($AL146="","",INDEX('04_調査結果'!$AH$5:$AH$404,$AL146)&amp;"")</f>
        <v/>
      </c>
      <c r="AJ146">
        <f>IF($AL146="","",INDEX('04_調査結果'!$AA$5:$AA$404,$AL146)&amp;"")</f>
        <v/>
      </c>
      <c r="AK146">
        <f>IF($AL146="","",INDEX('04_調査結果'!$AC$5:$AC$404,$AL146)&amp;"")</f>
        <v/>
      </c>
      <c r="AL146" s="34">
        <f>IFERROR(MATCH(ROW()-4,'04_調査結果'!$AZ$5:$AZ$404,0),"")</f>
        <v/>
      </c>
    </row>
    <row r="147">
      <c r="A147">
        <f>IF($AL147="","",'01_設定'!$C$36)</f>
        <v/>
      </c>
      <c r="B147">
        <f>IF($AL147="","",'01_設定'!$C$5)</f>
        <v/>
      </c>
      <c r="C147">
        <f>IF($AL147="","",'01_設定'!$C$6)</f>
        <v/>
      </c>
      <c r="D147" s="36">
        <f>IF($AL147="","",'01_設定'!$C$22)</f>
        <v/>
      </c>
      <c r="E147" s="36">
        <f>IF($AL147="","",'01_設定'!$C$23)</f>
        <v/>
      </c>
      <c r="F147">
        <f>IF($AL147="","",'01_設定'!$C$32)</f>
        <v/>
      </c>
      <c r="G147">
        <f>IF($AL147="","",ROW()-4)</f>
        <v/>
      </c>
      <c r="H147">
        <f>IF($AL147="","",INDEX('04_調査結果'!$AO$5:$AO$404,$AL147))</f>
        <v/>
      </c>
      <c r="I147">
        <f>IF($AL147="","",IFERROR(INDEX('M2_区分マスタ'!$I$5:$I$10,INDEX('04_調査結果'!$AP$5:$AP$404,$AL147)),""))</f>
        <v/>
      </c>
      <c r="J147">
        <f>IF($AL147="","",INDEX('04_調査結果'!$BE$5:$BE$404,$AL147)&amp;"")</f>
        <v/>
      </c>
      <c r="K147">
        <f>IF($AL147="","",INDEX('04_調査結果'!$F$5:$F$404,$AL147)&amp;"")</f>
        <v/>
      </c>
      <c r="L147">
        <f>IF($AL147="","",INDEX('04_調査結果'!$G$5:$G$404,$AL147)&amp;"")</f>
        <v/>
      </c>
      <c r="M147">
        <f>IF($AL147="","",INDEX('04_調査結果'!$AQ$5:$AQ$404,$AL147)&amp;"")</f>
        <v/>
      </c>
      <c r="N147">
        <f>IF($AL147="","",IFERROR(INDEX('M1_類型マスタ'!$B$5:$B$19,MATCH(M147,'M1_類型マスタ'!$A$5:$A$19,0)),""))</f>
        <v/>
      </c>
      <c r="O147">
        <f>IF($AL147="","",INDEX('04_調査結果'!$I$5:$I$404,$AL147)&amp;"")</f>
        <v/>
      </c>
      <c r="P147">
        <f>IF($AL147="","",INDEX('04_調査結果'!$J$5:$J$404,$AL147)&amp;"")</f>
        <v/>
      </c>
      <c r="Q147">
        <f>IF($AL147="","",INDEX('04_調査結果'!$K$5:$K$404,$AL147)&amp;"")</f>
        <v/>
      </c>
      <c r="R147">
        <f>IF($AL147="","",INDEX('04_調査結果'!$L$5:$L$404,$AL147)&amp;"")</f>
        <v/>
      </c>
      <c r="S147">
        <f>IF($AL147="","",INDEX('04_調査結果'!$M$5:$M$404,$AL147)&amp;"")</f>
        <v/>
      </c>
      <c r="T147" s="33">
        <f>IF($AL147="","",IF(INDEX('04_調査結果'!$AE$5:$AE$404,$AL147)&lt;&gt;"",INDEX('04_調査結果'!$AE$5:$AE$404,$AL147),INDEX('04_調査結果'!$AS$5:$AS$404,$AL147)))</f>
        <v/>
      </c>
      <c r="U147" s="33">
        <f>IF($AL147="","",IF(INDEX('04_調査結果'!$AF$5:$AF$404,$AL147)&lt;&gt;"",INDEX('04_調査結果'!$AF$5:$AF$404,$AL147),INDEX('04_調査結果'!$AT$5:$AT$404,$AL147)))</f>
        <v/>
      </c>
      <c r="V147" s="33">
        <f>IF($AL147="","",INDEX('04_調査結果'!$AI$5:$AI$404,$AL147))</f>
        <v/>
      </c>
      <c r="W147">
        <f>IF($AL147="","",INDEX('04_調査結果'!$AU$5:$AU$404,$AL147))</f>
        <v/>
      </c>
      <c r="X147" s="37">
        <f>IF($AL147="","",INDEX('04_調査結果'!$AW$5:$AW$404,$AL147))</f>
        <v/>
      </c>
      <c r="Y147" s="37">
        <f>IF($AL147="","",INDEX('04_調査結果'!$AX$5:$AX$404,$AL147))</f>
        <v/>
      </c>
      <c r="Z147">
        <f>IF($AL147="","",INDEX('04_調査結果'!$S$5:$S$404,$AL147)&amp;"")</f>
        <v/>
      </c>
      <c r="AA147">
        <f>IF($AL147="","",INDEX('04_調査結果'!$T$5:$T$404,$AL147))</f>
        <v/>
      </c>
      <c r="AB147">
        <f>IF($AL147="","",INDEX('04_調査結果'!$U$5:$U$404,$AL147))</f>
        <v/>
      </c>
      <c r="AC147">
        <f>IF($AL147="","",INDEX('04_調査結果'!$V$5:$V$404,$AL147))</f>
        <v/>
      </c>
      <c r="AD147">
        <f>IF($AL147="","",INDEX('04_調査結果'!$W$5:$W$404,$AL147))</f>
        <v/>
      </c>
      <c r="AE147">
        <f>IF($AL147="","",INDEX('04_調査結果'!$X$5:$X$404,$AL147))</f>
        <v/>
      </c>
      <c r="AF147">
        <f>IF($AL147="","",INDEX('04_調査結果'!$Y$5:$Y$404,$AL147))</f>
        <v/>
      </c>
      <c r="AG147">
        <f>IF($AL147="","",INDEX('04_調査結果'!$Z$5:$Z$404,$AL147))</f>
        <v/>
      </c>
      <c r="AH147">
        <f>IF($AL147="","",INDEX('04_調査結果'!$AK$5:$AK$404,$AL147))</f>
        <v/>
      </c>
      <c r="AI147">
        <f>IF($AL147="","",INDEX('04_調査結果'!$AH$5:$AH$404,$AL147)&amp;"")</f>
        <v/>
      </c>
      <c r="AJ147">
        <f>IF($AL147="","",INDEX('04_調査結果'!$AA$5:$AA$404,$AL147)&amp;"")</f>
        <v/>
      </c>
      <c r="AK147">
        <f>IF($AL147="","",INDEX('04_調査結果'!$AC$5:$AC$404,$AL147)&amp;"")</f>
        <v/>
      </c>
      <c r="AL147" s="34">
        <f>IFERROR(MATCH(ROW()-4,'04_調査結果'!$AZ$5:$AZ$404,0),"")</f>
        <v/>
      </c>
    </row>
    <row r="148">
      <c r="A148">
        <f>IF($AL148="","",'01_設定'!$C$36)</f>
        <v/>
      </c>
      <c r="B148">
        <f>IF($AL148="","",'01_設定'!$C$5)</f>
        <v/>
      </c>
      <c r="C148">
        <f>IF($AL148="","",'01_設定'!$C$6)</f>
        <v/>
      </c>
      <c r="D148" s="36">
        <f>IF($AL148="","",'01_設定'!$C$22)</f>
        <v/>
      </c>
      <c r="E148" s="36">
        <f>IF($AL148="","",'01_設定'!$C$23)</f>
        <v/>
      </c>
      <c r="F148">
        <f>IF($AL148="","",'01_設定'!$C$32)</f>
        <v/>
      </c>
      <c r="G148">
        <f>IF($AL148="","",ROW()-4)</f>
        <v/>
      </c>
      <c r="H148">
        <f>IF($AL148="","",INDEX('04_調査結果'!$AO$5:$AO$404,$AL148))</f>
        <v/>
      </c>
      <c r="I148">
        <f>IF($AL148="","",IFERROR(INDEX('M2_区分マスタ'!$I$5:$I$10,INDEX('04_調査結果'!$AP$5:$AP$404,$AL148)),""))</f>
        <v/>
      </c>
      <c r="J148">
        <f>IF($AL148="","",INDEX('04_調査結果'!$BE$5:$BE$404,$AL148)&amp;"")</f>
        <v/>
      </c>
      <c r="K148">
        <f>IF($AL148="","",INDEX('04_調査結果'!$F$5:$F$404,$AL148)&amp;"")</f>
        <v/>
      </c>
      <c r="L148">
        <f>IF($AL148="","",INDEX('04_調査結果'!$G$5:$G$404,$AL148)&amp;"")</f>
        <v/>
      </c>
      <c r="M148">
        <f>IF($AL148="","",INDEX('04_調査結果'!$AQ$5:$AQ$404,$AL148)&amp;"")</f>
        <v/>
      </c>
      <c r="N148">
        <f>IF($AL148="","",IFERROR(INDEX('M1_類型マスタ'!$B$5:$B$19,MATCH(M148,'M1_類型マスタ'!$A$5:$A$19,0)),""))</f>
        <v/>
      </c>
      <c r="O148">
        <f>IF($AL148="","",INDEX('04_調査結果'!$I$5:$I$404,$AL148)&amp;"")</f>
        <v/>
      </c>
      <c r="P148">
        <f>IF($AL148="","",INDEX('04_調査結果'!$J$5:$J$404,$AL148)&amp;"")</f>
        <v/>
      </c>
      <c r="Q148">
        <f>IF($AL148="","",INDEX('04_調査結果'!$K$5:$K$404,$AL148)&amp;"")</f>
        <v/>
      </c>
      <c r="R148">
        <f>IF($AL148="","",INDEX('04_調査結果'!$L$5:$L$404,$AL148)&amp;"")</f>
        <v/>
      </c>
      <c r="S148">
        <f>IF($AL148="","",INDEX('04_調査結果'!$M$5:$M$404,$AL148)&amp;"")</f>
        <v/>
      </c>
      <c r="T148" s="33">
        <f>IF($AL148="","",IF(INDEX('04_調査結果'!$AE$5:$AE$404,$AL148)&lt;&gt;"",INDEX('04_調査結果'!$AE$5:$AE$404,$AL148),INDEX('04_調査結果'!$AS$5:$AS$404,$AL148)))</f>
        <v/>
      </c>
      <c r="U148" s="33">
        <f>IF($AL148="","",IF(INDEX('04_調査結果'!$AF$5:$AF$404,$AL148)&lt;&gt;"",INDEX('04_調査結果'!$AF$5:$AF$404,$AL148),INDEX('04_調査結果'!$AT$5:$AT$404,$AL148)))</f>
        <v/>
      </c>
      <c r="V148" s="33">
        <f>IF($AL148="","",INDEX('04_調査結果'!$AI$5:$AI$404,$AL148))</f>
        <v/>
      </c>
      <c r="W148">
        <f>IF($AL148="","",INDEX('04_調査結果'!$AU$5:$AU$404,$AL148))</f>
        <v/>
      </c>
      <c r="X148" s="37">
        <f>IF($AL148="","",INDEX('04_調査結果'!$AW$5:$AW$404,$AL148))</f>
        <v/>
      </c>
      <c r="Y148" s="37">
        <f>IF($AL148="","",INDEX('04_調査結果'!$AX$5:$AX$404,$AL148))</f>
        <v/>
      </c>
      <c r="Z148">
        <f>IF($AL148="","",INDEX('04_調査結果'!$S$5:$S$404,$AL148)&amp;"")</f>
        <v/>
      </c>
      <c r="AA148">
        <f>IF($AL148="","",INDEX('04_調査結果'!$T$5:$T$404,$AL148))</f>
        <v/>
      </c>
      <c r="AB148">
        <f>IF($AL148="","",INDEX('04_調査結果'!$U$5:$U$404,$AL148))</f>
        <v/>
      </c>
      <c r="AC148">
        <f>IF($AL148="","",INDEX('04_調査結果'!$V$5:$V$404,$AL148))</f>
        <v/>
      </c>
      <c r="AD148">
        <f>IF($AL148="","",INDEX('04_調査結果'!$W$5:$W$404,$AL148))</f>
        <v/>
      </c>
      <c r="AE148">
        <f>IF($AL148="","",INDEX('04_調査結果'!$X$5:$X$404,$AL148))</f>
        <v/>
      </c>
      <c r="AF148">
        <f>IF($AL148="","",INDEX('04_調査結果'!$Y$5:$Y$404,$AL148))</f>
        <v/>
      </c>
      <c r="AG148">
        <f>IF($AL148="","",INDEX('04_調査結果'!$Z$5:$Z$404,$AL148))</f>
        <v/>
      </c>
      <c r="AH148">
        <f>IF($AL148="","",INDEX('04_調査結果'!$AK$5:$AK$404,$AL148))</f>
        <v/>
      </c>
      <c r="AI148">
        <f>IF($AL148="","",INDEX('04_調査結果'!$AH$5:$AH$404,$AL148)&amp;"")</f>
        <v/>
      </c>
      <c r="AJ148">
        <f>IF($AL148="","",INDEX('04_調査結果'!$AA$5:$AA$404,$AL148)&amp;"")</f>
        <v/>
      </c>
      <c r="AK148">
        <f>IF($AL148="","",INDEX('04_調査結果'!$AC$5:$AC$404,$AL148)&amp;"")</f>
        <v/>
      </c>
      <c r="AL148" s="34">
        <f>IFERROR(MATCH(ROW()-4,'04_調査結果'!$AZ$5:$AZ$404,0),"")</f>
        <v/>
      </c>
    </row>
    <row r="149">
      <c r="A149">
        <f>IF($AL149="","",'01_設定'!$C$36)</f>
        <v/>
      </c>
      <c r="B149">
        <f>IF($AL149="","",'01_設定'!$C$5)</f>
        <v/>
      </c>
      <c r="C149">
        <f>IF($AL149="","",'01_設定'!$C$6)</f>
        <v/>
      </c>
      <c r="D149" s="36">
        <f>IF($AL149="","",'01_設定'!$C$22)</f>
        <v/>
      </c>
      <c r="E149" s="36">
        <f>IF($AL149="","",'01_設定'!$C$23)</f>
        <v/>
      </c>
      <c r="F149">
        <f>IF($AL149="","",'01_設定'!$C$32)</f>
        <v/>
      </c>
      <c r="G149">
        <f>IF($AL149="","",ROW()-4)</f>
        <v/>
      </c>
      <c r="H149">
        <f>IF($AL149="","",INDEX('04_調査結果'!$AO$5:$AO$404,$AL149))</f>
        <v/>
      </c>
      <c r="I149">
        <f>IF($AL149="","",IFERROR(INDEX('M2_区分マスタ'!$I$5:$I$10,INDEX('04_調査結果'!$AP$5:$AP$404,$AL149)),""))</f>
        <v/>
      </c>
      <c r="J149">
        <f>IF($AL149="","",INDEX('04_調査結果'!$BE$5:$BE$404,$AL149)&amp;"")</f>
        <v/>
      </c>
      <c r="K149">
        <f>IF($AL149="","",INDEX('04_調査結果'!$F$5:$F$404,$AL149)&amp;"")</f>
        <v/>
      </c>
      <c r="L149">
        <f>IF($AL149="","",INDEX('04_調査結果'!$G$5:$G$404,$AL149)&amp;"")</f>
        <v/>
      </c>
      <c r="M149">
        <f>IF($AL149="","",INDEX('04_調査結果'!$AQ$5:$AQ$404,$AL149)&amp;"")</f>
        <v/>
      </c>
      <c r="N149">
        <f>IF($AL149="","",IFERROR(INDEX('M1_類型マスタ'!$B$5:$B$19,MATCH(M149,'M1_類型マスタ'!$A$5:$A$19,0)),""))</f>
        <v/>
      </c>
      <c r="O149">
        <f>IF($AL149="","",INDEX('04_調査結果'!$I$5:$I$404,$AL149)&amp;"")</f>
        <v/>
      </c>
      <c r="P149">
        <f>IF($AL149="","",INDEX('04_調査結果'!$J$5:$J$404,$AL149)&amp;"")</f>
        <v/>
      </c>
      <c r="Q149">
        <f>IF($AL149="","",INDEX('04_調査結果'!$K$5:$K$404,$AL149)&amp;"")</f>
        <v/>
      </c>
      <c r="R149">
        <f>IF($AL149="","",INDEX('04_調査結果'!$L$5:$L$404,$AL149)&amp;"")</f>
        <v/>
      </c>
      <c r="S149">
        <f>IF($AL149="","",INDEX('04_調査結果'!$M$5:$M$404,$AL149)&amp;"")</f>
        <v/>
      </c>
      <c r="T149" s="33">
        <f>IF($AL149="","",IF(INDEX('04_調査結果'!$AE$5:$AE$404,$AL149)&lt;&gt;"",INDEX('04_調査結果'!$AE$5:$AE$404,$AL149),INDEX('04_調査結果'!$AS$5:$AS$404,$AL149)))</f>
        <v/>
      </c>
      <c r="U149" s="33">
        <f>IF($AL149="","",IF(INDEX('04_調査結果'!$AF$5:$AF$404,$AL149)&lt;&gt;"",INDEX('04_調査結果'!$AF$5:$AF$404,$AL149),INDEX('04_調査結果'!$AT$5:$AT$404,$AL149)))</f>
        <v/>
      </c>
      <c r="V149" s="33">
        <f>IF($AL149="","",INDEX('04_調査結果'!$AI$5:$AI$404,$AL149))</f>
        <v/>
      </c>
      <c r="W149">
        <f>IF($AL149="","",INDEX('04_調査結果'!$AU$5:$AU$404,$AL149))</f>
        <v/>
      </c>
      <c r="X149" s="37">
        <f>IF($AL149="","",INDEX('04_調査結果'!$AW$5:$AW$404,$AL149))</f>
        <v/>
      </c>
      <c r="Y149" s="37">
        <f>IF($AL149="","",INDEX('04_調査結果'!$AX$5:$AX$404,$AL149))</f>
        <v/>
      </c>
      <c r="Z149">
        <f>IF($AL149="","",INDEX('04_調査結果'!$S$5:$S$404,$AL149)&amp;"")</f>
        <v/>
      </c>
      <c r="AA149">
        <f>IF($AL149="","",INDEX('04_調査結果'!$T$5:$T$404,$AL149))</f>
        <v/>
      </c>
      <c r="AB149">
        <f>IF($AL149="","",INDEX('04_調査結果'!$U$5:$U$404,$AL149))</f>
        <v/>
      </c>
      <c r="AC149">
        <f>IF($AL149="","",INDEX('04_調査結果'!$V$5:$V$404,$AL149))</f>
        <v/>
      </c>
      <c r="AD149">
        <f>IF($AL149="","",INDEX('04_調査結果'!$W$5:$W$404,$AL149))</f>
        <v/>
      </c>
      <c r="AE149">
        <f>IF($AL149="","",INDEX('04_調査結果'!$X$5:$X$404,$AL149))</f>
        <v/>
      </c>
      <c r="AF149">
        <f>IF($AL149="","",INDEX('04_調査結果'!$Y$5:$Y$404,$AL149))</f>
        <v/>
      </c>
      <c r="AG149">
        <f>IF($AL149="","",INDEX('04_調査結果'!$Z$5:$Z$404,$AL149))</f>
        <v/>
      </c>
      <c r="AH149">
        <f>IF($AL149="","",INDEX('04_調査結果'!$AK$5:$AK$404,$AL149))</f>
        <v/>
      </c>
      <c r="AI149">
        <f>IF($AL149="","",INDEX('04_調査結果'!$AH$5:$AH$404,$AL149)&amp;"")</f>
        <v/>
      </c>
      <c r="AJ149">
        <f>IF($AL149="","",INDEX('04_調査結果'!$AA$5:$AA$404,$AL149)&amp;"")</f>
        <v/>
      </c>
      <c r="AK149">
        <f>IF($AL149="","",INDEX('04_調査結果'!$AC$5:$AC$404,$AL149)&amp;"")</f>
        <v/>
      </c>
      <c r="AL149" s="34">
        <f>IFERROR(MATCH(ROW()-4,'04_調査結果'!$AZ$5:$AZ$404,0),"")</f>
        <v/>
      </c>
    </row>
    <row r="150">
      <c r="A150">
        <f>IF($AL150="","",'01_設定'!$C$36)</f>
        <v/>
      </c>
      <c r="B150">
        <f>IF($AL150="","",'01_設定'!$C$5)</f>
        <v/>
      </c>
      <c r="C150">
        <f>IF($AL150="","",'01_設定'!$C$6)</f>
        <v/>
      </c>
      <c r="D150" s="36">
        <f>IF($AL150="","",'01_設定'!$C$22)</f>
        <v/>
      </c>
      <c r="E150" s="36">
        <f>IF($AL150="","",'01_設定'!$C$23)</f>
        <v/>
      </c>
      <c r="F150">
        <f>IF($AL150="","",'01_設定'!$C$32)</f>
        <v/>
      </c>
      <c r="G150">
        <f>IF($AL150="","",ROW()-4)</f>
        <v/>
      </c>
      <c r="H150">
        <f>IF($AL150="","",INDEX('04_調査結果'!$AO$5:$AO$404,$AL150))</f>
        <v/>
      </c>
      <c r="I150">
        <f>IF($AL150="","",IFERROR(INDEX('M2_区分マスタ'!$I$5:$I$10,INDEX('04_調査結果'!$AP$5:$AP$404,$AL150)),""))</f>
        <v/>
      </c>
      <c r="J150">
        <f>IF($AL150="","",INDEX('04_調査結果'!$BE$5:$BE$404,$AL150)&amp;"")</f>
        <v/>
      </c>
      <c r="K150">
        <f>IF($AL150="","",INDEX('04_調査結果'!$F$5:$F$404,$AL150)&amp;"")</f>
        <v/>
      </c>
      <c r="L150">
        <f>IF($AL150="","",INDEX('04_調査結果'!$G$5:$G$404,$AL150)&amp;"")</f>
        <v/>
      </c>
      <c r="M150">
        <f>IF($AL150="","",INDEX('04_調査結果'!$AQ$5:$AQ$404,$AL150)&amp;"")</f>
        <v/>
      </c>
      <c r="N150">
        <f>IF($AL150="","",IFERROR(INDEX('M1_類型マスタ'!$B$5:$B$19,MATCH(M150,'M1_類型マスタ'!$A$5:$A$19,0)),""))</f>
        <v/>
      </c>
      <c r="O150">
        <f>IF($AL150="","",INDEX('04_調査結果'!$I$5:$I$404,$AL150)&amp;"")</f>
        <v/>
      </c>
      <c r="P150">
        <f>IF($AL150="","",INDEX('04_調査結果'!$J$5:$J$404,$AL150)&amp;"")</f>
        <v/>
      </c>
      <c r="Q150">
        <f>IF($AL150="","",INDEX('04_調査結果'!$K$5:$K$404,$AL150)&amp;"")</f>
        <v/>
      </c>
      <c r="R150">
        <f>IF($AL150="","",INDEX('04_調査結果'!$L$5:$L$404,$AL150)&amp;"")</f>
        <v/>
      </c>
      <c r="S150">
        <f>IF($AL150="","",INDEX('04_調査結果'!$M$5:$M$404,$AL150)&amp;"")</f>
        <v/>
      </c>
      <c r="T150" s="33">
        <f>IF($AL150="","",IF(INDEX('04_調査結果'!$AE$5:$AE$404,$AL150)&lt;&gt;"",INDEX('04_調査結果'!$AE$5:$AE$404,$AL150),INDEX('04_調査結果'!$AS$5:$AS$404,$AL150)))</f>
        <v/>
      </c>
      <c r="U150" s="33">
        <f>IF($AL150="","",IF(INDEX('04_調査結果'!$AF$5:$AF$404,$AL150)&lt;&gt;"",INDEX('04_調査結果'!$AF$5:$AF$404,$AL150),INDEX('04_調査結果'!$AT$5:$AT$404,$AL150)))</f>
        <v/>
      </c>
      <c r="V150" s="33">
        <f>IF($AL150="","",INDEX('04_調査結果'!$AI$5:$AI$404,$AL150))</f>
        <v/>
      </c>
      <c r="W150">
        <f>IF($AL150="","",INDEX('04_調査結果'!$AU$5:$AU$404,$AL150))</f>
        <v/>
      </c>
      <c r="X150" s="37">
        <f>IF($AL150="","",INDEX('04_調査結果'!$AW$5:$AW$404,$AL150))</f>
        <v/>
      </c>
      <c r="Y150" s="37">
        <f>IF($AL150="","",INDEX('04_調査結果'!$AX$5:$AX$404,$AL150))</f>
        <v/>
      </c>
      <c r="Z150">
        <f>IF($AL150="","",INDEX('04_調査結果'!$S$5:$S$404,$AL150)&amp;"")</f>
        <v/>
      </c>
      <c r="AA150">
        <f>IF($AL150="","",INDEX('04_調査結果'!$T$5:$T$404,$AL150))</f>
        <v/>
      </c>
      <c r="AB150">
        <f>IF($AL150="","",INDEX('04_調査結果'!$U$5:$U$404,$AL150))</f>
        <v/>
      </c>
      <c r="AC150">
        <f>IF($AL150="","",INDEX('04_調査結果'!$V$5:$V$404,$AL150))</f>
        <v/>
      </c>
      <c r="AD150">
        <f>IF($AL150="","",INDEX('04_調査結果'!$W$5:$W$404,$AL150))</f>
        <v/>
      </c>
      <c r="AE150">
        <f>IF($AL150="","",INDEX('04_調査結果'!$X$5:$X$404,$AL150))</f>
        <v/>
      </c>
      <c r="AF150">
        <f>IF($AL150="","",INDEX('04_調査結果'!$Y$5:$Y$404,$AL150))</f>
        <v/>
      </c>
      <c r="AG150">
        <f>IF($AL150="","",INDEX('04_調査結果'!$Z$5:$Z$404,$AL150))</f>
        <v/>
      </c>
      <c r="AH150">
        <f>IF($AL150="","",INDEX('04_調査結果'!$AK$5:$AK$404,$AL150))</f>
        <v/>
      </c>
      <c r="AI150">
        <f>IF($AL150="","",INDEX('04_調査結果'!$AH$5:$AH$404,$AL150)&amp;"")</f>
        <v/>
      </c>
      <c r="AJ150">
        <f>IF($AL150="","",INDEX('04_調査結果'!$AA$5:$AA$404,$AL150)&amp;"")</f>
        <v/>
      </c>
      <c r="AK150">
        <f>IF($AL150="","",INDEX('04_調査結果'!$AC$5:$AC$404,$AL150)&amp;"")</f>
        <v/>
      </c>
      <c r="AL150" s="34">
        <f>IFERROR(MATCH(ROW()-4,'04_調査結果'!$AZ$5:$AZ$404,0),"")</f>
        <v/>
      </c>
    </row>
    <row r="151">
      <c r="A151">
        <f>IF($AL151="","",'01_設定'!$C$36)</f>
        <v/>
      </c>
      <c r="B151">
        <f>IF($AL151="","",'01_設定'!$C$5)</f>
        <v/>
      </c>
      <c r="C151">
        <f>IF($AL151="","",'01_設定'!$C$6)</f>
        <v/>
      </c>
      <c r="D151" s="36">
        <f>IF($AL151="","",'01_設定'!$C$22)</f>
        <v/>
      </c>
      <c r="E151" s="36">
        <f>IF($AL151="","",'01_設定'!$C$23)</f>
        <v/>
      </c>
      <c r="F151">
        <f>IF($AL151="","",'01_設定'!$C$32)</f>
        <v/>
      </c>
      <c r="G151">
        <f>IF($AL151="","",ROW()-4)</f>
        <v/>
      </c>
      <c r="H151">
        <f>IF($AL151="","",INDEX('04_調査結果'!$AO$5:$AO$404,$AL151))</f>
        <v/>
      </c>
      <c r="I151">
        <f>IF($AL151="","",IFERROR(INDEX('M2_区分マスタ'!$I$5:$I$10,INDEX('04_調査結果'!$AP$5:$AP$404,$AL151)),""))</f>
        <v/>
      </c>
      <c r="J151">
        <f>IF($AL151="","",INDEX('04_調査結果'!$BE$5:$BE$404,$AL151)&amp;"")</f>
        <v/>
      </c>
      <c r="K151">
        <f>IF($AL151="","",INDEX('04_調査結果'!$F$5:$F$404,$AL151)&amp;"")</f>
        <v/>
      </c>
      <c r="L151">
        <f>IF($AL151="","",INDEX('04_調査結果'!$G$5:$G$404,$AL151)&amp;"")</f>
        <v/>
      </c>
      <c r="M151">
        <f>IF($AL151="","",INDEX('04_調査結果'!$AQ$5:$AQ$404,$AL151)&amp;"")</f>
        <v/>
      </c>
      <c r="N151">
        <f>IF($AL151="","",IFERROR(INDEX('M1_類型マスタ'!$B$5:$B$19,MATCH(M151,'M1_類型マスタ'!$A$5:$A$19,0)),""))</f>
        <v/>
      </c>
      <c r="O151">
        <f>IF($AL151="","",INDEX('04_調査結果'!$I$5:$I$404,$AL151)&amp;"")</f>
        <v/>
      </c>
      <c r="P151">
        <f>IF($AL151="","",INDEX('04_調査結果'!$J$5:$J$404,$AL151)&amp;"")</f>
        <v/>
      </c>
      <c r="Q151">
        <f>IF($AL151="","",INDEX('04_調査結果'!$K$5:$K$404,$AL151)&amp;"")</f>
        <v/>
      </c>
      <c r="R151">
        <f>IF($AL151="","",INDEX('04_調査結果'!$L$5:$L$404,$AL151)&amp;"")</f>
        <v/>
      </c>
      <c r="S151">
        <f>IF($AL151="","",INDEX('04_調査結果'!$M$5:$M$404,$AL151)&amp;"")</f>
        <v/>
      </c>
      <c r="T151" s="33">
        <f>IF($AL151="","",IF(INDEX('04_調査結果'!$AE$5:$AE$404,$AL151)&lt;&gt;"",INDEX('04_調査結果'!$AE$5:$AE$404,$AL151),INDEX('04_調査結果'!$AS$5:$AS$404,$AL151)))</f>
        <v/>
      </c>
      <c r="U151" s="33">
        <f>IF($AL151="","",IF(INDEX('04_調査結果'!$AF$5:$AF$404,$AL151)&lt;&gt;"",INDEX('04_調査結果'!$AF$5:$AF$404,$AL151),INDEX('04_調査結果'!$AT$5:$AT$404,$AL151)))</f>
        <v/>
      </c>
      <c r="V151" s="33">
        <f>IF($AL151="","",INDEX('04_調査結果'!$AI$5:$AI$404,$AL151))</f>
        <v/>
      </c>
      <c r="W151">
        <f>IF($AL151="","",INDEX('04_調査結果'!$AU$5:$AU$404,$AL151))</f>
        <v/>
      </c>
      <c r="X151" s="37">
        <f>IF($AL151="","",INDEX('04_調査結果'!$AW$5:$AW$404,$AL151))</f>
        <v/>
      </c>
      <c r="Y151" s="37">
        <f>IF($AL151="","",INDEX('04_調査結果'!$AX$5:$AX$404,$AL151))</f>
        <v/>
      </c>
      <c r="Z151">
        <f>IF($AL151="","",INDEX('04_調査結果'!$S$5:$S$404,$AL151)&amp;"")</f>
        <v/>
      </c>
      <c r="AA151">
        <f>IF($AL151="","",INDEX('04_調査結果'!$T$5:$T$404,$AL151))</f>
        <v/>
      </c>
      <c r="AB151">
        <f>IF($AL151="","",INDEX('04_調査結果'!$U$5:$U$404,$AL151))</f>
        <v/>
      </c>
      <c r="AC151">
        <f>IF($AL151="","",INDEX('04_調査結果'!$V$5:$V$404,$AL151))</f>
        <v/>
      </c>
      <c r="AD151">
        <f>IF($AL151="","",INDEX('04_調査結果'!$W$5:$W$404,$AL151))</f>
        <v/>
      </c>
      <c r="AE151">
        <f>IF($AL151="","",INDEX('04_調査結果'!$X$5:$X$404,$AL151))</f>
        <v/>
      </c>
      <c r="AF151">
        <f>IF($AL151="","",INDEX('04_調査結果'!$Y$5:$Y$404,$AL151))</f>
        <v/>
      </c>
      <c r="AG151">
        <f>IF($AL151="","",INDEX('04_調査結果'!$Z$5:$Z$404,$AL151))</f>
        <v/>
      </c>
      <c r="AH151">
        <f>IF($AL151="","",INDEX('04_調査結果'!$AK$5:$AK$404,$AL151))</f>
        <v/>
      </c>
      <c r="AI151">
        <f>IF($AL151="","",INDEX('04_調査結果'!$AH$5:$AH$404,$AL151)&amp;"")</f>
        <v/>
      </c>
      <c r="AJ151">
        <f>IF($AL151="","",INDEX('04_調査結果'!$AA$5:$AA$404,$AL151)&amp;"")</f>
        <v/>
      </c>
      <c r="AK151">
        <f>IF($AL151="","",INDEX('04_調査結果'!$AC$5:$AC$404,$AL151)&amp;"")</f>
        <v/>
      </c>
      <c r="AL151" s="34">
        <f>IFERROR(MATCH(ROW()-4,'04_調査結果'!$AZ$5:$AZ$404,0),"")</f>
        <v/>
      </c>
    </row>
    <row r="152">
      <c r="A152">
        <f>IF($AL152="","",'01_設定'!$C$36)</f>
        <v/>
      </c>
      <c r="B152">
        <f>IF($AL152="","",'01_設定'!$C$5)</f>
        <v/>
      </c>
      <c r="C152">
        <f>IF($AL152="","",'01_設定'!$C$6)</f>
        <v/>
      </c>
      <c r="D152" s="36">
        <f>IF($AL152="","",'01_設定'!$C$22)</f>
        <v/>
      </c>
      <c r="E152" s="36">
        <f>IF($AL152="","",'01_設定'!$C$23)</f>
        <v/>
      </c>
      <c r="F152">
        <f>IF($AL152="","",'01_設定'!$C$32)</f>
        <v/>
      </c>
      <c r="G152">
        <f>IF($AL152="","",ROW()-4)</f>
        <v/>
      </c>
      <c r="H152">
        <f>IF($AL152="","",INDEX('04_調査結果'!$AO$5:$AO$404,$AL152))</f>
        <v/>
      </c>
      <c r="I152">
        <f>IF($AL152="","",IFERROR(INDEX('M2_区分マスタ'!$I$5:$I$10,INDEX('04_調査結果'!$AP$5:$AP$404,$AL152)),""))</f>
        <v/>
      </c>
      <c r="J152">
        <f>IF($AL152="","",INDEX('04_調査結果'!$BE$5:$BE$404,$AL152)&amp;"")</f>
        <v/>
      </c>
      <c r="K152">
        <f>IF($AL152="","",INDEX('04_調査結果'!$F$5:$F$404,$AL152)&amp;"")</f>
        <v/>
      </c>
      <c r="L152">
        <f>IF($AL152="","",INDEX('04_調査結果'!$G$5:$G$404,$AL152)&amp;"")</f>
        <v/>
      </c>
      <c r="M152">
        <f>IF($AL152="","",INDEX('04_調査結果'!$AQ$5:$AQ$404,$AL152)&amp;"")</f>
        <v/>
      </c>
      <c r="N152">
        <f>IF($AL152="","",IFERROR(INDEX('M1_類型マスタ'!$B$5:$B$19,MATCH(M152,'M1_類型マスタ'!$A$5:$A$19,0)),""))</f>
        <v/>
      </c>
      <c r="O152">
        <f>IF($AL152="","",INDEX('04_調査結果'!$I$5:$I$404,$AL152)&amp;"")</f>
        <v/>
      </c>
      <c r="P152">
        <f>IF($AL152="","",INDEX('04_調査結果'!$J$5:$J$404,$AL152)&amp;"")</f>
        <v/>
      </c>
      <c r="Q152">
        <f>IF($AL152="","",INDEX('04_調査結果'!$K$5:$K$404,$AL152)&amp;"")</f>
        <v/>
      </c>
      <c r="R152">
        <f>IF($AL152="","",INDEX('04_調査結果'!$L$5:$L$404,$AL152)&amp;"")</f>
        <v/>
      </c>
      <c r="S152">
        <f>IF($AL152="","",INDEX('04_調査結果'!$M$5:$M$404,$AL152)&amp;"")</f>
        <v/>
      </c>
      <c r="T152" s="33">
        <f>IF($AL152="","",IF(INDEX('04_調査結果'!$AE$5:$AE$404,$AL152)&lt;&gt;"",INDEX('04_調査結果'!$AE$5:$AE$404,$AL152),INDEX('04_調査結果'!$AS$5:$AS$404,$AL152)))</f>
        <v/>
      </c>
      <c r="U152" s="33">
        <f>IF($AL152="","",IF(INDEX('04_調査結果'!$AF$5:$AF$404,$AL152)&lt;&gt;"",INDEX('04_調査結果'!$AF$5:$AF$404,$AL152),INDEX('04_調査結果'!$AT$5:$AT$404,$AL152)))</f>
        <v/>
      </c>
      <c r="V152" s="33">
        <f>IF($AL152="","",INDEX('04_調査結果'!$AI$5:$AI$404,$AL152))</f>
        <v/>
      </c>
      <c r="W152">
        <f>IF($AL152="","",INDEX('04_調査結果'!$AU$5:$AU$404,$AL152))</f>
        <v/>
      </c>
      <c r="X152" s="37">
        <f>IF($AL152="","",INDEX('04_調査結果'!$AW$5:$AW$404,$AL152))</f>
        <v/>
      </c>
      <c r="Y152" s="37">
        <f>IF($AL152="","",INDEX('04_調査結果'!$AX$5:$AX$404,$AL152))</f>
        <v/>
      </c>
      <c r="Z152">
        <f>IF($AL152="","",INDEX('04_調査結果'!$S$5:$S$404,$AL152)&amp;"")</f>
        <v/>
      </c>
      <c r="AA152">
        <f>IF($AL152="","",INDEX('04_調査結果'!$T$5:$T$404,$AL152))</f>
        <v/>
      </c>
      <c r="AB152">
        <f>IF($AL152="","",INDEX('04_調査結果'!$U$5:$U$404,$AL152))</f>
        <v/>
      </c>
      <c r="AC152">
        <f>IF($AL152="","",INDEX('04_調査結果'!$V$5:$V$404,$AL152))</f>
        <v/>
      </c>
      <c r="AD152">
        <f>IF($AL152="","",INDEX('04_調査結果'!$W$5:$W$404,$AL152))</f>
        <v/>
      </c>
      <c r="AE152">
        <f>IF($AL152="","",INDEX('04_調査結果'!$X$5:$X$404,$AL152))</f>
        <v/>
      </c>
      <c r="AF152">
        <f>IF($AL152="","",INDEX('04_調査結果'!$Y$5:$Y$404,$AL152))</f>
        <v/>
      </c>
      <c r="AG152">
        <f>IF($AL152="","",INDEX('04_調査結果'!$Z$5:$Z$404,$AL152))</f>
        <v/>
      </c>
      <c r="AH152">
        <f>IF($AL152="","",INDEX('04_調査結果'!$AK$5:$AK$404,$AL152))</f>
        <v/>
      </c>
      <c r="AI152">
        <f>IF($AL152="","",INDEX('04_調査結果'!$AH$5:$AH$404,$AL152)&amp;"")</f>
        <v/>
      </c>
      <c r="AJ152">
        <f>IF($AL152="","",INDEX('04_調査結果'!$AA$5:$AA$404,$AL152)&amp;"")</f>
        <v/>
      </c>
      <c r="AK152">
        <f>IF($AL152="","",INDEX('04_調査結果'!$AC$5:$AC$404,$AL152)&amp;"")</f>
        <v/>
      </c>
      <c r="AL152" s="34">
        <f>IFERROR(MATCH(ROW()-4,'04_調査結果'!$AZ$5:$AZ$404,0),"")</f>
        <v/>
      </c>
    </row>
    <row r="153">
      <c r="A153">
        <f>IF($AL153="","",'01_設定'!$C$36)</f>
        <v/>
      </c>
      <c r="B153">
        <f>IF($AL153="","",'01_設定'!$C$5)</f>
        <v/>
      </c>
      <c r="C153">
        <f>IF($AL153="","",'01_設定'!$C$6)</f>
        <v/>
      </c>
      <c r="D153" s="36">
        <f>IF($AL153="","",'01_設定'!$C$22)</f>
        <v/>
      </c>
      <c r="E153" s="36">
        <f>IF($AL153="","",'01_設定'!$C$23)</f>
        <v/>
      </c>
      <c r="F153">
        <f>IF($AL153="","",'01_設定'!$C$32)</f>
        <v/>
      </c>
      <c r="G153">
        <f>IF($AL153="","",ROW()-4)</f>
        <v/>
      </c>
      <c r="H153">
        <f>IF($AL153="","",INDEX('04_調査結果'!$AO$5:$AO$404,$AL153))</f>
        <v/>
      </c>
      <c r="I153">
        <f>IF($AL153="","",IFERROR(INDEX('M2_区分マスタ'!$I$5:$I$10,INDEX('04_調査結果'!$AP$5:$AP$404,$AL153)),""))</f>
        <v/>
      </c>
      <c r="J153">
        <f>IF($AL153="","",INDEX('04_調査結果'!$BE$5:$BE$404,$AL153)&amp;"")</f>
        <v/>
      </c>
      <c r="K153">
        <f>IF($AL153="","",INDEX('04_調査結果'!$F$5:$F$404,$AL153)&amp;"")</f>
        <v/>
      </c>
      <c r="L153">
        <f>IF($AL153="","",INDEX('04_調査結果'!$G$5:$G$404,$AL153)&amp;"")</f>
        <v/>
      </c>
      <c r="M153">
        <f>IF($AL153="","",INDEX('04_調査結果'!$AQ$5:$AQ$404,$AL153)&amp;"")</f>
        <v/>
      </c>
      <c r="N153">
        <f>IF($AL153="","",IFERROR(INDEX('M1_類型マスタ'!$B$5:$B$19,MATCH(M153,'M1_類型マスタ'!$A$5:$A$19,0)),""))</f>
        <v/>
      </c>
      <c r="O153">
        <f>IF($AL153="","",INDEX('04_調査結果'!$I$5:$I$404,$AL153)&amp;"")</f>
        <v/>
      </c>
      <c r="P153">
        <f>IF($AL153="","",INDEX('04_調査結果'!$J$5:$J$404,$AL153)&amp;"")</f>
        <v/>
      </c>
      <c r="Q153">
        <f>IF($AL153="","",INDEX('04_調査結果'!$K$5:$K$404,$AL153)&amp;"")</f>
        <v/>
      </c>
      <c r="R153">
        <f>IF($AL153="","",INDEX('04_調査結果'!$L$5:$L$404,$AL153)&amp;"")</f>
        <v/>
      </c>
      <c r="S153">
        <f>IF($AL153="","",INDEX('04_調査結果'!$M$5:$M$404,$AL153)&amp;"")</f>
        <v/>
      </c>
      <c r="T153" s="33">
        <f>IF($AL153="","",IF(INDEX('04_調査結果'!$AE$5:$AE$404,$AL153)&lt;&gt;"",INDEX('04_調査結果'!$AE$5:$AE$404,$AL153),INDEX('04_調査結果'!$AS$5:$AS$404,$AL153)))</f>
        <v/>
      </c>
      <c r="U153" s="33">
        <f>IF($AL153="","",IF(INDEX('04_調査結果'!$AF$5:$AF$404,$AL153)&lt;&gt;"",INDEX('04_調査結果'!$AF$5:$AF$404,$AL153),INDEX('04_調査結果'!$AT$5:$AT$404,$AL153)))</f>
        <v/>
      </c>
      <c r="V153" s="33">
        <f>IF($AL153="","",INDEX('04_調査結果'!$AI$5:$AI$404,$AL153))</f>
        <v/>
      </c>
      <c r="W153">
        <f>IF($AL153="","",INDEX('04_調査結果'!$AU$5:$AU$404,$AL153))</f>
        <v/>
      </c>
      <c r="X153" s="37">
        <f>IF($AL153="","",INDEX('04_調査結果'!$AW$5:$AW$404,$AL153))</f>
        <v/>
      </c>
      <c r="Y153" s="37">
        <f>IF($AL153="","",INDEX('04_調査結果'!$AX$5:$AX$404,$AL153))</f>
        <v/>
      </c>
      <c r="Z153">
        <f>IF($AL153="","",INDEX('04_調査結果'!$S$5:$S$404,$AL153)&amp;"")</f>
        <v/>
      </c>
      <c r="AA153">
        <f>IF($AL153="","",INDEX('04_調査結果'!$T$5:$T$404,$AL153))</f>
        <v/>
      </c>
      <c r="AB153">
        <f>IF($AL153="","",INDEX('04_調査結果'!$U$5:$U$404,$AL153))</f>
        <v/>
      </c>
      <c r="AC153">
        <f>IF($AL153="","",INDEX('04_調査結果'!$V$5:$V$404,$AL153))</f>
        <v/>
      </c>
      <c r="AD153">
        <f>IF($AL153="","",INDEX('04_調査結果'!$W$5:$W$404,$AL153))</f>
        <v/>
      </c>
      <c r="AE153">
        <f>IF($AL153="","",INDEX('04_調査結果'!$X$5:$X$404,$AL153))</f>
        <v/>
      </c>
      <c r="AF153">
        <f>IF($AL153="","",INDEX('04_調査結果'!$Y$5:$Y$404,$AL153))</f>
        <v/>
      </c>
      <c r="AG153">
        <f>IF($AL153="","",INDEX('04_調査結果'!$Z$5:$Z$404,$AL153))</f>
        <v/>
      </c>
      <c r="AH153">
        <f>IF($AL153="","",INDEX('04_調査結果'!$AK$5:$AK$404,$AL153))</f>
        <v/>
      </c>
      <c r="AI153">
        <f>IF($AL153="","",INDEX('04_調査結果'!$AH$5:$AH$404,$AL153)&amp;"")</f>
        <v/>
      </c>
      <c r="AJ153">
        <f>IF($AL153="","",INDEX('04_調査結果'!$AA$5:$AA$404,$AL153)&amp;"")</f>
        <v/>
      </c>
      <c r="AK153">
        <f>IF($AL153="","",INDEX('04_調査結果'!$AC$5:$AC$404,$AL153)&amp;"")</f>
        <v/>
      </c>
      <c r="AL153" s="34">
        <f>IFERROR(MATCH(ROW()-4,'04_調査結果'!$AZ$5:$AZ$404,0),"")</f>
        <v/>
      </c>
    </row>
    <row r="154">
      <c r="A154">
        <f>IF($AL154="","",'01_設定'!$C$36)</f>
        <v/>
      </c>
      <c r="B154">
        <f>IF($AL154="","",'01_設定'!$C$5)</f>
        <v/>
      </c>
      <c r="C154">
        <f>IF($AL154="","",'01_設定'!$C$6)</f>
        <v/>
      </c>
      <c r="D154" s="36">
        <f>IF($AL154="","",'01_設定'!$C$22)</f>
        <v/>
      </c>
      <c r="E154" s="36">
        <f>IF($AL154="","",'01_設定'!$C$23)</f>
        <v/>
      </c>
      <c r="F154">
        <f>IF($AL154="","",'01_設定'!$C$32)</f>
        <v/>
      </c>
      <c r="G154">
        <f>IF($AL154="","",ROW()-4)</f>
        <v/>
      </c>
      <c r="H154">
        <f>IF($AL154="","",INDEX('04_調査結果'!$AO$5:$AO$404,$AL154))</f>
        <v/>
      </c>
      <c r="I154">
        <f>IF($AL154="","",IFERROR(INDEX('M2_区分マスタ'!$I$5:$I$10,INDEX('04_調査結果'!$AP$5:$AP$404,$AL154)),""))</f>
        <v/>
      </c>
      <c r="J154">
        <f>IF($AL154="","",INDEX('04_調査結果'!$BE$5:$BE$404,$AL154)&amp;"")</f>
        <v/>
      </c>
      <c r="K154">
        <f>IF($AL154="","",INDEX('04_調査結果'!$F$5:$F$404,$AL154)&amp;"")</f>
        <v/>
      </c>
      <c r="L154">
        <f>IF($AL154="","",INDEX('04_調査結果'!$G$5:$G$404,$AL154)&amp;"")</f>
        <v/>
      </c>
      <c r="M154">
        <f>IF($AL154="","",INDEX('04_調査結果'!$AQ$5:$AQ$404,$AL154)&amp;"")</f>
        <v/>
      </c>
      <c r="N154">
        <f>IF($AL154="","",IFERROR(INDEX('M1_類型マスタ'!$B$5:$B$19,MATCH(M154,'M1_類型マスタ'!$A$5:$A$19,0)),""))</f>
        <v/>
      </c>
      <c r="O154">
        <f>IF($AL154="","",INDEX('04_調査結果'!$I$5:$I$404,$AL154)&amp;"")</f>
        <v/>
      </c>
      <c r="P154">
        <f>IF($AL154="","",INDEX('04_調査結果'!$J$5:$J$404,$AL154)&amp;"")</f>
        <v/>
      </c>
      <c r="Q154">
        <f>IF($AL154="","",INDEX('04_調査結果'!$K$5:$K$404,$AL154)&amp;"")</f>
        <v/>
      </c>
      <c r="R154">
        <f>IF($AL154="","",INDEX('04_調査結果'!$L$5:$L$404,$AL154)&amp;"")</f>
        <v/>
      </c>
      <c r="S154">
        <f>IF($AL154="","",INDEX('04_調査結果'!$M$5:$M$404,$AL154)&amp;"")</f>
        <v/>
      </c>
      <c r="T154" s="33">
        <f>IF($AL154="","",IF(INDEX('04_調査結果'!$AE$5:$AE$404,$AL154)&lt;&gt;"",INDEX('04_調査結果'!$AE$5:$AE$404,$AL154),INDEX('04_調査結果'!$AS$5:$AS$404,$AL154)))</f>
        <v/>
      </c>
      <c r="U154" s="33">
        <f>IF($AL154="","",IF(INDEX('04_調査結果'!$AF$5:$AF$404,$AL154)&lt;&gt;"",INDEX('04_調査結果'!$AF$5:$AF$404,$AL154),INDEX('04_調査結果'!$AT$5:$AT$404,$AL154)))</f>
        <v/>
      </c>
      <c r="V154" s="33">
        <f>IF($AL154="","",INDEX('04_調査結果'!$AI$5:$AI$404,$AL154))</f>
        <v/>
      </c>
      <c r="W154">
        <f>IF($AL154="","",INDEX('04_調査結果'!$AU$5:$AU$404,$AL154))</f>
        <v/>
      </c>
      <c r="X154" s="37">
        <f>IF($AL154="","",INDEX('04_調査結果'!$AW$5:$AW$404,$AL154))</f>
        <v/>
      </c>
      <c r="Y154" s="37">
        <f>IF($AL154="","",INDEX('04_調査結果'!$AX$5:$AX$404,$AL154))</f>
        <v/>
      </c>
      <c r="Z154">
        <f>IF($AL154="","",INDEX('04_調査結果'!$S$5:$S$404,$AL154)&amp;"")</f>
        <v/>
      </c>
      <c r="AA154">
        <f>IF($AL154="","",INDEX('04_調査結果'!$T$5:$T$404,$AL154))</f>
        <v/>
      </c>
      <c r="AB154">
        <f>IF($AL154="","",INDEX('04_調査結果'!$U$5:$U$404,$AL154))</f>
        <v/>
      </c>
      <c r="AC154">
        <f>IF($AL154="","",INDEX('04_調査結果'!$V$5:$V$404,$AL154))</f>
        <v/>
      </c>
      <c r="AD154">
        <f>IF($AL154="","",INDEX('04_調査結果'!$W$5:$W$404,$AL154))</f>
        <v/>
      </c>
      <c r="AE154">
        <f>IF($AL154="","",INDEX('04_調査結果'!$X$5:$X$404,$AL154))</f>
        <v/>
      </c>
      <c r="AF154">
        <f>IF($AL154="","",INDEX('04_調査結果'!$Y$5:$Y$404,$AL154))</f>
        <v/>
      </c>
      <c r="AG154">
        <f>IF($AL154="","",INDEX('04_調査結果'!$Z$5:$Z$404,$AL154))</f>
        <v/>
      </c>
      <c r="AH154">
        <f>IF($AL154="","",INDEX('04_調査結果'!$AK$5:$AK$404,$AL154))</f>
        <v/>
      </c>
      <c r="AI154">
        <f>IF($AL154="","",INDEX('04_調査結果'!$AH$5:$AH$404,$AL154)&amp;"")</f>
        <v/>
      </c>
      <c r="AJ154">
        <f>IF($AL154="","",INDEX('04_調査結果'!$AA$5:$AA$404,$AL154)&amp;"")</f>
        <v/>
      </c>
      <c r="AK154">
        <f>IF($AL154="","",INDEX('04_調査結果'!$AC$5:$AC$404,$AL154)&amp;"")</f>
        <v/>
      </c>
      <c r="AL154" s="34">
        <f>IFERROR(MATCH(ROW()-4,'04_調査結果'!$AZ$5:$AZ$404,0),"")</f>
        <v/>
      </c>
    </row>
    <row r="155">
      <c r="A155">
        <f>IF($AL155="","",'01_設定'!$C$36)</f>
        <v/>
      </c>
      <c r="B155">
        <f>IF($AL155="","",'01_設定'!$C$5)</f>
        <v/>
      </c>
      <c r="C155">
        <f>IF($AL155="","",'01_設定'!$C$6)</f>
        <v/>
      </c>
      <c r="D155" s="36">
        <f>IF($AL155="","",'01_設定'!$C$22)</f>
        <v/>
      </c>
      <c r="E155" s="36">
        <f>IF($AL155="","",'01_設定'!$C$23)</f>
        <v/>
      </c>
      <c r="F155">
        <f>IF($AL155="","",'01_設定'!$C$32)</f>
        <v/>
      </c>
      <c r="G155">
        <f>IF($AL155="","",ROW()-4)</f>
        <v/>
      </c>
      <c r="H155">
        <f>IF($AL155="","",INDEX('04_調査結果'!$AO$5:$AO$404,$AL155))</f>
        <v/>
      </c>
      <c r="I155">
        <f>IF($AL155="","",IFERROR(INDEX('M2_区分マスタ'!$I$5:$I$10,INDEX('04_調査結果'!$AP$5:$AP$404,$AL155)),""))</f>
        <v/>
      </c>
      <c r="J155">
        <f>IF($AL155="","",INDEX('04_調査結果'!$BE$5:$BE$404,$AL155)&amp;"")</f>
        <v/>
      </c>
      <c r="K155">
        <f>IF($AL155="","",INDEX('04_調査結果'!$F$5:$F$404,$AL155)&amp;"")</f>
        <v/>
      </c>
      <c r="L155">
        <f>IF($AL155="","",INDEX('04_調査結果'!$G$5:$G$404,$AL155)&amp;"")</f>
        <v/>
      </c>
      <c r="M155">
        <f>IF($AL155="","",INDEX('04_調査結果'!$AQ$5:$AQ$404,$AL155)&amp;"")</f>
        <v/>
      </c>
      <c r="N155">
        <f>IF($AL155="","",IFERROR(INDEX('M1_類型マスタ'!$B$5:$B$19,MATCH(M155,'M1_類型マスタ'!$A$5:$A$19,0)),""))</f>
        <v/>
      </c>
      <c r="O155">
        <f>IF($AL155="","",INDEX('04_調査結果'!$I$5:$I$404,$AL155)&amp;"")</f>
        <v/>
      </c>
      <c r="P155">
        <f>IF($AL155="","",INDEX('04_調査結果'!$J$5:$J$404,$AL155)&amp;"")</f>
        <v/>
      </c>
      <c r="Q155">
        <f>IF($AL155="","",INDEX('04_調査結果'!$K$5:$K$404,$AL155)&amp;"")</f>
        <v/>
      </c>
      <c r="R155">
        <f>IF($AL155="","",INDEX('04_調査結果'!$L$5:$L$404,$AL155)&amp;"")</f>
        <v/>
      </c>
      <c r="S155">
        <f>IF($AL155="","",INDEX('04_調査結果'!$M$5:$M$404,$AL155)&amp;"")</f>
        <v/>
      </c>
      <c r="T155" s="33">
        <f>IF($AL155="","",IF(INDEX('04_調査結果'!$AE$5:$AE$404,$AL155)&lt;&gt;"",INDEX('04_調査結果'!$AE$5:$AE$404,$AL155),INDEX('04_調査結果'!$AS$5:$AS$404,$AL155)))</f>
        <v/>
      </c>
      <c r="U155" s="33">
        <f>IF($AL155="","",IF(INDEX('04_調査結果'!$AF$5:$AF$404,$AL155)&lt;&gt;"",INDEX('04_調査結果'!$AF$5:$AF$404,$AL155),INDEX('04_調査結果'!$AT$5:$AT$404,$AL155)))</f>
        <v/>
      </c>
      <c r="V155" s="33">
        <f>IF($AL155="","",INDEX('04_調査結果'!$AI$5:$AI$404,$AL155))</f>
        <v/>
      </c>
      <c r="W155">
        <f>IF($AL155="","",INDEX('04_調査結果'!$AU$5:$AU$404,$AL155))</f>
        <v/>
      </c>
      <c r="X155" s="37">
        <f>IF($AL155="","",INDEX('04_調査結果'!$AW$5:$AW$404,$AL155))</f>
        <v/>
      </c>
      <c r="Y155" s="37">
        <f>IF($AL155="","",INDEX('04_調査結果'!$AX$5:$AX$404,$AL155))</f>
        <v/>
      </c>
      <c r="Z155">
        <f>IF($AL155="","",INDEX('04_調査結果'!$S$5:$S$404,$AL155)&amp;"")</f>
        <v/>
      </c>
      <c r="AA155">
        <f>IF($AL155="","",INDEX('04_調査結果'!$T$5:$T$404,$AL155))</f>
        <v/>
      </c>
      <c r="AB155">
        <f>IF($AL155="","",INDEX('04_調査結果'!$U$5:$U$404,$AL155))</f>
        <v/>
      </c>
      <c r="AC155">
        <f>IF($AL155="","",INDEX('04_調査結果'!$V$5:$V$404,$AL155))</f>
        <v/>
      </c>
      <c r="AD155">
        <f>IF($AL155="","",INDEX('04_調査結果'!$W$5:$W$404,$AL155))</f>
        <v/>
      </c>
      <c r="AE155">
        <f>IF($AL155="","",INDEX('04_調査結果'!$X$5:$X$404,$AL155))</f>
        <v/>
      </c>
      <c r="AF155">
        <f>IF($AL155="","",INDEX('04_調査結果'!$Y$5:$Y$404,$AL155))</f>
        <v/>
      </c>
      <c r="AG155">
        <f>IF($AL155="","",INDEX('04_調査結果'!$Z$5:$Z$404,$AL155))</f>
        <v/>
      </c>
      <c r="AH155">
        <f>IF($AL155="","",INDEX('04_調査結果'!$AK$5:$AK$404,$AL155))</f>
        <v/>
      </c>
      <c r="AI155">
        <f>IF($AL155="","",INDEX('04_調査結果'!$AH$5:$AH$404,$AL155)&amp;"")</f>
        <v/>
      </c>
      <c r="AJ155">
        <f>IF($AL155="","",INDEX('04_調査結果'!$AA$5:$AA$404,$AL155)&amp;"")</f>
        <v/>
      </c>
      <c r="AK155">
        <f>IF($AL155="","",INDEX('04_調査結果'!$AC$5:$AC$404,$AL155)&amp;"")</f>
        <v/>
      </c>
      <c r="AL155" s="34">
        <f>IFERROR(MATCH(ROW()-4,'04_調査結果'!$AZ$5:$AZ$404,0),"")</f>
        <v/>
      </c>
    </row>
    <row r="156">
      <c r="A156">
        <f>IF($AL156="","",'01_設定'!$C$36)</f>
        <v/>
      </c>
      <c r="B156">
        <f>IF($AL156="","",'01_設定'!$C$5)</f>
        <v/>
      </c>
      <c r="C156">
        <f>IF($AL156="","",'01_設定'!$C$6)</f>
        <v/>
      </c>
      <c r="D156" s="36">
        <f>IF($AL156="","",'01_設定'!$C$22)</f>
        <v/>
      </c>
      <c r="E156" s="36">
        <f>IF($AL156="","",'01_設定'!$C$23)</f>
        <v/>
      </c>
      <c r="F156">
        <f>IF($AL156="","",'01_設定'!$C$32)</f>
        <v/>
      </c>
      <c r="G156">
        <f>IF($AL156="","",ROW()-4)</f>
        <v/>
      </c>
      <c r="H156">
        <f>IF($AL156="","",INDEX('04_調査結果'!$AO$5:$AO$404,$AL156))</f>
        <v/>
      </c>
      <c r="I156">
        <f>IF($AL156="","",IFERROR(INDEX('M2_区分マスタ'!$I$5:$I$10,INDEX('04_調査結果'!$AP$5:$AP$404,$AL156)),""))</f>
        <v/>
      </c>
      <c r="J156">
        <f>IF($AL156="","",INDEX('04_調査結果'!$BE$5:$BE$404,$AL156)&amp;"")</f>
        <v/>
      </c>
      <c r="K156">
        <f>IF($AL156="","",INDEX('04_調査結果'!$F$5:$F$404,$AL156)&amp;"")</f>
        <v/>
      </c>
      <c r="L156">
        <f>IF($AL156="","",INDEX('04_調査結果'!$G$5:$G$404,$AL156)&amp;"")</f>
        <v/>
      </c>
      <c r="M156">
        <f>IF($AL156="","",INDEX('04_調査結果'!$AQ$5:$AQ$404,$AL156)&amp;"")</f>
        <v/>
      </c>
      <c r="N156">
        <f>IF($AL156="","",IFERROR(INDEX('M1_類型マスタ'!$B$5:$B$19,MATCH(M156,'M1_類型マスタ'!$A$5:$A$19,0)),""))</f>
        <v/>
      </c>
      <c r="O156">
        <f>IF($AL156="","",INDEX('04_調査結果'!$I$5:$I$404,$AL156)&amp;"")</f>
        <v/>
      </c>
      <c r="P156">
        <f>IF($AL156="","",INDEX('04_調査結果'!$J$5:$J$404,$AL156)&amp;"")</f>
        <v/>
      </c>
      <c r="Q156">
        <f>IF($AL156="","",INDEX('04_調査結果'!$K$5:$K$404,$AL156)&amp;"")</f>
        <v/>
      </c>
      <c r="R156">
        <f>IF($AL156="","",INDEX('04_調査結果'!$L$5:$L$404,$AL156)&amp;"")</f>
        <v/>
      </c>
      <c r="S156">
        <f>IF($AL156="","",INDEX('04_調査結果'!$M$5:$M$404,$AL156)&amp;"")</f>
        <v/>
      </c>
      <c r="T156" s="33">
        <f>IF($AL156="","",IF(INDEX('04_調査結果'!$AE$5:$AE$404,$AL156)&lt;&gt;"",INDEX('04_調査結果'!$AE$5:$AE$404,$AL156),INDEX('04_調査結果'!$AS$5:$AS$404,$AL156)))</f>
        <v/>
      </c>
      <c r="U156" s="33">
        <f>IF($AL156="","",IF(INDEX('04_調査結果'!$AF$5:$AF$404,$AL156)&lt;&gt;"",INDEX('04_調査結果'!$AF$5:$AF$404,$AL156),INDEX('04_調査結果'!$AT$5:$AT$404,$AL156)))</f>
        <v/>
      </c>
      <c r="V156" s="33">
        <f>IF($AL156="","",INDEX('04_調査結果'!$AI$5:$AI$404,$AL156))</f>
        <v/>
      </c>
      <c r="W156">
        <f>IF($AL156="","",INDEX('04_調査結果'!$AU$5:$AU$404,$AL156))</f>
        <v/>
      </c>
      <c r="X156" s="37">
        <f>IF($AL156="","",INDEX('04_調査結果'!$AW$5:$AW$404,$AL156))</f>
        <v/>
      </c>
      <c r="Y156" s="37">
        <f>IF($AL156="","",INDEX('04_調査結果'!$AX$5:$AX$404,$AL156))</f>
        <v/>
      </c>
      <c r="Z156">
        <f>IF($AL156="","",INDEX('04_調査結果'!$S$5:$S$404,$AL156)&amp;"")</f>
        <v/>
      </c>
      <c r="AA156">
        <f>IF($AL156="","",INDEX('04_調査結果'!$T$5:$T$404,$AL156))</f>
        <v/>
      </c>
      <c r="AB156">
        <f>IF($AL156="","",INDEX('04_調査結果'!$U$5:$U$404,$AL156))</f>
        <v/>
      </c>
      <c r="AC156">
        <f>IF($AL156="","",INDEX('04_調査結果'!$V$5:$V$404,$AL156))</f>
        <v/>
      </c>
      <c r="AD156">
        <f>IF($AL156="","",INDEX('04_調査結果'!$W$5:$W$404,$AL156))</f>
        <v/>
      </c>
      <c r="AE156">
        <f>IF($AL156="","",INDEX('04_調査結果'!$X$5:$X$404,$AL156))</f>
        <v/>
      </c>
      <c r="AF156">
        <f>IF($AL156="","",INDEX('04_調査結果'!$Y$5:$Y$404,$AL156))</f>
        <v/>
      </c>
      <c r="AG156">
        <f>IF($AL156="","",INDEX('04_調査結果'!$Z$5:$Z$404,$AL156))</f>
        <v/>
      </c>
      <c r="AH156">
        <f>IF($AL156="","",INDEX('04_調査結果'!$AK$5:$AK$404,$AL156))</f>
        <v/>
      </c>
      <c r="AI156">
        <f>IF($AL156="","",INDEX('04_調査結果'!$AH$5:$AH$404,$AL156)&amp;"")</f>
        <v/>
      </c>
      <c r="AJ156">
        <f>IF($AL156="","",INDEX('04_調査結果'!$AA$5:$AA$404,$AL156)&amp;"")</f>
        <v/>
      </c>
      <c r="AK156">
        <f>IF($AL156="","",INDEX('04_調査結果'!$AC$5:$AC$404,$AL156)&amp;"")</f>
        <v/>
      </c>
      <c r="AL156" s="34">
        <f>IFERROR(MATCH(ROW()-4,'04_調査結果'!$AZ$5:$AZ$404,0),"")</f>
        <v/>
      </c>
    </row>
    <row r="157">
      <c r="A157">
        <f>IF($AL157="","",'01_設定'!$C$36)</f>
        <v/>
      </c>
      <c r="B157">
        <f>IF($AL157="","",'01_設定'!$C$5)</f>
        <v/>
      </c>
      <c r="C157">
        <f>IF($AL157="","",'01_設定'!$C$6)</f>
        <v/>
      </c>
      <c r="D157" s="36">
        <f>IF($AL157="","",'01_設定'!$C$22)</f>
        <v/>
      </c>
      <c r="E157" s="36">
        <f>IF($AL157="","",'01_設定'!$C$23)</f>
        <v/>
      </c>
      <c r="F157">
        <f>IF($AL157="","",'01_設定'!$C$32)</f>
        <v/>
      </c>
      <c r="G157">
        <f>IF($AL157="","",ROW()-4)</f>
        <v/>
      </c>
      <c r="H157">
        <f>IF($AL157="","",INDEX('04_調査結果'!$AO$5:$AO$404,$AL157))</f>
        <v/>
      </c>
      <c r="I157">
        <f>IF($AL157="","",IFERROR(INDEX('M2_区分マスタ'!$I$5:$I$10,INDEX('04_調査結果'!$AP$5:$AP$404,$AL157)),""))</f>
        <v/>
      </c>
      <c r="J157">
        <f>IF($AL157="","",INDEX('04_調査結果'!$BE$5:$BE$404,$AL157)&amp;"")</f>
        <v/>
      </c>
      <c r="K157">
        <f>IF($AL157="","",INDEX('04_調査結果'!$F$5:$F$404,$AL157)&amp;"")</f>
        <v/>
      </c>
      <c r="L157">
        <f>IF($AL157="","",INDEX('04_調査結果'!$G$5:$G$404,$AL157)&amp;"")</f>
        <v/>
      </c>
      <c r="M157">
        <f>IF($AL157="","",INDEX('04_調査結果'!$AQ$5:$AQ$404,$AL157)&amp;"")</f>
        <v/>
      </c>
      <c r="N157">
        <f>IF($AL157="","",IFERROR(INDEX('M1_類型マスタ'!$B$5:$B$19,MATCH(M157,'M1_類型マスタ'!$A$5:$A$19,0)),""))</f>
        <v/>
      </c>
      <c r="O157">
        <f>IF($AL157="","",INDEX('04_調査結果'!$I$5:$I$404,$AL157)&amp;"")</f>
        <v/>
      </c>
      <c r="P157">
        <f>IF($AL157="","",INDEX('04_調査結果'!$J$5:$J$404,$AL157)&amp;"")</f>
        <v/>
      </c>
      <c r="Q157">
        <f>IF($AL157="","",INDEX('04_調査結果'!$K$5:$K$404,$AL157)&amp;"")</f>
        <v/>
      </c>
      <c r="R157">
        <f>IF($AL157="","",INDEX('04_調査結果'!$L$5:$L$404,$AL157)&amp;"")</f>
        <v/>
      </c>
      <c r="S157">
        <f>IF($AL157="","",INDEX('04_調査結果'!$M$5:$M$404,$AL157)&amp;"")</f>
        <v/>
      </c>
      <c r="T157" s="33">
        <f>IF($AL157="","",IF(INDEX('04_調査結果'!$AE$5:$AE$404,$AL157)&lt;&gt;"",INDEX('04_調査結果'!$AE$5:$AE$404,$AL157),INDEX('04_調査結果'!$AS$5:$AS$404,$AL157)))</f>
        <v/>
      </c>
      <c r="U157" s="33">
        <f>IF($AL157="","",IF(INDEX('04_調査結果'!$AF$5:$AF$404,$AL157)&lt;&gt;"",INDEX('04_調査結果'!$AF$5:$AF$404,$AL157),INDEX('04_調査結果'!$AT$5:$AT$404,$AL157)))</f>
        <v/>
      </c>
      <c r="V157" s="33">
        <f>IF($AL157="","",INDEX('04_調査結果'!$AI$5:$AI$404,$AL157))</f>
        <v/>
      </c>
      <c r="W157">
        <f>IF($AL157="","",INDEX('04_調査結果'!$AU$5:$AU$404,$AL157))</f>
        <v/>
      </c>
      <c r="X157" s="37">
        <f>IF($AL157="","",INDEX('04_調査結果'!$AW$5:$AW$404,$AL157))</f>
        <v/>
      </c>
      <c r="Y157" s="37">
        <f>IF($AL157="","",INDEX('04_調査結果'!$AX$5:$AX$404,$AL157))</f>
        <v/>
      </c>
      <c r="Z157">
        <f>IF($AL157="","",INDEX('04_調査結果'!$S$5:$S$404,$AL157)&amp;"")</f>
        <v/>
      </c>
      <c r="AA157">
        <f>IF($AL157="","",INDEX('04_調査結果'!$T$5:$T$404,$AL157))</f>
        <v/>
      </c>
      <c r="AB157">
        <f>IF($AL157="","",INDEX('04_調査結果'!$U$5:$U$404,$AL157))</f>
        <v/>
      </c>
      <c r="AC157">
        <f>IF($AL157="","",INDEX('04_調査結果'!$V$5:$V$404,$AL157))</f>
        <v/>
      </c>
      <c r="AD157">
        <f>IF($AL157="","",INDEX('04_調査結果'!$W$5:$W$404,$AL157))</f>
        <v/>
      </c>
      <c r="AE157">
        <f>IF($AL157="","",INDEX('04_調査結果'!$X$5:$X$404,$AL157))</f>
        <v/>
      </c>
      <c r="AF157">
        <f>IF($AL157="","",INDEX('04_調査結果'!$Y$5:$Y$404,$AL157))</f>
        <v/>
      </c>
      <c r="AG157">
        <f>IF($AL157="","",INDEX('04_調査結果'!$Z$5:$Z$404,$AL157))</f>
        <v/>
      </c>
      <c r="AH157">
        <f>IF($AL157="","",INDEX('04_調査結果'!$AK$5:$AK$404,$AL157))</f>
        <v/>
      </c>
      <c r="AI157">
        <f>IF($AL157="","",INDEX('04_調査結果'!$AH$5:$AH$404,$AL157)&amp;"")</f>
        <v/>
      </c>
      <c r="AJ157">
        <f>IF($AL157="","",INDEX('04_調査結果'!$AA$5:$AA$404,$AL157)&amp;"")</f>
        <v/>
      </c>
      <c r="AK157">
        <f>IF($AL157="","",INDEX('04_調査結果'!$AC$5:$AC$404,$AL157)&amp;"")</f>
        <v/>
      </c>
      <c r="AL157" s="34">
        <f>IFERROR(MATCH(ROW()-4,'04_調査結果'!$AZ$5:$AZ$404,0),"")</f>
        <v/>
      </c>
    </row>
    <row r="158">
      <c r="A158">
        <f>IF($AL158="","",'01_設定'!$C$36)</f>
        <v/>
      </c>
      <c r="B158">
        <f>IF($AL158="","",'01_設定'!$C$5)</f>
        <v/>
      </c>
      <c r="C158">
        <f>IF($AL158="","",'01_設定'!$C$6)</f>
        <v/>
      </c>
      <c r="D158" s="36">
        <f>IF($AL158="","",'01_設定'!$C$22)</f>
        <v/>
      </c>
      <c r="E158" s="36">
        <f>IF($AL158="","",'01_設定'!$C$23)</f>
        <v/>
      </c>
      <c r="F158">
        <f>IF($AL158="","",'01_設定'!$C$32)</f>
        <v/>
      </c>
      <c r="G158">
        <f>IF($AL158="","",ROW()-4)</f>
        <v/>
      </c>
      <c r="H158">
        <f>IF($AL158="","",INDEX('04_調査結果'!$AO$5:$AO$404,$AL158))</f>
        <v/>
      </c>
      <c r="I158">
        <f>IF($AL158="","",IFERROR(INDEX('M2_区分マスタ'!$I$5:$I$10,INDEX('04_調査結果'!$AP$5:$AP$404,$AL158)),""))</f>
        <v/>
      </c>
      <c r="J158">
        <f>IF($AL158="","",INDEX('04_調査結果'!$BE$5:$BE$404,$AL158)&amp;"")</f>
        <v/>
      </c>
      <c r="K158">
        <f>IF($AL158="","",INDEX('04_調査結果'!$F$5:$F$404,$AL158)&amp;"")</f>
        <v/>
      </c>
      <c r="L158">
        <f>IF($AL158="","",INDEX('04_調査結果'!$G$5:$G$404,$AL158)&amp;"")</f>
        <v/>
      </c>
      <c r="M158">
        <f>IF($AL158="","",INDEX('04_調査結果'!$AQ$5:$AQ$404,$AL158)&amp;"")</f>
        <v/>
      </c>
      <c r="N158">
        <f>IF($AL158="","",IFERROR(INDEX('M1_類型マスタ'!$B$5:$B$19,MATCH(M158,'M1_類型マスタ'!$A$5:$A$19,0)),""))</f>
        <v/>
      </c>
      <c r="O158">
        <f>IF($AL158="","",INDEX('04_調査結果'!$I$5:$I$404,$AL158)&amp;"")</f>
        <v/>
      </c>
      <c r="P158">
        <f>IF($AL158="","",INDEX('04_調査結果'!$J$5:$J$404,$AL158)&amp;"")</f>
        <v/>
      </c>
      <c r="Q158">
        <f>IF($AL158="","",INDEX('04_調査結果'!$K$5:$K$404,$AL158)&amp;"")</f>
        <v/>
      </c>
      <c r="R158">
        <f>IF($AL158="","",INDEX('04_調査結果'!$L$5:$L$404,$AL158)&amp;"")</f>
        <v/>
      </c>
      <c r="S158">
        <f>IF($AL158="","",INDEX('04_調査結果'!$M$5:$M$404,$AL158)&amp;"")</f>
        <v/>
      </c>
      <c r="T158" s="33">
        <f>IF($AL158="","",IF(INDEX('04_調査結果'!$AE$5:$AE$404,$AL158)&lt;&gt;"",INDEX('04_調査結果'!$AE$5:$AE$404,$AL158),INDEX('04_調査結果'!$AS$5:$AS$404,$AL158)))</f>
        <v/>
      </c>
      <c r="U158" s="33">
        <f>IF($AL158="","",IF(INDEX('04_調査結果'!$AF$5:$AF$404,$AL158)&lt;&gt;"",INDEX('04_調査結果'!$AF$5:$AF$404,$AL158),INDEX('04_調査結果'!$AT$5:$AT$404,$AL158)))</f>
        <v/>
      </c>
      <c r="V158" s="33">
        <f>IF($AL158="","",INDEX('04_調査結果'!$AI$5:$AI$404,$AL158))</f>
        <v/>
      </c>
      <c r="W158">
        <f>IF($AL158="","",INDEX('04_調査結果'!$AU$5:$AU$404,$AL158))</f>
        <v/>
      </c>
      <c r="X158" s="37">
        <f>IF($AL158="","",INDEX('04_調査結果'!$AW$5:$AW$404,$AL158))</f>
        <v/>
      </c>
      <c r="Y158" s="37">
        <f>IF($AL158="","",INDEX('04_調査結果'!$AX$5:$AX$404,$AL158))</f>
        <v/>
      </c>
      <c r="Z158">
        <f>IF($AL158="","",INDEX('04_調査結果'!$S$5:$S$404,$AL158)&amp;"")</f>
        <v/>
      </c>
      <c r="AA158">
        <f>IF($AL158="","",INDEX('04_調査結果'!$T$5:$T$404,$AL158))</f>
        <v/>
      </c>
      <c r="AB158">
        <f>IF($AL158="","",INDEX('04_調査結果'!$U$5:$U$404,$AL158))</f>
        <v/>
      </c>
      <c r="AC158">
        <f>IF($AL158="","",INDEX('04_調査結果'!$V$5:$V$404,$AL158))</f>
        <v/>
      </c>
      <c r="AD158">
        <f>IF($AL158="","",INDEX('04_調査結果'!$W$5:$W$404,$AL158))</f>
        <v/>
      </c>
      <c r="AE158">
        <f>IF($AL158="","",INDEX('04_調査結果'!$X$5:$X$404,$AL158))</f>
        <v/>
      </c>
      <c r="AF158">
        <f>IF($AL158="","",INDEX('04_調査結果'!$Y$5:$Y$404,$AL158))</f>
        <v/>
      </c>
      <c r="AG158">
        <f>IF($AL158="","",INDEX('04_調査結果'!$Z$5:$Z$404,$AL158))</f>
        <v/>
      </c>
      <c r="AH158">
        <f>IF($AL158="","",INDEX('04_調査結果'!$AK$5:$AK$404,$AL158))</f>
        <v/>
      </c>
      <c r="AI158">
        <f>IF($AL158="","",INDEX('04_調査結果'!$AH$5:$AH$404,$AL158)&amp;"")</f>
        <v/>
      </c>
      <c r="AJ158">
        <f>IF($AL158="","",INDEX('04_調査結果'!$AA$5:$AA$404,$AL158)&amp;"")</f>
        <v/>
      </c>
      <c r="AK158">
        <f>IF($AL158="","",INDEX('04_調査結果'!$AC$5:$AC$404,$AL158)&amp;"")</f>
        <v/>
      </c>
      <c r="AL158" s="34">
        <f>IFERROR(MATCH(ROW()-4,'04_調査結果'!$AZ$5:$AZ$404,0),"")</f>
        <v/>
      </c>
    </row>
    <row r="159">
      <c r="A159">
        <f>IF($AL159="","",'01_設定'!$C$36)</f>
        <v/>
      </c>
      <c r="B159">
        <f>IF($AL159="","",'01_設定'!$C$5)</f>
        <v/>
      </c>
      <c r="C159">
        <f>IF($AL159="","",'01_設定'!$C$6)</f>
        <v/>
      </c>
      <c r="D159" s="36">
        <f>IF($AL159="","",'01_設定'!$C$22)</f>
        <v/>
      </c>
      <c r="E159" s="36">
        <f>IF($AL159="","",'01_設定'!$C$23)</f>
        <v/>
      </c>
      <c r="F159">
        <f>IF($AL159="","",'01_設定'!$C$32)</f>
        <v/>
      </c>
      <c r="G159">
        <f>IF($AL159="","",ROW()-4)</f>
        <v/>
      </c>
      <c r="H159">
        <f>IF($AL159="","",INDEX('04_調査結果'!$AO$5:$AO$404,$AL159))</f>
        <v/>
      </c>
      <c r="I159">
        <f>IF($AL159="","",IFERROR(INDEX('M2_区分マスタ'!$I$5:$I$10,INDEX('04_調査結果'!$AP$5:$AP$404,$AL159)),""))</f>
        <v/>
      </c>
      <c r="J159">
        <f>IF($AL159="","",INDEX('04_調査結果'!$BE$5:$BE$404,$AL159)&amp;"")</f>
        <v/>
      </c>
      <c r="K159">
        <f>IF($AL159="","",INDEX('04_調査結果'!$F$5:$F$404,$AL159)&amp;"")</f>
        <v/>
      </c>
      <c r="L159">
        <f>IF($AL159="","",INDEX('04_調査結果'!$G$5:$G$404,$AL159)&amp;"")</f>
        <v/>
      </c>
      <c r="M159">
        <f>IF($AL159="","",INDEX('04_調査結果'!$AQ$5:$AQ$404,$AL159)&amp;"")</f>
        <v/>
      </c>
      <c r="N159">
        <f>IF($AL159="","",IFERROR(INDEX('M1_類型マスタ'!$B$5:$B$19,MATCH(M159,'M1_類型マスタ'!$A$5:$A$19,0)),""))</f>
        <v/>
      </c>
      <c r="O159">
        <f>IF($AL159="","",INDEX('04_調査結果'!$I$5:$I$404,$AL159)&amp;"")</f>
        <v/>
      </c>
      <c r="P159">
        <f>IF($AL159="","",INDEX('04_調査結果'!$J$5:$J$404,$AL159)&amp;"")</f>
        <v/>
      </c>
      <c r="Q159">
        <f>IF($AL159="","",INDEX('04_調査結果'!$K$5:$K$404,$AL159)&amp;"")</f>
        <v/>
      </c>
      <c r="R159">
        <f>IF($AL159="","",INDEX('04_調査結果'!$L$5:$L$404,$AL159)&amp;"")</f>
        <v/>
      </c>
      <c r="S159">
        <f>IF($AL159="","",INDEX('04_調査結果'!$M$5:$M$404,$AL159)&amp;"")</f>
        <v/>
      </c>
      <c r="T159" s="33">
        <f>IF($AL159="","",IF(INDEX('04_調査結果'!$AE$5:$AE$404,$AL159)&lt;&gt;"",INDEX('04_調査結果'!$AE$5:$AE$404,$AL159),INDEX('04_調査結果'!$AS$5:$AS$404,$AL159)))</f>
        <v/>
      </c>
      <c r="U159" s="33">
        <f>IF($AL159="","",IF(INDEX('04_調査結果'!$AF$5:$AF$404,$AL159)&lt;&gt;"",INDEX('04_調査結果'!$AF$5:$AF$404,$AL159),INDEX('04_調査結果'!$AT$5:$AT$404,$AL159)))</f>
        <v/>
      </c>
      <c r="V159" s="33">
        <f>IF($AL159="","",INDEX('04_調査結果'!$AI$5:$AI$404,$AL159))</f>
        <v/>
      </c>
      <c r="W159">
        <f>IF($AL159="","",INDEX('04_調査結果'!$AU$5:$AU$404,$AL159))</f>
        <v/>
      </c>
      <c r="X159" s="37">
        <f>IF($AL159="","",INDEX('04_調査結果'!$AW$5:$AW$404,$AL159))</f>
        <v/>
      </c>
      <c r="Y159" s="37">
        <f>IF($AL159="","",INDEX('04_調査結果'!$AX$5:$AX$404,$AL159))</f>
        <v/>
      </c>
      <c r="Z159">
        <f>IF($AL159="","",INDEX('04_調査結果'!$S$5:$S$404,$AL159)&amp;"")</f>
        <v/>
      </c>
      <c r="AA159">
        <f>IF($AL159="","",INDEX('04_調査結果'!$T$5:$T$404,$AL159))</f>
        <v/>
      </c>
      <c r="AB159">
        <f>IF($AL159="","",INDEX('04_調査結果'!$U$5:$U$404,$AL159))</f>
        <v/>
      </c>
      <c r="AC159">
        <f>IF($AL159="","",INDEX('04_調査結果'!$V$5:$V$404,$AL159))</f>
        <v/>
      </c>
      <c r="AD159">
        <f>IF($AL159="","",INDEX('04_調査結果'!$W$5:$W$404,$AL159))</f>
        <v/>
      </c>
      <c r="AE159">
        <f>IF($AL159="","",INDEX('04_調査結果'!$X$5:$X$404,$AL159))</f>
        <v/>
      </c>
      <c r="AF159">
        <f>IF($AL159="","",INDEX('04_調査結果'!$Y$5:$Y$404,$AL159))</f>
        <v/>
      </c>
      <c r="AG159">
        <f>IF($AL159="","",INDEX('04_調査結果'!$Z$5:$Z$404,$AL159))</f>
        <v/>
      </c>
      <c r="AH159">
        <f>IF($AL159="","",INDEX('04_調査結果'!$AK$5:$AK$404,$AL159))</f>
        <v/>
      </c>
      <c r="AI159">
        <f>IF($AL159="","",INDEX('04_調査結果'!$AH$5:$AH$404,$AL159)&amp;"")</f>
        <v/>
      </c>
      <c r="AJ159">
        <f>IF($AL159="","",INDEX('04_調査結果'!$AA$5:$AA$404,$AL159)&amp;"")</f>
        <v/>
      </c>
      <c r="AK159">
        <f>IF($AL159="","",INDEX('04_調査結果'!$AC$5:$AC$404,$AL159)&amp;"")</f>
        <v/>
      </c>
      <c r="AL159" s="34">
        <f>IFERROR(MATCH(ROW()-4,'04_調査結果'!$AZ$5:$AZ$404,0),"")</f>
        <v/>
      </c>
    </row>
    <row r="160">
      <c r="A160">
        <f>IF($AL160="","",'01_設定'!$C$36)</f>
        <v/>
      </c>
      <c r="B160">
        <f>IF($AL160="","",'01_設定'!$C$5)</f>
        <v/>
      </c>
      <c r="C160">
        <f>IF($AL160="","",'01_設定'!$C$6)</f>
        <v/>
      </c>
      <c r="D160" s="36">
        <f>IF($AL160="","",'01_設定'!$C$22)</f>
        <v/>
      </c>
      <c r="E160" s="36">
        <f>IF($AL160="","",'01_設定'!$C$23)</f>
        <v/>
      </c>
      <c r="F160">
        <f>IF($AL160="","",'01_設定'!$C$32)</f>
        <v/>
      </c>
      <c r="G160">
        <f>IF($AL160="","",ROW()-4)</f>
        <v/>
      </c>
      <c r="H160">
        <f>IF($AL160="","",INDEX('04_調査結果'!$AO$5:$AO$404,$AL160))</f>
        <v/>
      </c>
      <c r="I160">
        <f>IF($AL160="","",IFERROR(INDEX('M2_区分マスタ'!$I$5:$I$10,INDEX('04_調査結果'!$AP$5:$AP$404,$AL160)),""))</f>
        <v/>
      </c>
      <c r="J160">
        <f>IF($AL160="","",INDEX('04_調査結果'!$BE$5:$BE$404,$AL160)&amp;"")</f>
        <v/>
      </c>
      <c r="K160">
        <f>IF($AL160="","",INDEX('04_調査結果'!$F$5:$F$404,$AL160)&amp;"")</f>
        <v/>
      </c>
      <c r="L160">
        <f>IF($AL160="","",INDEX('04_調査結果'!$G$5:$G$404,$AL160)&amp;"")</f>
        <v/>
      </c>
      <c r="M160">
        <f>IF($AL160="","",INDEX('04_調査結果'!$AQ$5:$AQ$404,$AL160)&amp;"")</f>
        <v/>
      </c>
      <c r="N160">
        <f>IF($AL160="","",IFERROR(INDEX('M1_類型マスタ'!$B$5:$B$19,MATCH(M160,'M1_類型マスタ'!$A$5:$A$19,0)),""))</f>
        <v/>
      </c>
      <c r="O160">
        <f>IF($AL160="","",INDEX('04_調査結果'!$I$5:$I$404,$AL160)&amp;"")</f>
        <v/>
      </c>
      <c r="P160">
        <f>IF($AL160="","",INDEX('04_調査結果'!$J$5:$J$404,$AL160)&amp;"")</f>
        <v/>
      </c>
      <c r="Q160">
        <f>IF($AL160="","",INDEX('04_調査結果'!$K$5:$K$404,$AL160)&amp;"")</f>
        <v/>
      </c>
      <c r="R160">
        <f>IF($AL160="","",INDEX('04_調査結果'!$L$5:$L$404,$AL160)&amp;"")</f>
        <v/>
      </c>
      <c r="S160">
        <f>IF($AL160="","",INDEX('04_調査結果'!$M$5:$M$404,$AL160)&amp;"")</f>
        <v/>
      </c>
      <c r="T160" s="33">
        <f>IF($AL160="","",IF(INDEX('04_調査結果'!$AE$5:$AE$404,$AL160)&lt;&gt;"",INDEX('04_調査結果'!$AE$5:$AE$404,$AL160),INDEX('04_調査結果'!$AS$5:$AS$404,$AL160)))</f>
        <v/>
      </c>
      <c r="U160" s="33">
        <f>IF($AL160="","",IF(INDEX('04_調査結果'!$AF$5:$AF$404,$AL160)&lt;&gt;"",INDEX('04_調査結果'!$AF$5:$AF$404,$AL160),INDEX('04_調査結果'!$AT$5:$AT$404,$AL160)))</f>
        <v/>
      </c>
      <c r="V160" s="33">
        <f>IF($AL160="","",INDEX('04_調査結果'!$AI$5:$AI$404,$AL160))</f>
        <v/>
      </c>
      <c r="W160">
        <f>IF($AL160="","",INDEX('04_調査結果'!$AU$5:$AU$404,$AL160))</f>
        <v/>
      </c>
      <c r="X160" s="37">
        <f>IF($AL160="","",INDEX('04_調査結果'!$AW$5:$AW$404,$AL160))</f>
        <v/>
      </c>
      <c r="Y160" s="37">
        <f>IF($AL160="","",INDEX('04_調査結果'!$AX$5:$AX$404,$AL160))</f>
        <v/>
      </c>
      <c r="Z160">
        <f>IF($AL160="","",INDEX('04_調査結果'!$S$5:$S$404,$AL160)&amp;"")</f>
        <v/>
      </c>
      <c r="AA160">
        <f>IF($AL160="","",INDEX('04_調査結果'!$T$5:$T$404,$AL160))</f>
        <v/>
      </c>
      <c r="AB160">
        <f>IF($AL160="","",INDEX('04_調査結果'!$U$5:$U$404,$AL160))</f>
        <v/>
      </c>
      <c r="AC160">
        <f>IF($AL160="","",INDEX('04_調査結果'!$V$5:$V$404,$AL160))</f>
        <v/>
      </c>
      <c r="AD160">
        <f>IF($AL160="","",INDEX('04_調査結果'!$W$5:$W$404,$AL160))</f>
        <v/>
      </c>
      <c r="AE160">
        <f>IF($AL160="","",INDEX('04_調査結果'!$X$5:$X$404,$AL160))</f>
        <v/>
      </c>
      <c r="AF160">
        <f>IF($AL160="","",INDEX('04_調査結果'!$Y$5:$Y$404,$AL160))</f>
        <v/>
      </c>
      <c r="AG160">
        <f>IF($AL160="","",INDEX('04_調査結果'!$Z$5:$Z$404,$AL160))</f>
        <v/>
      </c>
      <c r="AH160">
        <f>IF($AL160="","",INDEX('04_調査結果'!$AK$5:$AK$404,$AL160))</f>
        <v/>
      </c>
      <c r="AI160">
        <f>IF($AL160="","",INDEX('04_調査結果'!$AH$5:$AH$404,$AL160)&amp;"")</f>
        <v/>
      </c>
      <c r="AJ160">
        <f>IF($AL160="","",INDEX('04_調査結果'!$AA$5:$AA$404,$AL160)&amp;"")</f>
        <v/>
      </c>
      <c r="AK160">
        <f>IF($AL160="","",INDEX('04_調査結果'!$AC$5:$AC$404,$AL160)&amp;"")</f>
        <v/>
      </c>
      <c r="AL160" s="34">
        <f>IFERROR(MATCH(ROW()-4,'04_調査結果'!$AZ$5:$AZ$404,0),"")</f>
        <v/>
      </c>
    </row>
    <row r="161">
      <c r="A161">
        <f>IF($AL161="","",'01_設定'!$C$36)</f>
        <v/>
      </c>
      <c r="B161">
        <f>IF($AL161="","",'01_設定'!$C$5)</f>
        <v/>
      </c>
      <c r="C161">
        <f>IF($AL161="","",'01_設定'!$C$6)</f>
        <v/>
      </c>
      <c r="D161" s="36">
        <f>IF($AL161="","",'01_設定'!$C$22)</f>
        <v/>
      </c>
      <c r="E161" s="36">
        <f>IF($AL161="","",'01_設定'!$C$23)</f>
        <v/>
      </c>
      <c r="F161">
        <f>IF($AL161="","",'01_設定'!$C$32)</f>
        <v/>
      </c>
      <c r="G161">
        <f>IF($AL161="","",ROW()-4)</f>
        <v/>
      </c>
      <c r="H161">
        <f>IF($AL161="","",INDEX('04_調査結果'!$AO$5:$AO$404,$AL161))</f>
        <v/>
      </c>
      <c r="I161">
        <f>IF($AL161="","",IFERROR(INDEX('M2_区分マスタ'!$I$5:$I$10,INDEX('04_調査結果'!$AP$5:$AP$404,$AL161)),""))</f>
        <v/>
      </c>
      <c r="J161">
        <f>IF($AL161="","",INDEX('04_調査結果'!$BE$5:$BE$404,$AL161)&amp;"")</f>
        <v/>
      </c>
      <c r="K161">
        <f>IF($AL161="","",INDEX('04_調査結果'!$F$5:$F$404,$AL161)&amp;"")</f>
        <v/>
      </c>
      <c r="L161">
        <f>IF($AL161="","",INDEX('04_調査結果'!$G$5:$G$404,$AL161)&amp;"")</f>
        <v/>
      </c>
      <c r="M161">
        <f>IF($AL161="","",INDEX('04_調査結果'!$AQ$5:$AQ$404,$AL161)&amp;"")</f>
        <v/>
      </c>
      <c r="N161">
        <f>IF($AL161="","",IFERROR(INDEX('M1_類型マスタ'!$B$5:$B$19,MATCH(M161,'M1_類型マスタ'!$A$5:$A$19,0)),""))</f>
        <v/>
      </c>
      <c r="O161">
        <f>IF($AL161="","",INDEX('04_調査結果'!$I$5:$I$404,$AL161)&amp;"")</f>
        <v/>
      </c>
      <c r="P161">
        <f>IF($AL161="","",INDEX('04_調査結果'!$J$5:$J$404,$AL161)&amp;"")</f>
        <v/>
      </c>
      <c r="Q161">
        <f>IF($AL161="","",INDEX('04_調査結果'!$K$5:$K$404,$AL161)&amp;"")</f>
        <v/>
      </c>
      <c r="R161">
        <f>IF($AL161="","",INDEX('04_調査結果'!$L$5:$L$404,$AL161)&amp;"")</f>
        <v/>
      </c>
      <c r="S161">
        <f>IF($AL161="","",INDEX('04_調査結果'!$M$5:$M$404,$AL161)&amp;"")</f>
        <v/>
      </c>
      <c r="T161" s="33">
        <f>IF($AL161="","",IF(INDEX('04_調査結果'!$AE$5:$AE$404,$AL161)&lt;&gt;"",INDEX('04_調査結果'!$AE$5:$AE$404,$AL161),INDEX('04_調査結果'!$AS$5:$AS$404,$AL161)))</f>
        <v/>
      </c>
      <c r="U161" s="33">
        <f>IF($AL161="","",IF(INDEX('04_調査結果'!$AF$5:$AF$404,$AL161)&lt;&gt;"",INDEX('04_調査結果'!$AF$5:$AF$404,$AL161),INDEX('04_調査結果'!$AT$5:$AT$404,$AL161)))</f>
        <v/>
      </c>
      <c r="V161" s="33">
        <f>IF($AL161="","",INDEX('04_調査結果'!$AI$5:$AI$404,$AL161))</f>
        <v/>
      </c>
      <c r="W161">
        <f>IF($AL161="","",INDEX('04_調査結果'!$AU$5:$AU$404,$AL161))</f>
        <v/>
      </c>
      <c r="X161" s="37">
        <f>IF($AL161="","",INDEX('04_調査結果'!$AW$5:$AW$404,$AL161))</f>
        <v/>
      </c>
      <c r="Y161" s="37">
        <f>IF($AL161="","",INDEX('04_調査結果'!$AX$5:$AX$404,$AL161))</f>
        <v/>
      </c>
      <c r="Z161">
        <f>IF($AL161="","",INDEX('04_調査結果'!$S$5:$S$404,$AL161)&amp;"")</f>
        <v/>
      </c>
      <c r="AA161">
        <f>IF($AL161="","",INDEX('04_調査結果'!$T$5:$T$404,$AL161))</f>
        <v/>
      </c>
      <c r="AB161">
        <f>IF($AL161="","",INDEX('04_調査結果'!$U$5:$U$404,$AL161))</f>
        <v/>
      </c>
      <c r="AC161">
        <f>IF($AL161="","",INDEX('04_調査結果'!$V$5:$V$404,$AL161))</f>
        <v/>
      </c>
      <c r="AD161">
        <f>IF($AL161="","",INDEX('04_調査結果'!$W$5:$W$404,$AL161))</f>
        <v/>
      </c>
      <c r="AE161">
        <f>IF($AL161="","",INDEX('04_調査結果'!$X$5:$X$404,$AL161))</f>
        <v/>
      </c>
      <c r="AF161">
        <f>IF($AL161="","",INDEX('04_調査結果'!$Y$5:$Y$404,$AL161))</f>
        <v/>
      </c>
      <c r="AG161">
        <f>IF($AL161="","",INDEX('04_調査結果'!$Z$5:$Z$404,$AL161))</f>
        <v/>
      </c>
      <c r="AH161">
        <f>IF($AL161="","",INDEX('04_調査結果'!$AK$5:$AK$404,$AL161))</f>
        <v/>
      </c>
      <c r="AI161">
        <f>IF($AL161="","",INDEX('04_調査結果'!$AH$5:$AH$404,$AL161)&amp;"")</f>
        <v/>
      </c>
      <c r="AJ161">
        <f>IF($AL161="","",INDEX('04_調査結果'!$AA$5:$AA$404,$AL161)&amp;"")</f>
        <v/>
      </c>
      <c r="AK161">
        <f>IF($AL161="","",INDEX('04_調査結果'!$AC$5:$AC$404,$AL161)&amp;"")</f>
        <v/>
      </c>
      <c r="AL161" s="34">
        <f>IFERROR(MATCH(ROW()-4,'04_調査結果'!$AZ$5:$AZ$404,0),"")</f>
        <v/>
      </c>
    </row>
    <row r="162">
      <c r="A162">
        <f>IF($AL162="","",'01_設定'!$C$36)</f>
        <v/>
      </c>
      <c r="B162">
        <f>IF($AL162="","",'01_設定'!$C$5)</f>
        <v/>
      </c>
      <c r="C162">
        <f>IF($AL162="","",'01_設定'!$C$6)</f>
        <v/>
      </c>
      <c r="D162" s="36">
        <f>IF($AL162="","",'01_設定'!$C$22)</f>
        <v/>
      </c>
      <c r="E162" s="36">
        <f>IF($AL162="","",'01_設定'!$C$23)</f>
        <v/>
      </c>
      <c r="F162">
        <f>IF($AL162="","",'01_設定'!$C$32)</f>
        <v/>
      </c>
      <c r="G162">
        <f>IF($AL162="","",ROW()-4)</f>
        <v/>
      </c>
      <c r="H162">
        <f>IF($AL162="","",INDEX('04_調査結果'!$AO$5:$AO$404,$AL162))</f>
        <v/>
      </c>
      <c r="I162">
        <f>IF($AL162="","",IFERROR(INDEX('M2_区分マスタ'!$I$5:$I$10,INDEX('04_調査結果'!$AP$5:$AP$404,$AL162)),""))</f>
        <v/>
      </c>
      <c r="J162">
        <f>IF($AL162="","",INDEX('04_調査結果'!$BE$5:$BE$404,$AL162)&amp;"")</f>
        <v/>
      </c>
      <c r="K162">
        <f>IF($AL162="","",INDEX('04_調査結果'!$F$5:$F$404,$AL162)&amp;"")</f>
        <v/>
      </c>
      <c r="L162">
        <f>IF($AL162="","",INDEX('04_調査結果'!$G$5:$G$404,$AL162)&amp;"")</f>
        <v/>
      </c>
      <c r="M162">
        <f>IF($AL162="","",INDEX('04_調査結果'!$AQ$5:$AQ$404,$AL162)&amp;"")</f>
        <v/>
      </c>
      <c r="N162">
        <f>IF($AL162="","",IFERROR(INDEX('M1_類型マスタ'!$B$5:$B$19,MATCH(M162,'M1_類型マスタ'!$A$5:$A$19,0)),""))</f>
        <v/>
      </c>
      <c r="O162">
        <f>IF($AL162="","",INDEX('04_調査結果'!$I$5:$I$404,$AL162)&amp;"")</f>
        <v/>
      </c>
      <c r="P162">
        <f>IF($AL162="","",INDEX('04_調査結果'!$J$5:$J$404,$AL162)&amp;"")</f>
        <v/>
      </c>
      <c r="Q162">
        <f>IF($AL162="","",INDEX('04_調査結果'!$K$5:$K$404,$AL162)&amp;"")</f>
        <v/>
      </c>
      <c r="R162">
        <f>IF($AL162="","",INDEX('04_調査結果'!$L$5:$L$404,$AL162)&amp;"")</f>
        <v/>
      </c>
      <c r="S162">
        <f>IF($AL162="","",INDEX('04_調査結果'!$M$5:$M$404,$AL162)&amp;"")</f>
        <v/>
      </c>
      <c r="T162" s="33">
        <f>IF($AL162="","",IF(INDEX('04_調査結果'!$AE$5:$AE$404,$AL162)&lt;&gt;"",INDEX('04_調査結果'!$AE$5:$AE$404,$AL162),INDEX('04_調査結果'!$AS$5:$AS$404,$AL162)))</f>
        <v/>
      </c>
      <c r="U162" s="33">
        <f>IF($AL162="","",IF(INDEX('04_調査結果'!$AF$5:$AF$404,$AL162)&lt;&gt;"",INDEX('04_調査結果'!$AF$5:$AF$404,$AL162),INDEX('04_調査結果'!$AT$5:$AT$404,$AL162)))</f>
        <v/>
      </c>
      <c r="V162" s="33">
        <f>IF($AL162="","",INDEX('04_調査結果'!$AI$5:$AI$404,$AL162))</f>
        <v/>
      </c>
      <c r="W162">
        <f>IF($AL162="","",INDEX('04_調査結果'!$AU$5:$AU$404,$AL162))</f>
        <v/>
      </c>
      <c r="X162" s="37">
        <f>IF($AL162="","",INDEX('04_調査結果'!$AW$5:$AW$404,$AL162))</f>
        <v/>
      </c>
      <c r="Y162" s="37">
        <f>IF($AL162="","",INDEX('04_調査結果'!$AX$5:$AX$404,$AL162))</f>
        <v/>
      </c>
      <c r="Z162">
        <f>IF($AL162="","",INDEX('04_調査結果'!$S$5:$S$404,$AL162)&amp;"")</f>
        <v/>
      </c>
      <c r="AA162">
        <f>IF($AL162="","",INDEX('04_調査結果'!$T$5:$T$404,$AL162))</f>
        <v/>
      </c>
      <c r="AB162">
        <f>IF($AL162="","",INDEX('04_調査結果'!$U$5:$U$404,$AL162))</f>
        <v/>
      </c>
      <c r="AC162">
        <f>IF($AL162="","",INDEX('04_調査結果'!$V$5:$V$404,$AL162))</f>
        <v/>
      </c>
      <c r="AD162">
        <f>IF($AL162="","",INDEX('04_調査結果'!$W$5:$W$404,$AL162))</f>
        <v/>
      </c>
      <c r="AE162">
        <f>IF($AL162="","",INDEX('04_調査結果'!$X$5:$X$404,$AL162))</f>
        <v/>
      </c>
      <c r="AF162">
        <f>IF($AL162="","",INDEX('04_調査結果'!$Y$5:$Y$404,$AL162))</f>
        <v/>
      </c>
      <c r="AG162">
        <f>IF($AL162="","",INDEX('04_調査結果'!$Z$5:$Z$404,$AL162))</f>
        <v/>
      </c>
      <c r="AH162">
        <f>IF($AL162="","",INDEX('04_調査結果'!$AK$5:$AK$404,$AL162))</f>
        <v/>
      </c>
      <c r="AI162">
        <f>IF($AL162="","",INDEX('04_調査結果'!$AH$5:$AH$404,$AL162)&amp;"")</f>
        <v/>
      </c>
      <c r="AJ162">
        <f>IF($AL162="","",INDEX('04_調査結果'!$AA$5:$AA$404,$AL162)&amp;"")</f>
        <v/>
      </c>
      <c r="AK162">
        <f>IF($AL162="","",INDEX('04_調査結果'!$AC$5:$AC$404,$AL162)&amp;"")</f>
        <v/>
      </c>
      <c r="AL162" s="34">
        <f>IFERROR(MATCH(ROW()-4,'04_調査結果'!$AZ$5:$AZ$404,0),"")</f>
        <v/>
      </c>
    </row>
    <row r="163">
      <c r="A163">
        <f>IF($AL163="","",'01_設定'!$C$36)</f>
        <v/>
      </c>
      <c r="B163">
        <f>IF($AL163="","",'01_設定'!$C$5)</f>
        <v/>
      </c>
      <c r="C163">
        <f>IF($AL163="","",'01_設定'!$C$6)</f>
        <v/>
      </c>
      <c r="D163" s="36">
        <f>IF($AL163="","",'01_設定'!$C$22)</f>
        <v/>
      </c>
      <c r="E163" s="36">
        <f>IF($AL163="","",'01_設定'!$C$23)</f>
        <v/>
      </c>
      <c r="F163">
        <f>IF($AL163="","",'01_設定'!$C$32)</f>
        <v/>
      </c>
      <c r="G163">
        <f>IF($AL163="","",ROW()-4)</f>
        <v/>
      </c>
      <c r="H163">
        <f>IF($AL163="","",INDEX('04_調査結果'!$AO$5:$AO$404,$AL163))</f>
        <v/>
      </c>
      <c r="I163">
        <f>IF($AL163="","",IFERROR(INDEX('M2_区分マスタ'!$I$5:$I$10,INDEX('04_調査結果'!$AP$5:$AP$404,$AL163)),""))</f>
        <v/>
      </c>
      <c r="J163">
        <f>IF($AL163="","",INDEX('04_調査結果'!$BE$5:$BE$404,$AL163)&amp;"")</f>
        <v/>
      </c>
      <c r="K163">
        <f>IF($AL163="","",INDEX('04_調査結果'!$F$5:$F$404,$AL163)&amp;"")</f>
        <v/>
      </c>
      <c r="L163">
        <f>IF($AL163="","",INDEX('04_調査結果'!$G$5:$G$404,$AL163)&amp;"")</f>
        <v/>
      </c>
      <c r="M163">
        <f>IF($AL163="","",INDEX('04_調査結果'!$AQ$5:$AQ$404,$AL163)&amp;"")</f>
        <v/>
      </c>
      <c r="N163">
        <f>IF($AL163="","",IFERROR(INDEX('M1_類型マスタ'!$B$5:$B$19,MATCH(M163,'M1_類型マスタ'!$A$5:$A$19,0)),""))</f>
        <v/>
      </c>
      <c r="O163">
        <f>IF($AL163="","",INDEX('04_調査結果'!$I$5:$I$404,$AL163)&amp;"")</f>
        <v/>
      </c>
      <c r="P163">
        <f>IF($AL163="","",INDEX('04_調査結果'!$J$5:$J$404,$AL163)&amp;"")</f>
        <v/>
      </c>
      <c r="Q163">
        <f>IF($AL163="","",INDEX('04_調査結果'!$K$5:$K$404,$AL163)&amp;"")</f>
        <v/>
      </c>
      <c r="R163">
        <f>IF($AL163="","",INDEX('04_調査結果'!$L$5:$L$404,$AL163)&amp;"")</f>
        <v/>
      </c>
      <c r="S163">
        <f>IF($AL163="","",INDEX('04_調査結果'!$M$5:$M$404,$AL163)&amp;"")</f>
        <v/>
      </c>
      <c r="T163" s="33">
        <f>IF($AL163="","",IF(INDEX('04_調査結果'!$AE$5:$AE$404,$AL163)&lt;&gt;"",INDEX('04_調査結果'!$AE$5:$AE$404,$AL163),INDEX('04_調査結果'!$AS$5:$AS$404,$AL163)))</f>
        <v/>
      </c>
      <c r="U163" s="33">
        <f>IF($AL163="","",IF(INDEX('04_調査結果'!$AF$5:$AF$404,$AL163)&lt;&gt;"",INDEX('04_調査結果'!$AF$5:$AF$404,$AL163),INDEX('04_調査結果'!$AT$5:$AT$404,$AL163)))</f>
        <v/>
      </c>
      <c r="V163" s="33">
        <f>IF($AL163="","",INDEX('04_調査結果'!$AI$5:$AI$404,$AL163))</f>
        <v/>
      </c>
      <c r="W163">
        <f>IF($AL163="","",INDEX('04_調査結果'!$AU$5:$AU$404,$AL163))</f>
        <v/>
      </c>
      <c r="X163" s="37">
        <f>IF($AL163="","",INDEX('04_調査結果'!$AW$5:$AW$404,$AL163))</f>
        <v/>
      </c>
      <c r="Y163" s="37">
        <f>IF($AL163="","",INDEX('04_調査結果'!$AX$5:$AX$404,$AL163))</f>
        <v/>
      </c>
      <c r="Z163">
        <f>IF($AL163="","",INDEX('04_調査結果'!$S$5:$S$404,$AL163)&amp;"")</f>
        <v/>
      </c>
      <c r="AA163">
        <f>IF($AL163="","",INDEX('04_調査結果'!$T$5:$T$404,$AL163))</f>
        <v/>
      </c>
      <c r="AB163">
        <f>IF($AL163="","",INDEX('04_調査結果'!$U$5:$U$404,$AL163))</f>
        <v/>
      </c>
      <c r="AC163">
        <f>IF($AL163="","",INDEX('04_調査結果'!$V$5:$V$404,$AL163))</f>
        <v/>
      </c>
      <c r="AD163">
        <f>IF($AL163="","",INDEX('04_調査結果'!$W$5:$W$404,$AL163))</f>
        <v/>
      </c>
      <c r="AE163">
        <f>IF($AL163="","",INDEX('04_調査結果'!$X$5:$X$404,$AL163))</f>
        <v/>
      </c>
      <c r="AF163">
        <f>IF($AL163="","",INDEX('04_調査結果'!$Y$5:$Y$404,$AL163))</f>
        <v/>
      </c>
      <c r="AG163">
        <f>IF($AL163="","",INDEX('04_調査結果'!$Z$5:$Z$404,$AL163))</f>
        <v/>
      </c>
      <c r="AH163">
        <f>IF($AL163="","",INDEX('04_調査結果'!$AK$5:$AK$404,$AL163))</f>
        <v/>
      </c>
      <c r="AI163">
        <f>IF($AL163="","",INDEX('04_調査結果'!$AH$5:$AH$404,$AL163)&amp;"")</f>
        <v/>
      </c>
      <c r="AJ163">
        <f>IF($AL163="","",INDEX('04_調査結果'!$AA$5:$AA$404,$AL163)&amp;"")</f>
        <v/>
      </c>
      <c r="AK163">
        <f>IF($AL163="","",INDEX('04_調査結果'!$AC$5:$AC$404,$AL163)&amp;"")</f>
        <v/>
      </c>
      <c r="AL163" s="34">
        <f>IFERROR(MATCH(ROW()-4,'04_調査結果'!$AZ$5:$AZ$404,0),"")</f>
        <v/>
      </c>
    </row>
    <row r="164">
      <c r="A164">
        <f>IF($AL164="","",'01_設定'!$C$36)</f>
        <v/>
      </c>
      <c r="B164">
        <f>IF($AL164="","",'01_設定'!$C$5)</f>
        <v/>
      </c>
      <c r="C164">
        <f>IF($AL164="","",'01_設定'!$C$6)</f>
        <v/>
      </c>
      <c r="D164" s="36">
        <f>IF($AL164="","",'01_設定'!$C$22)</f>
        <v/>
      </c>
      <c r="E164" s="36">
        <f>IF($AL164="","",'01_設定'!$C$23)</f>
        <v/>
      </c>
      <c r="F164">
        <f>IF($AL164="","",'01_設定'!$C$32)</f>
        <v/>
      </c>
      <c r="G164">
        <f>IF($AL164="","",ROW()-4)</f>
        <v/>
      </c>
      <c r="H164">
        <f>IF($AL164="","",INDEX('04_調査結果'!$AO$5:$AO$404,$AL164))</f>
        <v/>
      </c>
      <c r="I164">
        <f>IF($AL164="","",IFERROR(INDEX('M2_区分マスタ'!$I$5:$I$10,INDEX('04_調査結果'!$AP$5:$AP$404,$AL164)),""))</f>
        <v/>
      </c>
      <c r="J164">
        <f>IF($AL164="","",INDEX('04_調査結果'!$BE$5:$BE$404,$AL164)&amp;"")</f>
        <v/>
      </c>
      <c r="K164">
        <f>IF($AL164="","",INDEX('04_調査結果'!$F$5:$F$404,$AL164)&amp;"")</f>
        <v/>
      </c>
      <c r="L164">
        <f>IF($AL164="","",INDEX('04_調査結果'!$G$5:$G$404,$AL164)&amp;"")</f>
        <v/>
      </c>
      <c r="M164">
        <f>IF($AL164="","",INDEX('04_調査結果'!$AQ$5:$AQ$404,$AL164)&amp;"")</f>
        <v/>
      </c>
      <c r="N164">
        <f>IF($AL164="","",IFERROR(INDEX('M1_類型マスタ'!$B$5:$B$19,MATCH(M164,'M1_類型マスタ'!$A$5:$A$19,0)),""))</f>
        <v/>
      </c>
      <c r="O164">
        <f>IF($AL164="","",INDEX('04_調査結果'!$I$5:$I$404,$AL164)&amp;"")</f>
        <v/>
      </c>
      <c r="P164">
        <f>IF($AL164="","",INDEX('04_調査結果'!$J$5:$J$404,$AL164)&amp;"")</f>
        <v/>
      </c>
      <c r="Q164">
        <f>IF($AL164="","",INDEX('04_調査結果'!$K$5:$K$404,$AL164)&amp;"")</f>
        <v/>
      </c>
      <c r="R164">
        <f>IF($AL164="","",INDEX('04_調査結果'!$L$5:$L$404,$AL164)&amp;"")</f>
        <v/>
      </c>
      <c r="S164">
        <f>IF($AL164="","",INDEX('04_調査結果'!$M$5:$M$404,$AL164)&amp;"")</f>
        <v/>
      </c>
      <c r="T164" s="33">
        <f>IF($AL164="","",IF(INDEX('04_調査結果'!$AE$5:$AE$404,$AL164)&lt;&gt;"",INDEX('04_調査結果'!$AE$5:$AE$404,$AL164),INDEX('04_調査結果'!$AS$5:$AS$404,$AL164)))</f>
        <v/>
      </c>
      <c r="U164" s="33">
        <f>IF($AL164="","",IF(INDEX('04_調査結果'!$AF$5:$AF$404,$AL164)&lt;&gt;"",INDEX('04_調査結果'!$AF$5:$AF$404,$AL164),INDEX('04_調査結果'!$AT$5:$AT$404,$AL164)))</f>
        <v/>
      </c>
      <c r="V164" s="33">
        <f>IF($AL164="","",INDEX('04_調査結果'!$AI$5:$AI$404,$AL164))</f>
        <v/>
      </c>
      <c r="W164">
        <f>IF($AL164="","",INDEX('04_調査結果'!$AU$5:$AU$404,$AL164))</f>
        <v/>
      </c>
      <c r="X164" s="37">
        <f>IF($AL164="","",INDEX('04_調査結果'!$AW$5:$AW$404,$AL164))</f>
        <v/>
      </c>
      <c r="Y164" s="37">
        <f>IF($AL164="","",INDEX('04_調査結果'!$AX$5:$AX$404,$AL164))</f>
        <v/>
      </c>
      <c r="Z164">
        <f>IF($AL164="","",INDEX('04_調査結果'!$S$5:$S$404,$AL164)&amp;"")</f>
        <v/>
      </c>
      <c r="AA164">
        <f>IF($AL164="","",INDEX('04_調査結果'!$T$5:$T$404,$AL164))</f>
        <v/>
      </c>
      <c r="AB164">
        <f>IF($AL164="","",INDEX('04_調査結果'!$U$5:$U$404,$AL164))</f>
        <v/>
      </c>
      <c r="AC164">
        <f>IF($AL164="","",INDEX('04_調査結果'!$V$5:$V$404,$AL164))</f>
        <v/>
      </c>
      <c r="AD164">
        <f>IF($AL164="","",INDEX('04_調査結果'!$W$5:$W$404,$AL164))</f>
        <v/>
      </c>
      <c r="AE164">
        <f>IF($AL164="","",INDEX('04_調査結果'!$X$5:$X$404,$AL164))</f>
        <v/>
      </c>
      <c r="AF164">
        <f>IF($AL164="","",INDEX('04_調査結果'!$Y$5:$Y$404,$AL164))</f>
        <v/>
      </c>
      <c r="AG164">
        <f>IF($AL164="","",INDEX('04_調査結果'!$Z$5:$Z$404,$AL164))</f>
        <v/>
      </c>
      <c r="AH164">
        <f>IF($AL164="","",INDEX('04_調査結果'!$AK$5:$AK$404,$AL164))</f>
        <v/>
      </c>
      <c r="AI164">
        <f>IF($AL164="","",INDEX('04_調査結果'!$AH$5:$AH$404,$AL164)&amp;"")</f>
        <v/>
      </c>
      <c r="AJ164">
        <f>IF($AL164="","",INDEX('04_調査結果'!$AA$5:$AA$404,$AL164)&amp;"")</f>
        <v/>
      </c>
      <c r="AK164">
        <f>IF($AL164="","",INDEX('04_調査結果'!$AC$5:$AC$404,$AL164)&amp;"")</f>
        <v/>
      </c>
      <c r="AL164" s="34">
        <f>IFERROR(MATCH(ROW()-4,'04_調査結果'!$AZ$5:$AZ$404,0),"")</f>
        <v/>
      </c>
    </row>
    <row r="165">
      <c r="A165">
        <f>IF($AL165="","",'01_設定'!$C$36)</f>
        <v/>
      </c>
      <c r="B165">
        <f>IF($AL165="","",'01_設定'!$C$5)</f>
        <v/>
      </c>
      <c r="C165">
        <f>IF($AL165="","",'01_設定'!$C$6)</f>
        <v/>
      </c>
      <c r="D165" s="36">
        <f>IF($AL165="","",'01_設定'!$C$22)</f>
        <v/>
      </c>
      <c r="E165" s="36">
        <f>IF($AL165="","",'01_設定'!$C$23)</f>
        <v/>
      </c>
      <c r="F165">
        <f>IF($AL165="","",'01_設定'!$C$32)</f>
        <v/>
      </c>
      <c r="G165">
        <f>IF($AL165="","",ROW()-4)</f>
        <v/>
      </c>
      <c r="H165">
        <f>IF($AL165="","",INDEX('04_調査結果'!$AO$5:$AO$404,$AL165))</f>
        <v/>
      </c>
      <c r="I165">
        <f>IF($AL165="","",IFERROR(INDEX('M2_区分マスタ'!$I$5:$I$10,INDEX('04_調査結果'!$AP$5:$AP$404,$AL165)),""))</f>
        <v/>
      </c>
      <c r="J165">
        <f>IF($AL165="","",INDEX('04_調査結果'!$BE$5:$BE$404,$AL165)&amp;"")</f>
        <v/>
      </c>
      <c r="K165">
        <f>IF($AL165="","",INDEX('04_調査結果'!$F$5:$F$404,$AL165)&amp;"")</f>
        <v/>
      </c>
      <c r="L165">
        <f>IF($AL165="","",INDEX('04_調査結果'!$G$5:$G$404,$AL165)&amp;"")</f>
        <v/>
      </c>
      <c r="M165">
        <f>IF($AL165="","",INDEX('04_調査結果'!$AQ$5:$AQ$404,$AL165)&amp;"")</f>
        <v/>
      </c>
      <c r="N165">
        <f>IF($AL165="","",IFERROR(INDEX('M1_類型マスタ'!$B$5:$B$19,MATCH(M165,'M1_類型マスタ'!$A$5:$A$19,0)),""))</f>
        <v/>
      </c>
      <c r="O165">
        <f>IF($AL165="","",INDEX('04_調査結果'!$I$5:$I$404,$AL165)&amp;"")</f>
        <v/>
      </c>
      <c r="P165">
        <f>IF($AL165="","",INDEX('04_調査結果'!$J$5:$J$404,$AL165)&amp;"")</f>
        <v/>
      </c>
      <c r="Q165">
        <f>IF($AL165="","",INDEX('04_調査結果'!$K$5:$K$404,$AL165)&amp;"")</f>
        <v/>
      </c>
      <c r="R165">
        <f>IF($AL165="","",INDEX('04_調査結果'!$L$5:$L$404,$AL165)&amp;"")</f>
        <v/>
      </c>
      <c r="S165">
        <f>IF($AL165="","",INDEX('04_調査結果'!$M$5:$M$404,$AL165)&amp;"")</f>
        <v/>
      </c>
      <c r="T165" s="33">
        <f>IF($AL165="","",IF(INDEX('04_調査結果'!$AE$5:$AE$404,$AL165)&lt;&gt;"",INDEX('04_調査結果'!$AE$5:$AE$404,$AL165),INDEX('04_調査結果'!$AS$5:$AS$404,$AL165)))</f>
        <v/>
      </c>
      <c r="U165" s="33">
        <f>IF($AL165="","",IF(INDEX('04_調査結果'!$AF$5:$AF$404,$AL165)&lt;&gt;"",INDEX('04_調査結果'!$AF$5:$AF$404,$AL165),INDEX('04_調査結果'!$AT$5:$AT$404,$AL165)))</f>
        <v/>
      </c>
      <c r="V165" s="33">
        <f>IF($AL165="","",INDEX('04_調査結果'!$AI$5:$AI$404,$AL165))</f>
        <v/>
      </c>
      <c r="W165">
        <f>IF($AL165="","",INDEX('04_調査結果'!$AU$5:$AU$404,$AL165))</f>
        <v/>
      </c>
      <c r="X165" s="37">
        <f>IF($AL165="","",INDEX('04_調査結果'!$AW$5:$AW$404,$AL165))</f>
        <v/>
      </c>
      <c r="Y165" s="37">
        <f>IF($AL165="","",INDEX('04_調査結果'!$AX$5:$AX$404,$AL165))</f>
        <v/>
      </c>
      <c r="Z165">
        <f>IF($AL165="","",INDEX('04_調査結果'!$S$5:$S$404,$AL165)&amp;"")</f>
        <v/>
      </c>
      <c r="AA165">
        <f>IF($AL165="","",INDEX('04_調査結果'!$T$5:$T$404,$AL165))</f>
        <v/>
      </c>
      <c r="AB165">
        <f>IF($AL165="","",INDEX('04_調査結果'!$U$5:$U$404,$AL165))</f>
        <v/>
      </c>
      <c r="AC165">
        <f>IF($AL165="","",INDEX('04_調査結果'!$V$5:$V$404,$AL165))</f>
        <v/>
      </c>
      <c r="AD165">
        <f>IF($AL165="","",INDEX('04_調査結果'!$W$5:$W$404,$AL165))</f>
        <v/>
      </c>
      <c r="AE165">
        <f>IF($AL165="","",INDEX('04_調査結果'!$X$5:$X$404,$AL165))</f>
        <v/>
      </c>
      <c r="AF165">
        <f>IF($AL165="","",INDEX('04_調査結果'!$Y$5:$Y$404,$AL165))</f>
        <v/>
      </c>
      <c r="AG165">
        <f>IF($AL165="","",INDEX('04_調査結果'!$Z$5:$Z$404,$AL165))</f>
        <v/>
      </c>
      <c r="AH165">
        <f>IF($AL165="","",INDEX('04_調査結果'!$AK$5:$AK$404,$AL165))</f>
        <v/>
      </c>
      <c r="AI165">
        <f>IF($AL165="","",INDEX('04_調査結果'!$AH$5:$AH$404,$AL165)&amp;"")</f>
        <v/>
      </c>
      <c r="AJ165">
        <f>IF($AL165="","",INDEX('04_調査結果'!$AA$5:$AA$404,$AL165)&amp;"")</f>
        <v/>
      </c>
      <c r="AK165">
        <f>IF($AL165="","",INDEX('04_調査結果'!$AC$5:$AC$404,$AL165)&amp;"")</f>
        <v/>
      </c>
      <c r="AL165" s="34">
        <f>IFERROR(MATCH(ROW()-4,'04_調査結果'!$AZ$5:$AZ$404,0),"")</f>
        <v/>
      </c>
    </row>
    <row r="166">
      <c r="A166">
        <f>IF($AL166="","",'01_設定'!$C$36)</f>
        <v/>
      </c>
      <c r="B166">
        <f>IF($AL166="","",'01_設定'!$C$5)</f>
        <v/>
      </c>
      <c r="C166">
        <f>IF($AL166="","",'01_設定'!$C$6)</f>
        <v/>
      </c>
      <c r="D166" s="36">
        <f>IF($AL166="","",'01_設定'!$C$22)</f>
        <v/>
      </c>
      <c r="E166" s="36">
        <f>IF($AL166="","",'01_設定'!$C$23)</f>
        <v/>
      </c>
      <c r="F166">
        <f>IF($AL166="","",'01_設定'!$C$32)</f>
        <v/>
      </c>
      <c r="G166">
        <f>IF($AL166="","",ROW()-4)</f>
        <v/>
      </c>
      <c r="H166">
        <f>IF($AL166="","",INDEX('04_調査結果'!$AO$5:$AO$404,$AL166))</f>
        <v/>
      </c>
      <c r="I166">
        <f>IF($AL166="","",IFERROR(INDEX('M2_区分マスタ'!$I$5:$I$10,INDEX('04_調査結果'!$AP$5:$AP$404,$AL166)),""))</f>
        <v/>
      </c>
      <c r="J166">
        <f>IF($AL166="","",INDEX('04_調査結果'!$BE$5:$BE$404,$AL166)&amp;"")</f>
        <v/>
      </c>
      <c r="K166">
        <f>IF($AL166="","",INDEX('04_調査結果'!$F$5:$F$404,$AL166)&amp;"")</f>
        <v/>
      </c>
      <c r="L166">
        <f>IF($AL166="","",INDEX('04_調査結果'!$G$5:$G$404,$AL166)&amp;"")</f>
        <v/>
      </c>
      <c r="M166">
        <f>IF($AL166="","",INDEX('04_調査結果'!$AQ$5:$AQ$404,$AL166)&amp;"")</f>
        <v/>
      </c>
      <c r="N166">
        <f>IF($AL166="","",IFERROR(INDEX('M1_類型マスタ'!$B$5:$B$19,MATCH(M166,'M1_類型マスタ'!$A$5:$A$19,0)),""))</f>
        <v/>
      </c>
      <c r="O166">
        <f>IF($AL166="","",INDEX('04_調査結果'!$I$5:$I$404,$AL166)&amp;"")</f>
        <v/>
      </c>
      <c r="P166">
        <f>IF($AL166="","",INDEX('04_調査結果'!$J$5:$J$404,$AL166)&amp;"")</f>
        <v/>
      </c>
      <c r="Q166">
        <f>IF($AL166="","",INDEX('04_調査結果'!$K$5:$K$404,$AL166)&amp;"")</f>
        <v/>
      </c>
      <c r="R166">
        <f>IF($AL166="","",INDEX('04_調査結果'!$L$5:$L$404,$AL166)&amp;"")</f>
        <v/>
      </c>
      <c r="S166">
        <f>IF($AL166="","",INDEX('04_調査結果'!$M$5:$M$404,$AL166)&amp;"")</f>
        <v/>
      </c>
      <c r="T166" s="33">
        <f>IF($AL166="","",IF(INDEX('04_調査結果'!$AE$5:$AE$404,$AL166)&lt;&gt;"",INDEX('04_調査結果'!$AE$5:$AE$404,$AL166),INDEX('04_調査結果'!$AS$5:$AS$404,$AL166)))</f>
        <v/>
      </c>
      <c r="U166" s="33">
        <f>IF($AL166="","",IF(INDEX('04_調査結果'!$AF$5:$AF$404,$AL166)&lt;&gt;"",INDEX('04_調査結果'!$AF$5:$AF$404,$AL166),INDEX('04_調査結果'!$AT$5:$AT$404,$AL166)))</f>
        <v/>
      </c>
      <c r="V166" s="33">
        <f>IF($AL166="","",INDEX('04_調査結果'!$AI$5:$AI$404,$AL166))</f>
        <v/>
      </c>
      <c r="W166">
        <f>IF($AL166="","",INDEX('04_調査結果'!$AU$5:$AU$404,$AL166))</f>
        <v/>
      </c>
      <c r="X166" s="37">
        <f>IF($AL166="","",INDEX('04_調査結果'!$AW$5:$AW$404,$AL166))</f>
        <v/>
      </c>
      <c r="Y166" s="37">
        <f>IF($AL166="","",INDEX('04_調査結果'!$AX$5:$AX$404,$AL166))</f>
        <v/>
      </c>
      <c r="Z166">
        <f>IF($AL166="","",INDEX('04_調査結果'!$S$5:$S$404,$AL166)&amp;"")</f>
        <v/>
      </c>
      <c r="AA166">
        <f>IF($AL166="","",INDEX('04_調査結果'!$T$5:$T$404,$AL166))</f>
        <v/>
      </c>
      <c r="AB166">
        <f>IF($AL166="","",INDEX('04_調査結果'!$U$5:$U$404,$AL166))</f>
        <v/>
      </c>
      <c r="AC166">
        <f>IF($AL166="","",INDEX('04_調査結果'!$V$5:$V$404,$AL166))</f>
        <v/>
      </c>
      <c r="AD166">
        <f>IF($AL166="","",INDEX('04_調査結果'!$W$5:$W$404,$AL166))</f>
        <v/>
      </c>
      <c r="AE166">
        <f>IF($AL166="","",INDEX('04_調査結果'!$X$5:$X$404,$AL166))</f>
        <v/>
      </c>
      <c r="AF166">
        <f>IF($AL166="","",INDEX('04_調査結果'!$Y$5:$Y$404,$AL166))</f>
        <v/>
      </c>
      <c r="AG166">
        <f>IF($AL166="","",INDEX('04_調査結果'!$Z$5:$Z$404,$AL166))</f>
        <v/>
      </c>
      <c r="AH166">
        <f>IF($AL166="","",INDEX('04_調査結果'!$AK$5:$AK$404,$AL166))</f>
        <v/>
      </c>
      <c r="AI166">
        <f>IF($AL166="","",INDEX('04_調査結果'!$AH$5:$AH$404,$AL166)&amp;"")</f>
        <v/>
      </c>
      <c r="AJ166">
        <f>IF($AL166="","",INDEX('04_調査結果'!$AA$5:$AA$404,$AL166)&amp;"")</f>
        <v/>
      </c>
      <c r="AK166">
        <f>IF($AL166="","",INDEX('04_調査結果'!$AC$5:$AC$404,$AL166)&amp;"")</f>
        <v/>
      </c>
      <c r="AL166" s="34">
        <f>IFERROR(MATCH(ROW()-4,'04_調査結果'!$AZ$5:$AZ$404,0),"")</f>
        <v/>
      </c>
    </row>
    <row r="167">
      <c r="A167">
        <f>IF($AL167="","",'01_設定'!$C$36)</f>
        <v/>
      </c>
      <c r="B167">
        <f>IF($AL167="","",'01_設定'!$C$5)</f>
        <v/>
      </c>
      <c r="C167">
        <f>IF($AL167="","",'01_設定'!$C$6)</f>
        <v/>
      </c>
      <c r="D167" s="36">
        <f>IF($AL167="","",'01_設定'!$C$22)</f>
        <v/>
      </c>
      <c r="E167" s="36">
        <f>IF($AL167="","",'01_設定'!$C$23)</f>
        <v/>
      </c>
      <c r="F167">
        <f>IF($AL167="","",'01_設定'!$C$32)</f>
        <v/>
      </c>
      <c r="G167">
        <f>IF($AL167="","",ROW()-4)</f>
        <v/>
      </c>
      <c r="H167">
        <f>IF($AL167="","",INDEX('04_調査結果'!$AO$5:$AO$404,$AL167))</f>
        <v/>
      </c>
      <c r="I167">
        <f>IF($AL167="","",IFERROR(INDEX('M2_区分マスタ'!$I$5:$I$10,INDEX('04_調査結果'!$AP$5:$AP$404,$AL167)),""))</f>
        <v/>
      </c>
      <c r="J167">
        <f>IF($AL167="","",INDEX('04_調査結果'!$BE$5:$BE$404,$AL167)&amp;"")</f>
        <v/>
      </c>
      <c r="K167">
        <f>IF($AL167="","",INDEX('04_調査結果'!$F$5:$F$404,$AL167)&amp;"")</f>
        <v/>
      </c>
      <c r="L167">
        <f>IF($AL167="","",INDEX('04_調査結果'!$G$5:$G$404,$AL167)&amp;"")</f>
        <v/>
      </c>
      <c r="M167">
        <f>IF($AL167="","",INDEX('04_調査結果'!$AQ$5:$AQ$404,$AL167)&amp;"")</f>
        <v/>
      </c>
      <c r="N167">
        <f>IF($AL167="","",IFERROR(INDEX('M1_類型マスタ'!$B$5:$B$19,MATCH(M167,'M1_類型マスタ'!$A$5:$A$19,0)),""))</f>
        <v/>
      </c>
      <c r="O167">
        <f>IF($AL167="","",INDEX('04_調査結果'!$I$5:$I$404,$AL167)&amp;"")</f>
        <v/>
      </c>
      <c r="P167">
        <f>IF($AL167="","",INDEX('04_調査結果'!$J$5:$J$404,$AL167)&amp;"")</f>
        <v/>
      </c>
      <c r="Q167">
        <f>IF($AL167="","",INDEX('04_調査結果'!$K$5:$K$404,$AL167)&amp;"")</f>
        <v/>
      </c>
      <c r="R167">
        <f>IF($AL167="","",INDEX('04_調査結果'!$L$5:$L$404,$AL167)&amp;"")</f>
        <v/>
      </c>
      <c r="S167">
        <f>IF($AL167="","",INDEX('04_調査結果'!$M$5:$M$404,$AL167)&amp;"")</f>
        <v/>
      </c>
      <c r="T167" s="33">
        <f>IF($AL167="","",IF(INDEX('04_調査結果'!$AE$5:$AE$404,$AL167)&lt;&gt;"",INDEX('04_調査結果'!$AE$5:$AE$404,$AL167),INDEX('04_調査結果'!$AS$5:$AS$404,$AL167)))</f>
        <v/>
      </c>
      <c r="U167" s="33">
        <f>IF($AL167="","",IF(INDEX('04_調査結果'!$AF$5:$AF$404,$AL167)&lt;&gt;"",INDEX('04_調査結果'!$AF$5:$AF$404,$AL167),INDEX('04_調査結果'!$AT$5:$AT$404,$AL167)))</f>
        <v/>
      </c>
      <c r="V167" s="33">
        <f>IF($AL167="","",INDEX('04_調査結果'!$AI$5:$AI$404,$AL167))</f>
        <v/>
      </c>
      <c r="W167">
        <f>IF($AL167="","",INDEX('04_調査結果'!$AU$5:$AU$404,$AL167))</f>
        <v/>
      </c>
      <c r="X167" s="37">
        <f>IF($AL167="","",INDEX('04_調査結果'!$AW$5:$AW$404,$AL167))</f>
        <v/>
      </c>
      <c r="Y167" s="37">
        <f>IF($AL167="","",INDEX('04_調査結果'!$AX$5:$AX$404,$AL167))</f>
        <v/>
      </c>
      <c r="Z167">
        <f>IF($AL167="","",INDEX('04_調査結果'!$S$5:$S$404,$AL167)&amp;"")</f>
        <v/>
      </c>
      <c r="AA167">
        <f>IF($AL167="","",INDEX('04_調査結果'!$T$5:$T$404,$AL167))</f>
        <v/>
      </c>
      <c r="AB167">
        <f>IF($AL167="","",INDEX('04_調査結果'!$U$5:$U$404,$AL167))</f>
        <v/>
      </c>
      <c r="AC167">
        <f>IF($AL167="","",INDEX('04_調査結果'!$V$5:$V$404,$AL167))</f>
        <v/>
      </c>
      <c r="AD167">
        <f>IF($AL167="","",INDEX('04_調査結果'!$W$5:$W$404,$AL167))</f>
        <v/>
      </c>
      <c r="AE167">
        <f>IF($AL167="","",INDEX('04_調査結果'!$X$5:$X$404,$AL167))</f>
        <v/>
      </c>
      <c r="AF167">
        <f>IF($AL167="","",INDEX('04_調査結果'!$Y$5:$Y$404,$AL167))</f>
        <v/>
      </c>
      <c r="AG167">
        <f>IF($AL167="","",INDEX('04_調査結果'!$Z$5:$Z$404,$AL167))</f>
        <v/>
      </c>
      <c r="AH167">
        <f>IF($AL167="","",INDEX('04_調査結果'!$AK$5:$AK$404,$AL167))</f>
        <v/>
      </c>
      <c r="AI167">
        <f>IF($AL167="","",INDEX('04_調査結果'!$AH$5:$AH$404,$AL167)&amp;"")</f>
        <v/>
      </c>
      <c r="AJ167">
        <f>IF($AL167="","",INDEX('04_調査結果'!$AA$5:$AA$404,$AL167)&amp;"")</f>
        <v/>
      </c>
      <c r="AK167">
        <f>IF($AL167="","",INDEX('04_調査結果'!$AC$5:$AC$404,$AL167)&amp;"")</f>
        <v/>
      </c>
      <c r="AL167" s="34">
        <f>IFERROR(MATCH(ROW()-4,'04_調査結果'!$AZ$5:$AZ$404,0),"")</f>
        <v/>
      </c>
    </row>
    <row r="168">
      <c r="A168">
        <f>IF($AL168="","",'01_設定'!$C$36)</f>
        <v/>
      </c>
      <c r="B168">
        <f>IF($AL168="","",'01_設定'!$C$5)</f>
        <v/>
      </c>
      <c r="C168">
        <f>IF($AL168="","",'01_設定'!$C$6)</f>
        <v/>
      </c>
      <c r="D168" s="36">
        <f>IF($AL168="","",'01_設定'!$C$22)</f>
        <v/>
      </c>
      <c r="E168" s="36">
        <f>IF($AL168="","",'01_設定'!$C$23)</f>
        <v/>
      </c>
      <c r="F168">
        <f>IF($AL168="","",'01_設定'!$C$32)</f>
        <v/>
      </c>
      <c r="G168">
        <f>IF($AL168="","",ROW()-4)</f>
        <v/>
      </c>
      <c r="H168">
        <f>IF($AL168="","",INDEX('04_調査結果'!$AO$5:$AO$404,$AL168))</f>
        <v/>
      </c>
      <c r="I168">
        <f>IF($AL168="","",IFERROR(INDEX('M2_区分マスタ'!$I$5:$I$10,INDEX('04_調査結果'!$AP$5:$AP$404,$AL168)),""))</f>
        <v/>
      </c>
      <c r="J168">
        <f>IF($AL168="","",INDEX('04_調査結果'!$BE$5:$BE$404,$AL168)&amp;"")</f>
        <v/>
      </c>
      <c r="K168">
        <f>IF($AL168="","",INDEX('04_調査結果'!$F$5:$F$404,$AL168)&amp;"")</f>
        <v/>
      </c>
      <c r="L168">
        <f>IF($AL168="","",INDEX('04_調査結果'!$G$5:$G$404,$AL168)&amp;"")</f>
        <v/>
      </c>
      <c r="M168">
        <f>IF($AL168="","",INDEX('04_調査結果'!$AQ$5:$AQ$404,$AL168)&amp;"")</f>
        <v/>
      </c>
      <c r="N168">
        <f>IF($AL168="","",IFERROR(INDEX('M1_類型マスタ'!$B$5:$B$19,MATCH(M168,'M1_類型マスタ'!$A$5:$A$19,0)),""))</f>
        <v/>
      </c>
      <c r="O168">
        <f>IF($AL168="","",INDEX('04_調査結果'!$I$5:$I$404,$AL168)&amp;"")</f>
        <v/>
      </c>
      <c r="P168">
        <f>IF($AL168="","",INDEX('04_調査結果'!$J$5:$J$404,$AL168)&amp;"")</f>
        <v/>
      </c>
      <c r="Q168">
        <f>IF($AL168="","",INDEX('04_調査結果'!$K$5:$K$404,$AL168)&amp;"")</f>
        <v/>
      </c>
      <c r="R168">
        <f>IF($AL168="","",INDEX('04_調査結果'!$L$5:$L$404,$AL168)&amp;"")</f>
        <v/>
      </c>
      <c r="S168">
        <f>IF($AL168="","",INDEX('04_調査結果'!$M$5:$M$404,$AL168)&amp;"")</f>
        <v/>
      </c>
      <c r="T168" s="33">
        <f>IF($AL168="","",IF(INDEX('04_調査結果'!$AE$5:$AE$404,$AL168)&lt;&gt;"",INDEX('04_調査結果'!$AE$5:$AE$404,$AL168),INDEX('04_調査結果'!$AS$5:$AS$404,$AL168)))</f>
        <v/>
      </c>
      <c r="U168" s="33">
        <f>IF($AL168="","",IF(INDEX('04_調査結果'!$AF$5:$AF$404,$AL168)&lt;&gt;"",INDEX('04_調査結果'!$AF$5:$AF$404,$AL168),INDEX('04_調査結果'!$AT$5:$AT$404,$AL168)))</f>
        <v/>
      </c>
      <c r="V168" s="33">
        <f>IF($AL168="","",INDEX('04_調査結果'!$AI$5:$AI$404,$AL168))</f>
        <v/>
      </c>
      <c r="W168">
        <f>IF($AL168="","",INDEX('04_調査結果'!$AU$5:$AU$404,$AL168))</f>
        <v/>
      </c>
      <c r="X168" s="37">
        <f>IF($AL168="","",INDEX('04_調査結果'!$AW$5:$AW$404,$AL168))</f>
        <v/>
      </c>
      <c r="Y168" s="37">
        <f>IF($AL168="","",INDEX('04_調査結果'!$AX$5:$AX$404,$AL168))</f>
        <v/>
      </c>
      <c r="Z168">
        <f>IF($AL168="","",INDEX('04_調査結果'!$S$5:$S$404,$AL168)&amp;"")</f>
        <v/>
      </c>
      <c r="AA168">
        <f>IF($AL168="","",INDEX('04_調査結果'!$T$5:$T$404,$AL168))</f>
        <v/>
      </c>
      <c r="AB168">
        <f>IF($AL168="","",INDEX('04_調査結果'!$U$5:$U$404,$AL168))</f>
        <v/>
      </c>
      <c r="AC168">
        <f>IF($AL168="","",INDEX('04_調査結果'!$V$5:$V$404,$AL168))</f>
        <v/>
      </c>
      <c r="AD168">
        <f>IF($AL168="","",INDEX('04_調査結果'!$W$5:$W$404,$AL168))</f>
        <v/>
      </c>
      <c r="AE168">
        <f>IF($AL168="","",INDEX('04_調査結果'!$X$5:$X$404,$AL168))</f>
        <v/>
      </c>
      <c r="AF168">
        <f>IF($AL168="","",INDEX('04_調査結果'!$Y$5:$Y$404,$AL168))</f>
        <v/>
      </c>
      <c r="AG168">
        <f>IF($AL168="","",INDEX('04_調査結果'!$Z$5:$Z$404,$AL168))</f>
        <v/>
      </c>
      <c r="AH168">
        <f>IF($AL168="","",INDEX('04_調査結果'!$AK$5:$AK$404,$AL168))</f>
        <v/>
      </c>
      <c r="AI168">
        <f>IF($AL168="","",INDEX('04_調査結果'!$AH$5:$AH$404,$AL168)&amp;"")</f>
        <v/>
      </c>
      <c r="AJ168">
        <f>IF($AL168="","",INDEX('04_調査結果'!$AA$5:$AA$404,$AL168)&amp;"")</f>
        <v/>
      </c>
      <c r="AK168">
        <f>IF($AL168="","",INDEX('04_調査結果'!$AC$5:$AC$404,$AL168)&amp;"")</f>
        <v/>
      </c>
      <c r="AL168" s="34">
        <f>IFERROR(MATCH(ROW()-4,'04_調査結果'!$AZ$5:$AZ$404,0),"")</f>
        <v/>
      </c>
    </row>
    <row r="169">
      <c r="A169">
        <f>IF($AL169="","",'01_設定'!$C$36)</f>
        <v/>
      </c>
      <c r="B169">
        <f>IF($AL169="","",'01_設定'!$C$5)</f>
        <v/>
      </c>
      <c r="C169">
        <f>IF($AL169="","",'01_設定'!$C$6)</f>
        <v/>
      </c>
      <c r="D169" s="36">
        <f>IF($AL169="","",'01_設定'!$C$22)</f>
        <v/>
      </c>
      <c r="E169" s="36">
        <f>IF($AL169="","",'01_設定'!$C$23)</f>
        <v/>
      </c>
      <c r="F169">
        <f>IF($AL169="","",'01_設定'!$C$32)</f>
        <v/>
      </c>
      <c r="G169">
        <f>IF($AL169="","",ROW()-4)</f>
        <v/>
      </c>
      <c r="H169">
        <f>IF($AL169="","",INDEX('04_調査結果'!$AO$5:$AO$404,$AL169))</f>
        <v/>
      </c>
      <c r="I169">
        <f>IF($AL169="","",IFERROR(INDEX('M2_区分マスタ'!$I$5:$I$10,INDEX('04_調査結果'!$AP$5:$AP$404,$AL169)),""))</f>
        <v/>
      </c>
      <c r="J169">
        <f>IF($AL169="","",INDEX('04_調査結果'!$BE$5:$BE$404,$AL169)&amp;"")</f>
        <v/>
      </c>
      <c r="K169">
        <f>IF($AL169="","",INDEX('04_調査結果'!$F$5:$F$404,$AL169)&amp;"")</f>
        <v/>
      </c>
      <c r="L169">
        <f>IF($AL169="","",INDEX('04_調査結果'!$G$5:$G$404,$AL169)&amp;"")</f>
        <v/>
      </c>
      <c r="M169">
        <f>IF($AL169="","",INDEX('04_調査結果'!$AQ$5:$AQ$404,$AL169)&amp;"")</f>
        <v/>
      </c>
      <c r="N169">
        <f>IF($AL169="","",IFERROR(INDEX('M1_類型マスタ'!$B$5:$B$19,MATCH(M169,'M1_類型マスタ'!$A$5:$A$19,0)),""))</f>
        <v/>
      </c>
      <c r="O169">
        <f>IF($AL169="","",INDEX('04_調査結果'!$I$5:$I$404,$AL169)&amp;"")</f>
        <v/>
      </c>
      <c r="P169">
        <f>IF($AL169="","",INDEX('04_調査結果'!$J$5:$J$404,$AL169)&amp;"")</f>
        <v/>
      </c>
      <c r="Q169">
        <f>IF($AL169="","",INDEX('04_調査結果'!$K$5:$K$404,$AL169)&amp;"")</f>
        <v/>
      </c>
      <c r="R169">
        <f>IF($AL169="","",INDEX('04_調査結果'!$L$5:$L$404,$AL169)&amp;"")</f>
        <v/>
      </c>
      <c r="S169">
        <f>IF($AL169="","",INDEX('04_調査結果'!$M$5:$M$404,$AL169)&amp;"")</f>
        <v/>
      </c>
      <c r="T169" s="33">
        <f>IF($AL169="","",IF(INDEX('04_調査結果'!$AE$5:$AE$404,$AL169)&lt;&gt;"",INDEX('04_調査結果'!$AE$5:$AE$404,$AL169),INDEX('04_調査結果'!$AS$5:$AS$404,$AL169)))</f>
        <v/>
      </c>
      <c r="U169" s="33">
        <f>IF($AL169="","",IF(INDEX('04_調査結果'!$AF$5:$AF$404,$AL169)&lt;&gt;"",INDEX('04_調査結果'!$AF$5:$AF$404,$AL169),INDEX('04_調査結果'!$AT$5:$AT$404,$AL169)))</f>
        <v/>
      </c>
      <c r="V169" s="33">
        <f>IF($AL169="","",INDEX('04_調査結果'!$AI$5:$AI$404,$AL169))</f>
        <v/>
      </c>
      <c r="W169">
        <f>IF($AL169="","",INDEX('04_調査結果'!$AU$5:$AU$404,$AL169))</f>
        <v/>
      </c>
      <c r="X169" s="37">
        <f>IF($AL169="","",INDEX('04_調査結果'!$AW$5:$AW$404,$AL169))</f>
        <v/>
      </c>
      <c r="Y169" s="37">
        <f>IF($AL169="","",INDEX('04_調査結果'!$AX$5:$AX$404,$AL169))</f>
        <v/>
      </c>
      <c r="Z169">
        <f>IF($AL169="","",INDEX('04_調査結果'!$S$5:$S$404,$AL169)&amp;"")</f>
        <v/>
      </c>
      <c r="AA169">
        <f>IF($AL169="","",INDEX('04_調査結果'!$T$5:$T$404,$AL169))</f>
        <v/>
      </c>
      <c r="AB169">
        <f>IF($AL169="","",INDEX('04_調査結果'!$U$5:$U$404,$AL169))</f>
        <v/>
      </c>
      <c r="AC169">
        <f>IF($AL169="","",INDEX('04_調査結果'!$V$5:$V$404,$AL169))</f>
        <v/>
      </c>
      <c r="AD169">
        <f>IF($AL169="","",INDEX('04_調査結果'!$W$5:$W$404,$AL169))</f>
        <v/>
      </c>
      <c r="AE169">
        <f>IF($AL169="","",INDEX('04_調査結果'!$X$5:$X$404,$AL169))</f>
        <v/>
      </c>
      <c r="AF169">
        <f>IF($AL169="","",INDEX('04_調査結果'!$Y$5:$Y$404,$AL169))</f>
        <v/>
      </c>
      <c r="AG169">
        <f>IF($AL169="","",INDEX('04_調査結果'!$Z$5:$Z$404,$AL169))</f>
        <v/>
      </c>
      <c r="AH169">
        <f>IF($AL169="","",INDEX('04_調査結果'!$AK$5:$AK$404,$AL169))</f>
        <v/>
      </c>
      <c r="AI169">
        <f>IF($AL169="","",INDEX('04_調査結果'!$AH$5:$AH$404,$AL169)&amp;"")</f>
        <v/>
      </c>
      <c r="AJ169">
        <f>IF($AL169="","",INDEX('04_調査結果'!$AA$5:$AA$404,$AL169)&amp;"")</f>
        <v/>
      </c>
      <c r="AK169">
        <f>IF($AL169="","",INDEX('04_調査結果'!$AC$5:$AC$404,$AL169)&amp;"")</f>
        <v/>
      </c>
      <c r="AL169" s="34">
        <f>IFERROR(MATCH(ROW()-4,'04_調査結果'!$AZ$5:$AZ$404,0),"")</f>
        <v/>
      </c>
    </row>
    <row r="170">
      <c r="A170">
        <f>IF($AL170="","",'01_設定'!$C$36)</f>
        <v/>
      </c>
      <c r="B170">
        <f>IF($AL170="","",'01_設定'!$C$5)</f>
        <v/>
      </c>
      <c r="C170">
        <f>IF($AL170="","",'01_設定'!$C$6)</f>
        <v/>
      </c>
      <c r="D170" s="36">
        <f>IF($AL170="","",'01_設定'!$C$22)</f>
        <v/>
      </c>
      <c r="E170" s="36">
        <f>IF($AL170="","",'01_設定'!$C$23)</f>
        <v/>
      </c>
      <c r="F170">
        <f>IF($AL170="","",'01_設定'!$C$32)</f>
        <v/>
      </c>
      <c r="G170">
        <f>IF($AL170="","",ROW()-4)</f>
        <v/>
      </c>
      <c r="H170">
        <f>IF($AL170="","",INDEX('04_調査結果'!$AO$5:$AO$404,$AL170))</f>
        <v/>
      </c>
      <c r="I170">
        <f>IF($AL170="","",IFERROR(INDEX('M2_区分マスタ'!$I$5:$I$10,INDEX('04_調査結果'!$AP$5:$AP$404,$AL170)),""))</f>
        <v/>
      </c>
      <c r="J170">
        <f>IF($AL170="","",INDEX('04_調査結果'!$BE$5:$BE$404,$AL170)&amp;"")</f>
        <v/>
      </c>
      <c r="K170">
        <f>IF($AL170="","",INDEX('04_調査結果'!$F$5:$F$404,$AL170)&amp;"")</f>
        <v/>
      </c>
      <c r="L170">
        <f>IF($AL170="","",INDEX('04_調査結果'!$G$5:$G$404,$AL170)&amp;"")</f>
        <v/>
      </c>
      <c r="M170">
        <f>IF($AL170="","",INDEX('04_調査結果'!$AQ$5:$AQ$404,$AL170)&amp;"")</f>
        <v/>
      </c>
      <c r="N170">
        <f>IF($AL170="","",IFERROR(INDEX('M1_類型マスタ'!$B$5:$B$19,MATCH(M170,'M1_類型マスタ'!$A$5:$A$19,0)),""))</f>
        <v/>
      </c>
      <c r="O170">
        <f>IF($AL170="","",INDEX('04_調査結果'!$I$5:$I$404,$AL170)&amp;"")</f>
        <v/>
      </c>
      <c r="P170">
        <f>IF($AL170="","",INDEX('04_調査結果'!$J$5:$J$404,$AL170)&amp;"")</f>
        <v/>
      </c>
      <c r="Q170">
        <f>IF($AL170="","",INDEX('04_調査結果'!$K$5:$K$404,$AL170)&amp;"")</f>
        <v/>
      </c>
      <c r="R170">
        <f>IF($AL170="","",INDEX('04_調査結果'!$L$5:$L$404,$AL170)&amp;"")</f>
        <v/>
      </c>
      <c r="S170">
        <f>IF($AL170="","",INDEX('04_調査結果'!$M$5:$M$404,$AL170)&amp;"")</f>
        <v/>
      </c>
      <c r="T170" s="33">
        <f>IF($AL170="","",IF(INDEX('04_調査結果'!$AE$5:$AE$404,$AL170)&lt;&gt;"",INDEX('04_調査結果'!$AE$5:$AE$404,$AL170),INDEX('04_調査結果'!$AS$5:$AS$404,$AL170)))</f>
        <v/>
      </c>
      <c r="U170" s="33">
        <f>IF($AL170="","",IF(INDEX('04_調査結果'!$AF$5:$AF$404,$AL170)&lt;&gt;"",INDEX('04_調査結果'!$AF$5:$AF$404,$AL170),INDEX('04_調査結果'!$AT$5:$AT$404,$AL170)))</f>
        <v/>
      </c>
      <c r="V170" s="33">
        <f>IF($AL170="","",INDEX('04_調査結果'!$AI$5:$AI$404,$AL170))</f>
        <v/>
      </c>
      <c r="W170">
        <f>IF($AL170="","",INDEX('04_調査結果'!$AU$5:$AU$404,$AL170))</f>
        <v/>
      </c>
      <c r="X170" s="37">
        <f>IF($AL170="","",INDEX('04_調査結果'!$AW$5:$AW$404,$AL170))</f>
        <v/>
      </c>
      <c r="Y170" s="37">
        <f>IF($AL170="","",INDEX('04_調査結果'!$AX$5:$AX$404,$AL170))</f>
        <v/>
      </c>
      <c r="Z170">
        <f>IF($AL170="","",INDEX('04_調査結果'!$S$5:$S$404,$AL170)&amp;"")</f>
        <v/>
      </c>
      <c r="AA170">
        <f>IF($AL170="","",INDEX('04_調査結果'!$T$5:$T$404,$AL170))</f>
        <v/>
      </c>
      <c r="AB170">
        <f>IF($AL170="","",INDEX('04_調査結果'!$U$5:$U$404,$AL170))</f>
        <v/>
      </c>
      <c r="AC170">
        <f>IF($AL170="","",INDEX('04_調査結果'!$V$5:$V$404,$AL170))</f>
        <v/>
      </c>
      <c r="AD170">
        <f>IF($AL170="","",INDEX('04_調査結果'!$W$5:$W$404,$AL170))</f>
        <v/>
      </c>
      <c r="AE170">
        <f>IF($AL170="","",INDEX('04_調査結果'!$X$5:$X$404,$AL170))</f>
        <v/>
      </c>
      <c r="AF170">
        <f>IF($AL170="","",INDEX('04_調査結果'!$Y$5:$Y$404,$AL170))</f>
        <v/>
      </c>
      <c r="AG170">
        <f>IF($AL170="","",INDEX('04_調査結果'!$Z$5:$Z$404,$AL170))</f>
        <v/>
      </c>
      <c r="AH170">
        <f>IF($AL170="","",INDEX('04_調査結果'!$AK$5:$AK$404,$AL170))</f>
        <v/>
      </c>
      <c r="AI170">
        <f>IF($AL170="","",INDEX('04_調査結果'!$AH$5:$AH$404,$AL170)&amp;"")</f>
        <v/>
      </c>
      <c r="AJ170">
        <f>IF($AL170="","",INDEX('04_調査結果'!$AA$5:$AA$404,$AL170)&amp;"")</f>
        <v/>
      </c>
      <c r="AK170">
        <f>IF($AL170="","",INDEX('04_調査結果'!$AC$5:$AC$404,$AL170)&amp;"")</f>
        <v/>
      </c>
      <c r="AL170" s="34">
        <f>IFERROR(MATCH(ROW()-4,'04_調査結果'!$AZ$5:$AZ$404,0),"")</f>
        <v/>
      </c>
    </row>
    <row r="171">
      <c r="A171">
        <f>IF($AL171="","",'01_設定'!$C$36)</f>
        <v/>
      </c>
      <c r="B171">
        <f>IF($AL171="","",'01_設定'!$C$5)</f>
        <v/>
      </c>
      <c r="C171">
        <f>IF($AL171="","",'01_設定'!$C$6)</f>
        <v/>
      </c>
      <c r="D171" s="36">
        <f>IF($AL171="","",'01_設定'!$C$22)</f>
        <v/>
      </c>
      <c r="E171" s="36">
        <f>IF($AL171="","",'01_設定'!$C$23)</f>
        <v/>
      </c>
      <c r="F171">
        <f>IF($AL171="","",'01_設定'!$C$32)</f>
        <v/>
      </c>
      <c r="G171">
        <f>IF($AL171="","",ROW()-4)</f>
        <v/>
      </c>
      <c r="H171">
        <f>IF($AL171="","",INDEX('04_調査結果'!$AO$5:$AO$404,$AL171))</f>
        <v/>
      </c>
      <c r="I171">
        <f>IF($AL171="","",IFERROR(INDEX('M2_区分マスタ'!$I$5:$I$10,INDEX('04_調査結果'!$AP$5:$AP$404,$AL171)),""))</f>
        <v/>
      </c>
      <c r="J171">
        <f>IF($AL171="","",INDEX('04_調査結果'!$BE$5:$BE$404,$AL171)&amp;"")</f>
        <v/>
      </c>
      <c r="K171">
        <f>IF($AL171="","",INDEX('04_調査結果'!$F$5:$F$404,$AL171)&amp;"")</f>
        <v/>
      </c>
      <c r="L171">
        <f>IF($AL171="","",INDEX('04_調査結果'!$G$5:$G$404,$AL171)&amp;"")</f>
        <v/>
      </c>
      <c r="M171">
        <f>IF($AL171="","",INDEX('04_調査結果'!$AQ$5:$AQ$404,$AL171)&amp;"")</f>
        <v/>
      </c>
      <c r="N171">
        <f>IF($AL171="","",IFERROR(INDEX('M1_類型マスタ'!$B$5:$B$19,MATCH(M171,'M1_類型マスタ'!$A$5:$A$19,0)),""))</f>
        <v/>
      </c>
      <c r="O171">
        <f>IF($AL171="","",INDEX('04_調査結果'!$I$5:$I$404,$AL171)&amp;"")</f>
        <v/>
      </c>
      <c r="P171">
        <f>IF($AL171="","",INDEX('04_調査結果'!$J$5:$J$404,$AL171)&amp;"")</f>
        <v/>
      </c>
      <c r="Q171">
        <f>IF($AL171="","",INDEX('04_調査結果'!$K$5:$K$404,$AL171)&amp;"")</f>
        <v/>
      </c>
      <c r="R171">
        <f>IF($AL171="","",INDEX('04_調査結果'!$L$5:$L$404,$AL171)&amp;"")</f>
        <v/>
      </c>
      <c r="S171">
        <f>IF($AL171="","",INDEX('04_調査結果'!$M$5:$M$404,$AL171)&amp;"")</f>
        <v/>
      </c>
      <c r="T171" s="33">
        <f>IF($AL171="","",IF(INDEX('04_調査結果'!$AE$5:$AE$404,$AL171)&lt;&gt;"",INDEX('04_調査結果'!$AE$5:$AE$404,$AL171),INDEX('04_調査結果'!$AS$5:$AS$404,$AL171)))</f>
        <v/>
      </c>
      <c r="U171" s="33">
        <f>IF($AL171="","",IF(INDEX('04_調査結果'!$AF$5:$AF$404,$AL171)&lt;&gt;"",INDEX('04_調査結果'!$AF$5:$AF$404,$AL171),INDEX('04_調査結果'!$AT$5:$AT$404,$AL171)))</f>
        <v/>
      </c>
      <c r="V171" s="33">
        <f>IF($AL171="","",INDEX('04_調査結果'!$AI$5:$AI$404,$AL171))</f>
        <v/>
      </c>
      <c r="W171">
        <f>IF($AL171="","",INDEX('04_調査結果'!$AU$5:$AU$404,$AL171))</f>
        <v/>
      </c>
      <c r="X171" s="37">
        <f>IF($AL171="","",INDEX('04_調査結果'!$AW$5:$AW$404,$AL171))</f>
        <v/>
      </c>
      <c r="Y171" s="37">
        <f>IF($AL171="","",INDEX('04_調査結果'!$AX$5:$AX$404,$AL171))</f>
        <v/>
      </c>
      <c r="Z171">
        <f>IF($AL171="","",INDEX('04_調査結果'!$S$5:$S$404,$AL171)&amp;"")</f>
        <v/>
      </c>
      <c r="AA171">
        <f>IF($AL171="","",INDEX('04_調査結果'!$T$5:$T$404,$AL171))</f>
        <v/>
      </c>
      <c r="AB171">
        <f>IF($AL171="","",INDEX('04_調査結果'!$U$5:$U$404,$AL171))</f>
        <v/>
      </c>
      <c r="AC171">
        <f>IF($AL171="","",INDEX('04_調査結果'!$V$5:$V$404,$AL171))</f>
        <v/>
      </c>
      <c r="AD171">
        <f>IF($AL171="","",INDEX('04_調査結果'!$W$5:$W$404,$AL171))</f>
        <v/>
      </c>
      <c r="AE171">
        <f>IF($AL171="","",INDEX('04_調査結果'!$X$5:$X$404,$AL171))</f>
        <v/>
      </c>
      <c r="AF171">
        <f>IF($AL171="","",INDEX('04_調査結果'!$Y$5:$Y$404,$AL171))</f>
        <v/>
      </c>
      <c r="AG171">
        <f>IF($AL171="","",INDEX('04_調査結果'!$Z$5:$Z$404,$AL171))</f>
        <v/>
      </c>
      <c r="AH171">
        <f>IF($AL171="","",INDEX('04_調査結果'!$AK$5:$AK$404,$AL171))</f>
        <v/>
      </c>
      <c r="AI171">
        <f>IF($AL171="","",INDEX('04_調査結果'!$AH$5:$AH$404,$AL171)&amp;"")</f>
        <v/>
      </c>
      <c r="AJ171">
        <f>IF($AL171="","",INDEX('04_調査結果'!$AA$5:$AA$404,$AL171)&amp;"")</f>
        <v/>
      </c>
      <c r="AK171">
        <f>IF($AL171="","",INDEX('04_調査結果'!$AC$5:$AC$404,$AL171)&amp;"")</f>
        <v/>
      </c>
      <c r="AL171" s="34">
        <f>IFERROR(MATCH(ROW()-4,'04_調査結果'!$AZ$5:$AZ$404,0),"")</f>
        <v/>
      </c>
    </row>
    <row r="172">
      <c r="A172">
        <f>IF($AL172="","",'01_設定'!$C$36)</f>
        <v/>
      </c>
      <c r="B172">
        <f>IF($AL172="","",'01_設定'!$C$5)</f>
        <v/>
      </c>
      <c r="C172">
        <f>IF($AL172="","",'01_設定'!$C$6)</f>
        <v/>
      </c>
      <c r="D172" s="36">
        <f>IF($AL172="","",'01_設定'!$C$22)</f>
        <v/>
      </c>
      <c r="E172" s="36">
        <f>IF($AL172="","",'01_設定'!$C$23)</f>
        <v/>
      </c>
      <c r="F172">
        <f>IF($AL172="","",'01_設定'!$C$32)</f>
        <v/>
      </c>
      <c r="G172">
        <f>IF($AL172="","",ROW()-4)</f>
        <v/>
      </c>
      <c r="H172">
        <f>IF($AL172="","",INDEX('04_調査結果'!$AO$5:$AO$404,$AL172))</f>
        <v/>
      </c>
      <c r="I172">
        <f>IF($AL172="","",IFERROR(INDEX('M2_区分マスタ'!$I$5:$I$10,INDEX('04_調査結果'!$AP$5:$AP$404,$AL172)),""))</f>
        <v/>
      </c>
      <c r="J172">
        <f>IF($AL172="","",INDEX('04_調査結果'!$BE$5:$BE$404,$AL172)&amp;"")</f>
        <v/>
      </c>
      <c r="K172">
        <f>IF($AL172="","",INDEX('04_調査結果'!$F$5:$F$404,$AL172)&amp;"")</f>
        <v/>
      </c>
      <c r="L172">
        <f>IF($AL172="","",INDEX('04_調査結果'!$G$5:$G$404,$AL172)&amp;"")</f>
        <v/>
      </c>
      <c r="M172">
        <f>IF($AL172="","",INDEX('04_調査結果'!$AQ$5:$AQ$404,$AL172)&amp;"")</f>
        <v/>
      </c>
      <c r="N172">
        <f>IF($AL172="","",IFERROR(INDEX('M1_類型マスタ'!$B$5:$B$19,MATCH(M172,'M1_類型マスタ'!$A$5:$A$19,0)),""))</f>
        <v/>
      </c>
      <c r="O172">
        <f>IF($AL172="","",INDEX('04_調査結果'!$I$5:$I$404,$AL172)&amp;"")</f>
        <v/>
      </c>
      <c r="P172">
        <f>IF($AL172="","",INDEX('04_調査結果'!$J$5:$J$404,$AL172)&amp;"")</f>
        <v/>
      </c>
      <c r="Q172">
        <f>IF($AL172="","",INDEX('04_調査結果'!$K$5:$K$404,$AL172)&amp;"")</f>
        <v/>
      </c>
      <c r="R172">
        <f>IF($AL172="","",INDEX('04_調査結果'!$L$5:$L$404,$AL172)&amp;"")</f>
        <v/>
      </c>
      <c r="S172">
        <f>IF($AL172="","",INDEX('04_調査結果'!$M$5:$M$404,$AL172)&amp;"")</f>
        <v/>
      </c>
      <c r="T172" s="33">
        <f>IF($AL172="","",IF(INDEX('04_調査結果'!$AE$5:$AE$404,$AL172)&lt;&gt;"",INDEX('04_調査結果'!$AE$5:$AE$404,$AL172),INDEX('04_調査結果'!$AS$5:$AS$404,$AL172)))</f>
        <v/>
      </c>
      <c r="U172" s="33">
        <f>IF($AL172="","",IF(INDEX('04_調査結果'!$AF$5:$AF$404,$AL172)&lt;&gt;"",INDEX('04_調査結果'!$AF$5:$AF$404,$AL172),INDEX('04_調査結果'!$AT$5:$AT$404,$AL172)))</f>
        <v/>
      </c>
      <c r="V172" s="33">
        <f>IF($AL172="","",INDEX('04_調査結果'!$AI$5:$AI$404,$AL172))</f>
        <v/>
      </c>
      <c r="W172">
        <f>IF($AL172="","",INDEX('04_調査結果'!$AU$5:$AU$404,$AL172))</f>
        <v/>
      </c>
      <c r="X172" s="37">
        <f>IF($AL172="","",INDEX('04_調査結果'!$AW$5:$AW$404,$AL172))</f>
        <v/>
      </c>
      <c r="Y172" s="37">
        <f>IF($AL172="","",INDEX('04_調査結果'!$AX$5:$AX$404,$AL172))</f>
        <v/>
      </c>
      <c r="Z172">
        <f>IF($AL172="","",INDEX('04_調査結果'!$S$5:$S$404,$AL172)&amp;"")</f>
        <v/>
      </c>
      <c r="AA172">
        <f>IF($AL172="","",INDEX('04_調査結果'!$T$5:$T$404,$AL172))</f>
        <v/>
      </c>
      <c r="AB172">
        <f>IF($AL172="","",INDEX('04_調査結果'!$U$5:$U$404,$AL172))</f>
        <v/>
      </c>
      <c r="AC172">
        <f>IF($AL172="","",INDEX('04_調査結果'!$V$5:$V$404,$AL172))</f>
        <v/>
      </c>
      <c r="AD172">
        <f>IF($AL172="","",INDEX('04_調査結果'!$W$5:$W$404,$AL172))</f>
        <v/>
      </c>
      <c r="AE172">
        <f>IF($AL172="","",INDEX('04_調査結果'!$X$5:$X$404,$AL172))</f>
        <v/>
      </c>
      <c r="AF172">
        <f>IF($AL172="","",INDEX('04_調査結果'!$Y$5:$Y$404,$AL172))</f>
        <v/>
      </c>
      <c r="AG172">
        <f>IF($AL172="","",INDEX('04_調査結果'!$Z$5:$Z$404,$AL172))</f>
        <v/>
      </c>
      <c r="AH172">
        <f>IF($AL172="","",INDEX('04_調査結果'!$AK$5:$AK$404,$AL172))</f>
        <v/>
      </c>
      <c r="AI172">
        <f>IF($AL172="","",INDEX('04_調査結果'!$AH$5:$AH$404,$AL172)&amp;"")</f>
        <v/>
      </c>
      <c r="AJ172">
        <f>IF($AL172="","",INDEX('04_調査結果'!$AA$5:$AA$404,$AL172)&amp;"")</f>
        <v/>
      </c>
      <c r="AK172">
        <f>IF($AL172="","",INDEX('04_調査結果'!$AC$5:$AC$404,$AL172)&amp;"")</f>
        <v/>
      </c>
      <c r="AL172" s="34">
        <f>IFERROR(MATCH(ROW()-4,'04_調査結果'!$AZ$5:$AZ$404,0),"")</f>
        <v/>
      </c>
    </row>
    <row r="173">
      <c r="A173">
        <f>IF($AL173="","",'01_設定'!$C$36)</f>
        <v/>
      </c>
      <c r="B173">
        <f>IF($AL173="","",'01_設定'!$C$5)</f>
        <v/>
      </c>
      <c r="C173">
        <f>IF($AL173="","",'01_設定'!$C$6)</f>
        <v/>
      </c>
      <c r="D173" s="36">
        <f>IF($AL173="","",'01_設定'!$C$22)</f>
        <v/>
      </c>
      <c r="E173" s="36">
        <f>IF($AL173="","",'01_設定'!$C$23)</f>
        <v/>
      </c>
      <c r="F173">
        <f>IF($AL173="","",'01_設定'!$C$32)</f>
        <v/>
      </c>
      <c r="G173">
        <f>IF($AL173="","",ROW()-4)</f>
        <v/>
      </c>
      <c r="H173">
        <f>IF($AL173="","",INDEX('04_調査結果'!$AO$5:$AO$404,$AL173))</f>
        <v/>
      </c>
      <c r="I173">
        <f>IF($AL173="","",IFERROR(INDEX('M2_区分マスタ'!$I$5:$I$10,INDEX('04_調査結果'!$AP$5:$AP$404,$AL173)),""))</f>
        <v/>
      </c>
      <c r="J173">
        <f>IF($AL173="","",INDEX('04_調査結果'!$BE$5:$BE$404,$AL173)&amp;"")</f>
        <v/>
      </c>
      <c r="K173">
        <f>IF($AL173="","",INDEX('04_調査結果'!$F$5:$F$404,$AL173)&amp;"")</f>
        <v/>
      </c>
      <c r="L173">
        <f>IF($AL173="","",INDEX('04_調査結果'!$G$5:$G$404,$AL173)&amp;"")</f>
        <v/>
      </c>
      <c r="M173">
        <f>IF($AL173="","",INDEX('04_調査結果'!$AQ$5:$AQ$404,$AL173)&amp;"")</f>
        <v/>
      </c>
      <c r="N173">
        <f>IF($AL173="","",IFERROR(INDEX('M1_類型マスタ'!$B$5:$B$19,MATCH(M173,'M1_類型マスタ'!$A$5:$A$19,0)),""))</f>
        <v/>
      </c>
      <c r="O173">
        <f>IF($AL173="","",INDEX('04_調査結果'!$I$5:$I$404,$AL173)&amp;"")</f>
        <v/>
      </c>
      <c r="P173">
        <f>IF($AL173="","",INDEX('04_調査結果'!$J$5:$J$404,$AL173)&amp;"")</f>
        <v/>
      </c>
      <c r="Q173">
        <f>IF($AL173="","",INDEX('04_調査結果'!$K$5:$K$404,$AL173)&amp;"")</f>
        <v/>
      </c>
      <c r="R173">
        <f>IF($AL173="","",INDEX('04_調査結果'!$L$5:$L$404,$AL173)&amp;"")</f>
        <v/>
      </c>
      <c r="S173">
        <f>IF($AL173="","",INDEX('04_調査結果'!$M$5:$M$404,$AL173)&amp;"")</f>
        <v/>
      </c>
      <c r="T173" s="33">
        <f>IF($AL173="","",IF(INDEX('04_調査結果'!$AE$5:$AE$404,$AL173)&lt;&gt;"",INDEX('04_調査結果'!$AE$5:$AE$404,$AL173),INDEX('04_調査結果'!$AS$5:$AS$404,$AL173)))</f>
        <v/>
      </c>
      <c r="U173" s="33">
        <f>IF($AL173="","",IF(INDEX('04_調査結果'!$AF$5:$AF$404,$AL173)&lt;&gt;"",INDEX('04_調査結果'!$AF$5:$AF$404,$AL173),INDEX('04_調査結果'!$AT$5:$AT$404,$AL173)))</f>
        <v/>
      </c>
      <c r="V173" s="33">
        <f>IF($AL173="","",INDEX('04_調査結果'!$AI$5:$AI$404,$AL173))</f>
        <v/>
      </c>
      <c r="W173">
        <f>IF($AL173="","",INDEX('04_調査結果'!$AU$5:$AU$404,$AL173))</f>
        <v/>
      </c>
      <c r="X173" s="37">
        <f>IF($AL173="","",INDEX('04_調査結果'!$AW$5:$AW$404,$AL173))</f>
        <v/>
      </c>
      <c r="Y173" s="37">
        <f>IF($AL173="","",INDEX('04_調査結果'!$AX$5:$AX$404,$AL173))</f>
        <v/>
      </c>
      <c r="Z173">
        <f>IF($AL173="","",INDEX('04_調査結果'!$S$5:$S$404,$AL173)&amp;"")</f>
        <v/>
      </c>
      <c r="AA173">
        <f>IF($AL173="","",INDEX('04_調査結果'!$T$5:$T$404,$AL173))</f>
        <v/>
      </c>
      <c r="AB173">
        <f>IF($AL173="","",INDEX('04_調査結果'!$U$5:$U$404,$AL173))</f>
        <v/>
      </c>
      <c r="AC173">
        <f>IF($AL173="","",INDEX('04_調査結果'!$V$5:$V$404,$AL173))</f>
        <v/>
      </c>
      <c r="AD173">
        <f>IF($AL173="","",INDEX('04_調査結果'!$W$5:$W$404,$AL173))</f>
        <v/>
      </c>
      <c r="AE173">
        <f>IF($AL173="","",INDEX('04_調査結果'!$X$5:$X$404,$AL173))</f>
        <v/>
      </c>
      <c r="AF173">
        <f>IF($AL173="","",INDEX('04_調査結果'!$Y$5:$Y$404,$AL173))</f>
        <v/>
      </c>
      <c r="AG173">
        <f>IF($AL173="","",INDEX('04_調査結果'!$Z$5:$Z$404,$AL173))</f>
        <v/>
      </c>
      <c r="AH173">
        <f>IF($AL173="","",INDEX('04_調査結果'!$AK$5:$AK$404,$AL173))</f>
        <v/>
      </c>
      <c r="AI173">
        <f>IF($AL173="","",INDEX('04_調査結果'!$AH$5:$AH$404,$AL173)&amp;"")</f>
        <v/>
      </c>
      <c r="AJ173">
        <f>IF($AL173="","",INDEX('04_調査結果'!$AA$5:$AA$404,$AL173)&amp;"")</f>
        <v/>
      </c>
      <c r="AK173">
        <f>IF($AL173="","",INDEX('04_調査結果'!$AC$5:$AC$404,$AL173)&amp;"")</f>
        <v/>
      </c>
      <c r="AL173" s="34">
        <f>IFERROR(MATCH(ROW()-4,'04_調査結果'!$AZ$5:$AZ$404,0),"")</f>
        <v/>
      </c>
    </row>
    <row r="174">
      <c r="A174">
        <f>IF($AL174="","",'01_設定'!$C$36)</f>
        <v/>
      </c>
      <c r="B174">
        <f>IF($AL174="","",'01_設定'!$C$5)</f>
        <v/>
      </c>
      <c r="C174">
        <f>IF($AL174="","",'01_設定'!$C$6)</f>
        <v/>
      </c>
      <c r="D174" s="36">
        <f>IF($AL174="","",'01_設定'!$C$22)</f>
        <v/>
      </c>
      <c r="E174" s="36">
        <f>IF($AL174="","",'01_設定'!$C$23)</f>
        <v/>
      </c>
      <c r="F174">
        <f>IF($AL174="","",'01_設定'!$C$32)</f>
        <v/>
      </c>
      <c r="G174">
        <f>IF($AL174="","",ROW()-4)</f>
        <v/>
      </c>
      <c r="H174">
        <f>IF($AL174="","",INDEX('04_調査結果'!$AO$5:$AO$404,$AL174))</f>
        <v/>
      </c>
      <c r="I174">
        <f>IF($AL174="","",IFERROR(INDEX('M2_区分マスタ'!$I$5:$I$10,INDEX('04_調査結果'!$AP$5:$AP$404,$AL174)),""))</f>
        <v/>
      </c>
      <c r="J174">
        <f>IF($AL174="","",INDEX('04_調査結果'!$BE$5:$BE$404,$AL174)&amp;"")</f>
        <v/>
      </c>
      <c r="K174">
        <f>IF($AL174="","",INDEX('04_調査結果'!$F$5:$F$404,$AL174)&amp;"")</f>
        <v/>
      </c>
      <c r="L174">
        <f>IF($AL174="","",INDEX('04_調査結果'!$G$5:$G$404,$AL174)&amp;"")</f>
        <v/>
      </c>
      <c r="M174">
        <f>IF($AL174="","",INDEX('04_調査結果'!$AQ$5:$AQ$404,$AL174)&amp;"")</f>
        <v/>
      </c>
      <c r="N174">
        <f>IF($AL174="","",IFERROR(INDEX('M1_類型マスタ'!$B$5:$B$19,MATCH(M174,'M1_類型マスタ'!$A$5:$A$19,0)),""))</f>
        <v/>
      </c>
      <c r="O174">
        <f>IF($AL174="","",INDEX('04_調査結果'!$I$5:$I$404,$AL174)&amp;"")</f>
        <v/>
      </c>
      <c r="P174">
        <f>IF($AL174="","",INDEX('04_調査結果'!$J$5:$J$404,$AL174)&amp;"")</f>
        <v/>
      </c>
      <c r="Q174">
        <f>IF($AL174="","",INDEX('04_調査結果'!$K$5:$K$404,$AL174)&amp;"")</f>
        <v/>
      </c>
      <c r="R174">
        <f>IF($AL174="","",INDEX('04_調査結果'!$L$5:$L$404,$AL174)&amp;"")</f>
        <v/>
      </c>
      <c r="S174">
        <f>IF($AL174="","",INDEX('04_調査結果'!$M$5:$M$404,$AL174)&amp;"")</f>
        <v/>
      </c>
      <c r="T174" s="33">
        <f>IF($AL174="","",IF(INDEX('04_調査結果'!$AE$5:$AE$404,$AL174)&lt;&gt;"",INDEX('04_調査結果'!$AE$5:$AE$404,$AL174),INDEX('04_調査結果'!$AS$5:$AS$404,$AL174)))</f>
        <v/>
      </c>
      <c r="U174" s="33">
        <f>IF($AL174="","",IF(INDEX('04_調査結果'!$AF$5:$AF$404,$AL174)&lt;&gt;"",INDEX('04_調査結果'!$AF$5:$AF$404,$AL174),INDEX('04_調査結果'!$AT$5:$AT$404,$AL174)))</f>
        <v/>
      </c>
      <c r="V174" s="33">
        <f>IF($AL174="","",INDEX('04_調査結果'!$AI$5:$AI$404,$AL174))</f>
        <v/>
      </c>
      <c r="W174">
        <f>IF($AL174="","",INDEX('04_調査結果'!$AU$5:$AU$404,$AL174))</f>
        <v/>
      </c>
      <c r="X174" s="37">
        <f>IF($AL174="","",INDEX('04_調査結果'!$AW$5:$AW$404,$AL174))</f>
        <v/>
      </c>
      <c r="Y174" s="37">
        <f>IF($AL174="","",INDEX('04_調査結果'!$AX$5:$AX$404,$AL174))</f>
        <v/>
      </c>
      <c r="Z174">
        <f>IF($AL174="","",INDEX('04_調査結果'!$S$5:$S$404,$AL174)&amp;"")</f>
        <v/>
      </c>
      <c r="AA174">
        <f>IF($AL174="","",INDEX('04_調査結果'!$T$5:$T$404,$AL174))</f>
        <v/>
      </c>
      <c r="AB174">
        <f>IF($AL174="","",INDEX('04_調査結果'!$U$5:$U$404,$AL174))</f>
        <v/>
      </c>
      <c r="AC174">
        <f>IF($AL174="","",INDEX('04_調査結果'!$V$5:$V$404,$AL174))</f>
        <v/>
      </c>
      <c r="AD174">
        <f>IF($AL174="","",INDEX('04_調査結果'!$W$5:$W$404,$AL174))</f>
        <v/>
      </c>
      <c r="AE174">
        <f>IF($AL174="","",INDEX('04_調査結果'!$X$5:$X$404,$AL174))</f>
        <v/>
      </c>
      <c r="AF174">
        <f>IF($AL174="","",INDEX('04_調査結果'!$Y$5:$Y$404,$AL174))</f>
        <v/>
      </c>
      <c r="AG174">
        <f>IF($AL174="","",INDEX('04_調査結果'!$Z$5:$Z$404,$AL174))</f>
        <v/>
      </c>
      <c r="AH174">
        <f>IF($AL174="","",INDEX('04_調査結果'!$AK$5:$AK$404,$AL174))</f>
        <v/>
      </c>
      <c r="AI174">
        <f>IF($AL174="","",INDEX('04_調査結果'!$AH$5:$AH$404,$AL174)&amp;"")</f>
        <v/>
      </c>
      <c r="AJ174">
        <f>IF($AL174="","",INDEX('04_調査結果'!$AA$5:$AA$404,$AL174)&amp;"")</f>
        <v/>
      </c>
      <c r="AK174">
        <f>IF($AL174="","",INDEX('04_調査結果'!$AC$5:$AC$404,$AL174)&amp;"")</f>
        <v/>
      </c>
      <c r="AL174" s="34">
        <f>IFERROR(MATCH(ROW()-4,'04_調査結果'!$AZ$5:$AZ$404,0),"")</f>
        <v/>
      </c>
    </row>
    <row r="175">
      <c r="A175">
        <f>IF($AL175="","",'01_設定'!$C$36)</f>
        <v/>
      </c>
      <c r="B175">
        <f>IF($AL175="","",'01_設定'!$C$5)</f>
        <v/>
      </c>
      <c r="C175">
        <f>IF($AL175="","",'01_設定'!$C$6)</f>
        <v/>
      </c>
      <c r="D175" s="36">
        <f>IF($AL175="","",'01_設定'!$C$22)</f>
        <v/>
      </c>
      <c r="E175" s="36">
        <f>IF($AL175="","",'01_設定'!$C$23)</f>
        <v/>
      </c>
      <c r="F175">
        <f>IF($AL175="","",'01_設定'!$C$32)</f>
        <v/>
      </c>
      <c r="G175">
        <f>IF($AL175="","",ROW()-4)</f>
        <v/>
      </c>
      <c r="H175">
        <f>IF($AL175="","",INDEX('04_調査結果'!$AO$5:$AO$404,$AL175))</f>
        <v/>
      </c>
      <c r="I175">
        <f>IF($AL175="","",IFERROR(INDEX('M2_区分マスタ'!$I$5:$I$10,INDEX('04_調査結果'!$AP$5:$AP$404,$AL175)),""))</f>
        <v/>
      </c>
      <c r="J175">
        <f>IF($AL175="","",INDEX('04_調査結果'!$BE$5:$BE$404,$AL175)&amp;"")</f>
        <v/>
      </c>
      <c r="K175">
        <f>IF($AL175="","",INDEX('04_調査結果'!$F$5:$F$404,$AL175)&amp;"")</f>
        <v/>
      </c>
      <c r="L175">
        <f>IF($AL175="","",INDEX('04_調査結果'!$G$5:$G$404,$AL175)&amp;"")</f>
        <v/>
      </c>
      <c r="M175">
        <f>IF($AL175="","",INDEX('04_調査結果'!$AQ$5:$AQ$404,$AL175)&amp;"")</f>
        <v/>
      </c>
      <c r="N175">
        <f>IF($AL175="","",IFERROR(INDEX('M1_類型マスタ'!$B$5:$B$19,MATCH(M175,'M1_類型マスタ'!$A$5:$A$19,0)),""))</f>
        <v/>
      </c>
      <c r="O175">
        <f>IF($AL175="","",INDEX('04_調査結果'!$I$5:$I$404,$AL175)&amp;"")</f>
        <v/>
      </c>
      <c r="P175">
        <f>IF($AL175="","",INDEX('04_調査結果'!$J$5:$J$404,$AL175)&amp;"")</f>
        <v/>
      </c>
      <c r="Q175">
        <f>IF($AL175="","",INDEX('04_調査結果'!$K$5:$K$404,$AL175)&amp;"")</f>
        <v/>
      </c>
      <c r="R175">
        <f>IF($AL175="","",INDEX('04_調査結果'!$L$5:$L$404,$AL175)&amp;"")</f>
        <v/>
      </c>
      <c r="S175">
        <f>IF($AL175="","",INDEX('04_調査結果'!$M$5:$M$404,$AL175)&amp;"")</f>
        <v/>
      </c>
      <c r="T175" s="33">
        <f>IF($AL175="","",IF(INDEX('04_調査結果'!$AE$5:$AE$404,$AL175)&lt;&gt;"",INDEX('04_調査結果'!$AE$5:$AE$404,$AL175),INDEX('04_調査結果'!$AS$5:$AS$404,$AL175)))</f>
        <v/>
      </c>
      <c r="U175" s="33">
        <f>IF($AL175="","",IF(INDEX('04_調査結果'!$AF$5:$AF$404,$AL175)&lt;&gt;"",INDEX('04_調査結果'!$AF$5:$AF$404,$AL175),INDEX('04_調査結果'!$AT$5:$AT$404,$AL175)))</f>
        <v/>
      </c>
      <c r="V175" s="33">
        <f>IF($AL175="","",INDEX('04_調査結果'!$AI$5:$AI$404,$AL175))</f>
        <v/>
      </c>
      <c r="W175">
        <f>IF($AL175="","",INDEX('04_調査結果'!$AU$5:$AU$404,$AL175))</f>
        <v/>
      </c>
      <c r="X175" s="37">
        <f>IF($AL175="","",INDEX('04_調査結果'!$AW$5:$AW$404,$AL175))</f>
        <v/>
      </c>
      <c r="Y175" s="37">
        <f>IF($AL175="","",INDEX('04_調査結果'!$AX$5:$AX$404,$AL175))</f>
        <v/>
      </c>
      <c r="Z175">
        <f>IF($AL175="","",INDEX('04_調査結果'!$S$5:$S$404,$AL175)&amp;"")</f>
        <v/>
      </c>
      <c r="AA175">
        <f>IF($AL175="","",INDEX('04_調査結果'!$T$5:$T$404,$AL175))</f>
        <v/>
      </c>
      <c r="AB175">
        <f>IF($AL175="","",INDEX('04_調査結果'!$U$5:$U$404,$AL175))</f>
        <v/>
      </c>
      <c r="AC175">
        <f>IF($AL175="","",INDEX('04_調査結果'!$V$5:$V$404,$AL175))</f>
        <v/>
      </c>
      <c r="AD175">
        <f>IF($AL175="","",INDEX('04_調査結果'!$W$5:$W$404,$AL175))</f>
        <v/>
      </c>
      <c r="AE175">
        <f>IF($AL175="","",INDEX('04_調査結果'!$X$5:$X$404,$AL175))</f>
        <v/>
      </c>
      <c r="AF175">
        <f>IF($AL175="","",INDEX('04_調査結果'!$Y$5:$Y$404,$AL175))</f>
        <v/>
      </c>
      <c r="AG175">
        <f>IF($AL175="","",INDEX('04_調査結果'!$Z$5:$Z$404,$AL175))</f>
        <v/>
      </c>
      <c r="AH175">
        <f>IF($AL175="","",INDEX('04_調査結果'!$AK$5:$AK$404,$AL175))</f>
        <v/>
      </c>
      <c r="AI175">
        <f>IF($AL175="","",INDEX('04_調査結果'!$AH$5:$AH$404,$AL175)&amp;"")</f>
        <v/>
      </c>
      <c r="AJ175">
        <f>IF($AL175="","",INDEX('04_調査結果'!$AA$5:$AA$404,$AL175)&amp;"")</f>
        <v/>
      </c>
      <c r="AK175">
        <f>IF($AL175="","",INDEX('04_調査結果'!$AC$5:$AC$404,$AL175)&amp;"")</f>
        <v/>
      </c>
      <c r="AL175" s="34">
        <f>IFERROR(MATCH(ROW()-4,'04_調査結果'!$AZ$5:$AZ$404,0),"")</f>
        <v/>
      </c>
    </row>
    <row r="176">
      <c r="A176">
        <f>IF($AL176="","",'01_設定'!$C$36)</f>
        <v/>
      </c>
      <c r="B176">
        <f>IF($AL176="","",'01_設定'!$C$5)</f>
        <v/>
      </c>
      <c r="C176">
        <f>IF($AL176="","",'01_設定'!$C$6)</f>
        <v/>
      </c>
      <c r="D176" s="36">
        <f>IF($AL176="","",'01_設定'!$C$22)</f>
        <v/>
      </c>
      <c r="E176" s="36">
        <f>IF($AL176="","",'01_設定'!$C$23)</f>
        <v/>
      </c>
      <c r="F176">
        <f>IF($AL176="","",'01_設定'!$C$32)</f>
        <v/>
      </c>
      <c r="G176">
        <f>IF($AL176="","",ROW()-4)</f>
        <v/>
      </c>
      <c r="H176">
        <f>IF($AL176="","",INDEX('04_調査結果'!$AO$5:$AO$404,$AL176))</f>
        <v/>
      </c>
      <c r="I176">
        <f>IF($AL176="","",IFERROR(INDEX('M2_区分マスタ'!$I$5:$I$10,INDEX('04_調査結果'!$AP$5:$AP$404,$AL176)),""))</f>
        <v/>
      </c>
      <c r="J176">
        <f>IF($AL176="","",INDEX('04_調査結果'!$BE$5:$BE$404,$AL176)&amp;"")</f>
        <v/>
      </c>
      <c r="K176">
        <f>IF($AL176="","",INDEX('04_調査結果'!$F$5:$F$404,$AL176)&amp;"")</f>
        <v/>
      </c>
      <c r="L176">
        <f>IF($AL176="","",INDEX('04_調査結果'!$G$5:$G$404,$AL176)&amp;"")</f>
        <v/>
      </c>
      <c r="M176">
        <f>IF($AL176="","",INDEX('04_調査結果'!$AQ$5:$AQ$404,$AL176)&amp;"")</f>
        <v/>
      </c>
      <c r="N176">
        <f>IF($AL176="","",IFERROR(INDEX('M1_類型マスタ'!$B$5:$B$19,MATCH(M176,'M1_類型マスタ'!$A$5:$A$19,0)),""))</f>
        <v/>
      </c>
      <c r="O176">
        <f>IF($AL176="","",INDEX('04_調査結果'!$I$5:$I$404,$AL176)&amp;"")</f>
        <v/>
      </c>
      <c r="P176">
        <f>IF($AL176="","",INDEX('04_調査結果'!$J$5:$J$404,$AL176)&amp;"")</f>
        <v/>
      </c>
      <c r="Q176">
        <f>IF($AL176="","",INDEX('04_調査結果'!$K$5:$K$404,$AL176)&amp;"")</f>
        <v/>
      </c>
      <c r="R176">
        <f>IF($AL176="","",INDEX('04_調査結果'!$L$5:$L$404,$AL176)&amp;"")</f>
        <v/>
      </c>
      <c r="S176">
        <f>IF($AL176="","",INDEX('04_調査結果'!$M$5:$M$404,$AL176)&amp;"")</f>
        <v/>
      </c>
      <c r="T176" s="33">
        <f>IF($AL176="","",IF(INDEX('04_調査結果'!$AE$5:$AE$404,$AL176)&lt;&gt;"",INDEX('04_調査結果'!$AE$5:$AE$404,$AL176),INDEX('04_調査結果'!$AS$5:$AS$404,$AL176)))</f>
        <v/>
      </c>
      <c r="U176" s="33">
        <f>IF($AL176="","",IF(INDEX('04_調査結果'!$AF$5:$AF$404,$AL176)&lt;&gt;"",INDEX('04_調査結果'!$AF$5:$AF$404,$AL176),INDEX('04_調査結果'!$AT$5:$AT$404,$AL176)))</f>
        <v/>
      </c>
      <c r="V176" s="33">
        <f>IF($AL176="","",INDEX('04_調査結果'!$AI$5:$AI$404,$AL176))</f>
        <v/>
      </c>
      <c r="W176">
        <f>IF($AL176="","",INDEX('04_調査結果'!$AU$5:$AU$404,$AL176))</f>
        <v/>
      </c>
      <c r="X176" s="37">
        <f>IF($AL176="","",INDEX('04_調査結果'!$AW$5:$AW$404,$AL176))</f>
        <v/>
      </c>
      <c r="Y176" s="37">
        <f>IF($AL176="","",INDEX('04_調査結果'!$AX$5:$AX$404,$AL176))</f>
        <v/>
      </c>
      <c r="Z176">
        <f>IF($AL176="","",INDEX('04_調査結果'!$S$5:$S$404,$AL176)&amp;"")</f>
        <v/>
      </c>
      <c r="AA176">
        <f>IF($AL176="","",INDEX('04_調査結果'!$T$5:$T$404,$AL176))</f>
        <v/>
      </c>
      <c r="AB176">
        <f>IF($AL176="","",INDEX('04_調査結果'!$U$5:$U$404,$AL176))</f>
        <v/>
      </c>
      <c r="AC176">
        <f>IF($AL176="","",INDEX('04_調査結果'!$V$5:$V$404,$AL176))</f>
        <v/>
      </c>
      <c r="AD176">
        <f>IF($AL176="","",INDEX('04_調査結果'!$W$5:$W$404,$AL176))</f>
        <v/>
      </c>
      <c r="AE176">
        <f>IF($AL176="","",INDEX('04_調査結果'!$X$5:$X$404,$AL176))</f>
        <v/>
      </c>
      <c r="AF176">
        <f>IF($AL176="","",INDEX('04_調査結果'!$Y$5:$Y$404,$AL176))</f>
        <v/>
      </c>
      <c r="AG176">
        <f>IF($AL176="","",INDEX('04_調査結果'!$Z$5:$Z$404,$AL176))</f>
        <v/>
      </c>
      <c r="AH176">
        <f>IF($AL176="","",INDEX('04_調査結果'!$AK$5:$AK$404,$AL176))</f>
        <v/>
      </c>
      <c r="AI176">
        <f>IF($AL176="","",INDEX('04_調査結果'!$AH$5:$AH$404,$AL176)&amp;"")</f>
        <v/>
      </c>
      <c r="AJ176">
        <f>IF($AL176="","",INDEX('04_調査結果'!$AA$5:$AA$404,$AL176)&amp;"")</f>
        <v/>
      </c>
      <c r="AK176">
        <f>IF($AL176="","",INDEX('04_調査結果'!$AC$5:$AC$404,$AL176)&amp;"")</f>
        <v/>
      </c>
      <c r="AL176" s="34">
        <f>IFERROR(MATCH(ROW()-4,'04_調査結果'!$AZ$5:$AZ$404,0),"")</f>
        <v/>
      </c>
    </row>
    <row r="177">
      <c r="A177">
        <f>IF($AL177="","",'01_設定'!$C$36)</f>
        <v/>
      </c>
      <c r="B177">
        <f>IF($AL177="","",'01_設定'!$C$5)</f>
        <v/>
      </c>
      <c r="C177">
        <f>IF($AL177="","",'01_設定'!$C$6)</f>
        <v/>
      </c>
      <c r="D177" s="36">
        <f>IF($AL177="","",'01_設定'!$C$22)</f>
        <v/>
      </c>
      <c r="E177" s="36">
        <f>IF($AL177="","",'01_設定'!$C$23)</f>
        <v/>
      </c>
      <c r="F177">
        <f>IF($AL177="","",'01_設定'!$C$32)</f>
        <v/>
      </c>
      <c r="G177">
        <f>IF($AL177="","",ROW()-4)</f>
        <v/>
      </c>
      <c r="H177">
        <f>IF($AL177="","",INDEX('04_調査結果'!$AO$5:$AO$404,$AL177))</f>
        <v/>
      </c>
      <c r="I177">
        <f>IF($AL177="","",IFERROR(INDEX('M2_区分マスタ'!$I$5:$I$10,INDEX('04_調査結果'!$AP$5:$AP$404,$AL177)),""))</f>
        <v/>
      </c>
      <c r="J177">
        <f>IF($AL177="","",INDEX('04_調査結果'!$BE$5:$BE$404,$AL177)&amp;"")</f>
        <v/>
      </c>
      <c r="K177">
        <f>IF($AL177="","",INDEX('04_調査結果'!$F$5:$F$404,$AL177)&amp;"")</f>
        <v/>
      </c>
      <c r="L177">
        <f>IF($AL177="","",INDEX('04_調査結果'!$G$5:$G$404,$AL177)&amp;"")</f>
        <v/>
      </c>
      <c r="M177">
        <f>IF($AL177="","",INDEX('04_調査結果'!$AQ$5:$AQ$404,$AL177)&amp;"")</f>
        <v/>
      </c>
      <c r="N177">
        <f>IF($AL177="","",IFERROR(INDEX('M1_類型マスタ'!$B$5:$B$19,MATCH(M177,'M1_類型マスタ'!$A$5:$A$19,0)),""))</f>
        <v/>
      </c>
      <c r="O177">
        <f>IF($AL177="","",INDEX('04_調査結果'!$I$5:$I$404,$AL177)&amp;"")</f>
        <v/>
      </c>
      <c r="P177">
        <f>IF($AL177="","",INDEX('04_調査結果'!$J$5:$J$404,$AL177)&amp;"")</f>
        <v/>
      </c>
      <c r="Q177">
        <f>IF($AL177="","",INDEX('04_調査結果'!$K$5:$K$404,$AL177)&amp;"")</f>
        <v/>
      </c>
      <c r="R177">
        <f>IF($AL177="","",INDEX('04_調査結果'!$L$5:$L$404,$AL177)&amp;"")</f>
        <v/>
      </c>
      <c r="S177">
        <f>IF($AL177="","",INDEX('04_調査結果'!$M$5:$M$404,$AL177)&amp;"")</f>
        <v/>
      </c>
      <c r="T177" s="33">
        <f>IF($AL177="","",IF(INDEX('04_調査結果'!$AE$5:$AE$404,$AL177)&lt;&gt;"",INDEX('04_調査結果'!$AE$5:$AE$404,$AL177),INDEX('04_調査結果'!$AS$5:$AS$404,$AL177)))</f>
        <v/>
      </c>
      <c r="U177" s="33">
        <f>IF($AL177="","",IF(INDEX('04_調査結果'!$AF$5:$AF$404,$AL177)&lt;&gt;"",INDEX('04_調査結果'!$AF$5:$AF$404,$AL177),INDEX('04_調査結果'!$AT$5:$AT$404,$AL177)))</f>
        <v/>
      </c>
      <c r="V177" s="33">
        <f>IF($AL177="","",INDEX('04_調査結果'!$AI$5:$AI$404,$AL177))</f>
        <v/>
      </c>
      <c r="W177">
        <f>IF($AL177="","",INDEX('04_調査結果'!$AU$5:$AU$404,$AL177))</f>
        <v/>
      </c>
      <c r="X177" s="37">
        <f>IF($AL177="","",INDEX('04_調査結果'!$AW$5:$AW$404,$AL177))</f>
        <v/>
      </c>
      <c r="Y177" s="37">
        <f>IF($AL177="","",INDEX('04_調査結果'!$AX$5:$AX$404,$AL177))</f>
        <v/>
      </c>
      <c r="Z177">
        <f>IF($AL177="","",INDEX('04_調査結果'!$S$5:$S$404,$AL177)&amp;"")</f>
        <v/>
      </c>
      <c r="AA177">
        <f>IF($AL177="","",INDEX('04_調査結果'!$T$5:$T$404,$AL177))</f>
        <v/>
      </c>
      <c r="AB177">
        <f>IF($AL177="","",INDEX('04_調査結果'!$U$5:$U$404,$AL177))</f>
        <v/>
      </c>
      <c r="AC177">
        <f>IF($AL177="","",INDEX('04_調査結果'!$V$5:$V$404,$AL177))</f>
        <v/>
      </c>
      <c r="AD177">
        <f>IF($AL177="","",INDEX('04_調査結果'!$W$5:$W$404,$AL177))</f>
        <v/>
      </c>
      <c r="AE177">
        <f>IF($AL177="","",INDEX('04_調査結果'!$X$5:$X$404,$AL177))</f>
        <v/>
      </c>
      <c r="AF177">
        <f>IF($AL177="","",INDEX('04_調査結果'!$Y$5:$Y$404,$AL177))</f>
        <v/>
      </c>
      <c r="AG177">
        <f>IF($AL177="","",INDEX('04_調査結果'!$Z$5:$Z$404,$AL177))</f>
        <v/>
      </c>
      <c r="AH177">
        <f>IF($AL177="","",INDEX('04_調査結果'!$AK$5:$AK$404,$AL177))</f>
        <v/>
      </c>
      <c r="AI177">
        <f>IF($AL177="","",INDEX('04_調査結果'!$AH$5:$AH$404,$AL177)&amp;"")</f>
        <v/>
      </c>
      <c r="AJ177">
        <f>IF($AL177="","",INDEX('04_調査結果'!$AA$5:$AA$404,$AL177)&amp;"")</f>
        <v/>
      </c>
      <c r="AK177">
        <f>IF($AL177="","",INDEX('04_調査結果'!$AC$5:$AC$404,$AL177)&amp;"")</f>
        <v/>
      </c>
      <c r="AL177" s="34">
        <f>IFERROR(MATCH(ROW()-4,'04_調査結果'!$AZ$5:$AZ$404,0),"")</f>
        <v/>
      </c>
    </row>
    <row r="178">
      <c r="A178">
        <f>IF($AL178="","",'01_設定'!$C$36)</f>
        <v/>
      </c>
      <c r="B178">
        <f>IF($AL178="","",'01_設定'!$C$5)</f>
        <v/>
      </c>
      <c r="C178">
        <f>IF($AL178="","",'01_設定'!$C$6)</f>
        <v/>
      </c>
      <c r="D178" s="36">
        <f>IF($AL178="","",'01_設定'!$C$22)</f>
        <v/>
      </c>
      <c r="E178" s="36">
        <f>IF($AL178="","",'01_設定'!$C$23)</f>
        <v/>
      </c>
      <c r="F178">
        <f>IF($AL178="","",'01_設定'!$C$32)</f>
        <v/>
      </c>
      <c r="G178">
        <f>IF($AL178="","",ROW()-4)</f>
        <v/>
      </c>
      <c r="H178">
        <f>IF($AL178="","",INDEX('04_調査結果'!$AO$5:$AO$404,$AL178))</f>
        <v/>
      </c>
      <c r="I178">
        <f>IF($AL178="","",IFERROR(INDEX('M2_区分マスタ'!$I$5:$I$10,INDEX('04_調査結果'!$AP$5:$AP$404,$AL178)),""))</f>
        <v/>
      </c>
      <c r="J178">
        <f>IF($AL178="","",INDEX('04_調査結果'!$BE$5:$BE$404,$AL178)&amp;"")</f>
        <v/>
      </c>
      <c r="K178">
        <f>IF($AL178="","",INDEX('04_調査結果'!$F$5:$F$404,$AL178)&amp;"")</f>
        <v/>
      </c>
      <c r="L178">
        <f>IF($AL178="","",INDEX('04_調査結果'!$G$5:$G$404,$AL178)&amp;"")</f>
        <v/>
      </c>
      <c r="M178">
        <f>IF($AL178="","",INDEX('04_調査結果'!$AQ$5:$AQ$404,$AL178)&amp;"")</f>
        <v/>
      </c>
      <c r="N178">
        <f>IF($AL178="","",IFERROR(INDEX('M1_類型マスタ'!$B$5:$B$19,MATCH(M178,'M1_類型マスタ'!$A$5:$A$19,0)),""))</f>
        <v/>
      </c>
      <c r="O178">
        <f>IF($AL178="","",INDEX('04_調査結果'!$I$5:$I$404,$AL178)&amp;"")</f>
        <v/>
      </c>
      <c r="P178">
        <f>IF($AL178="","",INDEX('04_調査結果'!$J$5:$J$404,$AL178)&amp;"")</f>
        <v/>
      </c>
      <c r="Q178">
        <f>IF($AL178="","",INDEX('04_調査結果'!$K$5:$K$404,$AL178)&amp;"")</f>
        <v/>
      </c>
      <c r="R178">
        <f>IF($AL178="","",INDEX('04_調査結果'!$L$5:$L$404,$AL178)&amp;"")</f>
        <v/>
      </c>
      <c r="S178">
        <f>IF($AL178="","",INDEX('04_調査結果'!$M$5:$M$404,$AL178)&amp;"")</f>
        <v/>
      </c>
      <c r="T178" s="33">
        <f>IF($AL178="","",IF(INDEX('04_調査結果'!$AE$5:$AE$404,$AL178)&lt;&gt;"",INDEX('04_調査結果'!$AE$5:$AE$404,$AL178),INDEX('04_調査結果'!$AS$5:$AS$404,$AL178)))</f>
        <v/>
      </c>
      <c r="U178" s="33">
        <f>IF($AL178="","",IF(INDEX('04_調査結果'!$AF$5:$AF$404,$AL178)&lt;&gt;"",INDEX('04_調査結果'!$AF$5:$AF$404,$AL178),INDEX('04_調査結果'!$AT$5:$AT$404,$AL178)))</f>
        <v/>
      </c>
      <c r="V178" s="33">
        <f>IF($AL178="","",INDEX('04_調査結果'!$AI$5:$AI$404,$AL178))</f>
        <v/>
      </c>
      <c r="W178">
        <f>IF($AL178="","",INDEX('04_調査結果'!$AU$5:$AU$404,$AL178))</f>
        <v/>
      </c>
      <c r="X178" s="37">
        <f>IF($AL178="","",INDEX('04_調査結果'!$AW$5:$AW$404,$AL178))</f>
        <v/>
      </c>
      <c r="Y178" s="37">
        <f>IF($AL178="","",INDEX('04_調査結果'!$AX$5:$AX$404,$AL178))</f>
        <v/>
      </c>
      <c r="Z178">
        <f>IF($AL178="","",INDEX('04_調査結果'!$S$5:$S$404,$AL178)&amp;"")</f>
        <v/>
      </c>
      <c r="AA178">
        <f>IF($AL178="","",INDEX('04_調査結果'!$T$5:$T$404,$AL178))</f>
        <v/>
      </c>
      <c r="AB178">
        <f>IF($AL178="","",INDEX('04_調査結果'!$U$5:$U$404,$AL178))</f>
        <v/>
      </c>
      <c r="AC178">
        <f>IF($AL178="","",INDEX('04_調査結果'!$V$5:$V$404,$AL178))</f>
        <v/>
      </c>
      <c r="AD178">
        <f>IF($AL178="","",INDEX('04_調査結果'!$W$5:$W$404,$AL178))</f>
        <v/>
      </c>
      <c r="AE178">
        <f>IF($AL178="","",INDEX('04_調査結果'!$X$5:$X$404,$AL178))</f>
        <v/>
      </c>
      <c r="AF178">
        <f>IF($AL178="","",INDEX('04_調査結果'!$Y$5:$Y$404,$AL178))</f>
        <v/>
      </c>
      <c r="AG178">
        <f>IF($AL178="","",INDEX('04_調査結果'!$Z$5:$Z$404,$AL178))</f>
        <v/>
      </c>
      <c r="AH178">
        <f>IF($AL178="","",INDEX('04_調査結果'!$AK$5:$AK$404,$AL178))</f>
        <v/>
      </c>
      <c r="AI178">
        <f>IF($AL178="","",INDEX('04_調査結果'!$AH$5:$AH$404,$AL178)&amp;"")</f>
        <v/>
      </c>
      <c r="AJ178">
        <f>IF($AL178="","",INDEX('04_調査結果'!$AA$5:$AA$404,$AL178)&amp;"")</f>
        <v/>
      </c>
      <c r="AK178">
        <f>IF($AL178="","",INDEX('04_調査結果'!$AC$5:$AC$404,$AL178)&amp;"")</f>
        <v/>
      </c>
      <c r="AL178" s="34">
        <f>IFERROR(MATCH(ROW()-4,'04_調査結果'!$AZ$5:$AZ$404,0),"")</f>
        <v/>
      </c>
    </row>
    <row r="179">
      <c r="A179">
        <f>IF($AL179="","",'01_設定'!$C$36)</f>
        <v/>
      </c>
      <c r="B179">
        <f>IF($AL179="","",'01_設定'!$C$5)</f>
        <v/>
      </c>
      <c r="C179">
        <f>IF($AL179="","",'01_設定'!$C$6)</f>
        <v/>
      </c>
      <c r="D179" s="36">
        <f>IF($AL179="","",'01_設定'!$C$22)</f>
        <v/>
      </c>
      <c r="E179" s="36">
        <f>IF($AL179="","",'01_設定'!$C$23)</f>
        <v/>
      </c>
      <c r="F179">
        <f>IF($AL179="","",'01_設定'!$C$32)</f>
        <v/>
      </c>
      <c r="G179">
        <f>IF($AL179="","",ROW()-4)</f>
        <v/>
      </c>
      <c r="H179">
        <f>IF($AL179="","",INDEX('04_調査結果'!$AO$5:$AO$404,$AL179))</f>
        <v/>
      </c>
      <c r="I179">
        <f>IF($AL179="","",IFERROR(INDEX('M2_区分マスタ'!$I$5:$I$10,INDEX('04_調査結果'!$AP$5:$AP$404,$AL179)),""))</f>
        <v/>
      </c>
      <c r="J179">
        <f>IF($AL179="","",INDEX('04_調査結果'!$BE$5:$BE$404,$AL179)&amp;"")</f>
        <v/>
      </c>
      <c r="K179">
        <f>IF($AL179="","",INDEX('04_調査結果'!$F$5:$F$404,$AL179)&amp;"")</f>
        <v/>
      </c>
      <c r="L179">
        <f>IF($AL179="","",INDEX('04_調査結果'!$G$5:$G$404,$AL179)&amp;"")</f>
        <v/>
      </c>
      <c r="M179">
        <f>IF($AL179="","",INDEX('04_調査結果'!$AQ$5:$AQ$404,$AL179)&amp;"")</f>
        <v/>
      </c>
      <c r="N179">
        <f>IF($AL179="","",IFERROR(INDEX('M1_類型マスタ'!$B$5:$B$19,MATCH(M179,'M1_類型マスタ'!$A$5:$A$19,0)),""))</f>
        <v/>
      </c>
      <c r="O179">
        <f>IF($AL179="","",INDEX('04_調査結果'!$I$5:$I$404,$AL179)&amp;"")</f>
        <v/>
      </c>
      <c r="P179">
        <f>IF($AL179="","",INDEX('04_調査結果'!$J$5:$J$404,$AL179)&amp;"")</f>
        <v/>
      </c>
      <c r="Q179">
        <f>IF($AL179="","",INDEX('04_調査結果'!$K$5:$K$404,$AL179)&amp;"")</f>
        <v/>
      </c>
      <c r="R179">
        <f>IF($AL179="","",INDEX('04_調査結果'!$L$5:$L$404,$AL179)&amp;"")</f>
        <v/>
      </c>
      <c r="S179">
        <f>IF($AL179="","",INDEX('04_調査結果'!$M$5:$M$404,$AL179)&amp;"")</f>
        <v/>
      </c>
      <c r="T179" s="33">
        <f>IF($AL179="","",IF(INDEX('04_調査結果'!$AE$5:$AE$404,$AL179)&lt;&gt;"",INDEX('04_調査結果'!$AE$5:$AE$404,$AL179),INDEX('04_調査結果'!$AS$5:$AS$404,$AL179)))</f>
        <v/>
      </c>
      <c r="U179" s="33">
        <f>IF($AL179="","",IF(INDEX('04_調査結果'!$AF$5:$AF$404,$AL179)&lt;&gt;"",INDEX('04_調査結果'!$AF$5:$AF$404,$AL179),INDEX('04_調査結果'!$AT$5:$AT$404,$AL179)))</f>
        <v/>
      </c>
      <c r="V179" s="33">
        <f>IF($AL179="","",INDEX('04_調査結果'!$AI$5:$AI$404,$AL179))</f>
        <v/>
      </c>
      <c r="W179">
        <f>IF($AL179="","",INDEX('04_調査結果'!$AU$5:$AU$404,$AL179))</f>
        <v/>
      </c>
      <c r="X179" s="37">
        <f>IF($AL179="","",INDEX('04_調査結果'!$AW$5:$AW$404,$AL179))</f>
        <v/>
      </c>
      <c r="Y179" s="37">
        <f>IF($AL179="","",INDEX('04_調査結果'!$AX$5:$AX$404,$AL179))</f>
        <v/>
      </c>
      <c r="Z179">
        <f>IF($AL179="","",INDEX('04_調査結果'!$S$5:$S$404,$AL179)&amp;"")</f>
        <v/>
      </c>
      <c r="AA179">
        <f>IF($AL179="","",INDEX('04_調査結果'!$T$5:$T$404,$AL179))</f>
        <v/>
      </c>
      <c r="AB179">
        <f>IF($AL179="","",INDEX('04_調査結果'!$U$5:$U$404,$AL179))</f>
        <v/>
      </c>
      <c r="AC179">
        <f>IF($AL179="","",INDEX('04_調査結果'!$V$5:$V$404,$AL179))</f>
        <v/>
      </c>
      <c r="AD179">
        <f>IF($AL179="","",INDEX('04_調査結果'!$W$5:$W$404,$AL179))</f>
        <v/>
      </c>
      <c r="AE179">
        <f>IF($AL179="","",INDEX('04_調査結果'!$X$5:$X$404,$AL179))</f>
        <v/>
      </c>
      <c r="AF179">
        <f>IF($AL179="","",INDEX('04_調査結果'!$Y$5:$Y$404,$AL179))</f>
        <v/>
      </c>
      <c r="AG179">
        <f>IF($AL179="","",INDEX('04_調査結果'!$Z$5:$Z$404,$AL179))</f>
        <v/>
      </c>
      <c r="AH179">
        <f>IF($AL179="","",INDEX('04_調査結果'!$AK$5:$AK$404,$AL179))</f>
        <v/>
      </c>
      <c r="AI179">
        <f>IF($AL179="","",INDEX('04_調査結果'!$AH$5:$AH$404,$AL179)&amp;"")</f>
        <v/>
      </c>
      <c r="AJ179">
        <f>IF($AL179="","",INDEX('04_調査結果'!$AA$5:$AA$404,$AL179)&amp;"")</f>
        <v/>
      </c>
      <c r="AK179">
        <f>IF($AL179="","",INDEX('04_調査結果'!$AC$5:$AC$404,$AL179)&amp;"")</f>
        <v/>
      </c>
      <c r="AL179" s="34">
        <f>IFERROR(MATCH(ROW()-4,'04_調査結果'!$AZ$5:$AZ$404,0),"")</f>
        <v/>
      </c>
    </row>
    <row r="180">
      <c r="A180">
        <f>IF($AL180="","",'01_設定'!$C$36)</f>
        <v/>
      </c>
      <c r="B180">
        <f>IF($AL180="","",'01_設定'!$C$5)</f>
        <v/>
      </c>
      <c r="C180">
        <f>IF($AL180="","",'01_設定'!$C$6)</f>
        <v/>
      </c>
      <c r="D180" s="36">
        <f>IF($AL180="","",'01_設定'!$C$22)</f>
        <v/>
      </c>
      <c r="E180" s="36">
        <f>IF($AL180="","",'01_設定'!$C$23)</f>
        <v/>
      </c>
      <c r="F180">
        <f>IF($AL180="","",'01_設定'!$C$32)</f>
        <v/>
      </c>
      <c r="G180">
        <f>IF($AL180="","",ROW()-4)</f>
        <v/>
      </c>
      <c r="H180">
        <f>IF($AL180="","",INDEX('04_調査結果'!$AO$5:$AO$404,$AL180))</f>
        <v/>
      </c>
      <c r="I180">
        <f>IF($AL180="","",IFERROR(INDEX('M2_区分マスタ'!$I$5:$I$10,INDEX('04_調査結果'!$AP$5:$AP$404,$AL180)),""))</f>
        <v/>
      </c>
      <c r="J180">
        <f>IF($AL180="","",INDEX('04_調査結果'!$BE$5:$BE$404,$AL180)&amp;"")</f>
        <v/>
      </c>
      <c r="K180">
        <f>IF($AL180="","",INDEX('04_調査結果'!$F$5:$F$404,$AL180)&amp;"")</f>
        <v/>
      </c>
      <c r="L180">
        <f>IF($AL180="","",INDEX('04_調査結果'!$G$5:$G$404,$AL180)&amp;"")</f>
        <v/>
      </c>
      <c r="M180">
        <f>IF($AL180="","",INDEX('04_調査結果'!$AQ$5:$AQ$404,$AL180)&amp;"")</f>
        <v/>
      </c>
      <c r="N180">
        <f>IF($AL180="","",IFERROR(INDEX('M1_類型マスタ'!$B$5:$B$19,MATCH(M180,'M1_類型マスタ'!$A$5:$A$19,0)),""))</f>
        <v/>
      </c>
      <c r="O180">
        <f>IF($AL180="","",INDEX('04_調査結果'!$I$5:$I$404,$AL180)&amp;"")</f>
        <v/>
      </c>
      <c r="P180">
        <f>IF($AL180="","",INDEX('04_調査結果'!$J$5:$J$404,$AL180)&amp;"")</f>
        <v/>
      </c>
      <c r="Q180">
        <f>IF($AL180="","",INDEX('04_調査結果'!$K$5:$K$404,$AL180)&amp;"")</f>
        <v/>
      </c>
      <c r="R180">
        <f>IF($AL180="","",INDEX('04_調査結果'!$L$5:$L$404,$AL180)&amp;"")</f>
        <v/>
      </c>
      <c r="S180">
        <f>IF($AL180="","",INDEX('04_調査結果'!$M$5:$M$404,$AL180)&amp;"")</f>
        <v/>
      </c>
      <c r="T180" s="33">
        <f>IF($AL180="","",IF(INDEX('04_調査結果'!$AE$5:$AE$404,$AL180)&lt;&gt;"",INDEX('04_調査結果'!$AE$5:$AE$404,$AL180),INDEX('04_調査結果'!$AS$5:$AS$404,$AL180)))</f>
        <v/>
      </c>
      <c r="U180" s="33">
        <f>IF($AL180="","",IF(INDEX('04_調査結果'!$AF$5:$AF$404,$AL180)&lt;&gt;"",INDEX('04_調査結果'!$AF$5:$AF$404,$AL180),INDEX('04_調査結果'!$AT$5:$AT$404,$AL180)))</f>
        <v/>
      </c>
      <c r="V180" s="33">
        <f>IF($AL180="","",INDEX('04_調査結果'!$AI$5:$AI$404,$AL180))</f>
        <v/>
      </c>
      <c r="W180">
        <f>IF($AL180="","",INDEX('04_調査結果'!$AU$5:$AU$404,$AL180))</f>
        <v/>
      </c>
      <c r="X180" s="37">
        <f>IF($AL180="","",INDEX('04_調査結果'!$AW$5:$AW$404,$AL180))</f>
        <v/>
      </c>
      <c r="Y180" s="37">
        <f>IF($AL180="","",INDEX('04_調査結果'!$AX$5:$AX$404,$AL180))</f>
        <v/>
      </c>
      <c r="Z180">
        <f>IF($AL180="","",INDEX('04_調査結果'!$S$5:$S$404,$AL180)&amp;"")</f>
        <v/>
      </c>
      <c r="AA180">
        <f>IF($AL180="","",INDEX('04_調査結果'!$T$5:$T$404,$AL180))</f>
        <v/>
      </c>
      <c r="AB180">
        <f>IF($AL180="","",INDEX('04_調査結果'!$U$5:$U$404,$AL180))</f>
        <v/>
      </c>
      <c r="AC180">
        <f>IF($AL180="","",INDEX('04_調査結果'!$V$5:$V$404,$AL180))</f>
        <v/>
      </c>
      <c r="AD180">
        <f>IF($AL180="","",INDEX('04_調査結果'!$W$5:$W$404,$AL180))</f>
        <v/>
      </c>
      <c r="AE180">
        <f>IF($AL180="","",INDEX('04_調査結果'!$X$5:$X$404,$AL180))</f>
        <v/>
      </c>
      <c r="AF180">
        <f>IF($AL180="","",INDEX('04_調査結果'!$Y$5:$Y$404,$AL180))</f>
        <v/>
      </c>
      <c r="AG180">
        <f>IF($AL180="","",INDEX('04_調査結果'!$Z$5:$Z$404,$AL180))</f>
        <v/>
      </c>
      <c r="AH180">
        <f>IF($AL180="","",INDEX('04_調査結果'!$AK$5:$AK$404,$AL180))</f>
        <v/>
      </c>
      <c r="AI180">
        <f>IF($AL180="","",INDEX('04_調査結果'!$AH$5:$AH$404,$AL180)&amp;"")</f>
        <v/>
      </c>
      <c r="AJ180">
        <f>IF($AL180="","",INDEX('04_調査結果'!$AA$5:$AA$404,$AL180)&amp;"")</f>
        <v/>
      </c>
      <c r="AK180">
        <f>IF($AL180="","",INDEX('04_調査結果'!$AC$5:$AC$404,$AL180)&amp;"")</f>
        <v/>
      </c>
      <c r="AL180" s="34">
        <f>IFERROR(MATCH(ROW()-4,'04_調査結果'!$AZ$5:$AZ$404,0),"")</f>
        <v/>
      </c>
    </row>
    <row r="181">
      <c r="A181">
        <f>IF($AL181="","",'01_設定'!$C$36)</f>
        <v/>
      </c>
      <c r="B181">
        <f>IF($AL181="","",'01_設定'!$C$5)</f>
        <v/>
      </c>
      <c r="C181">
        <f>IF($AL181="","",'01_設定'!$C$6)</f>
        <v/>
      </c>
      <c r="D181" s="36">
        <f>IF($AL181="","",'01_設定'!$C$22)</f>
        <v/>
      </c>
      <c r="E181" s="36">
        <f>IF($AL181="","",'01_設定'!$C$23)</f>
        <v/>
      </c>
      <c r="F181">
        <f>IF($AL181="","",'01_設定'!$C$32)</f>
        <v/>
      </c>
      <c r="G181">
        <f>IF($AL181="","",ROW()-4)</f>
        <v/>
      </c>
      <c r="H181">
        <f>IF($AL181="","",INDEX('04_調査結果'!$AO$5:$AO$404,$AL181))</f>
        <v/>
      </c>
      <c r="I181">
        <f>IF($AL181="","",IFERROR(INDEX('M2_区分マスタ'!$I$5:$I$10,INDEX('04_調査結果'!$AP$5:$AP$404,$AL181)),""))</f>
        <v/>
      </c>
      <c r="J181">
        <f>IF($AL181="","",INDEX('04_調査結果'!$BE$5:$BE$404,$AL181)&amp;"")</f>
        <v/>
      </c>
      <c r="K181">
        <f>IF($AL181="","",INDEX('04_調査結果'!$F$5:$F$404,$AL181)&amp;"")</f>
        <v/>
      </c>
      <c r="L181">
        <f>IF($AL181="","",INDEX('04_調査結果'!$G$5:$G$404,$AL181)&amp;"")</f>
        <v/>
      </c>
      <c r="M181">
        <f>IF($AL181="","",INDEX('04_調査結果'!$AQ$5:$AQ$404,$AL181)&amp;"")</f>
        <v/>
      </c>
      <c r="N181">
        <f>IF($AL181="","",IFERROR(INDEX('M1_類型マスタ'!$B$5:$B$19,MATCH(M181,'M1_類型マスタ'!$A$5:$A$19,0)),""))</f>
        <v/>
      </c>
      <c r="O181">
        <f>IF($AL181="","",INDEX('04_調査結果'!$I$5:$I$404,$AL181)&amp;"")</f>
        <v/>
      </c>
      <c r="P181">
        <f>IF($AL181="","",INDEX('04_調査結果'!$J$5:$J$404,$AL181)&amp;"")</f>
        <v/>
      </c>
      <c r="Q181">
        <f>IF($AL181="","",INDEX('04_調査結果'!$K$5:$K$404,$AL181)&amp;"")</f>
        <v/>
      </c>
      <c r="R181">
        <f>IF($AL181="","",INDEX('04_調査結果'!$L$5:$L$404,$AL181)&amp;"")</f>
        <v/>
      </c>
      <c r="S181">
        <f>IF($AL181="","",INDEX('04_調査結果'!$M$5:$M$404,$AL181)&amp;"")</f>
        <v/>
      </c>
      <c r="T181" s="33">
        <f>IF($AL181="","",IF(INDEX('04_調査結果'!$AE$5:$AE$404,$AL181)&lt;&gt;"",INDEX('04_調査結果'!$AE$5:$AE$404,$AL181),INDEX('04_調査結果'!$AS$5:$AS$404,$AL181)))</f>
        <v/>
      </c>
      <c r="U181" s="33">
        <f>IF($AL181="","",IF(INDEX('04_調査結果'!$AF$5:$AF$404,$AL181)&lt;&gt;"",INDEX('04_調査結果'!$AF$5:$AF$404,$AL181),INDEX('04_調査結果'!$AT$5:$AT$404,$AL181)))</f>
        <v/>
      </c>
      <c r="V181" s="33">
        <f>IF($AL181="","",INDEX('04_調査結果'!$AI$5:$AI$404,$AL181))</f>
        <v/>
      </c>
      <c r="W181">
        <f>IF($AL181="","",INDEX('04_調査結果'!$AU$5:$AU$404,$AL181))</f>
        <v/>
      </c>
      <c r="X181" s="37">
        <f>IF($AL181="","",INDEX('04_調査結果'!$AW$5:$AW$404,$AL181))</f>
        <v/>
      </c>
      <c r="Y181" s="37">
        <f>IF($AL181="","",INDEX('04_調査結果'!$AX$5:$AX$404,$AL181))</f>
        <v/>
      </c>
      <c r="Z181">
        <f>IF($AL181="","",INDEX('04_調査結果'!$S$5:$S$404,$AL181)&amp;"")</f>
        <v/>
      </c>
      <c r="AA181">
        <f>IF($AL181="","",INDEX('04_調査結果'!$T$5:$T$404,$AL181))</f>
        <v/>
      </c>
      <c r="AB181">
        <f>IF($AL181="","",INDEX('04_調査結果'!$U$5:$U$404,$AL181))</f>
        <v/>
      </c>
      <c r="AC181">
        <f>IF($AL181="","",INDEX('04_調査結果'!$V$5:$V$404,$AL181))</f>
        <v/>
      </c>
      <c r="AD181">
        <f>IF($AL181="","",INDEX('04_調査結果'!$W$5:$W$404,$AL181))</f>
        <v/>
      </c>
      <c r="AE181">
        <f>IF($AL181="","",INDEX('04_調査結果'!$X$5:$X$404,$AL181))</f>
        <v/>
      </c>
      <c r="AF181">
        <f>IF($AL181="","",INDEX('04_調査結果'!$Y$5:$Y$404,$AL181))</f>
        <v/>
      </c>
      <c r="AG181">
        <f>IF($AL181="","",INDEX('04_調査結果'!$Z$5:$Z$404,$AL181))</f>
        <v/>
      </c>
      <c r="AH181">
        <f>IF($AL181="","",INDEX('04_調査結果'!$AK$5:$AK$404,$AL181))</f>
        <v/>
      </c>
      <c r="AI181">
        <f>IF($AL181="","",INDEX('04_調査結果'!$AH$5:$AH$404,$AL181)&amp;"")</f>
        <v/>
      </c>
      <c r="AJ181">
        <f>IF($AL181="","",INDEX('04_調査結果'!$AA$5:$AA$404,$AL181)&amp;"")</f>
        <v/>
      </c>
      <c r="AK181">
        <f>IF($AL181="","",INDEX('04_調査結果'!$AC$5:$AC$404,$AL181)&amp;"")</f>
        <v/>
      </c>
      <c r="AL181" s="34">
        <f>IFERROR(MATCH(ROW()-4,'04_調査結果'!$AZ$5:$AZ$404,0),"")</f>
        <v/>
      </c>
    </row>
    <row r="182">
      <c r="A182">
        <f>IF($AL182="","",'01_設定'!$C$36)</f>
        <v/>
      </c>
      <c r="B182">
        <f>IF($AL182="","",'01_設定'!$C$5)</f>
        <v/>
      </c>
      <c r="C182">
        <f>IF($AL182="","",'01_設定'!$C$6)</f>
        <v/>
      </c>
      <c r="D182" s="36">
        <f>IF($AL182="","",'01_設定'!$C$22)</f>
        <v/>
      </c>
      <c r="E182" s="36">
        <f>IF($AL182="","",'01_設定'!$C$23)</f>
        <v/>
      </c>
      <c r="F182">
        <f>IF($AL182="","",'01_設定'!$C$32)</f>
        <v/>
      </c>
      <c r="G182">
        <f>IF($AL182="","",ROW()-4)</f>
        <v/>
      </c>
      <c r="H182">
        <f>IF($AL182="","",INDEX('04_調査結果'!$AO$5:$AO$404,$AL182))</f>
        <v/>
      </c>
      <c r="I182">
        <f>IF($AL182="","",IFERROR(INDEX('M2_区分マスタ'!$I$5:$I$10,INDEX('04_調査結果'!$AP$5:$AP$404,$AL182)),""))</f>
        <v/>
      </c>
      <c r="J182">
        <f>IF($AL182="","",INDEX('04_調査結果'!$BE$5:$BE$404,$AL182)&amp;"")</f>
        <v/>
      </c>
      <c r="K182">
        <f>IF($AL182="","",INDEX('04_調査結果'!$F$5:$F$404,$AL182)&amp;"")</f>
        <v/>
      </c>
      <c r="L182">
        <f>IF($AL182="","",INDEX('04_調査結果'!$G$5:$G$404,$AL182)&amp;"")</f>
        <v/>
      </c>
      <c r="M182">
        <f>IF($AL182="","",INDEX('04_調査結果'!$AQ$5:$AQ$404,$AL182)&amp;"")</f>
        <v/>
      </c>
      <c r="N182">
        <f>IF($AL182="","",IFERROR(INDEX('M1_類型マスタ'!$B$5:$B$19,MATCH(M182,'M1_類型マスタ'!$A$5:$A$19,0)),""))</f>
        <v/>
      </c>
      <c r="O182">
        <f>IF($AL182="","",INDEX('04_調査結果'!$I$5:$I$404,$AL182)&amp;"")</f>
        <v/>
      </c>
      <c r="P182">
        <f>IF($AL182="","",INDEX('04_調査結果'!$J$5:$J$404,$AL182)&amp;"")</f>
        <v/>
      </c>
      <c r="Q182">
        <f>IF($AL182="","",INDEX('04_調査結果'!$K$5:$K$404,$AL182)&amp;"")</f>
        <v/>
      </c>
      <c r="R182">
        <f>IF($AL182="","",INDEX('04_調査結果'!$L$5:$L$404,$AL182)&amp;"")</f>
        <v/>
      </c>
      <c r="S182">
        <f>IF($AL182="","",INDEX('04_調査結果'!$M$5:$M$404,$AL182)&amp;"")</f>
        <v/>
      </c>
      <c r="T182" s="33">
        <f>IF($AL182="","",IF(INDEX('04_調査結果'!$AE$5:$AE$404,$AL182)&lt;&gt;"",INDEX('04_調査結果'!$AE$5:$AE$404,$AL182),INDEX('04_調査結果'!$AS$5:$AS$404,$AL182)))</f>
        <v/>
      </c>
      <c r="U182" s="33">
        <f>IF($AL182="","",IF(INDEX('04_調査結果'!$AF$5:$AF$404,$AL182)&lt;&gt;"",INDEX('04_調査結果'!$AF$5:$AF$404,$AL182),INDEX('04_調査結果'!$AT$5:$AT$404,$AL182)))</f>
        <v/>
      </c>
      <c r="V182" s="33">
        <f>IF($AL182="","",INDEX('04_調査結果'!$AI$5:$AI$404,$AL182))</f>
        <v/>
      </c>
      <c r="W182">
        <f>IF($AL182="","",INDEX('04_調査結果'!$AU$5:$AU$404,$AL182))</f>
        <v/>
      </c>
      <c r="X182" s="37">
        <f>IF($AL182="","",INDEX('04_調査結果'!$AW$5:$AW$404,$AL182))</f>
        <v/>
      </c>
      <c r="Y182" s="37">
        <f>IF($AL182="","",INDEX('04_調査結果'!$AX$5:$AX$404,$AL182))</f>
        <v/>
      </c>
      <c r="Z182">
        <f>IF($AL182="","",INDEX('04_調査結果'!$S$5:$S$404,$AL182)&amp;"")</f>
        <v/>
      </c>
      <c r="AA182">
        <f>IF($AL182="","",INDEX('04_調査結果'!$T$5:$T$404,$AL182))</f>
        <v/>
      </c>
      <c r="AB182">
        <f>IF($AL182="","",INDEX('04_調査結果'!$U$5:$U$404,$AL182))</f>
        <v/>
      </c>
      <c r="AC182">
        <f>IF($AL182="","",INDEX('04_調査結果'!$V$5:$V$404,$AL182))</f>
        <v/>
      </c>
      <c r="AD182">
        <f>IF($AL182="","",INDEX('04_調査結果'!$W$5:$W$404,$AL182))</f>
        <v/>
      </c>
      <c r="AE182">
        <f>IF($AL182="","",INDEX('04_調査結果'!$X$5:$X$404,$AL182))</f>
        <v/>
      </c>
      <c r="AF182">
        <f>IF($AL182="","",INDEX('04_調査結果'!$Y$5:$Y$404,$AL182))</f>
        <v/>
      </c>
      <c r="AG182">
        <f>IF($AL182="","",INDEX('04_調査結果'!$Z$5:$Z$404,$AL182))</f>
        <v/>
      </c>
      <c r="AH182">
        <f>IF($AL182="","",INDEX('04_調査結果'!$AK$5:$AK$404,$AL182))</f>
        <v/>
      </c>
      <c r="AI182">
        <f>IF($AL182="","",INDEX('04_調査結果'!$AH$5:$AH$404,$AL182)&amp;"")</f>
        <v/>
      </c>
      <c r="AJ182">
        <f>IF($AL182="","",INDEX('04_調査結果'!$AA$5:$AA$404,$AL182)&amp;"")</f>
        <v/>
      </c>
      <c r="AK182">
        <f>IF($AL182="","",INDEX('04_調査結果'!$AC$5:$AC$404,$AL182)&amp;"")</f>
        <v/>
      </c>
      <c r="AL182" s="34">
        <f>IFERROR(MATCH(ROW()-4,'04_調査結果'!$AZ$5:$AZ$404,0),"")</f>
        <v/>
      </c>
    </row>
    <row r="183">
      <c r="A183">
        <f>IF($AL183="","",'01_設定'!$C$36)</f>
        <v/>
      </c>
      <c r="B183">
        <f>IF($AL183="","",'01_設定'!$C$5)</f>
        <v/>
      </c>
      <c r="C183">
        <f>IF($AL183="","",'01_設定'!$C$6)</f>
        <v/>
      </c>
      <c r="D183" s="36">
        <f>IF($AL183="","",'01_設定'!$C$22)</f>
        <v/>
      </c>
      <c r="E183" s="36">
        <f>IF($AL183="","",'01_設定'!$C$23)</f>
        <v/>
      </c>
      <c r="F183">
        <f>IF($AL183="","",'01_設定'!$C$32)</f>
        <v/>
      </c>
      <c r="G183">
        <f>IF($AL183="","",ROW()-4)</f>
        <v/>
      </c>
      <c r="H183">
        <f>IF($AL183="","",INDEX('04_調査結果'!$AO$5:$AO$404,$AL183))</f>
        <v/>
      </c>
      <c r="I183">
        <f>IF($AL183="","",IFERROR(INDEX('M2_区分マスタ'!$I$5:$I$10,INDEX('04_調査結果'!$AP$5:$AP$404,$AL183)),""))</f>
        <v/>
      </c>
      <c r="J183">
        <f>IF($AL183="","",INDEX('04_調査結果'!$BE$5:$BE$404,$AL183)&amp;"")</f>
        <v/>
      </c>
      <c r="K183">
        <f>IF($AL183="","",INDEX('04_調査結果'!$F$5:$F$404,$AL183)&amp;"")</f>
        <v/>
      </c>
      <c r="L183">
        <f>IF($AL183="","",INDEX('04_調査結果'!$G$5:$G$404,$AL183)&amp;"")</f>
        <v/>
      </c>
      <c r="M183">
        <f>IF($AL183="","",INDEX('04_調査結果'!$AQ$5:$AQ$404,$AL183)&amp;"")</f>
        <v/>
      </c>
      <c r="N183">
        <f>IF($AL183="","",IFERROR(INDEX('M1_類型マスタ'!$B$5:$B$19,MATCH(M183,'M1_類型マスタ'!$A$5:$A$19,0)),""))</f>
        <v/>
      </c>
      <c r="O183">
        <f>IF($AL183="","",INDEX('04_調査結果'!$I$5:$I$404,$AL183)&amp;"")</f>
        <v/>
      </c>
      <c r="P183">
        <f>IF($AL183="","",INDEX('04_調査結果'!$J$5:$J$404,$AL183)&amp;"")</f>
        <v/>
      </c>
      <c r="Q183">
        <f>IF($AL183="","",INDEX('04_調査結果'!$K$5:$K$404,$AL183)&amp;"")</f>
        <v/>
      </c>
      <c r="R183">
        <f>IF($AL183="","",INDEX('04_調査結果'!$L$5:$L$404,$AL183)&amp;"")</f>
        <v/>
      </c>
      <c r="S183">
        <f>IF($AL183="","",INDEX('04_調査結果'!$M$5:$M$404,$AL183)&amp;"")</f>
        <v/>
      </c>
      <c r="T183" s="33">
        <f>IF($AL183="","",IF(INDEX('04_調査結果'!$AE$5:$AE$404,$AL183)&lt;&gt;"",INDEX('04_調査結果'!$AE$5:$AE$404,$AL183),INDEX('04_調査結果'!$AS$5:$AS$404,$AL183)))</f>
        <v/>
      </c>
      <c r="U183" s="33">
        <f>IF($AL183="","",IF(INDEX('04_調査結果'!$AF$5:$AF$404,$AL183)&lt;&gt;"",INDEX('04_調査結果'!$AF$5:$AF$404,$AL183),INDEX('04_調査結果'!$AT$5:$AT$404,$AL183)))</f>
        <v/>
      </c>
      <c r="V183" s="33">
        <f>IF($AL183="","",INDEX('04_調査結果'!$AI$5:$AI$404,$AL183))</f>
        <v/>
      </c>
      <c r="W183">
        <f>IF($AL183="","",INDEX('04_調査結果'!$AU$5:$AU$404,$AL183))</f>
        <v/>
      </c>
      <c r="X183" s="37">
        <f>IF($AL183="","",INDEX('04_調査結果'!$AW$5:$AW$404,$AL183))</f>
        <v/>
      </c>
      <c r="Y183" s="37">
        <f>IF($AL183="","",INDEX('04_調査結果'!$AX$5:$AX$404,$AL183))</f>
        <v/>
      </c>
      <c r="Z183">
        <f>IF($AL183="","",INDEX('04_調査結果'!$S$5:$S$404,$AL183)&amp;"")</f>
        <v/>
      </c>
      <c r="AA183">
        <f>IF($AL183="","",INDEX('04_調査結果'!$T$5:$T$404,$AL183))</f>
        <v/>
      </c>
      <c r="AB183">
        <f>IF($AL183="","",INDEX('04_調査結果'!$U$5:$U$404,$AL183))</f>
        <v/>
      </c>
      <c r="AC183">
        <f>IF($AL183="","",INDEX('04_調査結果'!$V$5:$V$404,$AL183))</f>
        <v/>
      </c>
      <c r="AD183">
        <f>IF($AL183="","",INDEX('04_調査結果'!$W$5:$W$404,$AL183))</f>
        <v/>
      </c>
      <c r="AE183">
        <f>IF($AL183="","",INDEX('04_調査結果'!$X$5:$X$404,$AL183))</f>
        <v/>
      </c>
      <c r="AF183">
        <f>IF($AL183="","",INDEX('04_調査結果'!$Y$5:$Y$404,$AL183))</f>
        <v/>
      </c>
      <c r="AG183">
        <f>IF($AL183="","",INDEX('04_調査結果'!$Z$5:$Z$404,$AL183))</f>
        <v/>
      </c>
      <c r="AH183">
        <f>IF($AL183="","",INDEX('04_調査結果'!$AK$5:$AK$404,$AL183))</f>
        <v/>
      </c>
      <c r="AI183">
        <f>IF($AL183="","",INDEX('04_調査結果'!$AH$5:$AH$404,$AL183)&amp;"")</f>
        <v/>
      </c>
      <c r="AJ183">
        <f>IF($AL183="","",INDEX('04_調査結果'!$AA$5:$AA$404,$AL183)&amp;"")</f>
        <v/>
      </c>
      <c r="AK183">
        <f>IF($AL183="","",INDEX('04_調査結果'!$AC$5:$AC$404,$AL183)&amp;"")</f>
        <v/>
      </c>
      <c r="AL183" s="34">
        <f>IFERROR(MATCH(ROW()-4,'04_調査結果'!$AZ$5:$AZ$404,0),"")</f>
        <v/>
      </c>
    </row>
    <row r="184">
      <c r="A184">
        <f>IF($AL184="","",'01_設定'!$C$36)</f>
        <v/>
      </c>
      <c r="B184">
        <f>IF($AL184="","",'01_設定'!$C$5)</f>
        <v/>
      </c>
      <c r="C184">
        <f>IF($AL184="","",'01_設定'!$C$6)</f>
        <v/>
      </c>
      <c r="D184" s="36">
        <f>IF($AL184="","",'01_設定'!$C$22)</f>
        <v/>
      </c>
      <c r="E184" s="36">
        <f>IF($AL184="","",'01_設定'!$C$23)</f>
        <v/>
      </c>
      <c r="F184">
        <f>IF($AL184="","",'01_設定'!$C$32)</f>
        <v/>
      </c>
      <c r="G184">
        <f>IF($AL184="","",ROW()-4)</f>
        <v/>
      </c>
      <c r="H184">
        <f>IF($AL184="","",INDEX('04_調査結果'!$AO$5:$AO$404,$AL184))</f>
        <v/>
      </c>
      <c r="I184">
        <f>IF($AL184="","",IFERROR(INDEX('M2_区分マスタ'!$I$5:$I$10,INDEX('04_調査結果'!$AP$5:$AP$404,$AL184)),""))</f>
        <v/>
      </c>
      <c r="J184">
        <f>IF($AL184="","",INDEX('04_調査結果'!$BE$5:$BE$404,$AL184)&amp;"")</f>
        <v/>
      </c>
      <c r="K184">
        <f>IF($AL184="","",INDEX('04_調査結果'!$F$5:$F$404,$AL184)&amp;"")</f>
        <v/>
      </c>
      <c r="L184">
        <f>IF($AL184="","",INDEX('04_調査結果'!$G$5:$G$404,$AL184)&amp;"")</f>
        <v/>
      </c>
      <c r="M184">
        <f>IF($AL184="","",INDEX('04_調査結果'!$AQ$5:$AQ$404,$AL184)&amp;"")</f>
        <v/>
      </c>
      <c r="N184">
        <f>IF($AL184="","",IFERROR(INDEX('M1_類型マスタ'!$B$5:$B$19,MATCH(M184,'M1_類型マスタ'!$A$5:$A$19,0)),""))</f>
        <v/>
      </c>
      <c r="O184">
        <f>IF($AL184="","",INDEX('04_調査結果'!$I$5:$I$404,$AL184)&amp;"")</f>
        <v/>
      </c>
      <c r="P184">
        <f>IF($AL184="","",INDEX('04_調査結果'!$J$5:$J$404,$AL184)&amp;"")</f>
        <v/>
      </c>
      <c r="Q184">
        <f>IF($AL184="","",INDEX('04_調査結果'!$K$5:$K$404,$AL184)&amp;"")</f>
        <v/>
      </c>
      <c r="R184">
        <f>IF($AL184="","",INDEX('04_調査結果'!$L$5:$L$404,$AL184)&amp;"")</f>
        <v/>
      </c>
      <c r="S184">
        <f>IF($AL184="","",INDEX('04_調査結果'!$M$5:$M$404,$AL184)&amp;"")</f>
        <v/>
      </c>
      <c r="T184" s="33">
        <f>IF($AL184="","",IF(INDEX('04_調査結果'!$AE$5:$AE$404,$AL184)&lt;&gt;"",INDEX('04_調査結果'!$AE$5:$AE$404,$AL184),INDEX('04_調査結果'!$AS$5:$AS$404,$AL184)))</f>
        <v/>
      </c>
      <c r="U184" s="33">
        <f>IF($AL184="","",IF(INDEX('04_調査結果'!$AF$5:$AF$404,$AL184)&lt;&gt;"",INDEX('04_調査結果'!$AF$5:$AF$404,$AL184),INDEX('04_調査結果'!$AT$5:$AT$404,$AL184)))</f>
        <v/>
      </c>
      <c r="V184" s="33">
        <f>IF($AL184="","",INDEX('04_調査結果'!$AI$5:$AI$404,$AL184))</f>
        <v/>
      </c>
      <c r="W184">
        <f>IF($AL184="","",INDEX('04_調査結果'!$AU$5:$AU$404,$AL184))</f>
        <v/>
      </c>
      <c r="X184" s="37">
        <f>IF($AL184="","",INDEX('04_調査結果'!$AW$5:$AW$404,$AL184))</f>
        <v/>
      </c>
      <c r="Y184" s="37">
        <f>IF($AL184="","",INDEX('04_調査結果'!$AX$5:$AX$404,$AL184))</f>
        <v/>
      </c>
      <c r="Z184">
        <f>IF($AL184="","",INDEX('04_調査結果'!$S$5:$S$404,$AL184)&amp;"")</f>
        <v/>
      </c>
      <c r="AA184">
        <f>IF($AL184="","",INDEX('04_調査結果'!$T$5:$T$404,$AL184))</f>
        <v/>
      </c>
      <c r="AB184">
        <f>IF($AL184="","",INDEX('04_調査結果'!$U$5:$U$404,$AL184))</f>
        <v/>
      </c>
      <c r="AC184">
        <f>IF($AL184="","",INDEX('04_調査結果'!$V$5:$V$404,$AL184))</f>
        <v/>
      </c>
      <c r="AD184">
        <f>IF($AL184="","",INDEX('04_調査結果'!$W$5:$W$404,$AL184))</f>
        <v/>
      </c>
      <c r="AE184">
        <f>IF($AL184="","",INDEX('04_調査結果'!$X$5:$X$404,$AL184))</f>
        <v/>
      </c>
      <c r="AF184">
        <f>IF($AL184="","",INDEX('04_調査結果'!$Y$5:$Y$404,$AL184))</f>
        <v/>
      </c>
      <c r="AG184">
        <f>IF($AL184="","",INDEX('04_調査結果'!$Z$5:$Z$404,$AL184))</f>
        <v/>
      </c>
      <c r="AH184">
        <f>IF($AL184="","",INDEX('04_調査結果'!$AK$5:$AK$404,$AL184))</f>
        <v/>
      </c>
      <c r="AI184">
        <f>IF($AL184="","",INDEX('04_調査結果'!$AH$5:$AH$404,$AL184)&amp;"")</f>
        <v/>
      </c>
      <c r="AJ184">
        <f>IF($AL184="","",INDEX('04_調査結果'!$AA$5:$AA$404,$AL184)&amp;"")</f>
        <v/>
      </c>
      <c r="AK184">
        <f>IF($AL184="","",INDEX('04_調査結果'!$AC$5:$AC$404,$AL184)&amp;"")</f>
        <v/>
      </c>
      <c r="AL184" s="34">
        <f>IFERROR(MATCH(ROW()-4,'04_調査結果'!$AZ$5:$AZ$404,0),"")</f>
        <v/>
      </c>
    </row>
    <row r="185">
      <c r="A185">
        <f>IF($AL185="","",'01_設定'!$C$36)</f>
        <v/>
      </c>
      <c r="B185">
        <f>IF($AL185="","",'01_設定'!$C$5)</f>
        <v/>
      </c>
      <c r="C185">
        <f>IF($AL185="","",'01_設定'!$C$6)</f>
        <v/>
      </c>
      <c r="D185" s="36">
        <f>IF($AL185="","",'01_設定'!$C$22)</f>
        <v/>
      </c>
      <c r="E185" s="36">
        <f>IF($AL185="","",'01_設定'!$C$23)</f>
        <v/>
      </c>
      <c r="F185">
        <f>IF($AL185="","",'01_設定'!$C$32)</f>
        <v/>
      </c>
      <c r="G185">
        <f>IF($AL185="","",ROW()-4)</f>
        <v/>
      </c>
      <c r="H185">
        <f>IF($AL185="","",INDEX('04_調査結果'!$AO$5:$AO$404,$AL185))</f>
        <v/>
      </c>
      <c r="I185">
        <f>IF($AL185="","",IFERROR(INDEX('M2_区分マスタ'!$I$5:$I$10,INDEX('04_調査結果'!$AP$5:$AP$404,$AL185)),""))</f>
        <v/>
      </c>
      <c r="J185">
        <f>IF($AL185="","",INDEX('04_調査結果'!$BE$5:$BE$404,$AL185)&amp;"")</f>
        <v/>
      </c>
      <c r="K185">
        <f>IF($AL185="","",INDEX('04_調査結果'!$F$5:$F$404,$AL185)&amp;"")</f>
        <v/>
      </c>
      <c r="L185">
        <f>IF($AL185="","",INDEX('04_調査結果'!$G$5:$G$404,$AL185)&amp;"")</f>
        <v/>
      </c>
      <c r="M185">
        <f>IF($AL185="","",INDEX('04_調査結果'!$AQ$5:$AQ$404,$AL185)&amp;"")</f>
        <v/>
      </c>
      <c r="N185">
        <f>IF($AL185="","",IFERROR(INDEX('M1_類型マスタ'!$B$5:$B$19,MATCH(M185,'M1_類型マスタ'!$A$5:$A$19,0)),""))</f>
        <v/>
      </c>
      <c r="O185">
        <f>IF($AL185="","",INDEX('04_調査結果'!$I$5:$I$404,$AL185)&amp;"")</f>
        <v/>
      </c>
      <c r="P185">
        <f>IF($AL185="","",INDEX('04_調査結果'!$J$5:$J$404,$AL185)&amp;"")</f>
        <v/>
      </c>
      <c r="Q185">
        <f>IF($AL185="","",INDEX('04_調査結果'!$K$5:$K$404,$AL185)&amp;"")</f>
        <v/>
      </c>
      <c r="R185">
        <f>IF($AL185="","",INDEX('04_調査結果'!$L$5:$L$404,$AL185)&amp;"")</f>
        <v/>
      </c>
      <c r="S185">
        <f>IF($AL185="","",INDEX('04_調査結果'!$M$5:$M$404,$AL185)&amp;"")</f>
        <v/>
      </c>
      <c r="T185" s="33">
        <f>IF($AL185="","",IF(INDEX('04_調査結果'!$AE$5:$AE$404,$AL185)&lt;&gt;"",INDEX('04_調査結果'!$AE$5:$AE$404,$AL185),INDEX('04_調査結果'!$AS$5:$AS$404,$AL185)))</f>
        <v/>
      </c>
      <c r="U185" s="33">
        <f>IF($AL185="","",IF(INDEX('04_調査結果'!$AF$5:$AF$404,$AL185)&lt;&gt;"",INDEX('04_調査結果'!$AF$5:$AF$404,$AL185),INDEX('04_調査結果'!$AT$5:$AT$404,$AL185)))</f>
        <v/>
      </c>
      <c r="V185" s="33">
        <f>IF($AL185="","",INDEX('04_調査結果'!$AI$5:$AI$404,$AL185))</f>
        <v/>
      </c>
      <c r="W185">
        <f>IF($AL185="","",INDEX('04_調査結果'!$AU$5:$AU$404,$AL185))</f>
        <v/>
      </c>
      <c r="X185" s="37">
        <f>IF($AL185="","",INDEX('04_調査結果'!$AW$5:$AW$404,$AL185))</f>
        <v/>
      </c>
      <c r="Y185" s="37">
        <f>IF($AL185="","",INDEX('04_調査結果'!$AX$5:$AX$404,$AL185))</f>
        <v/>
      </c>
      <c r="Z185">
        <f>IF($AL185="","",INDEX('04_調査結果'!$S$5:$S$404,$AL185)&amp;"")</f>
        <v/>
      </c>
      <c r="AA185">
        <f>IF($AL185="","",INDEX('04_調査結果'!$T$5:$T$404,$AL185))</f>
        <v/>
      </c>
      <c r="AB185">
        <f>IF($AL185="","",INDEX('04_調査結果'!$U$5:$U$404,$AL185))</f>
        <v/>
      </c>
      <c r="AC185">
        <f>IF($AL185="","",INDEX('04_調査結果'!$V$5:$V$404,$AL185))</f>
        <v/>
      </c>
      <c r="AD185">
        <f>IF($AL185="","",INDEX('04_調査結果'!$W$5:$W$404,$AL185))</f>
        <v/>
      </c>
      <c r="AE185">
        <f>IF($AL185="","",INDEX('04_調査結果'!$X$5:$X$404,$AL185))</f>
        <v/>
      </c>
      <c r="AF185">
        <f>IF($AL185="","",INDEX('04_調査結果'!$Y$5:$Y$404,$AL185))</f>
        <v/>
      </c>
      <c r="AG185">
        <f>IF($AL185="","",INDEX('04_調査結果'!$Z$5:$Z$404,$AL185))</f>
        <v/>
      </c>
      <c r="AH185">
        <f>IF($AL185="","",INDEX('04_調査結果'!$AK$5:$AK$404,$AL185))</f>
        <v/>
      </c>
      <c r="AI185">
        <f>IF($AL185="","",INDEX('04_調査結果'!$AH$5:$AH$404,$AL185)&amp;"")</f>
        <v/>
      </c>
      <c r="AJ185">
        <f>IF($AL185="","",INDEX('04_調査結果'!$AA$5:$AA$404,$AL185)&amp;"")</f>
        <v/>
      </c>
      <c r="AK185">
        <f>IF($AL185="","",INDEX('04_調査結果'!$AC$5:$AC$404,$AL185)&amp;"")</f>
        <v/>
      </c>
      <c r="AL185" s="34">
        <f>IFERROR(MATCH(ROW()-4,'04_調査結果'!$AZ$5:$AZ$404,0),"")</f>
        <v/>
      </c>
    </row>
    <row r="186">
      <c r="A186">
        <f>IF($AL186="","",'01_設定'!$C$36)</f>
        <v/>
      </c>
      <c r="B186">
        <f>IF($AL186="","",'01_設定'!$C$5)</f>
        <v/>
      </c>
      <c r="C186">
        <f>IF($AL186="","",'01_設定'!$C$6)</f>
        <v/>
      </c>
      <c r="D186" s="36">
        <f>IF($AL186="","",'01_設定'!$C$22)</f>
        <v/>
      </c>
      <c r="E186" s="36">
        <f>IF($AL186="","",'01_設定'!$C$23)</f>
        <v/>
      </c>
      <c r="F186">
        <f>IF($AL186="","",'01_設定'!$C$32)</f>
        <v/>
      </c>
      <c r="G186">
        <f>IF($AL186="","",ROW()-4)</f>
        <v/>
      </c>
      <c r="H186">
        <f>IF($AL186="","",INDEX('04_調査結果'!$AO$5:$AO$404,$AL186))</f>
        <v/>
      </c>
      <c r="I186">
        <f>IF($AL186="","",IFERROR(INDEX('M2_区分マスタ'!$I$5:$I$10,INDEX('04_調査結果'!$AP$5:$AP$404,$AL186)),""))</f>
        <v/>
      </c>
      <c r="J186">
        <f>IF($AL186="","",INDEX('04_調査結果'!$BE$5:$BE$404,$AL186)&amp;"")</f>
        <v/>
      </c>
      <c r="K186">
        <f>IF($AL186="","",INDEX('04_調査結果'!$F$5:$F$404,$AL186)&amp;"")</f>
        <v/>
      </c>
      <c r="L186">
        <f>IF($AL186="","",INDEX('04_調査結果'!$G$5:$G$404,$AL186)&amp;"")</f>
        <v/>
      </c>
      <c r="M186">
        <f>IF($AL186="","",INDEX('04_調査結果'!$AQ$5:$AQ$404,$AL186)&amp;"")</f>
        <v/>
      </c>
      <c r="N186">
        <f>IF($AL186="","",IFERROR(INDEX('M1_類型マスタ'!$B$5:$B$19,MATCH(M186,'M1_類型マスタ'!$A$5:$A$19,0)),""))</f>
        <v/>
      </c>
      <c r="O186">
        <f>IF($AL186="","",INDEX('04_調査結果'!$I$5:$I$404,$AL186)&amp;"")</f>
        <v/>
      </c>
      <c r="P186">
        <f>IF($AL186="","",INDEX('04_調査結果'!$J$5:$J$404,$AL186)&amp;"")</f>
        <v/>
      </c>
      <c r="Q186">
        <f>IF($AL186="","",INDEX('04_調査結果'!$K$5:$K$404,$AL186)&amp;"")</f>
        <v/>
      </c>
      <c r="R186">
        <f>IF($AL186="","",INDEX('04_調査結果'!$L$5:$L$404,$AL186)&amp;"")</f>
        <v/>
      </c>
      <c r="S186">
        <f>IF($AL186="","",INDEX('04_調査結果'!$M$5:$M$404,$AL186)&amp;"")</f>
        <v/>
      </c>
      <c r="T186" s="33">
        <f>IF($AL186="","",IF(INDEX('04_調査結果'!$AE$5:$AE$404,$AL186)&lt;&gt;"",INDEX('04_調査結果'!$AE$5:$AE$404,$AL186),INDEX('04_調査結果'!$AS$5:$AS$404,$AL186)))</f>
        <v/>
      </c>
      <c r="U186" s="33">
        <f>IF($AL186="","",IF(INDEX('04_調査結果'!$AF$5:$AF$404,$AL186)&lt;&gt;"",INDEX('04_調査結果'!$AF$5:$AF$404,$AL186),INDEX('04_調査結果'!$AT$5:$AT$404,$AL186)))</f>
        <v/>
      </c>
      <c r="V186" s="33">
        <f>IF($AL186="","",INDEX('04_調査結果'!$AI$5:$AI$404,$AL186))</f>
        <v/>
      </c>
      <c r="W186">
        <f>IF($AL186="","",INDEX('04_調査結果'!$AU$5:$AU$404,$AL186))</f>
        <v/>
      </c>
      <c r="X186" s="37">
        <f>IF($AL186="","",INDEX('04_調査結果'!$AW$5:$AW$404,$AL186))</f>
        <v/>
      </c>
      <c r="Y186" s="37">
        <f>IF($AL186="","",INDEX('04_調査結果'!$AX$5:$AX$404,$AL186))</f>
        <v/>
      </c>
      <c r="Z186">
        <f>IF($AL186="","",INDEX('04_調査結果'!$S$5:$S$404,$AL186)&amp;"")</f>
        <v/>
      </c>
      <c r="AA186">
        <f>IF($AL186="","",INDEX('04_調査結果'!$T$5:$T$404,$AL186))</f>
        <v/>
      </c>
      <c r="AB186">
        <f>IF($AL186="","",INDEX('04_調査結果'!$U$5:$U$404,$AL186))</f>
        <v/>
      </c>
      <c r="AC186">
        <f>IF($AL186="","",INDEX('04_調査結果'!$V$5:$V$404,$AL186))</f>
        <v/>
      </c>
      <c r="AD186">
        <f>IF($AL186="","",INDEX('04_調査結果'!$W$5:$W$404,$AL186))</f>
        <v/>
      </c>
      <c r="AE186">
        <f>IF($AL186="","",INDEX('04_調査結果'!$X$5:$X$404,$AL186))</f>
        <v/>
      </c>
      <c r="AF186">
        <f>IF($AL186="","",INDEX('04_調査結果'!$Y$5:$Y$404,$AL186))</f>
        <v/>
      </c>
      <c r="AG186">
        <f>IF($AL186="","",INDEX('04_調査結果'!$Z$5:$Z$404,$AL186))</f>
        <v/>
      </c>
      <c r="AH186">
        <f>IF($AL186="","",INDEX('04_調査結果'!$AK$5:$AK$404,$AL186))</f>
        <v/>
      </c>
      <c r="AI186">
        <f>IF($AL186="","",INDEX('04_調査結果'!$AH$5:$AH$404,$AL186)&amp;"")</f>
        <v/>
      </c>
      <c r="AJ186">
        <f>IF($AL186="","",INDEX('04_調査結果'!$AA$5:$AA$404,$AL186)&amp;"")</f>
        <v/>
      </c>
      <c r="AK186">
        <f>IF($AL186="","",INDEX('04_調査結果'!$AC$5:$AC$404,$AL186)&amp;"")</f>
        <v/>
      </c>
      <c r="AL186" s="34">
        <f>IFERROR(MATCH(ROW()-4,'04_調査結果'!$AZ$5:$AZ$404,0),"")</f>
        <v/>
      </c>
    </row>
    <row r="187">
      <c r="A187">
        <f>IF($AL187="","",'01_設定'!$C$36)</f>
        <v/>
      </c>
      <c r="B187">
        <f>IF($AL187="","",'01_設定'!$C$5)</f>
        <v/>
      </c>
      <c r="C187">
        <f>IF($AL187="","",'01_設定'!$C$6)</f>
        <v/>
      </c>
      <c r="D187" s="36">
        <f>IF($AL187="","",'01_設定'!$C$22)</f>
        <v/>
      </c>
      <c r="E187" s="36">
        <f>IF($AL187="","",'01_設定'!$C$23)</f>
        <v/>
      </c>
      <c r="F187">
        <f>IF($AL187="","",'01_設定'!$C$32)</f>
        <v/>
      </c>
      <c r="G187">
        <f>IF($AL187="","",ROW()-4)</f>
        <v/>
      </c>
      <c r="H187">
        <f>IF($AL187="","",INDEX('04_調査結果'!$AO$5:$AO$404,$AL187))</f>
        <v/>
      </c>
      <c r="I187">
        <f>IF($AL187="","",IFERROR(INDEX('M2_区分マスタ'!$I$5:$I$10,INDEX('04_調査結果'!$AP$5:$AP$404,$AL187)),""))</f>
        <v/>
      </c>
      <c r="J187">
        <f>IF($AL187="","",INDEX('04_調査結果'!$BE$5:$BE$404,$AL187)&amp;"")</f>
        <v/>
      </c>
      <c r="K187">
        <f>IF($AL187="","",INDEX('04_調査結果'!$F$5:$F$404,$AL187)&amp;"")</f>
        <v/>
      </c>
      <c r="L187">
        <f>IF($AL187="","",INDEX('04_調査結果'!$G$5:$G$404,$AL187)&amp;"")</f>
        <v/>
      </c>
      <c r="M187">
        <f>IF($AL187="","",INDEX('04_調査結果'!$AQ$5:$AQ$404,$AL187)&amp;"")</f>
        <v/>
      </c>
      <c r="N187">
        <f>IF($AL187="","",IFERROR(INDEX('M1_類型マスタ'!$B$5:$B$19,MATCH(M187,'M1_類型マスタ'!$A$5:$A$19,0)),""))</f>
        <v/>
      </c>
      <c r="O187">
        <f>IF($AL187="","",INDEX('04_調査結果'!$I$5:$I$404,$AL187)&amp;"")</f>
        <v/>
      </c>
      <c r="P187">
        <f>IF($AL187="","",INDEX('04_調査結果'!$J$5:$J$404,$AL187)&amp;"")</f>
        <v/>
      </c>
      <c r="Q187">
        <f>IF($AL187="","",INDEX('04_調査結果'!$K$5:$K$404,$AL187)&amp;"")</f>
        <v/>
      </c>
      <c r="R187">
        <f>IF($AL187="","",INDEX('04_調査結果'!$L$5:$L$404,$AL187)&amp;"")</f>
        <v/>
      </c>
      <c r="S187">
        <f>IF($AL187="","",INDEX('04_調査結果'!$M$5:$M$404,$AL187)&amp;"")</f>
        <v/>
      </c>
      <c r="T187" s="33">
        <f>IF($AL187="","",IF(INDEX('04_調査結果'!$AE$5:$AE$404,$AL187)&lt;&gt;"",INDEX('04_調査結果'!$AE$5:$AE$404,$AL187),INDEX('04_調査結果'!$AS$5:$AS$404,$AL187)))</f>
        <v/>
      </c>
      <c r="U187" s="33">
        <f>IF($AL187="","",IF(INDEX('04_調査結果'!$AF$5:$AF$404,$AL187)&lt;&gt;"",INDEX('04_調査結果'!$AF$5:$AF$404,$AL187),INDEX('04_調査結果'!$AT$5:$AT$404,$AL187)))</f>
        <v/>
      </c>
      <c r="V187" s="33">
        <f>IF($AL187="","",INDEX('04_調査結果'!$AI$5:$AI$404,$AL187))</f>
        <v/>
      </c>
      <c r="W187">
        <f>IF($AL187="","",INDEX('04_調査結果'!$AU$5:$AU$404,$AL187))</f>
        <v/>
      </c>
      <c r="X187" s="37">
        <f>IF($AL187="","",INDEX('04_調査結果'!$AW$5:$AW$404,$AL187))</f>
        <v/>
      </c>
      <c r="Y187" s="37">
        <f>IF($AL187="","",INDEX('04_調査結果'!$AX$5:$AX$404,$AL187))</f>
        <v/>
      </c>
      <c r="Z187">
        <f>IF($AL187="","",INDEX('04_調査結果'!$S$5:$S$404,$AL187)&amp;"")</f>
        <v/>
      </c>
      <c r="AA187">
        <f>IF($AL187="","",INDEX('04_調査結果'!$T$5:$T$404,$AL187))</f>
        <v/>
      </c>
      <c r="AB187">
        <f>IF($AL187="","",INDEX('04_調査結果'!$U$5:$U$404,$AL187))</f>
        <v/>
      </c>
      <c r="AC187">
        <f>IF($AL187="","",INDEX('04_調査結果'!$V$5:$V$404,$AL187))</f>
        <v/>
      </c>
      <c r="AD187">
        <f>IF($AL187="","",INDEX('04_調査結果'!$W$5:$W$404,$AL187))</f>
        <v/>
      </c>
      <c r="AE187">
        <f>IF($AL187="","",INDEX('04_調査結果'!$X$5:$X$404,$AL187))</f>
        <v/>
      </c>
      <c r="AF187">
        <f>IF($AL187="","",INDEX('04_調査結果'!$Y$5:$Y$404,$AL187))</f>
        <v/>
      </c>
      <c r="AG187">
        <f>IF($AL187="","",INDEX('04_調査結果'!$Z$5:$Z$404,$AL187))</f>
        <v/>
      </c>
      <c r="AH187">
        <f>IF($AL187="","",INDEX('04_調査結果'!$AK$5:$AK$404,$AL187))</f>
        <v/>
      </c>
      <c r="AI187">
        <f>IF($AL187="","",INDEX('04_調査結果'!$AH$5:$AH$404,$AL187)&amp;"")</f>
        <v/>
      </c>
      <c r="AJ187">
        <f>IF($AL187="","",INDEX('04_調査結果'!$AA$5:$AA$404,$AL187)&amp;"")</f>
        <v/>
      </c>
      <c r="AK187">
        <f>IF($AL187="","",INDEX('04_調査結果'!$AC$5:$AC$404,$AL187)&amp;"")</f>
        <v/>
      </c>
      <c r="AL187" s="34">
        <f>IFERROR(MATCH(ROW()-4,'04_調査結果'!$AZ$5:$AZ$404,0),"")</f>
        <v/>
      </c>
    </row>
    <row r="188">
      <c r="A188">
        <f>IF($AL188="","",'01_設定'!$C$36)</f>
        <v/>
      </c>
      <c r="B188">
        <f>IF($AL188="","",'01_設定'!$C$5)</f>
        <v/>
      </c>
      <c r="C188">
        <f>IF($AL188="","",'01_設定'!$C$6)</f>
        <v/>
      </c>
      <c r="D188" s="36">
        <f>IF($AL188="","",'01_設定'!$C$22)</f>
        <v/>
      </c>
      <c r="E188" s="36">
        <f>IF($AL188="","",'01_設定'!$C$23)</f>
        <v/>
      </c>
      <c r="F188">
        <f>IF($AL188="","",'01_設定'!$C$32)</f>
        <v/>
      </c>
      <c r="G188">
        <f>IF($AL188="","",ROW()-4)</f>
        <v/>
      </c>
      <c r="H188">
        <f>IF($AL188="","",INDEX('04_調査結果'!$AO$5:$AO$404,$AL188))</f>
        <v/>
      </c>
      <c r="I188">
        <f>IF($AL188="","",IFERROR(INDEX('M2_区分マスタ'!$I$5:$I$10,INDEX('04_調査結果'!$AP$5:$AP$404,$AL188)),""))</f>
        <v/>
      </c>
      <c r="J188">
        <f>IF($AL188="","",INDEX('04_調査結果'!$BE$5:$BE$404,$AL188)&amp;"")</f>
        <v/>
      </c>
      <c r="K188">
        <f>IF($AL188="","",INDEX('04_調査結果'!$F$5:$F$404,$AL188)&amp;"")</f>
        <v/>
      </c>
      <c r="L188">
        <f>IF($AL188="","",INDEX('04_調査結果'!$G$5:$G$404,$AL188)&amp;"")</f>
        <v/>
      </c>
      <c r="M188">
        <f>IF($AL188="","",INDEX('04_調査結果'!$AQ$5:$AQ$404,$AL188)&amp;"")</f>
        <v/>
      </c>
      <c r="N188">
        <f>IF($AL188="","",IFERROR(INDEX('M1_類型マスタ'!$B$5:$B$19,MATCH(M188,'M1_類型マスタ'!$A$5:$A$19,0)),""))</f>
        <v/>
      </c>
      <c r="O188">
        <f>IF($AL188="","",INDEX('04_調査結果'!$I$5:$I$404,$AL188)&amp;"")</f>
        <v/>
      </c>
      <c r="P188">
        <f>IF($AL188="","",INDEX('04_調査結果'!$J$5:$J$404,$AL188)&amp;"")</f>
        <v/>
      </c>
      <c r="Q188">
        <f>IF($AL188="","",INDEX('04_調査結果'!$K$5:$K$404,$AL188)&amp;"")</f>
        <v/>
      </c>
      <c r="R188">
        <f>IF($AL188="","",INDEX('04_調査結果'!$L$5:$L$404,$AL188)&amp;"")</f>
        <v/>
      </c>
      <c r="S188">
        <f>IF($AL188="","",INDEX('04_調査結果'!$M$5:$M$404,$AL188)&amp;"")</f>
        <v/>
      </c>
      <c r="T188" s="33">
        <f>IF($AL188="","",IF(INDEX('04_調査結果'!$AE$5:$AE$404,$AL188)&lt;&gt;"",INDEX('04_調査結果'!$AE$5:$AE$404,$AL188),INDEX('04_調査結果'!$AS$5:$AS$404,$AL188)))</f>
        <v/>
      </c>
      <c r="U188" s="33">
        <f>IF($AL188="","",IF(INDEX('04_調査結果'!$AF$5:$AF$404,$AL188)&lt;&gt;"",INDEX('04_調査結果'!$AF$5:$AF$404,$AL188),INDEX('04_調査結果'!$AT$5:$AT$404,$AL188)))</f>
        <v/>
      </c>
      <c r="V188" s="33">
        <f>IF($AL188="","",INDEX('04_調査結果'!$AI$5:$AI$404,$AL188))</f>
        <v/>
      </c>
      <c r="W188">
        <f>IF($AL188="","",INDEX('04_調査結果'!$AU$5:$AU$404,$AL188))</f>
        <v/>
      </c>
      <c r="X188" s="37">
        <f>IF($AL188="","",INDEX('04_調査結果'!$AW$5:$AW$404,$AL188))</f>
        <v/>
      </c>
      <c r="Y188" s="37">
        <f>IF($AL188="","",INDEX('04_調査結果'!$AX$5:$AX$404,$AL188))</f>
        <v/>
      </c>
      <c r="Z188">
        <f>IF($AL188="","",INDEX('04_調査結果'!$S$5:$S$404,$AL188)&amp;"")</f>
        <v/>
      </c>
      <c r="AA188">
        <f>IF($AL188="","",INDEX('04_調査結果'!$T$5:$T$404,$AL188))</f>
        <v/>
      </c>
      <c r="AB188">
        <f>IF($AL188="","",INDEX('04_調査結果'!$U$5:$U$404,$AL188))</f>
        <v/>
      </c>
      <c r="AC188">
        <f>IF($AL188="","",INDEX('04_調査結果'!$V$5:$V$404,$AL188))</f>
        <v/>
      </c>
      <c r="AD188">
        <f>IF($AL188="","",INDEX('04_調査結果'!$W$5:$W$404,$AL188))</f>
        <v/>
      </c>
      <c r="AE188">
        <f>IF($AL188="","",INDEX('04_調査結果'!$X$5:$X$404,$AL188))</f>
        <v/>
      </c>
      <c r="AF188">
        <f>IF($AL188="","",INDEX('04_調査結果'!$Y$5:$Y$404,$AL188))</f>
        <v/>
      </c>
      <c r="AG188">
        <f>IF($AL188="","",INDEX('04_調査結果'!$Z$5:$Z$404,$AL188))</f>
        <v/>
      </c>
      <c r="AH188">
        <f>IF($AL188="","",INDEX('04_調査結果'!$AK$5:$AK$404,$AL188))</f>
        <v/>
      </c>
      <c r="AI188">
        <f>IF($AL188="","",INDEX('04_調査結果'!$AH$5:$AH$404,$AL188)&amp;"")</f>
        <v/>
      </c>
      <c r="AJ188">
        <f>IF($AL188="","",INDEX('04_調査結果'!$AA$5:$AA$404,$AL188)&amp;"")</f>
        <v/>
      </c>
      <c r="AK188">
        <f>IF($AL188="","",INDEX('04_調査結果'!$AC$5:$AC$404,$AL188)&amp;"")</f>
        <v/>
      </c>
      <c r="AL188" s="34">
        <f>IFERROR(MATCH(ROW()-4,'04_調査結果'!$AZ$5:$AZ$404,0),"")</f>
        <v/>
      </c>
    </row>
    <row r="189">
      <c r="A189">
        <f>IF($AL189="","",'01_設定'!$C$36)</f>
        <v/>
      </c>
      <c r="B189">
        <f>IF($AL189="","",'01_設定'!$C$5)</f>
        <v/>
      </c>
      <c r="C189">
        <f>IF($AL189="","",'01_設定'!$C$6)</f>
        <v/>
      </c>
      <c r="D189" s="36">
        <f>IF($AL189="","",'01_設定'!$C$22)</f>
        <v/>
      </c>
      <c r="E189" s="36">
        <f>IF($AL189="","",'01_設定'!$C$23)</f>
        <v/>
      </c>
      <c r="F189">
        <f>IF($AL189="","",'01_設定'!$C$32)</f>
        <v/>
      </c>
      <c r="G189">
        <f>IF($AL189="","",ROW()-4)</f>
        <v/>
      </c>
      <c r="H189">
        <f>IF($AL189="","",INDEX('04_調査結果'!$AO$5:$AO$404,$AL189))</f>
        <v/>
      </c>
      <c r="I189">
        <f>IF($AL189="","",IFERROR(INDEX('M2_区分マスタ'!$I$5:$I$10,INDEX('04_調査結果'!$AP$5:$AP$404,$AL189)),""))</f>
        <v/>
      </c>
      <c r="J189">
        <f>IF($AL189="","",INDEX('04_調査結果'!$BE$5:$BE$404,$AL189)&amp;"")</f>
        <v/>
      </c>
      <c r="K189">
        <f>IF($AL189="","",INDEX('04_調査結果'!$F$5:$F$404,$AL189)&amp;"")</f>
        <v/>
      </c>
      <c r="L189">
        <f>IF($AL189="","",INDEX('04_調査結果'!$G$5:$G$404,$AL189)&amp;"")</f>
        <v/>
      </c>
      <c r="M189">
        <f>IF($AL189="","",INDEX('04_調査結果'!$AQ$5:$AQ$404,$AL189)&amp;"")</f>
        <v/>
      </c>
      <c r="N189">
        <f>IF($AL189="","",IFERROR(INDEX('M1_類型マスタ'!$B$5:$B$19,MATCH(M189,'M1_類型マスタ'!$A$5:$A$19,0)),""))</f>
        <v/>
      </c>
      <c r="O189">
        <f>IF($AL189="","",INDEX('04_調査結果'!$I$5:$I$404,$AL189)&amp;"")</f>
        <v/>
      </c>
      <c r="P189">
        <f>IF($AL189="","",INDEX('04_調査結果'!$J$5:$J$404,$AL189)&amp;"")</f>
        <v/>
      </c>
      <c r="Q189">
        <f>IF($AL189="","",INDEX('04_調査結果'!$K$5:$K$404,$AL189)&amp;"")</f>
        <v/>
      </c>
      <c r="R189">
        <f>IF($AL189="","",INDEX('04_調査結果'!$L$5:$L$404,$AL189)&amp;"")</f>
        <v/>
      </c>
      <c r="S189">
        <f>IF($AL189="","",INDEX('04_調査結果'!$M$5:$M$404,$AL189)&amp;"")</f>
        <v/>
      </c>
      <c r="T189" s="33">
        <f>IF($AL189="","",IF(INDEX('04_調査結果'!$AE$5:$AE$404,$AL189)&lt;&gt;"",INDEX('04_調査結果'!$AE$5:$AE$404,$AL189),INDEX('04_調査結果'!$AS$5:$AS$404,$AL189)))</f>
        <v/>
      </c>
      <c r="U189" s="33">
        <f>IF($AL189="","",IF(INDEX('04_調査結果'!$AF$5:$AF$404,$AL189)&lt;&gt;"",INDEX('04_調査結果'!$AF$5:$AF$404,$AL189),INDEX('04_調査結果'!$AT$5:$AT$404,$AL189)))</f>
        <v/>
      </c>
      <c r="V189" s="33">
        <f>IF($AL189="","",INDEX('04_調査結果'!$AI$5:$AI$404,$AL189))</f>
        <v/>
      </c>
      <c r="W189">
        <f>IF($AL189="","",INDEX('04_調査結果'!$AU$5:$AU$404,$AL189))</f>
        <v/>
      </c>
      <c r="X189" s="37">
        <f>IF($AL189="","",INDEX('04_調査結果'!$AW$5:$AW$404,$AL189))</f>
        <v/>
      </c>
      <c r="Y189" s="37">
        <f>IF($AL189="","",INDEX('04_調査結果'!$AX$5:$AX$404,$AL189))</f>
        <v/>
      </c>
      <c r="Z189">
        <f>IF($AL189="","",INDEX('04_調査結果'!$S$5:$S$404,$AL189)&amp;"")</f>
        <v/>
      </c>
      <c r="AA189">
        <f>IF($AL189="","",INDEX('04_調査結果'!$T$5:$T$404,$AL189))</f>
        <v/>
      </c>
      <c r="AB189">
        <f>IF($AL189="","",INDEX('04_調査結果'!$U$5:$U$404,$AL189))</f>
        <v/>
      </c>
      <c r="AC189">
        <f>IF($AL189="","",INDEX('04_調査結果'!$V$5:$V$404,$AL189))</f>
        <v/>
      </c>
      <c r="AD189">
        <f>IF($AL189="","",INDEX('04_調査結果'!$W$5:$W$404,$AL189))</f>
        <v/>
      </c>
      <c r="AE189">
        <f>IF($AL189="","",INDEX('04_調査結果'!$X$5:$X$404,$AL189))</f>
        <v/>
      </c>
      <c r="AF189">
        <f>IF($AL189="","",INDEX('04_調査結果'!$Y$5:$Y$404,$AL189))</f>
        <v/>
      </c>
      <c r="AG189">
        <f>IF($AL189="","",INDEX('04_調査結果'!$Z$5:$Z$404,$AL189))</f>
        <v/>
      </c>
      <c r="AH189">
        <f>IF($AL189="","",INDEX('04_調査結果'!$AK$5:$AK$404,$AL189))</f>
        <v/>
      </c>
      <c r="AI189">
        <f>IF($AL189="","",INDEX('04_調査結果'!$AH$5:$AH$404,$AL189)&amp;"")</f>
        <v/>
      </c>
      <c r="AJ189">
        <f>IF($AL189="","",INDEX('04_調査結果'!$AA$5:$AA$404,$AL189)&amp;"")</f>
        <v/>
      </c>
      <c r="AK189">
        <f>IF($AL189="","",INDEX('04_調査結果'!$AC$5:$AC$404,$AL189)&amp;"")</f>
        <v/>
      </c>
      <c r="AL189" s="34">
        <f>IFERROR(MATCH(ROW()-4,'04_調査結果'!$AZ$5:$AZ$404,0),"")</f>
        <v/>
      </c>
    </row>
    <row r="190">
      <c r="A190">
        <f>IF($AL190="","",'01_設定'!$C$36)</f>
        <v/>
      </c>
      <c r="B190">
        <f>IF($AL190="","",'01_設定'!$C$5)</f>
        <v/>
      </c>
      <c r="C190">
        <f>IF($AL190="","",'01_設定'!$C$6)</f>
        <v/>
      </c>
      <c r="D190" s="36">
        <f>IF($AL190="","",'01_設定'!$C$22)</f>
        <v/>
      </c>
      <c r="E190" s="36">
        <f>IF($AL190="","",'01_設定'!$C$23)</f>
        <v/>
      </c>
      <c r="F190">
        <f>IF($AL190="","",'01_設定'!$C$32)</f>
        <v/>
      </c>
      <c r="G190">
        <f>IF($AL190="","",ROW()-4)</f>
        <v/>
      </c>
      <c r="H190">
        <f>IF($AL190="","",INDEX('04_調査結果'!$AO$5:$AO$404,$AL190))</f>
        <v/>
      </c>
      <c r="I190">
        <f>IF($AL190="","",IFERROR(INDEX('M2_区分マスタ'!$I$5:$I$10,INDEX('04_調査結果'!$AP$5:$AP$404,$AL190)),""))</f>
        <v/>
      </c>
      <c r="J190">
        <f>IF($AL190="","",INDEX('04_調査結果'!$BE$5:$BE$404,$AL190)&amp;"")</f>
        <v/>
      </c>
      <c r="K190">
        <f>IF($AL190="","",INDEX('04_調査結果'!$F$5:$F$404,$AL190)&amp;"")</f>
        <v/>
      </c>
      <c r="L190">
        <f>IF($AL190="","",INDEX('04_調査結果'!$G$5:$G$404,$AL190)&amp;"")</f>
        <v/>
      </c>
      <c r="M190">
        <f>IF($AL190="","",INDEX('04_調査結果'!$AQ$5:$AQ$404,$AL190)&amp;"")</f>
        <v/>
      </c>
      <c r="N190">
        <f>IF($AL190="","",IFERROR(INDEX('M1_類型マスタ'!$B$5:$B$19,MATCH(M190,'M1_類型マスタ'!$A$5:$A$19,0)),""))</f>
        <v/>
      </c>
      <c r="O190">
        <f>IF($AL190="","",INDEX('04_調査結果'!$I$5:$I$404,$AL190)&amp;"")</f>
        <v/>
      </c>
      <c r="P190">
        <f>IF($AL190="","",INDEX('04_調査結果'!$J$5:$J$404,$AL190)&amp;"")</f>
        <v/>
      </c>
      <c r="Q190">
        <f>IF($AL190="","",INDEX('04_調査結果'!$K$5:$K$404,$AL190)&amp;"")</f>
        <v/>
      </c>
      <c r="R190">
        <f>IF($AL190="","",INDEX('04_調査結果'!$L$5:$L$404,$AL190)&amp;"")</f>
        <v/>
      </c>
      <c r="S190">
        <f>IF($AL190="","",INDEX('04_調査結果'!$M$5:$M$404,$AL190)&amp;"")</f>
        <v/>
      </c>
      <c r="T190" s="33">
        <f>IF($AL190="","",IF(INDEX('04_調査結果'!$AE$5:$AE$404,$AL190)&lt;&gt;"",INDEX('04_調査結果'!$AE$5:$AE$404,$AL190),INDEX('04_調査結果'!$AS$5:$AS$404,$AL190)))</f>
        <v/>
      </c>
      <c r="U190" s="33">
        <f>IF($AL190="","",IF(INDEX('04_調査結果'!$AF$5:$AF$404,$AL190)&lt;&gt;"",INDEX('04_調査結果'!$AF$5:$AF$404,$AL190),INDEX('04_調査結果'!$AT$5:$AT$404,$AL190)))</f>
        <v/>
      </c>
      <c r="V190" s="33">
        <f>IF($AL190="","",INDEX('04_調査結果'!$AI$5:$AI$404,$AL190))</f>
        <v/>
      </c>
      <c r="W190">
        <f>IF($AL190="","",INDEX('04_調査結果'!$AU$5:$AU$404,$AL190))</f>
        <v/>
      </c>
      <c r="X190" s="37">
        <f>IF($AL190="","",INDEX('04_調査結果'!$AW$5:$AW$404,$AL190))</f>
        <v/>
      </c>
      <c r="Y190" s="37">
        <f>IF($AL190="","",INDEX('04_調査結果'!$AX$5:$AX$404,$AL190))</f>
        <v/>
      </c>
      <c r="Z190">
        <f>IF($AL190="","",INDEX('04_調査結果'!$S$5:$S$404,$AL190)&amp;"")</f>
        <v/>
      </c>
      <c r="AA190">
        <f>IF($AL190="","",INDEX('04_調査結果'!$T$5:$T$404,$AL190))</f>
        <v/>
      </c>
      <c r="AB190">
        <f>IF($AL190="","",INDEX('04_調査結果'!$U$5:$U$404,$AL190))</f>
        <v/>
      </c>
      <c r="AC190">
        <f>IF($AL190="","",INDEX('04_調査結果'!$V$5:$V$404,$AL190))</f>
        <v/>
      </c>
      <c r="AD190">
        <f>IF($AL190="","",INDEX('04_調査結果'!$W$5:$W$404,$AL190))</f>
        <v/>
      </c>
      <c r="AE190">
        <f>IF($AL190="","",INDEX('04_調査結果'!$X$5:$X$404,$AL190))</f>
        <v/>
      </c>
      <c r="AF190">
        <f>IF($AL190="","",INDEX('04_調査結果'!$Y$5:$Y$404,$AL190))</f>
        <v/>
      </c>
      <c r="AG190">
        <f>IF($AL190="","",INDEX('04_調査結果'!$Z$5:$Z$404,$AL190))</f>
        <v/>
      </c>
      <c r="AH190">
        <f>IF($AL190="","",INDEX('04_調査結果'!$AK$5:$AK$404,$AL190))</f>
        <v/>
      </c>
      <c r="AI190">
        <f>IF($AL190="","",INDEX('04_調査結果'!$AH$5:$AH$404,$AL190)&amp;"")</f>
        <v/>
      </c>
      <c r="AJ190">
        <f>IF($AL190="","",INDEX('04_調査結果'!$AA$5:$AA$404,$AL190)&amp;"")</f>
        <v/>
      </c>
      <c r="AK190">
        <f>IF($AL190="","",INDEX('04_調査結果'!$AC$5:$AC$404,$AL190)&amp;"")</f>
        <v/>
      </c>
      <c r="AL190" s="34">
        <f>IFERROR(MATCH(ROW()-4,'04_調査結果'!$AZ$5:$AZ$404,0),"")</f>
        <v/>
      </c>
    </row>
    <row r="191">
      <c r="A191">
        <f>IF($AL191="","",'01_設定'!$C$36)</f>
        <v/>
      </c>
      <c r="B191">
        <f>IF($AL191="","",'01_設定'!$C$5)</f>
        <v/>
      </c>
      <c r="C191">
        <f>IF($AL191="","",'01_設定'!$C$6)</f>
        <v/>
      </c>
      <c r="D191" s="36">
        <f>IF($AL191="","",'01_設定'!$C$22)</f>
        <v/>
      </c>
      <c r="E191" s="36">
        <f>IF($AL191="","",'01_設定'!$C$23)</f>
        <v/>
      </c>
      <c r="F191">
        <f>IF($AL191="","",'01_設定'!$C$32)</f>
        <v/>
      </c>
      <c r="G191">
        <f>IF($AL191="","",ROW()-4)</f>
        <v/>
      </c>
      <c r="H191">
        <f>IF($AL191="","",INDEX('04_調査結果'!$AO$5:$AO$404,$AL191))</f>
        <v/>
      </c>
      <c r="I191">
        <f>IF($AL191="","",IFERROR(INDEX('M2_区分マスタ'!$I$5:$I$10,INDEX('04_調査結果'!$AP$5:$AP$404,$AL191)),""))</f>
        <v/>
      </c>
      <c r="J191">
        <f>IF($AL191="","",INDEX('04_調査結果'!$BE$5:$BE$404,$AL191)&amp;"")</f>
        <v/>
      </c>
      <c r="K191">
        <f>IF($AL191="","",INDEX('04_調査結果'!$F$5:$F$404,$AL191)&amp;"")</f>
        <v/>
      </c>
      <c r="L191">
        <f>IF($AL191="","",INDEX('04_調査結果'!$G$5:$G$404,$AL191)&amp;"")</f>
        <v/>
      </c>
      <c r="M191">
        <f>IF($AL191="","",INDEX('04_調査結果'!$AQ$5:$AQ$404,$AL191)&amp;"")</f>
        <v/>
      </c>
      <c r="N191">
        <f>IF($AL191="","",IFERROR(INDEX('M1_類型マスタ'!$B$5:$B$19,MATCH(M191,'M1_類型マスタ'!$A$5:$A$19,0)),""))</f>
        <v/>
      </c>
      <c r="O191">
        <f>IF($AL191="","",INDEX('04_調査結果'!$I$5:$I$404,$AL191)&amp;"")</f>
        <v/>
      </c>
      <c r="P191">
        <f>IF($AL191="","",INDEX('04_調査結果'!$J$5:$J$404,$AL191)&amp;"")</f>
        <v/>
      </c>
      <c r="Q191">
        <f>IF($AL191="","",INDEX('04_調査結果'!$K$5:$K$404,$AL191)&amp;"")</f>
        <v/>
      </c>
      <c r="R191">
        <f>IF($AL191="","",INDEX('04_調査結果'!$L$5:$L$404,$AL191)&amp;"")</f>
        <v/>
      </c>
      <c r="S191">
        <f>IF($AL191="","",INDEX('04_調査結果'!$M$5:$M$404,$AL191)&amp;"")</f>
        <v/>
      </c>
      <c r="T191" s="33">
        <f>IF($AL191="","",IF(INDEX('04_調査結果'!$AE$5:$AE$404,$AL191)&lt;&gt;"",INDEX('04_調査結果'!$AE$5:$AE$404,$AL191),INDEX('04_調査結果'!$AS$5:$AS$404,$AL191)))</f>
        <v/>
      </c>
      <c r="U191" s="33">
        <f>IF($AL191="","",IF(INDEX('04_調査結果'!$AF$5:$AF$404,$AL191)&lt;&gt;"",INDEX('04_調査結果'!$AF$5:$AF$404,$AL191),INDEX('04_調査結果'!$AT$5:$AT$404,$AL191)))</f>
        <v/>
      </c>
      <c r="V191" s="33">
        <f>IF($AL191="","",INDEX('04_調査結果'!$AI$5:$AI$404,$AL191))</f>
        <v/>
      </c>
      <c r="W191">
        <f>IF($AL191="","",INDEX('04_調査結果'!$AU$5:$AU$404,$AL191))</f>
        <v/>
      </c>
      <c r="X191" s="37">
        <f>IF($AL191="","",INDEX('04_調査結果'!$AW$5:$AW$404,$AL191))</f>
        <v/>
      </c>
      <c r="Y191" s="37">
        <f>IF($AL191="","",INDEX('04_調査結果'!$AX$5:$AX$404,$AL191))</f>
        <v/>
      </c>
      <c r="Z191">
        <f>IF($AL191="","",INDEX('04_調査結果'!$S$5:$S$404,$AL191)&amp;"")</f>
        <v/>
      </c>
      <c r="AA191">
        <f>IF($AL191="","",INDEX('04_調査結果'!$T$5:$T$404,$AL191))</f>
        <v/>
      </c>
      <c r="AB191">
        <f>IF($AL191="","",INDEX('04_調査結果'!$U$5:$U$404,$AL191))</f>
        <v/>
      </c>
      <c r="AC191">
        <f>IF($AL191="","",INDEX('04_調査結果'!$V$5:$V$404,$AL191))</f>
        <v/>
      </c>
      <c r="AD191">
        <f>IF($AL191="","",INDEX('04_調査結果'!$W$5:$W$404,$AL191))</f>
        <v/>
      </c>
      <c r="AE191">
        <f>IF($AL191="","",INDEX('04_調査結果'!$X$5:$X$404,$AL191))</f>
        <v/>
      </c>
      <c r="AF191">
        <f>IF($AL191="","",INDEX('04_調査結果'!$Y$5:$Y$404,$AL191))</f>
        <v/>
      </c>
      <c r="AG191">
        <f>IF($AL191="","",INDEX('04_調査結果'!$Z$5:$Z$404,$AL191))</f>
        <v/>
      </c>
      <c r="AH191">
        <f>IF($AL191="","",INDEX('04_調査結果'!$AK$5:$AK$404,$AL191))</f>
        <v/>
      </c>
      <c r="AI191">
        <f>IF($AL191="","",INDEX('04_調査結果'!$AH$5:$AH$404,$AL191)&amp;"")</f>
        <v/>
      </c>
      <c r="AJ191">
        <f>IF($AL191="","",INDEX('04_調査結果'!$AA$5:$AA$404,$AL191)&amp;"")</f>
        <v/>
      </c>
      <c r="AK191">
        <f>IF($AL191="","",INDEX('04_調査結果'!$AC$5:$AC$404,$AL191)&amp;"")</f>
        <v/>
      </c>
      <c r="AL191" s="34">
        <f>IFERROR(MATCH(ROW()-4,'04_調査結果'!$AZ$5:$AZ$404,0),"")</f>
        <v/>
      </c>
    </row>
    <row r="192">
      <c r="A192">
        <f>IF($AL192="","",'01_設定'!$C$36)</f>
        <v/>
      </c>
      <c r="B192">
        <f>IF($AL192="","",'01_設定'!$C$5)</f>
        <v/>
      </c>
      <c r="C192">
        <f>IF($AL192="","",'01_設定'!$C$6)</f>
        <v/>
      </c>
      <c r="D192" s="36">
        <f>IF($AL192="","",'01_設定'!$C$22)</f>
        <v/>
      </c>
      <c r="E192" s="36">
        <f>IF($AL192="","",'01_設定'!$C$23)</f>
        <v/>
      </c>
      <c r="F192">
        <f>IF($AL192="","",'01_設定'!$C$32)</f>
        <v/>
      </c>
      <c r="G192">
        <f>IF($AL192="","",ROW()-4)</f>
        <v/>
      </c>
      <c r="H192">
        <f>IF($AL192="","",INDEX('04_調査結果'!$AO$5:$AO$404,$AL192))</f>
        <v/>
      </c>
      <c r="I192">
        <f>IF($AL192="","",IFERROR(INDEX('M2_区分マスタ'!$I$5:$I$10,INDEX('04_調査結果'!$AP$5:$AP$404,$AL192)),""))</f>
        <v/>
      </c>
      <c r="J192">
        <f>IF($AL192="","",INDEX('04_調査結果'!$BE$5:$BE$404,$AL192)&amp;"")</f>
        <v/>
      </c>
      <c r="K192">
        <f>IF($AL192="","",INDEX('04_調査結果'!$F$5:$F$404,$AL192)&amp;"")</f>
        <v/>
      </c>
      <c r="L192">
        <f>IF($AL192="","",INDEX('04_調査結果'!$G$5:$G$404,$AL192)&amp;"")</f>
        <v/>
      </c>
      <c r="M192">
        <f>IF($AL192="","",INDEX('04_調査結果'!$AQ$5:$AQ$404,$AL192)&amp;"")</f>
        <v/>
      </c>
      <c r="N192">
        <f>IF($AL192="","",IFERROR(INDEX('M1_類型マスタ'!$B$5:$B$19,MATCH(M192,'M1_類型マスタ'!$A$5:$A$19,0)),""))</f>
        <v/>
      </c>
      <c r="O192">
        <f>IF($AL192="","",INDEX('04_調査結果'!$I$5:$I$404,$AL192)&amp;"")</f>
        <v/>
      </c>
      <c r="P192">
        <f>IF($AL192="","",INDEX('04_調査結果'!$J$5:$J$404,$AL192)&amp;"")</f>
        <v/>
      </c>
      <c r="Q192">
        <f>IF($AL192="","",INDEX('04_調査結果'!$K$5:$K$404,$AL192)&amp;"")</f>
        <v/>
      </c>
      <c r="R192">
        <f>IF($AL192="","",INDEX('04_調査結果'!$L$5:$L$404,$AL192)&amp;"")</f>
        <v/>
      </c>
      <c r="S192">
        <f>IF($AL192="","",INDEX('04_調査結果'!$M$5:$M$404,$AL192)&amp;"")</f>
        <v/>
      </c>
      <c r="T192" s="33">
        <f>IF($AL192="","",IF(INDEX('04_調査結果'!$AE$5:$AE$404,$AL192)&lt;&gt;"",INDEX('04_調査結果'!$AE$5:$AE$404,$AL192),INDEX('04_調査結果'!$AS$5:$AS$404,$AL192)))</f>
        <v/>
      </c>
      <c r="U192" s="33">
        <f>IF($AL192="","",IF(INDEX('04_調査結果'!$AF$5:$AF$404,$AL192)&lt;&gt;"",INDEX('04_調査結果'!$AF$5:$AF$404,$AL192),INDEX('04_調査結果'!$AT$5:$AT$404,$AL192)))</f>
        <v/>
      </c>
      <c r="V192" s="33">
        <f>IF($AL192="","",INDEX('04_調査結果'!$AI$5:$AI$404,$AL192))</f>
        <v/>
      </c>
      <c r="W192">
        <f>IF($AL192="","",INDEX('04_調査結果'!$AU$5:$AU$404,$AL192))</f>
        <v/>
      </c>
      <c r="X192" s="37">
        <f>IF($AL192="","",INDEX('04_調査結果'!$AW$5:$AW$404,$AL192))</f>
        <v/>
      </c>
      <c r="Y192" s="37">
        <f>IF($AL192="","",INDEX('04_調査結果'!$AX$5:$AX$404,$AL192))</f>
        <v/>
      </c>
      <c r="Z192">
        <f>IF($AL192="","",INDEX('04_調査結果'!$S$5:$S$404,$AL192)&amp;"")</f>
        <v/>
      </c>
      <c r="AA192">
        <f>IF($AL192="","",INDEX('04_調査結果'!$T$5:$T$404,$AL192))</f>
        <v/>
      </c>
      <c r="AB192">
        <f>IF($AL192="","",INDEX('04_調査結果'!$U$5:$U$404,$AL192))</f>
        <v/>
      </c>
      <c r="AC192">
        <f>IF($AL192="","",INDEX('04_調査結果'!$V$5:$V$404,$AL192))</f>
        <v/>
      </c>
      <c r="AD192">
        <f>IF($AL192="","",INDEX('04_調査結果'!$W$5:$W$404,$AL192))</f>
        <v/>
      </c>
      <c r="AE192">
        <f>IF($AL192="","",INDEX('04_調査結果'!$X$5:$X$404,$AL192))</f>
        <v/>
      </c>
      <c r="AF192">
        <f>IF($AL192="","",INDEX('04_調査結果'!$Y$5:$Y$404,$AL192))</f>
        <v/>
      </c>
      <c r="AG192">
        <f>IF($AL192="","",INDEX('04_調査結果'!$Z$5:$Z$404,$AL192))</f>
        <v/>
      </c>
      <c r="AH192">
        <f>IF($AL192="","",INDEX('04_調査結果'!$AK$5:$AK$404,$AL192))</f>
        <v/>
      </c>
      <c r="AI192">
        <f>IF($AL192="","",INDEX('04_調査結果'!$AH$5:$AH$404,$AL192)&amp;"")</f>
        <v/>
      </c>
      <c r="AJ192">
        <f>IF($AL192="","",INDEX('04_調査結果'!$AA$5:$AA$404,$AL192)&amp;"")</f>
        <v/>
      </c>
      <c r="AK192">
        <f>IF($AL192="","",INDEX('04_調査結果'!$AC$5:$AC$404,$AL192)&amp;"")</f>
        <v/>
      </c>
      <c r="AL192" s="34">
        <f>IFERROR(MATCH(ROW()-4,'04_調査結果'!$AZ$5:$AZ$404,0),"")</f>
        <v/>
      </c>
    </row>
    <row r="193">
      <c r="A193">
        <f>IF($AL193="","",'01_設定'!$C$36)</f>
        <v/>
      </c>
      <c r="B193">
        <f>IF($AL193="","",'01_設定'!$C$5)</f>
        <v/>
      </c>
      <c r="C193">
        <f>IF($AL193="","",'01_設定'!$C$6)</f>
        <v/>
      </c>
      <c r="D193" s="36">
        <f>IF($AL193="","",'01_設定'!$C$22)</f>
        <v/>
      </c>
      <c r="E193" s="36">
        <f>IF($AL193="","",'01_設定'!$C$23)</f>
        <v/>
      </c>
      <c r="F193">
        <f>IF($AL193="","",'01_設定'!$C$32)</f>
        <v/>
      </c>
      <c r="G193">
        <f>IF($AL193="","",ROW()-4)</f>
        <v/>
      </c>
      <c r="H193">
        <f>IF($AL193="","",INDEX('04_調査結果'!$AO$5:$AO$404,$AL193))</f>
        <v/>
      </c>
      <c r="I193">
        <f>IF($AL193="","",IFERROR(INDEX('M2_区分マスタ'!$I$5:$I$10,INDEX('04_調査結果'!$AP$5:$AP$404,$AL193)),""))</f>
        <v/>
      </c>
      <c r="J193">
        <f>IF($AL193="","",INDEX('04_調査結果'!$BE$5:$BE$404,$AL193)&amp;"")</f>
        <v/>
      </c>
      <c r="K193">
        <f>IF($AL193="","",INDEX('04_調査結果'!$F$5:$F$404,$AL193)&amp;"")</f>
        <v/>
      </c>
      <c r="L193">
        <f>IF($AL193="","",INDEX('04_調査結果'!$G$5:$G$404,$AL193)&amp;"")</f>
        <v/>
      </c>
      <c r="M193">
        <f>IF($AL193="","",INDEX('04_調査結果'!$AQ$5:$AQ$404,$AL193)&amp;"")</f>
        <v/>
      </c>
      <c r="N193">
        <f>IF($AL193="","",IFERROR(INDEX('M1_類型マスタ'!$B$5:$B$19,MATCH(M193,'M1_類型マスタ'!$A$5:$A$19,0)),""))</f>
        <v/>
      </c>
      <c r="O193">
        <f>IF($AL193="","",INDEX('04_調査結果'!$I$5:$I$404,$AL193)&amp;"")</f>
        <v/>
      </c>
      <c r="P193">
        <f>IF($AL193="","",INDEX('04_調査結果'!$J$5:$J$404,$AL193)&amp;"")</f>
        <v/>
      </c>
      <c r="Q193">
        <f>IF($AL193="","",INDEX('04_調査結果'!$K$5:$K$404,$AL193)&amp;"")</f>
        <v/>
      </c>
      <c r="R193">
        <f>IF($AL193="","",INDEX('04_調査結果'!$L$5:$L$404,$AL193)&amp;"")</f>
        <v/>
      </c>
      <c r="S193">
        <f>IF($AL193="","",INDEX('04_調査結果'!$M$5:$M$404,$AL193)&amp;"")</f>
        <v/>
      </c>
      <c r="T193" s="33">
        <f>IF($AL193="","",IF(INDEX('04_調査結果'!$AE$5:$AE$404,$AL193)&lt;&gt;"",INDEX('04_調査結果'!$AE$5:$AE$404,$AL193),INDEX('04_調査結果'!$AS$5:$AS$404,$AL193)))</f>
        <v/>
      </c>
      <c r="U193" s="33">
        <f>IF($AL193="","",IF(INDEX('04_調査結果'!$AF$5:$AF$404,$AL193)&lt;&gt;"",INDEX('04_調査結果'!$AF$5:$AF$404,$AL193),INDEX('04_調査結果'!$AT$5:$AT$404,$AL193)))</f>
        <v/>
      </c>
      <c r="V193" s="33">
        <f>IF($AL193="","",INDEX('04_調査結果'!$AI$5:$AI$404,$AL193))</f>
        <v/>
      </c>
      <c r="W193">
        <f>IF($AL193="","",INDEX('04_調査結果'!$AU$5:$AU$404,$AL193))</f>
        <v/>
      </c>
      <c r="X193" s="37">
        <f>IF($AL193="","",INDEX('04_調査結果'!$AW$5:$AW$404,$AL193))</f>
        <v/>
      </c>
      <c r="Y193" s="37">
        <f>IF($AL193="","",INDEX('04_調査結果'!$AX$5:$AX$404,$AL193))</f>
        <v/>
      </c>
      <c r="Z193">
        <f>IF($AL193="","",INDEX('04_調査結果'!$S$5:$S$404,$AL193)&amp;"")</f>
        <v/>
      </c>
      <c r="AA193">
        <f>IF($AL193="","",INDEX('04_調査結果'!$T$5:$T$404,$AL193))</f>
        <v/>
      </c>
      <c r="AB193">
        <f>IF($AL193="","",INDEX('04_調査結果'!$U$5:$U$404,$AL193))</f>
        <v/>
      </c>
      <c r="AC193">
        <f>IF($AL193="","",INDEX('04_調査結果'!$V$5:$V$404,$AL193))</f>
        <v/>
      </c>
      <c r="AD193">
        <f>IF($AL193="","",INDEX('04_調査結果'!$W$5:$W$404,$AL193))</f>
        <v/>
      </c>
      <c r="AE193">
        <f>IF($AL193="","",INDEX('04_調査結果'!$X$5:$X$404,$AL193))</f>
        <v/>
      </c>
      <c r="AF193">
        <f>IF($AL193="","",INDEX('04_調査結果'!$Y$5:$Y$404,$AL193))</f>
        <v/>
      </c>
      <c r="AG193">
        <f>IF($AL193="","",INDEX('04_調査結果'!$Z$5:$Z$404,$AL193))</f>
        <v/>
      </c>
      <c r="AH193">
        <f>IF($AL193="","",INDEX('04_調査結果'!$AK$5:$AK$404,$AL193))</f>
        <v/>
      </c>
      <c r="AI193">
        <f>IF($AL193="","",INDEX('04_調査結果'!$AH$5:$AH$404,$AL193)&amp;"")</f>
        <v/>
      </c>
      <c r="AJ193">
        <f>IF($AL193="","",INDEX('04_調査結果'!$AA$5:$AA$404,$AL193)&amp;"")</f>
        <v/>
      </c>
      <c r="AK193">
        <f>IF($AL193="","",INDEX('04_調査結果'!$AC$5:$AC$404,$AL193)&amp;"")</f>
        <v/>
      </c>
      <c r="AL193" s="34">
        <f>IFERROR(MATCH(ROW()-4,'04_調査結果'!$AZ$5:$AZ$404,0),"")</f>
        <v/>
      </c>
    </row>
    <row r="194">
      <c r="A194">
        <f>IF($AL194="","",'01_設定'!$C$36)</f>
        <v/>
      </c>
      <c r="B194">
        <f>IF($AL194="","",'01_設定'!$C$5)</f>
        <v/>
      </c>
      <c r="C194">
        <f>IF($AL194="","",'01_設定'!$C$6)</f>
        <v/>
      </c>
      <c r="D194" s="36">
        <f>IF($AL194="","",'01_設定'!$C$22)</f>
        <v/>
      </c>
      <c r="E194" s="36">
        <f>IF($AL194="","",'01_設定'!$C$23)</f>
        <v/>
      </c>
      <c r="F194">
        <f>IF($AL194="","",'01_設定'!$C$32)</f>
        <v/>
      </c>
      <c r="G194">
        <f>IF($AL194="","",ROW()-4)</f>
        <v/>
      </c>
      <c r="H194">
        <f>IF($AL194="","",INDEX('04_調査結果'!$AO$5:$AO$404,$AL194))</f>
        <v/>
      </c>
      <c r="I194">
        <f>IF($AL194="","",IFERROR(INDEX('M2_区分マスタ'!$I$5:$I$10,INDEX('04_調査結果'!$AP$5:$AP$404,$AL194)),""))</f>
        <v/>
      </c>
      <c r="J194">
        <f>IF($AL194="","",INDEX('04_調査結果'!$BE$5:$BE$404,$AL194)&amp;"")</f>
        <v/>
      </c>
      <c r="K194">
        <f>IF($AL194="","",INDEX('04_調査結果'!$F$5:$F$404,$AL194)&amp;"")</f>
        <v/>
      </c>
      <c r="L194">
        <f>IF($AL194="","",INDEX('04_調査結果'!$G$5:$G$404,$AL194)&amp;"")</f>
        <v/>
      </c>
      <c r="M194">
        <f>IF($AL194="","",INDEX('04_調査結果'!$AQ$5:$AQ$404,$AL194)&amp;"")</f>
        <v/>
      </c>
      <c r="N194">
        <f>IF($AL194="","",IFERROR(INDEX('M1_類型マスタ'!$B$5:$B$19,MATCH(M194,'M1_類型マスタ'!$A$5:$A$19,0)),""))</f>
        <v/>
      </c>
      <c r="O194">
        <f>IF($AL194="","",INDEX('04_調査結果'!$I$5:$I$404,$AL194)&amp;"")</f>
        <v/>
      </c>
      <c r="P194">
        <f>IF($AL194="","",INDEX('04_調査結果'!$J$5:$J$404,$AL194)&amp;"")</f>
        <v/>
      </c>
      <c r="Q194">
        <f>IF($AL194="","",INDEX('04_調査結果'!$K$5:$K$404,$AL194)&amp;"")</f>
        <v/>
      </c>
      <c r="R194">
        <f>IF($AL194="","",INDEX('04_調査結果'!$L$5:$L$404,$AL194)&amp;"")</f>
        <v/>
      </c>
      <c r="S194">
        <f>IF($AL194="","",INDEX('04_調査結果'!$M$5:$M$404,$AL194)&amp;"")</f>
        <v/>
      </c>
      <c r="T194" s="33">
        <f>IF($AL194="","",IF(INDEX('04_調査結果'!$AE$5:$AE$404,$AL194)&lt;&gt;"",INDEX('04_調査結果'!$AE$5:$AE$404,$AL194),INDEX('04_調査結果'!$AS$5:$AS$404,$AL194)))</f>
        <v/>
      </c>
      <c r="U194" s="33">
        <f>IF($AL194="","",IF(INDEX('04_調査結果'!$AF$5:$AF$404,$AL194)&lt;&gt;"",INDEX('04_調査結果'!$AF$5:$AF$404,$AL194),INDEX('04_調査結果'!$AT$5:$AT$404,$AL194)))</f>
        <v/>
      </c>
      <c r="V194" s="33">
        <f>IF($AL194="","",INDEX('04_調査結果'!$AI$5:$AI$404,$AL194))</f>
        <v/>
      </c>
      <c r="W194">
        <f>IF($AL194="","",INDEX('04_調査結果'!$AU$5:$AU$404,$AL194))</f>
        <v/>
      </c>
      <c r="X194" s="37">
        <f>IF($AL194="","",INDEX('04_調査結果'!$AW$5:$AW$404,$AL194))</f>
        <v/>
      </c>
      <c r="Y194" s="37">
        <f>IF($AL194="","",INDEX('04_調査結果'!$AX$5:$AX$404,$AL194))</f>
        <v/>
      </c>
      <c r="Z194">
        <f>IF($AL194="","",INDEX('04_調査結果'!$S$5:$S$404,$AL194)&amp;"")</f>
        <v/>
      </c>
      <c r="AA194">
        <f>IF($AL194="","",INDEX('04_調査結果'!$T$5:$T$404,$AL194))</f>
        <v/>
      </c>
      <c r="AB194">
        <f>IF($AL194="","",INDEX('04_調査結果'!$U$5:$U$404,$AL194))</f>
        <v/>
      </c>
      <c r="AC194">
        <f>IF($AL194="","",INDEX('04_調査結果'!$V$5:$V$404,$AL194))</f>
        <v/>
      </c>
      <c r="AD194">
        <f>IF($AL194="","",INDEX('04_調査結果'!$W$5:$W$404,$AL194))</f>
        <v/>
      </c>
      <c r="AE194">
        <f>IF($AL194="","",INDEX('04_調査結果'!$X$5:$X$404,$AL194))</f>
        <v/>
      </c>
      <c r="AF194">
        <f>IF($AL194="","",INDEX('04_調査結果'!$Y$5:$Y$404,$AL194))</f>
        <v/>
      </c>
      <c r="AG194">
        <f>IF($AL194="","",INDEX('04_調査結果'!$Z$5:$Z$404,$AL194))</f>
        <v/>
      </c>
      <c r="AH194">
        <f>IF($AL194="","",INDEX('04_調査結果'!$AK$5:$AK$404,$AL194))</f>
        <v/>
      </c>
      <c r="AI194">
        <f>IF($AL194="","",INDEX('04_調査結果'!$AH$5:$AH$404,$AL194)&amp;"")</f>
        <v/>
      </c>
      <c r="AJ194">
        <f>IF($AL194="","",INDEX('04_調査結果'!$AA$5:$AA$404,$AL194)&amp;"")</f>
        <v/>
      </c>
      <c r="AK194">
        <f>IF($AL194="","",INDEX('04_調査結果'!$AC$5:$AC$404,$AL194)&amp;"")</f>
        <v/>
      </c>
      <c r="AL194" s="34">
        <f>IFERROR(MATCH(ROW()-4,'04_調査結果'!$AZ$5:$AZ$404,0),"")</f>
        <v/>
      </c>
    </row>
    <row r="195">
      <c r="A195">
        <f>IF($AL195="","",'01_設定'!$C$36)</f>
        <v/>
      </c>
      <c r="B195">
        <f>IF($AL195="","",'01_設定'!$C$5)</f>
        <v/>
      </c>
      <c r="C195">
        <f>IF($AL195="","",'01_設定'!$C$6)</f>
        <v/>
      </c>
      <c r="D195" s="36">
        <f>IF($AL195="","",'01_設定'!$C$22)</f>
        <v/>
      </c>
      <c r="E195" s="36">
        <f>IF($AL195="","",'01_設定'!$C$23)</f>
        <v/>
      </c>
      <c r="F195">
        <f>IF($AL195="","",'01_設定'!$C$32)</f>
        <v/>
      </c>
      <c r="G195">
        <f>IF($AL195="","",ROW()-4)</f>
        <v/>
      </c>
      <c r="H195">
        <f>IF($AL195="","",INDEX('04_調査結果'!$AO$5:$AO$404,$AL195))</f>
        <v/>
      </c>
      <c r="I195">
        <f>IF($AL195="","",IFERROR(INDEX('M2_区分マスタ'!$I$5:$I$10,INDEX('04_調査結果'!$AP$5:$AP$404,$AL195)),""))</f>
        <v/>
      </c>
      <c r="J195">
        <f>IF($AL195="","",INDEX('04_調査結果'!$BE$5:$BE$404,$AL195)&amp;"")</f>
        <v/>
      </c>
      <c r="K195">
        <f>IF($AL195="","",INDEX('04_調査結果'!$F$5:$F$404,$AL195)&amp;"")</f>
        <v/>
      </c>
      <c r="L195">
        <f>IF($AL195="","",INDEX('04_調査結果'!$G$5:$G$404,$AL195)&amp;"")</f>
        <v/>
      </c>
      <c r="M195">
        <f>IF($AL195="","",INDEX('04_調査結果'!$AQ$5:$AQ$404,$AL195)&amp;"")</f>
        <v/>
      </c>
      <c r="N195">
        <f>IF($AL195="","",IFERROR(INDEX('M1_類型マスタ'!$B$5:$B$19,MATCH(M195,'M1_類型マスタ'!$A$5:$A$19,0)),""))</f>
        <v/>
      </c>
      <c r="O195">
        <f>IF($AL195="","",INDEX('04_調査結果'!$I$5:$I$404,$AL195)&amp;"")</f>
        <v/>
      </c>
      <c r="P195">
        <f>IF($AL195="","",INDEX('04_調査結果'!$J$5:$J$404,$AL195)&amp;"")</f>
        <v/>
      </c>
      <c r="Q195">
        <f>IF($AL195="","",INDEX('04_調査結果'!$K$5:$K$404,$AL195)&amp;"")</f>
        <v/>
      </c>
      <c r="R195">
        <f>IF($AL195="","",INDEX('04_調査結果'!$L$5:$L$404,$AL195)&amp;"")</f>
        <v/>
      </c>
      <c r="S195">
        <f>IF($AL195="","",INDEX('04_調査結果'!$M$5:$M$404,$AL195)&amp;"")</f>
        <v/>
      </c>
      <c r="T195" s="33">
        <f>IF($AL195="","",IF(INDEX('04_調査結果'!$AE$5:$AE$404,$AL195)&lt;&gt;"",INDEX('04_調査結果'!$AE$5:$AE$404,$AL195),INDEX('04_調査結果'!$AS$5:$AS$404,$AL195)))</f>
        <v/>
      </c>
      <c r="U195" s="33">
        <f>IF($AL195="","",IF(INDEX('04_調査結果'!$AF$5:$AF$404,$AL195)&lt;&gt;"",INDEX('04_調査結果'!$AF$5:$AF$404,$AL195),INDEX('04_調査結果'!$AT$5:$AT$404,$AL195)))</f>
        <v/>
      </c>
      <c r="V195" s="33">
        <f>IF($AL195="","",INDEX('04_調査結果'!$AI$5:$AI$404,$AL195))</f>
        <v/>
      </c>
      <c r="W195">
        <f>IF($AL195="","",INDEX('04_調査結果'!$AU$5:$AU$404,$AL195))</f>
        <v/>
      </c>
      <c r="X195" s="37">
        <f>IF($AL195="","",INDEX('04_調査結果'!$AW$5:$AW$404,$AL195))</f>
        <v/>
      </c>
      <c r="Y195" s="37">
        <f>IF($AL195="","",INDEX('04_調査結果'!$AX$5:$AX$404,$AL195))</f>
        <v/>
      </c>
      <c r="Z195">
        <f>IF($AL195="","",INDEX('04_調査結果'!$S$5:$S$404,$AL195)&amp;"")</f>
        <v/>
      </c>
      <c r="AA195">
        <f>IF($AL195="","",INDEX('04_調査結果'!$T$5:$T$404,$AL195))</f>
        <v/>
      </c>
      <c r="AB195">
        <f>IF($AL195="","",INDEX('04_調査結果'!$U$5:$U$404,$AL195))</f>
        <v/>
      </c>
      <c r="AC195">
        <f>IF($AL195="","",INDEX('04_調査結果'!$V$5:$V$404,$AL195))</f>
        <v/>
      </c>
      <c r="AD195">
        <f>IF($AL195="","",INDEX('04_調査結果'!$W$5:$W$404,$AL195))</f>
        <v/>
      </c>
      <c r="AE195">
        <f>IF($AL195="","",INDEX('04_調査結果'!$X$5:$X$404,$AL195))</f>
        <v/>
      </c>
      <c r="AF195">
        <f>IF($AL195="","",INDEX('04_調査結果'!$Y$5:$Y$404,$AL195))</f>
        <v/>
      </c>
      <c r="AG195">
        <f>IF($AL195="","",INDEX('04_調査結果'!$Z$5:$Z$404,$AL195))</f>
        <v/>
      </c>
      <c r="AH195">
        <f>IF($AL195="","",INDEX('04_調査結果'!$AK$5:$AK$404,$AL195))</f>
        <v/>
      </c>
      <c r="AI195">
        <f>IF($AL195="","",INDEX('04_調査結果'!$AH$5:$AH$404,$AL195)&amp;"")</f>
        <v/>
      </c>
      <c r="AJ195">
        <f>IF($AL195="","",INDEX('04_調査結果'!$AA$5:$AA$404,$AL195)&amp;"")</f>
        <v/>
      </c>
      <c r="AK195">
        <f>IF($AL195="","",INDEX('04_調査結果'!$AC$5:$AC$404,$AL195)&amp;"")</f>
        <v/>
      </c>
      <c r="AL195" s="34">
        <f>IFERROR(MATCH(ROW()-4,'04_調査結果'!$AZ$5:$AZ$404,0),"")</f>
        <v/>
      </c>
    </row>
    <row r="196">
      <c r="A196">
        <f>IF($AL196="","",'01_設定'!$C$36)</f>
        <v/>
      </c>
      <c r="B196">
        <f>IF($AL196="","",'01_設定'!$C$5)</f>
        <v/>
      </c>
      <c r="C196">
        <f>IF($AL196="","",'01_設定'!$C$6)</f>
        <v/>
      </c>
      <c r="D196" s="36">
        <f>IF($AL196="","",'01_設定'!$C$22)</f>
        <v/>
      </c>
      <c r="E196" s="36">
        <f>IF($AL196="","",'01_設定'!$C$23)</f>
        <v/>
      </c>
      <c r="F196">
        <f>IF($AL196="","",'01_設定'!$C$32)</f>
        <v/>
      </c>
      <c r="G196">
        <f>IF($AL196="","",ROW()-4)</f>
        <v/>
      </c>
      <c r="H196">
        <f>IF($AL196="","",INDEX('04_調査結果'!$AO$5:$AO$404,$AL196))</f>
        <v/>
      </c>
      <c r="I196">
        <f>IF($AL196="","",IFERROR(INDEX('M2_区分マスタ'!$I$5:$I$10,INDEX('04_調査結果'!$AP$5:$AP$404,$AL196)),""))</f>
        <v/>
      </c>
      <c r="J196">
        <f>IF($AL196="","",INDEX('04_調査結果'!$BE$5:$BE$404,$AL196)&amp;"")</f>
        <v/>
      </c>
      <c r="K196">
        <f>IF($AL196="","",INDEX('04_調査結果'!$F$5:$F$404,$AL196)&amp;"")</f>
        <v/>
      </c>
      <c r="L196">
        <f>IF($AL196="","",INDEX('04_調査結果'!$G$5:$G$404,$AL196)&amp;"")</f>
        <v/>
      </c>
      <c r="M196">
        <f>IF($AL196="","",INDEX('04_調査結果'!$AQ$5:$AQ$404,$AL196)&amp;"")</f>
        <v/>
      </c>
      <c r="N196">
        <f>IF($AL196="","",IFERROR(INDEX('M1_類型マスタ'!$B$5:$B$19,MATCH(M196,'M1_類型マスタ'!$A$5:$A$19,0)),""))</f>
        <v/>
      </c>
      <c r="O196">
        <f>IF($AL196="","",INDEX('04_調査結果'!$I$5:$I$404,$AL196)&amp;"")</f>
        <v/>
      </c>
      <c r="P196">
        <f>IF($AL196="","",INDEX('04_調査結果'!$J$5:$J$404,$AL196)&amp;"")</f>
        <v/>
      </c>
      <c r="Q196">
        <f>IF($AL196="","",INDEX('04_調査結果'!$K$5:$K$404,$AL196)&amp;"")</f>
        <v/>
      </c>
      <c r="R196">
        <f>IF($AL196="","",INDEX('04_調査結果'!$L$5:$L$404,$AL196)&amp;"")</f>
        <v/>
      </c>
      <c r="S196">
        <f>IF($AL196="","",INDEX('04_調査結果'!$M$5:$M$404,$AL196)&amp;"")</f>
        <v/>
      </c>
      <c r="T196" s="33">
        <f>IF($AL196="","",IF(INDEX('04_調査結果'!$AE$5:$AE$404,$AL196)&lt;&gt;"",INDEX('04_調査結果'!$AE$5:$AE$404,$AL196),INDEX('04_調査結果'!$AS$5:$AS$404,$AL196)))</f>
        <v/>
      </c>
      <c r="U196" s="33">
        <f>IF($AL196="","",IF(INDEX('04_調査結果'!$AF$5:$AF$404,$AL196)&lt;&gt;"",INDEX('04_調査結果'!$AF$5:$AF$404,$AL196),INDEX('04_調査結果'!$AT$5:$AT$404,$AL196)))</f>
        <v/>
      </c>
      <c r="V196" s="33">
        <f>IF($AL196="","",INDEX('04_調査結果'!$AI$5:$AI$404,$AL196))</f>
        <v/>
      </c>
      <c r="W196">
        <f>IF($AL196="","",INDEX('04_調査結果'!$AU$5:$AU$404,$AL196))</f>
        <v/>
      </c>
      <c r="X196" s="37">
        <f>IF($AL196="","",INDEX('04_調査結果'!$AW$5:$AW$404,$AL196))</f>
        <v/>
      </c>
      <c r="Y196" s="37">
        <f>IF($AL196="","",INDEX('04_調査結果'!$AX$5:$AX$404,$AL196))</f>
        <v/>
      </c>
      <c r="Z196">
        <f>IF($AL196="","",INDEX('04_調査結果'!$S$5:$S$404,$AL196)&amp;"")</f>
        <v/>
      </c>
      <c r="AA196">
        <f>IF($AL196="","",INDEX('04_調査結果'!$T$5:$T$404,$AL196))</f>
        <v/>
      </c>
      <c r="AB196">
        <f>IF($AL196="","",INDEX('04_調査結果'!$U$5:$U$404,$AL196))</f>
        <v/>
      </c>
      <c r="AC196">
        <f>IF($AL196="","",INDEX('04_調査結果'!$V$5:$V$404,$AL196))</f>
        <v/>
      </c>
      <c r="AD196">
        <f>IF($AL196="","",INDEX('04_調査結果'!$W$5:$W$404,$AL196))</f>
        <v/>
      </c>
      <c r="AE196">
        <f>IF($AL196="","",INDEX('04_調査結果'!$X$5:$X$404,$AL196))</f>
        <v/>
      </c>
      <c r="AF196">
        <f>IF($AL196="","",INDEX('04_調査結果'!$Y$5:$Y$404,$AL196))</f>
        <v/>
      </c>
      <c r="AG196">
        <f>IF($AL196="","",INDEX('04_調査結果'!$Z$5:$Z$404,$AL196))</f>
        <v/>
      </c>
      <c r="AH196">
        <f>IF($AL196="","",INDEX('04_調査結果'!$AK$5:$AK$404,$AL196))</f>
        <v/>
      </c>
      <c r="AI196">
        <f>IF($AL196="","",INDEX('04_調査結果'!$AH$5:$AH$404,$AL196)&amp;"")</f>
        <v/>
      </c>
      <c r="AJ196">
        <f>IF($AL196="","",INDEX('04_調査結果'!$AA$5:$AA$404,$AL196)&amp;"")</f>
        <v/>
      </c>
      <c r="AK196">
        <f>IF($AL196="","",INDEX('04_調査結果'!$AC$5:$AC$404,$AL196)&amp;"")</f>
        <v/>
      </c>
      <c r="AL196" s="34">
        <f>IFERROR(MATCH(ROW()-4,'04_調査結果'!$AZ$5:$AZ$404,0),"")</f>
        <v/>
      </c>
    </row>
    <row r="197">
      <c r="A197">
        <f>IF($AL197="","",'01_設定'!$C$36)</f>
        <v/>
      </c>
      <c r="B197">
        <f>IF($AL197="","",'01_設定'!$C$5)</f>
        <v/>
      </c>
      <c r="C197">
        <f>IF($AL197="","",'01_設定'!$C$6)</f>
        <v/>
      </c>
      <c r="D197" s="36">
        <f>IF($AL197="","",'01_設定'!$C$22)</f>
        <v/>
      </c>
      <c r="E197" s="36">
        <f>IF($AL197="","",'01_設定'!$C$23)</f>
        <v/>
      </c>
      <c r="F197">
        <f>IF($AL197="","",'01_設定'!$C$32)</f>
        <v/>
      </c>
      <c r="G197">
        <f>IF($AL197="","",ROW()-4)</f>
        <v/>
      </c>
      <c r="H197">
        <f>IF($AL197="","",INDEX('04_調査結果'!$AO$5:$AO$404,$AL197))</f>
        <v/>
      </c>
      <c r="I197">
        <f>IF($AL197="","",IFERROR(INDEX('M2_区分マスタ'!$I$5:$I$10,INDEX('04_調査結果'!$AP$5:$AP$404,$AL197)),""))</f>
        <v/>
      </c>
      <c r="J197">
        <f>IF($AL197="","",INDEX('04_調査結果'!$BE$5:$BE$404,$AL197)&amp;"")</f>
        <v/>
      </c>
      <c r="K197">
        <f>IF($AL197="","",INDEX('04_調査結果'!$F$5:$F$404,$AL197)&amp;"")</f>
        <v/>
      </c>
      <c r="L197">
        <f>IF($AL197="","",INDEX('04_調査結果'!$G$5:$G$404,$AL197)&amp;"")</f>
        <v/>
      </c>
      <c r="M197">
        <f>IF($AL197="","",INDEX('04_調査結果'!$AQ$5:$AQ$404,$AL197)&amp;"")</f>
        <v/>
      </c>
      <c r="N197">
        <f>IF($AL197="","",IFERROR(INDEX('M1_類型マスタ'!$B$5:$B$19,MATCH(M197,'M1_類型マスタ'!$A$5:$A$19,0)),""))</f>
        <v/>
      </c>
      <c r="O197">
        <f>IF($AL197="","",INDEX('04_調査結果'!$I$5:$I$404,$AL197)&amp;"")</f>
        <v/>
      </c>
      <c r="P197">
        <f>IF($AL197="","",INDEX('04_調査結果'!$J$5:$J$404,$AL197)&amp;"")</f>
        <v/>
      </c>
      <c r="Q197">
        <f>IF($AL197="","",INDEX('04_調査結果'!$K$5:$K$404,$AL197)&amp;"")</f>
        <v/>
      </c>
      <c r="R197">
        <f>IF($AL197="","",INDEX('04_調査結果'!$L$5:$L$404,$AL197)&amp;"")</f>
        <v/>
      </c>
      <c r="S197">
        <f>IF($AL197="","",INDEX('04_調査結果'!$M$5:$M$404,$AL197)&amp;"")</f>
        <v/>
      </c>
      <c r="T197" s="33">
        <f>IF($AL197="","",IF(INDEX('04_調査結果'!$AE$5:$AE$404,$AL197)&lt;&gt;"",INDEX('04_調査結果'!$AE$5:$AE$404,$AL197),INDEX('04_調査結果'!$AS$5:$AS$404,$AL197)))</f>
        <v/>
      </c>
      <c r="U197" s="33">
        <f>IF($AL197="","",IF(INDEX('04_調査結果'!$AF$5:$AF$404,$AL197)&lt;&gt;"",INDEX('04_調査結果'!$AF$5:$AF$404,$AL197),INDEX('04_調査結果'!$AT$5:$AT$404,$AL197)))</f>
        <v/>
      </c>
      <c r="V197" s="33">
        <f>IF($AL197="","",INDEX('04_調査結果'!$AI$5:$AI$404,$AL197))</f>
        <v/>
      </c>
      <c r="W197">
        <f>IF($AL197="","",INDEX('04_調査結果'!$AU$5:$AU$404,$AL197))</f>
        <v/>
      </c>
      <c r="X197" s="37">
        <f>IF($AL197="","",INDEX('04_調査結果'!$AW$5:$AW$404,$AL197))</f>
        <v/>
      </c>
      <c r="Y197" s="37">
        <f>IF($AL197="","",INDEX('04_調査結果'!$AX$5:$AX$404,$AL197))</f>
        <v/>
      </c>
      <c r="Z197">
        <f>IF($AL197="","",INDEX('04_調査結果'!$S$5:$S$404,$AL197)&amp;"")</f>
        <v/>
      </c>
      <c r="AA197">
        <f>IF($AL197="","",INDEX('04_調査結果'!$T$5:$T$404,$AL197))</f>
        <v/>
      </c>
      <c r="AB197">
        <f>IF($AL197="","",INDEX('04_調査結果'!$U$5:$U$404,$AL197))</f>
        <v/>
      </c>
      <c r="AC197">
        <f>IF($AL197="","",INDEX('04_調査結果'!$V$5:$V$404,$AL197))</f>
        <v/>
      </c>
      <c r="AD197">
        <f>IF($AL197="","",INDEX('04_調査結果'!$W$5:$W$404,$AL197))</f>
        <v/>
      </c>
      <c r="AE197">
        <f>IF($AL197="","",INDEX('04_調査結果'!$X$5:$X$404,$AL197))</f>
        <v/>
      </c>
      <c r="AF197">
        <f>IF($AL197="","",INDEX('04_調査結果'!$Y$5:$Y$404,$AL197))</f>
        <v/>
      </c>
      <c r="AG197">
        <f>IF($AL197="","",INDEX('04_調査結果'!$Z$5:$Z$404,$AL197))</f>
        <v/>
      </c>
      <c r="AH197">
        <f>IF($AL197="","",INDEX('04_調査結果'!$AK$5:$AK$404,$AL197))</f>
        <v/>
      </c>
      <c r="AI197">
        <f>IF($AL197="","",INDEX('04_調査結果'!$AH$5:$AH$404,$AL197)&amp;"")</f>
        <v/>
      </c>
      <c r="AJ197">
        <f>IF($AL197="","",INDEX('04_調査結果'!$AA$5:$AA$404,$AL197)&amp;"")</f>
        <v/>
      </c>
      <c r="AK197">
        <f>IF($AL197="","",INDEX('04_調査結果'!$AC$5:$AC$404,$AL197)&amp;"")</f>
        <v/>
      </c>
      <c r="AL197" s="34">
        <f>IFERROR(MATCH(ROW()-4,'04_調査結果'!$AZ$5:$AZ$404,0),"")</f>
        <v/>
      </c>
    </row>
    <row r="198">
      <c r="A198">
        <f>IF($AL198="","",'01_設定'!$C$36)</f>
        <v/>
      </c>
      <c r="B198">
        <f>IF($AL198="","",'01_設定'!$C$5)</f>
        <v/>
      </c>
      <c r="C198">
        <f>IF($AL198="","",'01_設定'!$C$6)</f>
        <v/>
      </c>
      <c r="D198" s="36">
        <f>IF($AL198="","",'01_設定'!$C$22)</f>
        <v/>
      </c>
      <c r="E198" s="36">
        <f>IF($AL198="","",'01_設定'!$C$23)</f>
        <v/>
      </c>
      <c r="F198">
        <f>IF($AL198="","",'01_設定'!$C$32)</f>
        <v/>
      </c>
      <c r="G198">
        <f>IF($AL198="","",ROW()-4)</f>
        <v/>
      </c>
      <c r="H198">
        <f>IF($AL198="","",INDEX('04_調査結果'!$AO$5:$AO$404,$AL198))</f>
        <v/>
      </c>
      <c r="I198">
        <f>IF($AL198="","",IFERROR(INDEX('M2_区分マスタ'!$I$5:$I$10,INDEX('04_調査結果'!$AP$5:$AP$404,$AL198)),""))</f>
        <v/>
      </c>
      <c r="J198">
        <f>IF($AL198="","",INDEX('04_調査結果'!$BE$5:$BE$404,$AL198)&amp;"")</f>
        <v/>
      </c>
      <c r="K198">
        <f>IF($AL198="","",INDEX('04_調査結果'!$F$5:$F$404,$AL198)&amp;"")</f>
        <v/>
      </c>
      <c r="L198">
        <f>IF($AL198="","",INDEX('04_調査結果'!$G$5:$G$404,$AL198)&amp;"")</f>
        <v/>
      </c>
      <c r="M198">
        <f>IF($AL198="","",INDEX('04_調査結果'!$AQ$5:$AQ$404,$AL198)&amp;"")</f>
        <v/>
      </c>
      <c r="N198">
        <f>IF($AL198="","",IFERROR(INDEX('M1_類型マスタ'!$B$5:$B$19,MATCH(M198,'M1_類型マスタ'!$A$5:$A$19,0)),""))</f>
        <v/>
      </c>
      <c r="O198">
        <f>IF($AL198="","",INDEX('04_調査結果'!$I$5:$I$404,$AL198)&amp;"")</f>
        <v/>
      </c>
      <c r="P198">
        <f>IF($AL198="","",INDEX('04_調査結果'!$J$5:$J$404,$AL198)&amp;"")</f>
        <v/>
      </c>
      <c r="Q198">
        <f>IF($AL198="","",INDEX('04_調査結果'!$K$5:$K$404,$AL198)&amp;"")</f>
        <v/>
      </c>
      <c r="R198">
        <f>IF($AL198="","",INDEX('04_調査結果'!$L$5:$L$404,$AL198)&amp;"")</f>
        <v/>
      </c>
      <c r="S198">
        <f>IF($AL198="","",INDEX('04_調査結果'!$M$5:$M$404,$AL198)&amp;"")</f>
        <v/>
      </c>
      <c r="T198" s="33">
        <f>IF($AL198="","",IF(INDEX('04_調査結果'!$AE$5:$AE$404,$AL198)&lt;&gt;"",INDEX('04_調査結果'!$AE$5:$AE$404,$AL198),INDEX('04_調査結果'!$AS$5:$AS$404,$AL198)))</f>
        <v/>
      </c>
      <c r="U198" s="33">
        <f>IF($AL198="","",IF(INDEX('04_調査結果'!$AF$5:$AF$404,$AL198)&lt;&gt;"",INDEX('04_調査結果'!$AF$5:$AF$404,$AL198),INDEX('04_調査結果'!$AT$5:$AT$404,$AL198)))</f>
        <v/>
      </c>
      <c r="V198" s="33">
        <f>IF($AL198="","",INDEX('04_調査結果'!$AI$5:$AI$404,$AL198))</f>
        <v/>
      </c>
      <c r="W198">
        <f>IF($AL198="","",INDEX('04_調査結果'!$AU$5:$AU$404,$AL198))</f>
        <v/>
      </c>
      <c r="X198" s="37">
        <f>IF($AL198="","",INDEX('04_調査結果'!$AW$5:$AW$404,$AL198))</f>
        <v/>
      </c>
      <c r="Y198" s="37">
        <f>IF($AL198="","",INDEX('04_調査結果'!$AX$5:$AX$404,$AL198))</f>
        <v/>
      </c>
      <c r="Z198">
        <f>IF($AL198="","",INDEX('04_調査結果'!$S$5:$S$404,$AL198)&amp;"")</f>
        <v/>
      </c>
      <c r="AA198">
        <f>IF($AL198="","",INDEX('04_調査結果'!$T$5:$T$404,$AL198))</f>
        <v/>
      </c>
      <c r="AB198">
        <f>IF($AL198="","",INDEX('04_調査結果'!$U$5:$U$404,$AL198))</f>
        <v/>
      </c>
      <c r="AC198">
        <f>IF($AL198="","",INDEX('04_調査結果'!$V$5:$V$404,$AL198))</f>
        <v/>
      </c>
      <c r="AD198">
        <f>IF($AL198="","",INDEX('04_調査結果'!$W$5:$W$404,$AL198))</f>
        <v/>
      </c>
      <c r="AE198">
        <f>IF($AL198="","",INDEX('04_調査結果'!$X$5:$X$404,$AL198))</f>
        <v/>
      </c>
      <c r="AF198">
        <f>IF($AL198="","",INDEX('04_調査結果'!$Y$5:$Y$404,$AL198))</f>
        <v/>
      </c>
      <c r="AG198">
        <f>IF($AL198="","",INDEX('04_調査結果'!$Z$5:$Z$404,$AL198))</f>
        <v/>
      </c>
      <c r="AH198">
        <f>IF($AL198="","",INDEX('04_調査結果'!$AK$5:$AK$404,$AL198))</f>
        <v/>
      </c>
      <c r="AI198">
        <f>IF($AL198="","",INDEX('04_調査結果'!$AH$5:$AH$404,$AL198)&amp;"")</f>
        <v/>
      </c>
      <c r="AJ198">
        <f>IF($AL198="","",INDEX('04_調査結果'!$AA$5:$AA$404,$AL198)&amp;"")</f>
        <v/>
      </c>
      <c r="AK198">
        <f>IF($AL198="","",INDEX('04_調査結果'!$AC$5:$AC$404,$AL198)&amp;"")</f>
        <v/>
      </c>
      <c r="AL198" s="34">
        <f>IFERROR(MATCH(ROW()-4,'04_調査結果'!$AZ$5:$AZ$404,0),"")</f>
        <v/>
      </c>
    </row>
    <row r="199">
      <c r="A199">
        <f>IF($AL199="","",'01_設定'!$C$36)</f>
        <v/>
      </c>
      <c r="B199">
        <f>IF($AL199="","",'01_設定'!$C$5)</f>
        <v/>
      </c>
      <c r="C199">
        <f>IF($AL199="","",'01_設定'!$C$6)</f>
        <v/>
      </c>
      <c r="D199" s="36">
        <f>IF($AL199="","",'01_設定'!$C$22)</f>
        <v/>
      </c>
      <c r="E199" s="36">
        <f>IF($AL199="","",'01_設定'!$C$23)</f>
        <v/>
      </c>
      <c r="F199">
        <f>IF($AL199="","",'01_設定'!$C$32)</f>
        <v/>
      </c>
      <c r="G199">
        <f>IF($AL199="","",ROW()-4)</f>
        <v/>
      </c>
      <c r="H199">
        <f>IF($AL199="","",INDEX('04_調査結果'!$AO$5:$AO$404,$AL199))</f>
        <v/>
      </c>
      <c r="I199">
        <f>IF($AL199="","",IFERROR(INDEX('M2_区分マスタ'!$I$5:$I$10,INDEX('04_調査結果'!$AP$5:$AP$404,$AL199)),""))</f>
        <v/>
      </c>
      <c r="J199">
        <f>IF($AL199="","",INDEX('04_調査結果'!$BE$5:$BE$404,$AL199)&amp;"")</f>
        <v/>
      </c>
      <c r="K199">
        <f>IF($AL199="","",INDEX('04_調査結果'!$F$5:$F$404,$AL199)&amp;"")</f>
        <v/>
      </c>
      <c r="L199">
        <f>IF($AL199="","",INDEX('04_調査結果'!$G$5:$G$404,$AL199)&amp;"")</f>
        <v/>
      </c>
      <c r="M199">
        <f>IF($AL199="","",INDEX('04_調査結果'!$AQ$5:$AQ$404,$AL199)&amp;"")</f>
        <v/>
      </c>
      <c r="N199">
        <f>IF($AL199="","",IFERROR(INDEX('M1_類型マスタ'!$B$5:$B$19,MATCH(M199,'M1_類型マスタ'!$A$5:$A$19,0)),""))</f>
        <v/>
      </c>
      <c r="O199">
        <f>IF($AL199="","",INDEX('04_調査結果'!$I$5:$I$404,$AL199)&amp;"")</f>
        <v/>
      </c>
      <c r="P199">
        <f>IF($AL199="","",INDEX('04_調査結果'!$J$5:$J$404,$AL199)&amp;"")</f>
        <v/>
      </c>
      <c r="Q199">
        <f>IF($AL199="","",INDEX('04_調査結果'!$K$5:$K$404,$AL199)&amp;"")</f>
        <v/>
      </c>
      <c r="R199">
        <f>IF($AL199="","",INDEX('04_調査結果'!$L$5:$L$404,$AL199)&amp;"")</f>
        <v/>
      </c>
      <c r="S199">
        <f>IF($AL199="","",INDEX('04_調査結果'!$M$5:$M$404,$AL199)&amp;"")</f>
        <v/>
      </c>
      <c r="T199" s="33">
        <f>IF($AL199="","",IF(INDEX('04_調査結果'!$AE$5:$AE$404,$AL199)&lt;&gt;"",INDEX('04_調査結果'!$AE$5:$AE$404,$AL199),INDEX('04_調査結果'!$AS$5:$AS$404,$AL199)))</f>
        <v/>
      </c>
      <c r="U199" s="33">
        <f>IF($AL199="","",IF(INDEX('04_調査結果'!$AF$5:$AF$404,$AL199)&lt;&gt;"",INDEX('04_調査結果'!$AF$5:$AF$404,$AL199),INDEX('04_調査結果'!$AT$5:$AT$404,$AL199)))</f>
        <v/>
      </c>
      <c r="V199" s="33">
        <f>IF($AL199="","",INDEX('04_調査結果'!$AI$5:$AI$404,$AL199))</f>
        <v/>
      </c>
      <c r="W199">
        <f>IF($AL199="","",INDEX('04_調査結果'!$AU$5:$AU$404,$AL199))</f>
        <v/>
      </c>
      <c r="X199" s="37">
        <f>IF($AL199="","",INDEX('04_調査結果'!$AW$5:$AW$404,$AL199))</f>
        <v/>
      </c>
      <c r="Y199" s="37">
        <f>IF($AL199="","",INDEX('04_調査結果'!$AX$5:$AX$404,$AL199))</f>
        <v/>
      </c>
      <c r="Z199">
        <f>IF($AL199="","",INDEX('04_調査結果'!$S$5:$S$404,$AL199)&amp;"")</f>
        <v/>
      </c>
      <c r="AA199">
        <f>IF($AL199="","",INDEX('04_調査結果'!$T$5:$T$404,$AL199))</f>
        <v/>
      </c>
      <c r="AB199">
        <f>IF($AL199="","",INDEX('04_調査結果'!$U$5:$U$404,$AL199))</f>
        <v/>
      </c>
      <c r="AC199">
        <f>IF($AL199="","",INDEX('04_調査結果'!$V$5:$V$404,$AL199))</f>
        <v/>
      </c>
      <c r="AD199">
        <f>IF($AL199="","",INDEX('04_調査結果'!$W$5:$W$404,$AL199))</f>
        <v/>
      </c>
      <c r="AE199">
        <f>IF($AL199="","",INDEX('04_調査結果'!$X$5:$X$404,$AL199))</f>
        <v/>
      </c>
      <c r="AF199">
        <f>IF($AL199="","",INDEX('04_調査結果'!$Y$5:$Y$404,$AL199))</f>
        <v/>
      </c>
      <c r="AG199">
        <f>IF($AL199="","",INDEX('04_調査結果'!$Z$5:$Z$404,$AL199))</f>
        <v/>
      </c>
      <c r="AH199">
        <f>IF($AL199="","",INDEX('04_調査結果'!$AK$5:$AK$404,$AL199))</f>
        <v/>
      </c>
      <c r="AI199">
        <f>IF($AL199="","",INDEX('04_調査結果'!$AH$5:$AH$404,$AL199)&amp;"")</f>
        <v/>
      </c>
      <c r="AJ199">
        <f>IF($AL199="","",INDEX('04_調査結果'!$AA$5:$AA$404,$AL199)&amp;"")</f>
        <v/>
      </c>
      <c r="AK199">
        <f>IF($AL199="","",INDEX('04_調査結果'!$AC$5:$AC$404,$AL199)&amp;"")</f>
        <v/>
      </c>
      <c r="AL199" s="34">
        <f>IFERROR(MATCH(ROW()-4,'04_調査結果'!$AZ$5:$AZ$404,0),"")</f>
        <v/>
      </c>
    </row>
    <row r="200">
      <c r="A200">
        <f>IF($AL200="","",'01_設定'!$C$36)</f>
        <v/>
      </c>
      <c r="B200">
        <f>IF($AL200="","",'01_設定'!$C$5)</f>
        <v/>
      </c>
      <c r="C200">
        <f>IF($AL200="","",'01_設定'!$C$6)</f>
        <v/>
      </c>
      <c r="D200" s="36">
        <f>IF($AL200="","",'01_設定'!$C$22)</f>
        <v/>
      </c>
      <c r="E200" s="36">
        <f>IF($AL200="","",'01_設定'!$C$23)</f>
        <v/>
      </c>
      <c r="F200">
        <f>IF($AL200="","",'01_設定'!$C$32)</f>
        <v/>
      </c>
      <c r="G200">
        <f>IF($AL200="","",ROW()-4)</f>
        <v/>
      </c>
      <c r="H200">
        <f>IF($AL200="","",INDEX('04_調査結果'!$AO$5:$AO$404,$AL200))</f>
        <v/>
      </c>
      <c r="I200">
        <f>IF($AL200="","",IFERROR(INDEX('M2_区分マスタ'!$I$5:$I$10,INDEX('04_調査結果'!$AP$5:$AP$404,$AL200)),""))</f>
        <v/>
      </c>
      <c r="J200">
        <f>IF($AL200="","",INDEX('04_調査結果'!$BE$5:$BE$404,$AL200)&amp;"")</f>
        <v/>
      </c>
      <c r="K200">
        <f>IF($AL200="","",INDEX('04_調査結果'!$F$5:$F$404,$AL200)&amp;"")</f>
        <v/>
      </c>
      <c r="L200">
        <f>IF($AL200="","",INDEX('04_調査結果'!$G$5:$G$404,$AL200)&amp;"")</f>
        <v/>
      </c>
      <c r="M200">
        <f>IF($AL200="","",INDEX('04_調査結果'!$AQ$5:$AQ$404,$AL200)&amp;"")</f>
        <v/>
      </c>
      <c r="N200">
        <f>IF($AL200="","",IFERROR(INDEX('M1_類型マスタ'!$B$5:$B$19,MATCH(M200,'M1_類型マスタ'!$A$5:$A$19,0)),""))</f>
        <v/>
      </c>
      <c r="O200">
        <f>IF($AL200="","",INDEX('04_調査結果'!$I$5:$I$404,$AL200)&amp;"")</f>
        <v/>
      </c>
      <c r="P200">
        <f>IF($AL200="","",INDEX('04_調査結果'!$J$5:$J$404,$AL200)&amp;"")</f>
        <v/>
      </c>
      <c r="Q200">
        <f>IF($AL200="","",INDEX('04_調査結果'!$K$5:$K$404,$AL200)&amp;"")</f>
        <v/>
      </c>
      <c r="R200">
        <f>IF($AL200="","",INDEX('04_調査結果'!$L$5:$L$404,$AL200)&amp;"")</f>
        <v/>
      </c>
      <c r="S200">
        <f>IF($AL200="","",INDEX('04_調査結果'!$M$5:$M$404,$AL200)&amp;"")</f>
        <v/>
      </c>
      <c r="T200" s="33">
        <f>IF($AL200="","",IF(INDEX('04_調査結果'!$AE$5:$AE$404,$AL200)&lt;&gt;"",INDEX('04_調査結果'!$AE$5:$AE$404,$AL200),INDEX('04_調査結果'!$AS$5:$AS$404,$AL200)))</f>
        <v/>
      </c>
      <c r="U200" s="33">
        <f>IF($AL200="","",IF(INDEX('04_調査結果'!$AF$5:$AF$404,$AL200)&lt;&gt;"",INDEX('04_調査結果'!$AF$5:$AF$404,$AL200),INDEX('04_調査結果'!$AT$5:$AT$404,$AL200)))</f>
        <v/>
      </c>
      <c r="V200" s="33">
        <f>IF($AL200="","",INDEX('04_調査結果'!$AI$5:$AI$404,$AL200))</f>
        <v/>
      </c>
      <c r="W200">
        <f>IF($AL200="","",INDEX('04_調査結果'!$AU$5:$AU$404,$AL200))</f>
        <v/>
      </c>
      <c r="X200" s="37">
        <f>IF($AL200="","",INDEX('04_調査結果'!$AW$5:$AW$404,$AL200))</f>
        <v/>
      </c>
      <c r="Y200" s="37">
        <f>IF($AL200="","",INDEX('04_調査結果'!$AX$5:$AX$404,$AL200))</f>
        <v/>
      </c>
      <c r="Z200">
        <f>IF($AL200="","",INDEX('04_調査結果'!$S$5:$S$404,$AL200)&amp;"")</f>
        <v/>
      </c>
      <c r="AA200">
        <f>IF($AL200="","",INDEX('04_調査結果'!$T$5:$T$404,$AL200))</f>
        <v/>
      </c>
      <c r="AB200">
        <f>IF($AL200="","",INDEX('04_調査結果'!$U$5:$U$404,$AL200))</f>
        <v/>
      </c>
      <c r="AC200">
        <f>IF($AL200="","",INDEX('04_調査結果'!$V$5:$V$404,$AL200))</f>
        <v/>
      </c>
      <c r="AD200">
        <f>IF($AL200="","",INDEX('04_調査結果'!$W$5:$W$404,$AL200))</f>
        <v/>
      </c>
      <c r="AE200">
        <f>IF($AL200="","",INDEX('04_調査結果'!$X$5:$X$404,$AL200))</f>
        <v/>
      </c>
      <c r="AF200">
        <f>IF($AL200="","",INDEX('04_調査結果'!$Y$5:$Y$404,$AL200))</f>
        <v/>
      </c>
      <c r="AG200">
        <f>IF($AL200="","",INDEX('04_調査結果'!$Z$5:$Z$404,$AL200))</f>
        <v/>
      </c>
      <c r="AH200">
        <f>IF($AL200="","",INDEX('04_調査結果'!$AK$5:$AK$404,$AL200))</f>
        <v/>
      </c>
      <c r="AI200">
        <f>IF($AL200="","",INDEX('04_調査結果'!$AH$5:$AH$404,$AL200)&amp;"")</f>
        <v/>
      </c>
      <c r="AJ200">
        <f>IF($AL200="","",INDEX('04_調査結果'!$AA$5:$AA$404,$AL200)&amp;"")</f>
        <v/>
      </c>
      <c r="AK200">
        <f>IF($AL200="","",INDEX('04_調査結果'!$AC$5:$AC$404,$AL200)&amp;"")</f>
        <v/>
      </c>
      <c r="AL200" s="34">
        <f>IFERROR(MATCH(ROW()-4,'04_調査結果'!$AZ$5:$AZ$404,0),"")</f>
        <v/>
      </c>
    </row>
    <row r="201">
      <c r="A201">
        <f>IF($AL201="","",'01_設定'!$C$36)</f>
        <v/>
      </c>
      <c r="B201">
        <f>IF($AL201="","",'01_設定'!$C$5)</f>
        <v/>
      </c>
      <c r="C201">
        <f>IF($AL201="","",'01_設定'!$C$6)</f>
        <v/>
      </c>
      <c r="D201" s="36">
        <f>IF($AL201="","",'01_設定'!$C$22)</f>
        <v/>
      </c>
      <c r="E201" s="36">
        <f>IF($AL201="","",'01_設定'!$C$23)</f>
        <v/>
      </c>
      <c r="F201">
        <f>IF($AL201="","",'01_設定'!$C$32)</f>
        <v/>
      </c>
      <c r="G201">
        <f>IF($AL201="","",ROW()-4)</f>
        <v/>
      </c>
      <c r="H201">
        <f>IF($AL201="","",INDEX('04_調査結果'!$AO$5:$AO$404,$AL201))</f>
        <v/>
      </c>
      <c r="I201">
        <f>IF($AL201="","",IFERROR(INDEX('M2_区分マスタ'!$I$5:$I$10,INDEX('04_調査結果'!$AP$5:$AP$404,$AL201)),""))</f>
        <v/>
      </c>
      <c r="J201">
        <f>IF($AL201="","",INDEX('04_調査結果'!$BE$5:$BE$404,$AL201)&amp;"")</f>
        <v/>
      </c>
      <c r="K201">
        <f>IF($AL201="","",INDEX('04_調査結果'!$F$5:$F$404,$AL201)&amp;"")</f>
        <v/>
      </c>
      <c r="L201">
        <f>IF($AL201="","",INDEX('04_調査結果'!$G$5:$G$404,$AL201)&amp;"")</f>
        <v/>
      </c>
      <c r="M201">
        <f>IF($AL201="","",INDEX('04_調査結果'!$AQ$5:$AQ$404,$AL201)&amp;"")</f>
        <v/>
      </c>
      <c r="N201">
        <f>IF($AL201="","",IFERROR(INDEX('M1_類型マスタ'!$B$5:$B$19,MATCH(M201,'M1_類型マスタ'!$A$5:$A$19,0)),""))</f>
        <v/>
      </c>
      <c r="O201">
        <f>IF($AL201="","",INDEX('04_調査結果'!$I$5:$I$404,$AL201)&amp;"")</f>
        <v/>
      </c>
      <c r="P201">
        <f>IF($AL201="","",INDEX('04_調査結果'!$J$5:$J$404,$AL201)&amp;"")</f>
        <v/>
      </c>
      <c r="Q201">
        <f>IF($AL201="","",INDEX('04_調査結果'!$K$5:$K$404,$AL201)&amp;"")</f>
        <v/>
      </c>
      <c r="R201">
        <f>IF($AL201="","",INDEX('04_調査結果'!$L$5:$L$404,$AL201)&amp;"")</f>
        <v/>
      </c>
      <c r="S201">
        <f>IF($AL201="","",INDEX('04_調査結果'!$M$5:$M$404,$AL201)&amp;"")</f>
        <v/>
      </c>
      <c r="T201" s="33">
        <f>IF($AL201="","",IF(INDEX('04_調査結果'!$AE$5:$AE$404,$AL201)&lt;&gt;"",INDEX('04_調査結果'!$AE$5:$AE$404,$AL201),INDEX('04_調査結果'!$AS$5:$AS$404,$AL201)))</f>
        <v/>
      </c>
      <c r="U201" s="33">
        <f>IF($AL201="","",IF(INDEX('04_調査結果'!$AF$5:$AF$404,$AL201)&lt;&gt;"",INDEX('04_調査結果'!$AF$5:$AF$404,$AL201),INDEX('04_調査結果'!$AT$5:$AT$404,$AL201)))</f>
        <v/>
      </c>
      <c r="V201" s="33">
        <f>IF($AL201="","",INDEX('04_調査結果'!$AI$5:$AI$404,$AL201))</f>
        <v/>
      </c>
      <c r="W201">
        <f>IF($AL201="","",INDEX('04_調査結果'!$AU$5:$AU$404,$AL201))</f>
        <v/>
      </c>
      <c r="X201" s="37">
        <f>IF($AL201="","",INDEX('04_調査結果'!$AW$5:$AW$404,$AL201))</f>
        <v/>
      </c>
      <c r="Y201" s="37">
        <f>IF($AL201="","",INDEX('04_調査結果'!$AX$5:$AX$404,$AL201))</f>
        <v/>
      </c>
      <c r="Z201">
        <f>IF($AL201="","",INDEX('04_調査結果'!$S$5:$S$404,$AL201)&amp;"")</f>
        <v/>
      </c>
      <c r="AA201">
        <f>IF($AL201="","",INDEX('04_調査結果'!$T$5:$T$404,$AL201))</f>
        <v/>
      </c>
      <c r="AB201">
        <f>IF($AL201="","",INDEX('04_調査結果'!$U$5:$U$404,$AL201))</f>
        <v/>
      </c>
      <c r="AC201">
        <f>IF($AL201="","",INDEX('04_調査結果'!$V$5:$V$404,$AL201))</f>
        <v/>
      </c>
      <c r="AD201">
        <f>IF($AL201="","",INDEX('04_調査結果'!$W$5:$W$404,$AL201))</f>
        <v/>
      </c>
      <c r="AE201">
        <f>IF($AL201="","",INDEX('04_調査結果'!$X$5:$X$404,$AL201))</f>
        <v/>
      </c>
      <c r="AF201">
        <f>IF($AL201="","",INDEX('04_調査結果'!$Y$5:$Y$404,$AL201))</f>
        <v/>
      </c>
      <c r="AG201">
        <f>IF($AL201="","",INDEX('04_調査結果'!$Z$5:$Z$404,$AL201))</f>
        <v/>
      </c>
      <c r="AH201">
        <f>IF($AL201="","",INDEX('04_調査結果'!$AK$5:$AK$404,$AL201))</f>
        <v/>
      </c>
      <c r="AI201">
        <f>IF($AL201="","",INDEX('04_調査結果'!$AH$5:$AH$404,$AL201)&amp;"")</f>
        <v/>
      </c>
      <c r="AJ201">
        <f>IF($AL201="","",INDEX('04_調査結果'!$AA$5:$AA$404,$AL201)&amp;"")</f>
        <v/>
      </c>
      <c r="AK201">
        <f>IF($AL201="","",INDEX('04_調査結果'!$AC$5:$AC$404,$AL201)&amp;"")</f>
        <v/>
      </c>
      <c r="AL201" s="34">
        <f>IFERROR(MATCH(ROW()-4,'04_調査結果'!$AZ$5:$AZ$404,0),"")</f>
        <v/>
      </c>
    </row>
    <row r="202">
      <c r="A202">
        <f>IF($AL202="","",'01_設定'!$C$36)</f>
        <v/>
      </c>
      <c r="B202">
        <f>IF($AL202="","",'01_設定'!$C$5)</f>
        <v/>
      </c>
      <c r="C202">
        <f>IF($AL202="","",'01_設定'!$C$6)</f>
        <v/>
      </c>
      <c r="D202" s="36">
        <f>IF($AL202="","",'01_設定'!$C$22)</f>
        <v/>
      </c>
      <c r="E202" s="36">
        <f>IF($AL202="","",'01_設定'!$C$23)</f>
        <v/>
      </c>
      <c r="F202">
        <f>IF($AL202="","",'01_設定'!$C$32)</f>
        <v/>
      </c>
      <c r="G202">
        <f>IF($AL202="","",ROW()-4)</f>
        <v/>
      </c>
      <c r="H202">
        <f>IF($AL202="","",INDEX('04_調査結果'!$AO$5:$AO$404,$AL202))</f>
        <v/>
      </c>
      <c r="I202">
        <f>IF($AL202="","",IFERROR(INDEX('M2_区分マスタ'!$I$5:$I$10,INDEX('04_調査結果'!$AP$5:$AP$404,$AL202)),""))</f>
        <v/>
      </c>
      <c r="J202">
        <f>IF($AL202="","",INDEX('04_調査結果'!$BE$5:$BE$404,$AL202)&amp;"")</f>
        <v/>
      </c>
      <c r="K202">
        <f>IF($AL202="","",INDEX('04_調査結果'!$F$5:$F$404,$AL202)&amp;"")</f>
        <v/>
      </c>
      <c r="L202">
        <f>IF($AL202="","",INDEX('04_調査結果'!$G$5:$G$404,$AL202)&amp;"")</f>
        <v/>
      </c>
      <c r="M202">
        <f>IF($AL202="","",INDEX('04_調査結果'!$AQ$5:$AQ$404,$AL202)&amp;"")</f>
        <v/>
      </c>
      <c r="N202">
        <f>IF($AL202="","",IFERROR(INDEX('M1_類型マスタ'!$B$5:$B$19,MATCH(M202,'M1_類型マスタ'!$A$5:$A$19,0)),""))</f>
        <v/>
      </c>
      <c r="O202">
        <f>IF($AL202="","",INDEX('04_調査結果'!$I$5:$I$404,$AL202)&amp;"")</f>
        <v/>
      </c>
      <c r="P202">
        <f>IF($AL202="","",INDEX('04_調査結果'!$J$5:$J$404,$AL202)&amp;"")</f>
        <v/>
      </c>
      <c r="Q202">
        <f>IF($AL202="","",INDEX('04_調査結果'!$K$5:$K$404,$AL202)&amp;"")</f>
        <v/>
      </c>
      <c r="R202">
        <f>IF($AL202="","",INDEX('04_調査結果'!$L$5:$L$404,$AL202)&amp;"")</f>
        <v/>
      </c>
      <c r="S202">
        <f>IF($AL202="","",INDEX('04_調査結果'!$M$5:$M$404,$AL202)&amp;"")</f>
        <v/>
      </c>
      <c r="T202" s="33">
        <f>IF($AL202="","",IF(INDEX('04_調査結果'!$AE$5:$AE$404,$AL202)&lt;&gt;"",INDEX('04_調査結果'!$AE$5:$AE$404,$AL202),INDEX('04_調査結果'!$AS$5:$AS$404,$AL202)))</f>
        <v/>
      </c>
      <c r="U202" s="33">
        <f>IF($AL202="","",IF(INDEX('04_調査結果'!$AF$5:$AF$404,$AL202)&lt;&gt;"",INDEX('04_調査結果'!$AF$5:$AF$404,$AL202),INDEX('04_調査結果'!$AT$5:$AT$404,$AL202)))</f>
        <v/>
      </c>
      <c r="V202" s="33">
        <f>IF($AL202="","",INDEX('04_調査結果'!$AI$5:$AI$404,$AL202))</f>
        <v/>
      </c>
      <c r="W202">
        <f>IF($AL202="","",INDEX('04_調査結果'!$AU$5:$AU$404,$AL202))</f>
        <v/>
      </c>
      <c r="X202" s="37">
        <f>IF($AL202="","",INDEX('04_調査結果'!$AW$5:$AW$404,$AL202))</f>
        <v/>
      </c>
      <c r="Y202" s="37">
        <f>IF($AL202="","",INDEX('04_調査結果'!$AX$5:$AX$404,$AL202))</f>
        <v/>
      </c>
      <c r="Z202">
        <f>IF($AL202="","",INDEX('04_調査結果'!$S$5:$S$404,$AL202)&amp;"")</f>
        <v/>
      </c>
      <c r="AA202">
        <f>IF($AL202="","",INDEX('04_調査結果'!$T$5:$T$404,$AL202))</f>
        <v/>
      </c>
      <c r="AB202">
        <f>IF($AL202="","",INDEX('04_調査結果'!$U$5:$U$404,$AL202))</f>
        <v/>
      </c>
      <c r="AC202">
        <f>IF($AL202="","",INDEX('04_調査結果'!$V$5:$V$404,$AL202))</f>
        <v/>
      </c>
      <c r="AD202">
        <f>IF($AL202="","",INDEX('04_調査結果'!$W$5:$W$404,$AL202))</f>
        <v/>
      </c>
      <c r="AE202">
        <f>IF($AL202="","",INDEX('04_調査結果'!$X$5:$X$404,$AL202))</f>
        <v/>
      </c>
      <c r="AF202">
        <f>IF($AL202="","",INDEX('04_調査結果'!$Y$5:$Y$404,$AL202))</f>
        <v/>
      </c>
      <c r="AG202">
        <f>IF($AL202="","",INDEX('04_調査結果'!$Z$5:$Z$404,$AL202))</f>
        <v/>
      </c>
      <c r="AH202">
        <f>IF($AL202="","",INDEX('04_調査結果'!$AK$5:$AK$404,$AL202))</f>
        <v/>
      </c>
      <c r="AI202">
        <f>IF($AL202="","",INDEX('04_調査結果'!$AH$5:$AH$404,$AL202)&amp;"")</f>
        <v/>
      </c>
      <c r="AJ202">
        <f>IF($AL202="","",INDEX('04_調査結果'!$AA$5:$AA$404,$AL202)&amp;"")</f>
        <v/>
      </c>
      <c r="AK202">
        <f>IF($AL202="","",INDEX('04_調査結果'!$AC$5:$AC$404,$AL202)&amp;"")</f>
        <v/>
      </c>
      <c r="AL202" s="34">
        <f>IFERROR(MATCH(ROW()-4,'04_調査結果'!$AZ$5:$AZ$404,0),"")</f>
        <v/>
      </c>
    </row>
    <row r="203">
      <c r="A203">
        <f>IF($AL203="","",'01_設定'!$C$36)</f>
        <v/>
      </c>
      <c r="B203">
        <f>IF($AL203="","",'01_設定'!$C$5)</f>
        <v/>
      </c>
      <c r="C203">
        <f>IF($AL203="","",'01_設定'!$C$6)</f>
        <v/>
      </c>
      <c r="D203" s="36">
        <f>IF($AL203="","",'01_設定'!$C$22)</f>
        <v/>
      </c>
      <c r="E203" s="36">
        <f>IF($AL203="","",'01_設定'!$C$23)</f>
        <v/>
      </c>
      <c r="F203">
        <f>IF($AL203="","",'01_設定'!$C$32)</f>
        <v/>
      </c>
      <c r="G203">
        <f>IF($AL203="","",ROW()-4)</f>
        <v/>
      </c>
      <c r="H203">
        <f>IF($AL203="","",INDEX('04_調査結果'!$AO$5:$AO$404,$AL203))</f>
        <v/>
      </c>
      <c r="I203">
        <f>IF($AL203="","",IFERROR(INDEX('M2_区分マスタ'!$I$5:$I$10,INDEX('04_調査結果'!$AP$5:$AP$404,$AL203)),""))</f>
        <v/>
      </c>
      <c r="J203">
        <f>IF($AL203="","",INDEX('04_調査結果'!$BE$5:$BE$404,$AL203)&amp;"")</f>
        <v/>
      </c>
      <c r="K203">
        <f>IF($AL203="","",INDEX('04_調査結果'!$F$5:$F$404,$AL203)&amp;"")</f>
        <v/>
      </c>
      <c r="L203">
        <f>IF($AL203="","",INDEX('04_調査結果'!$G$5:$G$404,$AL203)&amp;"")</f>
        <v/>
      </c>
      <c r="M203">
        <f>IF($AL203="","",INDEX('04_調査結果'!$AQ$5:$AQ$404,$AL203)&amp;"")</f>
        <v/>
      </c>
      <c r="N203">
        <f>IF($AL203="","",IFERROR(INDEX('M1_類型マスタ'!$B$5:$B$19,MATCH(M203,'M1_類型マスタ'!$A$5:$A$19,0)),""))</f>
        <v/>
      </c>
      <c r="O203">
        <f>IF($AL203="","",INDEX('04_調査結果'!$I$5:$I$404,$AL203)&amp;"")</f>
        <v/>
      </c>
      <c r="P203">
        <f>IF($AL203="","",INDEX('04_調査結果'!$J$5:$J$404,$AL203)&amp;"")</f>
        <v/>
      </c>
      <c r="Q203">
        <f>IF($AL203="","",INDEX('04_調査結果'!$K$5:$K$404,$AL203)&amp;"")</f>
        <v/>
      </c>
      <c r="R203">
        <f>IF($AL203="","",INDEX('04_調査結果'!$L$5:$L$404,$AL203)&amp;"")</f>
        <v/>
      </c>
      <c r="S203">
        <f>IF($AL203="","",INDEX('04_調査結果'!$M$5:$M$404,$AL203)&amp;"")</f>
        <v/>
      </c>
      <c r="T203" s="33">
        <f>IF($AL203="","",IF(INDEX('04_調査結果'!$AE$5:$AE$404,$AL203)&lt;&gt;"",INDEX('04_調査結果'!$AE$5:$AE$404,$AL203),INDEX('04_調査結果'!$AS$5:$AS$404,$AL203)))</f>
        <v/>
      </c>
      <c r="U203" s="33">
        <f>IF($AL203="","",IF(INDEX('04_調査結果'!$AF$5:$AF$404,$AL203)&lt;&gt;"",INDEX('04_調査結果'!$AF$5:$AF$404,$AL203),INDEX('04_調査結果'!$AT$5:$AT$404,$AL203)))</f>
        <v/>
      </c>
      <c r="V203" s="33">
        <f>IF($AL203="","",INDEX('04_調査結果'!$AI$5:$AI$404,$AL203))</f>
        <v/>
      </c>
      <c r="W203">
        <f>IF($AL203="","",INDEX('04_調査結果'!$AU$5:$AU$404,$AL203))</f>
        <v/>
      </c>
      <c r="X203" s="37">
        <f>IF($AL203="","",INDEX('04_調査結果'!$AW$5:$AW$404,$AL203))</f>
        <v/>
      </c>
      <c r="Y203" s="37">
        <f>IF($AL203="","",INDEX('04_調査結果'!$AX$5:$AX$404,$AL203))</f>
        <v/>
      </c>
      <c r="Z203">
        <f>IF($AL203="","",INDEX('04_調査結果'!$S$5:$S$404,$AL203)&amp;"")</f>
        <v/>
      </c>
      <c r="AA203">
        <f>IF($AL203="","",INDEX('04_調査結果'!$T$5:$T$404,$AL203))</f>
        <v/>
      </c>
      <c r="AB203">
        <f>IF($AL203="","",INDEX('04_調査結果'!$U$5:$U$404,$AL203))</f>
        <v/>
      </c>
      <c r="AC203">
        <f>IF($AL203="","",INDEX('04_調査結果'!$V$5:$V$404,$AL203))</f>
        <v/>
      </c>
      <c r="AD203">
        <f>IF($AL203="","",INDEX('04_調査結果'!$W$5:$W$404,$AL203))</f>
        <v/>
      </c>
      <c r="AE203">
        <f>IF($AL203="","",INDEX('04_調査結果'!$X$5:$X$404,$AL203))</f>
        <v/>
      </c>
      <c r="AF203">
        <f>IF($AL203="","",INDEX('04_調査結果'!$Y$5:$Y$404,$AL203))</f>
        <v/>
      </c>
      <c r="AG203">
        <f>IF($AL203="","",INDEX('04_調査結果'!$Z$5:$Z$404,$AL203))</f>
        <v/>
      </c>
      <c r="AH203">
        <f>IF($AL203="","",INDEX('04_調査結果'!$AK$5:$AK$404,$AL203))</f>
        <v/>
      </c>
      <c r="AI203">
        <f>IF($AL203="","",INDEX('04_調査結果'!$AH$5:$AH$404,$AL203)&amp;"")</f>
        <v/>
      </c>
      <c r="AJ203">
        <f>IF($AL203="","",INDEX('04_調査結果'!$AA$5:$AA$404,$AL203)&amp;"")</f>
        <v/>
      </c>
      <c r="AK203">
        <f>IF($AL203="","",INDEX('04_調査結果'!$AC$5:$AC$404,$AL203)&amp;"")</f>
        <v/>
      </c>
      <c r="AL203" s="34">
        <f>IFERROR(MATCH(ROW()-4,'04_調査結果'!$AZ$5:$AZ$404,0),"")</f>
        <v/>
      </c>
    </row>
    <row r="204">
      <c r="A204">
        <f>IF($AL204="","",'01_設定'!$C$36)</f>
        <v/>
      </c>
      <c r="B204">
        <f>IF($AL204="","",'01_設定'!$C$5)</f>
        <v/>
      </c>
      <c r="C204">
        <f>IF($AL204="","",'01_設定'!$C$6)</f>
        <v/>
      </c>
      <c r="D204" s="36">
        <f>IF($AL204="","",'01_設定'!$C$22)</f>
        <v/>
      </c>
      <c r="E204" s="36">
        <f>IF($AL204="","",'01_設定'!$C$23)</f>
        <v/>
      </c>
      <c r="F204">
        <f>IF($AL204="","",'01_設定'!$C$32)</f>
        <v/>
      </c>
      <c r="G204">
        <f>IF($AL204="","",ROW()-4)</f>
        <v/>
      </c>
      <c r="H204">
        <f>IF($AL204="","",INDEX('04_調査結果'!$AO$5:$AO$404,$AL204))</f>
        <v/>
      </c>
      <c r="I204">
        <f>IF($AL204="","",IFERROR(INDEX('M2_区分マスタ'!$I$5:$I$10,INDEX('04_調査結果'!$AP$5:$AP$404,$AL204)),""))</f>
        <v/>
      </c>
      <c r="J204">
        <f>IF($AL204="","",INDEX('04_調査結果'!$BE$5:$BE$404,$AL204)&amp;"")</f>
        <v/>
      </c>
      <c r="K204">
        <f>IF($AL204="","",INDEX('04_調査結果'!$F$5:$F$404,$AL204)&amp;"")</f>
        <v/>
      </c>
      <c r="L204">
        <f>IF($AL204="","",INDEX('04_調査結果'!$G$5:$G$404,$AL204)&amp;"")</f>
        <v/>
      </c>
      <c r="M204">
        <f>IF($AL204="","",INDEX('04_調査結果'!$AQ$5:$AQ$404,$AL204)&amp;"")</f>
        <v/>
      </c>
      <c r="N204">
        <f>IF($AL204="","",IFERROR(INDEX('M1_類型マスタ'!$B$5:$B$19,MATCH(M204,'M1_類型マスタ'!$A$5:$A$19,0)),""))</f>
        <v/>
      </c>
      <c r="O204">
        <f>IF($AL204="","",INDEX('04_調査結果'!$I$5:$I$404,$AL204)&amp;"")</f>
        <v/>
      </c>
      <c r="P204">
        <f>IF($AL204="","",INDEX('04_調査結果'!$J$5:$J$404,$AL204)&amp;"")</f>
        <v/>
      </c>
      <c r="Q204">
        <f>IF($AL204="","",INDEX('04_調査結果'!$K$5:$K$404,$AL204)&amp;"")</f>
        <v/>
      </c>
      <c r="R204">
        <f>IF($AL204="","",INDEX('04_調査結果'!$L$5:$L$404,$AL204)&amp;"")</f>
        <v/>
      </c>
      <c r="S204">
        <f>IF($AL204="","",INDEX('04_調査結果'!$M$5:$M$404,$AL204)&amp;"")</f>
        <v/>
      </c>
      <c r="T204" s="33">
        <f>IF($AL204="","",IF(INDEX('04_調査結果'!$AE$5:$AE$404,$AL204)&lt;&gt;"",INDEX('04_調査結果'!$AE$5:$AE$404,$AL204),INDEX('04_調査結果'!$AS$5:$AS$404,$AL204)))</f>
        <v/>
      </c>
      <c r="U204" s="33">
        <f>IF($AL204="","",IF(INDEX('04_調査結果'!$AF$5:$AF$404,$AL204)&lt;&gt;"",INDEX('04_調査結果'!$AF$5:$AF$404,$AL204),INDEX('04_調査結果'!$AT$5:$AT$404,$AL204)))</f>
        <v/>
      </c>
      <c r="V204" s="33">
        <f>IF($AL204="","",INDEX('04_調査結果'!$AI$5:$AI$404,$AL204))</f>
        <v/>
      </c>
      <c r="W204">
        <f>IF($AL204="","",INDEX('04_調査結果'!$AU$5:$AU$404,$AL204))</f>
        <v/>
      </c>
      <c r="X204" s="37">
        <f>IF($AL204="","",INDEX('04_調査結果'!$AW$5:$AW$404,$AL204))</f>
        <v/>
      </c>
      <c r="Y204" s="37">
        <f>IF($AL204="","",INDEX('04_調査結果'!$AX$5:$AX$404,$AL204))</f>
        <v/>
      </c>
      <c r="Z204">
        <f>IF($AL204="","",INDEX('04_調査結果'!$S$5:$S$404,$AL204)&amp;"")</f>
        <v/>
      </c>
      <c r="AA204">
        <f>IF($AL204="","",INDEX('04_調査結果'!$T$5:$T$404,$AL204))</f>
        <v/>
      </c>
      <c r="AB204">
        <f>IF($AL204="","",INDEX('04_調査結果'!$U$5:$U$404,$AL204))</f>
        <v/>
      </c>
      <c r="AC204">
        <f>IF($AL204="","",INDEX('04_調査結果'!$V$5:$V$404,$AL204))</f>
        <v/>
      </c>
      <c r="AD204">
        <f>IF($AL204="","",INDEX('04_調査結果'!$W$5:$W$404,$AL204))</f>
        <v/>
      </c>
      <c r="AE204">
        <f>IF($AL204="","",INDEX('04_調査結果'!$X$5:$X$404,$AL204))</f>
        <v/>
      </c>
      <c r="AF204">
        <f>IF($AL204="","",INDEX('04_調査結果'!$Y$5:$Y$404,$AL204))</f>
        <v/>
      </c>
      <c r="AG204">
        <f>IF($AL204="","",INDEX('04_調査結果'!$Z$5:$Z$404,$AL204))</f>
        <v/>
      </c>
      <c r="AH204">
        <f>IF($AL204="","",INDEX('04_調査結果'!$AK$5:$AK$404,$AL204))</f>
        <v/>
      </c>
      <c r="AI204">
        <f>IF($AL204="","",INDEX('04_調査結果'!$AH$5:$AH$404,$AL204)&amp;"")</f>
        <v/>
      </c>
      <c r="AJ204">
        <f>IF($AL204="","",INDEX('04_調査結果'!$AA$5:$AA$404,$AL204)&amp;"")</f>
        <v/>
      </c>
      <c r="AK204">
        <f>IF($AL204="","",INDEX('04_調査結果'!$AC$5:$AC$404,$AL204)&amp;"")</f>
        <v/>
      </c>
      <c r="AL204" s="34">
        <f>IFERROR(MATCH(ROW()-4,'04_調査結果'!$AZ$5:$AZ$404,0),"")</f>
        <v/>
      </c>
    </row>
    <row r="205">
      <c r="A205">
        <f>IF($AL205="","",'01_設定'!$C$36)</f>
        <v/>
      </c>
      <c r="B205">
        <f>IF($AL205="","",'01_設定'!$C$5)</f>
        <v/>
      </c>
      <c r="C205">
        <f>IF($AL205="","",'01_設定'!$C$6)</f>
        <v/>
      </c>
      <c r="D205" s="36">
        <f>IF($AL205="","",'01_設定'!$C$22)</f>
        <v/>
      </c>
      <c r="E205" s="36">
        <f>IF($AL205="","",'01_設定'!$C$23)</f>
        <v/>
      </c>
      <c r="F205">
        <f>IF($AL205="","",'01_設定'!$C$32)</f>
        <v/>
      </c>
      <c r="G205">
        <f>IF($AL205="","",ROW()-4)</f>
        <v/>
      </c>
      <c r="H205">
        <f>IF($AL205="","",INDEX('04_調査結果'!$AO$5:$AO$404,$AL205))</f>
        <v/>
      </c>
      <c r="I205">
        <f>IF($AL205="","",IFERROR(INDEX('M2_区分マスタ'!$I$5:$I$10,INDEX('04_調査結果'!$AP$5:$AP$404,$AL205)),""))</f>
        <v/>
      </c>
      <c r="J205">
        <f>IF($AL205="","",INDEX('04_調査結果'!$BE$5:$BE$404,$AL205)&amp;"")</f>
        <v/>
      </c>
      <c r="K205">
        <f>IF($AL205="","",INDEX('04_調査結果'!$F$5:$F$404,$AL205)&amp;"")</f>
        <v/>
      </c>
      <c r="L205">
        <f>IF($AL205="","",INDEX('04_調査結果'!$G$5:$G$404,$AL205)&amp;"")</f>
        <v/>
      </c>
      <c r="M205">
        <f>IF($AL205="","",INDEX('04_調査結果'!$AQ$5:$AQ$404,$AL205)&amp;"")</f>
        <v/>
      </c>
      <c r="N205">
        <f>IF($AL205="","",IFERROR(INDEX('M1_類型マスタ'!$B$5:$B$19,MATCH(M205,'M1_類型マスタ'!$A$5:$A$19,0)),""))</f>
        <v/>
      </c>
      <c r="O205">
        <f>IF($AL205="","",INDEX('04_調査結果'!$I$5:$I$404,$AL205)&amp;"")</f>
        <v/>
      </c>
      <c r="P205">
        <f>IF($AL205="","",INDEX('04_調査結果'!$J$5:$J$404,$AL205)&amp;"")</f>
        <v/>
      </c>
      <c r="Q205">
        <f>IF($AL205="","",INDEX('04_調査結果'!$K$5:$K$404,$AL205)&amp;"")</f>
        <v/>
      </c>
      <c r="R205">
        <f>IF($AL205="","",INDEX('04_調査結果'!$L$5:$L$404,$AL205)&amp;"")</f>
        <v/>
      </c>
      <c r="S205">
        <f>IF($AL205="","",INDEX('04_調査結果'!$M$5:$M$404,$AL205)&amp;"")</f>
        <v/>
      </c>
      <c r="T205" s="33">
        <f>IF($AL205="","",IF(INDEX('04_調査結果'!$AE$5:$AE$404,$AL205)&lt;&gt;"",INDEX('04_調査結果'!$AE$5:$AE$404,$AL205),INDEX('04_調査結果'!$AS$5:$AS$404,$AL205)))</f>
        <v/>
      </c>
      <c r="U205" s="33">
        <f>IF($AL205="","",IF(INDEX('04_調査結果'!$AF$5:$AF$404,$AL205)&lt;&gt;"",INDEX('04_調査結果'!$AF$5:$AF$404,$AL205),INDEX('04_調査結果'!$AT$5:$AT$404,$AL205)))</f>
        <v/>
      </c>
      <c r="V205" s="33">
        <f>IF($AL205="","",INDEX('04_調査結果'!$AI$5:$AI$404,$AL205))</f>
        <v/>
      </c>
      <c r="W205">
        <f>IF($AL205="","",INDEX('04_調査結果'!$AU$5:$AU$404,$AL205))</f>
        <v/>
      </c>
      <c r="X205" s="37">
        <f>IF($AL205="","",INDEX('04_調査結果'!$AW$5:$AW$404,$AL205))</f>
        <v/>
      </c>
      <c r="Y205" s="37">
        <f>IF($AL205="","",INDEX('04_調査結果'!$AX$5:$AX$404,$AL205))</f>
        <v/>
      </c>
      <c r="Z205">
        <f>IF($AL205="","",INDEX('04_調査結果'!$S$5:$S$404,$AL205)&amp;"")</f>
        <v/>
      </c>
      <c r="AA205">
        <f>IF($AL205="","",INDEX('04_調査結果'!$T$5:$T$404,$AL205))</f>
        <v/>
      </c>
      <c r="AB205">
        <f>IF($AL205="","",INDEX('04_調査結果'!$U$5:$U$404,$AL205))</f>
        <v/>
      </c>
      <c r="AC205">
        <f>IF($AL205="","",INDEX('04_調査結果'!$V$5:$V$404,$AL205))</f>
        <v/>
      </c>
      <c r="AD205">
        <f>IF($AL205="","",INDEX('04_調査結果'!$W$5:$W$404,$AL205))</f>
        <v/>
      </c>
      <c r="AE205">
        <f>IF($AL205="","",INDEX('04_調査結果'!$X$5:$X$404,$AL205))</f>
        <v/>
      </c>
      <c r="AF205">
        <f>IF($AL205="","",INDEX('04_調査結果'!$Y$5:$Y$404,$AL205))</f>
        <v/>
      </c>
      <c r="AG205">
        <f>IF($AL205="","",INDEX('04_調査結果'!$Z$5:$Z$404,$AL205))</f>
        <v/>
      </c>
      <c r="AH205">
        <f>IF($AL205="","",INDEX('04_調査結果'!$AK$5:$AK$404,$AL205))</f>
        <v/>
      </c>
      <c r="AI205">
        <f>IF($AL205="","",INDEX('04_調査結果'!$AH$5:$AH$404,$AL205)&amp;"")</f>
        <v/>
      </c>
      <c r="AJ205">
        <f>IF($AL205="","",INDEX('04_調査結果'!$AA$5:$AA$404,$AL205)&amp;"")</f>
        <v/>
      </c>
      <c r="AK205">
        <f>IF($AL205="","",INDEX('04_調査結果'!$AC$5:$AC$404,$AL205)&amp;"")</f>
        <v/>
      </c>
      <c r="AL205" s="34">
        <f>IFERROR(MATCH(ROW()-4,'04_調査結果'!$AZ$5:$AZ$404,0),"")</f>
        <v/>
      </c>
    </row>
    <row r="206">
      <c r="A206">
        <f>IF($AL206="","",'01_設定'!$C$36)</f>
        <v/>
      </c>
      <c r="B206">
        <f>IF($AL206="","",'01_設定'!$C$5)</f>
        <v/>
      </c>
      <c r="C206">
        <f>IF($AL206="","",'01_設定'!$C$6)</f>
        <v/>
      </c>
      <c r="D206" s="36">
        <f>IF($AL206="","",'01_設定'!$C$22)</f>
        <v/>
      </c>
      <c r="E206" s="36">
        <f>IF($AL206="","",'01_設定'!$C$23)</f>
        <v/>
      </c>
      <c r="F206">
        <f>IF($AL206="","",'01_設定'!$C$32)</f>
        <v/>
      </c>
      <c r="G206">
        <f>IF($AL206="","",ROW()-4)</f>
        <v/>
      </c>
      <c r="H206">
        <f>IF($AL206="","",INDEX('04_調査結果'!$AO$5:$AO$404,$AL206))</f>
        <v/>
      </c>
      <c r="I206">
        <f>IF($AL206="","",IFERROR(INDEX('M2_区分マスタ'!$I$5:$I$10,INDEX('04_調査結果'!$AP$5:$AP$404,$AL206)),""))</f>
        <v/>
      </c>
      <c r="J206">
        <f>IF($AL206="","",INDEX('04_調査結果'!$BE$5:$BE$404,$AL206)&amp;"")</f>
        <v/>
      </c>
      <c r="K206">
        <f>IF($AL206="","",INDEX('04_調査結果'!$F$5:$F$404,$AL206)&amp;"")</f>
        <v/>
      </c>
      <c r="L206">
        <f>IF($AL206="","",INDEX('04_調査結果'!$G$5:$G$404,$AL206)&amp;"")</f>
        <v/>
      </c>
      <c r="M206">
        <f>IF($AL206="","",INDEX('04_調査結果'!$AQ$5:$AQ$404,$AL206)&amp;"")</f>
        <v/>
      </c>
      <c r="N206">
        <f>IF($AL206="","",IFERROR(INDEX('M1_類型マスタ'!$B$5:$B$19,MATCH(M206,'M1_類型マスタ'!$A$5:$A$19,0)),""))</f>
        <v/>
      </c>
      <c r="O206">
        <f>IF($AL206="","",INDEX('04_調査結果'!$I$5:$I$404,$AL206)&amp;"")</f>
        <v/>
      </c>
      <c r="P206">
        <f>IF($AL206="","",INDEX('04_調査結果'!$J$5:$J$404,$AL206)&amp;"")</f>
        <v/>
      </c>
      <c r="Q206">
        <f>IF($AL206="","",INDEX('04_調査結果'!$K$5:$K$404,$AL206)&amp;"")</f>
        <v/>
      </c>
      <c r="R206">
        <f>IF($AL206="","",INDEX('04_調査結果'!$L$5:$L$404,$AL206)&amp;"")</f>
        <v/>
      </c>
      <c r="S206">
        <f>IF($AL206="","",INDEX('04_調査結果'!$M$5:$M$404,$AL206)&amp;"")</f>
        <v/>
      </c>
      <c r="T206" s="33">
        <f>IF($AL206="","",IF(INDEX('04_調査結果'!$AE$5:$AE$404,$AL206)&lt;&gt;"",INDEX('04_調査結果'!$AE$5:$AE$404,$AL206),INDEX('04_調査結果'!$AS$5:$AS$404,$AL206)))</f>
        <v/>
      </c>
      <c r="U206" s="33">
        <f>IF($AL206="","",IF(INDEX('04_調査結果'!$AF$5:$AF$404,$AL206)&lt;&gt;"",INDEX('04_調査結果'!$AF$5:$AF$404,$AL206),INDEX('04_調査結果'!$AT$5:$AT$404,$AL206)))</f>
        <v/>
      </c>
      <c r="V206" s="33">
        <f>IF($AL206="","",INDEX('04_調査結果'!$AI$5:$AI$404,$AL206))</f>
        <v/>
      </c>
      <c r="W206">
        <f>IF($AL206="","",INDEX('04_調査結果'!$AU$5:$AU$404,$AL206))</f>
        <v/>
      </c>
      <c r="X206" s="37">
        <f>IF($AL206="","",INDEX('04_調査結果'!$AW$5:$AW$404,$AL206))</f>
        <v/>
      </c>
      <c r="Y206" s="37">
        <f>IF($AL206="","",INDEX('04_調査結果'!$AX$5:$AX$404,$AL206))</f>
        <v/>
      </c>
      <c r="Z206">
        <f>IF($AL206="","",INDEX('04_調査結果'!$S$5:$S$404,$AL206)&amp;"")</f>
        <v/>
      </c>
      <c r="AA206">
        <f>IF($AL206="","",INDEX('04_調査結果'!$T$5:$T$404,$AL206))</f>
        <v/>
      </c>
      <c r="AB206">
        <f>IF($AL206="","",INDEX('04_調査結果'!$U$5:$U$404,$AL206))</f>
        <v/>
      </c>
      <c r="AC206">
        <f>IF($AL206="","",INDEX('04_調査結果'!$V$5:$V$404,$AL206))</f>
        <v/>
      </c>
      <c r="AD206">
        <f>IF($AL206="","",INDEX('04_調査結果'!$W$5:$W$404,$AL206))</f>
        <v/>
      </c>
      <c r="AE206">
        <f>IF($AL206="","",INDEX('04_調査結果'!$X$5:$X$404,$AL206))</f>
        <v/>
      </c>
      <c r="AF206">
        <f>IF($AL206="","",INDEX('04_調査結果'!$Y$5:$Y$404,$AL206))</f>
        <v/>
      </c>
      <c r="AG206">
        <f>IF($AL206="","",INDEX('04_調査結果'!$Z$5:$Z$404,$AL206))</f>
        <v/>
      </c>
      <c r="AH206">
        <f>IF($AL206="","",INDEX('04_調査結果'!$AK$5:$AK$404,$AL206))</f>
        <v/>
      </c>
      <c r="AI206">
        <f>IF($AL206="","",INDEX('04_調査結果'!$AH$5:$AH$404,$AL206)&amp;"")</f>
        <v/>
      </c>
      <c r="AJ206">
        <f>IF($AL206="","",INDEX('04_調査結果'!$AA$5:$AA$404,$AL206)&amp;"")</f>
        <v/>
      </c>
      <c r="AK206">
        <f>IF($AL206="","",INDEX('04_調査結果'!$AC$5:$AC$404,$AL206)&amp;"")</f>
        <v/>
      </c>
      <c r="AL206" s="34">
        <f>IFERROR(MATCH(ROW()-4,'04_調査結果'!$AZ$5:$AZ$404,0),"")</f>
        <v/>
      </c>
    </row>
    <row r="207">
      <c r="A207">
        <f>IF($AL207="","",'01_設定'!$C$36)</f>
        <v/>
      </c>
      <c r="B207">
        <f>IF($AL207="","",'01_設定'!$C$5)</f>
        <v/>
      </c>
      <c r="C207">
        <f>IF($AL207="","",'01_設定'!$C$6)</f>
        <v/>
      </c>
      <c r="D207" s="36">
        <f>IF($AL207="","",'01_設定'!$C$22)</f>
        <v/>
      </c>
      <c r="E207" s="36">
        <f>IF($AL207="","",'01_設定'!$C$23)</f>
        <v/>
      </c>
      <c r="F207">
        <f>IF($AL207="","",'01_設定'!$C$32)</f>
        <v/>
      </c>
      <c r="G207">
        <f>IF($AL207="","",ROW()-4)</f>
        <v/>
      </c>
      <c r="H207">
        <f>IF($AL207="","",INDEX('04_調査結果'!$AO$5:$AO$404,$AL207))</f>
        <v/>
      </c>
      <c r="I207">
        <f>IF($AL207="","",IFERROR(INDEX('M2_区分マスタ'!$I$5:$I$10,INDEX('04_調査結果'!$AP$5:$AP$404,$AL207)),""))</f>
        <v/>
      </c>
      <c r="J207">
        <f>IF($AL207="","",INDEX('04_調査結果'!$BE$5:$BE$404,$AL207)&amp;"")</f>
        <v/>
      </c>
      <c r="K207">
        <f>IF($AL207="","",INDEX('04_調査結果'!$F$5:$F$404,$AL207)&amp;"")</f>
        <v/>
      </c>
      <c r="L207">
        <f>IF($AL207="","",INDEX('04_調査結果'!$G$5:$G$404,$AL207)&amp;"")</f>
        <v/>
      </c>
      <c r="M207">
        <f>IF($AL207="","",INDEX('04_調査結果'!$AQ$5:$AQ$404,$AL207)&amp;"")</f>
        <v/>
      </c>
      <c r="N207">
        <f>IF($AL207="","",IFERROR(INDEX('M1_類型マスタ'!$B$5:$B$19,MATCH(M207,'M1_類型マスタ'!$A$5:$A$19,0)),""))</f>
        <v/>
      </c>
      <c r="O207">
        <f>IF($AL207="","",INDEX('04_調査結果'!$I$5:$I$404,$AL207)&amp;"")</f>
        <v/>
      </c>
      <c r="P207">
        <f>IF($AL207="","",INDEX('04_調査結果'!$J$5:$J$404,$AL207)&amp;"")</f>
        <v/>
      </c>
      <c r="Q207">
        <f>IF($AL207="","",INDEX('04_調査結果'!$K$5:$K$404,$AL207)&amp;"")</f>
        <v/>
      </c>
      <c r="R207">
        <f>IF($AL207="","",INDEX('04_調査結果'!$L$5:$L$404,$AL207)&amp;"")</f>
        <v/>
      </c>
      <c r="S207">
        <f>IF($AL207="","",INDEX('04_調査結果'!$M$5:$M$404,$AL207)&amp;"")</f>
        <v/>
      </c>
      <c r="T207" s="33">
        <f>IF($AL207="","",IF(INDEX('04_調査結果'!$AE$5:$AE$404,$AL207)&lt;&gt;"",INDEX('04_調査結果'!$AE$5:$AE$404,$AL207),INDEX('04_調査結果'!$AS$5:$AS$404,$AL207)))</f>
        <v/>
      </c>
      <c r="U207" s="33">
        <f>IF($AL207="","",IF(INDEX('04_調査結果'!$AF$5:$AF$404,$AL207)&lt;&gt;"",INDEX('04_調査結果'!$AF$5:$AF$404,$AL207),INDEX('04_調査結果'!$AT$5:$AT$404,$AL207)))</f>
        <v/>
      </c>
      <c r="V207" s="33">
        <f>IF($AL207="","",INDEX('04_調査結果'!$AI$5:$AI$404,$AL207))</f>
        <v/>
      </c>
      <c r="W207">
        <f>IF($AL207="","",INDEX('04_調査結果'!$AU$5:$AU$404,$AL207))</f>
        <v/>
      </c>
      <c r="X207" s="37">
        <f>IF($AL207="","",INDEX('04_調査結果'!$AW$5:$AW$404,$AL207))</f>
        <v/>
      </c>
      <c r="Y207" s="37">
        <f>IF($AL207="","",INDEX('04_調査結果'!$AX$5:$AX$404,$AL207))</f>
        <v/>
      </c>
      <c r="Z207">
        <f>IF($AL207="","",INDEX('04_調査結果'!$S$5:$S$404,$AL207)&amp;"")</f>
        <v/>
      </c>
      <c r="AA207">
        <f>IF($AL207="","",INDEX('04_調査結果'!$T$5:$T$404,$AL207))</f>
        <v/>
      </c>
      <c r="AB207">
        <f>IF($AL207="","",INDEX('04_調査結果'!$U$5:$U$404,$AL207))</f>
        <v/>
      </c>
      <c r="AC207">
        <f>IF($AL207="","",INDEX('04_調査結果'!$V$5:$V$404,$AL207))</f>
        <v/>
      </c>
      <c r="AD207">
        <f>IF($AL207="","",INDEX('04_調査結果'!$W$5:$W$404,$AL207))</f>
        <v/>
      </c>
      <c r="AE207">
        <f>IF($AL207="","",INDEX('04_調査結果'!$X$5:$X$404,$AL207))</f>
        <v/>
      </c>
      <c r="AF207">
        <f>IF($AL207="","",INDEX('04_調査結果'!$Y$5:$Y$404,$AL207))</f>
        <v/>
      </c>
      <c r="AG207">
        <f>IF($AL207="","",INDEX('04_調査結果'!$Z$5:$Z$404,$AL207))</f>
        <v/>
      </c>
      <c r="AH207">
        <f>IF($AL207="","",INDEX('04_調査結果'!$AK$5:$AK$404,$AL207))</f>
        <v/>
      </c>
      <c r="AI207">
        <f>IF($AL207="","",INDEX('04_調査結果'!$AH$5:$AH$404,$AL207)&amp;"")</f>
        <v/>
      </c>
      <c r="AJ207">
        <f>IF($AL207="","",INDEX('04_調査結果'!$AA$5:$AA$404,$AL207)&amp;"")</f>
        <v/>
      </c>
      <c r="AK207">
        <f>IF($AL207="","",INDEX('04_調査結果'!$AC$5:$AC$404,$AL207)&amp;"")</f>
        <v/>
      </c>
      <c r="AL207" s="34">
        <f>IFERROR(MATCH(ROW()-4,'04_調査結果'!$AZ$5:$AZ$404,0),"")</f>
        <v/>
      </c>
    </row>
    <row r="208">
      <c r="A208">
        <f>IF($AL208="","",'01_設定'!$C$36)</f>
        <v/>
      </c>
      <c r="B208">
        <f>IF($AL208="","",'01_設定'!$C$5)</f>
        <v/>
      </c>
      <c r="C208">
        <f>IF($AL208="","",'01_設定'!$C$6)</f>
        <v/>
      </c>
      <c r="D208" s="36">
        <f>IF($AL208="","",'01_設定'!$C$22)</f>
        <v/>
      </c>
      <c r="E208" s="36">
        <f>IF($AL208="","",'01_設定'!$C$23)</f>
        <v/>
      </c>
      <c r="F208">
        <f>IF($AL208="","",'01_設定'!$C$32)</f>
        <v/>
      </c>
      <c r="G208">
        <f>IF($AL208="","",ROW()-4)</f>
        <v/>
      </c>
      <c r="H208">
        <f>IF($AL208="","",INDEX('04_調査結果'!$AO$5:$AO$404,$AL208))</f>
        <v/>
      </c>
      <c r="I208">
        <f>IF($AL208="","",IFERROR(INDEX('M2_区分マスタ'!$I$5:$I$10,INDEX('04_調査結果'!$AP$5:$AP$404,$AL208)),""))</f>
        <v/>
      </c>
      <c r="J208">
        <f>IF($AL208="","",INDEX('04_調査結果'!$BE$5:$BE$404,$AL208)&amp;"")</f>
        <v/>
      </c>
      <c r="K208">
        <f>IF($AL208="","",INDEX('04_調査結果'!$F$5:$F$404,$AL208)&amp;"")</f>
        <v/>
      </c>
      <c r="L208">
        <f>IF($AL208="","",INDEX('04_調査結果'!$G$5:$G$404,$AL208)&amp;"")</f>
        <v/>
      </c>
      <c r="M208">
        <f>IF($AL208="","",INDEX('04_調査結果'!$AQ$5:$AQ$404,$AL208)&amp;"")</f>
        <v/>
      </c>
      <c r="N208">
        <f>IF($AL208="","",IFERROR(INDEX('M1_類型マスタ'!$B$5:$B$19,MATCH(M208,'M1_類型マスタ'!$A$5:$A$19,0)),""))</f>
        <v/>
      </c>
      <c r="O208">
        <f>IF($AL208="","",INDEX('04_調査結果'!$I$5:$I$404,$AL208)&amp;"")</f>
        <v/>
      </c>
      <c r="P208">
        <f>IF($AL208="","",INDEX('04_調査結果'!$J$5:$J$404,$AL208)&amp;"")</f>
        <v/>
      </c>
      <c r="Q208">
        <f>IF($AL208="","",INDEX('04_調査結果'!$K$5:$K$404,$AL208)&amp;"")</f>
        <v/>
      </c>
      <c r="R208">
        <f>IF($AL208="","",INDEX('04_調査結果'!$L$5:$L$404,$AL208)&amp;"")</f>
        <v/>
      </c>
      <c r="S208">
        <f>IF($AL208="","",INDEX('04_調査結果'!$M$5:$M$404,$AL208)&amp;"")</f>
        <v/>
      </c>
      <c r="T208" s="33">
        <f>IF($AL208="","",IF(INDEX('04_調査結果'!$AE$5:$AE$404,$AL208)&lt;&gt;"",INDEX('04_調査結果'!$AE$5:$AE$404,$AL208),INDEX('04_調査結果'!$AS$5:$AS$404,$AL208)))</f>
        <v/>
      </c>
      <c r="U208" s="33">
        <f>IF($AL208="","",IF(INDEX('04_調査結果'!$AF$5:$AF$404,$AL208)&lt;&gt;"",INDEX('04_調査結果'!$AF$5:$AF$404,$AL208),INDEX('04_調査結果'!$AT$5:$AT$404,$AL208)))</f>
        <v/>
      </c>
      <c r="V208" s="33">
        <f>IF($AL208="","",INDEX('04_調査結果'!$AI$5:$AI$404,$AL208))</f>
        <v/>
      </c>
      <c r="W208">
        <f>IF($AL208="","",INDEX('04_調査結果'!$AU$5:$AU$404,$AL208))</f>
        <v/>
      </c>
      <c r="X208" s="37">
        <f>IF($AL208="","",INDEX('04_調査結果'!$AW$5:$AW$404,$AL208))</f>
        <v/>
      </c>
      <c r="Y208" s="37">
        <f>IF($AL208="","",INDEX('04_調査結果'!$AX$5:$AX$404,$AL208))</f>
        <v/>
      </c>
      <c r="Z208">
        <f>IF($AL208="","",INDEX('04_調査結果'!$S$5:$S$404,$AL208)&amp;"")</f>
        <v/>
      </c>
      <c r="AA208">
        <f>IF($AL208="","",INDEX('04_調査結果'!$T$5:$T$404,$AL208))</f>
        <v/>
      </c>
      <c r="AB208">
        <f>IF($AL208="","",INDEX('04_調査結果'!$U$5:$U$404,$AL208))</f>
        <v/>
      </c>
      <c r="AC208">
        <f>IF($AL208="","",INDEX('04_調査結果'!$V$5:$V$404,$AL208))</f>
        <v/>
      </c>
      <c r="AD208">
        <f>IF($AL208="","",INDEX('04_調査結果'!$W$5:$W$404,$AL208))</f>
        <v/>
      </c>
      <c r="AE208">
        <f>IF($AL208="","",INDEX('04_調査結果'!$X$5:$X$404,$AL208))</f>
        <v/>
      </c>
      <c r="AF208">
        <f>IF($AL208="","",INDEX('04_調査結果'!$Y$5:$Y$404,$AL208))</f>
        <v/>
      </c>
      <c r="AG208">
        <f>IF($AL208="","",INDEX('04_調査結果'!$Z$5:$Z$404,$AL208))</f>
        <v/>
      </c>
      <c r="AH208">
        <f>IF($AL208="","",INDEX('04_調査結果'!$AK$5:$AK$404,$AL208))</f>
        <v/>
      </c>
      <c r="AI208">
        <f>IF($AL208="","",INDEX('04_調査結果'!$AH$5:$AH$404,$AL208)&amp;"")</f>
        <v/>
      </c>
      <c r="AJ208">
        <f>IF($AL208="","",INDEX('04_調査結果'!$AA$5:$AA$404,$AL208)&amp;"")</f>
        <v/>
      </c>
      <c r="AK208">
        <f>IF($AL208="","",INDEX('04_調査結果'!$AC$5:$AC$404,$AL208)&amp;"")</f>
        <v/>
      </c>
      <c r="AL208" s="34">
        <f>IFERROR(MATCH(ROW()-4,'04_調査結果'!$AZ$5:$AZ$404,0),"")</f>
        <v/>
      </c>
    </row>
    <row r="209">
      <c r="A209">
        <f>IF($AL209="","",'01_設定'!$C$36)</f>
        <v/>
      </c>
      <c r="B209">
        <f>IF($AL209="","",'01_設定'!$C$5)</f>
        <v/>
      </c>
      <c r="C209">
        <f>IF($AL209="","",'01_設定'!$C$6)</f>
        <v/>
      </c>
      <c r="D209" s="36">
        <f>IF($AL209="","",'01_設定'!$C$22)</f>
        <v/>
      </c>
      <c r="E209" s="36">
        <f>IF($AL209="","",'01_設定'!$C$23)</f>
        <v/>
      </c>
      <c r="F209">
        <f>IF($AL209="","",'01_設定'!$C$32)</f>
        <v/>
      </c>
      <c r="G209">
        <f>IF($AL209="","",ROW()-4)</f>
        <v/>
      </c>
      <c r="H209">
        <f>IF($AL209="","",INDEX('04_調査結果'!$AO$5:$AO$404,$AL209))</f>
        <v/>
      </c>
      <c r="I209">
        <f>IF($AL209="","",IFERROR(INDEX('M2_区分マスタ'!$I$5:$I$10,INDEX('04_調査結果'!$AP$5:$AP$404,$AL209)),""))</f>
        <v/>
      </c>
      <c r="J209">
        <f>IF($AL209="","",INDEX('04_調査結果'!$BE$5:$BE$404,$AL209)&amp;"")</f>
        <v/>
      </c>
      <c r="K209">
        <f>IF($AL209="","",INDEX('04_調査結果'!$F$5:$F$404,$AL209)&amp;"")</f>
        <v/>
      </c>
      <c r="L209">
        <f>IF($AL209="","",INDEX('04_調査結果'!$G$5:$G$404,$AL209)&amp;"")</f>
        <v/>
      </c>
      <c r="M209">
        <f>IF($AL209="","",INDEX('04_調査結果'!$AQ$5:$AQ$404,$AL209)&amp;"")</f>
        <v/>
      </c>
      <c r="N209">
        <f>IF($AL209="","",IFERROR(INDEX('M1_類型マスタ'!$B$5:$B$19,MATCH(M209,'M1_類型マスタ'!$A$5:$A$19,0)),""))</f>
        <v/>
      </c>
      <c r="O209">
        <f>IF($AL209="","",INDEX('04_調査結果'!$I$5:$I$404,$AL209)&amp;"")</f>
        <v/>
      </c>
      <c r="P209">
        <f>IF($AL209="","",INDEX('04_調査結果'!$J$5:$J$404,$AL209)&amp;"")</f>
        <v/>
      </c>
      <c r="Q209">
        <f>IF($AL209="","",INDEX('04_調査結果'!$K$5:$K$404,$AL209)&amp;"")</f>
        <v/>
      </c>
      <c r="R209">
        <f>IF($AL209="","",INDEX('04_調査結果'!$L$5:$L$404,$AL209)&amp;"")</f>
        <v/>
      </c>
      <c r="S209">
        <f>IF($AL209="","",INDEX('04_調査結果'!$M$5:$M$404,$AL209)&amp;"")</f>
        <v/>
      </c>
      <c r="T209" s="33">
        <f>IF($AL209="","",IF(INDEX('04_調査結果'!$AE$5:$AE$404,$AL209)&lt;&gt;"",INDEX('04_調査結果'!$AE$5:$AE$404,$AL209),INDEX('04_調査結果'!$AS$5:$AS$404,$AL209)))</f>
        <v/>
      </c>
      <c r="U209" s="33">
        <f>IF($AL209="","",IF(INDEX('04_調査結果'!$AF$5:$AF$404,$AL209)&lt;&gt;"",INDEX('04_調査結果'!$AF$5:$AF$404,$AL209),INDEX('04_調査結果'!$AT$5:$AT$404,$AL209)))</f>
        <v/>
      </c>
      <c r="V209" s="33">
        <f>IF($AL209="","",INDEX('04_調査結果'!$AI$5:$AI$404,$AL209))</f>
        <v/>
      </c>
      <c r="W209">
        <f>IF($AL209="","",INDEX('04_調査結果'!$AU$5:$AU$404,$AL209))</f>
        <v/>
      </c>
      <c r="X209" s="37">
        <f>IF($AL209="","",INDEX('04_調査結果'!$AW$5:$AW$404,$AL209))</f>
        <v/>
      </c>
      <c r="Y209" s="37">
        <f>IF($AL209="","",INDEX('04_調査結果'!$AX$5:$AX$404,$AL209))</f>
        <v/>
      </c>
      <c r="Z209">
        <f>IF($AL209="","",INDEX('04_調査結果'!$S$5:$S$404,$AL209)&amp;"")</f>
        <v/>
      </c>
      <c r="AA209">
        <f>IF($AL209="","",INDEX('04_調査結果'!$T$5:$T$404,$AL209))</f>
        <v/>
      </c>
      <c r="AB209">
        <f>IF($AL209="","",INDEX('04_調査結果'!$U$5:$U$404,$AL209))</f>
        <v/>
      </c>
      <c r="AC209">
        <f>IF($AL209="","",INDEX('04_調査結果'!$V$5:$V$404,$AL209))</f>
        <v/>
      </c>
      <c r="AD209">
        <f>IF($AL209="","",INDEX('04_調査結果'!$W$5:$W$404,$AL209))</f>
        <v/>
      </c>
      <c r="AE209">
        <f>IF($AL209="","",INDEX('04_調査結果'!$X$5:$X$404,$AL209))</f>
        <v/>
      </c>
      <c r="AF209">
        <f>IF($AL209="","",INDEX('04_調査結果'!$Y$5:$Y$404,$AL209))</f>
        <v/>
      </c>
      <c r="AG209">
        <f>IF($AL209="","",INDEX('04_調査結果'!$Z$5:$Z$404,$AL209))</f>
        <v/>
      </c>
      <c r="AH209">
        <f>IF($AL209="","",INDEX('04_調査結果'!$AK$5:$AK$404,$AL209))</f>
        <v/>
      </c>
      <c r="AI209">
        <f>IF($AL209="","",INDEX('04_調査結果'!$AH$5:$AH$404,$AL209)&amp;"")</f>
        <v/>
      </c>
      <c r="AJ209">
        <f>IF($AL209="","",INDEX('04_調査結果'!$AA$5:$AA$404,$AL209)&amp;"")</f>
        <v/>
      </c>
      <c r="AK209">
        <f>IF($AL209="","",INDEX('04_調査結果'!$AC$5:$AC$404,$AL209)&amp;"")</f>
        <v/>
      </c>
      <c r="AL209" s="34">
        <f>IFERROR(MATCH(ROW()-4,'04_調査結果'!$AZ$5:$AZ$404,0),"")</f>
        <v/>
      </c>
    </row>
    <row r="210">
      <c r="A210">
        <f>IF($AL210="","",'01_設定'!$C$36)</f>
        <v/>
      </c>
      <c r="B210">
        <f>IF($AL210="","",'01_設定'!$C$5)</f>
        <v/>
      </c>
      <c r="C210">
        <f>IF($AL210="","",'01_設定'!$C$6)</f>
        <v/>
      </c>
      <c r="D210" s="36">
        <f>IF($AL210="","",'01_設定'!$C$22)</f>
        <v/>
      </c>
      <c r="E210" s="36">
        <f>IF($AL210="","",'01_設定'!$C$23)</f>
        <v/>
      </c>
      <c r="F210">
        <f>IF($AL210="","",'01_設定'!$C$32)</f>
        <v/>
      </c>
      <c r="G210">
        <f>IF($AL210="","",ROW()-4)</f>
        <v/>
      </c>
      <c r="H210">
        <f>IF($AL210="","",INDEX('04_調査結果'!$AO$5:$AO$404,$AL210))</f>
        <v/>
      </c>
      <c r="I210">
        <f>IF($AL210="","",IFERROR(INDEX('M2_区分マスタ'!$I$5:$I$10,INDEX('04_調査結果'!$AP$5:$AP$404,$AL210)),""))</f>
        <v/>
      </c>
      <c r="J210">
        <f>IF($AL210="","",INDEX('04_調査結果'!$BE$5:$BE$404,$AL210)&amp;"")</f>
        <v/>
      </c>
      <c r="K210">
        <f>IF($AL210="","",INDEX('04_調査結果'!$F$5:$F$404,$AL210)&amp;"")</f>
        <v/>
      </c>
      <c r="L210">
        <f>IF($AL210="","",INDEX('04_調査結果'!$G$5:$G$404,$AL210)&amp;"")</f>
        <v/>
      </c>
      <c r="M210">
        <f>IF($AL210="","",INDEX('04_調査結果'!$AQ$5:$AQ$404,$AL210)&amp;"")</f>
        <v/>
      </c>
      <c r="N210">
        <f>IF($AL210="","",IFERROR(INDEX('M1_類型マスタ'!$B$5:$B$19,MATCH(M210,'M1_類型マスタ'!$A$5:$A$19,0)),""))</f>
        <v/>
      </c>
      <c r="O210">
        <f>IF($AL210="","",INDEX('04_調査結果'!$I$5:$I$404,$AL210)&amp;"")</f>
        <v/>
      </c>
      <c r="P210">
        <f>IF($AL210="","",INDEX('04_調査結果'!$J$5:$J$404,$AL210)&amp;"")</f>
        <v/>
      </c>
      <c r="Q210">
        <f>IF($AL210="","",INDEX('04_調査結果'!$K$5:$K$404,$AL210)&amp;"")</f>
        <v/>
      </c>
      <c r="R210">
        <f>IF($AL210="","",INDEX('04_調査結果'!$L$5:$L$404,$AL210)&amp;"")</f>
        <v/>
      </c>
      <c r="S210">
        <f>IF($AL210="","",INDEX('04_調査結果'!$M$5:$M$404,$AL210)&amp;"")</f>
        <v/>
      </c>
      <c r="T210" s="33">
        <f>IF($AL210="","",IF(INDEX('04_調査結果'!$AE$5:$AE$404,$AL210)&lt;&gt;"",INDEX('04_調査結果'!$AE$5:$AE$404,$AL210),INDEX('04_調査結果'!$AS$5:$AS$404,$AL210)))</f>
        <v/>
      </c>
      <c r="U210" s="33">
        <f>IF($AL210="","",IF(INDEX('04_調査結果'!$AF$5:$AF$404,$AL210)&lt;&gt;"",INDEX('04_調査結果'!$AF$5:$AF$404,$AL210),INDEX('04_調査結果'!$AT$5:$AT$404,$AL210)))</f>
        <v/>
      </c>
      <c r="V210" s="33">
        <f>IF($AL210="","",INDEX('04_調査結果'!$AI$5:$AI$404,$AL210))</f>
        <v/>
      </c>
      <c r="W210">
        <f>IF($AL210="","",INDEX('04_調査結果'!$AU$5:$AU$404,$AL210))</f>
        <v/>
      </c>
      <c r="X210" s="37">
        <f>IF($AL210="","",INDEX('04_調査結果'!$AW$5:$AW$404,$AL210))</f>
        <v/>
      </c>
      <c r="Y210" s="37">
        <f>IF($AL210="","",INDEX('04_調査結果'!$AX$5:$AX$404,$AL210))</f>
        <v/>
      </c>
      <c r="Z210">
        <f>IF($AL210="","",INDEX('04_調査結果'!$S$5:$S$404,$AL210)&amp;"")</f>
        <v/>
      </c>
      <c r="AA210">
        <f>IF($AL210="","",INDEX('04_調査結果'!$T$5:$T$404,$AL210))</f>
        <v/>
      </c>
      <c r="AB210">
        <f>IF($AL210="","",INDEX('04_調査結果'!$U$5:$U$404,$AL210))</f>
        <v/>
      </c>
      <c r="AC210">
        <f>IF($AL210="","",INDEX('04_調査結果'!$V$5:$V$404,$AL210))</f>
        <v/>
      </c>
      <c r="AD210">
        <f>IF($AL210="","",INDEX('04_調査結果'!$W$5:$W$404,$AL210))</f>
        <v/>
      </c>
      <c r="AE210">
        <f>IF($AL210="","",INDEX('04_調査結果'!$X$5:$X$404,$AL210))</f>
        <v/>
      </c>
      <c r="AF210">
        <f>IF($AL210="","",INDEX('04_調査結果'!$Y$5:$Y$404,$AL210))</f>
        <v/>
      </c>
      <c r="AG210">
        <f>IF($AL210="","",INDEX('04_調査結果'!$Z$5:$Z$404,$AL210))</f>
        <v/>
      </c>
      <c r="AH210">
        <f>IF($AL210="","",INDEX('04_調査結果'!$AK$5:$AK$404,$AL210))</f>
        <v/>
      </c>
      <c r="AI210">
        <f>IF($AL210="","",INDEX('04_調査結果'!$AH$5:$AH$404,$AL210)&amp;"")</f>
        <v/>
      </c>
      <c r="AJ210">
        <f>IF($AL210="","",INDEX('04_調査結果'!$AA$5:$AA$404,$AL210)&amp;"")</f>
        <v/>
      </c>
      <c r="AK210">
        <f>IF($AL210="","",INDEX('04_調査結果'!$AC$5:$AC$404,$AL210)&amp;"")</f>
        <v/>
      </c>
      <c r="AL210" s="34">
        <f>IFERROR(MATCH(ROW()-4,'04_調査結果'!$AZ$5:$AZ$404,0),"")</f>
        <v/>
      </c>
    </row>
    <row r="211">
      <c r="A211">
        <f>IF($AL211="","",'01_設定'!$C$36)</f>
        <v/>
      </c>
      <c r="B211">
        <f>IF($AL211="","",'01_設定'!$C$5)</f>
        <v/>
      </c>
      <c r="C211">
        <f>IF($AL211="","",'01_設定'!$C$6)</f>
        <v/>
      </c>
      <c r="D211" s="36">
        <f>IF($AL211="","",'01_設定'!$C$22)</f>
        <v/>
      </c>
      <c r="E211" s="36">
        <f>IF($AL211="","",'01_設定'!$C$23)</f>
        <v/>
      </c>
      <c r="F211">
        <f>IF($AL211="","",'01_設定'!$C$32)</f>
        <v/>
      </c>
      <c r="G211">
        <f>IF($AL211="","",ROW()-4)</f>
        <v/>
      </c>
      <c r="H211">
        <f>IF($AL211="","",INDEX('04_調査結果'!$AO$5:$AO$404,$AL211))</f>
        <v/>
      </c>
      <c r="I211">
        <f>IF($AL211="","",IFERROR(INDEX('M2_区分マスタ'!$I$5:$I$10,INDEX('04_調査結果'!$AP$5:$AP$404,$AL211)),""))</f>
        <v/>
      </c>
      <c r="J211">
        <f>IF($AL211="","",INDEX('04_調査結果'!$BE$5:$BE$404,$AL211)&amp;"")</f>
        <v/>
      </c>
      <c r="K211">
        <f>IF($AL211="","",INDEX('04_調査結果'!$F$5:$F$404,$AL211)&amp;"")</f>
        <v/>
      </c>
      <c r="L211">
        <f>IF($AL211="","",INDEX('04_調査結果'!$G$5:$G$404,$AL211)&amp;"")</f>
        <v/>
      </c>
      <c r="M211">
        <f>IF($AL211="","",INDEX('04_調査結果'!$AQ$5:$AQ$404,$AL211)&amp;"")</f>
        <v/>
      </c>
      <c r="N211">
        <f>IF($AL211="","",IFERROR(INDEX('M1_類型マスタ'!$B$5:$B$19,MATCH(M211,'M1_類型マスタ'!$A$5:$A$19,0)),""))</f>
        <v/>
      </c>
      <c r="O211">
        <f>IF($AL211="","",INDEX('04_調査結果'!$I$5:$I$404,$AL211)&amp;"")</f>
        <v/>
      </c>
      <c r="P211">
        <f>IF($AL211="","",INDEX('04_調査結果'!$J$5:$J$404,$AL211)&amp;"")</f>
        <v/>
      </c>
      <c r="Q211">
        <f>IF($AL211="","",INDEX('04_調査結果'!$K$5:$K$404,$AL211)&amp;"")</f>
        <v/>
      </c>
      <c r="R211">
        <f>IF($AL211="","",INDEX('04_調査結果'!$L$5:$L$404,$AL211)&amp;"")</f>
        <v/>
      </c>
      <c r="S211">
        <f>IF($AL211="","",INDEX('04_調査結果'!$M$5:$M$404,$AL211)&amp;"")</f>
        <v/>
      </c>
      <c r="T211" s="33">
        <f>IF($AL211="","",IF(INDEX('04_調査結果'!$AE$5:$AE$404,$AL211)&lt;&gt;"",INDEX('04_調査結果'!$AE$5:$AE$404,$AL211),INDEX('04_調査結果'!$AS$5:$AS$404,$AL211)))</f>
        <v/>
      </c>
      <c r="U211" s="33">
        <f>IF($AL211="","",IF(INDEX('04_調査結果'!$AF$5:$AF$404,$AL211)&lt;&gt;"",INDEX('04_調査結果'!$AF$5:$AF$404,$AL211),INDEX('04_調査結果'!$AT$5:$AT$404,$AL211)))</f>
        <v/>
      </c>
      <c r="V211" s="33">
        <f>IF($AL211="","",INDEX('04_調査結果'!$AI$5:$AI$404,$AL211))</f>
        <v/>
      </c>
      <c r="W211">
        <f>IF($AL211="","",INDEX('04_調査結果'!$AU$5:$AU$404,$AL211))</f>
        <v/>
      </c>
      <c r="X211" s="37">
        <f>IF($AL211="","",INDEX('04_調査結果'!$AW$5:$AW$404,$AL211))</f>
        <v/>
      </c>
      <c r="Y211" s="37">
        <f>IF($AL211="","",INDEX('04_調査結果'!$AX$5:$AX$404,$AL211))</f>
        <v/>
      </c>
      <c r="Z211">
        <f>IF($AL211="","",INDEX('04_調査結果'!$S$5:$S$404,$AL211)&amp;"")</f>
        <v/>
      </c>
      <c r="AA211">
        <f>IF($AL211="","",INDEX('04_調査結果'!$T$5:$T$404,$AL211))</f>
        <v/>
      </c>
      <c r="AB211">
        <f>IF($AL211="","",INDEX('04_調査結果'!$U$5:$U$404,$AL211))</f>
        <v/>
      </c>
      <c r="AC211">
        <f>IF($AL211="","",INDEX('04_調査結果'!$V$5:$V$404,$AL211))</f>
        <v/>
      </c>
      <c r="AD211">
        <f>IF($AL211="","",INDEX('04_調査結果'!$W$5:$W$404,$AL211))</f>
        <v/>
      </c>
      <c r="AE211">
        <f>IF($AL211="","",INDEX('04_調査結果'!$X$5:$X$404,$AL211))</f>
        <v/>
      </c>
      <c r="AF211">
        <f>IF($AL211="","",INDEX('04_調査結果'!$Y$5:$Y$404,$AL211))</f>
        <v/>
      </c>
      <c r="AG211">
        <f>IF($AL211="","",INDEX('04_調査結果'!$Z$5:$Z$404,$AL211))</f>
        <v/>
      </c>
      <c r="AH211">
        <f>IF($AL211="","",INDEX('04_調査結果'!$AK$5:$AK$404,$AL211))</f>
        <v/>
      </c>
      <c r="AI211">
        <f>IF($AL211="","",INDEX('04_調査結果'!$AH$5:$AH$404,$AL211)&amp;"")</f>
        <v/>
      </c>
      <c r="AJ211">
        <f>IF($AL211="","",INDEX('04_調査結果'!$AA$5:$AA$404,$AL211)&amp;"")</f>
        <v/>
      </c>
      <c r="AK211">
        <f>IF($AL211="","",INDEX('04_調査結果'!$AC$5:$AC$404,$AL211)&amp;"")</f>
        <v/>
      </c>
      <c r="AL211" s="34">
        <f>IFERROR(MATCH(ROW()-4,'04_調査結果'!$AZ$5:$AZ$404,0),"")</f>
        <v/>
      </c>
    </row>
    <row r="212">
      <c r="A212">
        <f>IF($AL212="","",'01_設定'!$C$36)</f>
        <v/>
      </c>
      <c r="B212">
        <f>IF($AL212="","",'01_設定'!$C$5)</f>
        <v/>
      </c>
      <c r="C212">
        <f>IF($AL212="","",'01_設定'!$C$6)</f>
        <v/>
      </c>
      <c r="D212" s="36">
        <f>IF($AL212="","",'01_設定'!$C$22)</f>
        <v/>
      </c>
      <c r="E212" s="36">
        <f>IF($AL212="","",'01_設定'!$C$23)</f>
        <v/>
      </c>
      <c r="F212">
        <f>IF($AL212="","",'01_設定'!$C$32)</f>
        <v/>
      </c>
      <c r="G212">
        <f>IF($AL212="","",ROW()-4)</f>
        <v/>
      </c>
      <c r="H212">
        <f>IF($AL212="","",INDEX('04_調査結果'!$AO$5:$AO$404,$AL212))</f>
        <v/>
      </c>
      <c r="I212">
        <f>IF($AL212="","",IFERROR(INDEX('M2_区分マスタ'!$I$5:$I$10,INDEX('04_調査結果'!$AP$5:$AP$404,$AL212)),""))</f>
        <v/>
      </c>
      <c r="J212">
        <f>IF($AL212="","",INDEX('04_調査結果'!$BE$5:$BE$404,$AL212)&amp;"")</f>
        <v/>
      </c>
      <c r="K212">
        <f>IF($AL212="","",INDEX('04_調査結果'!$F$5:$F$404,$AL212)&amp;"")</f>
        <v/>
      </c>
      <c r="L212">
        <f>IF($AL212="","",INDEX('04_調査結果'!$G$5:$G$404,$AL212)&amp;"")</f>
        <v/>
      </c>
      <c r="M212">
        <f>IF($AL212="","",INDEX('04_調査結果'!$AQ$5:$AQ$404,$AL212)&amp;"")</f>
        <v/>
      </c>
      <c r="N212">
        <f>IF($AL212="","",IFERROR(INDEX('M1_類型マスタ'!$B$5:$B$19,MATCH(M212,'M1_類型マスタ'!$A$5:$A$19,0)),""))</f>
        <v/>
      </c>
      <c r="O212">
        <f>IF($AL212="","",INDEX('04_調査結果'!$I$5:$I$404,$AL212)&amp;"")</f>
        <v/>
      </c>
      <c r="P212">
        <f>IF($AL212="","",INDEX('04_調査結果'!$J$5:$J$404,$AL212)&amp;"")</f>
        <v/>
      </c>
      <c r="Q212">
        <f>IF($AL212="","",INDEX('04_調査結果'!$K$5:$K$404,$AL212)&amp;"")</f>
        <v/>
      </c>
      <c r="R212">
        <f>IF($AL212="","",INDEX('04_調査結果'!$L$5:$L$404,$AL212)&amp;"")</f>
        <v/>
      </c>
      <c r="S212">
        <f>IF($AL212="","",INDEX('04_調査結果'!$M$5:$M$404,$AL212)&amp;"")</f>
        <v/>
      </c>
      <c r="T212" s="33">
        <f>IF($AL212="","",IF(INDEX('04_調査結果'!$AE$5:$AE$404,$AL212)&lt;&gt;"",INDEX('04_調査結果'!$AE$5:$AE$404,$AL212),INDEX('04_調査結果'!$AS$5:$AS$404,$AL212)))</f>
        <v/>
      </c>
      <c r="U212" s="33">
        <f>IF($AL212="","",IF(INDEX('04_調査結果'!$AF$5:$AF$404,$AL212)&lt;&gt;"",INDEX('04_調査結果'!$AF$5:$AF$404,$AL212),INDEX('04_調査結果'!$AT$5:$AT$404,$AL212)))</f>
        <v/>
      </c>
      <c r="V212" s="33">
        <f>IF($AL212="","",INDEX('04_調査結果'!$AI$5:$AI$404,$AL212))</f>
        <v/>
      </c>
      <c r="W212">
        <f>IF($AL212="","",INDEX('04_調査結果'!$AU$5:$AU$404,$AL212))</f>
        <v/>
      </c>
      <c r="X212" s="37">
        <f>IF($AL212="","",INDEX('04_調査結果'!$AW$5:$AW$404,$AL212))</f>
        <v/>
      </c>
      <c r="Y212" s="37">
        <f>IF($AL212="","",INDEX('04_調査結果'!$AX$5:$AX$404,$AL212))</f>
        <v/>
      </c>
      <c r="Z212">
        <f>IF($AL212="","",INDEX('04_調査結果'!$S$5:$S$404,$AL212)&amp;"")</f>
        <v/>
      </c>
      <c r="AA212">
        <f>IF($AL212="","",INDEX('04_調査結果'!$T$5:$T$404,$AL212))</f>
        <v/>
      </c>
      <c r="AB212">
        <f>IF($AL212="","",INDEX('04_調査結果'!$U$5:$U$404,$AL212))</f>
        <v/>
      </c>
      <c r="AC212">
        <f>IF($AL212="","",INDEX('04_調査結果'!$V$5:$V$404,$AL212))</f>
        <v/>
      </c>
      <c r="AD212">
        <f>IF($AL212="","",INDEX('04_調査結果'!$W$5:$W$404,$AL212))</f>
        <v/>
      </c>
      <c r="AE212">
        <f>IF($AL212="","",INDEX('04_調査結果'!$X$5:$X$404,$AL212))</f>
        <v/>
      </c>
      <c r="AF212">
        <f>IF($AL212="","",INDEX('04_調査結果'!$Y$5:$Y$404,$AL212))</f>
        <v/>
      </c>
      <c r="AG212">
        <f>IF($AL212="","",INDEX('04_調査結果'!$Z$5:$Z$404,$AL212))</f>
        <v/>
      </c>
      <c r="AH212">
        <f>IF($AL212="","",INDEX('04_調査結果'!$AK$5:$AK$404,$AL212))</f>
        <v/>
      </c>
      <c r="AI212">
        <f>IF($AL212="","",INDEX('04_調査結果'!$AH$5:$AH$404,$AL212)&amp;"")</f>
        <v/>
      </c>
      <c r="AJ212">
        <f>IF($AL212="","",INDEX('04_調査結果'!$AA$5:$AA$404,$AL212)&amp;"")</f>
        <v/>
      </c>
      <c r="AK212">
        <f>IF($AL212="","",INDEX('04_調査結果'!$AC$5:$AC$404,$AL212)&amp;"")</f>
        <v/>
      </c>
      <c r="AL212" s="34">
        <f>IFERROR(MATCH(ROW()-4,'04_調査結果'!$AZ$5:$AZ$404,0),"")</f>
        <v/>
      </c>
    </row>
    <row r="213">
      <c r="A213">
        <f>IF($AL213="","",'01_設定'!$C$36)</f>
        <v/>
      </c>
      <c r="B213">
        <f>IF($AL213="","",'01_設定'!$C$5)</f>
        <v/>
      </c>
      <c r="C213">
        <f>IF($AL213="","",'01_設定'!$C$6)</f>
        <v/>
      </c>
      <c r="D213" s="36">
        <f>IF($AL213="","",'01_設定'!$C$22)</f>
        <v/>
      </c>
      <c r="E213" s="36">
        <f>IF($AL213="","",'01_設定'!$C$23)</f>
        <v/>
      </c>
      <c r="F213">
        <f>IF($AL213="","",'01_設定'!$C$32)</f>
        <v/>
      </c>
      <c r="G213">
        <f>IF($AL213="","",ROW()-4)</f>
        <v/>
      </c>
      <c r="H213">
        <f>IF($AL213="","",INDEX('04_調査結果'!$AO$5:$AO$404,$AL213))</f>
        <v/>
      </c>
      <c r="I213">
        <f>IF($AL213="","",IFERROR(INDEX('M2_区分マスタ'!$I$5:$I$10,INDEX('04_調査結果'!$AP$5:$AP$404,$AL213)),""))</f>
        <v/>
      </c>
      <c r="J213">
        <f>IF($AL213="","",INDEX('04_調査結果'!$BE$5:$BE$404,$AL213)&amp;"")</f>
        <v/>
      </c>
      <c r="K213">
        <f>IF($AL213="","",INDEX('04_調査結果'!$F$5:$F$404,$AL213)&amp;"")</f>
        <v/>
      </c>
      <c r="L213">
        <f>IF($AL213="","",INDEX('04_調査結果'!$G$5:$G$404,$AL213)&amp;"")</f>
        <v/>
      </c>
      <c r="M213">
        <f>IF($AL213="","",INDEX('04_調査結果'!$AQ$5:$AQ$404,$AL213)&amp;"")</f>
        <v/>
      </c>
      <c r="N213">
        <f>IF($AL213="","",IFERROR(INDEX('M1_類型マスタ'!$B$5:$B$19,MATCH(M213,'M1_類型マスタ'!$A$5:$A$19,0)),""))</f>
        <v/>
      </c>
      <c r="O213">
        <f>IF($AL213="","",INDEX('04_調査結果'!$I$5:$I$404,$AL213)&amp;"")</f>
        <v/>
      </c>
      <c r="P213">
        <f>IF($AL213="","",INDEX('04_調査結果'!$J$5:$J$404,$AL213)&amp;"")</f>
        <v/>
      </c>
      <c r="Q213">
        <f>IF($AL213="","",INDEX('04_調査結果'!$K$5:$K$404,$AL213)&amp;"")</f>
        <v/>
      </c>
      <c r="R213">
        <f>IF($AL213="","",INDEX('04_調査結果'!$L$5:$L$404,$AL213)&amp;"")</f>
        <v/>
      </c>
      <c r="S213">
        <f>IF($AL213="","",INDEX('04_調査結果'!$M$5:$M$404,$AL213)&amp;"")</f>
        <v/>
      </c>
      <c r="T213" s="33">
        <f>IF($AL213="","",IF(INDEX('04_調査結果'!$AE$5:$AE$404,$AL213)&lt;&gt;"",INDEX('04_調査結果'!$AE$5:$AE$404,$AL213),INDEX('04_調査結果'!$AS$5:$AS$404,$AL213)))</f>
        <v/>
      </c>
      <c r="U213" s="33">
        <f>IF($AL213="","",IF(INDEX('04_調査結果'!$AF$5:$AF$404,$AL213)&lt;&gt;"",INDEX('04_調査結果'!$AF$5:$AF$404,$AL213),INDEX('04_調査結果'!$AT$5:$AT$404,$AL213)))</f>
        <v/>
      </c>
      <c r="V213" s="33">
        <f>IF($AL213="","",INDEX('04_調査結果'!$AI$5:$AI$404,$AL213))</f>
        <v/>
      </c>
      <c r="W213">
        <f>IF($AL213="","",INDEX('04_調査結果'!$AU$5:$AU$404,$AL213))</f>
        <v/>
      </c>
      <c r="X213" s="37">
        <f>IF($AL213="","",INDEX('04_調査結果'!$AW$5:$AW$404,$AL213))</f>
        <v/>
      </c>
      <c r="Y213" s="37">
        <f>IF($AL213="","",INDEX('04_調査結果'!$AX$5:$AX$404,$AL213))</f>
        <v/>
      </c>
      <c r="Z213">
        <f>IF($AL213="","",INDEX('04_調査結果'!$S$5:$S$404,$AL213)&amp;"")</f>
        <v/>
      </c>
      <c r="AA213">
        <f>IF($AL213="","",INDEX('04_調査結果'!$T$5:$T$404,$AL213))</f>
        <v/>
      </c>
      <c r="AB213">
        <f>IF($AL213="","",INDEX('04_調査結果'!$U$5:$U$404,$AL213))</f>
        <v/>
      </c>
      <c r="AC213">
        <f>IF($AL213="","",INDEX('04_調査結果'!$V$5:$V$404,$AL213))</f>
        <v/>
      </c>
      <c r="AD213">
        <f>IF($AL213="","",INDEX('04_調査結果'!$W$5:$W$404,$AL213))</f>
        <v/>
      </c>
      <c r="AE213">
        <f>IF($AL213="","",INDEX('04_調査結果'!$X$5:$X$404,$AL213))</f>
        <v/>
      </c>
      <c r="AF213">
        <f>IF($AL213="","",INDEX('04_調査結果'!$Y$5:$Y$404,$AL213))</f>
        <v/>
      </c>
      <c r="AG213">
        <f>IF($AL213="","",INDEX('04_調査結果'!$Z$5:$Z$404,$AL213))</f>
        <v/>
      </c>
      <c r="AH213">
        <f>IF($AL213="","",INDEX('04_調査結果'!$AK$5:$AK$404,$AL213))</f>
        <v/>
      </c>
      <c r="AI213">
        <f>IF($AL213="","",INDEX('04_調査結果'!$AH$5:$AH$404,$AL213)&amp;"")</f>
        <v/>
      </c>
      <c r="AJ213">
        <f>IF($AL213="","",INDEX('04_調査結果'!$AA$5:$AA$404,$AL213)&amp;"")</f>
        <v/>
      </c>
      <c r="AK213">
        <f>IF($AL213="","",INDEX('04_調査結果'!$AC$5:$AC$404,$AL213)&amp;"")</f>
        <v/>
      </c>
      <c r="AL213" s="34">
        <f>IFERROR(MATCH(ROW()-4,'04_調査結果'!$AZ$5:$AZ$404,0),"")</f>
        <v/>
      </c>
    </row>
    <row r="214">
      <c r="A214">
        <f>IF($AL214="","",'01_設定'!$C$36)</f>
        <v/>
      </c>
      <c r="B214">
        <f>IF($AL214="","",'01_設定'!$C$5)</f>
        <v/>
      </c>
      <c r="C214">
        <f>IF($AL214="","",'01_設定'!$C$6)</f>
        <v/>
      </c>
      <c r="D214" s="36">
        <f>IF($AL214="","",'01_設定'!$C$22)</f>
        <v/>
      </c>
      <c r="E214" s="36">
        <f>IF($AL214="","",'01_設定'!$C$23)</f>
        <v/>
      </c>
      <c r="F214">
        <f>IF($AL214="","",'01_設定'!$C$32)</f>
        <v/>
      </c>
      <c r="G214">
        <f>IF($AL214="","",ROW()-4)</f>
        <v/>
      </c>
      <c r="H214">
        <f>IF($AL214="","",INDEX('04_調査結果'!$AO$5:$AO$404,$AL214))</f>
        <v/>
      </c>
      <c r="I214">
        <f>IF($AL214="","",IFERROR(INDEX('M2_区分マスタ'!$I$5:$I$10,INDEX('04_調査結果'!$AP$5:$AP$404,$AL214)),""))</f>
        <v/>
      </c>
      <c r="J214">
        <f>IF($AL214="","",INDEX('04_調査結果'!$BE$5:$BE$404,$AL214)&amp;"")</f>
        <v/>
      </c>
      <c r="K214">
        <f>IF($AL214="","",INDEX('04_調査結果'!$F$5:$F$404,$AL214)&amp;"")</f>
        <v/>
      </c>
      <c r="L214">
        <f>IF($AL214="","",INDEX('04_調査結果'!$G$5:$G$404,$AL214)&amp;"")</f>
        <v/>
      </c>
      <c r="M214">
        <f>IF($AL214="","",INDEX('04_調査結果'!$AQ$5:$AQ$404,$AL214)&amp;"")</f>
        <v/>
      </c>
      <c r="N214">
        <f>IF($AL214="","",IFERROR(INDEX('M1_類型マスタ'!$B$5:$B$19,MATCH(M214,'M1_類型マスタ'!$A$5:$A$19,0)),""))</f>
        <v/>
      </c>
      <c r="O214">
        <f>IF($AL214="","",INDEX('04_調査結果'!$I$5:$I$404,$AL214)&amp;"")</f>
        <v/>
      </c>
      <c r="P214">
        <f>IF($AL214="","",INDEX('04_調査結果'!$J$5:$J$404,$AL214)&amp;"")</f>
        <v/>
      </c>
      <c r="Q214">
        <f>IF($AL214="","",INDEX('04_調査結果'!$K$5:$K$404,$AL214)&amp;"")</f>
        <v/>
      </c>
      <c r="R214">
        <f>IF($AL214="","",INDEX('04_調査結果'!$L$5:$L$404,$AL214)&amp;"")</f>
        <v/>
      </c>
      <c r="S214">
        <f>IF($AL214="","",INDEX('04_調査結果'!$M$5:$M$404,$AL214)&amp;"")</f>
        <v/>
      </c>
      <c r="T214" s="33">
        <f>IF($AL214="","",IF(INDEX('04_調査結果'!$AE$5:$AE$404,$AL214)&lt;&gt;"",INDEX('04_調査結果'!$AE$5:$AE$404,$AL214),INDEX('04_調査結果'!$AS$5:$AS$404,$AL214)))</f>
        <v/>
      </c>
      <c r="U214" s="33">
        <f>IF($AL214="","",IF(INDEX('04_調査結果'!$AF$5:$AF$404,$AL214)&lt;&gt;"",INDEX('04_調査結果'!$AF$5:$AF$404,$AL214),INDEX('04_調査結果'!$AT$5:$AT$404,$AL214)))</f>
        <v/>
      </c>
      <c r="V214" s="33">
        <f>IF($AL214="","",INDEX('04_調査結果'!$AI$5:$AI$404,$AL214))</f>
        <v/>
      </c>
      <c r="W214">
        <f>IF($AL214="","",INDEX('04_調査結果'!$AU$5:$AU$404,$AL214))</f>
        <v/>
      </c>
      <c r="X214" s="37">
        <f>IF($AL214="","",INDEX('04_調査結果'!$AW$5:$AW$404,$AL214))</f>
        <v/>
      </c>
      <c r="Y214" s="37">
        <f>IF($AL214="","",INDEX('04_調査結果'!$AX$5:$AX$404,$AL214))</f>
        <v/>
      </c>
      <c r="Z214">
        <f>IF($AL214="","",INDEX('04_調査結果'!$S$5:$S$404,$AL214)&amp;"")</f>
        <v/>
      </c>
      <c r="AA214">
        <f>IF($AL214="","",INDEX('04_調査結果'!$T$5:$T$404,$AL214))</f>
        <v/>
      </c>
      <c r="AB214">
        <f>IF($AL214="","",INDEX('04_調査結果'!$U$5:$U$404,$AL214))</f>
        <v/>
      </c>
      <c r="AC214">
        <f>IF($AL214="","",INDEX('04_調査結果'!$V$5:$V$404,$AL214))</f>
        <v/>
      </c>
      <c r="AD214">
        <f>IF($AL214="","",INDEX('04_調査結果'!$W$5:$W$404,$AL214))</f>
        <v/>
      </c>
      <c r="AE214">
        <f>IF($AL214="","",INDEX('04_調査結果'!$X$5:$X$404,$AL214))</f>
        <v/>
      </c>
      <c r="AF214">
        <f>IF($AL214="","",INDEX('04_調査結果'!$Y$5:$Y$404,$AL214))</f>
        <v/>
      </c>
      <c r="AG214">
        <f>IF($AL214="","",INDEX('04_調査結果'!$Z$5:$Z$404,$AL214))</f>
        <v/>
      </c>
      <c r="AH214">
        <f>IF($AL214="","",INDEX('04_調査結果'!$AK$5:$AK$404,$AL214))</f>
        <v/>
      </c>
      <c r="AI214">
        <f>IF($AL214="","",INDEX('04_調査結果'!$AH$5:$AH$404,$AL214)&amp;"")</f>
        <v/>
      </c>
      <c r="AJ214">
        <f>IF($AL214="","",INDEX('04_調査結果'!$AA$5:$AA$404,$AL214)&amp;"")</f>
        <v/>
      </c>
      <c r="AK214">
        <f>IF($AL214="","",INDEX('04_調査結果'!$AC$5:$AC$404,$AL214)&amp;"")</f>
        <v/>
      </c>
      <c r="AL214" s="34">
        <f>IFERROR(MATCH(ROW()-4,'04_調査結果'!$AZ$5:$AZ$404,0),"")</f>
        <v/>
      </c>
    </row>
    <row r="215">
      <c r="A215">
        <f>IF($AL215="","",'01_設定'!$C$36)</f>
        <v/>
      </c>
      <c r="B215">
        <f>IF($AL215="","",'01_設定'!$C$5)</f>
        <v/>
      </c>
      <c r="C215">
        <f>IF($AL215="","",'01_設定'!$C$6)</f>
        <v/>
      </c>
      <c r="D215" s="36">
        <f>IF($AL215="","",'01_設定'!$C$22)</f>
        <v/>
      </c>
      <c r="E215" s="36">
        <f>IF($AL215="","",'01_設定'!$C$23)</f>
        <v/>
      </c>
      <c r="F215">
        <f>IF($AL215="","",'01_設定'!$C$32)</f>
        <v/>
      </c>
      <c r="G215">
        <f>IF($AL215="","",ROW()-4)</f>
        <v/>
      </c>
      <c r="H215">
        <f>IF($AL215="","",INDEX('04_調査結果'!$AO$5:$AO$404,$AL215))</f>
        <v/>
      </c>
      <c r="I215">
        <f>IF($AL215="","",IFERROR(INDEX('M2_区分マスタ'!$I$5:$I$10,INDEX('04_調査結果'!$AP$5:$AP$404,$AL215)),""))</f>
        <v/>
      </c>
      <c r="J215">
        <f>IF($AL215="","",INDEX('04_調査結果'!$BE$5:$BE$404,$AL215)&amp;"")</f>
        <v/>
      </c>
      <c r="K215">
        <f>IF($AL215="","",INDEX('04_調査結果'!$F$5:$F$404,$AL215)&amp;"")</f>
        <v/>
      </c>
      <c r="L215">
        <f>IF($AL215="","",INDEX('04_調査結果'!$G$5:$G$404,$AL215)&amp;"")</f>
        <v/>
      </c>
      <c r="M215">
        <f>IF($AL215="","",INDEX('04_調査結果'!$AQ$5:$AQ$404,$AL215)&amp;"")</f>
        <v/>
      </c>
      <c r="N215">
        <f>IF($AL215="","",IFERROR(INDEX('M1_類型マスタ'!$B$5:$B$19,MATCH(M215,'M1_類型マスタ'!$A$5:$A$19,0)),""))</f>
        <v/>
      </c>
      <c r="O215">
        <f>IF($AL215="","",INDEX('04_調査結果'!$I$5:$I$404,$AL215)&amp;"")</f>
        <v/>
      </c>
      <c r="P215">
        <f>IF($AL215="","",INDEX('04_調査結果'!$J$5:$J$404,$AL215)&amp;"")</f>
        <v/>
      </c>
      <c r="Q215">
        <f>IF($AL215="","",INDEX('04_調査結果'!$K$5:$K$404,$AL215)&amp;"")</f>
        <v/>
      </c>
      <c r="R215">
        <f>IF($AL215="","",INDEX('04_調査結果'!$L$5:$L$404,$AL215)&amp;"")</f>
        <v/>
      </c>
      <c r="S215">
        <f>IF($AL215="","",INDEX('04_調査結果'!$M$5:$M$404,$AL215)&amp;"")</f>
        <v/>
      </c>
      <c r="T215" s="33">
        <f>IF($AL215="","",IF(INDEX('04_調査結果'!$AE$5:$AE$404,$AL215)&lt;&gt;"",INDEX('04_調査結果'!$AE$5:$AE$404,$AL215),INDEX('04_調査結果'!$AS$5:$AS$404,$AL215)))</f>
        <v/>
      </c>
      <c r="U215" s="33">
        <f>IF($AL215="","",IF(INDEX('04_調査結果'!$AF$5:$AF$404,$AL215)&lt;&gt;"",INDEX('04_調査結果'!$AF$5:$AF$404,$AL215),INDEX('04_調査結果'!$AT$5:$AT$404,$AL215)))</f>
        <v/>
      </c>
      <c r="V215" s="33">
        <f>IF($AL215="","",INDEX('04_調査結果'!$AI$5:$AI$404,$AL215))</f>
        <v/>
      </c>
      <c r="W215">
        <f>IF($AL215="","",INDEX('04_調査結果'!$AU$5:$AU$404,$AL215))</f>
        <v/>
      </c>
      <c r="X215" s="37">
        <f>IF($AL215="","",INDEX('04_調査結果'!$AW$5:$AW$404,$AL215))</f>
        <v/>
      </c>
      <c r="Y215" s="37">
        <f>IF($AL215="","",INDEX('04_調査結果'!$AX$5:$AX$404,$AL215))</f>
        <v/>
      </c>
      <c r="Z215">
        <f>IF($AL215="","",INDEX('04_調査結果'!$S$5:$S$404,$AL215)&amp;"")</f>
        <v/>
      </c>
      <c r="AA215">
        <f>IF($AL215="","",INDEX('04_調査結果'!$T$5:$T$404,$AL215))</f>
        <v/>
      </c>
      <c r="AB215">
        <f>IF($AL215="","",INDEX('04_調査結果'!$U$5:$U$404,$AL215))</f>
        <v/>
      </c>
      <c r="AC215">
        <f>IF($AL215="","",INDEX('04_調査結果'!$V$5:$V$404,$AL215))</f>
        <v/>
      </c>
      <c r="AD215">
        <f>IF($AL215="","",INDEX('04_調査結果'!$W$5:$W$404,$AL215))</f>
        <v/>
      </c>
      <c r="AE215">
        <f>IF($AL215="","",INDEX('04_調査結果'!$X$5:$X$404,$AL215))</f>
        <v/>
      </c>
      <c r="AF215">
        <f>IF($AL215="","",INDEX('04_調査結果'!$Y$5:$Y$404,$AL215))</f>
        <v/>
      </c>
      <c r="AG215">
        <f>IF($AL215="","",INDEX('04_調査結果'!$Z$5:$Z$404,$AL215))</f>
        <v/>
      </c>
      <c r="AH215">
        <f>IF($AL215="","",INDEX('04_調査結果'!$AK$5:$AK$404,$AL215))</f>
        <v/>
      </c>
      <c r="AI215">
        <f>IF($AL215="","",INDEX('04_調査結果'!$AH$5:$AH$404,$AL215)&amp;"")</f>
        <v/>
      </c>
      <c r="AJ215">
        <f>IF($AL215="","",INDEX('04_調査結果'!$AA$5:$AA$404,$AL215)&amp;"")</f>
        <v/>
      </c>
      <c r="AK215">
        <f>IF($AL215="","",INDEX('04_調査結果'!$AC$5:$AC$404,$AL215)&amp;"")</f>
        <v/>
      </c>
      <c r="AL215" s="34">
        <f>IFERROR(MATCH(ROW()-4,'04_調査結果'!$AZ$5:$AZ$404,0),"")</f>
        <v/>
      </c>
    </row>
    <row r="216">
      <c r="A216">
        <f>IF($AL216="","",'01_設定'!$C$36)</f>
        <v/>
      </c>
      <c r="B216">
        <f>IF($AL216="","",'01_設定'!$C$5)</f>
        <v/>
      </c>
      <c r="C216">
        <f>IF($AL216="","",'01_設定'!$C$6)</f>
        <v/>
      </c>
      <c r="D216" s="36">
        <f>IF($AL216="","",'01_設定'!$C$22)</f>
        <v/>
      </c>
      <c r="E216" s="36">
        <f>IF($AL216="","",'01_設定'!$C$23)</f>
        <v/>
      </c>
      <c r="F216">
        <f>IF($AL216="","",'01_設定'!$C$32)</f>
        <v/>
      </c>
      <c r="G216">
        <f>IF($AL216="","",ROW()-4)</f>
        <v/>
      </c>
      <c r="H216">
        <f>IF($AL216="","",INDEX('04_調査結果'!$AO$5:$AO$404,$AL216))</f>
        <v/>
      </c>
      <c r="I216">
        <f>IF($AL216="","",IFERROR(INDEX('M2_区分マスタ'!$I$5:$I$10,INDEX('04_調査結果'!$AP$5:$AP$404,$AL216)),""))</f>
        <v/>
      </c>
      <c r="J216">
        <f>IF($AL216="","",INDEX('04_調査結果'!$BE$5:$BE$404,$AL216)&amp;"")</f>
        <v/>
      </c>
      <c r="K216">
        <f>IF($AL216="","",INDEX('04_調査結果'!$F$5:$F$404,$AL216)&amp;"")</f>
        <v/>
      </c>
      <c r="L216">
        <f>IF($AL216="","",INDEX('04_調査結果'!$G$5:$G$404,$AL216)&amp;"")</f>
        <v/>
      </c>
      <c r="M216">
        <f>IF($AL216="","",INDEX('04_調査結果'!$AQ$5:$AQ$404,$AL216)&amp;"")</f>
        <v/>
      </c>
      <c r="N216">
        <f>IF($AL216="","",IFERROR(INDEX('M1_類型マスタ'!$B$5:$B$19,MATCH(M216,'M1_類型マスタ'!$A$5:$A$19,0)),""))</f>
        <v/>
      </c>
      <c r="O216">
        <f>IF($AL216="","",INDEX('04_調査結果'!$I$5:$I$404,$AL216)&amp;"")</f>
        <v/>
      </c>
      <c r="P216">
        <f>IF($AL216="","",INDEX('04_調査結果'!$J$5:$J$404,$AL216)&amp;"")</f>
        <v/>
      </c>
      <c r="Q216">
        <f>IF($AL216="","",INDEX('04_調査結果'!$K$5:$K$404,$AL216)&amp;"")</f>
        <v/>
      </c>
      <c r="R216">
        <f>IF($AL216="","",INDEX('04_調査結果'!$L$5:$L$404,$AL216)&amp;"")</f>
        <v/>
      </c>
      <c r="S216">
        <f>IF($AL216="","",INDEX('04_調査結果'!$M$5:$M$404,$AL216)&amp;"")</f>
        <v/>
      </c>
      <c r="T216" s="33">
        <f>IF($AL216="","",IF(INDEX('04_調査結果'!$AE$5:$AE$404,$AL216)&lt;&gt;"",INDEX('04_調査結果'!$AE$5:$AE$404,$AL216),INDEX('04_調査結果'!$AS$5:$AS$404,$AL216)))</f>
        <v/>
      </c>
      <c r="U216" s="33">
        <f>IF($AL216="","",IF(INDEX('04_調査結果'!$AF$5:$AF$404,$AL216)&lt;&gt;"",INDEX('04_調査結果'!$AF$5:$AF$404,$AL216),INDEX('04_調査結果'!$AT$5:$AT$404,$AL216)))</f>
        <v/>
      </c>
      <c r="V216" s="33">
        <f>IF($AL216="","",INDEX('04_調査結果'!$AI$5:$AI$404,$AL216))</f>
        <v/>
      </c>
      <c r="W216">
        <f>IF($AL216="","",INDEX('04_調査結果'!$AU$5:$AU$404,$AL216))</f>
        <v/>
      </c>
      <c r="X216" s="37">
        <f>IF($AL216="","",INDEX('04_調査結果'!$AW$5:$AW$404,$AL216))</f>
        <v/>
      </c>
      <c r="Y216" s="37">
        <f>IF($AL216="","",INDEX('04_調査結果'!$AX$5:$AX$404,$AL216))</f>
        <v/>
      </c>
      <c r="Z216">
        <f>IF($AL216="","",INDEX('04_調査結果'!$S$5:$S$404,$AL216)&amp;"")</f>
        <v/>
      </c>
      <c r="AA216">
        <f>IF($AL216="","",INDEX('04_調査結果'!$T$5:$T$404,$AL216))</f>
        <v/>
      </c>
      <c r="AB216">
        <f>IF($AL216="","",INDEX('04_調査結果'!$U$5:$U$404,$AL216))</f>
        <v/>
      </c>
      <c r="AC216">
        <f>IF($AL216="","",INDEX('04_調査結果'!$V$5:$V$404,$AL216))</f>
        <v/>
      </c>
      <c r="AD216">
        <f>IF($AL216="","",INDEX('04_調査結果'!$W$5:$W$404,$AL216))</f>
        <v/>
      </c>
      <c r="AE216">
        <f>IF($AL216="","",INDEX('04_調査結果'!$X$5:$X$404,$AL216))</f>
        <v/>
      </c>
      <c r="AF216">
        <f>IF($AL216="","",INDEX('04_調査結果'!$Y$5:$Y$404,$AL216))</f>
        <v/>
      </c>
      <c r="AG216">
        <f>IF($AL216="","",INDEX('04_調査結果'!$Z$5:$Z$404,$AL216))</f>
        <v/>
      </c>
      <c r="AH216">
        <f>IF($AL216="","",INDEX('04_調査結果'!$AK$5:$AK$404,$AL216))</f>
        <v/>
      </c>
      <c r="AI216">
        <f>IF($AL216="","",INDEX('04_調査結果'!$AH$5:$AH$404,$AL216)&amp;"")</f>
        <v/>
      </c>
      <c r="AJ216">
        <f>IF($AL216="","",INDEX('04_調査結果'!$AA$5:$AA$404,$AL216)&amp;"")</f>
        <v/>
      </c>
      <c r="AK216">
        <f>IF($AL216="","",INDEX('04_調査結果'!$AC$5:$AC$404,$AL216)&amp;"")</f>
        <v/>
      </c>
      <c r="AL216" s="34">
        <f>IFERROR(MATCH(ROW()-4,'04_調査結果'!$AZ$5:$AZ$404,0),"")</f>
        <v/>
      </c>
    </row>
    <row r="217">
      <c r="A217">
        <f>IF($AL217="","",'01_設定'!$C$36)</f>
        <v/>
      </c>
      <c r="B217">
        <f>IF($AL217="","",'01_設定'!$C$5)</f>
        <v/>
      </c>
      <c r="C217">
        <f>IF($AL217="","",'01_設定'!$C$6)</f>
        <v/>
      </c>
      <c r="D217" s="36">
        <f>IF($AL217="","",'01_設定'!$C$22)</f>
        <v/>
      </c>
      <c r="E217" s="36">
        <f>IF($AL217="","",'01_設定'!$C$23)</f>
        <v/>
      </c>
      <c r="F217">
        <f>IF($AL217="","",'01_設定'!$C$32)</f>
        <v/>
      </c>
      <c r="G217">
        <f>IF($AL217="","",ROW()-4)</f>
        <v/>
      </c>
      <c r="H217">
        <f>IF($AL217="","",INDEX('04_調査結果'!$AO$5:$AO$404,$AL217))</f>
        <v/>
      </c>
      <c r="I217">
        <f>IF($AL217="","",IFERROR(INDEX('M2_区分マスタ'!$I$5:$I$10,INDEX('04_調査結果'!$AP$5:$AP$404,$AL217)),""))</f>
        <v/>
      </c>
      <c r="J217">
        <f>IF($AL217="","",INDEX('04_調査結果'!$BE$5:$BE$404,$AL217)&amp;"")</f>
        <v/>
      </c>
      <c r="K217">
        <f>IF($AL217="","",INDEX('04_調査結果'!$F$5:$F$404,$AL217)&amp;"")</f>
        <v/>
      </c>
      <c r="L217">
        <f>IF($AL217="","",INDEX('04_調査結果'!$G$5:$G$404,$AL217)&amp;"")</f>
        <v/>
      </c>
      <c r="M217">
        <f>IF($AL217="","",INDEX('04_調査結果'!$AQ$5:$AQ$404,$AL217)&amp;"")</f>
        <v/>
      </c>
      <c r="N217">
        <f>IF($AL217="","",IFERROR(INDEX('M1_類型マスタ'!$B$5:$B$19,MATCH(M217,'M1_類型マスタ'!$A$5:$A$19,0)),""))</f>
        <v/>
      </c>
      <c r="O217">
        <f>IF($AL217="","",INDEX('04_調査結果'!$I$5:$I$404,$AL217)&amp;"")</f>
        <v/>
      </c>
      <c r="P217">
        <f>IF($AL217="","",INDEX('04_調査結果'!$J$5:$J$404,$AL217)&amp;"")</f>
        <v/>
      </c>
      <c r="Q217">
        <f>IF($AL217="","",INDEX('04_調査結果'!$K$5:$K$404,$AL217)&amp;"")</f>
        <v/>
      </c>
      <c r="R217">
        <f>IF($AL217="","",INDEX('04_調査結果'!$L$5:$L$404,$AL217)&amp;"")</f>
        <v/>
      </c>
      <c r="S217">
        <f>IF($AL217="","",INDEX('04_調査結果'!$M$5:$M$404,$AL217)&amp;"")</f>
        <v/>
      </c>
      <c r="T217" s="33">
        <f>IF($AL217="","",IF(INDEX('04_調査結果'!$AE$5:$AE$404,$AL217)&lt;&gt;"",INDEX('04_調査結果'!$AE$5:$AE$404,$AL217),INDEX('04_調査結果'!$AS$5:$AS$404,$AL217)))</f>
        <v/>
      </c>
      <c r="U217" s="33">
        <f>IF($AL217="","",IF(INDEX('04_調査結果'!$AF$5:$AF$404,$AL217)&lt;&gt;"",INDEX('04_調査結果'!$AF$5:$AF$404,$AL217),INDEX('04_調査結果'!$AT$5:$AT$404,$AL217)))</f>
        <v/>
      </c>
      <c r="V217" s="33">
        <f>IF($AL217="","",INDEX('04_調査結果'!$AI$5:$AI$404,$AL217))</f>
        <v/>
      </c>
      <c r="W217">
        <f>IF($AL217="","",INDEX('04_調査結果'!$AU$5:$AU$404,$AL217))</f>
        <v/>
      </c>
      <c r="X217" s="37">
        <f>IF($AL217="","",INDEX('04_調査結果'!$AW$5:$AW$404,$AL217))</f>
        <v/>
      </c>
      <c r="Y217" s="37">
        <f>IF($AL217="","",INDEX('04_調査結果'!$AX$5:$AX$404,$AL217))</f>
        <v/>
      </c>
      <c r="Z217">
        <f>IF($AL217="","",INDEX('04_調査結果'!$S$5:$S$404,$AL217)&amp;"")</f>
        <v/>
      </c>
      <c r="AA217">
        <f>IF($AL217="","",INDEX('04_調査結果'!$T$5:$T$404,$AL217))</f>
        <v/>
      </c>
      <c r="AB217">
        <f>IF($AL217="","",INDEX('04_調査結果'!$U$5:$U$404,$AL217))</f>
        <v/>
      </c>
      <c r="AC217">
        <f>IF($AL217="","",INDEX('04_調査結果'!$V$5:$V$404,$AL217))</f>
        <v/>
      </c>
      <c r="AD217">
        <f>IF($AL217="","",INDEX('04_調査結果'!$W$5:$W$404,$AL217))</f>
        <v/>
      </c>
      <c r="AE217">
        <f>IF($AL217="","",INDEX('04_調査結果'!$X$5:$X$404,$AL217))</f>
        <v/>
      </c>
      <c r="AF217">
        <f>IF($AL217="","",INDEX('04_調査結果'!$Y$5:$Y$404,$AL217))</f>
        <v/>
      </c>
      <c r="AG217">
        <f>IF($AL217="","",INDEX('04_調査結果'!$Z$5:$Z$404,$AL217))</f>
        <v/>
      </c>
      <c r="AH217">
        <f>IF($AL217="","",INDEX('04_調査結果'!$AK$5:$AK$404,$AL217))</f>
        <v/>
      </c>
      <c r="AI217">
        <f>IF($AL217="","",INDEX('04_調査結果'!$AH$5:$AH$404,$AL217)&amp;"")</f>
        <v/>
      </c>
      <c r="AJ217">
        <f>IF($AL217="","",INDEX('04_調査結果'!$AA$5:$AA$404,$AL217)&amp;"")</f>
        <v/>
      </c>
      <c r="AK217">
        <f>IF($AL217="","",INDEX('04_調査結果'!$AC$5:$AC$404,$AL217)&amp;"")</f>
        <v/>
      </c>
      <c r="AL217" s="34">
        <f>IFERROR(MATCH(ROW()-4,'04_調査結果'!$AZ$5:$AZ$404,0),"")</f>
        <v/>
      </c>
    </row>
    <row r="218">
      <c r="A218">
        <f>IF($AL218="","",'01_設定'!$C$36)</f>
        <v/>
      </c>
      <c r="B218">
        <f>IF($AL218="","",'01_設定'!$C$5)</f>
        <v/>
      </c>
      <c r="C218">
        <f>IF($AL218="","",'01_設定'!$C$6)</f>
        <v/>
      </c>
      <c r="D218" s="36">
        <f>IF($AL218="","",'01_設定'!$C$22)</f>
        <v/>
      </c>
      <c r="E218" s="36">
        <f>IF($AL218="","",'01_設定'!$C$23)</f>
        <v/>
      </c>
      <c r="F218">
        <f>IF($AL218="","",'01_設定'!$C$32)</f>
        <v/>
      </c>
      <c r="G218">
        <f>IF($AL218="","",ROW()-4)</f>
        <v/>
      </c>
      <c r="H218">
        <f>IF($AL218="","",INDEX('04_調査結果'!$AO$5:$AO$404,$AL218))</f>
        <v/>
      </c>
      <c r="I218">
        <f>IF($AL218="","",IFERROR(INDEX('M2_区分マスタ'!$I$5:$I$10,INDEX('04_調査結果'!$AP$5:$AP$404,$AL218)),""))</f>
        <v/>
      </c>
      <c r="J218">
        <f>IF($AL218="","",INDEX('04_調査結果'!$BE$5:$BE$404,$AL218)&amp;"")</f>
        <v/>
      </c>
      <c r="K218">
        <f>IF($AL218="","",INDEX('04_調査結果'!$F$5:$F$404,$AL218)&amp;"")</f>
        <v/>
      </c>
      <c r="L218">
        <f>IF($AL218="","",INDEX('04_調査結果'!$G$5:$G$404,$AL218)&amp;"")</f>
        <v/>
      </c>
      <c r="M218">
        <f>IF($AL218="","",INDEX('04_調査結果'!$AQ$5:$AQ$404,$AL218)&amp;"")</f>
        <v/>
      </c>
      <c r="N218">
        <f>IF($AL218="","",IFERROR(INDEX('M1_類型マスタ'!$B$5:$B$19,MATCH(M218,'M1_類型マスタ'!$A$5:$A$19,0)),""))</f>
        <v/>
      </c>
      <c r="O218">
        <f>IF($AL218="","",INDEX('04_調査結果'!$I$5:$I$404,$AL218)&amp;"")</f>
        <v/>
      </c>
      <c r="P218">
        <f>IF($AL218="","",INDEX('04_調査結果'!$J$5:$J$404,$AL218)&amp;"")</f>
        <v/>
      </c>
      <c r="Q218">
        <f>IF($AL218="","",INDEX('04_調査結果'!$K$5:$K$404,$AL218)&amp;"")</f>
        <v/>
      </c>
      <c r="R218">
        <f>IF($AL218="","",INDEX('04_調査結果'!$L$5:$L$404,$AL218)&amp;"")</f>
        <v/>
      </c>
      <c r="S218">
        <f>IF($AL218="","",INDEX('04_調査結果'!$M$5:$M$404,$AL218)&amp;"")</f>
        <v/>
      </c>
      <c r="T218" s="33">
        <f>IF($AL218="","",IF(INDEX('04_調査結果'!$AE$5:$AE$404,$AL218)&lt;&gt;"",INDEX('04_調査結果'!$AE$5:$AE$404,$AL218),INDEX('04_調査結果'!$AS$5:$AS$404,$AL218)))</f>
        <v/>
      </c>
      <c r="U218" s="33">
        <f>IF($AL218="","",IF(INDEX('04_調査結果'!$AF$5:$AF$404,$AL218)&lt;&gt;"",INDEX('04_調査結果'!$AF$5:$AF$404,$AL218),INDEX('04_調査結果'!$AT$5:$AT$404,$AL218)))</f>
        <v/>
      </c>
      <c r="V218" s="33">
        <f>IF($AL218="","",INDEX('04_調査結果'!$AI$5:$AI$404,$AL218))</f>
        <v/>
      </c>
      <c r="W218">
        <f>IF($AL218="","",INDEX('04_調査結果'!$AU$5:$AU$404,$AL218))</f>
        <v/>
      </c>
      <c r="X218" s="37">
        <f>IF($AL218="","",INDEX('04_調査結果'!$AW$5:$AW$404,$AL218))</f>
        <v/>
      </c>
      <c r="Y218" s="37">
        <f>IF($AL218="","",INDEX('04_調査結果'!$AX$5:$AX$404,$AL218))</f>
        <v/>
      </c>
      <c r="Z218">
        <f>IF($AL218="","",INDEX('04_調査結果'!$S$5:$S$404,$AL218)&amp;"")</f>
        <v/>
      </c>
      <c r="AA218">
        <f>IF($AL218="","",INDEX('04_調査結果'!$T$5:$T$404,$AL218))</f>
        <v/>
      </c>
      <c r="AB218">
        <f>IF($AL218="","",INDEX('04_調査結果'!$U$5:$U$404,$AL218))</f>
        <v/>
      </c>
      <c r="AC218">
        <f>IF($AL218="","",INDEX('04_調査結果'!$V$5:$V$404,$AL218))</f>
        <v/>
      </c>
      <c r="AD218">
        <f>IF($AL218="","",INDEX('04_調査結果'!$W$5:$W$404,$AL218))</f>
        <v/>
      </c>
      <c r="AE218">
        <f>IF($AL218="","",INDEX('04_調査結果'!$X$5:$X$404,$AL218))</f>
        <v/>
      </c>
      <c r="AF218">
        <f>IF($AL218="","",INDEX('04_調査結果'!$Y$5:$Y$404,$AL218))</f>
        <v/>
      </c>
      <c r="AG218">
        <f>IF($AL218="","",INDEX('04_調査結果'!$Z$5:$Z$404,$AL218))</f>
        <v/>
      </c>
      <c r="AH218">
        <f>IF($AL218="","",INDEX('04_調査結果'!$AK$5:$AK$404,$AL218))</f>
        <v/>
      </c>
      <c r="AI218">
        <f>IF($AL218="","",INDEX('04_調査結果'!$AH$5:$AH$404,$AL218)&amp;"")</f>
        <v/>
      </c>
      <c r="AJ218">
        <f>IF($AL218="","",INDEX('04_調査結果'!$AA$5:$AA$404,$AL218)&amp;"")</f>
        <v/>
      </c>
      <c r="AK218">
        <f>IF($AL218="","",INDEX('04_調査結果'!$AC$5:$AC$404,$AL218)&amp;"")</f>
        <v/>
      </c>
      <c r="AL218" s="34">
        <f>IFERROR(MATCH(ROW()-4,'04_調査結果'!$AZ$5:$AZ$404,0),"")</f>
        <v/>
      </c>
    </row>
    <row r="219">
      <c r="A219">
        <f>IF($AL219="","",'01_設定'!$C$36)</f>
        <v/>
      </c>
      <c r="B219">
        <f>IF($AL219="","",'01_設定'!$C$5)</f>
        <v/>
      </c>
      <c r="C219">
        <f>IF($AL219="","",'01_設定'!$C$6)</f>
        <v/>
      </c>
      <c r="D219" s="36">
        <f>IF($AL219="","",'01_設定'!$C$22)</f>
        <v/>
      </c>
      <c r="E219" s="36">
        <f>IF($AL219="","",'01_設定'!$C$23)</f>
        <v/>
      </c>
      <c r="F219">
        <f>IF($AL219="","",'01_設定'!$C$32)</f>
        <v/>
      </c>
      <c r="G219">
        <f>IF($AL219="","",ROW()-4)</f>
        <v/>
      </c>
      <c r="H219">
        <f>IF($AL219="","",INDEX('04_調査結果'!$AO$5:$AO$404,$AL219))</f>
        <v/>
      </c>
      <c r="I219">
        <f>IF($AL219="","",IFERROR(INDEX('M2_区分マスタ'!$I$5:$I$10,INDEX('04_調査結果'!$AP$5:$AP$404,$AL219)),""))</f>
        <v/>
      </c>
      <c r="J219">
        <f>IF($AL219="","",INDEX('04_調査結果'!$BE$5:$BE$404,$AL219)&amp;"")</f>
        <v/>
      </c>
      <c r="K219">
        <f>IF($AL219="","",INDEX('04_調査結果'!$F$5:$F$404,$AL219)&amp;"")</f>
        <v/>
      </c>
      <c r="L219">
        <f>IF($AL219="","",INDEX('04_調査結果'!$G$5:$G$404,$AL219)&amp;"")</f>
        <v/>
      </c>
      <c r="M219">
        <f>IF($AL219="","",INDEX('04_調査結果'!$AQ$5:$AQ$404,$AL219)&amp;"")</f>
        <v/>
      </c>
      <c r="N219">
        <f>IF($AL219="","",IFERROR(INDEX('M1_類型マスタ'!$B$5:$B$19,MATCH(M219,'M1_類型マスタ'!$A$5:$A$19,0)),""))</f>
        <v/>
      </c>
      <c r="O219">
        <f>IF($AL219="","",INDEX('04_調査結果'!$I$5:$I$404,$AL219)&amp;"")</f>
        <v/>
      </c>
      <c r="P219">
        <f>IF($AL219="","",INDEX('04_調査結果'!$J$5:$J$404,$AL219)&amp;"")</f>
        <v/>
      </c>
      <c r="Q219">
        <f>IF($AL219="","",INDEX('04_調査結果'!$K$5:$K$404,$AL219)&amp;"")</f>
        <v/>
      </c>
      <c r="R219">
        <f>IF($AL219="","",INDEX('04_調査結果'!$L$5:$L$404,$AL219)&amp;"")</f>
        <v/>
      </c>
      <c r="S219">
        <f>IF($AL219="","",INDEX('04_調査結果'!$M$5:$M$404,$AL219)&amp;"")</f>
        <v/>
      </c>
      <c r="T219" s="33">
        <f>IF($AL219="","",IF(INDEX('04_調査結果'!$AE$5:$AE$404,$AL219)&lt;&gt;"",INDEX('04_調査結果'!$AE$5:$AE$404,$AL219),INDEX('04_調査結果'!$AS$5:$AS$404,$AL219)))</f>
        <v/>
      </c>
      <c r="U219" s="33">
        <f>IF($AL219="","",IF(INDEX('04_調査結果'!$AF$5:$AF$404,$AL219)&lt;&gt;"",INDEX('04_調査結果'!$AF$5:$AF$404,$AL219),INDEX('04_調査結果'!$AT$5:$AT$404,$AL219)))</f>
        <v/>
      </c>
      <c r="V219" s="33">
        <f>IF($AL219="","",INDEX('04_調査結果'!$AI$5:$AI$404,$AL219))</f>
        <v/>
      </c>
      <c r="W219">
        <f>IF($AL219="","",INDEX('04_調査結果'!$AU$5:$AU$404,$AL219))</f>
        <v/>
      </c>
      <c r="X219" s="37">
        <f>IF($AL219="","",INDEX('04_調査結果'!$AW$5:$AW$404,$AL219))</f>
        <v/>
      </c>
      <c r="Y219" s="37">
        <f>IF($AL219="","",INDEX('04_調査結果'!$AX$5:$AX$404,$AL219))</f>
        <v/>
      </c>
      <c r="Z219">
        <f>IF($AL219="","",INDEX('04_調査結果'!$S$5:$S$404,$AL219)&amp;"")</f>
        <v/>
      </c>
      <c r="AA219">
        <f>IF($AL219="","",INDEX('04_調査結果'!$T$5:$T$404,$AL219))</f>
        <v/>
      </c>
      <c r="AB219">
        <f>IF($AL219="","",INDEX('04_調査結果'!$U$5:$U$404,$AL219))</f>
        <v/>
      </c>
      <c r="AC219">
        <f>IF($AL219="","",INDEX('04_調査結果'!$V$5:$V$404,$AL219))</f>
        <v/>
      </c>
      <c r="AD219">
        <f>IF($AL219="","",INDEX('04_調査結果'!$W$5:$W$404,$AL219))</f>
        <v/>
      </c>
      <c r="AE219">
        <f>IF($AL219="","",INDEX('04_調査結果'!$X$5:$X$404,$AL219))</f>
        <v/>
      </c>
      <c r="AF219">
        <f>IF($AL219="","",INDEX('04_調査結果'!$Y$5:$Y$404,$AL219))</f>
        <v/>
      </c>
      <c r="AG219">
        <f>IF($AL219="","",INDEX('04_調査結果'!$Z$5:$Z$404,$AL219))</f>
        <v/>
      </c>
      <c r="AH219">
        <f>IF($AL219="","",INDEX('04_調査結果'!$AK$5:$AK$404,$AL219))</f>
        <v/>
      </c>
      <c r="AI219">
        <f>IF($AL219="","",INDEX('04_調査結果'!$AH$5:$AH$404,$AL219)&amp;"")</f>
        <v/>
      </c>
      <c r="AJ219">
        <f>IF($AL219="","",INDEX('04_調査結果'!$AA$5:$AA$404,$AL219)&amp;"")</f>
        <v/>
      </c>
      <c r="AK219">
        <f>IF($AL219="","",INDEX('04_調査結果'!$AC$5:$AC$404,$AL219)&amp;"")</f>
        <v/>
      </c>
      <c r="AL219" s="34">
        <f>IFERROR(MATCH(ROW()-4,'04_調査結果'!$AZ$5:$AZ$404,0),"")</f>
        <v/>
      </c>
    </row>
    <row r="220">
      <c r="A220">
        <f>IF($AL220="","",'01_設定'!$C$36)</f>
        <v/>
      </c>
      <c r="B220">
        <f>IF($AL220="","",'01_設定'!$C$5)</f>
        <v/>
      </c>
      <c r="C220">
        <f>IF($AL220="","",'01_設定'!$C$6)</f>
        <v/>
      </c>
      <c r="D220" s="36">
        <f>IF($AL220="","",'01_設定'!$C$22)</f>
        <v/>
      </c>
      <c r="E220" s="36">
        <f>IF($AL220="","",'01_設定'!$C$23)</f>
        <v/>
      </c>
      <c r="F220">
        <f>IF($AL220="","",'01_設定'!$C$32)</f>
        <v/>
      </c>
      <c r="G220">
        <f>IF($AL220="","",ROW()-4)</f>
        <v/>
      </c>
      <c r="H220">
        <f>IF($AL220="","",INDEX('04_調査結果'!$AO$5:$AO$404,$AL220))</f>
        <v/>
      </c>
      <c r="I220">
        <f>IF($AL220="","",IFERROR(INDEX('M2_区分マスタ'!$I$5:$I$10,INDEX('04_調査結果'!$AP$5:$AP$404,$AL220)),""))</f>
        <v/>
      </c>
      <c r="J220">
        <f>IF($AL220="","",INDEX('04_調査結果'!$BE$5:$BE$404,$AL220)&amp;"")</f>
        <v/>
      </c>
      <c r="K220">
        <f>IF($AL220="","",INDEX('04_調査結果'!$F$5:$F$404,$AL220)&amp;"")</f>
        <v/>
      </c>
      <c r="L220">
        <f>IF($AL220="","",INDEX('04_調査結果'!$G$5:$G$404,$AL220)&amp;"")</f>
        <v/>
      </c>
      <c r="M220">
        <f>IF($AL220="","",INDEX('04_調査結果'!$AQ$5:$AQ$404,$AL220)&amp;"")</f>
        <v/>
      </c>
      <c r="N220">
        <f>IF($AL220="","",IFERROR(INDEX('M1_類型マスタ'!$B$5:$B$19,MATCH(M220,'M1_類型マスタ'!$A$5:$A$19,0)),""))</f>
        <v/>
      </c>
      <c r="O220">
        <f>IF($AL220="","",INDEX('04_調査結果'!$I$5:$I$404,$AL220)&amp;"")</f>
        <v/>
      </c>
      <c r="P220">
        <f>IF($AL220="","",INDEX('04_調査結果'!$J$5:$J$404,$AL220)&amp;"")</f>
        <v/>
      </c>
      <c r="Q220">
        <f>IF($AL220="","",INDEX('04_調査結果'!$K$5:$K$404,$AL220)&amp;"")</f>
        <v/>
      </c>
      <c r="R220">
        <f>IF($AL220="","",INDEX('04_調査結果'!$L$5:$L$404,$AL220)&amp;"")</f>
        <v/>
      </c>
      <c r="S220">
        <f>IF($AL220="","",INDEX('04_調査結果'!$M$5:$M$404,$AL220)&amp;"")</f>
        <v/>
      </c>
      <c r="T220" s="33">
        <f>IF($AL220="","",IF(INDEX('04_調査結果'!$AE$5:$AE$404,$AL220)&lt;&gt;"",INDEX('04_調査結果'!$AE$5:$AE$404,$AL220),INDEX('04_調査結果'!$AS$5:$AS$404,$AL220)))</f>
        <v/>
      </c>
      <c r="U220" s="33">
        <f>IF($AL220="","",IF(INDEX('04_調査結果'!$AF$5:$AF$404,$AL220)&lt;&gt;"",INDEX('04_調査結果'!$AF$5:$AF$404,$AL220),INDEX('04_調査結果'!$AT$5:$AT$404,$AL220)))</f>
        <v/>
      </c>
      <c r="V220" s="33">
        <f>IF($AL220="","",INDEX('04_調査結果'!$AI$5:$AI$404,$AL220))</f>
        <v/>
      </c>
      <c r="W220">
        <f>IF($AL220="","",INDEX('04_調査結果'!$AU$5:$AU$404,$AL220))</f>
        <v/>
      </c>
      <c r="X220" s="37">
        <f>IF($AL220="","",INDEX('04_調査結果'!$AW$5:$AW$404,$AL220))</f>
        <v/>
      </c>
      <c r="Y220" s="37">
        <f>IF($AL220="","",INDEX('04_調査結果'!$AX$5:$AX$404,$AL220))</f>
        <v/>
      </c>
      <c r="Z220">
        <f>IF($AL220="","",INDEX('04_調査結果'!$S$5:$S$404,$AL220)&amp;"")</f>
        <v/>
      </c>
      <c r="AA220">
        <f>IF($AL220="","",INDEX('04_調査結果'!$T$5:$T$404,$AL220))</f>
        <v/>
      </c>
      <c r="AB220">
        <f>IF($AL220="","",INDEX('04_調査結果'!$U$5:$U$404,$AL220))</f>
        <v/>
      </c>
      <c r="AC220">
        <f>IF($AL220="","",INDEX('04_調査結果'!$V$5:$V$404,$AL220))</f>
        <v/>
      </c>
      <c r="AD220">
        <f>IF($AL220="","",INDEX('04_調査結果'!$W$5:$W$404,$AL220))</f>
        <v/>
      </c>
      <c r="AE220">
        <f>IF($AL220="","",INDEX('04_調査結果'!$X$5:$X$404,$AL220))</f>
        <v/>
      </c>
      <c r="AF220">
        <f>IF($AL220="","",INDEX('04_調査結果'!$Y$5:$Y$404,$AL220))</f>
        <v/>
      </c>
      <c r="AG220">
        <f>IF($AL220="","",INDEX('04_調査結果'!$Z$5:$Z$404,$AL220))</f>
        <v/>
      </c>
      <c r="AH220">
        <f>IF($AL220="","",INDEX('04_調査結果'!$AK$5:$AK$404,$AL220))</f>
        <v/>
      </c>
      <c r="AI220">
        <f>IF($AL220="","",INDEX('04_調査結果'!$AH$5:$AH$404,$AL220)&amp;"")</f>
        <v/>
      </c>
      <c r="AJ220">
        <f>IF($AL220="","",INDEX('04_調査結果'!$AA$5:$AA$404,$AL220)&amp;"")</f>
        <v/>
      </c>
      <c r="AK220">
        <f>IF($AL220="","",INDEX('04_調査結果'!$AC$5:$AC$404,$AL220)&amp;"")</f>
        <v/>
      </c>
      <c r="AL220" s="34">
        <f>IFERROR(MATCH(ROW()-4,'04_調査結果'!$AZ$5:$AZ$404,0),"")</f>
        <v/>
      </c>
    </row>
    <row r="221">
      <c r="A221">
        <f>IF($AL221="","",'01_設定'!$C$36)</f>
        <v/>
      </c>
      <c r="B221">
        <f>IF($AL221="","",'01_設定'!$C$5)</f>
        <v/>
      </c>
      <c r="C221">
        <f>IF($AL221="","",'01_設定'!$C$6)</f>
        <v/>
      </c>
      <c r="D221" s="36">
        <f>IF($AL221="","",'01_設定'!$C$22)</f>
        <v/>
      </c>
      <c r="E221" s="36">
        <f>IF($AL221="","",'01_設定'!$C$23)</f>
        <v/>
      </c>
      <c r="F221">
        <f>IF($AL221="","",'01_設定'!$C$32)</f>
        <v/>
      </c>
      <c r="G221">
        <f>IF($AL221="","",ROW()-4)</f>
        <v/>
      </c>
      <c r="H221">
        <f>IF($AL221="","",INDEX('04_調査結果'!$AO$5:$AO$404,$AL221))</f>
        <v/>
      </c>
      <c r="I221">
        <f>IF($AL221="","",IFERROR(INDEX('M2_区分マスタ'!$I$5:$I$10,INDEX('04_調査結果'!$AP$5:$AP$404,$AL221)),""))</f>
        <v/>
      </c>
      <c r="J221">
        <f>IF($AL221="","",INDEX('04_調査結果'!$BE$5:$BE$404,$AL221)&amp;"")</f>
        <v/>
      </c>
      <c r="K221">
        <f>IF($AL221="","",INDEX('04_調査結果'!$F$5:$F$404,$AL221)&amp;"")</f>
        <v/>
      </c>
      <c r="L221">
        <f>IF($AL221="","",INDEX('04_調査結果'!$G$5:$G$404,$AL221)&amp;"")</f>
        <v/>
      </c>
      <c r="M221">
        <f>IF($AL221="","",INDEX('04_調査結果'!$AQ$5:$AQ$404,$AL221)&amp;"")</f>
        <v/>
      </c>
      <c r="N221">
        <f>IF($AL221="","",IFERROR(INDEX('M1_類型マスタ'!$B$5:$B$19,MATCH(M221,'M1_類型マスタ'!$A$5:$A$19,0)),""))</f>
        <v/>
      </c>
      <c r="O221">
        <f>IF($AL221="","",INDEX('04_調査結果'!$I$5:$I$404,$AL221)&amp;"")</f>
        <v/>
      </c>
      <c r="P221">
        <f>IF($AL221="","",INDEX('04_調査結果'!$J$5:$J$404,$AL221)&amp;"")</f>
        <v/>
      </c>
      <c r="Q221">
        <f>IF($AL221="","",INDEX('04_調査結果'!$K$5:$K$404,$AL221)&amp;"")</f>
        <v/>
      </c>
      <c r="R221">
        <f>IF($AL221="","",INDEX('04_調査結果'!$L$5:$L$404,$AL221)&amp;"")</f>
        <v/>
      </c>
      <c r="S221">
        <f>IF($AL221="","",INDEX('04_調査結果'!$M$5:$M$404,$AL221)&amp;"")</f>
        <v/>
      </c>
      <c r="T221" s="33">
        <f>IF($AL221="","",IF(INDEX('04_調査結果'!$AE$5:$AE$404,$AL221)&lt;&gt;"",INDEX('04_調査結果'!$AE$5:$AE$404,$AL221),INDEX('04_調査結果'!$AS$5:$AS$404,$AL221)))</f>
        <v/>
      </c>
      <c r="U221" s="33">
        <f>IF($AL221="","",IF(INDEX('04_調査結果'!$AF$5:$AF$404,$AL221)&lt;&gt;"",INDEX('04_調査結果'!$AF$5:$AF$404,$AL221),INDEX('04_調査結果'!$AT$5:$AT$404,$AL221)))</f>
        <v/>
      </c>
      <c r="V221" s="33">
        <f>IF($AL221="","",INDEX('04_調査結果'!$AI$5:$AI$404,$AL221))</f>
        <v/>
      </c>
      <c r="W221">
        <f>IF($AL221="","",INDEX('04_調査結果'!$AU$5:$AU$404,$AL221))</f>
        <v/>
      </c>
      <c r="X221" s="37">
        <f>IF($AL221="","",INDEX('04_調査結果'!$AW$5:$AW$404,$AL221))</f>
        <v/>
      </c>
      <c r="Y221" s="37">
        <f>IF($AL221="","",INDEX('04_調査結果'!$AX$5:$AX$404,$AL221))</f>
        <v/>
      </c>
      <c r="Z221">
        <f>IF($AL221="","",INDEX('04_調査結果'!$S$5:$S$404,$AL221)&amp;"")</f>
        <v/>
      </c>
      <c r="AA221">
        <f>IF($AL221="","",INDEX('04_調査結果'!$T$5:$T$404,$AL221))</f>
        <v/>
      </c>
      <c r="AB221">
        <f>IF($AL221="","",INDEX('04_調査結果'!$U$5:$U$404,$AL221))</f>
        <v/>
      </c>
      <c r="AC221">
        <f>IF($AL221="","",INDEX('04_調査結果'!$V$5:$V$404,$AL221))</f>
        <v/>
      </c>
      <c r="AD221">
        <f>IF($AL221="","",INDEX('04_調査結果'!$W$5:$W$404,$AL221))</f>
        <v/>
      </c>
      <c r="AE221">
        <f>IF($AL221="","",INDEX('04_調査結果'!$X$5:$X$404,$AL221))</f>
        <v/>
      </c>
      <c r="AF221">
        <f>IF($AL221="","",INDEX('04_調査結果'!$Y$5:$Y$404,$AL221))</f>
        <v/>
      </c>
      <c r="AG221">
        <f>IF($AL221="","",INDEX('04_調査結果'!$Z$5:$Z$404,$AL221))</f>
        <v/>
      </c>
      <c r="AH221">
        <f>IF($AL221="","",INDEX('04_調査結果'!$AK$5:$AK$404,$AL221))</f>
        <v/>
      </c>
      <c r="AI221">
        <f>IF($AL221="","",INDEX('04_調査結果'!$AH$5:$AH$404,$AL221)&amp;"")</f>
        <v/>
      </c>
      <c r="AJ221">
        <f>IF($AL221="","",INDEX('04_調査結果'!$AA$5:$AA$404,$AL221)&amp;"")</f>
        <v/>
      </c>
      <c r="AK221">
        <f>IF($AL221="","",INDEX('04_調査結果'!$AC$5:$AC$404,$AL221)&amp;"")</f>
        <v/>
      </c>
      <c r="AL221" s="34">
        <f>IFERROR(MATCH(ROW()-4,'04_調査結果'!$AZ$5:$AZ$404,0),"")</f>
        <v/>
      </c>
    </row>
    <row r="222">
      <c r="A222">
        <f>IF($AL222="","",'01_設定'!$C$36)</f>
        <v/>
      </c>
      <c r="B222">
        <f>IF($AL222="","",'01_設定'!$C$5)</f>
        <v/>
      </c>
      <c r="C222">
        <f>IF($AL222="","",'01_設定'!$C$6)</f>
        <v/>
      </c>
      <c r="D222" s="36">
        <f>IF($AL222="","",'01_設定'!$C$22)</f>
        <v/>
      </c>
      <c r="E222" s="36">
        <f>IF($AL222="","",'01_設定'!$C$23)</f>
        <v/>
      </c>
      <c r="F222">
        <f>IF($AL222="","",'01_設定'!$C$32)</f>
        <v/>
      </c>
      <c r="G222">
        <f>IF($AL222="","",ROW()-4)</f>
        <v/>
      </c>
      <c r="H222">
        <f>IF($AL222="","",INDEX('04_調査結果'!$AO$5:$AO$404,$AL222))</f>
        <v/>
      </c>
      <c r="I222">
        <f>IF($AL222="","",IFERROR(INDEX('M2_区分マスタ'!$I$5:$I$10,INDEX('04_調査結果'!$AP$5:$AP$404,$AL222)),""))</f>
        <v/>
      </c>
      <c r="J222">
        <f>IF($AL222="","",INDEX('04_調査結果'!$BE$5:$BE$404,$AL222)&amp;"")</f>
        <v/>
      </c>
      <c r="K222">
        <f>IF($AL222="","",INDEX('04_調査結果'!$F$5:$F$404,$AL222)&amp;"")</f>
        <v/>
      </c>
      <c r="L222">
        <f>IF($AL222="","",INDEX('04_調査結果'!$G$5:$G$404,$AL222)&amp;"")</f>
        <v/>
      </c>
      <c r="M222">
        <f>IF($AL222="","",INDEX('04_調査結果'!$AQ$5:$AQ$404,$AL222)&amp;"")</f>
        <v/>
      </c>
      <c r="N222">
        <f>IF($AL222="","",IFERROR(INDEX('M1_類型マスタ'!$B$5:$B$19,MATCH(M222,'M1_類型マスタ'!$A$5:$A$19,0)),""))</f>
        <v/>
      </c>
      <c r="O222">
        <f>IF($AL222="","",INDEX('04_調査結果'!$I$5:$I$404,$AL222)&amp;"")</f>
        <v/>
      </c>
      <c r="P222">
        <f>IF($AL222="","",INDEX('04_調査結果'!$J$5:$J$404,$AL222)&amp;"")</f>
        <v/>
      </c>
      <c r="Q222">
        <f>IF($AL222="","",INDEX('04_調査結果'!$K$5:$K$404,$AL222)&amp;"")</f>
        <v/>
      </c>
      <c r="R222">
        <f>IF($AL222="","",INDEX('04_調査結果'!$L$5:$L$404,$AL222)&amp;"")</f>
        <v/>
      </c>
      <c r="S222">
        <f>IF($AL222="","",INDEX('04_調査結果'!$M$5:$M$404,$AL222)&amp;"")</f>
        <v/>
      </c>
      <c r="T222" s="33">
        <f>IF($AL222="","",IF(INDEX('04_調査結果'!$AE$5:$AE$404,$AL222)&lt;&gt;"",INDEX('04_調査結果'!$AE$5:$AE$404,$AL222),INDEX('04_調査結果'!$AS$5:$AS$404,$AL222)))</f>
        <v/>
      </c>
      <c r="U222" s="33">
        <f>IF($AL222="","",IF(INDEX('04_調査結果'!$AF$5:$AF$404,$AL222)&lt;&gt;"",INDEX('04_調査結果'!$AF$5:$AF$404,$AL222),INDEX('04_調査結果'!$AT$5:$AT$404,$AL222)))</f>
        <v/>
      </c>
      <c r="V222" s="33">
        <f>IF($AL222="","",INDEX('04_調査結果'!$AI$5:$AI$404,$AL222))</f>
        <v/>
      </c>
      <c r="W222">
        <f>IF($AL222="","",INDEX('04_調査結果'!$AU$5:$AU$404,$AL222))</f>
        <v/>
      </c>
      <c r="X222" s="37">
        <f>IF($AL222="","",INDEX('04_調査結果'!$AW$5:$AW$404,$AL222))</f>
        <v/>
      </c>
      <c r="Y222" s="37">
        <f>IF($AL222="","",INDEX('04_調査結果'!$AX$5:$AX$404,$AL222))</f>
        <v/>
      </c>
      <c r="Z222">
        <f>IF($AL222="","",INDEX('04_調査結果'!$S$5:$S$404,$AL222)&amp;"")</f>
        <v/>
      </c>
      <c r="AA222">
        <f>IF($AL222="","",INDEX('04_調査結果'!$T$5:$T$404,$AL222))</f>
        <v/>
      </c>
      <c r="AB222">
        <f>IF($AL222="","",INDEX('04_調査結果'!$U$5:$U$404,$AL222))</f>
        <v/>
      </c>
      <c r="AC222">
        <f>IF($AL222="","",INDEX('04_調査結果'!$V$5:$V$404,$AL222))</f>
        <v/>
      </c>
      <c r="AD222">
        <f>IF($AL222="","",INDEX('04_調査結果'!$W$5:$W$404,$AL222))</f>
        <v/>
      </c>
      <c r="AE222">
        <f>IF($AL222="","",INDEX('04_調査結果'!$X$5:$X$404,$AL222))</f>
        <v/>
      </c>
      <c r="AF222">
        <f>IF($AL222="","",INDEX('04_調査結果'!$Y$5:$Y$404,$AL222))</f>
        <v/>
      </c>
      <c r="AG222">
        <f>IF($AL222="","",INDEX('04_調査結果'!$Z$5:$Z$404,$AL222))</f>
        <v/>
      </c>
      <c r="AH222">
        <f>IF($AL222="","",INDEX('04_調査結果'!$AK$5:$AK$404,$AL222))</f>
        <v/>
      </c>
      <c r="AI222">
        <f>IF($AL222="","",INDEX('04_調査結果'!$AH$5:$AH$404,$AL222)&amp;"")</f>
        <v/>
      </c>
      <c r="AJ222">
        <f>IF($AL222="","",INDEX('04_調査結果'!$AA$5:$AA$404,$AL222)&amp;"")</f>
        <v/>
      </c>
      <c r="AK222">
        <f>IF($AL222="","",INDEX('04_調査結果'!$AC$5:$AC$404,$AL222)&amp;"")</f>
        <v/>
      </c>
      <c r="AL222" s="34">
        <f>IFERROR(MATCH(ROW()-4,'04_調査結果'!$AZ$5:$AZ$404,0),"")</f>
        <v/>
      </c>
    </row>
    <row r="223">
      <c r="A223">
        <f>IF($AL223="","",'01_設定'!$C$36)</f>
        <v/>
      </c>
      <c r="B223">
        <f>IF($AL223="","",'01_設定'!$C$5)</f>
        <v/>
      </c>
      <c r="C223">
        <f>IF($AL223="","",'01_設定'!$C$6)</f>
        <v/>
      </c>
      <c r="D223" s="36">
        <f>IF($AL223="","",'01_設定'!$C$22)</f>
        <v/>
      </c>
      <c r="E223" s="36">
        <f>IF($AL223="","",'01_設定'!$C$23)</f>
        <v/>
      </c>
      <c r="F223">
        <f>IF($AL223="","",'01_設定'!$C$32)</f>
        <v/>
      </c>
      <c r="G223">
        <f>IF($AL223="","",ROW()-4)</f>
        <v/>
      </c>
      <c r="H223">
        <f>IF($AL223="","",INDEX('04_調査結果'!$AO$5:$AO$404,$AL223))</f>
        <v/>
      </c>
      <c r="I223">
        <f>IF($AL223="","",IFERROR(INDEX('M2_区分マスタ'!$I$5:$I$10,INDEX('04_調査結果'!$AP$5:$AP$404,$AL223)),""))</f>
        <v/>
      </c>
      <c r="J223">
        <f>IF($AL223="","",INDEX('04_調査結果'!$BE$5:$BE$404,$AL223)&amp;"")</f>
        <v/>
      </c>
      <c r="K223">
        <f>IF($AL223="","",INDEX('04_調査結果'!$F$5:$F$404,$AL223)&amp;"")</f>
        <v/>
      </c>
      <c r="L223">
        <f>IF($AL223="","",INDEX('04_調査結果'!$G$5:$G$404,$AL223)&amp;"")</f>
        <v/>
      </c>
      <c r="M223">
        <f>IF($AL223="","",INDEX('04_調査結果'!$AQ$5:$AQ$404,$AL223)&amp;"")</f>
        <v/>
      </c>
      <c r="N223">
        <f>IF($AL223="","",IFERROR(INDEX('M1_類型マスタ'!$B$5:$B$19,MATCH(M223,'M1_類型マスタ'!$A$5:$A$19,0)),""))</f>
        <v/>
      </c>
      <c r="O223">
        <f>IF($AL223="","",INDEX('04_調査結果'!$I$5:$I$404,$AL223)&amp;"")</f>
        <v/>
      </c>
      <c r="P223">
        <f>IF($AL223="","",INDEX('04_調査結果'!$J$5:$J$404,$AL223)&amp;"")</f>
        <v/>
      </c>
      <c r="Q223">
        <f>IF($AL223="","",INDEX('04_調査結果'!$K$5:$K$404,$AL223)&amp;"")</f>
        <v/>
      </c>
      <c r="R223">
        <f>IF($AL223="","",INDEX('04_調査結果'!$L$5:$L$404,$AL223)&amp;"")</f>
        <v/>
      </c>
      <c r="S223">
        <f>IF($AL223="","",INDEX('04_調査結果'!$M$5:$M$404,$AL223)&amp;"")</f>
        <v/>
      </c>
      <c r="T223" s="33">
        <f>IF($AL223="","",IF(INDEX('04_調査結果'!$AE$5:$AE$404,$AL223)&lt;&gt;"",INDEX('04_調査結果'!$AE$5:$AE$404,$AL223),INDEX('04_調査結果'!$AS$5:$AS$404,$AL223)))</f>
        <v/>
      </c>
      <c r="U223" s="33">
        <f>IF($AL223="","",IF(INDEX('04_調査結果'!$AF$5:$AF$404,$AL223)&lt;&gt;"",INDEX('04_調査結果'!$AF$5:$AF$404,$AL223),INDEX('04_調査結果'!$AT$5:$AT$404,$AL223)))</f>
        <v/>
      </c>
      <c r="V223" s="33">
        <f>IF($AL223="","",INDEX('04_調査結果'!$AI$5:$AI$404,$AL223))</f>
        <v/>
      </c>
      <c r="W223">
        <f>IF($AL223="","",INDEX('04_調査結果'!$AU$5:$AU$404,$AL223))</f>
        <v/>
      </c>
      <c r="X223" s="37">
        <f>IF($AL223="","",INDEX('04_調査結果'!$AW$5:$AW$404,$AL223))</f>
        <v/>
      </c>
      <c r="Y223" s="37">
        <f>IF($AL223="","",INDEX('04_調査結果'!$AX$5:$AX$404,$AL223))</f>
        <v/>
      </c>
      <c r="Z223">
        <f>IF($AL223="","",INDEX('04_調査結果'!$S$5:$S$404,$AL223)&amp;"")</f>
        <v/>
      </c>
      <c r="AA223">
        <f>IF($AL223="","",INDEX('04_調査結果'!$T$5:$T$404,$AL223))</f>
        <v/>
      </c>
      <c r="AB223">
        <f>IF($AL223="","",INDEX('04_調査結果'!$U$5:$U$404,$AL223))</f>
        <v/>
      </c>
      <c r="AC223">
        <f>IF($AL223="","",INDEX('04_調査結果'!$V$5:$V$404,$AL223))</f>
        <v/>
      </c>
      <c r="AD223">
        <f>IF($AL223="","",INDEX('04_調査結果'!$W$5:$W$404,$AL223))</f>
        <v/>
      </c>
      <c r="AE223">
        <f>IF($AL223="","",INDEX('04_調査結果'!$X$5:$X$404,$AL223))</f>
        <v/>
      </c>
      <c r="AF223">
        <f>IF($AL223="","",INDEX('04_調査結果'!$Y$5:$Y$404,$AL223))</f>
        <v/>
      </c>
      <c r="AG223">
        <f>IF($AL223="","",INDEX('04_調査結果'!$Z$5:$Z$404,$AL223))</f>
        <v/>
      </c>
      <c r="AH223">
        <f>IF($AL223="","",INDEX('04_調査結果'!$AK$5:$AK$404,$AL223))</f>
        <v/>
      </c>
      <c r="AI223">
        <f>IF($AL223="","",INDEX('04_調査結果'!$AH$5:$AH$404,$AL223)&amp;"")</f>
        <v/>
      </c>
      <c r="AJ223">
        <f>IF($AL223="","",INDEX('04_調査結果'!$AA$5:$AA$404,$AL223)&amp;"")</f>
        <v/>
      </c>
      <c r="AK223">
        <f>IF($AL223="","",INDEX('04_調査結果'!$AC$5:$AC$404,$AL223)&amp;"")</f>
        <v/>
      </c>
      <c r="AL223" s="34">
        <f>IFERROR(MATCH(ROW()-4,'04_調査結果'!$AZ$5:$AZ$404,0),"")</f>
        <v/>
      </c>
    </row>
    <row r="224">
      <c r="A224">
        <f>IF($AL224="","",'01_設定'!$C$36)</f>
        <v/>
      </c>
      <c r="B224">
        <f>IF($AL224="","",'01_設定'!$C$5)</f>
        <v/>
      </c>
      <c r="C224">
        <f>IF($AL224="","",'01_設定'!$C$6)</f>
        <v/>
      </c>
      <c r="D224" s="36">
        <f>IF($AL224="","",'01_設定'!$C$22)</f>
        <v/>
      </c>
      <c r="E224" s="36">
        <f>IF($AL224="","",'01_設定'!$C$23)</f>
        <v/>
      </c>
      <c r="F224">
        <f>IF($AL224="","",'01_設定'!$C$32)</f>
        <v/>
      </c>
      <c r="G224">
        <f>IF($AL224="","",ROW()-4)</f>
        <v/>
      </c>
      <c r="H224">
        <f>IF($AL224="","",INDEX('04_調査結果'!$AO$5:$AO$404,$AL224))</f>
        <v/>
      </c>
      <c r="I224">
        <f>IF($AL224="","",IFERROR(INDEX('M2_区分マスタ'!$I$5:$I$10,INDEX('04_調査結果'!$AP$5:$AP$404,$AL224)),""))</f>
        <v/>
      </c>
      <c r="J224">
        <f>IF($AL224="","",INDEX('04_調査結果'!$BE$5:$BE$404,$AL224)&amp;"")</f>
        <v/>
      </c>
      <c r="K224">
        <f>IF($AL224="","",INDEX('04_調査結果'!$F$5:$F$404,$AL224)&amp;"")</f>
        <v/>
      </c>
      <c r="L224">
        <f>IF($AL224="","",INDEX('04_調査結果'!$G$5:$G$404,$AL224)&amp;"")</f>
        <v/>
      </c>
      <c r="M224">
        <f>IF($AL224="","",INDEX('04_調査結果'!$AQ$5:$AQ$404,$AL224)&amp;"")</f>
        <v/>
      </c>
      <c r="N224">
        <f>IF($AL224="","",IFERROR(INDEX('M1_類型マスタ'!$B$5:$B$19,MATCH(M224,'M1_類型マスタ'!$A$5:$A$19,0)),""))</f>
        <v/>
      </c>
      <c r="O224">
        <f>IF($AL224="","",INDEX('04_調査結果'!$I$5:$I$404,$AL224)&amp;"")</f>
        <v/>
      </c>
      <c r="P224">
        <f>IF($AL224="","",INDEX('04_調査結果'!$J$5:$J$404,$AL224)&amp;"")</f>
        <v/>
      </c>
      <c r="Q224">
        <f>IF($AL224="","",INDEX('04_調査結果'!$K$5:$K$404,$AL224)&amp;"")</f>
        <v/>
      </c>
      <c r="R224">
        <f>IF($AL224="","",INDEX('04_調査結果'!$L$5:$L$404,$AL224)&amp;"")</f>
        <v/>
      </c>
      <c r="S224">
        <f>IF($AL224="","",INDEX('04_調査結果'!$M$5:$M$404,$AL224)&amp;"")</f>
        <v/>
      </c>
      <c r="T224" s="33">
        <f>IF($AL224="","",IF(INDEX('04_調査結果'!$AE$5:$AE$404,$AL224)&lt;&gt;"",INDEX('04_調査結果'!$AE$5:$AE$404,$AL224),INDEX('04_調査結果'!$AS$5:$AS$404,$AL224)))</f>
        <v/>
      </c>
      <c r="U224" s="33">
        <f>IF($AL224="","",IF(INDEX('04_調査結果'!$AF$5:$AF$404,$AL224)&lt;&gt;"",INDEX('04_調査結果'!$AF$5:$AF$404,$AL224),INDEX('04_調査結果'!$AT$5:$AT$404,$AL224)))</f>
        <v/>
      </c>
      <c r="V224" s="33">
        <f>IF($AL224="","",INDEX('04_調査結果'!$AI$5:$AI$404,$AL224))</f>
        <v/>
      </c>
      <c r="W224">
        <f>IF($AL224="","",INDEX('04_調査結果'!$AU$5:$AU$404,$AL224))</f>
        <v/>
      </c>
      <c r="X224" s="37">
        <f>IF($AL224="","",INDEX('04_調査結果'!$AW$5:$AW$404,$AL224))</f>
        <v/>
      </c>
      <c r="Y224" s="37">
        <f>IF($AL224="","",INDEX('04_調査結果'!$AX$5:$AX$404,$AL224))</f>
        <v/>
      </c>
      <c r="Z224">
        <f>IF($AL224="","",INDEX('04_調査結果'!$S$5:$S$404,$AL224)&amp;"")</f>
        <v/>
      </c>
      <c r="AA224">
        <f>IF($AL224="","",INDEX('04_調査結果'!$T$5:$T$404,$AL224))</f>
        <v/>
      </c>
      <c r="AB224">
        <f>IF($AL224="","",INDEX('04_調査結果'!$U$5:$U$404,$AL224))</f>
        <v/>
      </c>
      <c r="AC224">
        <f>IF($AL224="","",INDEX('04_調査結果'!$V$5:$V$404,$AL224))</f>
        <v/>
      </c>
      <c r="AD224">
        <f>IF($AL224="","",INDEX('04_調査結果'!$W$5:$W$404,$AL224))</f>
        <v/>
      </c>
      <c r="AE224">
        <f>IF($AL224="","",INDEX('04_調査結果'!$X$5:$X$404,$AL224))</f>
        <v/>
      </c>
      <c r="AF224">
        <f>IF($AL224="","",INDEX('04_調査結果'!$Y$5:$Y$404,$AL224))</f>
        <v/>
      </c>
      <c r="AG224">
        <f>IF($AL224="","",INDEX('04_調査結果'!$Z$5:$Z$404,$AL224))</f>
        <v/>
      </c>
      <c r="AH224">
        <f>IF($AL224="","",INDEX('04_調査結果'!$AK$5:$AK$404,$AL224))</f>
        <v/>
      </c>
      <c r="AI224">
        <f>IF($AL224="","",INDEX('04_調査結果'!$AH$5:$AH$404,$AL224)&amp;"")</f>
        <v/>
      </c>
      <c r="AJ224">
        <f>IF($AL224="","",INDEX('04_調査結果'!$AA$5:$AA$404,$AL224)&amp;"")</f>
        <v/>
      </c>
      <c r="AK224">
        <f>IF($AL224="","",INDEX('04_調査結果'!$AC$5:$AC$404,$AL224)&amp;"")</f>
        <v/>
      </c>
      <c r="AL224" s="34">
        <f>IFERROR(MATCH(ROW()-4,'04_調査結果'!$AZ$5:$AZ$404,0),"")</f>
        <v/>
      </c>
    </row>
    <row r="225">
      <c r="A225">
        <f>IF($AL225="","",'01_設定'!$C$36)</f>
        <v/>
      </c>
      <c r="B225">
        <f>IF($AL225="","",'01_設定'!$C$5)</f>
        <v/>
      </c>
      <c r="C225">
        <f>IF($AL225="","",'01_設定'!$C$6)</f>
        <v/>
      </c>
      <c r="D225" s="36">
        <f>IF($AL225="","",'01_設定'!$C$22)</f>
        <v/>
      </c>
      <c r="E225" s="36">
        <f>IF($AL225="","",'01_設定'!$C$23)</f>
        <v/>
      </c>
      <c r="F225">
        <f>IF($AL225="","",'01_設定'!$C$32)</f>
        <v/>
      </c>
      <c r="G225">
        <f>IF($AL225="","",ROW()-4)</f>
        <v/>
      </c>
      <c r="H225">
        <f>IF($AL225="","",INDEX('04_調査結果'!$AO$5:$AO$404,$AL225))</f>
        <v/>
      </c>
      <c r="I225">
        <f>IF($AL225="","",IFERROR(INDEX('M2_区分マスタ'!$I$5:$I$10,INDEX('04_調査結果'!$AP$5:$AP$404,$AL225)),""))</f>
        <v/>
      </c>
      <c r="J225">
        <f>IF($AL225="","",INDEX('04_調査結果'!$BE$5:$BE$404,$AL225)&amp;"")</f>
        <v/>
      </c>
      <c r="K225">
        <f>IF($AL225="","",INDEX('04_調査結果'!$F$5:$F$404,$AL225)&amp;"")</f>
        <v/>
      </c>
      <c r="L225">
        <f>IF($AL225="","",INDEX('04_調査結果'!$G$5:$G$404,$AL225)&amp;"")</f>
        <v/>
      </c>
      <c r="M225">
        <f>IF($AL225="","",INDEX('04_調査結果'!$AQ$5:$AQ$404,$AL225)&amp;"")</f>
        <v/>
      </c>
      <c r="N225">
        <f>IF($AL225="","",IFERROR(INDEX('M1_類型マスタ'!$B$5:$B$19,MATCH(M225,'M1_類型マスタ'!$A$5:$A$19,0)),""))</f>
        <v/>
      </c>
      <c r="O225">
        <f>IF($AL225="","",INDEX('04_調査結果'!$I$5:$I$404,$AL225)&amp;"")</f>
        <v/>
      </c>
      <c r="P225">
        <f>IF($AL225="","",INDEX('04_調査結果'!$J$5:$J$404,$AL225)&amp;"")</f>
        <v/>
      </c>
      <c r="Q225">
        <f>IF($AL225="","",INDEX('04_調査結果'!$K$5:$K$404,$AL225)&amp;"")</f>
        <v/>
      </c>
      <c r="R225">
        <f>IF($AL225="","",INDEX('04_調査結果'!$L$5:$L$404,$AL225)&amp;"")</f>
        <v/>
      </c>
      <c r="S225">
        <f>IF($AL225="","",INDEX('04_調査結果'!$M$5:$M$404,$AL225)&amp;"")</f>
        <v/>
      </c>
      <c r="T225" s="33">
        <f>IF($AL225="","",IF(INDEX('04_調査結果'!$AE$5:$AE$404,$AL225)&lt;&gt;"",INDEX('04_調査結果'!$AE$5:$AE$404,$AL225),INDEX('04_調査結果'!$AS$5:$AS$404,$AL225)))</f>
        <v/>
      </c>
      <c r="U225" s="33">
        <f>IF($AL225="","",IF(INDEX('04_調査結果'!$AF$5:$AF$404,$AL225)&lt;&gt;"",INDEX('04_調査結果'!$AF$5:$AF$404,$AL225),INDEX('04_調査結果'!$AT$5:$AT$404,$AL225)))</f>
        <v/>
      </c>
      <c r="V225" s="33">
        <f>IF($AL225="","",INDEX('04_調査結果'!$AI$5:$AI$404,$AL225))</f>
        <v/>
      </c>
      <c r="W225">
        <f>IF($AL225="","",INDEX('04_調査結果'!$AU$5:$AU$404,$AL225))</f>
        <v/>
      </c>
      <c r="X225" s="37">
        <f>IF($AL225="","",INDEX('04_調査結果'!$AW$5:$AW$404,$AL225))</f>
        <v/>
      </c>
      <c r="Y225" s="37">
        <f>IF($AL225="","",INDEX('04_調査結果'!$AX$5:$AX$404,$AL225))</f>
        <v/>
      </c>
      <c r="Z225">
        <f>IF($AL225="","",INDEX('04_調査結果'!$S$5:$S$404,$AL225)&amp;"")</f>
        <v/>
      </c>
      <c r="AA225">
        <f>IF($AL225="","",INDEX('04_調査結果'!$T$5:$T$404,$AL225))</f>
        <v/>
      </c>
      <c r="AB225">
        <f>IF($AL225="","",INDEX('04_調査結果'!$U$5:$U$404,$AL225))</f>
        <v/>
      </c>
      <c r="AC225">
        <f>IF($AL225="","",INDEX('04_調査結果'!$V$5:$V$404,$AL225))</f>
        <v/>
      </c>
      <c r="AD225">
        <f>IF($AL225="","",INDEX('04_調査結果'!$W$5:$W$404,$AL225))</f>
        <v/>
      </c>
      <c r="AE225">
        <f>IF($AL225="","",INDEX('04_調査結果'!$X$5:$X$404,$AL225))</f>
        <v/>
      </c>
      <c r="AF225">
        <f>IF($AL225="","",INDEX('04_調査結果'!$Y$5:$Y$404,$AL225))</f>
        <v/>
      </c>
      <c r="AG225">
        <f>IF($AL225="","",INDEX('04_調査結果'!$Z$5:$Z$404,$AL225))</f>
        <v/>
      </c>
      <c r="AH225">
        <f>IF($AL225="","",INDEX('04_調査結果'!$AK$5:$AK$404,$AL225))</f>
        <v/>
      </c>
      <c r="AI225">
        <f>IF($AL225="","",INDEX('04_調査結果'!$AH$5:$AH$404,$AL225)&amp;"")</f>
        <v/>
      </c>
      <c r="AJ225">
        <f>IF($AL225="","",INDEX('04_調査結果'!$AA$5:$AA$404,$AL225)&amp;"")</f>
        <v/>
      </c>
      <c r="AK225">
        <f>IF($AL225="","",INDEX('04_調査結果'!$AC$5:$AC$404,$AL225)&amp;"")</f>
        <v/>
      </c>
      <c r="AL225" s="34">
        <f>IFERROR(MATCH(ROW()-4,'04_調査結果'!$AZ$5:$AZ$404,0),"")</f>
        <v/>
      </c>
    </row>
    <row r="226">
      <c r="A226">
        <f>IF($AL226="","",'01_設定'!$C$36)</f>
        <v/>
      </c>
      <c r="B226">
        <f>IF($AL226="","",'01_設定'!$C$5)</f>
        <v/>
      </c>
      <c r="C226">
        <f>IF($AL226="","",'01_設定'!$C$6)</f>
        <v/>
      </c>
      <c r="D226" s="36">
        <f>IF($AL226="","",'01_設定'!$C$22)</f>
        <v/>
      </c>
      <c r="E226" s="36">
        <f>IF($AL226="","",'01_設定'!$C$23)</f>
        <v/>
      </c>
      <c r="F226">
        <f>IF($AL226="","",'01_設定'!$C$32)</f>
        <v/>
      </c>
      <c r="G226">
        <f>IF($AL226="","",ROW()-4)</f>
        <v/>
      </c>
      <c r="H226">
        <f>IF($AL226="","",INDEX('04_調査結果'!$AO$5:$AO$404,$AL226))</f>
        <v/>
      </c>
      <c r="I226">
        <f>IF($AL226="","",IFERROR(INDEX('M2_区分マスタ'!$I$5:$I$10,INDEX('04_調査結果'!$AP$5:$AP$404,$AL226)),""))</f>
        <v/>
      </c>
      <c r="J226">
        <f>IF($AL226="","",INDEX('04_調査結果'!$BE$5:$BE$404,$AL226)&amp;"")</f>
        <v/>
      </c>
      <c r="K226">
        <f>IF($AL226="","",INDEX('04_調査結果'!$F$5:$F$404,$AL226)&amp;"")</f>
        <v/>
      </c>
      <c r="L226">
        <f>IF($AL226="","",INDEX('04_調査結果'!$G$5:$G$404,$AL226)&amp;"")</f>
        <v/>
      </c>
      <c r="M226">
        <f>IF($AL226="","",INDEX('04_調査結果'!$AQ$5:$AQ$404,$AL226)&amp;"")</f>
        <v/>
      </c>
      <c r="N226">
        <f>IF($AL226="","",IFERROR(INDEX('M1_類型マスタ'!$B$5:$B$19,MATCH(M226,'M1_類型マスタ'!$A$5:$A$19,0)),""))</f>
        <v/>
      </c>
      <c r="O226">
        <f>IF($AL226="","",INDEX('04_調査結果'!$I$5:$I$404,$AL226)&amp;"")</f>
        <v/>
      </c>
      <c r="P226">
        <f>IF($AL226="","",INDEX('04_調査結果'!$J$5:$J$404,$AL226)&amp;"")</f>
        <v/>
      </c>
      <c r="Q226">
        <f>IF($AL226="","",INDEX('04_調査結果'!$K$5:$K$404,$AL226)&amp;"")</f>
        <v/>
      </c>
      <c r="R226">
        <f>IF($AL226="","",INDEX('04_調査結果'!$L$5:$L$404,$AL226)&amp;"")</f>
        <v/>
      </c>
      <c r="S226">
        <f>IF($AL226="","",INDEX('04_調査結果'!$M$5:$M$404,$AL226)&amp;"")</f>
        <v/>
      </c>
      <c r="T226" s="33">
        <f>IF($AL226="","",IF(INDEX('04_調査結果'!$AE$5:$AE$404,$AL226)&lt;&gt;"",INDEX('04_調査結果'!$AE$5:$AE$404,$AL226),INDEX('04_調査結果'!$AS$5:$AS$404,$AL226)))</f>
        <v/>
      </c>
      <c r="U226" s="33">
        <f>IF($AL226="","",IF(INDEX('04_調査結果'!$AF$5:$AF$404,$AL226)&lt;&gt;"",INDEX('04_調査結果'!$AF$5:$AF$404,$AL226),INDEX('04_調査結果'!$AT$5:$AT$404,$AL226)))</f>
        <v/>
      </c>
      <c r="V226" s="33">
        <f>IF($AL226="","",INDEX('04_調査結果'!$AI$5:$AI$404,$AL226))</f>
        <v/>
      </c>
      <c r="W226">
        <f>IF($AL226="","",INDEX('04_調査結果'!$AU$5:$AU$404,$AL226))</f>
        <v/>
      </c>
      <c r="X226" s="37">
        <f>IF($AL226="","",INDEX('04_調査結果'!$AW$5:$AW$404,$AL226))</f>
        <v/>
      </c>
      <c r="Y226" s="37">
        <f>IF($AL226="","",INDEX('04_調査結果'!$AX$5:$AX$404,$AL226))</f>
        <v/>
      </c>
      <c r="Z226">
        <f>IF($AL226="","",INDEX('04_調査結果'!$S$5:$S$404,$AL226)&amp;"")</f>
        <v/>
      </c>
      <c r="AA226">
        <f>IF($AL226="","",INDEX('04_調査結果'!$T$5:$T$404,$AL226))</f>
        <v/>
      </c>
      <c r="AB226">
        <f>IF($AL226="","",INDEX('04_調査結果'!$U$5:$U$404,$AL226))</f>
        <v/>
      </c>
      <c r="AC226">
        <f>IF($AL226="","",INDEX('04_調査結果'!$V$5:$V$404,$AL226))</f>
        <v/>
      </c>
      <c r="AD226">
        <f>IF($AL226="","",INDEX('04_調査結果'!$W$5:$W$404,$AL226))</f>
        <v/>
      </c>
      <c r="AE226">
        <f>IF($AL226="","",INDEX('04_調査結果'!$X$5:$X$404,$AL226))</f>
        <v/>
      </c>
      <c r="AF226">
        <f>IF($AL226="","",INDEX('04_調査結果'!$Y$5:$Y$404,$AL226))</f>
        <v/>
      </c>
      <c r="AG226">
        <f>IF($AL226="","",INDEX('04_調査結果'!$Z$5:$Z$404,$AL226))</f>
        <v/>
      </c>
      <c r="AH226">
        <f>IF($AL226="","",INDEX('04_調査結果'!$AK$5:$AK$404,$AL226))</f>
        <v/>
      </c>
      <c r="AI226">
        <f>IF($AL226="","",INDEX('04_調査結果'!$AH$5:$AH$404,$AL226)&amp;"")</f>
        <v/>
      </c>
      <c r="AJ226">
        <f>IF($AL226="","",INDEX('04_調査結果'!$AA$5:$AA$404,$AL226)&amp;"")</f>
        <v/>
      </c>
      <c r="AK226">
        <f>IF($AL226="","",INDEX('04_調査結果'!$AC$5:$AC$404,$AL226)&amp;"")</f>
        <v/>
      </c>
      <c r="AL226" s="34">
        <f>IFERROR(MATCH(ROW()-4,'04_調査結果'!$AZ$5:$AZ$404,0),"")</f>
        <v/>
      </c>
    </row>
    <row r="227">
      <c r="A227">
        <f>IF($AL227="","",'01_設定'!$C$36)</f>
        <v/>
      </c>
      <c r="B227">
        <f>IF($AL227="","",'01_設定'!$C$5)</f>
        <v/>
      </c>
      <c r="C227">
        <f>IF($AL227="","",'01_設定'!$C$6)</f>
        <v/>
      </c>
      <c r="D227" s="36">
        <f>IF($AL227="","",'01_設定'!$C$22)</f>
        <v/>
      </c>
      <c r="E227" s="36">
        <f>IF($AL227="","",'01_設定'!$C$23)</f>
        <v/>
      </c>
      <c r="F227">
        <f>IF($AL227="","",'01_設定'!$C$32)</f>
        <v/>
      </c>
      <c r="G227">
        <f>IF($AL227="","",ROW()-4)</f>
        <v/>
      </c>
      <c r="H227">
        <f>IF($AL227="","",INDEX('04_調査結果'!$AO$5:$AO$404,$AL227))</f>
        <v/>
      </c>
      <c r="I227">
        <f>IF($AL227="","",IFERROR(INDEX('M2_区分マスタ'!$I$5:$I$10,INDEX('04_調査結果'!$AP$5:$AP$404,$AL227)),""))</f>
        <v/>
      </c>
      <c r="J227">
        <f>IF($AL227="","",INDEX('04_調査結果'!$BE$5:$BE$404,$AL227)&amp;"")</f>
        <v/>
      </c>
      <c r="K227">
        <f>IF($AL227="","",INDEX('04_調査結果'!$F$5:$F$404,$AL227)&amp;"")</f>
        <v/>
      </c>
      <c r="L227">
        <f>IF($AL227="","",INDEX('04_調査結果'!$G$5:$G$404,$AL227)&amp;"")</f>
        <v/>
      </c>
      <c r="M227">
        <f>IF($AL227="","",INDEX('04_調査結果'!$AQ$5:$AQ$404,$AL227)&amp;"")</f>
        <v/>
      </c>
      <c r="N227">
        <f>IF($AL227="","",IFERROR(INDEX('M1_類型マスタ'!$B$5:$B$19,MATCH(M227,'M1_類型マスタ'!$A$5:$A$19,0)),""))</f>
        <v/>
      </c>
      <c r="O227">
        <f>IF($AL227="","",INDEX('04_調査結果'!$I$5:$I$404,$AL227)&amp;"")</f>
        <v/>
      </c>
      <c r="P227">
        <f>IF($AL227="","",INDEX('04_調査結果'!$J$5:$J$404,$AL227)&amp;"")</f>
        <v/>
      </c>
      <c r="Q227">
        <f>IF($AL227="","",INDEX('04_調査結果'!$K$5:$K$404,$AL227)&amp;"")</f>
        <v/>
      </c>
      <c r="R227">
        <f>IF($AL227="","",INDEX('04_調査結果'!$L$5:$L$404,$AL227)&amp;"")</f>
        <v/>
      </c>
      <c r="S227">
        <f>IF($AL227="","",INDEX('04_調査結果'!$M$5:$M$404,$AL227)&amp;"")</f>
        <v/>
      </c>
      <c r="T227" s="33">
        <f>IF($AL227="","",IF(INDEX('04_調査結果'!$AE$5:$AE$404,$AL227)&lt;&gt;"",INDEX('04_調査結果'!$AE$5:$AE$404,$AL227),INDEX('04_調査結果'!$AS$5:$AS$404,$AL227)))</f>
        <v/>
      </c>
      <c r="U227" s="33">
        <f>IF($AL227="","",IF(INDEX('04_調査結果'!$AF$5:$AF$404,$AL227)&lt;&gt;"",INDEX('04_調査結果'!$AF$5:$AF$404,$AL227),INDEX('04_調査結果'!$AT$5:$AT$404,$AL227)))</f>
        <v/>
      </c>
      <c r="V227" s="33">
        <f>IF($AL227="","",INDEX('04_調査結果'!$AI$5:$AI$404,$AL227))</f>
        <v/>
      </c>
      <c r="W227">
        <f>IF($AL227="","",INDEX('04_調査結果'!$AU$5:$AU$404,$AL227))</f>
        <v/>
      </c>
      <c r="X227" s="37">
        <f>IF($AL227="","",INDEX('04_調査結果'!$AW$5:$AW$404,$AL227))</f>
        <v/>
      </c>
      <c r="Y227" s="37">
        <f>IF($AL227="","",INDEX('04_調査結果'!$AX$5:$AX$404,$AL227))</f>
        <v/>
      </c>
      <c r="Z227">
        <f>IF($AL227="","",INDEX('04_調査結果'!$S$5:$S$404,$AL227)&amp;"")</f>
        <v/>
      </c>
      <c r="AA227">
        <f>IF($AL227="","",INDEX('04_調査結果'!$T$5:$T$404,$AL227))</f>
        <v/>
      </c>
      <c r="AB227">
        <f>IF($AL227="","",INDEX('04_調査結果'!$U$5:$U$404,$AL227))</f>
        <v/>
      </c>
      <c r="AC227">
        <f>IF($AL227="","",INDEX('04_調査結果'!$V$5:$V$404,$AL227))</f>
        <v/>
      </c>
      <c r="AD227">
        <f>IF($AL227="","",INDEX('04_調査結果'!$W$5:$W$404,$AL227))</f>
        <v/>
      </c>
      <c r="AE227">
        <f>IF($AL227="","",INDEX('04_調査結果'!$X$5:$X$404,$AL227))</f>
        <v/>
      </c>
      <c r="AF227">
        <f>IF($AL227="","",INDEX('04_調査結果'!$Y$5:$Y$404,$AL227))</f>
        <v/>
      </c>
      <c r="AG227">
        <f>IF($AL227="","",INDEX('04_調査結果'!$Z$5:$Z$404,$AL227))</f>
        <v/>
      </c>
      <c r="AH227">
        <f>IF($AL227="","",INDEX('04_調査結果'!$AK$5:$AK$404,$AL227))</f>
        <v/>
      </c>
      <c r="AI227">
        <f>IF($AL227="","",INDEX('04_調査結果'!$AH$5:$AH$404,$AL227)&amp;"")</f>
        <v/>
      </c>
      <c r="AJ227">
        <f>IF($AL227="","",INDEX('04_調査結果'!$AA$5:$AA$404,$AL227)&amp;"")</f>
        <v/>
      </c>
      <c r="AK227">
        <f>IF($AL227="","",INDEX('04_調査結果'!$AC$5:$AC$404,$AL227)&amp;"")</f>
        <v/>
      </c>
      <c r="AL227" s="34">
        <f>IFERROR(MATCH(ROW()-4,'04_調査結果'!$AZ$5:$AZ$404,0),"")</f>
        <v/>
      </c>
    </row>
    <row r="228">
      <c r="A228">
        <f>IF($AL228="","",'01_設定'!$C$36)</f>
        <v/>
      </c>
      <c r="B228">
        <f>IF($AL228="","",'01_設定'!$C$5)</f>
        <v/>
      </c>
      <c r="C228">
        <f>IF($AL228="","",'01_設定'!$C$6)</f>
        <v/>
      </c>
      <c r="D228" s="36">
        <f>IF($AL228="","",'01_設定'!$C$22)</f>
        <v/>
      </c>
      <c r="E228" s="36">
        <f>IF($AL228="","",'01_設定'!$C$23)</f>
        <v/>
      </c>
      <c r="F228">
        <f>IF($AL228="","",'01_設定'!$C$32)</f>
        <v/>
      </c>
      <c r="G228">
        <f>IF($AL228="","",ROW()-4)</f>
        <v/>
      </c>
      <c r="H228">
        <f>IF($AL228="","",INDEX('04_調査結果'!$AO$5:$AO$404,$AL228))</f>
        <v/>
      </c>
      <c r="I228">
        <f>IF($AL228="","",IFERROR(INDEX('M2_区分マスタ'!$I$5:$I$10,INDEX('04_調査結果'!$AP$5:$AP$404,$AL228)),""))</f>
        <v/>
      </c>
      <c r="J228">
        <f>IF($AL228="","",INDEX('04_調査結果'!$BE$5:$BE$404,$AL228)&amp;"")</f>
        <v/>
      </c>
      <c r="K228">
        <f>IF($AL228="","",INDEX('04_調査結果'!$F$5:$F$404,$AL228)&amp;"")</f>
        <v/>
      </c>
      <c r="L228">
        <f>IF($AL228="","",INDEX('04_調査結果'!$G$5:$G$404,$AL228)&amp;"")</f>
        <v/>
      </c>
      <c r="M228">
        <f>IF($AL228="","",INDEX('04_調査結果'!$AQ$5:$AQ$404,$AL228)&amp;"")</f>
        <v/>
      </c>
      <c r="N228">
        <f>IF($AL228="","",IFERROR(INDEX('M1_類型マスタ'!$B$5:$B$19,MATCH(M228,'M1_類型マスタ'!$A$5:$A$19,0)),""))</f>
        <v/>
      </c>
      <c r="O228">
        <f>IF($AL228="","",INDEX('04_調査結果'!$I$5:$I$404,$AL228)&amp;"")</f>
        <v/>
      </c>
      <c r="P228">
        <f>IF($AL228="","",INDEX('04_調査結果'!$J$5:$J$404,$AL228)&amp;"")</f>
        <v/>
      </c>
      <c r="Q228">
        <f>IF($AL228="","",INDEX('04_調査結果'!$K$5:$K$404,$AL228)&amp;"")</f>
        <v/>
      </c>
      <c r="R228">
        <f>IF($AL228="","",INDEX('04_調査結果'!$L$5:$L$404,$AL228)&amp;"")</f>
        <v/>
      </c>
      <c r="S228">
        <f>IF($AL228="","",INDEX('04_調査結果'!$M$5:$M$404,$AL228)&amp;"")</f>
        <v/>
      </c>
      <c r="T228" s="33">
        <f>IF($AL228="","",IF(INDEX('04_調査結果'!$AE$5:$AE$404,$AL228)&lt;&gt;"",INDEX('04_調査結果'!$AE$5:$AE$404,$AL228),INDEX('04_調査結果'!$AS$5:$AS$404,$AL228)))</f>
        <v/>
      </c>
      <c r="U228" s="33">
        <f>IF($AL228="","",IF(INDEX('04_調査結果'!$AF$5:$AF$404,$AL228)&lt;&gt;"",INDEX('04_調査結果'!$AF$5:$AF$404,$AL228),INDEX('04_調査結果'!$AT$5:$AT$404,$AL228)))</f>
        <v/>
      </c>
      <c r="V228" s="33">
        <f>IF($AL228="","",INDEX('04_調査結果'!$AI$5:$AI$404,$AL228))</f>
        <v/>
      </c>
      <c r="W228">
        <f>IF($AL228="","",INDEX('04_調査結果'!$AU$5:$AU$404,$AL228))</f>
        <v/>
      </c>
      <c r="X228" s="37">
        <f>IF($AL228="","",INDEX('04_調査結果'!$AW$5:$AW$404,$AL228))</f>
        <v/>
      </c>
      <c r="Y228" s="37">
        <f>IF($AL228="","",INDEX('04_調査結果'!$AX$5:$AX$404,$AL228))</f>
        <v/>
      </c>
      <c r="Z228">
        <f>IF($AL228="","",INDEX('04_調査結果'!$S$5:$S$404,$AL228)&amp;"")</f>
        <v/>
      </c>
      <c r="AA228">
        <f>IF($AL228="","",INDEX('04_調査結果'!$T$5:$T$404,$AL228))</f>
        <v/>
      </c>
      <c r="AB228">
        <f>IF($AL228="","",INDEX('04_調査結果'!$U$5:$U$404,$AL228))</f>
        <v/>
      </c>
      <c r="AC228">
        <f>IF($AL228="","",INDEX('04_調査結果'!$V$5:$V$404,$AL228))</f>
        <v/>
      </c>
      <c r="AD228">
        <f>IF($AL228="","",INDEX('04_調査結果'!$W$5:$W$404,$AL228))</f>
        <v/>
      </c>
      <c r="AE228">
        <f>IF($AL228="","",INDEX('04_調査結果'!$X$5:$X$404,$AL228))</f>
        <v/>
      </c>
      <c r="AF228">
        <f>IF($AL228="","",INDEX('04_調査結果'!$Y$5:$Y$404,$AL228))</f>
        <v/>
      </c>
      <c r="AG228">
        <f>IF($AL228="","",INDEX('04_調査結果'!$Z$5:$Z$404,$AL228))</f>
        <v/>
      </c>
      <c r="AH228">
        <f>IF($AL228="","",INDEX('04_調査結果'!$AK$5:$AK$404,$AL228))</f>
        <v/>
      </c>
      <c r="AI228">
        <f>IF($AL228="","",INDEX('04_調査結果'!$AH$5:$AH$404,$AL228)&amp;"")</f>
        <v/>
      </c>
      <c r="AJ228">
        <f>IF($AL228="","",INDEX('04_調査結果'!$AA$5:$AA$404,$AL228)&amp;"")</f>
        <v/>
      </c>
      <c r="AK228">
        <f>IF($AL228="","",INDEX('04_調査結果'!$AC$5:$AC$404,$AL228)&amp;"")</f>
        <v/>
      </c>
      <c r="AL228" s="34">
        <f>IFERROR(MATCH(ROW()-4,'04_調査結果'!$AZ$5:$AZ$404,0),"")</f>
        <v/>
      </c>
    </row>
    <row r="229">
      <c r="A229">
        <f>IF($AL229="","",'01_設定'!$C$36)</f>
        <v/>
      </c>
      <c r="B229">
        <f>IF($AL229="","",'01_設定'!$C$5)</f>
        <v/>
      </c>
      <c r="C229">
        <f>IF($AL229="","",'01_設定'!$C$6)</f>
        <v/>
      </c>
      <c r="D229" s="36">
        <f>IF($AL229="","",'01_設定'!$C$22)</f>
        <v/>
      </c>
      <c r="E229" s="36">
        <f>IF($AL229="","",'01_設定'!$C$23)</f>
        <v/>
      </c>
      <c r="F229">
        <f>IF($AL229="","",'01_設定'!$C$32)</f>
        <v/>
      </c>
      <c r="G229">
        <f>IF($AL229="","",ROW()-4)</f>
        <v/>
      </c>
      <c r="H229">
        <f>IF($AL229="","",INDEX('04_調査結果'!$AO$5:$AO$404,$AL229))</f>
        <v/>
      </c>
      <c r="I229">
        <f>IF($AL229="","",IFERROR(INDEX('M2_区分マスタ'!$I$5:$I$10,INDEX('04_調査結果'!$AP$5:$AP$404,$AL229)),""))</f>
        <v/>
      </c>
      <c r="J229">
        <f>IF($AL229="","",INDEX('04_調査結果'!$BE$5:$BE$404,$AL229)&amp;"")</f>
        <v/>
      </c>
      <c r="K229">
        <f>IF($AL229="","",INDEX('04_調査結果'!$F$5:$F$404,$AL229)&amp;"")</f>
        <v/>
      </c>
      <c r="L229">
        <f>IF($AL229="","",INDEX('04_調査結果'!$G$5:$G$404,$AL229)&amp;"")</f>
        <v/>
      </c>
      <c r="M229">
        <f>IF($AL229="","",INDEX('04_調査結果'!$AQ$5:$AQ$404,$AL229)&amp;"")</f>
        <v/>
      </c>
      <c r="N229">
        <f>IF($AL229="","",IFERROR(INDEX('M1_類型マスタ'!$B$5:$B$19,MATCH(M229,'M1_類型マスタ'!$A$5:$A$19,0)),""))</f>
        <v/>
      </c>
      <c r="O229">
        <f>IF($AL229="","",INDEX('04_調査結果'!$I$5:$I$404,$AL229)&amp;"")</f>
        <v/>
      </c>
      <c r="P229">
        <f>IF($AL229="","",INDEX('04_調査結果'!$J$5:$J$404,$AL229)&amp;"")</f>
        <v/>
      </c>
      <c r="Q229">
        <f>IF($AL229="","",INDEX('04_調査結果'!$K$5:$K$404,$AL229)&amp;"")</f>
        <v/>
      </c>
      <c r="R229">
        <f>IF($AL229="","",INDEX('04_調査結果'!$L$5:$L$404,$AL229)&amp;"")</f>
        <v/>
      </c>
      <c r="S229">
        <f>IF($AL229="","",INDEX('04_調査結果'!$M$5:$M$404,$AL229)&amp;"")</f>
        <v/>
      </c>
      <c r="T229" s="33">
        <f>IF($AL229="","",IF(INDEX('04_調査結果'!$AE$5:$AE$404,$AL229)&lt;&gt;"",INDEX('04_調査結果'!$AE$5:$AE$404,$AL229),INDEX('04_調査結果'!$AS$5:$AS$404,$AL229)))</f>
        <v/>
      </c>
      <c r="U229" s="33">
        <f>IF($AL229="","",IF(INDEX('04_調査結果'!$AF$5:$AF$404,$AL229)&lt;&gt;"",INDEX('04_調査結果'!$AF$5:$AF$404,$AL229),INDEX('04_調査結果'!$AT$5:$AT$404,$AL229)))</f>
        <v/>
      </c>
      <c r="V229" s="33">
        <f>IF($AL229="","",INDEX('04_調査結果'!$AI$5:$AI$404,$AL229))</f>
        <v/>
      </c>
      <c r="W229">
        <f>IF($AL229="","",INDEX('04_調査結果'!$AU$5:$AU$404,$AL229))</f>
        <v/>
      </c>
      <c r="X229" s="37">
        <f>IF($AL229="","",INDEX('04_調査結果'!$AW$5:$AW$404,$AL229))</f>
        <v/>
      </c>
      <c r="Y229" s="37">
        <f>IF($AL229="","",INDEX('04_調査結果'!$AX$5:$AX$404,$AL229))</f>
        <v/>
      </c>
      <c r="Z229">
        <f>IF($AL229="","",INDEX('04_調査結果'!$S$5:$S$404,$AL229)&amp;"")</f>
        <v/>
      </c>
      <c r="AA229">
        <f>IF($AL229="","",INDEX('04_調査結果'!$T$5:$T$404,$AL229))</f>
        <v/>
      </c>
      <c r="AB229">
        <f>IF($AL229="","",INDEX('04_調査結果'!$U$5:$U$404,$AL229))</f>
        <v/>
      </c>
      <c r="AC229">
        <f>IF($AL229="","",INDEX('04_調査結果'!$V$5:$V$404,$AL229))</f>
        <v/>
      </c>
      <c r="AD229">
        <f>IF($AL229="","",INDEX('04_調査結果'!$W$5:$W$404,$AL229))</f>
        <v/>
      </c>
      <c r="AE229">
        <f>IF($AL229="","",INDEX('04_調査結果'!$X$5:$X$404,$AL229))</f>
        <v/>
      </c>
      <c r="AF229">
        <f>IF($AL229="","",INDEX('04_調査結果'!$Y$5:$Y$404,$AL229))</f>
        <v/>
      </c>
      <c r="AG229">
        <f>IF($AL229="","",INDEX('04_調査結果'!$Z$5:$Z$404,$AL229))</f>
        <v/>
      </c>
      <c r="AH229">
        <f>IF($AL229="","",INDEX('04_調査結果'!$AK$5:$AK$404,$AL229))</f>
        <v/>
      </c>
      <c r="AI229">
        <f>IF($AL229="","",INDEX('04_調査結果'!$AH$5:$AH$404,$AL229)&amp;"")</f>
        <v/>
      </c>
      <c r="AJ229">
        <f>IF($AL229="","",INDEX('04_調査結果'!$AA$5:$AA$404,$AL229)&amp;"")</f>
        <v/>
      </c>
      <c r="AK229">
        <f>IF($AL229="","",INDEX('04_調査結果'!$AC$5:$AC$404,$AL229)&amp;"")</f>
        <v/>
      </c>
      <c r="AL229" s="34">
        <f>IFERROR(MATCH(ROW()-4,'04_調査結果'!$AZ$5:$AZ$404,0),"")</f>
        <v/>
      </c>
    </row>
    <row r="230">
      <c r="A230">
        <f>IF($AL230="","",'01_設定'!$C$36)</f>
        <v/>
      </c>
      <c r="B230">
        <f>IF($AL230="","",'01_設定'!$C$5)</f>
        <v/>
      </c>
      <c r="C230">
        <f>IF($AL230="","",'01_設定'!$C$6)</f>
        <v/>
      </c>
      <c r="D230" s="36">
        <f>IF($AL230="","",'01_設定'!$C$22)</f>
        <v/>
      </c>
      <c r="E230" s="36">
        <f>IF($AL230="","",'01_設定'!$C$23)</f>
        <v/>
      </c>
      <c r="F230">
        <f>IF($AL230="","",'01_設定'!$C$32)</f>
        <v/>
      </c>
      <c r="G230">
        <f>IF($AL230="","",ROW()-4)</f>
        <v/>
      </c>
      <c r="H230">
        <f>IF($AL230="","",INDEX('04_調査結果'!$AO$5:$AO$404,$AL230))</f>
        <v/>
      </c>
      <c r="I230">
        <f>IF($AL230="","",IFERROR(INDEX('M2_区分マスタ'!$I$5:$I$10,INDEX('04_調査結果'!$AP$5:$AP$404,$AL230)),""))</f>
        <v/>
      </c>
      <c r="J230">
        <f>IF($AL230="","",INDEX('04_調査結果'!$BE$5:$BE$404,$AL230)&amp;"")</f>
        <v/>
      </c>
      <c r="K230">
        <f>IF($AL230="","",INDEX('04_調査結果'!$F$5:$F$404,$AL230)&amp;"")</f>
        <v/>
      </c>
      <c r="L230">
        <f>IF($AL230="","",INDEX('04_調査結果'!$G$5:$G$404,$AL230)&amp;"")</f>
        <v/>
      </c>
      <c r="M230">
        <f>IF($AL230="","",INDEX('04_調査結果'!$AQ$5:$AQ$404,$AL230)&amp;"")</f>
        <v/>
      </c>
      <c r="N230">
        <f>IF($AL230="","",IFERROR(INDEX('M1_類型マスタ'!$B$5:$B$19,MATCH(M230,'M1_類型マスタ'!$A$5:$A$19,0)),""))</f>
        <v/>
      </c>
      <c r="O230">
        <f>IF($AL230="","",INDEX('04_調査結果'!$I$5:$I$404,$AL230)&amp;"")</f>
        <v/>
      </c>
      <c r="P230">
        <f>IF($AL230="","",INDEX('04_調査結果'!$J$5:$J$404,$AL230)&amp;"")</f>
        <v/>
      </c>
      <c r="Q230">
        <f>IF($AL230="","",INDEX('04_調査結果'!$K$5:$K$404,$AL230)&amp;"")</f>
        <v/>
      </c>
      <c r="R230">
        <f>IF($AL230="","",INDEX('04_調査結果'!$L$5:$L$404,$AL230)&amp;"")</f>
        <v/>
      </c>
      <c r="S230">
        <f>IF($AL230="","",INDEX('04_調査結果'!$M$5:$M$404,$AL230)&amp;"")</f>
        <v/>
      </c>
      <c r="T230" s="33">
        <f>IF($AL230="","",IF(INDEX('04_調査結果'!$AE$5:$AE$404,$AL230)&lt;&gt;"",INDEX('04_調査結果'!$AE$5:$AE$404,$AL230),INDEX('04_調査結果'!$AS$5:$AS$404,$AL230)))</f>
        <v/>
      </c>
      <c r="U230" s="33">
        <f>IF($AL230="","",IF(INDEX('04_調査結果'!$AF$5:$AF$404,$AL230)&lt;&gt;"",INDEX('04_調査結果'!$AF$5:$AF$404,$AL230),INDEX('04_調査結果'!$AT$5:$AT$404,$AL230)))</f>
        <v/>
      </c>
      <c r="V230" s="33">
        <f>IF($AL230="","",INDEX('04_調査結果'!$AI$5:$AI$404,$AL230))</f>
        <v/>
      </c>
      <c r="W230">
        <f>IF($AL230="","",INDEX('04_調査結果'!$AU$5:$AU$404,$AL230))</f>
        <v/>
      </c>
      <c r="X230" s="37">
        <f>IF($AL230="","",INDEX('04_調査結果'!$AW$5:$AW$404,$AL230))</f>
        <v/>
      </c>
      <c r="Y230" s="37">
        <f>IF($AL230="","",INDEX('04_調査結果'!$AX$5:$AX$404,$AL230))</f>
        <v/>
      </c>
      <c r="Z230">
        <f>IF($AL230="","",INDEX('04_調査結果'!$S$5:$S$404,$AL230)&amp;"")</f>
        <v/>
      </c>
      <c r="AA230">
        <f>IF($AL230="","",INDEX('04_調査結果'!$T$5:$T$404,$AL230))</f>
        <v/>
      </c>
      <c r="AB230">
        <f>IF($AL230="","",INDEX('04_調査結果'!$U$5:$U$404,$AL230))</f>
        <v/>
      </c>
      <c r="AC230">
        <f>IF($AL230="","",INDEX('04_調査結果'!$V$5:$V$404,$AL230))</f>
        <v/>
      </c>
      <c r="AD230">
        <f>IF($AL230="","",INDEX('04_調査結果'!$W$5:$W$404,$AL230))</f>
        <v/>
      </c>
      <c r="AE230">
        <f>IF($AL230="","",INDEX('04_調査結果'!$X$5:$X$404,$AL230))</f>
        <v/>
      </c>
      <c r="AF230">
        <f>IF($AL230="","",INDEX('04_調査結果'!$Y$5:$Y$404,$AL230))</f>
        <v/>
      </c>
      <c r="AG230">
        <f>IF($AL230="","",INDEX('04_調査結果'!$Z$5:$Z$404,$AL230))</f>
        <v/>
      </c>
      <c r="AH230">
        <f>IF($AL230="","",INDEX('04_調査結果'!$AK$5:$AK$404,$AL230))</f>
        <v/>
      </c>
      <c r="AI230">
        <f>IF($AL230="","",INDEX('04_調査結果'!$AH$5:$AH$404,$AL230)&amp;"")</f>
        <v/>
      </c>
      <c r="AJ230">
        <f>IF($AL230="","",INDEX('04_調査結果'!$AA$5:$AA$404,$AL230)&amp;"")</f>
        <v/>
      </c>
      <c r="AK230">
        <f>IF($AL230="","",INDEX('04_調査結果'!$AC$5:$AC$404,$AL230)&amp;"")</f>
        <v/>
      </c>
      <c r="AL230" s="34">
        <f>IFERROR(MATCH(ROW()-4,'04_調査結果'!$AZ$5:$AZ$404,0),"")</f>
        <v/>
      </c>
    </row>
    <row r="231">
      <c r="A231">
        <f>IF($AL231="","",'01_設定'!$C$36)</f>
        <v/>
      </c>
      <c r="B231">
        <f>IF($AL231="","",'01_設定'!$C$5)</f>
        <v/>
      </c>
      <c r="C231">
        <f>IF($AL231="","",'01_設定'!$C$6)</f>
        <v/>
      </c>
      <c r="D231" s="36">
        <f>IF($AL231="","",'01_設定'!$C$22)</f>
        <v/>
      </c>
      <c r="E231" s="36">
        <f>IF($AL231="","",'01_設定'!$C$23)</f>
        <v/>
      </c>
      <c r="F231">
        <f>IF($AL231="","",'01_設定'!$C$32)</f>
        <v/>
      </c>
      <c r="G231">
        <f>IF($AL231="","",ROW()-4)</f>
        <v/>
      </c>
      <c r="H231">
        <f>IF($AL231="","",INDEX('04_調査結果'!$AO$5:$AO$404,$AL231))</f>
        <v/>
      </c>
      <c r="I231">
        <f>IF($AL231="","",IFERROR(INDEX('M2_区分マスタ'!$I$5:$I$10,INDEX('04_調査結果'!$AP$5:$AP$404,$AL231)),""))</f>
        <v/>
      </c>
      <c r="J231">
        <f>IF($AL231="","",INDEX('04_調査結果'!$BE$5:$BE$404,$AL231)&amp;"")</f>
        <v/>
      </c>
      <c r="K231">
        <f>IF($AL231="","",INDEX('04_調査結果'!$F$5:$F$404,$AL231)&amp;"")</f>
        <v/>
      </c>
      <c r="L231">
        <f>IF($AL231="","",INDEX('04_調査結果'!$G$5:$G$404,$AL231)&amp;"")</f>
        <v/>
      </c>
      <c r="M231">
        <f>IF($AL231="","",INDEX('04_調査結果'!$AQ$5:$AQ$404,$AL231)&amp;"")</f>
        <v/>
      </c>
      <c r="N231">
        <f>IF($AL231="","",IFERROR(INDEX('M1_類型マスタ'!$B$5:$B$19,MATCH(M231,'M1_類型マスタ'!$A$5:$A$19,0)),""))</f>
        <v/>
      </c>
      <c r="O231">
        <f>IF($AL231="","",INDEX('04_調査結果'!$I$5:$I$404,$AL231)&amp;"")</f>
        <v/>
      </c>
      <c r="P231">
        <f>IF($AL231="","",INDEX('04_調査結果'!$J$5:$J$404,$AL231)&amp;"")</f>
        <v/>
      </c>
      <c r="Q231">
        <f>IF($AL231="","",INDEX('04_調査結果'!$K$5:$K$404,$AL231)&amp;"")</f>
        <v/>
      </c>
      <c r="R231">
        <f>IF($AL231="","",INDEX('04_調査結果'!$L$5:$L$404,$AL231)&amp;"")</f>
        <v/>
      </c>
      <c r="S231">
        <f>IF($AL231="","",INDEX('04_調査結果'!$M$5:$M$404,$AL231)&amp;"")</f>
        <v/>
      </c>
      <c r="T231" s="33">
        <f>IF($AL231="","",IF(INDEX('04_調査結果'!$AE$5:$AE$404,$AL231)&lt;&gt;"",INDEX('04_調査結果'!$AE$5:$AE$404,$AL231),INDEX('04_調査結果'!$AS$5:$AS$404,$AL231)))</f>
        <v/>
      </c>
      <c r="U231" s="33">
        <f>IF($AL231="","",IF(INDEX('04_調査結果'!$AF$5:$AF$404,$AL231)&lt;&gt;"",INDEX('04_調査結果'!$AF$5:$AF$404,$AL231),INDEX('04_調査結果'!$AT$5:$AT$404,$AL231)))</f>
        <v/>
      </c>
      <c r="V231" s="33">
        <f>IF($AL231="","",INDEX('04_調査結果'!$AI$5:$AI$404,$AL231))</f>
        <v/>
      </c>
      <c r="W231">
        <f>IF($AL231="","",INDEX('04_調査結果'!$AU$5:$AU$404,$AL231))</f>
        <v/>
      </c>
      <c r="X231" s="37">
        <f>IF($AL231="","",INDEX('04_調査結果'!$AW$5:$AW$404,$AL231))</f>
        <v/>
      </c>
      <c r="Y231" s="37">
        <f>IF($AL231="","",INDEX('04_調査結果'!$AX$5:$AX$404,$AL231))</f>
        <v/>
      </c>
      <c r="Z231">
        <f>IF($AL231="","",INDEX('04_調査結果'!$S$5:$S$404,$AL231)&amp;"")</f>
        <v/>
      </c>
      <c r="AA231">
        <f>IF($AL231="","",INDEX('04_調査結果'!$T$5:$T$404,$AL231))</f>
        <v/>
      </c>
      <c r="AB231">
        <f>IF($AL231="","",INDEX('04_調査結果'!$U$5:$U$404,$AL231))</f>
        <v/>
      </c>
      <c r="AC231">
        <f>IF($AL231="","",INDEX('04_調査結果'!$V$5:$V$404,$AL231))</f>
        <v/>
      </c>
      <c r="AD231">
        <f>IF($AL231="","",INDEX('04_調査結果'!$W$5:$W$404,$AL231))</f>
        <v/>
      </c>
      <c r="AE231">
        <f>IF($AL231="","",INDEX('04_調査結果'!$X$5:$X$404,$AL231))</f>
        <v/>
      </c>
      <c r="AF231">
        <f>IF($AL231="","",INDEX('04_調査結果'!$Y$5:$Y$404,$AL231))</f>
        <v/>
      </c>
      <c r="AG231">
        <f>IF($AL231="","",INDEX('04_調査結果'!$Z$5:$Z$404,$AL231))</f>
        <v/>
      </c>
      <c r="AH231">
        <f>IF($AL231="","",INDEX('04_調査結果'!$AK$5:$AK$404,$AL231))</f>
        <v/>
      </c>
      <c r="AI231">
        <f>IF($AL231="","",INDEX('04_調査結果'!$AH$5:$AH$404,$AL231)&amp;"")</f>
        <v/>
      </c>
      <c r="AJ231">
        <f>IF($AL231="","",INDEX('04_調査結果'!$AA$5:$AA$404,$AL231)&amp;"")</f>
        <v/>
      </c>
      <c r="AK231">
        <f>IF($AL231="","",INDEX('04_調査結果'!$AC$5:$AC$404,$AL231)&amp;"")</f>
        <v/>
      </c>
      <c r="AL231" s="34">
        <f>IFERROR(MATCH(ROW()-4,'04_調査結果'!$AZ$5:$AZ$404,0),"")</f>
        <v/>
      </c>
    </row>
    <row r="232">
      <c r="A232">
        <f>IF($AL232="","",'01_設定'!$C$36)</f>
        <v/>
      </c>
      <c r="B232">
        <f>IF($AL232="","",'01_設定'!$C$5)</f>
        <v/>
      </c>
      <c r="C232">
        <f>IF($AL232="","",'01_設定'!$C$6)</f>
        <v/>
      </c>
      <c r="D232" s="36">
        <f>IF($AL232="","",'01_設定'!$C$22)</f>
        <v/>
      </c>
      <c r="E232" s="36">
        <f>IF($AL232="","",'01_設定'!$C$23)</f>
        <v/>
      </c>
      <c r="F232">
        <f>IF($AL232="","",'01_設定'!$C$32)</f>
        <v/>
      </c>
      <c r="G232">
        <f>IF($AL232="","",ROW()-4)</f>
        <v/>
      </c>
      <c r="H232">
        <f>IF($AL232="","",INDEX('04_調査結果'!$AO$5:$AO$404,$AL232))</f>
        <v/>
      </c>
      <c r="I232">
        <f>IF($AL232="","",IFERROR(INDEX('M2_区分マスタ'!$I$5:$I$10,INDEX('04_調査結果'!$AP$5:$AP$404,$AL232)),""))</f>
        <v/>
      </c>
      <c r="J232">
        <f>IF($AL232="","",INDEX('04_調査結果'!$BE$5:$BE$404,$AL232)&amp;"")</f>
        <v/>
      </c>
      <c r="K232">
        <f>IF($AL232="","",INDEX('04_調査結果'!$F$5:$F$404,$AL232)&amp;"")</f>
        <v/>
      </c>
      <c r="L232">
        <f>IF($AL232="","",INDEX('04_調査結果'!$G$5:$G$404,$AL232)&amp;"")</f>
        <v/>
      </c>
      <c r="M232">
        <f>IF($AL232="","",INDEX('04_調査結果'!$AQ$5:$AQ$404,$AL232)&amp;"")</f>
        <v/>
      </c>
      <c r="N232">
        <f>IF($AL232="","",IFERROR(INDEX('M1_類型マスタ'!$B$5:$B$19,MATCH(M232,'M1_類型マスタ'!$A$5:$A$19,0)),""))</f>
        <v/>
      </c>
      <c r="O232">
        <f>IF($AL232="","",INDEX('04_調査結果'!$I$5:$I$404,$AL232)&amp;"")</f>
        <v/>
      </c>
      <c r="P232">
        <f>IF($AL232="","",INDEX('04_調査結果'!$J$5:$J$404,$AL232)&amp;"")</f>
        <v/>
      </c>
      <c r="Q232">
        <f>IF($AL232="","",INDEX('04_調査結果'!$K$5:$K$404,$AL232)&amp;"")</f>
        <v/>
      </c>
      <c r="R232">
        <f>IF($AL232="","",INDEX('04_調査結果'!$L$5:$L$404,$AL232)&amp;"")</f>
        <v/>
      </c>
      <c r="S232">
        <f>IF($AL232="","",INDEX('04_調査結果'!$M$5:$M$404,$AL232)&amp;"")</f>
        <v/>
      </c>
      <c r="T232" s="33">
        <f>IF($AL232="","",IF(INDEX('04_調査結果'!$AE$5:$AE$404,$AL232)&lt;&gt;"",INDEX('04_調査結果'!$AE$5:$AE$404,$AL232),INDEX('04_調査結果'!$AS$5:$AS$404,$AL232)))</f>
        <v/>
      </c>
      <c r="U232" s="33">
        <f>IF($AL232="","",IF(INDEX('04_調査結果'!$AF$5:$AF$404,$AL232)&lt;&gt;"",INDEX('04_調査結果'!$AF$5:$AF$404,$AL232),INDEX('04_調査結果'!$AT$5:$AT$404,$AL232)))</f>
        <v/>
      </c>
      <c r="V232" s="33">
        <f>IF($AL232="","",INDEX('04_調査結果'!$AI$5:$AI$404,$AL232))</f>
        <v/>
      </c>
      <c r="W232">
        <f>IF($AL232="","",INDEX('04_調査結果'!$AU$5:$AU$404,$AL232))</f>
        <v/>
      </c>
      <c r="X232" s="37">
        <f>IF($AL232="","",INDEX('04_調査結果'!$AW$5:$AW$404,$AL232))</f>
        <v/>
      </c>
      <c r="Y232" s="37">
        <f>IF($AL232="","",INDEX('04_調査結果'!$AX$5:$AX$404,$AL232))</f>
        <v/>
      </c>
      <c r="Z232">
        <f>IF($AL232="","",INDEX('04_調査結果'!$S$5:$S$404,$AL232)&amp;"")</f>
        <v/>
      </c>
      <c r="AA232">
        <f>IF($AL232="","",INDEX('04_調査結果'!$T$5:$T$404,$AL232))</f>
        <v/>
      </c>
      <c r="AB232">
        <f>IF($AL232="","",INDEX('04_調査結果'!$U$5:$U$404,$AL232))</f>
        <v/>
      </c>
      <c r="AC232">
        <f>IF($AL232="","",INDEX('04_調査結果'!$V$5:$V$404,$AL232))</f>
        <v/>
      </c>
      <c r="AD232">
        <f>IF($AL232="","",INDEX('04_調査結果'!$W$5:$W$404,$AL232))</f>
        <v/>
      </c>
      <c r="AE232">
        <f>IF($AL232="","",INDEX('04_調査結果'!$X$5:$X$404,$AL232))</f>
        <v/>
      </c>
      <c r="AF232">
        <f>IF($AL232="","",INDEX('04_調査結果'!$Y$5:$Y$404,$AL232))</f>
        <v/>
      </c>
      <c r="AG232">
        <f>IF($AL232="","",INDEX('04_調査結果'!$Z$5:$Z$404,$AL232))</f>
        <v/>
      </c>
      <c r="AH232">
        <f>IF($AL232="","",INDEX('04_調査結果'!$AK$5:$AK$404,$AL232))</f>
        <v/>
      </c>
      <c r="AI232">
        <f>IF($AL232="","",INDEX('04_調査結果'!$AH$5:$AH$404,$AL232)&amp;"")</f>
        <v/>
      </c>
      <c r="AJ232">
        <f>IF($AL232="","",INDEX('04_調査結果'!$AA$5:$AA$404,$AL232)&amp;"")</f>
        <v/>
      </c>
      <c r="AK232">
        <f>IF($AL232="","",INDEX('04_調査結果'!$AC$5:$AC$404,$AL232)&amp;"")</f>
        <v/>
      </c>
      <c r="AL232" s="34">
        <f>IFERROR(MATCH(ROW()-4,'04_調査結果'!$AZ$5:$AZ$404,0),"")</f>
        <v/>
      </c>
    </row>
    <row r="233">
      <c r="A233">
        <f>IF($AL233="","",'01_設定'!$C$36)</f>
        <v/>
      </c>
      <c r="B233">
        <f>IF($AL233="","",'01_設定'!$C$5)</f>
        <v/>
      </c>
      <c r="C233">
        <f>IF($AL233="","",'01_設定'!$C$6)</f>
        <v/>
      </c>
      <c r="D233" s="36">
        <f>IF($AL233="","",'01_設定'!$C$22)</f>
        <v/>
      </c>
      <c r="E233" s="36">
        <f>IF($AL233="","",'01_設定'!$C$23)</f>
        <v/>
      </c>
      <c r="F233">
        <f>IF($AL233="","",'01_設定'!$C$32)</f>
        <v/>
      </c>
      <c r="G233">
        <f>IF($AL233="","",ROW()-4)</f>
        <v/>
      </c>
      <c r="H233">
        <f>IF($AL233="","",INDEX('04_調査結果'!$AO$5:$AO$404,$AL233))</f>
        <v/>
      </c>
      <c r="I233">
        <f>IF($AL233="","",IFERROR(INDEX('M2_区分マスタ'!$I$5:$I$10,INDEX('04_調査結果'!$AP$5:$AP$404,$AL233)),""))</f>
        <v/>
      </c>
      <c r="J233">
        <f>IF($AL233="","",INDEX('04_調査結果'!$BE$5:$BE$404,$AL233)&amp;"")</f>
        <v/>
      </c>
      <c r="K233">
        <f>IF($AL233="","",INDEX('04_調査結果'!$F$5:$F$404,$AL233)&amp;"")</f>
        <v/>
      </c>
      <c r="L233">
        <f>IF($AL233="","",INDEX('04_調査結果'!$G$5:$G$404,$AL233)&amp;"")</f>
        <v/>
      </c>
      <c r="M233">
        <f>IF($AL233="","",INDEX('04_調査結果'!$AQ$5:$AQ$404,$AL233)&amp;"")</f>
        <v/>
      </c>
      <c r="N233">
        <f>IF($AL233="","",IFERROR(INDEX('M1_類型マスタ'!$B$5:$B$19,MATCH(M233,'M1_類型マスタ'!$A$5:$A$19,0)),""))</f>
        <v/>
      </c>
      <c r="O233">
        <f>IF($AL233="","",INDEX('04_調査結果'!$I$5:$I$404,$AL233)&amp;"")</f>
        <v/>
      </c>
      <c r="P233">
        <f>IF($AL233="","",INDEX('04_調査結果'!$J$5:$J$404,$AL233)&amp;"")</f>
        <v/>
      </c>
      <c r="Q233">
        <f>IF($AL233="","",INDEX('04_調査結果'!$K$5:$K$404,$AL233)&amp;"")</f>
        <v/>
      </c>
      <c r="R233">
        <f>IF($AL233="","",INDEX('04_調査結果'!$L$5:$L$404,$AL233)&amp;"")</f>
        <v/>
      </c>
      <c r="S233">
        <f>IF($AL233="","",INDEX('04_調査結果'!$M$5:$M$404,$AL233)&amp;"")</f>
        <v/>
      </c>
      <c r="T233" s="33">
        <f>IF($AL233="","",IF(INDEX('04_調査結果'!$AE$5:$AE$404,$AL233)&lt;&gt;"",INDEX('04_調査結果'!$AE$5:$AE$404,$AL233),INDEX('04_調査結果'!$AS$5:$AS$404,$AL233)))</f>
        <v/>
      </c>
      <c r="U233" s="33">
        <f>IF($AL233="","",IF(INDEX('04_調査結果'!$AF$5:$AF$404,$AL233)&lt;&gt;"",INDEX('04_調査結果'!$AF$5:$AF$404,$AL233),INDEX('04_調査結果'!$AT$5:$AT$404,$AL233)))</f>
        <v/>
      </c>
      <c r="V233" s="33">
        <f>IF($AL233="","",INDEX('04_調査結果'!$AI$5:$AI$404,$AL233))</f>
        <v/>
      </c>
      <c r="W233">
        <f>IF($AL233="","",INDEX('04_調査結果'!$AU$5:$AU$404,$AL233))</f>
        <v/>
      </c>
      <c r="X233" s="37">
        <f>IF($AL233="","",INDEX('04_調査結果'!$AW$5:$AW$404,$AL233))</f>
        <v/>
      </c>
      <c r="Y233" s="37">
        <f>IF($AL233="","",INDEX('04_調査結果'!$AX$5:$AX$404,$AL233))</f>
        <v/>
      </c>
      <c r="Z233">
        <f>IF($AL233="","",INDEX('04_調査結果'!$S$5:$S$404,$AL233)&amp;"")</f>
        <v/>
      </c>
      <c r="AA233">
        <f>IF($AL233="","",INDEX('04_調査結果'!$T$5:$T$404,$AL233))</f>
        <v/>
      </c>
      <c r="AB233">
        <f>IF($AL233="","",INDEX('04_調査結果'!$U$5:$U$404,$AL233))</f>
        <v/>
      </c>
      <c r="AC233">
        <f>IF($AL233="","",INDEX('04_調査結果'!$V$5:$V$404,$AL233))</f>
        <v/>
      </c>
      <c r="AD233">
        <f>IF($AL233="","",INDEX('04_調査結果'!$W$5:$W$404,$AL233))</f>
        <v/>
      </c>
      <c r="AE233">
        <f>IF($AL233="","",INDEX('04_調査結果'!$X$5:$X$404,$AL233))</f>
        <v/>
      </c>
      <c r="AF233">
        <f>IF($AL233="","",INDEX('04_調査結果'!$Y$5:$Y$404,$AL233))</f>
        <v/>
      </c>
      <c r="AG233">
        <f>IF($AL233="","",INDEX('04_調査結果'!$Z$5:$Z$404,$AL233))</f>
        <v/>
      </c>
      <c r="AH233">
        <f>IF($AL233="","",INDEX('04_調査結果'!$AK$5:$AK$404,$AL233))</f>
        <v/>
      </c>
      <c r="AI233">
        <f>IF($AL233="","",INDEX('04_調査結果'!$AH$5:$AH$404,$AL233)&amp;"")</f>
        <v/>
      </c>
      <c r="AJ233">
        <f>IF($AL233="","",INDEX('04_調査結果'!$AA$5:$AA$404,$AL233)&amp;"")</f>
        <v/>
      </c>
      <c r="AK233">
        <f>IF($AL233="","",INDEX('04_調査結果'!$AC$5:$AC$404,$AL233)&amp;"")</f>
        <v/>
      </c>
      <c r="AL233" s="34">
        <f>IFERROR(MATCH(ROW()-4,'04_調査結果'!$AZ$5:$AZ$404,0),"")</f>
        <v/>
      </c>
    </row>
    <row r="234">
      <c r="A234">
        <f>IF($AL234="","",'01_設定'!$C$36)</f>
        <v/>
      </c>
      <c r="B234">
        <f>IF($AL234="","",'01_設定'!$C$5)</f>
        <v/>
      </c>
      <c r="C234">
        <f>IF($AL234="","",'01_設定'!$C$6)</f>
        <v/>
      </c>
      <c r="D234" s="36">
        <f>IF($AL234="","",'01_設定'!$C$22)</f>
        <v/>
      </c>
      <c r="E234" s="36">
        <f>IF($AL234="","",'01_設定'!$C$23)</f>
        <v/>
      </c>
      <c r="F234">
        <f>IF($AL234="","",'01_設定'!$C$32)</f>
        <v/>
      </c>
      <c r="G234">
        <f>IF($AL234="","",ROW()-4)</f>
        <v/>
      </c>
      <c r="H234">
        <f>IF($AL234="","",INDEX('04_調査結果'!$AO$5:$AO$404,$AL234))</f>
        <v/>
      </c>
      <c r="I234">
        <f>IF($AL234="","",IFERROR(INDEX('M2_区分マスタ'!$I$5:$I$10,INDEX('04_調査結果'!$AP$5:$AP$404,$AL234)),""))</f>
        <v/>
      </c>
      <c r="J234">
        <f>IF($AL234="","",INDEX('04_調査結果'!$BE$5:$BE$404,$AL234)&amp;"")</f>
        <v/>
      </c>
      <c r="K234">
        <f>IF($AL234="","",INDEX('04_調査結果'!$F$5:$F$404,$AL234)&amp;"")</f>
        <v/>
      </c>
      <c r="L234">
        <f>IF($AL234="","",INDEX('04_調査結果'!$G$5:$G$404,$AL234)&amp;"")</f>
        <v/>
      </c>
      <c r="M234">
        <f>IF($AL234="","",INDEX('04_調査結果'!$AQ$5:$AQ$404,$AL234)&amp;"")</f>
        <v/>
      </c>
      <c r="N234">
        <f>IF($AL234="","",IFERROR(INDEX('M1_類型マスタ'!$B$5:$B$19,MATCH(M234,'M1_類型マスタ'!$A$5:$A$19,0)),""))</f>
        <v/>
      </c>
      <c r="O234">
        <f>IF($AL234="","",INDEX('04_調査結果'!$I$5:$I$404,$AL234)&amp;"")</f>
        <v/>
      </c>
      <c r="P234">
        <f>IF($AL234="","",INDEX('04_調査結果'!$J$5:$J$404,$AL234)&amp;"")</f>
        <v/>
      </c>
      <c r="Q234">
        <f>IF($AL234="","",INDEX('04_調査結果'!$K$5:$K$404,$AL234)&amp;"")</f>
        <v/>
      </c>
      <c r="R234">
        <f>IF($AL234="","",INDEX('04_調査結果'!$L$5:$L$404,$AL234)&amp;"")</f>
        <v/>
      </c>
      <c r="S234">
        <f>IF($AL234="","",INDEX('04_調査結果'!$M$5:$M$404,$AL234)&amp;"")</f>
        <v/>
      </c>
      <c r="T234" s="33">
        <f>IF($AL234="","",IF(INDEX('04_調査結果'!$AE$5:$AE$404,$AL234)&lt;&gt;"",INDEX('04_調査結果'!$AE$5:$AE$404,$AL234),INDEX('04_調査結果'!$AS$5:$AS$404,$AL234)))</f>
        <v/>
      </c>
      <c r="U234" s="33">
        <f>IF($AL234="","",IF(INDEX('04_調査結果'!$AF$5:$AF$404,$AL234)&lt;&gt;"",INDEX('04_調査結果'!$AF$5:$AF$404,$AL234),INDEX('04_調査結果'!$AT$5:$AT$404,$AL234)))</f>
        <v/>
      </c>
      <c r="V234" s="33">
        <f>IF($AL234="","",INDEX('04_調査結果'!$AI$5:$AI$404,$AL234))</f>
        <v/>
      </c>
      <c r="W234">
        <f>IF($AL234="","",INDEX('04_調査結果'!$AU$5:$AU$404,$AL234))</f>
        <v/>
      </c>
      <c r="X234" s="37">
        <f>IF($AL234="","",INDEX('04_調査結果'!$AW$5:$AW$404,$AL234))</f>
        <v/>
      </c>
      <c r="Y234" s="37">
        <f>IF($AL234="","",INDEX('04_調査結果'!$AX$5:$AX$404,$AL234))</f>
        <v/>
      </c>
      <c r="Z234">
        <f>IF($AL234="","",INDEX('04_調査結果'!$S$5:$S$404,$AL234)&amp;"")</f>
        <v/>
      </c>
      <c r="AA234">
        <f>IF($AL234="","",INDEX('04_調査結果'!$T$5:$T$404,$AL234))</f>
        <v/>
      </c>
      <c r="AB234">
        <f>IF($AL234="","",INDEX('04_調査結果'!$U$5:$U$404,$AL234))</f>
        <v/>
      </c>
      <c r="AC234">
        <f>IF($AL234="","",INDEX('04_調査結果'!$V$5:$V$404,$AL234))</f>
        <v/>
      </c>
      <c r="AD234">
        <f>IF($AL234="","",INDEX('04_調査結果'!$W$5:$W$404,$AL234))</f>
        <v/>
      </c>
      <c r="AE234">
        <f>IF($AL234="","",INDEX('04_調査結果'!$X$5:$X$404,$AL234))</f>
        <v/>
      </c>
      <c r="AF234">
        <f>IF($AL234="","",INDEX('04_調査結果'!$Y$5:$Y$404,$AL234))</f>
        <v/>
      </c>
      <c r="AG234">
        <f>IF($AL234="","",INDEX('04_調査結果'!$Z$5:$Z$404,$AL234))</f>
        <v/>
      </c>
      <c r="AH234">
        <f>IF($AL234="","",INDEX('04_調査結果'!$AK$5:$AK$404,$AL234))</f>
        <v/>
      </c>
      <c r="AI234">
        <f>IF($AL234="","",INDEX('04_調査結果'!$AH$5:$AH$404,$AL234)&amp;"")</f>
        <v/>
      </c>
      <c r="AJ234">
        <f>IF($AL234="","",INDEX('04_調査結果'!$AA$5:$AA$404,$AL234)&amp;"")</f>
        <v/>
      </c>
      <c r="AK234">
        <f>IF($AL234="","",INDEX('04_調査結果'!$AC$5:$AC$404,$AL234)&amp;"")</f>
        <v/>
      </c>
      <c r="AL234" s="34">
        <f>IFERROR(MATCH(ROW()-4,'04_調査結果'!$AZ$5:$AZ$404,0),"")</f>
        <v/>
      </c>
    </row>
    <row r="235">
      <c r="A235">
        <f>IF($AL235="","",'01_設定'!$C$36)</f>
        <v/>
      </c>
      <c r="B235">
        <f>IF($AL235="","",'01_設定'!$C$5)</f>
        <v/>
      </c>
      <c r="C235">
        <f>IF($AL235="","",'01_設定'!$C$6)</f>
        <v/>
      </c>
      <c r="D235" s="36">
        <f>IF($AL235="","",'01_設定'!$C$22)</f>
        <v/>
      </c>
      <c r="E235" s="36">
        <f>IF($AL235="","",'01_設定'!$C$23)</f>
        <v/>
      </c>
      <c r="F235">
        <f>IF($AL235="","",'01_設定'!$C$32)</f>
        <v/>
      </c>
      <c r="G235">
        <f>IF($AL235="","",ROW()-4)</f>
        <v/>
      </c>
      <c r="H235">
        <f>IF($AL235="","",INDEX('04_調査結果'!$AO$5:$AO$404,$AL235))</f>
        <v/>
      </c>
      <c r="I235">
        <f>IF($AL235="","",IFERROR(INDEX('M2_区分マスタ'!$I$5:$I$10,INDEX('04_調査結果'!$AP$5:$AP$404,$AL235)),""))</f>
        <v/>
      </c>
      <c r="J235">
        <f>IF($AL235="","",INDEX('04_調査結果'!$BE$5:$BE$404,$AL235)&amp;"")</f>
        <v/>
      </c>
      <c r="K235">
        <f>IF($AL235="","",INDEX('04_調査結果'!$F$5:$F$404,$AL235)&amp;"")</f>
        <v/>
      </c>
      <c r="L235">
        <f>IF($AL235="","",INDEX('04_調査結果'!$G$5:$G$404,$AL235)&amp;"")</f>
        <v/>
      </c>
      <c r="M235">
        <f>IF($AL235="","",INDEX('04_調査結果'!$AQ$5:$AQ$404,$AL235)&amp;"")</f>
        <v/>
      </c>
      <c r="N235">
        <f>IF($AL235="","",IFERROR(INDEX('M1_類型マスタ'!$B$5:$B$19,MATCH(M235,'M1_類型マスタ'!$A$5:$A$19,0)),""))</f>
        <v/>
      </c>
      <c r="O235">
        <f>IF($AL235="","",INDEX('04_調査結果'!$I$5:$I$404,$AL235)&amp;"")</f>
        <v/>
      </c>
      <c r="P235">
        <f>IF($AL235="","",INDEX('04_調査結果'!$J$5:$J$404,$AL235)&amp;"")</f>
        <v/>
      </c>
      <c r="Q235">
        <f>IF($AL235="","",INDEX('04_調査結果'!$K$5:$K$404,$AL235)&amp;"")</f>
        <v/>
      </c>
      <c r="R235">
        <f>IF($AL235="","",INDEX('04_調査結果'!$L$5:$L$404,$AL235)&amp;"")</f>
        <v/>
      </c>
      <c r="S235">
        <f>IF($AL235="","",INDEX('04_調査結果'!$M$5:$M$404,$AL235)&amp;"")</f>
        <v/>
      </c>
      <c r="T235" s="33">
        <f>IF($AL235="","",IF(INDEX('04_調査結果'!$AE$5:$AE$404,$AL235)&lt;&gt;"",INDEX('04_調査結果'!$AE$5:$AE$404,$AL235),INDEX('04_調査結果'!$AS$5:$AS$404,$AL235)))</f>
        <v/>
      </c>
      <c r="U235" s="33">
        <f>IF($AL235="","",IF(INDEX('04_調査結果'!$AF$5:$AF$404,$AL235)&lt;&gt;"",INDEX('04_調査結果'!$AF$5:$AF$404,$AL235),INDEX('04_調査結果'!$AT$5:$AT$404,$AL235)))</f>
        <v/>
      </c>
      <c r="V235" s="33">
        <f>IF($AL235="","",INDEX('04_調査結果'!$AI$5:$AI$404,$AL235))</f>
        <v/>
      </c>
      <c r="W235">
        <f>IF($AL235="","",INDEX('04_調査結果'!$AU$5:$AU$404,$AL235))</f>
        <v/>
      </c>
      <c r="X235" s="37">
        <f>IF($AL235="","",INDEX('04_調査結果'!$AW$5:$AW$404,$AL235))</f>
        <v/>
      </c>
      <c r="Y235" s="37">
        <f>IF($AL235="","",INDEX('04_調査結果'!$AX$5:$AX$404,$AL235))</f>
        <v/>
      </c>
      <c r="Z235">
        <f>IF($AL235="","",INDEX('04_調査結果'!$S$5:$S$404,$AL235)&amp;"")</f>
        <v/>
      </c>
      <c r="AA235">
        <f>IF($AL235="","",INDEX('04_調査結果'!$T$5:$T$404,$AL235))</f>
        <v/>
      </c>
      <c r="AB235">
        <f>IF($AL235="","",INDEX('04_調査結果'!$U$5:$U$404,$AL235))</f>
        <v/>
      </c>
      <c r="AC235">
        <f>IF($AL235="","",INDEX('04_調査結果'!$V$5:$V$404,$AL235))</f>
        <v/>
      </c>
      <c r="AD235">
        <f>IF($AL235="","",INDEX('04_調査結果'!$W$5:$W$404,$AL235))</f>
        <v/>
      </c>
      <c r="AE235">
        <f>IF($AL235="","",INDEX('04_調査結果'!$X$5:$X$404,$AL235))</f>
        <v/>
      </c>
      <c r="AF235">
        <f>IF($AL235="","",INDEX('04_調査結果'!$Y$5:$Y$404,$AL235))</f>
        <v/>
      </c>
      <c r="AG235">
        <f>IF($AL235="","",INDEX('04_調査結果'!$Z$5:$Z$404,$AL235))</f>
        <v/>
      </c>
      <c r="AH235">
        <f>IF($AL235="","",INDEX('04_調査結果'!$AK$5:$AK$404,$AL235))</f>
        <v/>
      </c>
      <c r="AI235">
        <f>IF($AL235="","",INDEX('04_調査結果'!$AH$5:$AH$404,$AL235)&amp;"")</f>
        <v/>
      </c>
      <c r="AJ235">
        <f>IF($AL235="","",INDEX('04_調査結果'!$AA$5:$AA$404,$AL235)&amp;"")</f>
        <v/>
      </c>
      <c r="AK235">
        <f>IF($AL235="","",INDEX('04_調査結果'!$AC$5:$AC$404,$AL235)&amp;"")</f>
        <v/>
      </c>
      <c r="AL235" s="34">
        <f>IFERROR(MATCH(ROW()-4,'04_調査結果'!$AZ$5:$AZ$404,0),"")</f>
        <v/>
      </c>
    </row>
    <row r="236">
      <c r="A236">
        <f>IF($AL236="","",'01_設定'!$C$36)</f>
        <v/>
      </c>
      <c r="B236">
        <f>IF($AL236="","",'01_設定'!$C$5)</f>
        <v/>
      </c>
      <c r="C236">
        <f>IF($AL236="","",'01_設定'!$C$6)</f>
        <v/>
      </c>
      <c r="D236" s="36">
        <f>IF($AL236="","",'01_設定'!$C$22)</f>
        <v/>
      </c>
      <c r="E236" s="36">
        <f>IF($AL236="","",'01_設定'!$C$23)</f>
        <v/>
      </c>
      <c r="F236">
        <f>IF($AL236="","",'01_設定'!$C$32)</f>
        <v/>
      </c>
      <c r="G236">
        <f>IF($AL236="","",ROW()-4)</f>
        <v/>
      </c>
      <c r="H236">
        <f>IF($AL236="","",INDEX('04_調査結果'!$AO$5:$AO$404,$AL236))</f>
        <v/>
      </c>
      <c r="I236">
        <f>IF($AL236="","",IFERROR(INDEX('M2_区分マスタ'!$I$5:$I$10,INDEX('04_調査結果'!$AP$5:$AP$404,$AL236)),""))</f>
        <v/>
      </c>
      <c r="J236">
        <f>IF($AL236="","",INDEX('04_調査結果'!$BE$5:$BE$404,$AL236)&amp;"")</f>
        <v/>
      </c>
      <c r="K236">
        <f>IF($AL236="","",INDEX('04_調査結果'!$F$5:$F$404,$AL236)&amp;"")</f>
        <v/>
      </c>
      <c r="L236">
        <f>IF($AL236="","",INDEX('04_調査結果'!$G$5:$G$404,$AL236)&amp;"")</f>
        <v/>
      </c>
      <c r="M236">
        <f>IF($AL236="","",INDEX('04_調査結果'!$AQ$5:$AQ$404,$AL236)&amp;"")</f>
        <v/>
      </c>
      <c r="N236">
        <f>IF($AL236="","",IFERROR(INDEX('M1_類型マスタ'!$B$5:$B$19,MATCH(M236,'M1_類型マスタ'!$A$5:$A$19,0)),""))</f>
        <v/>
      </c>
      <c r="O236">
        <f>IF($AL236="","",INDEX('04_調査結果'!$I$5:$I$404,$AL236)&amp;"")</f>
        <v/>
      </c>
      <c r="P236">
        <f>IF($AL236="","",INDEX('04_調査結果'!$J$5:$J$404,$AL236)&amp;"")</f>
        <v/>
      </c>
      <c r="Q236">
        <f>IF($AL236="","",INDEX('04_調査結果'!$K$5:$K$404,$AL236)&amp;"")</f>
        <v/>
      </c>
      <c r="R236">
        <f>IF($AL236="","",INDEX('04_調査結果'!$L$5:$L$404,$AL236)&amp;"")</f>
        <v/>
      </c>
      <c r="S236">
        <f>IF($AL236="","",INDEX('04_調査結果'!$M$5:$M$404,$AL236)&amp;"")</f>
        <v/>
      </c>
      <c r="T236" s="33">
        <f>IF($AL236="","",IF(INDEX('04_調査結果'!$AE$5:$AE$404,$AL236)&lt;&gt;"",INDEX('04_調査結果'!$AE$5:$AE$404,$AL236),INDEX('04_調査結果'!$AS$5:$AS$404,$AL236)))</f>
        <v/>
      </c>
      <c r="U236" s="33">
        <f>IF($AL236="","",IF(INDEX('04_調査結果'!$AF$5:$AF$404,$AL236)&lt;&gt;"",INDEX('04_調査結果'!$AF$5:$AF$404,$AL236),INDEX('04_調査結果'!$AT$5:$AT$404,$AL236)))</f>
        <v/>
      </c>
      <c r="V236" s="33">
        <f>IF($AL236="","",INDEX('04_調査結果'!$AI$5:$AI$404,$AL236))</f>
        <v/>
      </c>
      <c r="W236">
        <f>IF($AL236="","",INDEX('04_調査結果'!$AU$5:$AU$404,$AL236))</f>
        <v/>
      </c>
      <c r="X236" s="37">
        <f>IF($AL236="","",INDEX('04_調査結果'!$AW$5:$AW$404,$AL236))</f>
        <v/>
      </c>
      <c r="Y236" s="37">
        <f>IF($AL236="","",INDEX('04_調査結果'!$AX$5:$AX$404,$AL236))</f>
        <v/>
      </c>
      <c r="Z236">
        <f>IF($AL236="","",INDEX('04_調査結果'!$S$5:$S$404,$AL236)&amp;"")</f>
        <v/>
      </c>
      <c r="AA236">
        <f>IF($AL236="","",INDEX('04_調査結果'!$T$5:$T$404,$AL236))</f>
        <v/>
      </c>
      <c r="AB236">
        <f>IF($AL236="","",INDEX('04_調査結果'!$U$5:$U$404,$AL236))</f>
        <v/>
      </c>
      <c r="AC236">
        <f>IF($AL236="","",INDEX('04_調査結果'!$V$5:$V$404,$AL236))</f>
        <v/>
      </c>
      <c r="AD236">
        <f>IF($AL236="","",INDEX('04_調査結果'!$W$5:$W$404,$AL236))</f>
        <v/>
      </c>
      <c r="AE236">
        <f>IF($AL236="","",INDEX('04_調査結果'!$X$5:$X$404,$AL236))</f>
        <v/>
      </c>
      <c r="AF236">
        <f>IF($AL236="","",INDEX('04_調査結果'!$Y$5:$Y$404,$AL236))</f>
        <v/>
      </c>
      <c r="AG236">
        <f>IF($AL236="","",INDEX('04_調査結果'!$Z$5:$Z$404,$AL236))</f>
        <v/>
      </c>
      <c r="AH236">
        <f>IF($AL236="","",INDEX('04_調査結果'!$AK$5:$AK$404,$AL236))</f>
        <v/>
      </c>
      <c r="AI236">
        <f>IF($AL236="","",INDEX('04_調査結果'!$AH$5:$AH$404,$AL236)&amp;"")</f>
        <v/>
      </c>
      <c r="AJ236">
        <f>IF($AL236="","",INDEX('04_調査結果'!$AA$5:$AA$404,$AL236)&amp;"")</f>
        <v/>
      </c>
      <c r="AK236">
        <f>IF($AL236="","",INDEX('04_調査結果'!$AC$5:$AC$404,$AL236)&amp;"")</f>
        <v/>
      </c>
      <c r="AL236" s="34">
        <f>IFERROR(MATCH(ROW()-4,'04_調査結果'!$AZ$5:$AZ$404,0),"")</f>
        <v/>
      </c>
    </row>
    <row r="237">
      <c r="A237">
        <f>IF($AL237="","",'01_設定'!$C$36)</f>
        <v/>
      </c>
      <c r="B237">
        <f>IF($AL237="","",'01_設定'!$C$5)</f>
        <v/>
      </c>
      <c r="C237">
        <f>IF($AL237="","",'01_設定'!$C$6)</f>
        <v/>
      </c>
      <c r="D237" s="36">
        <f>IF($AL237="","",'01_設定'!$C$22)</f>
        <v/>
      </c>
      <c r="E237" s="36">
        <f>IF($AL237="","",'01_設定'!$C$23)</f>
        <v/>
      </c>
      <c r="F237">
        <f>IF($AL237="","",'01_設定'!$C$32)</f>
        <v/>
      </c>
      <c r="G237">
        <f>IF($AL237="","",ROW()-4)</f>
        <v/>
      </c>
      <c r="H237">
        <f>IF($AL237="","",INDEX('04_調査結果'!$AO$5:$AO$404,$AL237))</f>
        <v/>
      </c>
      <c r="I237">
        <f>IF($AL237="","",IFERROR(INDEX('M2_区分マスタ'!$I$5:$I$10,INDEX('04_調査結果'!$AP$5:$AP$404,$AL237)),""))</f>
        <v/>
      </c>
      <c r="J237">
        <f>IF($AL237="","",INDEX('04_調査結果'!$BE$5:$BE$404,$AL237)&amp;"")</f>
        <v/>
      </c>
      <c r="K237">
        <f>IF($AL237="","",INDEX('04_調査結果'!$F$5:$F$404,$AL237)&amp;"")</f>
        <v/>
      </c>
      <c r="L237">
        <f>IF($AL237="","",INDEX('04_調査結果'!$G$5:$G$404,$AL237)&amp;"")</f>
        <v/>
      </c>
      <c r="M237">
        <f>IF($AL237="","",INDEX('04_調査結果'!$AQ$5:$AQ$404,$AL237)&amp;"")</f>
        <v/>
      </c>
      <c r="N237">
        <f>IF($AL237="","",IFERROR(INDEX('M1_類型マスタ'!$B$5:$B$19,MATCH(M237,'M1_類型マスタ'!$A$5:$A$19,0)),""))</f>
        <v/>
      </c>
      <c r="O237">
        <f>IF($AL237="","",INDEX('04_調査結果'!$I$5:$I$404,$AL237)&amp;"")</f>
        <v/>
      </c>
      <c r="P237">
        <f>IF($AL237="","",INDEX('04_調査結果'!$J$5:$J$404,$AL237)&amp;"")</f>
        <v/>
      </c>
      <c r="Q237">
        <f>IF($AL237="","",INDEX('04_調査結果'!$K$5:$K$404,$AL237)&amp;"")</f>
        <v/>
      </c>
      <c r="R237">
        <f>IF($AL237="","",INDEX('04_調査結果'!$L$5:$L$404,$AL237)&amp;"")</f>
        <v/>
      </c>
      <c r="S237">
        <f>IF($AL237="","",INDEX('04_調査結果'!$M$5:$M$404,$AL237)&amp;"")</f>
        <v/>
      </c>
      <c r="T237" s="33">
        <f>IF($AL237="","",IF(INDEX('04_調査結果'!$AE$5:$AE$404,$AL237)&lt;&gt;"",INDEX('04_調査結果'!$AE$5:$AE$404,$AL237),INDEX('04_調査結果'!$AS$5:$AS$404,$AL237)))</f>
        <v/>
      </c>
      <c r="U237" s="33">
        <f>IF($AL237="","",IF(INDEX('04_調査結果'!$AF$5:$AF$404,$AL237)&lt;&gt;"",INDEX('04_調査結果'!$AF$5:$AF$404,$AL237),INDEX('04_調査結果'!$AT$5:$AT$404,$AL237)))</f>
        <v/>
      </c>
      <c r="V237" s="33">
        <f>IF($AL237="","",INDEX('04_調査結果'!$AI$5:$AI$404,$AL237))</f>
        <v/>
      </c>
      <c r="W237">
        <f>IF($AL237="","",INDEX('04_調査結果'!$AU$5:$AU$404,$AL237))</f>
        <v/>
      </c>
      <c r="X237" s="37">
        <f>IF($AL237="","",INDEX('04_調査結果'!$AW$5:$AW$404,$AL237))</f>
        <v/>
      </c>
      <c r="Y237" s="37">
        <f>IF($AL237="","",INDEX('04_調査結果'!$AX$5:$AX$404,$AL237))</f>
        <v/>
      </c>
      <c r="Z237">
        <f>IF($AL237="","",INDEX('04_調査結果'!$S$5:$S$404,$AL237)&amp;"")</f>
        <v/>
      </c>
      <c r="AA237">
        <f>IF($AL237="","",INDEX('04_調査結果'!$T$5:$T$404,$AL237))</f>
        <v/>
      </c>
      <c r="AB237">
        <f>IF($AL237="","",INDEX('04_調査結果'!$U$5:$U$404,$AL237))</f>
        <v/>
      </c>
      <c r="AC237">
        <f>IF($AL237="","",INDEX('04_調査結果'!$V$5:$V$404,$AL237))</f>
        <v/>
      </c>
      <c r="AD237">
        <f>IF($AL237="","",INDEX('04_調査結果'!$W$5:$W$404,$AL237))</f>
        <v/>
      </c>
      <c r="AE237">
        <f>IF($AL237="","",INDEX('04_調査結果'!$X$5:$X$404,$AL237))</f>
        <v/>
      </c>
      <c r="AF237">
        <f>IF($AL237="","",INDEX('04_調査結果'!$Y$5:$Y$404,$AL237))</f>
        <v/>
      </c>
      <c r="AG237">
        <f>IF($AL237="","",INDEX('04_調査結果'!$Z$5:$Z$404,$AL237))</f>
        <v/>
      </c>
      <c r="AH237">
        <f>IF($AL237="","",INDEX('04_調査結果'!$AK$5:$AK$404,$AL237))</f>
        <v/>
      </c>
      <c r="AI237">
        <f>IF($AL237="","",INDEX('04_調査結果'!$AH$5:$AH$404,$AL237)&amp;"")</f>
        <v/>
      </c>
      <c r="AJ237">
        <f>IF($AL237="","",INDEX('04_調査結果'!$AA$5:$AA$404,$AL237)&amp;"")</f>
        <v/>
      </c>
      <c r="AK237">
        <f>IF($AL237="","",INDEX('04_調査結果'!$AC$5:$AC$404,$AL237)&amp;"")</f>
        <v/>
      </c>
      <c r="AL237" s="34">
        <f>IFERROR(MATCH(ROW()-4,'04_調査結果'!$AZ$5:$AZ$404,0),"")</f>
        <v/>
      </c>
    </row>
    <row r="238">
      <c r="A238">
        <f>IF($AL238="","",'01_設定'!$C$36)</f>
        <v/>
      </c>
      <c r="B238">
        <f>IF($AL238="","",'01_設定'!$C$5)</f>
        <v/>
      </c>
      <c r="C238">
        <f>IF($AL238="","",'01_設定'!$C$6)</f>
        <v/>
      </c>
      <c r="D238" s="36">
        <f>IF($AL238="","",'01_設定'!$C$22)</f>
        <v/>
      </c>
      <c r="E238" s="36">
        <f>IF($AL238="","",'01_設定'!$C$23)</f>
        <v/>
      </c>
      <c r="F238">
        <f>IF($AL238="","",'01_設定'!$C$32)</f>
        <v/>
      </c>
      <c r="G238">
        <f>IF($AL238="","",ROW()-4)</f>
        <v/>
      </c>
      <c r="H238">
        <f>IF($AL238="","",INDEX('04_調査結果'!$AO$5:$AO$404,$AL238))</f>
        <v/>
      </c>
      <c r="I238">
        <f>IF($AL238="","",IFERROR(INDEX('M2_区分マスタ'!$I$5:$I$10,INDEX('04_調査結果'!$AP$5:$AP$404,$AL238)),""))</f>
        <v/>
      </c>
      <c r="J238">
        <f>IF($AL238="","",INDEX('04_調査結果'!$BE$5:$BE$404,$AL238)&amp;"")</f>
        <v/>
      </c>
      <c r="K238">
        <f>IF($AL238="","",INDEX('04_調査結果'!$F$5:$F$404,$AL238)&amp;"")</f>
        <v/>
      </c>
      <c r="L238">
        <f>IF($AL238="","",INDEX('04_調査結果'!$G$5:$G$404,$AL238)&amp;"")</f>
        <v/>
      </c>
      <c r="M238">
        <f>IF($AL238="","",INDEX('04_調査結果'!$AQ$5:$AQ$404,$AL238)&amp;"")</f>
        <v/>
      </c>
      <c r="N238">
        <f>IF($AL238="","",IFERROR(INDEX('M1_類型マスタ'!$B$5:$B$19,MATCH(M238,'M1_類型マスタ'!$A$5:$A$19,0)),""))</f>
        <v/>
      </c>
      <c r="O238">
        <f>IF($AL238="","",INDEX('04_調査結果'!$I$5:$I$404,$AL238)&amp;"")</f>
        <v/>
      </c>
      <c r="P238">
        <f>IF($AL238="","",INDEX('04_調査結果'!$J$5:$J$404,$AL238)&amp;"")</f>
        <v/>
      </c>
      <c r="Q238">
        <f>IF($AL238="","",INDEX('04_調査結果'!$K$5:$K$404,$AL238)&amp;"")</f>
        <v/>
      </c>
      <c r="R238">
        <f>IF($AL238="","",INDEX('04_調査結果'!$L$5:$L$404,$AL238)&amp;"")</f>
        <v/>
      </c>
      <c r="S238">
        <f>IF($AL238="","",INDEX('04_調査結果'!$M$5:$M$404,$AL238)&amp;"")</f>
        <v/>
      </c>
      <c r="T238" s="33">
        <f>IF($AL238="","",IF(INDEX('04_調査結果'!$AE$5:$AE$404,$AL238)&lt;&gt;"",INDEX('04_調査結果'!$AE$5:$AE$404,$AL238),INDEX('04_調査結果'!$AS$5:$AS$404,$AL238)))</f>
        <v/>
      </c>
      <c r="U238" s="33">
        <f>IF($AL238="","",IF(INDEX('04_調査結果'!$AF$5:$AF$404,$AL238)&lt;&gt;"",INDEX('04_調査結果'!$AF$5:$AF$404,$AL238),INDEX('04_調査結果'!$AT$5:$AT$404,$AL238)))</f>
        <v/>
      </c>
      <c r="V238" s="33">
        <f>IF($AL238="","",INDEX('04_調査結果'!$AI$5:$AI$404,$AL238))</f>
        <v/>
      </c>
      <c r="W238">
        <f>IF($AL238="","",INDEX('04_調査結果'!$AU$5:$AU$404,$AL238))</f>
        <v/>
      </c>
      <c r="X238" s="37">
        <f>IF($AL238="","",INDEX('04_調査結果'!$AW$5:$AW$404,$AL238))</f>
        <v/>
      </c>
      <c r="Y238" s="37">
        <f>IF($AL238="","",INDEX('04_調査結果'!$AX$5:$AX$404,$AL238))</f>
        <v/>
      </c>
      <c r="Z238">
        <f>IF($AL238="","",INDEX('04_調査結果'!$S$5:$S$404,$AL238)&amp;"")</f>
        <v/>
      </c>
      <c r="AA238">
        <f>IF($AL238="","",INDEX('04_調査結果'!$T$5:$T$404,$AL238))</f>
        <v/>
      </c>
      <c r="AB238">
        <f>IF($AL238="","",INDEX('04_調査結果'!$U$5:$U$404,$AL238))</f>
        <v/>
      </c>
      <c r="AC238">
        <f>IF($AL238="","",INDEX('04_調査結果'!$V$5:$V$404,$AL238))</f>
        <v/>
      </c>
      <c r="AD238">
        <f>IF($AL238="","",INDEX('04_調査結果'!$W$5:$W$404,$AL238))</f>
        <v/>
      </c>
      <c r="AE238">
        <f>IF($AL238="","",INDEX('04_調査結果'!$X$5:$X$404,$AL238))</f>
        <v/>
      </c>
      <c r="AF238">
        <f>IF($AL238="","",INDEX('04_調査結果'!$Y$5:$Y$404,$AL238))</f>
        <v/>
      </c>
      <c r="AG238">
        <f>IF($AL238="","",INDEX('04_調査結果'!$Z$5:$Z$404,$AL238))</f>
        <v/>
      </c>
      <c r="AH238">
        <f>IF($AL238="","",INDEX('04_調査結果'!$AK$5:$AK$404,$AL238))</f>
        <v/>
      </c>
      <c r="AI238">
        <f>IF($AL238="","",INDEX('04_調査結果'!$AH$5:$AH$404,$AL238)&amp;"")</f>
        <v/>
      </c>
      <c r="AJ238">
        <f>IF($AL238="","",INDEX('04_調査結果'!$AA$5:$AA$404,$AL238)&amp;"")</f>
        <v/>
      </c>
      <c r="AK238">
        <f>IF($AL238="","",INDEX('04_調査結果'!$AC$5:$AC$404,$AL238)&amp;"")</f>
        <v/>
      </c>
      <c r="AL238" s="34">
        <f>IFERROR(MATCH(ROW()-4,'04_調査結果'!$AZ$5:$AZ$404,0),"")</f>
        <v/>
      </c>
    </row>
    <row r="239">
      <c r="A239">
        <f>IF($AL239="","",'01_設定'!$C$36)</f>
        <v/>
      </c>
      <c r="B239">
        <f>IF($AL239="","",'01_設定'!$C$5)</f>
        <v/>
      </c>
      <c r="C239">
        <f>IF($AL239="","",'01_設定'!$C$6)</f>
        <v/>
      </c>
      <c r="D239" s="36">
        <f>IF($AL239="","",'01_設定'!$C$22)</f>
        <v/>
      </c>
      <c r="E239" s="36">
        <f>IF($AL239="","",'01_設定'!$C$23)</f>
        <v/>
      </c>
      <c r="F239">
        <f>IF($AL239="","",'01_設定'!$C$32)</f>
        <v/>
      </c>
      <c r="G239">
        <f>IF($AL239="","",ROW()-4)</f>
        <v/>
      </c>
      <c r="H239">
        <f>IF($AL239="","",INDEX('04_調査結果'!$AO$5:$AO$404,$AL239))</f>
        <v/>
      </c>
      <c r="I239">
        <f>IF($AL239="","",IFERROR(INDEX('M2_区分マスタ'!$I$5:$I$10,INDEX('04_調査結果'!$AP$5:$AP$404,$AL239)),""))</f>
        <v/>
      </c>
      <c r="J239">
        <f>IF($AL239="","",INDEX('04_調査結果'!$BE$5:$BE$404,$AL239)&amp;"")</f>
        <v/>
      </c>
      <c r="K239">
        <f>IF($AL239="","",INDEX('04_調査結果'!$F$5:$F$404,$AL239)&amp;"")</f>
        <v/>
      </c>
      <c r="L239">
        <f>IF($AL239="","",INDEX('04_調査結果'!$G$5:$G$404,$AL239)&amp;"")</f>
        <v/>
      </c>
      <c r="M239">
        <f>IF($AL239="","",INDEX('04_調査結果'!$AQ$5:$AQ$404,$AL239)&amp;"")</f>
        <v/>
      </c>
      <c r="N239">
        <f>IF($AL239="","",IFERROR(INDEX('M1_類型マスタ'!$B$5:$B$19,MATCH(M239,'M1_類型マスタ'!$A$5:$A$19,0)),""))</f>
        <v/>
      </c>
      <c r="O239">
        <f>IF($AL239="","",INDEX('04_調査結果'!$I$5:$I$404,$AL239)&amp;"")</f>
        <v/>
      </c>
      <c r="P239">
        <f>IF($AL239="","",INDEX('04_調査結果'!$J$5:$J$404,$AL239)&amp;"")</f>
        <v/>
      </c>
      <c r="Q239">
        <f>IF($AL239="","",INDEX('04_調査結果'!$K$5:$K$404,$AL239)&amp;"")</f>
        <v/>
      </c>
      <c r="R239">
        <f>IF($AL239="","",INDEX('04_調査結果'!$L$5:$L$404,$AL239)&amp;"")</f>
        <v/>
      </c>
      <c r="S239">
        <f>IF($AL239="","",INDEX('04_調査結果'!$M$5:$M$404,$AL239)&amp;"")</f>
        <v/>
      </c>
      <c r="T239" s="33">
        <f>IF($AL239="","",IF(INDEX('04_調査結果'!$AE$5:$AE$404,$AL239)&lt;&gt;"",INDEX('04_調査結果'!$AE$5:$AE$404,$AL239),INDEX('04_調査結果'!$AS$5:$AS$404,$AL239)))</f>
        <v/>
      </c>
      <c r="U239" s="33">
        <f>IF($AL239="","",IF(INDEX('04_調査結果'!$AF$5:$AF$404,$AL239)&lt;&gt;"",INDEX('04_調査結果'!$AF$5:$AF$404,$AL239),INDEX('04_調査結果'!$AT$5:$AT$404,$AL239)))</f>
        <v/>
      </c>
      <c r="V239" s="33">
        <f>IF($AL239="","",INDEX('04_調査結果'!$AI$5:$AI$404,$AL239))</f>
        <v/>
      </c>
      <c r="W239">
        <f>IF($AL239="","",INDEX('04_調査結果'!$AU$5:$AU$404,$AL239))</f>
        <v/>
      </c>
      <c r="X239" s="37">
        <f>IF($AL239="","",INDEX('04_調査結果'!$AW$5:$AW$404,$AL239))</f>
        <v/>
      </c>
      <c r="Y239" s="37">
        <f>IF($AL239="","",INDEX('04_調査結果'!$AX$5:$AX$404,$AL239))</f>
        <v/>
      </c>
      <c r="Z239">
        <f>IF($AL239="","",INDEX('04_調査結果'!$S$5:$S$404,$AL239)&amp;"")</f>
        <v/>
      </c>
      <c r="AA239">
        <f>IF($AL239="","",INDEX('04_調査結果'!$T$5:$T$404,$AL239))</f>
        <v/>
      </c>
      <c r="AB239">
        <f>IF($AL239="","",INDEX('04_調査結果'!$U$5:$U$404,$AL239))</f>
        <v/>
      </c>
      <c r="AC239">
        <f>IF($AL239="","",INDEX('04_調査結果'!$V$5:$V$404,$AL239))</f>
        <v/>
      </c>
      <c r="AD239">
        <f>IF($AL239="","",INDEX('04_調査結果'!$W$5:$W$404,$AL239))</f>
        <v/>
      </c>
      <c r="AE239">
        <f>IF($AL239="","",INDEX('04_調査結果'!$X$5:$X$404,$AL239))</f>
        <v/>
      </c>
      <c r="AF239">
        <f>IF($AL239="","",INDEX('04_調査結果'!$Y$5:$Y$404,$AL239))</f>
        <v/>
      </c>
      <c r="AG239">
        <f>IF($AL239="","",INDEX('04_調査結果'!$Z$5:$Z$404,$AL239))</f>
        <v/>
      </c>
      <c r="AH239">
        <f>IF($AL239="","",INDEX('04_調査結果'!$AK$5:$AK$404,$AL239))</f>
        <v/>
      </c>
      <c r="AI239">
        <f>IF($AL239="","",INDEX('04_調査結果'!$AH$5:$AH$404,$AL239)&amp;"")</f>
        <v/>
      </c>
      <c r="AJ239">
        <f>IF($AL239="","",INDEX('04_調査結果'!$AA$5:$AA$404,$AL239)&amp;"")</f>
        <v/>
      </c>
      <c r="AK239">
        <f>IF($AL239="","",INDEX('04_調査結果'!$AC$5:$AC$404,$AL239)&amp;"")</f>
        <v/>
      </c>
      <c r="AL239" s="34">
        <f>IFERROR(MATCH(ROW()-4,'04_調査結果'!$AZ$5:$AZ$404,0),"")</f>
        <v/>
      </c>
    </row>
    <row r="240">
      <c r="A240">
        <f>IF($AL240="","",'01_設定'!$C$36)</f>
        <v/>
      </c>
      <c r="B240">
        <f>IF($AL240="","",'01_設定'!$C$5)</f>
        <v/>
      </c>
      <c r="C240">
        <f>IF($AL240="","",'01_設定'!$C$6)</f>
        <v/>
      </c>
      <c r="D240" s="36">
        <f>IF($AL240="","",'01_設定'!$C$22)</f>
        <v/>
      </c>
      <c r="E240" s="36">
        <f>IF($AL240="","",'01_設定'!$C$23)</f>
        <v/>
      </c>
      <c r="F240">
        <f>IF($AL240="","",'01_設定'!$C$32)</f>
        <v/>
      </c>
      <c r="G240">
        <f>IF($AL240="","",ROW()-4)</f>
        <v/>
      </c>
      <c r="H240">
        <f>IF($AL240="","",INDEX('04_調査結果'!$AO$5:$AO$404,$AL240))</f>
        <v/>
      </c>
      <c r="I240">
        <f>IF($AL240="","",IFERROR(INDEX('M2_区分マスタ'!$I$5:$I$10,INDEX('04_調査結果'!$AP$5:$AP$404,$AL240)),""))</f>
        <v/>
      </c>
      <c r="J240">
        <f>IF($AL240="","",INDEX('04_調査結果'!$BE$5:$BE$404,$AL240)&amp;"")</f>
        <v/>
      </c>
      <c r="K240">
        <f>IF($AL240="","",INDEX('04_調査結果'!$F$5:$F$404,$AL240)&amp;"")</f>
        <v/>
      </c>
      <c r="L240">
        <f>IF($AL240="","",INDEX('04_調査結果'!$G$5:$G$404,$AL240)&amp;"")</f>
        <v/>
      </c>
      <c r="M240">
        <f>IF($AL240="","",INDEX('04_調査結果'!$AQ$5:$AQ$404,$AL240)&amp;"")</f>
        <v/>
      </c>
      <c r="N240">
        <f>IF($AL240="","",IFERROR(INDEX('M1_類型マスタ'!$B$5:$B$19,MATCH(M240,'M1_類型マスタ'!$A$5:$A$19,0)),""))</f>
        <v/>
      </c>
      <c r="O240">
        <f>IF($AL240="","",INDEX('04_調査結果'!$I$5:$I$404,$AL240)&amp;"")</f>
        <v/>
      </c>
      <c r="P240">
        <f>IF($AL240="","",INDEX('04_調査結果'!$J$5:$J$404,$AL240)&amp;"")</f>
        <v/>
      </c>
      <c r="Q240">
        <f>IF($AL240="","",INDEX('04_調査結果'!$K$5:$K$404,$AL240)&amp;"")</f>
        <v/>
      </c>
      <c r="R240">
        <f>IF($AL240="","",INDEX('04_調査結果'!$L$5:$L$404,$AL240)&amp;"")</f>
        <v/>
      </c>
      <c r="S240">
        <f>IF($AL240="","",INDEX('04_調査結果'!$M$5:$M$404,$AL240)&amp;"")</f>
        <v/>
      </c>
      <c r="T240" s="33">
        <f>IF($AL240="","",IF(INDEX('04_調査結果'!$AE$5:$AE$404,$AL240)&lt;&gt;"",INDEX('04_調査結果'!$AE$5:$AE$404,$AL240),INDEX('04_調査結果'!$AS$5:$AS$404,$AL240)))</f>
        <v/>
      </c>
      <c r="U240" s="33">
        <f>IF($AL240="","",IF(INDEX('04_調査結果'!$AF$5:$AF$404,$AL240)&lt;&gt;"",INDEX('04_調査結果'!$AF$5:$AF$404,$AL240),INDEX('04_調査結果'!$AT$5:$AT$404,$AL240)))</f>
        <v/>
      </c>
      <c r="V240" s="33">
        <f>IF($AL240="","",INDEX('04_調査結果'!$AI$5:$AI$404,$AL240))</f>
        <v/>
      </c>
      <c r="W240">
        <f>IF($AL240="","",INDEX('04_調査結果'!$AU$5:$AU$404,$AL240))</f>
        <v/>
      </c>
      <c r="X240" s="37">
        <f>IF($AL240="","",INDEX('04_調査結果'!$AW$5:$AW$404,$AL240))</f>
        <v/>
      </c>
      <c r="Y240" s="37">
        <f>IF($AL240="","",INDEX('04_調査結果'!$AX$5:$AX$404,$AL240))</f>
        <v/>
      </c>
      <c r="Z240">
        <f>IF($AL240="","",INDEX('04_調査結果'!$S$5:$S$404,$AL240)&amp;"")</f>
        <v/>
      </c>
      <c r="AA240">
        <f>IF($AL240="","",INDEX('04_調査結果'!$T$5:$T$404,$AL240))</f>
        <v/>
      </c>
      <c r="AB240">
        <f>IF($AL240="","",INDEX('04_調査結果'!$U$5:$U$404,$AL240))</f>
        <v/>
      </c>
      <c r="AC240">
        <f>IF($AL240="","",INDEX('04_調査結果'!$V$5:$V$404,$AL240))</f>
        <v/>
      </c>
      <c r="AD240">
        <f>IF($AL240="","",INDEX('04_調査結果'!$W$5:$W$404,$AL240))</f>
        <v/>
      </c>
      <c r="AE240">
        <f>IF($AL240="","",INDEX('04_調査結果'!$X$5:$X$404,$AL240))</f>
        <v/>
      </c>
      <c r="AF240">
        <f>IF($AL240="","",INDEX('04_調査結果'!$Y$5:$Y$404,$AL240))</f>
        <v/>
      </c>
      <c r="AG240">
        <f>IF($AL240="","",INDEX('04_調査結果'!$Z$5:$Z$404,$AL240))</f>
        <v/>
      </c>
      <c r="AH240">
        <f>IF($AL240="","",INDEX('04_調査結果'!$AK$5:$AK$404,$AL240))</f>
        <v/>
      </c>
      <c r="AI240">
        <f>IF($AL240="","",INDEX('04_調査結果'!$AH$5:$AH$404,$AL240)&amp;"")</f>
        <v/>
      </c>
      <c r="AJ240">
        <f>IF($AL240="","",INDEX('04_調査結果'!$AA$5:$AA$404,$AL240)&amp;"")</f>
        <v/>
      </c>
      <c r="AK240">
        <f>IF($AL240="","",INDEX('04_調査結果'!$AC$5:$AC$404,$AL240)&amp;"")</f>
        <v/>
      </c>
      <c r="AL240" s="34">
        <f>IFERROR(MATCH(ROW()-4,'04_調査結果'!$AZ$5:$AZ$404,0),"")</f>
        <v/>
      </c>
    </row>
    <row r="241">
      <c r="A241">
        <f>IF($AL241="","",'01_設定'!$C$36)</f>
        <v/>
      </c>
      <c r="B241">
        <f>IF($AL241="","",'01_設定'!$C$5)</f>
        <v/>
      </c>
      <c r="C241">
        <f>IF($AL241="","",'01_設定'!$C$6)</f>
        <v/>
      </c>
      <c r="D241" s="36">
        <f>IF($AL241="","",'01_設定'!$C$22)</f>
        <v/>
      </c>
      <c r="E241" s="36">
        <f>IF($AL241="","",'01_設定'!$C$23)</f>
        <v/>
      </c>
      <c r="F241">
        <f>IF($AL241="","",'01_設定'!$C$32)</f>
        <v/>
      </c>
      <c r="G241">
        <f>IF($AL241="","",ROW()-4)</f>
        <v/>
      </c>
      <c r="H241">
        <f>IF($AL241="","",INDEX('04_調査結果'!$AO$5:$AO$404,$AL241))</f>
        <v/>
      </c>
      <c r="I241">
        <f>IF($AL241="","",IFERROR(INDEX('M2_区分マスタ'!$I$5:$I$10,INDEX('04_調査結果'!$AP$5:$AP$404,$AL241)),""))</f>
        <v/>
      </c>
      <c r="J241">
        <f>IF($AL241="","",INDEX('04_調査結果'!$BE$5:$BE$404,$AL241)&amp;"")</f>
        <v/>
      </c>
      <c r="K241">
        <f>IF($AL241="","",INDEX('04_調査結果'!$F$5:$F$404,$AL241)&amp;"")</f>
        <v/>
      </c>
      <c r="L241">
        <f>IF($AL241="","",INDEX('04_調査結果'!$G$5:$G$404,$AL241)&amp;"")</f>
        <v/>
      </c>
      <c r="M241">
        <f>IF($AL241="","",INDEX('04_調査結果'!$AQ$5:$AQ$404,$AL241)&amp;"")</f>
        <v/>
      </c>
      <c r="N241">
        <f>IF($AL241="","",IFERROR(INDEX('M1_類型マスタ'!$B$5:$B$19,MATCH(M241,'M1_類型マスタ'!$A$5:$A$19,0)),""))</f>
        <v/>
      </c>
      <c r="O241">
        <f>IF($AL241="","",INDEX('04_調査結果'!$I$5:$I$404,$AL241)&amp;"")</f>
        <v/>
      </c>
      <c r="P241">
        <f>IF($AL241="","",INDEX('04_調査結果'!$J$5:$J$404,$AL241)&amp;"")</f>
        <v/>
      </c>
      <c r="Q241">
        <f>IF($AL241="","",INDEX('04_調査結果'!$K$5:$K$404,$AL241)&amp;"")</f>
        <v/>
      </c>
      <c r="R241">
        <f>IF($AL241="","",INDEX('04_調査結果'!$L$5:$L$404,$AL241)&amp;"")</f>
        <v/>
      </c>
      <c r="S241">
        <f>IF($AL241="","",INDEX('04_調査結果'!$M$5:$M$404,$AL241)&amp;"")</f>
        <v/>
      </c>
      <c r="T241" s="33">
        <f>IF($AL241="","",IF(INDEX('04_調査結果'!$AE$5:$AE$404,$AL241)&lt;&gt;"",INDEX('04_調査結果'!$AE$5:$AE$404,$AL241),INDEX('04_調査結果'!$AS$5:$AS$404,$AL241)))</f>
        <v/>
      </c>
      <c r="U241" s="33">
        <f>IF($AL241="","",IF(INDEX('04_調査結果'!$AF$5:$AF$404,$AL241)&lt;&gt;"",INDEX('04_調査結果'!$AF$5:$AF$404,$AL241),INDEX('04_調査結果'!$AT$5:$AT$404,$AL241)))</f>
        <v/>
      </c>
      <c r="V241" s="33">
        <f>IF($AL241="","",INDEX('04_調査結果'!$AI$5:$AI$404,$AL241))</f>
        <v/>
      </c>
      <c r="W241">
        <f>IF($AL241="","",INDEX('04_調査結果'!$AU$5:$AU$404,$AL241))</f>
        <v/>
      </c>
      <c r="X241" s="37">
        <f>IF($AL241="","",INDEX('04_調査結果'!$AW$5:$AW$404,$AL241))</f>
        <v/>
      </c>
      <c r="Y241" s="37">
        <f>IF($AL241="","",INDEX('04_調査結果'!$AX$5:$AX$404,$AL241))</f>
        <v/>
      </c>
      <c r="Z241">
        <f>IF($AL241="","",INDEX('04_調査結果'!$S$5:$S$404,$AL241)&amp;"")</f>
        <v/>
      </c>
      <c r="AA241">
        <f>IF($AL241="","",INDEX('04_調査結果'!$T$5:$T$404,$AL241))</f>
        <v/>
      </c>
      <c r="AB241">
        <f>IF($AL241="","",INDEX('04_調査結果'!$U$5:$U$404,$AL241))</f>
        <v/>
      </c>
      <c r="AC241">
        <f>IF($AL241="","",INDEX('04_調査結果'!$V$5:$V$404,$AL241))</f>
        <v/>
      </c>
      <c r="AD241">
        <f>IF($AL241="","",INDEX('04_調査結果'!$W$5:$W$404,$AL241))</f>
        <v/>
      </c>
      <c r="AE241">
        <f>IF($AL241="","",INDEX('04_調査結果'!$X$5:$X$404,$AL241))</f>
        <v/>
      </c>
      <c r="AF241">
        <f>IF($AL241="","",INDEX('04_調査結果'!$Y$5:$Y$404,$AL241))</f>
        <v/>
      </c>
      <c r="AG241">
        <f>IF($AL241="","",INDEX('04_調査結果'!$Z$5:$Z$404,$AL241))</f>
        <v/>
      </c>
      <c r="AH241">
        <f>IF($AL241="","",INDEX('04_調査結果'!$AK$5:$AK$404,$AL241))</f>
        <v/>
      </c>
      <c r="AI241">
        <f>IF($AL241="","",INDEX('04_調査結果'!$AH$5:$AH$404,$AL241)&amp;"")</f>
        <v/>
      </c>
      <c r="AJ241">
        <f>IF($AL241="","",INDEX('04_調査結果'!$AA$5:$AA$404,$AL241)&amp;"")</f>
        <v/>
      </c>
      <c r="AK241">
        <f>IF($AL241="","",INDEX('04_調査結果'!$AC$5:$AC$404,$AL241)&amp;"")</f>
        <v/>
      </c>
      <c r="AL241" s="34">
        <f>IFERROR(MATCH(ROW()-4,'04_調査結果'!$AZ$5:$AZ$404,0),"")</f>
        <v/>
      </c>
    </row>
    <row r="242">
      <c r="A242">
        <f>IF($AL242="","",'01_設定'!$C$36)</f>
        <v/>
      </c>
      <c r="B242">
        <f>IF($AL242="","",'01_設定'!$C$5)</f>
        <v/>
      </c>
      <c r="C242">
        <f>IF($AL242="","",'01_設定'!$C$6)</f>
        <v/>
      </c>
      <c r="D242" s="36">
        <f>IF($AL242="","",'01_設定'!$C$22)</f>
        <v/>
      </c>
      <c r="E242" s="36">
        <f>IF($AL242="","",'01_設定'!$C$23)</f>
        <v/>
      </c>
      <c r="F242">
        <f>IF($AL242="","",'01_設定'!$C$32)</f>
        <v/>
      </c>
      <c r="G242">
        <f>IF($AL242="","",ROW()-4)</f>
        <v/>
      </c>
      <c r="H242">
        <f>IF($AL242="","",INDEX('04_調査結果'!$AO$5:$AO$404,$AL242))</f>
        <v/>
      </c>
      <c r="I242">
        <f>IF($AL242="","",IFERROR(INDEX('M2_区分マスタ'!$I$5:$I$10,INDEX('04_調査結果'!$AP$5:$AP$404,$AL242)),""))</f>
        <v/>
      </c>
      <c r="J242">
        <f>IF($AL242="","",INDEX('04_調査結果'!$BE$5:$BE$404,$AL242)&amp;"")</f>
        <v/>
      </c>
      <c r="K242">
        <f>IF($AL242="","",INDEX('04_調査結果'!$F$5:$F$404,$AL242)&amp;"")</f>
        <v/>
      </c>
      <c r="L242">
        <f>IF($AL242="","",INDEX('04_調査結果'!$G$5:$G$404,$AL242)&amp;"")</f>
        <v/>
      </c>
      <c r="M242">
        <f>IF($AL242="","",INDEX('04_調査結果'!$AQ$5:$AQ$404,$AL242)&amp;"")</f>
        <v/>
      </c>
      <c r="N242">
        <f>IF($AL242="","",IFERROR(INDEX('M1_類型マスタ'!$B$5:$B$19,MATCH(M242,'M1_類型マスタ'!$A$5:$A$19,0)),""))</f>
        <v/>
      </c>
      <c r="O242">
        <f>IF($AL242="","",INDEX('04_調査結果'!$I$5:$I$404,$AL242)&amp;"")</f>
        <v/>
      </c>
      <c r="P242">
        <f>IF($AL242="","",INDEX('04_調査結果'!$J$5:$J$404,$AL242)&amp;"")</f>
        <v/>
      </c>
      <c r="Q242">
        <f>IF($AL242="","",INDEX('04_調査結果'!$K$5:$K$404,$AL242)&amp;"")</f>
        <v/>
      </c>
      <c r="R242">
        <f>IF($AL242="","",INDEX('04_調査結果'!$L$5:$L$404,$AL242)&amp;"")</f>
        <v/>
      </c>
      <c r="S242">
        <f>IF($AL242="","",INDEX('04_調査結果'!$M$5:$M$404,$AL242)&amp;"")</f>
        <v/>
      </c>
      <c r="T242" s="33">
        <f>IF($AL242="","",IF(INDEX('04_調査結果'!$AE$5:$AE$404,$AL242)&lt;&gt;"",INDEX('04_調査結果'!$AE$5:$AE$404,$AL242),INDEX('04_調査結果'!$AS$5:$AS$404,$AL242)))</f>
        <v/>
      </c>
      <c r="U242" s="33">
        <f>IF($AL242="","",IF(INDEX('04_調査結果'!$AF$5:$AF$404,$AL242)&lt;&gt;"",INDEX('04_調査結果'!$AF$5:$AF$404,$AL242),INDEX('04_調査結果'!$AT$5:$AT$404,$AL242)))</f>
        <v/>
      </c>
      <c r="V242" s="33">
        <f>IF($AL242="","",INDEX('04_調査結果'!$AI$5:$AI$404,$AL242))</f>
        <v/>
      </c>
      <c r="W242">
        <f>IF($AL242="","",INDEX('04_調査結果'!$AU$5:$AU$404,$AL242))</f>
        <v/>
      </c>
      <c r="X242" s="37">
        <f>IF($AL242="","",INDEX('04_調査結果'!$AW$5:$AW$404,$AL242))</f>
        <v/>
      </c>
      <c r="Y242" s="37">
        <f>IF($AL242="","",INDEX('04_調査結果'!$AX$5:$AX$404,$AL242))</f>
        <v/>
      </c>
      <c r="Z242">
        <f>IF($AL242="","",INDEX('04_調査結果'!$S$5:$S$404,$AL242)&amp;"")</f>
        <v/>
      </c>
      <c r="AA242">
        <f>IF($AL242="","",INDEX('04_調査結果'!$T$5:$T$404,$AL242))</f>
        <v/>
      </c>
      <c r="AB242">
        <f>IF($AL242="","",INDEX('04_調査結果'!$U$5:$U$404,$AL242))</f>
        <v/>
      </c>
      <c r="AC242">
        <f>IF($AL242="","",INDEX('04_調査結果'!$V$5:$V$404,$AL242))</f>
        <v/>
      </c>
      <c r="AD242">
        <f>IF($AL242="","",INDEX('04_調査結果'!$W$5:$W$404,$AL242))</f>
        <v/>
      </c>
      <c r="AE242">
        <f>IF($AL242="","",INDEX('04_調査結果'!$X$5:$X$404,$AL242))</f>
        <v/>
      </c>
      <c r="AF242">
        <f>IF($AL242="","",INDEX('04_調査結果'!$Y$5:$Y$404,$AL242))</f>
        <v/>
      </c>
      <c r="AG242">
        <f>IF($AL242="","",INDEX('04_調査結果'!$Z$5:$Z$404,$AL242))</f>
        <v/>
      </c>
      <c r="AH242">
        <f>IF($AL242="","",INDEX('04_調査結果'!$AK$5:$AK$404,$AL242))</f>
        <v/>
      </c>
      <c r="AI242">
        <f>IF($AL242="","",INDEX('04_調査結果'!$AH$5:$AH$404,$AL242)&amp;"")</f>
        <v/>
      </c>
      <c r="AJ242">
        <f>IF($AL242="","",INDEX('04_調査結果'!$AA$5:$AA$404,$AL242)&amp;"")</f>
        <v/>
      </c>
      <c r="AK242">
        <f>IF($AL242="","",INDEX('04_調査結果'!$AC$5:$AC$404,$AL242)&amp;"")</f>
        <v/>
      </c>
      <c r="AL242" s="34">
        <f>IFERROR(MATCH(ROW()-4,'04_調査結果'!$AZ$5:$AZ$404,0),"")</f>
        <v/>
      </c>
    </row>
    <row r="243">
      <c r="A243">
        <f>IF($AL243="","",'01_設定'!$C$36)</f>
        <v/>
      </c>
      <c r="B243">
        <f>IF($AL243="","",'01_設定'!$C$5)</f>
        <v/>
      </c>
      <c r="C243">
        <f>IF($AL243="","",'01_設定'!$C$6)</f>
        <v/>
      </c>
      <c r="D243" s="36">
        <f>IF($AL243="","",'01_設定'!$C$22)</f>
        <v/>
      </c>
      <c r="E243" s="36">
        <f>IF($AL243="","",'01_設定'!$C$23)</f>
        <v/>
      </c>
      <c r="F243">
        <f>IF($AL243="","",'01_設定'!$C$32)</f>
        <v/>
      </c>
      <c r="G243">
        <f>IF($AL243="","",ROW()-4)</f>
        <v/>
      </c>
      <c r="H243">
        <f>IF($AL243="","",INDEX('04_調査結果'!$AO$5:$AO$404,$AL243))</f>
        <v/>
      </c>
      <c r="I243">
        <f>IF($AL243="","",IFERROR(INDEX('M2_区分マスタ'!$I$5:$I$10,INDEX('04_調査結果'!$AP$5:$AP$404,$AL243)),""))</f>
        <v/>
      </c>
      <c r="J243">
        <f>IF($AL243="","",INDEX('04_調査結果'!$BE$5:$BE$404,$AL243)&amp;"")</f>
        <v/>
      </c>
      <c r="K243">
        <f>IF($AL243="","",INDEX('04_調査結果'!$F$5:$F$404,$AL243)&amp;"")</f>
        <v/>
      </c>
      <c r="L243">
        <f>IF($AL243="","",INDEX('04_調査結果'!$G$5:$G$404,$AL243)&amp;"")</f>
        <v/>
      </c>
      <c r="M243">
        <f>IF($AL243="","",INDEX('04_調査結果'!$AQ$5:$AQ$404,$AL243)&amp;"")</f>
        <v/>
      </c>
      <c r="N243">
        <f>IF($AL243="","",IFERROR(INDEX('M1_類型マスタ'!$B$5:$B$19,MATCH(M243,'M1_類型マスタ'!$A$5:$A$19,0)),""))</f>
        <v/>
      </c>
      <c r="O243">
        <f>IF($AL243="","",INDEX('04_調査結果'!$I$5:$I$404,$AL243)&amp;"")</f>
        <v/>
      </c>
      <c r="P243">
        <f>IF($AL243="","",INDEX('04_調査結果'!$J$5:$J$404,$AL243)&amp;"")</f>
        <v/>
      </c>
      <c r="Q243">
        <f>IF($AL243="","",INDEX('04_調査結果'!$K$5:$K$404,$AL243)&amp;"")</f>
        <v/>
      </c>
      <c r="R243">
        <f>IF($AL243="","",INDEX('04_調査結果'!$L$5:$L$404,$AL243)&amp;"")</f>
        <v/>
      </c>
      <c r="S243">
        <f>IF($AL243="","",INDEX('04_調査結果'!$M$5:$M$404,$AL243)&amp;"")</f>
        <v/>
      </c>
      <c r="T243" s="33">
        <f>IF($AL243="","",IF(INDEX('04_調査結果'!$AE$5:$AE$404,$AL243)&lt;&gt;"",INDEX('04_調査結果'!$AE$5:$AE$404,$AL243),INDEX('04_調査結果'!$AS$5:$AS$404,$AL243)))</f>
        <v/>
      </c>
      <c r="U243" s="33">
        <f>IF($AL243="","",IF(INDEX('04_調査結果'!$AF$5:$AF$404,$AL243)&lt;&gt;"",INDEX('04_調査結果'!$AF$5:$AF$404,$AL243),INDEX('04_調査結果'!$AT$5:$AT$404,$AL243)))</f>
        <v/>
      </c>
      <c r="V243" s="33">
        <f>IF($AL243="","",INDEX('04_調査結果'!$AI$5:$AI$404,$AL243))</f>
        <v/>
      </c>
      <c r="W243">
        <f>IF($AL243="","",INDEX('04_調査結果'!$AU$5:$AU$404,$AL243))</f>
        <v/>
      </c>
      <c r="X243" s="37">
        <f>IF($AL243="","",INDEX('04_調査結果'!$AW$5:$AW$404,$AL243))</f>
        <v/>
      </c>
      <c r="Y243" s="37">
        <f>IF($AL243="","",INDEX('04_調査結果'!$AX$5:$AX$404,$AL243))</f>
        <v/>
      </c>
      <c r="Z243">
        <f>IF($AL243="","",INDEX('04_調査結果'!$S$5:$S$404,$AL243)&amp;"")</f>
        <v/>
      </c>
      <c r="AA243">
        <f>IF($AL243="","",INDEX('04_調査結果'!$T$5:$T$404,$AL243))</f>
        <v/>
      </c>
      <c r="AB243">
        <f>IF($AL243="","",INDEX('04_調査結果'!$U$5:$U$404,$AL243))</f>
        <v/>
      </c>
      <c r="AC243">
        <f>IF($AL243="","",INDEX('04_調査結果'!$V$5:$V$404,$AL243))</f>
        <v/>
      </c>
      <c r="AD243">
        <f>IF($AL243="","",INDEX('04_調査結果'!$W$5:$W$404,$AL243))</f>
        <v/>
      </c>
      <c r="AE243">
        <f>IF($AL243="","",INDEX('04_調査結果'!$X$5:$X$404,$AL243))</f>
        <v/>
      </c>
      <c r="AF243">
        <f>IF($AL243="","",INDEX('04_調査結果'!$Y$5:$Y$404,$AL243))</f>
        <v/>
      </c>
      <c r="AG243">
        <f>IF($AL243="","",INDEX('04_調査結果'!$Z$5:$Z$404,$AL243))</f>
        <v/>
      </c>
      <c r="AH243">
        <f>IF($AL243="","",INDEX('04_調査結果'!$AK$5:$AK$404,$AL243))</f>
        <v/>
      </c>
      <c r="AI243">
        <f>IF($AL243="","",INDEX('04_調査結果'!$AH$5:$AH$404,$AL243)&amp;"")</f>
        <v/>
      </c>
      <c r="AJ243">
        <f>IF($AL243="","",INDEX('04_調査結果'!$AA$5:$AA$404,$AL243)&amp;"")</f>
        <v/>
      </c>
      <c r="AK243">
        <f>IF($AL243="","",INDEX('04_調査結果'!$AC$5:$AC$404,$AL243)&amp;"")</f>
        <v/>
      </c>
      <c r="AL243" s="34">
        <f>IFERROR(MATCH(ROW()-4,'04_調査結果'!$AZ$5:$AZ$404,0),"")</f>
        <v/>
      </c>
    </row>
    <row r="244">
      <c r="A244">
        <f>IF($AL244="","",'01_設定'!$C$36)</f>
        <v/>
      </c>
      <c r="B244">
        <f>IF($AL244="","",'01_設定'!$C$5)</f>
        <v/>
      </c>
      <c r="C244">
        <f>IF($AL244="","",'01_設定'!$C$6)</f>
        <v/>
      </c>
      <c r="D244" s="36">
        <f>IF($AL244="","",'01_設定'!$C$22)</f>
        <v/>
      </c>
      <c r="E244" s="36">
        <f>IF($AL244="","",'01_設定'!$C$23)</f>
        <v/>
      </c>
      <c r="F244">
        <f>IF($AL244="","",'01_設定'!$C$32)</f>
        <v/>
      </c>
      <c r="G244">
        <f>IF($AL244="","",ROW()-4)</f>
        <v/>
      </c>
      <c r="H244">
        <f>IF($AL244="","",INDEX('04_調査結果'!$AO$5:$AO$404,$AL244))</f>
        <v/>
      </c>
      <c r="I244">
        <f>IF($AL244="","",IFERROR(INDEX('M2_区分マスタ'!$I$5:$I$10,INDEX('04_調査結果'!$AP$5:$AP$404,$AL244)),""))</f>
        <v/>
      </c>
      <c r="J244">
        <f>IF($AL244="","",INDEX('04_調査結果'!$BE$5:$BE$404,$AL244)&amp;"")</f>
        <v/>
      </c>
      <c r="K244">
        <f>IF($AL244="","",INDEX('04_調査結果'!$F$5:$F$404,$AL244)&amp;"")</f>
        <v/>
      </c>
      <c r="L244">
        <f>IF($AL244="","",INDEX('04_調査結果'!$G$5:$G$404,$AL244)&amp;"")</f>
        <v/>
      </c>
      <c r="M244">
        <f>IF($AL244="","",INDEX('04_調査結果'!$AQ$5:$AQ$404,$AL244)&amp;"")</f>
        <v/>
      </c>
      <c r="N244">
        <f>IF($AL244="","",IFERROR(INDEX('M1_類型マスタ'!$B$5:$B$19,MATCH(M244,'M1_類型マスタ'!$A$5:$A$19,0)),""))</f>
        <v/>
      </c>
      <c r="O244">
        <f>IF($AL244="","",INDEX('04_調査結果'!$I$5:$I$404,$AL244)&amp;"")</f>
        <v/>
      </c>
      <c r="P244">
        <f>IF($AL244="","",INDEX('04_調査結果'!$J$5:$J$404,$AL244)&amp;"")</f>
        <v/>
      </c>
      <c r="Q244">
        <f>IF($AL244="","",INDEX('04_調査結果'!$K$5:$K$404,$AL244)&amp;"")</f>
        <v/>
      </c>
      <c r="R244">
        <f>IF($AL244="","",INDEX('04_調査結果'!$L$5:$L$404,$AL244)&amp;"")</f>
        <v/>
      </c>
      <c r="S244">
        <f>IF($AL244="","",INDEX('04_調査結果'!$M$5:$M$404,$AL244)&amp;"")</f>
        <v/>
      </c>
      <c r="T244" s="33">
        <f>IF($AL244="","",IF(INDEX('04_調査結果'!$AE$5:$AE$404,$AL244)&lt;&gt;"",INDEX('04_調査結果'!$AE$5:$AE$404,$AL244),INDEX('04_調査結果'!$AS$5:$AS$404,$AL244)))</f>
        <v/>
      </c>
      <c r="U244" s="33">
        <f>IF($AL244="","",IF(INDEX('04_調査結果'!$AF$5:$AF$404,$AL244)&lt;&gt;"",INDEX('04_調査結果'!$AF$5:$AF$404,$AL244),INDEX('04_調査結果'!$AT$5:$AT$404,$AL244)))</f>
        <v/>
      </c>
      <c r="V244" s="33">
        <f>IF($AL244="","",INDEX('04_調査結果'!$AI$5:$AI$404,$AL244))</f>
        <v/>
      </c>
      <c r="W244">
        <f>IF($AL244="","",INDEX('04_調査結果'!$AU$5:$AU$404,$AL244))</f>
        <v/>
      </c>
      <c r="X244" s="37">
        <f>IF($AL244="","",INDEX('04_調査結果'!$AW$5:$AW$404,$AL244))</f>
        <v/>
      </c>
      <c r="Y244" s="37">
        <f>IF($AL244="","",INDEX('04_調査結果'!$AX$5:$AX$404,$AL244))</f>
        <v/>
      </c>
      <c r="Z244">
        <f>IF($AL244="","",INDEX('04_調査結果'!$S$5:$S$404,$AL244)&amp;"")</f>
        <v/>
      </c>
      <c r="AA244">
        <f>IF($AL244="","",INDEX('04_調査結果'!$T$5:$T$404,$AL244))</f>
        <v/>
      </c>
      <c r="AB244">
        <f>IF($AL244="","",INDEX('04_調査結果'!$U$5:$U$404,$AL244))</f>
        <v/>
      </c>
      <c r="AC244">
        <f>IF($AL244="","",INDEX('04_調査結果'!$V$5:$V$404,$AL244))</f>
        <v/>
      </c>
      <c r="AD244">
        <f>IF($AL244="","",INDEX('04_調査結果'!$W$5:$W$404,$AL244))</f>
        <v/>
      </c>
      <c r="AE244">
        <f>IF($AL244="","",INDEX('04_調査結果'!$X$5:$X$404,$AL244))</f>
        <v/>
      </c>
      <c r="AF244">
        <f>IF($AL244="","",INDEX('04_調査結果'!$Y$5:$Y$404,$AL244))</f>
        <v/>
      </c>
      <c r="AG244">
        <f>IF($AL244="","",INDEX('04_調査結果'!$Z$5:$Z$404,$AL244))</f>
        <v/>
      </c>
      <c r="AH244">
        <f>IF($AL244="","",INDEX('04_調査結果'!$AK$5:$AK$404,$AL244))</f>
        <v/>
      </c>
      <c r="AI244">
        <f>IF($AL244="","",INDEX('04_調査結果'!$AH$5:$AH$404,$AL244)&amp;"")</f>
        <v/>
      </c>
      <c r="AJ244">
        <f>IF($AL244="","",INDEX('04_調査結果'!$AA$5:$AA$404,$AL244)&amp;"")</f>
        <v/>
      </c>
      <c r="AK244">
        <f>IF($AL244="","",INDEX('04_調査結果'!$AC$5:$AC$404,$AL244)&amp;"")</f>
        <v/>
      </c>
      <c r="AL244" s="34">
        <f>IFERROR(MATCH(ROW()-4,'04_調査結果'!$AZ$5:$AZ$404,0),"")</f>
        <v/>
      </c>
    </row>
    <row r="245">
      <c r="A245">
        <f>IF($AL245="","",'01_設定'!$C$36)</f>
        <v/>
      </c>
      <c r="B245">
        <f>IF($AL245="","",'01_設定'!$C$5)</f>
        <v/>
      </c>
      <c r="C245">
        <f>IF($AL245="","",'01_設定'!$C$6)</f>
        <v/>
      </c>
      <c r="D245" s="36">
        <f>IF($AL245="","",'01_設定'!$C$22)</f>
        <v/>
      </c>
      <c r="E245" s="36">
        <f>IF($AL245="","",'01_設定'!$C$23)</f>
        <v/>
      </c>
      <c r="F245">
        <f>IF($AL245="","",'01_設定'!$C$32)</f>
        <v/>
      </c>
      <c r="G245">
        <f>IF($AL245="","",ROW()-4)</f>
        <v/>
      </c>
      <c r="H245">
        <f>IF($AL245="","",INDEX('04_調査結果'!$AO$5:$AO$404,$AL245))</f>
        <v/>
      </c>
      <c r="I245">
        <f>IF($AL245="","",IFERROR(INDEX('M2_区分マスタ'!$I$5:$I$10,INDEX('04_調査結果'!$AP$5:$AP$404,$AL245)),""))</f>
        <v/>
      </c>
      <c r="J245">
        <f>IF($AL245="","",INDEX('04_調査結果'!$BE$5:$BE$404,$AL245)&amp;"")</f>
        <v/>
      </c>
      <c r="K245">
        <f>IF($AL245="","",INDEX('04_調査結果'!$F$5:$F$404,$AL245)&amp;"")</f>
        <v/>
      </c>
      <c r="L245">
        <f>IF($AL245="","",INDEX('04_調査結果'!$G$5:$G$404,$AL245)&amp;"")</f>
        <v/>
      </c>
      <c r="M245">
        <f>IF($AL245="","",INDEX('04_調査結果'!$AQ$5:$AQ$404,$AL245)&amp;"")</f>
        <v/>
      </c>
      <c r="N245">
        <f>IF($AL245="","",IFERROR(INDEX('M1_類型マスタ'!$B$5:$B$19,MATCH(M245,'M1_類型マスタ'!$A$5:$A$19,0)),""))</f>
        <v/>
      </c>
      <c r="O245">
        <f>IF($AL245="","",INDEX('04_調査結果'!$I$5:$I$404,$AL245)&amp;"")</f>
        <v/>
      </c>
      <c r="P245">
        <f>IF($AL245="","",INDEX('04_調査結果'!$J$5:$J$404,$AL245)&amp;"")</f>
        <v/>
      </c>
      <c r="Q245">
        <f>IF($AL245="","",INDEX('04_調査結果'!$K$5:$K$404,$AL245)&amp;"")</f>
        <v/>
      </c>
      <c r="R245">
        <f>IF($AL245="","",INDEX('04_調査結果'!$L$5:$L$404,$AL245)&amp;"")</f>
        <v/>
      </c>
      <c r="S245">
        <f>IF($AL245="","",INDEX('04_調査結果'!$M$5:$M$404,$AL245)&amp;"")</f>
        <v/>
      </c>
      <c r="T245" s="33">
        <f>IF($AL245="","",IF(INDEX('04_調査結果'!$AE$5:$AE$404,$AL245)&lt;&gt;"",INDEX('04_調査結果'!$AE$5:$AE$404,$AL245),INDEX('04_調査結果'!$AS$5:$AS$404,$AL245)))</f>
        <v/>
      </c>
      <c r="U245" s="33">
        <f>IF($AL245="","",IF(INDEX('04_調査結果'!$AF$5:$AF$404,$AL245)&lt;&gt;"",INDEX('04_調査結果'!$AF$5:$AF$404,$AL245),INDEX('04_調査結果'!$AT$5:$AT$404,$AL245)))</f>
        <v/>
      </c>
      <c r="V245" s="33">
        <f>IF($AL245="","",INDEX('04_調査結果'!$AI$5:$AI$404,$AL245))</f>
        <v/>
      </c>
      <c r="W245">
        <f>IF($AL245="","",INDEX('04_調査結果'!$AU$5:$AU$404,$AL245))</f>
        <v/>
      </c>
      <c r="X245" s="37">
        <f>IF($AL245="","",INDEX('04_調査結果'!$AW$5:$AW$404,$AL245))</f>
        <v/>
      </c>
      <c r="Y245" s="37">
        <f>IF($AL245="","",INDEX('04_調査結果'!$AX$5:$AX$404,$AL245))</f>
        <v/>
      </c>
      <c r="Z245">
        <f>IF($AL245="","",INDEX('04_調査結果'!$S$5:$S$404,$AL245)&amp;"")</f>
        <v/>
      </c>
      <c r="AA245">
        <f>IF($AL245="","",INDEX('04_調査結果'!$T$5:$T$404,$AL245))</f>
        <v/>
      </c>
      <c r="AB245">
        <f>IF($AL245="","",INDEX('04_調査結果'!$U$5:$U$404,$AL245))</f>
        <v/>
      </c>
      <c r="AC245">
        <f>IF($AL245="","",INDEX('04_調査結果'!$V$5:$V$404,$AL245))</f>
        <v/>
      </c>
      <c r="AD245">
        <f>IF($AL245="","",INDEX('04_調査結果'!$W$5:$W$404,$AL245))</f>
        <v/>
      </c>
      <c r="AE245">
        <f>IF($AL245="","",INDEX('04_調査結果'!$X$5:$X$404,$AL245))</f>
        <v/>
      </c>
      <c r="AF245">
        <f>IF($AL245="","",INDEX('04_調査結果'!$Y$5:$Y$404,$AL245))</f>
        <v/>
      </c>
      <c r="AG245">
        <f>IF($AL245="","",INDEX('04_調査結果'!$Z$5:$Z$404,$AL245))</f>
        <v/>
      </c>
      <c r="AH245">
        <f>IF($AL245="","",INDEX('04_調査結果'!$AK$5:$AK$404,$AL245))</f>
        <v/>
      </c>
      <c r="AI245">
        <f>IF($AL245="","",INDEX('04_調査結果'!$AH$5:$AH$404,$AL245)&amp;"")</f>
        <v/>
      </c>
      <c r="AJ245">
        <f>IF($AL245="","",INDEX('04_調査結果'!$AA$5:$AA$404,$AL245)&amp;"")</f>
        <v/>
      </c>
      <c r="AK245">
        <f>IF($AL245="","",INDEX('04_調査結果'!$AC$5:$AC$404,$AL245)&amp;"")</f>
        <v/>
      </c>
      <c r="AL245" s="34">
        <f>IFERROR(MATCH(ROW()-4,'04_調査結果'!$AZ$5:$AZ$404,0),"")</f>
        <v/>
      </c>
    </row>
    <row r="246">
      <c r="A246">
        <f>IF($AL246="","",'01_設定'!$C$36)</f>
        <v/>
      </c>
      <c r="B246">
        <f>IF($AL246="","",'01_設定'!$C$5)</f>
        <v/>
      </c>
      <c r="C246">
        <f>IF($AL246="","",'01_設定'!$C$6)</f>
        <v/>
      </c>
      <c r="D246" s="36">
        <f>IF($AL246="","",'01_設定'!$C$22)</f>
        <v/>
      </c>
      <c r="E246" s="36">
        <f>IF($AL246="","",'01_設定'!$C$23)</f>
        <v/>
      </c>
      <c r="F246">
        <f>IF($AL246="","",'01_設定'!$C$32)</f>
        <v/>
      </c>
      <c r="G246">
        <f>IF($AL246="","",ROW()-4)</f>
        <v/>
      </c>
      <c r="H246">
        <f>IF($AL246="","",INDEX('04_調査結果'!$AO$5:$AO$404,$AL246))</f>
        <v/>
      </c>
      <c r="I246">
        <f>IF($AL246="","",IFERROR(INDEX('M2_区分マスタ'!$I$5:$I$10,INDEX('04_調査結果'!$AP$5:$AP$404,$AL246)),""))</f>
        <v/>
      </c>
      <c r="J246">
        <f>IF($AL246="","",INDEX('04_調査結果'!$BE$5:$BE$404,$AL246)&amp;"")</f>
        <v/>
      </c>
      <c r="K246">
        <f>IF($AL246="","",INDEX('04_調査結果'!$F$5:$F$404,$AL246)&amp;"")</f>
        <v/>
      </c>
      <c r="L246">
        <f>IF($AL246="","",INDEX('04_調査結果'!$G$5:$G$404,$AL246)&amp;"")</f>
        <v/>
      </c>
      <c r="M246">
        <f>IF($AL246="","",INDEX('04_調査結果'!$AQ$5:$AQ$404,$AL246)&amp;"")</f>
        <v/>
      </c>
      <c r="N246">
        <f>IF($AL246="","",IFERROR(INDEX('M1_類型マスタ'!$B$5:$B$19,MATCH(M246,'M1_類型マスタ'!$A$5:$A$19,0)),""))</f>
        <v/>
      </c>
      <c r="O246">
        <f>IF($AL246="","",INDEX('04_調査結果'!$I$5:$I$404,$AL246)&amp;"")</f>
        <v/>
      </c>
      <c r="P246">
        <f>IF($AL246="","",INDEX('04_調査結果'!$J$5:$J$404,$AL246)&amp;"")</f>
        <v/>
      </c>
      <c r="Q246">
        <f>IF($AL246="","",INDEX('04_調査結果'!$K$5:$K$404,$AL246)&amp;"")</f>
        <v/>
      </c>
      <c r="R246">
        <f>IF($AL246="","",INDEX('04_調査結果'!$L$5:$L$404,$AL246)&amp;"")</f>
        <v/>
      </c>
      <c r="S246">
        <f>IF($AL246="","",INDEX('04_調査結果'!$M$5:$M$404,$AL246)&amp;"")</f>
        <v/>
      </c>
      <c r="T246" s="33">
        <f>IF($AL246="","",IF(INDEX('04_調査結果'!$AE$5:$AE$404,$AL246)&lt;&gt;"",INDEX('04_調査結果'!$AE$5:$AE$404,$AL246),INDEX('04_調査結果'!$AS$5:$AS$404,$AL246)))</f>
        <v/>
      </c>
      <c r="U246" s="33">
        <f>IF($AL246="","",IF(INDEX('04_調査結果'!$AF$5:$AF$404,$AL246)&lt;&gt;"",INDEX('04_調査結果'!$AF$5:$AF$404,$AL246),INDEX('04_調査結果'!$AT$5:$AT$404,$AL246)))</f>
        <v/>
      </c>
      <c r="V246" s="33">
        <f>IF($AL246="","",INDEX('04_調査結果'!$AI$5:$AI$404,$AL246))</f>
        <v/>
      </c>
      <c r="W246">
        <f>IF($AL246="","",INDEX('04_調査結果'!$AU$5:$AU$404,$AL246))</f>
        <v/>
      </c>
      <c r="X246" s="37">
        <f>IF($AL246="","",INDEX('04_調査結果'!$AW$5:$AW$404,$AL246))</f>
        <v/>
      </c>
      <c r="Y246" s="37">
        <f>IF($AL246="","",INDEX('04_調査結果'!$AX$5:$AX$404,$AL246))</f>
        <v/>
      </c>
      <c r="Z246">
        <f>IF($AL246="","",INDEX('04_調査結果'!$S$5:$S$404,$AL246)&amp;"")</f>
        <v/>
      </c>
      <c r="AA246">
        <f>IF($AL246="","",INDEX('04_調査結果'!$T$5:$T$404,$AL246))</f>
        <v/>
      </c>
      <c r="AB246">
        <f>IF($AL246="","",INDEX('04_調査結果'!$U$5:$U$404,$AL246))</f>
        <v/>
      </c>
      <c r="AC246">
        <f>IF($AL246="","",INDEX('04_調査結果'!$V$5:$V$404,$AL246))</f>
        <v/>
      </c>
      <c r="AD246">
        <f>IF($AL246="","",INDEX('04_調査結果'!$W$5:$W$404,$AL246))</f>
        <v/>
      </c>
      <c r="AE246">
        <f>IF($AL246="","",INDEX('04_調査結果'!$X$5:$X$404,$AL246))</f>
        <v/>
      </c>
      <c r="AF246">
        <f>IF($AL246="","",INDEX('04_調査結果'!$Y$5:$Y$404,$AL246))</f>
        <v/>
      </c>
      <c r="AG246">
        <f>IF($AL246="","",INDEX('04_調査結果'!$Z$5:$Z$404,$AL246))</f>
        <v/>
      </c>
      <c r="AH246">
        <f>IF($AL246="","",INDEX('04_調査結果'!$AK$5:$AK$404,$AL246))</f>
        <v/>
      </c>
      <c r="AI246">
        <f>IF($AL246="","",INDEX('04_調査結果'!$AH$5:$AH$404,$AL246)&amp;"")</f>
        <v/>
      </c>
      <c r="AJ246">
        <f>IF($AL246="","",INDEX('04_調査結果'!$AA$5:$AA$404,$AL246)&amp;"")</f>
        <v/>
      </c>
      <c r="AK246">
        <f>IF($AL246="","",INDEX('04_調査結果'!$AC$5:$AC$404,$AL246)&amp;"")</f>
        <v/>
      </c>
      <c r="AL246" s="34">
        <f>IFERROR(MATCH(ROW()-4,'04_調査結果'!$AZ$5:$AZ$404,0),"")</f>
        <v/>
      </c>
    </row>
    <row r="247">
      <c r="A247">
        <f>IF($AL247="","",'01_設定'!$C$36)</f>
        <v/>
      </c>
      <c r="B247">
        <f>IF($AL247="","",'01_設定'!$C$5)</f>
        <v/>
      </c>
      <c r="C247">
        <f>IF($AL247="","",'01_設定'!$C$6)</f>
        <v/>
      </c>
      <c r="D247" s="36">
        <f>IF($AL247="","",'01_設定'!$C$22)</f>
        <v/>
      </c>
      <c r="E247" s="36">
        <f>IF($AL247="","",'01_設定'!$C$23)</f>
        <v/>
      </c>
      <c r="F247">
        <f>IF($AL247="","",'01_設定'!$C$32)</f>
        <v/>
      </c>
      <c r="G247">
        <f>IF($AL247="","",ROW()-4)</f>
        <v/>
      </c>
      <c r="H247">
        <f>IF($AL247="","",INDEX('04_調査結果'!$AO$5:$AO$404,$AL247))</f>
        <v/>
      </c>
      <c r="I247">
        <f>IF($AL247="","",IFERROR(INDEX('M2_区分マスタ'!$I$5:$I$10,INDEX('04_調査結果'!$AP$5:$AP$404,$AL247)),""))</f>
        <v/>
      </c>
      <c r="J247">
        <f>IF($AL247="","",INDEX('04_調査結果'!$BE$5:$BE$404,$AL247)&amp;"")</f>
        <v/>
      </c>
      <c r="K247">
        <f>IF($AL247="","",INDEX('04_調査結果'!$F$5:$F$404,$AL247)&amp;"")</f>
        <v/>
      </c>
      <c r="L247">
        <f>IF($AL247="","",INDEX('04_調査結果'!$G$5:$G$404,$AL247)&amp;"")</f>
        <v/>
      </c>
      <c r="M247">
        <f>IF($AL247="","",INDEX('04_調査結果'!$AQ$5:$AQ$404,$AL247)&amp;"")</f>
        <v/>
      </c>
      <c r="N247">
        <f>IF($AL247="","",IFERROR(INDEX('M1_類型マスタ'!$B$5:$B$19,MATCH(M247,'M1_類型マスタ'!$A$5:$A$19,0)),""))</f>
        <v/>
      </c>
      <c r="O247">
        <f>IF($AL247="","",INDEX('04_調査結果'!$I$5:$I$404,$AL247)&amp;"")</f>
        <v/>
      </c>
      <c r="P247">
        <f>IF($AL247="","",INDEX('04_調査結果'!$J$5:$J$404,$AL247)&amp;"")</f>
        <v/>
      </c>
      <c r="Q247">
        <f>IF($AL247="","",INDEX('04_調査結果'!$K$5:$K$404,$AL247)&amp;"")</f>
        <v/>
      </c>
      <c r="R247">
        <f>IF($AL247="","",INDEX('04_調査結果'!$L$5:$L$404,$AL247)&amp;"")</f>
        <v/>
      </c>
      <c r="S247">
        <f>IF($AL247="","",INDEX('04_調査結果'!$M$5:$M$404,$AL247)&amp;"")</f>
        <v/>
      </c>
      <c r="T247" s="33">
        <f>IF($AL247="","",IF(INDEX('04_調査結果'!$AE$5:$AE$404,$AL247)&lt;&gt;"",INDEX('04_調査結果'!$AE$5:$AE$404,$AL247),INDEX('04_調査結果'!$AS$5:$AS$404,$AL247)))</f>
        <v/>
      </c>
      <c r="U247" s="33">
        <f>IF($AL247="","",IF(INDEX('04_調査結果'!$AF$5:$AF$404,$AL247)&lt;&gt;"",INDEX('04_調査結果'!$AF$5:$AF$404,$AL247),INDEX('04_調査結果'!$AT$5:$AT$404,$AL247)))</f>
        <v/>
      </c>
      <c r="V247" s="33">
        <f>IF($AL247="","",INDEX('04_調査結果'!$AI$5:$AI$404,$AL247))</f>
        <v/>
      </c>
      <c r="W247">
        <f>IF($AL247="","",INDEX('04_調査結果'!$AU$5:$AU$404,$AL247))</f>
        <v/>
      </c>
      <c r="X247" s="37">
        <f>IF($AL247="","",INDEX('04_調査結果'!$AW$5:$AW$404,$AL247))</f>
        <v/>
      </c>
      <c r="Y247" s="37">
        <f>IF($AL247="","",INDEX('04_調査結果'!$AX$5:$AX$404,$AL247))</f>
        <v/>
      </c>
      <c r="Z247">
        <f>IF($AL247="","",INDEX('04_調査結果'!$S$5:$S$404,$AL247)&amp;"")</f>
        <v/>
      </c>
      <c r="AA247">
        <f>IF($AL247="","",INDEX('04_調査結果'!$T$5:$T$404,$AL247))</f>
        <v/>
      </c>
      <c r="AB247">
        <f>IF($AL247="","",INDEX('04_調査結果'!$U$5:$U$404,$AL247))</f>
        <v/>
      </c>
      <c r="AC247">
        <f>IF($AL247="","",INDEX('04_調査結果'!$V$5:$V$404,$AL247))</f>
        <v/>
      </c>
      <c r="AD247">
        <f>IF($AL247="","",INDEX('04_調査結果'!$W$5:$W$404,$AL247))</f>
        <v/>
      </c>
      <c r="AE247">
        <f>IF($AL247="","",INDEX('04_調査結果'!$X$5:$X$404,$AL247))</f>
        <v/>
      </c>
      <c r="AF247">
        <f>IF($AL247="","",INDEX('04_調査結果'!$Y$5:$Y$404,$AL247))</f>
        <v/>
      </c>
      <c r="AG247">
        <f>IF($AL247="","",INDEX('04_調査結果'!$Z$5:$Z$404,$AL247))</f>
        <v/>
      </c>
      <c r="AH247">
        <f>IF($AL247="","",INDEX('04_調査結果'!$AK$5:$AK$404,$AL247))</f>
        <v/>
      </c>
      <c r="AI247">
        <f>IF($AL247="","",INDEX('04_調査結果'!$AH$5:$AH$404,$AL247)&amp;"")</f>
        <v/>
      </c>
      <c r="AJ247">
        <f>IF($AL247="","",INDEX('04_調査結果'!$AA$5:$AA$404,$AL247)&amp;"")</f>
        <v/>
      </c>
      <c r="AK247">
        <f>IF($AL247="","",INDEX('04_調査結果'!$AC$5:$AC$404,$AL247)&amp;"")</f>
        <v/>
      </c>
      <c r="AL247" s="34">
        <f>IFERROR(MATCH(ROW()-4,'04_調査結果'!$AZ$5:$AZ$404,0),"")</f>
        <v/>
      </c>
    </row>
    <row r="248">
      <c r="A248">
        <f>IF($AL248="","",'01_設定'!$C$36)</f>
        <v/>
      </c>
      <c r="B248">
        <f>IF($AL248="","",'01_設定'!$C$5)</f>
        <v/>
      </c>
      <c r="C248">
        <f>IF($AL248="","",'01_設定'!$C$6)</f>
        <v/>
      </c>
      <c r="D248" s="36">
        <f>IF($AL248="","",'01_設定'!$C$22)</f>
        <v/>
      </c>
      <c r="E248" s="36">
        <f>IF($AL248="","",'01_設定'!$C$23)</f>
        <v/>
      </c>
      <c r="F248">
        <f>IF($AL248="","",'01_設定'!$C$32)</f>
        <v/>
      </c>
      <c r="G248">
        <f>IF($AL248="","",ROW()-4)</f>
        <v/>
      </c>
      <c r="H248">
        <f>IF($AL248="","",INDEX('04_調査結果'!$AO$5:$AO$404,$AL248))</f>
        <v/>
      </c>
      <c r="I248">
        <f>IF($AL248="","",IFERROR(INDEX('M2_区分マスタ'!$I$5:$I$10,INDEX('04_調査結果'!$AP$5:$AP$404,$AL248)),""))</f>
        <v/>
      </c>
      <c r="J248">
        <f>IF($AL248="","",INDEX('04_調査結果'!$BE$5:$BE$404,$AL248)&amp;"")</f>
        <v/>
      </c>
      <c r="K248">
        <f>IF($AL248="","",INDEX('04_調査結果'!$F$5:$F$404,$AL248)&amp;"")</f>
        <v/>
      </c>
      <c r="L248">
        <f>IF($AL248="","",INDEX('04_調査結果'!$G$5:$G$404,$AL248)&amp;"")</f>
        <v/>
      </c>
      <c r="M248">
        <f>IF($AL248="","",INDEX('04_調査結果'!$AQ$5:$AQ$404,$AL248)&amp;"")</f>
        <v/>
      </c>
      <c r="N248">
        <f>IF($AL248="","",IFERROR(INDEX('M1_類型マスタ'!$B$5:$B$19,MATCH(M248,'M1_類型マスタ'!$A$5:$A$19,0)),""))</f>
        <v/>
      </c>
      <c r="O248">
        <f>IF($AL248="","",INDEX('04_調査結果'!$I$5:$I$404,$AL248)&amp;"")</f>
        <v/>
      </c>
      <c r="P248">
        <f>IF($AL248="","",INDEX('04_調査結果'!$J$5:$J$404,$AL248)&amp;"")</f>
        <v/>
      </c>
      <c r="Q248">
        <f>IF($AL248="","",INDEX('04_調査結果'!$K$5:$K$404,$AL248)&amp;"")</f>
        <v/>
      </c>
      <c r="R248">
        <f>IF($AL248="","",INDEX('04_調査結果'!$L$5:$L$404,$AL248)&amp;"")</f>
        <v/>
      </c>
      <c r="S248">
        <f>IF($AL248="","",INDEX('04_調査結果'!$M$5:$M$404,$AL248)&amp;"")</f>
        <v/>
      </c>
      <c r="T248" s="33">
        <f>IF($AL248="","",IF(INDEX('04_調査結果'!$AE$5:$AE$404,$AL248)&lt;&gt;"",INDEX('04_調査結果'!$AE$5:$AE$404,$AL248),INDEX('04_調査結果'!$AS$5:$AS$404,$AL248)))</f>
        <v/>
      </c>
      <c r="U248" s="33">
        <f>IF($AL248="","",IF(INDEX('04_調査結果'!$AF$5:$AF$404,$AL248)&lt;&gt;"",INDEX('04_調査結果'!$AF$5:$AF$404,$AL248),INDEX('04_調査結果'!$AT$5:$AT$404,$AL248)))</f>
        <v/>
      </c>
      <c r="V248" s="33">
        <f>IF($AL248="","",INDEX('04_調査結果'!$AI$5:$AI$404,$AL248))</f>
        <v/>
      </c>
      <c r="W248">
        <f>IF($AL248="","",INDEX('04_調査結果'!$AU$5:$AU$404,$AL248))</f>
        <v/>
      </c>
      <c r="X248" s="37">
        <f>IF($AL248="","",INDEX('04_調査結果'!$AW$5:$AW$404,$AL248))</f>
        <v/>
      </c>
      <c r="Y248" s="37">
        <f>IF($AL248="","",INDEX('04_調査結果'!$AX$5:$AX$404,$AL248))</f>
        <v/>
      </c>
      <c r="Z248">
        <f>IF($AL248="","",INDEX('04_調査結果'!$S$5:$S$404,$AL248)&amp;"")</f>
        <v/>
      </c>
      <c r="AA248">
        <f>IF($AL248="","",INDEX('04_調査結果'!$T$5:$T$404,$AL248))</f>
        <v/>
      </c>
      <c r="AB248">
        <f>IF($AL248="","",INDEX('04_調査結果'!$U$5:$U$404,$AL248))</f>
        <v/>
      </c>
      <c r="AC248">
        <f>IF($AL248="","",INDEX('04_調査結果'!$V$5:$V$404,$AL248))</f>
        <v/>
      </c>
      <c r="AD248">
        <f>IF($AL248="","",INDEX('04_調査結果'!$W$5:$W$404,$AL248))</f>
        <v/>
      </c>
      <c r="AE248">
        <f>IF($AL248="","",INDEX('04_調査結果'!$X$5:$X$404,$AL248))</f>
        <v/>
      </c>
      <c r="AF248">
        <f>IF($AL248="","",INDEX('04_調査結果'!$Y$5:$Y$404,$AL248))</f>
        <v/>
      </c>
      <c r="AG248">
        <f>IF($AL248="","",INDEX('04_調査結果'!$Z$5:$Z$404,$AL248))</f>
        <v/>
      </c>
      <c r="AH248">
        <f>IF($AL248="","",INDEX('04_調査結果'!$AK$5:$AK$404,$AL248))</f>
        <v/>
      </c>
      <c r="AI248">
        <f>IF($AL248="","",INDEX('04_調査結果'!$AH$5:$AH$404,$AL248)&amp;"")</f>
        <v/>
      </c>
      <c r="AJ248">
        <f>IF($AL248="","",INDEX('04_調査結果'!$AA$5:$AA$404,$AL248)&amp;"")</f>
        <v/>
      </c>
      <c r="AK248">
        <f>IF($AL248="","",INDEX('04_調査結果'!$AC$5:$AC$404,$AL248)&amp;"")</f>
        <v/>
      </c>
      <c r="AL248" s="34">
        <f>IFERROR(MATCH(ROW()-4,'04_調査結果'!$AZ$5:$AZ$404,0),"")</f>
        <v/>
      </c>
    </row>
    <row r="249">
      <c r="A249">
        <f>IF($AL249="","",'01_設定'!$C$36)</f>
        <v/>
      </c>
      <c r="B249">
        <f>IF($AL249="","",'01_設定'!$C$5)</f>
        <v/>
      </c>
      <c r="C249">
        <f>IF($AL249="","",'01_設定'!$C$6)</f>
        <v/>
      </c>
      <c r="D249" s="36">
        <f>IF($AL249="","",'01_設定'!$C$22)</f>
        <v/>
      </c>
      <c r="E249" s="36">
        <f>IF($AL249="","",'01_設定'!$C$23)</f>
        <v/>
      </c>
      <c r="F249">
        <f>IF($AL249="","",'01_設定'!$C$32)</f>
        <v/>
      </c>
      <c r="G249">
        <f>IF($AL249="","",ROW()-4)</f>
        <v/>
      </c>
      <c r="H249">
        <f>IF($AL249="","",INDEX('04_調査結果'!$AO$5:$AO$404,$AL249))</f>
        <v/>
      </c>
      <c r="I249">
        <f>IF($AL249="","",IFERROR(INDEX('M2_区分マスタ'!$I$5:$I$10,INDEX('04_調査結果'!$AP$5:$AP$404,$AL249)),""))</f>
        <v/>
      </c>
      <c r="J249">
        <f>IF($AL249="","",INDEX('04_調査結果'!$BE$5:$BE$404,$AL249)&amp;"")</f>
        <v/>
      </c>
      <c r="K249">
        <f>IF($AL249="","",INDEX('04_調査結果'!$F$5:$F$404,$AL249)&amp;"")</f>
        <v/>
      </c>
      <c r="L249">
        <f>IF($AL249="","",INDEX('04_調査結果'!$G$5:$G$404,$AL249)&amp;"")</f>
        <v/>
      </c>
      <c r="M249">
        <f>IF($AL249="","",INDEX('04_調査結果'!$AQ$5:$AQ$404,$AL249)&amp;"")</f>
        <v/>
      </c>
      <c r="N249">
        <f>IF($AL249="","",IFERROR(INDEX('M1_類型マスタ'!$B$5:$B$19,MATCH(M249,'M1_類型マスタ'!$A$5:$A$19,0)),""))</f>
        <v/>
      </c>
      <c r="O249">
        <f>IF($AL249="","",INDEX('04_調査結果'!$I$5:$I$404,$AL249)&amp;"")</f>
        <v/>
      </c>
      <c r="P249">
        <f>IF($AL249="","",INDEX('04_調査結果'!$J$5:$J$404,$AL249)&amp;"")</f>
        <v/>
      </c>
      <c r="Q249">
        <f>IF($AL249="","",INDEX('04_調査結果'!$K$5:$K$404,$AL249)&amp;"")</f>
        <v/>
      </c>
      <c r="R249">
        <f>IF($AL249="","",INDEX('04_調査結果'!$L$5:$L$404,$AL249)&amp;"")</f>
        <v/>
      </c>
      <c r="S249">
        <f>IF($AL249="","",INDEX('04_調査結果'!$M$5:$M$404,$AL249)&amp;"")</f>
        <v/>
      </c>
      <c r="T249" s="33">
        <f>IF($AL249="","",IF(INDEX('04_調査結果'!$AE$5:$AE$404,$AL249)&lt;&gt;"",INDEX('04_調査結果'!$AE$5:$AE$404,$AL249),INDEX('04_調査結果'!$AS$5:$AS$404,$AL249)))</f>
        <v/>
      </c>
      <c r="U249" s="33">
        <f>IF($AL249="","",IF(INDEX('04_調査結果'!$AF$5:$AF$404,$AL249)&lt;&gt;"",INDEX('04_調査結果'!$AF$5:$AF$404,$AL249),INDEX('04_調査結果'!$AT$5:$AT$404,$AL249)))</f>
        <v/>
      </c>
      <c r="V249" s="33">
        <f>IF($AL249="","",INDEX('04_調査結果'!$AI$5:$AI$404,$AL249))</f>
        <v/>
      </c>
      <c r="W249">
        <f>IF($AL249="","",INDEX('04_調査結果'!$AU$5:$AU$404,$AL249))</f>
        <v/>
      </c>
      <c r="X249" s="37">
        <f>IF($AL249="","",INDEX('04_調査結果'!$AW$5:$AW$404,$AL249))</f>
        <v/>
      </c>
      <c r="Y249" s="37">
        <f>IF($AL249="","",INDEX('04_調査結果'!$AX$5:$AX$404,$AL249))</f>
        <v/>
      </c>
      <c r="Z249">
        <f>IF($AL249="","",INDEX('04_調査結果'!$S$5:$S$404,$AL249)&amp;"")</f>
        <v/>
      </c>
      <c r="AA249">
        <f>IF($AL249="","",INDEX('04_調査結果'!$T$5:$T$404,$AL249))</f>
        <v/>
      </c>
      <c r="AB249">
        <f>IF($AL249="","",INDEX('04_調査結果'!$U$5:$U$404,$AL249))</f>
        <v/>
      </c>
      <c r="AC249">
        <f>IF($AL249="","",INDEX('04_調査結果'!$V$5:$V$404,$AL249))</f>
        <v/>
      </c>
      <c r="AD249">
        <f>IF($AL249="","",INDEX('04_調査結果'!$W$5:$W$404,$AL249))</f>
        <v/>
      </c>
      <c r="AE249">
        <f>IF($AL249="","",INDEX('04_調査結果'!$X$5:$X$404,$AL249))</f>
        <v/>
      </c>
      <c r="AF249">
        <f>IF($AL249="","",INDEX('04_調査結果'!$Y$5:$Y$404,$AL249))</f>
        <v/>
      </c>
      <c r="AG249">
        <f>IF($AL249="","",INDEX('04_調査結果'!$Z$5:$Z$404,$AL249))</f>
        <v/>
      </c>
      <c r="AH249">
        <f>IF($AL249="","",INDEX('04_調査結果'!$AK$5:$AK$404,$AL249))</f>
        <v/>
      </c>
      <c r="AI249">
        <f>IF($AL249="","",INDEX('04_調査結果'!$AH$5:$AH$404,$AL249)&amp;"")</f>
        <v/>
      </c>
      <c r="AJ249">
        <f>IF($AL249="","",INDEX('04_調査結果'!$AA$5:$AA$404,$AL249)&amp;"")</f>
        <v/>
      </c>
      <c r="AK249">
        <f>IF($AL249="","",INDEX('04_調査結果'!$AC$5:$AC$404,$AL249)&amp;"")</f>
        <v/>
      </c>
      <c r="AL249" s="34">
        <f>IFERROR(MATCH(ROW()-4,'04_調査結果'!$AZ$5:$AZ$404,0),"")</f>
        <v/>
      </c>
    </row>
    <row r="250">
      <c r="A250">
        <f>IF($AL250="","",'01_設定'!$C$36)</f>
        <v/>
      </c>
      <c r="B250">
        <f>IF($AL250="","",'01_設定'!$C$5)</f>
        <v/>
      </c>
      <c r="C250">
        <f>IF($AL250="","",'01_設定'!$C$6)</f>
        <v/>
      </c>
      <c r="D250" s="36">
        <f>IF($AL250="","",'01_設定'!$C$22)</f>
        <v/>
      </c>
      <c r="E250" s="36">
        <f>IF($AL250="","",'01_設定'!$C$23)</f>
        <v/>
      </c>
      <c r="F250">
        <f>IF($AL250="","",'01_設定'!$C$32)</f>
        <v/>
      </c>
      <c r="G250">
        <f>IF($AL250="","",ROW()-4)</f>
        <v/>
      </c>
      <c r="H250">
        <f>IF($AL250="","",INDEX('04_調査結果'!$AO$5:$AO$404,$AL250))</f>
        <v/>
      </c>
      <c r="I250">
        <f>IF($AL250="","",IFERROR(INDEX('M2_区分マスタ'!$I$5:$I$10,INDEX('04_調査結果'!$AP$5:$AP$404,$AL250)),""))</f>
        <v/>
      </c>
      <c r="J250">
        <f>IF($AL250="","",INDEX('04_調査結果'!$BE$5:$BE$404,$AL250)&amp;"")</f>
        <v/>
      </c>
      <c r="K250">
        <f>IF($AL250="","",INDEX('04_調査結果'!$F$5:$F$404,$AL250)&amp;"")</f>
        <v/>
      </c>
      <c r="L250">
        <f>IF($AL250="","",INDEX('04_調査結果'!$G$5:$G$404,$AL250)&amp;"")</f>
        <v/>
      </c>
      <c r="M250">
        <f>IF($AL250="","",INDEX('04_調査結果'!$AQ$5:$AQ$404,$AL250)&amp;"")</f>
        <v/>
      </c>
      <c r="N250">
        <f>IF($AL250="","",IFERROR(INDEX('M1_類型マスタ'!$B$5:$B$19,MATCH(M250,'M1_類型マスタ'!$A$5:$A$19,0)),""))</f>
        <v/>
      </c>
      <c r="O250">
        <f>IF($AL250="","",INDEX('04_調査結果'!$I$5:$I$404,$AL250)&amp;"")</f>
        <v/>
      </c>
      <c r="P250">
        <f>IF($AL250="","",INDEX('04_調査結果'!$J$5:$J$404,$AL250)&amp;"")</f>
        <v/>
      </c>
      <c r="Q250">
        <f>IF($AL250="","",INDEX('04_調査結果'!$K$5:$K$404,$AL250)&amp;"")</f>
        <v/>
      </c>
      <c r="R250">
        <f>IF($AL250="","",INDEX('04_調査結果'!$L$5:$L$404,$AL250)&amp;"")</f>
        <v/>
      </c>
      <c r="S250">
        <f>IF($AL250="","",INDEX('04_調査結果'!$M$5:$M$404,$AL250)&amp;"")</f>
        <v/>
      </c>
      <c r="T250" s="33">
        <f>IF($AL250="","",IF(INDEX('04_調査結果'!$AE$5:$AE$404,$AL250)&lt;&gt;"",INDEX('04_調査結果'!$AE$5:$AE$404,$AL250),INDEX('04_調査結果'!$AS$5:$AS$404,$AL250)))</f>
        <v/>
      </c>
      <c r="U250" s="33">
        <f>IF($AL250="","",IF(INDEX('04_調査結果'!$AF$5:$AF$404,$AL250)&lt;&gt;"",INDEX('04_調査結果'!$AF$5:$AF$404,$AL250),INDEX('04_調査結果'!$AT$5:$AT$404,$AL250)))</f>
        <v/>
      </c>
      <c r="V250" s="33">
        <f>IF($AL250="","",INDEX('04_調査結果'!$AI$5:$AI$404,$AL250))</f>
        <v/>
      </c>
      <c r="W250">
        <f>IF($AL250="","",INDEX('04_調査結果'!$AU$5:$AU$404,$AL250))</f>
        <v/>
      </c>
      <c r="X250" s="37">
        <f>IF($AL250="","",INDEX('04_調査結果'!$AW$5:$AW$404,$AL250))</f>
        <v/>
      </c>
      <c r="Y250" s="37">
        <f>IF($AL250="","",INDEX('04_調査結果'!$AX$5:$AX$404,$AL250))</f>
        <v/>
      </c>
      <c r="Z250">
        <f>IF($AL250="","",INDEX('04_調査結果'!$S$5:$S$404,$AL250)&amp;"")</f>
        <v/>
      </c>
      <c r="AA250">
        <f>IF($AL250="","",INDEX('04_調査結果'!$T$5:$T$404,$AL250))</f>
        <v/>
      </c>
      <c r="AB250">
        <f>IF($AL250="","",INDEX('04_調査結果'!$U$5:$U$404,$AL250))</f>
        <v/>
      </c>
      <c r="AC250">
        <f>IF($AL250="","",INDEX('04_調査結果'!$V$5:$V$404,$AL250))</f>
        <v/>
      </c>
      <c r="AD250">
        <f>IF($AL250="","",INDEX('04_調査結果'!$W$5:$W$404,$AL250))</f>
        <v/>
      </c>
      <c r="AE250">
        <f>IF($AL250="","",INDEX('04_調査結果'!$X$5:$X$404,$AL250))</f>
        <v/>
      </c>
      <c r="AF250">
        <f>IF($AL250="","",INDEX('04_調査結果'!$Y$5:$Y$404,$AL250))</f>
        <v/>
      </c>
      <c r="AG250">
        <f>IF($AL250="","",INDEX('04_調査結果'!$Z$5:$Z$404,$AL250))</f>
        <v/>
      </c>
      <c r="AH250">
        <f>IF($AL250="","",INDEX('04_調査結果'!$AK$5:$AK$404,$AL250))</f>
        <v/>
      </c>
      <c r="AI250">
        <f>IF($AL250="","",INDEX('04_調査結果'!$AH$5:$AH$404,$AL250)&amp;"")</f>
        <v/>
      </c>
      <c r="AJ250">
        <f>IF($AL250="","",INDEX('04_調査結果'!$AA$5:$AA$404,$AL250)&amp;"")</f>
        <v/>
      </c>
      <c r="AK250">
        <f>IF($AL250="","",INDEX('04_調査結果'!$AC$5:$AC$404,$AL250)&amp;"")</f>
        <v/>
      </c>
      <c r="AL250" s="34">
        <f>IFERROR(MATCH(ROW()-4,'04_調査結果'!$AZ$5:$AZ$404,0),"")</f>
        <v/>
      </c>
    </row>
    <row r="251">
      <c r="A251">
        <f>IF($AL251="","",'01_設定'!$C$36)</f>
        <v/>
      </c>
      <c r="B251">
        <f>IF($AL251="","",'01_設定'!$C$5)</f>
        <v/>
      </c>
      <c r="C251">
        <f>IF($AL251="","",'01_設定'!$C$6)</f>
        <v/>
      </c>
      <c r="D251" s="36">
        <f>IF($AL251="","",'01_設定'!$C$22)</f>
        <v/>
      </c>
      <c r="E251" s="36">
        <f>IF($AL251="","",'01_設定'!$C$23)</f>
        <v/>
      </c>
      <c r="F251">
        <f>IF($AL251="","",'01_設定'!$C$32)</f>
        <v/>
      </c>
      <c r="G251">
        <f>IF($AL251="","",ROW()-4)</f>
        <v/>
      </c>
      <c r="H251">
        <f>IF($AL251="","",INDEX('04_調査結果'!$AO$5:$AO$404,$AL251))</f>
        <v/>
      </c>
      <c r="I251">
        <f>IF($AL251="","",IFERROR(INDEX('M2_区分マスタ'!$I$5:$I$10,INDEX('04_調査結果'!$AP$5:$AP$404,$AL251)),""))</f>
        <v/>
      </c>
      <c r="J251">
        <f>IF($AL251="","",INDEX('04_調査結果'!$BE$5:$BE$404,$AL251)&amp;"")</f>
        <v/>
      </c>
      <c r="K251">
        <f>IF($AL251="","",INDEX('04_調査結果'!$F$5:$F$404,$AL251)&amp;"")</f>
        <v/>
      </c>
      <c r="L251">
        <f>IF($AL251="","",INDEX('04_調査結果'!$G$5:$G$404,$AL251)&amp;"")</f>
        <v/>
      </c>
      <c r="M251">
        <f>IF($AL251="","",INDEX('04_調査結果'!$AQ$5:$AQ$404,$AL251)&amp;"")</f>
        <v/>
      </c>
      <c r="N251">
        <f>IF($AL251="","",IFERROR(INDEX('M1_類型マスタ'!$B$5:$B$19,MATCH(M251,'M1_類型マスタ'!$A$5:$A$19,0)),""))</f>
        <v/>
      </c>
      <c r="O251">
        <f>IF($AL251="","",INDEX('04_調査結果'!$I$5:$I$404,$AL251)&amp;"")</f>
        <v/>
      </c>
      <c r="P251">
        <f>IF($AL251="","",INDEX('04_調査結果'!$J$5:$J$404,$AL251)&amp;"")</f>
        <v/>
      </c>
      <c r="Q251">
        <f>IF($AL251="","",INDEX('04_調査結果'!$K$5:$K$404,$AL251)&amp;"")</f>
        <v/>
      </c>
      <c r="R251">
        <f>IF($AL251="","",INDEX('04_調査結果'!$L$5:$L$404,$AL251)&amp;"")</f>
        <v/>
      </c>
      <c r="S251">
        <f>IF($AL251="","",INDEX('04_調査結果'!$M$5:$M$404,$AL251)&amp;"")</f>
        <v/>
      </c>
      <c r="T251" s="33">
        <f>IF($AL251="","",IF(INDEX('04_調査結果'!$AE$5:$AE$404,$AL251)&lt;&gt;"",INDEX('04_調査結果'!$AE$5:$AE$404,$AL251),INDEX('04_調査結果'!$AS$5:$AS$404,$AL251)))</f>
        <v/>
      </c>
      <c r="U251" s="33">
        <f>IF($AL251="","",IF(INDEX('04_調査結果'!$AF$5:$AF$404,$AL251)&lt;&gt;"",INDEX('04_調査結果'!$AF$5:$AF$404,$AL251),INDEX('04_調査結果'!$AT$5:$AT$404,$AL251)))</f>
        <v/>
      </c>
      <c r="V251" s="33">
        <f>IF($AL251="","",INDEX('04_調査結果'!$AI$5:$AI$404,$AL251))</f>
        <v/>
      </c>
      <c r="W251">
        <f>IF($AL251="","",INDEX('04_調査結果'!$AU$5:$AU$404,$AL251))</f>
        <v/>
      </c>
      <c r="X251" s="37">
        <f>IF($AL251="","",INDEX('04_調査結果'!$AW$5:$AW$404,$AL251))</f>
        <v/>
      </c>
      <c r="Y251" s="37">
        <f>IF($AL251="","",INDEX('04_調査結果'!$AX$5:$AX$404,$AL251))</f>
        <v/>
      </c>
      <c r="Z251">
        <f>IF($AL251="","",INDEX('04_調査結果'!$S$5:$S$404,$AL251)&amp;"")</f>
        <v/>
      </c>
      <c r="AA251">
        <f>IF($AL251="","",INDEX('04_調査結果'!$T$5:$T$404,$AL251))</f>
        <v/>
      </c>
      <c r="AB251">
        <f>IF($AL251="","",INDEX('04_調査結果'!$U$5:$U$404,$AL251))</f>
        <v/>
      </c>
      <c r="AC251">
        <f>IF($AL251="","",INDEX('04_調査結果'!$V$5:$V$404,$AL251))</f>
        <v/>
      </c>
      <c r="AD251">
        <f>IF($AL251="","",INDEX('04_調査結果'!$W$5:$W$404,$AL251))</f>
        <v/>
      </c>
      <c r="AE251">
        <f>IF($AL251="","",INDEX('04_調査結果'!$X$5:$X$404,$AL251))</f>
        <v/>
      </c>
      <c r="AF251">
        <f>IF($AL251="","",INDEX('04_調査結果'!$Y$5:$Y$404,$AL251))</f>
        <v/>
      </c>
      <c r="AG251">
        <f>IF($AL251="","",INDEX('04_調査結果'!$Z$5:$Z$404,$AL251))</f>
        <v/>
      </c>
      <c r="AH251">
        <f>IF($AL251="","",INDEX('04_調査結果'!$AK$5:$AK$404,$AL251))</f>
        <v/>
      </c>
      <c r="AI251">
        <f>IF($AL251="","",INDEX('04_調査結果'!$AH$5:$AH$404,$AL251)&amp;"")</f>
        <v/>
      </c>
      <c r="AJ251">
        <f>IF($AL251="","",INDEX('04_調査結果'!$AA$5:$AA$404,$AL251)&amp;"")</f>
        <v/>
      </c>
      <c r="AK251">
        <f>IF($AL251="","",INDEX('04_調査結果'!$AC$5:$AC$404,$AL251)&amp;"")</f>
        <v/>
      </c>
      <c r="AL251" s="34">
        <f>IFERROR(MATCH(ROW()-4,'04_調査結果'!$AZ$5:$AZ$404,0),"")</f>
        <v/>
      </c>
    </row>
    <row r="252">
      <c r="A252">
        <f>IF($AL252="","",'01_設定'!$C$36)</f>
        <v/>
      </c>
      <c r="B252">
        <f>IF($AL252="","",'01_設定'!$C$5)</f>
        <v/>
      </c>
      <c r="C252">
        <f>IF($AL252="","",'01_設定'!$C$6)</f>
        <v/>
      </c>
      <c r="D252" s="36">
        <f>IF($AL252="","",'01_設定'!$C$22)</f>
        <v/>
      </c>
      <c r="E252" s="36">
        <f>IF($AL252="","",'01_設定'!$C$23)</f>
        <v/>
      </c>
      <c r="F252">
        <f>IF($AL252="","",'01_設定'!$C$32)</f>
        <v/>
      </c>
      <c r="G252">
        <f>IF($AL252="","",ROW()-4)</f>
        <v/>
      </c>
      <c r="H252">
        <f>IF($AL252="","",INDEX('04_調査結果'!$AO$5:$AO$404,$AL252))</f>
        <v/>
      </c>
      <c r="I252">
        <f>IF($AL252="","",IFERROR(INDEX('M2_区分マスタ'!$I$5:$I$10,INDEX('04_調査結果'!$AP$5:$AP$404,$AL252)),""))</f>
        <v/>
      </c>
      <c r="J252">
        <f>IF($AL252="","",INDEX('04_調査結果'!$BE$5:$BE$404,$AL252)&amp;"")</f>
        <v/>
      </c>
      <c r="K252">
        <f>IF($AL252="","",INDEX('04_調査結果'!$F$5:$F$404,$AL252)&amp;"")</f>
        <v/>
      </c>
      <c r="L252">
        <f>IF($AL252="","",INDEX('04_調査結果'!$G$5:$G$404,$AL252)&amp;"")</f>
        <v/>
      </c>
      <c r="M252">
        <f>IF($AL252="","",INDEX('04_調査結果'!$AQ$5:$AQ$404,$AL252)&amp;"")</f>
        <v/>
      </c>
      <c r="N252">
        <f>IF($AL252="","",IFERROR(INDEX('M1_類型マスタ'!$B$5:$B$19,MATCH(M252,'M1_類型マスタ'!$A$5:$A$19,0)),""))</f>
        <v/>
      </c>
      <c r="O252">
        <f>IF($AL252="","",INDEX('04_調査結果'!$I$5:$I$404,$AL252)&amp;"")</f>
        <v/>
      </c>
      <c r="P252">
        <f>IF($AL252="","",INDEX('04_調査結果'!$J$5:$J$404,$AL252)&amp;"")</f>
        <v/>
      </c>
      <c r="Q252">
        <f>IF($AL252="","",INDEX('04_調査結果'!$K$5:$K$404,$AL252)&amp;"")</f>
        <v/>
      </c>
      <c r="R252">
        <f>IF($AL252="","",INDEX('04_調査結果'!$L$5:$L$404,$AL252)&amp;"")</f>
        <v/>
      </c>
      <c r="S252">
        <f>IF($AL252="","",INDEX('04_調査結果'!$M$5:$M$404,$AL252)&amp;"")</f>
        <v/>
      </c>
      <c r="T252" s="33">
        <f>IF($AL252="","",IF(INDEX('04_調査結果'!$AE$5:$AE$404,$AL252)&lt;&gt;"",INDEX('04_調査結果'!$AE$5:$AE$404,$AL252),INDEX('04_調査結果'!$AS$5:$AS$404,$AL252)))</f>
        <v/>
      </c>
      <c r="U252" s="33">
        <f>IF($AL252="","",IF(INDEX('04_調査結果'!$AF$5:$AF$404,$AL252)&lt;&gt;"",INDEX('04_調査結果'!$AF$5:$AF$404,$AL252),INDEX('04_調査結果'!$AT$5:$AT$404,$AL252)))</f>
        <v/>
      </c>
      <c r="V252" s="33">
        <f>IF($AL252="","",INDEX('04_調査結果'!$AI$5:$AI$404,$AL252))</f>
        <v/>
      </c>
      <c r="W252">
        <f>IF($AL252="","",INDEX('04_調査結果'!$AU$5:$AU$404,$AL252))</f>
        <v/>
      </c>
      <c r="X252" s="37">
        <f>IF($AL252="","",INDEX('04_調査結果'!$AW$5:$AW$404,$AL252))</f>
        <v/>
      </c>
      <c r="Y252" s="37">
        <f>IF($AL252="","",INDEX('04_調査結果'!$AX$5:$AX$404,$AL252))</f>
        <v/>
      </c>
      <c r="Z252">
        <f>IF($AL252="","",INDEX('04_調査結果'!$S$5:$S$404,$AL252)&amp;"")</f>
        <v/>
      </c>
      <c r="AA252">
        <f>IF($AL252="","",INDEX('04_調査結果'!$T$5:$T$404,$AL252))</f>
        <v/>
      </c>
      <c r="AB252">
        <f>IF($AL252="","",INDEX('04_調査結果'!$U$5:$U$404,$AL252))</f>
        <v/>
      </c>
      <c r="AC252">
        <f>IF($AL252="","",INDEX('04_調査結果'!$V$5:$V$404,$AL252))</f>
        <v/>
      </c>
      <c r="AD252">
        <f>IF($AL252="","",INDEX('04_調査結果'!$W$5:$W$404,$AL252))</f>
        <v/>
      </c>
      <c r="AE252">
        <f>IF($AL252="","",INDEX('04_調査結果'!$X$5:$X$404,$AL252))</f>
        <v/>
      </c>
      <c r="AF252">
        <f>IF($AL252="","",INDEX('04_調査結果'!$Y$5:$Y$404,$AL252))</f>
        <v/>
      </c>
      <c r="AG252">
        <f>IF($AL252="","",INDEX('04_調査結果'!$Z$5:$Z$404,$AL252))</f>
        <v/>
      </c>
      <c r="AH252">
        <f>IF($AL252="","",INDEX('04_調査結果'!$AK$5:$AK$404,$AL252))</f>
        <v/>
      </c>
      <c r="AI252">
        <f>IF($AL252="","",INDEX('04_調査結果'!$AH$5:$AH$404,$AL252)&amp;"")</f>
        <v/>
      </c>
      <c r="AJ252">
        <f>IF($AL252="","",INDEX('04_調査結果'!$AA$5:$AA$404,$AL252)&amp;"")</f>
        <v/>
      </c>
      <c r="AK252">
        <f>IF($AL252="","",INDEX('04_調査結果'!$AC$5:$AC$404,$AL252)&amp;"")</f>
        <v/>
      </c>
      <c r="AL252" s="34">
        <f>IFERROR(MATCH(ROW()-4,'04_調査結果'!$AZ$5:$AZ$404,0),"")</f>
        <v/>
      </c>
    </row>
    <row r="253">
      <c r="A253">
        <f>IF($AL253="","",'01_設定'!$C$36)</f>
        <v/>
      </c>
      <c r="B253">
        <f>IF($AL253="","",'01_設定'!$C$5)</f>
        <v/>
      </c>
      <c r="C253">
        <f>IF($AL253="","",'01_設定'!$C$6)</f>
        <v/>
      </c>
      <c r="D253" s="36">
        <f>IF($AL253="","",'01_設定'!$C$22)</f>
        <v/>
      </c>
      <c r="E253" s="36">
        <f>IF($AL253="","",'01_設定'!$C$23)</f>
        <v/>
      </c>
      <c r="F253">
        <f>IF($AL253="","",'01_設定'!$C$32)</f>
        <v/>
      </c>
      <c r="G253">
        <f>IF($AL253="","",ROW()-4)</f>
        <v/>
      </c>
      <c r="H253">
        <f>IF($AL253="","",INDEX('04_調査結果'!$AO$5:$AO$404,$AL253))</f>
        <v/>
      </c>
      <c r="I253">
        <f>IF($AL253="","",IFERROR(INDEX('M2_区分マスタ'!$I$5:$I$10,INDEX('04_調査結果'!$AP$5:$AP$404,$AL253)),""))</f>
        <v/>
      </c>
      <c r="J253">
        <f>IF($AL253="","",INDEX('04_調査結果'!$BE$5:$BE$404,$AL253)&amp;"")</f>
        <v/>
      </c>
      <c r="K253">
        <f>IF($AL253="","",INDEX('04_調査結果'!$F$5:$F$404,$AL253)&amp;"")</f>
        <v/>
      </c>
      <c r="L253">
        <f>IF($AL253="","",INDEX('04_調査結果'!$G$5:$G$404,$AL253)&amp;"")</f>
        <v/>
      </c>
      <c r="M253">
        <f>IF($AL253="","",INDEX('04_調査結果'!$AQ$5:$AQ$404,$AL253)&amp;"")</f>
        <v/>
      </c>
      <c r="N253">
        <f>IF($AL253="","",IFERROR(INDEX('M1_類型マスタ'!$B$5:$B$19,MATCH(M253,'M1_類型マスタ'!$A$5:$A$19,0)),""))</f>
        <v/>
      </c>
      <c r="O253">
        <f>IF($AL253="","",INDEX('04_調査結果'!$I$5:$I$404,$AL253)&amp;"")</f>
        <v/>
      </c>
      <c r="P253">
        <f>IF($AL253="","",INDEX('04_調査結果'!$J$5:$J$404,$AL253)&amp;"")</f>
        <v/>
      </c>
      <c r="Q253">
        <f>IF($AL253="","",INDEX('04_調査結果'!$K$5:$K$404,$AL253)&amp;"")</f>
        <v/>
      </c>
      <c r="R253">
        <f>IF($AL253="","",INDEX('04_調査結果'!$L$5:$L$404,$AL253)&amp;"")</f>
        <v/>
      </c>
      <c r="S253">
        <f>IF($AL253="","",INDEX('04_調査結果'!$M$5:$M$404,$AL253)&amp;"")</f>
        <v/>
      </c>
      <c r="T253" s="33">
        <f>IF($AL253="","",IF(INDEX('04_調査結果'!$AE$5:$AE$404,$AL253)&lt;&gt;"",INDEX('04_調査結果'!$AE$5:$AE$404,$AL253),INDEX('04_調査結果'!$AS$5:$AS$404,$AL253)))</f>
        <v/>
      </c>
      <c r="U253" s="33">
        <f>IF($AL253="","",IF(INDEX('04_調査結果'!$AF$5:$AF$404,$AL253)&lt;&gt;"",INDEX('04_調査結果'!$AF$5:$AF$404,$AL253),INDEX('04_調査結果'!$AT$5:$AT$404,$AL253)))</f>
        <v/>
      </c>
      <c r="V253" s="33">
        <f>IF($AL253="","",INDEX('04_調査結果'!$AI$5:$AI$404,$AL253))</f>
        <v/>
      </c>
      <c r="W253">
        <f>IF($AL253="","",INDEX('04_調査結果'!$AU$5:$AU$404,$AL253))</f>
        <v/>
      </c>
      <c r="X253" s="37">
        <f>IF($AL253="","",INDEX('04_調査結果'!$AW$5:$AW$404,$AL253))</f>
        <v/>
      </c>
      <c r="Y253" s="37">
        <f>IF($AL253="","",INDEX('04_調査結果'!$AX$5:$AX$404,$AL253))</f>
        <v/>
      </c>
      <c r="Z253">
        <f>IF($AL253="","",INDEX('04_調査結果'!$S$5:$S$404,$AL253)&amp;"")</f>
        <v/>
      </c>
      <c r="AA253">
        <f>IF($AL253="","",INDEX('04_調査結果'!$T$5:$T$404,$AL253))</f>
        <v/>
      </c>
      <c r="AB253">
        <f>IF($AL253="","",INDEX('04_調査結果'!$U$5:$U$404,$AL253))</f>
        <v/>
      </c>
      <c r="AC253">
        <f>IF($AL253="","",INDEX('04_調査結果'!$V$5:$V$404,$AL253))</f>
        <v/>
      </c>
      <c r="AD253">
        <f>IF($AL253="","",INDEX('04_調査結果'!$W$5:$W$404,$AL253))</f>
        <v/>
      </c>
      <c r="AE253">
        <f>IF($AL253="","",INDEX('04_調査結果'!$X$5:$X$404,$AL253))</f>
        <v/>
      </c>
      <c r="AF253">
        <f>IF($AL253="","",INDEX('04_調査結果'!$Y$5:$Y$404,$AL253))</f>
        <v/>
      </c>
      <c r="AG253">
        <f>IF($AL253="","",INDEX('04_調査結果'!$Z$5:$Z$404,$AL253))</f>
        <v/>
      </c>
      <c r="AH253">
        <f>IF($AL253="","",INDEX('04_調査結果'!$AK$5:$AK$404,$AL253))</f>
        <v/>
      </c>
      <c r="AI253">
        <f>IF($AL253="","",INDEX('04_調査結果'!$AH$5:$AH$404,$AL253)&amp;"")</f>
        <v/>
      </c>
      <c r="AJ253">
        <f>IF($AL253="","",INDEX('04_調査結果'!$AA$5:$AA$404,$AL253)&amp;"")</f>
        <v/>
      </c>
      <c r="AK253">
        <f>IF($AL253="","",INDEX('04_調査結果'!$AC$5:$AC$404,$AL253)&amp;"")</f>
        <v/>
      </c>
      <c r="AL253" s="34">
        <f>IFERROR(MATCH(ROW()-4,'04_調査結果'!$AZ$5:$AZ$404,0),"")</f>
        <v/>
      </c>
    </row>
    <row r="254">
      <c r="A254">
        <f>IF($AL254="","",'01_設定'!$C$36)</f>
        <v/>
      </c>
      <c r="B254">
        <f>IF($AL254="","",'01_設定'!$C$5)</f>
        <v/>
      </c>
      <c r="C254">
        <f>IF($AL254="","",'01_設定'!$C$6)</f>
        <v/>
      </c>
      <c r="D254" s="36">
        <f>IF($AL254="","",'01_設定'!$C$22)</f>
        <v/>
      </c>
      <c r="E254" s="36">
        <f>IF($AL254="","",'01_設定'!$C$23)</f>
        <v/>
      </c>
      <c r="F254">
        <f>IF($AL254="","",'01_設定'!$C$32)</f>
        <v/>
      </c>
      <c r="G254">
        <f>IF($AL254="","",ROW()-4)</f>
        <v/>
      </c>
      <c r="H254">
        <f>IF($AL254="","",INDEX('04_調査結果'!$AO$5:$AO$404,$AL254))</f>
        <v/>
      </c>
      <c r="I254">
        <f>IF($AL254="","",IFERROR(INDEX('M2_区分マスタ'!$I$5:$I$10,INDEX('04_調査結果'!$AP$5:$AP$404,$AL254)),""))</f>
        <v/>
      </c>
      <c r="J254">
        <f>IF($AL254="","",INDEX('04_調査結果'!$BE$5:$BE$404,$AL254)&amp;"")</f>
        <v/>
      </c>
      <c r="K254">
        <f>IF($AL254="","",INDEX('04_調査結果'!$F$5:$F$404,$AL254)&amp;"")</f>
        <v/>
      </c>
      <c r="L254">
        <f>IF($AL254="","",INDEX('04_調査結果'!$G$5:$G$404,$AL254)&amp;"")</f>
        <v/>
      </c>
      <c r="M254">
        <f>IF($AL254="","",INDEX('04_調査結果'!$AQ$5:$AQ$404,$AL254)&amp;"")</f>
        <v/>
      </c>
      <c r="N254">
        <f>IF($AL254="","",IFERROR(INDEX('M1_類型マスタ'!$B$5:$B$19,MATCH(M254,'M1_類型マスタ'!$A$5:$A$19,0)),""))</f>
        <v/>
      </c>
      <c r="O254">
        <f>IF($AL254="","",INDEX('04_調査結果'!$I$5:$I$404,$AL254)&amp;"")</f>
        <v/>
      </c>
      <c r="P254">
        <f>IF($AL254="","",INDEX('04_調査結果'!$J$5:$J$404,$AL254)&amp;"")</f>
        <v/>
      </c>
      <c r="Q254">
        <f>IF($AL254="","",INDEX('04_調査結果'!$K$5:$K$404,$AL254)&amp;"")</f>
        <v/>
      </c>
      <c r="R254">
        <f>IF($AL254="","",INDEX('04_調査結果'!$L$5:$L$404,$AL254)&amp;"")</f>
        <v/>
      </c>
      <c r="S254">
        <f>IF($AL254="","",INDEX('04_調査結果'!$M$5:$M$404,$AL254)&amp;"")</f>
        <v/>
      </c>
      <c r="T254" s="33">
        <f>IF($AL254="","",IF(INDEX('04_調査結果'!$AE$5:$AE$404,$AL254)&lt;&gt;"",INDEX('04_調査結果'!$AE$5:$AE$404,$AL254),INDEX('04_調査結果'!$AS$5:$AS$404,$AL254)))</f>
        <v/>
      </c>
      <c r="U254" s="33">
        <f>IF($AL254="","",IF(INDEX('04_調査結果'!$AF$5:$AF$404,$AL254)&lt;&gt;"",INDEX('04_調査結果'!$AF$5:$AF$404,$AL254),INDEX('04_調査結果'!$AT$5:$AT$404,$AL254)))</f>
        <v/>
      </c>
      <c r="V254" s="33">
        <f>IF($AL254="","",INDEX('04_調査結果'!$AI$5:$AI$404,$AL254))</f>
        <v/>
      </c>
      <c r="W254">
        <f>IF($AL254="","",INDEX('04_調査結果'!$AU$5:$AU$404,$AL254))</f>
        <v/>
      </c>
      <c r="X254" s="37">
        <f>IF($AL254="","",INDEX('04_調査結果'!$AW$5:$AW$404,$AL254))</f>
        <v/>
      </c>
      <c r="Y254" s="37">
        <f>IF($AL254="","",INDEX('04_調査結果'!$AX$5:$AX$404,$AL254))</f>
        <v/>
      </c>
      <c r="Z254">
        <f>IF($AL254="","",INDEX('04_調査結果'!$S$5:$S$404,$AL254)&amp;"")</f>
        <v/>
      </c>
      <c r="AA254">
        <f>IF($AL254="","",INDEX('04_調査結果'!$T$5:$T$404,$AL254))</f>
        <v/>
      </c>
      <c r="AB254">
        <f>IF($AL254="","",INDEX('04_調査結果'!$U$5:$U$404,$AL254))</f>
        <v/>
      </c>
      <c r="AC254">
        <f>IF($AL254="","",INDEX('04_調査結果'!$V$5:$V$404,$AL254))</f>
        <v/>
      </c>
      <c r="AD254">
        <f>IF($AL254="","",INDEX('04_調査結果'!$W$5:$W$404,$AL254))</f>
        <v/>
      </c>
      <c r="AE254">
        <f>IF($AL254="","",INDEX('04_調査結果'!$X$5:$X$404,$AL254))</f>
        <v/>
      </c>
      <c r="AF254">
        <f>IF($AL254="","",INDEX('04_調査結果'!$Y$5:$Y$404,$AL254))</f>
        <v/>
      </c>
      <c r="AG254">
        <f>IF($AL254="","",INDEX('04_調査結果'!$Z$5:$Z$404,$AL254))</f>
        <v/>
      </c>
      <c r="AH254">
        <f>IF($AL254="","",INDEX('04_調査結果'!$AK$5:$AK$404,$AL254))</f>
        <v/>
      </c>
      <c r="AI254">
        <f>IF($AL254="","",INDEX('04_調査結果'!$AH$5:$AH$404,$AL254)&amp;"")</f>
        <v/>
      </c>
      <c r="AJ254">
        <f>IF($AL254="","",INDEX('04_調査結果'!$AA$5:$AA$404,$AL254)&amp;"")</f>
        <v/>
      </c>
      <c r="AK254">
        <f>IF($AL254="","",INDEX('04_調査結果'!$AC$5:$AC$404,$AL254)&amp;"")</f>
        <v/>
      </c>
      <c r="AL254" s="34">
        <f>IFERROR(MATCH(ROW()-4,'04_調査結果'!$AZ$5:$AZ$404,0),"")</f>
        <v/>
      </c>
    </row>
    <row r="255">
      <c r="A255">
        <f>IF($AL255="","",'01_設定'!$C$36)</f>
        <v/>
      </c>
      <c r="B255">
        <f>IF($AL255="","",'01_設定'!$C$5)</f>
        <v/>
      </c>
      <c r="C255">
        <f>IF($AL255="","",'01_設定'!$C$6)</f>
        <v/>
      </c>
      <c r="D255" s="36">
        <f>IF($AL255="","",'01_設定'!$C$22)</f>
        <v/>
      </c>
      <c r="E255" s="36">
        <f>IF($AL255="","",'01_設定'!$C$23)</f>
        <v/>
      </c>
      <c r="F255">
        <f>IF($AL255="","",'01_設定'!$C$32)</f>
        <v/>
      </c>
      <c r="G255">
        <f>IF($AL255="","",ROW()-4)</f>
        <v/>
      </c>
      <c r="H255">
        <f>IF($AL255="","",INDEX('04_調査結果'!$AO$5:$AO$404,$AL255))</f>
        <v/>
      </c>
      <c r="I255">
        <f>IF($AL255="","",IFERROR(INDEX('M2_区分マスタ'!$I$5:$I$10,INDEX('04_調査結果'!$AP$5:$AP$404,$AL255)),""))</f>
        <v/>
      </c>
      <c r="J255">
        <f>IF($AL255="","",INDEX('04_調査結果'!$BE$5:$BE$404,$AL255)&amp;"")</f>
        <v/>
      </c>
      <c r="K255">
        <f>IF($AL255="","",INDEX('04_調査結果'!$F$5:$F$404,$AL255)&amp;"")</f>
        <v/>
      </c>
      <c r="L255">
        <f>IF($AL255="","",INDEX('04_調査結果'!$G$5:$G$404,$AL255)&amp;"")</f>
        <v/>
      </c>
      <c r="M255">
        <f>IF($AL255="","",INDEX('04_調査結果'!$AQ$5:$AQ$404,$AL255)&amp;"")</f>
        <v/>
      </c>
      <c r="N255">
        <f>IF($AL255="","",IFERROR(INDEX('M1_類型マスタ'!$B$5:$B$19,MATCH(M255,'M1_類型マスタ'!$A$5:$A$19,0)),""))</f>
        <v/>
      </c>
      <c r="O255">
        <f>IF($AL255="","",INDEX('04_調査結果'!$I$5:$I$404,$AL255)&amp;"")</f>
        <v/>
      </c>
      <c r="P255">
        <f>IF($AL255="","",INDEX('04_調査結果'!$J$5:$J$404,$AL255)&amp;"")</f>
        <v/>
      </c>
      <c r="Q255">
        <f>IF($AL255="","",INDEX('04_調査結果'!$K$5:$K$404,$AL255)&amp;"")</f>
        <v/>
      </c>
      <c r="R255">
        <f>IF($AL255="","",INDEX('04_調査結果'!$L$5:$L$404,$AL255)&amp;"")</f>
        <v/>
      </c>
      <c r="S255">
        <f>IF($AL255="","",INDEX('04_調査結果'!$M$5:$M$404,$AL255)&amp;"")</f>
        <v/>
      </c>
      <c r="T255" s="33">
        <f>IF($AL255="","",IF(INDEX('04_調査結果'!$AE$5:$AE$404,$AL255)&lt;&gt;"",INDEX('04_調査結果'!$AE$5:$AE$404,$AL255),INDEX('04_調査結果'!$AS$5:$AS$404,$AL255)))</f>
        <v/>
      </c>
      <c r="U255" s="33">
        <f>IF($AL255="","",IF(INDEX('04_調査結果'!$AF$5:$AF$404,$AL255)&lt;&gt;"",INDEX('04_調査結果'!$AF$5:$AF$404,$AL255),INDEX('04_調査結果'!$AT$5:$AT$404,$AL255)))</f>
        <v/>
      </c>
      <c r="V255" s="33">
        <f>IF($AL255="","",INDEX('04_調査結果'!$AI$5:$AI$404,$AL255))</f>
        <v/>
      </c>
      <c r="W255">
        <f>IF($AL255="","",INDEX('04_調査結果'!$AU$5:$AU$404,$AL255))</f>
        <v/>
      </c>
      <c r="X255" s="37">
        <f>IF($AL255="","",INDEX('04_調査結果'!$AW$5:$AW$404,$AL255))</f>
        <v/>
      </c>
      <c r="Y255" s="37">
        <f>IF($AL255="","",INDEX('04_調査結果'!$AX$5:$AX$404,$AL255))</f>
        <v/>
      </c>
      <c r="Z255">
        <f>IF($AL255="","",INDEX('04_調査結果'!$S$5:$S$404,$AL255)&amp;"")</f>
        <v/>
      </c>
      <c r="AA255">
        <f>IF($AL255="","",INDEX('04_調査結果'!$T$5:$T$404,$AL255))</f>
        <v/>
      </c>
      <c r="AB255">
        <f>IF($AL255="","",INDEX('04_調査結果'!$U$5:$U$404,$AL255))</f>
        <v/>
      </c>
      <c r="AC255">
        <f>IF($AL255="","",INDEX('04_調査結果'!$V$5:$V$404,$AL255))</f>
        <v/>
      </c>
      <c r="AD255">
        <f>IF($AL255="","",INDEX('04_調査結果'!$W$5:$W$404,$AL255))</f>
        <v/>
      </c>
      <c r="AE255">
        <f>IF($AL255="","",INDEX('04_調査結果'!$X$5:$X$404,$AL255))</f>
        <v/>
      </c>
      <c r="AF255">
        <f>IF($AL255="","",INDEX('04_調査結果'!$Y$5:$Y$404,$AL255))</f>
        <v/>
      </c>
      <c r="AG255">
        <f>IF($AL255="","",INDEX('04_調査結果'!$Z$5:$Z$404,$AL255))</f>
        <v/>
      </c>
      <c r="AH255">
        <f>IF($AL255="","",INDEX('04_調査結果'!$AK$5:$AK$404,$AL255))</f>
        <v/>
      </c>
      <c r="AI255">
        <f>IF($AL255="","",INDEX('04_調査結果'!$AH$5:$AH$404,$AL255)&amp;"")</f>
        <v/>
      </c>
      <c r="AJ255">
        <f>IF($AL255="","",INDEX('04_調査結果'!$AA$5:$AA$404,$AL255)&amp;"")</f>
        <v/>
      </c>
      <c r="AK255">
        <f>IF($AL255="","",INDEX('04_調査結果'!$AC$5:$AC$404,$AL255)&amp;"")</f>
        <v/>
      </c>
      <c r="AL255" s="34">
        <f>IFERROR(MATCH(ROW()-4,'04_調査結果'!$AZ$5:$AZ$404,0),"")</f>
        <v/>
      </c>
    </row>
    <row r="256">
      <c r="A256">
        <f>IF($AL256="","",'01_設定'!$C$36)</f>
        <v/>
      </c>
      <c r="B256">
        <f>IF($AL256="","",'01_設定'!$C$5)</f>
        <v/>
      </c>
      <c r="C256">
        <f>IF($AL256="","",'01_設定'!$C$6)</f>
        <v/>
      </c>
      <c r="D256" s="36">
        <f>IF($AL256="","",'01_設定'!$C$22)</f>
        <v/>
      </c>
      <c r="E256" s="36">
        <f>IF($AL256="","",'01_設定'!$C$23)</f>
        <v/>
      </c>
      <c r="F256">
        <f>IF($AL256="","",'01_設定'!$C$32)</f>
        <v/>
      </c>
      <c r="G256">
        <f>IF($AL256="","",ROW()-4)</f>
        <v/>
      </c>
      <c r="H256">
        <f>IF($AL256="","",INDEX('04_調査結果'!$AO$5:$AO$404,$AL256))</f>
        <v/>
      </c>
      <c r="I256">
        <f>IF($AL256="","",IFERROR(INDEX('M2_区分マスタ'!$I$5:$I$10,INDEX('04_調査結果'!$AP$5:$AP$404,$AL256)),""))</f>
        <v/>
      </c>
      <c r="J256">
        <f>IF($AL256="","",INDEX('04_調査結果'!$BE$5:$BE$404,$AL256)&amp;"")</f>
        <v/>
      </c>
      <c r="K256">
        <f>IF($AL256="","",INDEX('04_調査結果'!$F$5:$F$404,$AL256)&amp;"")</f>
        <v/>
      </c>
      <c r="L256">
        <f>IF($AL256="","",INDEX('04_調査結果'!$G$5:$G$404,$AL256)&amp;"")</f>
        <v/>
      </c>
      <c r="M256">
        <f>IF($AL256="","",INDEX('04_調査結果'!$AQ$5:$AQ$404,$AL256)&amp;"")</f>
        <v/>
      </c>
      <c r="N256">
        <f>IF($AL256="","",IFERROR(INDEX('M1_類型マスタ'!$B$5:$B$19,MATCH(M256,'M1_類型マスタ'!$A$5:$A$19,0)),""))</f>
        <v/>
      </c>
      <c r="O256">
        <f>IF($AL256="","",INDEX('04_調査結果'!$I$5:$I$404,$AL256)&amp;"")</f>
        <v/>
      </c>
      <c r="P256">
        <f>IF($AL256="","",INDEX('04_調査結果'!$J$5:$J$404,$AL256)&amp;"")</f>
        <v/>
      </c>
      <c r="Q256">
        <f>IF($AL256="","",INDEX('04_調査結果'!$K$5:$K$404,$AL256)&amp;"")</f>
        <v/>
      </c>
      <c r="R256">
        <f>IF($AL256="","",INDEX('04_調査結果'!$L$5:$L$404,$AL256)&amp;"")</f>
        <v/>
      </c>
      <c r="S256">
        <f>IF($AL256="","",INDEX('04_調査結果'!$M$5:$M$404,$AL256)&amp;"")</f>
        <v/>
      </c>
      <c r="T256" s="33">
        <f>IF($AL256="","",IF(INDEX('04_調査結果'!$AE$5:$AE$404,$AL256)&lt;&gt;"",INDEX('04_調査結果'!$AE$5:$AE$404,$AL256),INDEX('04_調査結果'!$AS$5:$AS$404,$AL256)))</f>
        <v/>
      </c>
      <c r="U256" s="33">
        <f>IF($AL256="","",IF(INDEX('04_調査結果'!$AF$5:$AF$404,$AL256)&lt;&gt;"",INDEX('04_調査結果'!$AF$5:$AF$404,$AL256),INDEX('04_調査結果'!$AT$5:$AT$404,$AL256)))</f>
        <v/>
      </c>
      <c r="V256" s="33">
        <f>IF($AL256="","",INDEX('04_調査結果'!$AI$5:$AI$404,$AL256))</f>
        <v/>
      </c>
      <c r="W256">
        <f>IF($AL256="","",INDEX('04_調査結果'!$AU$5:$AU$404,$AL256))</f>
        <v/>
      </c>
      <c r="X256" s="37">
        <f>IF($AL256="","",INDEX('04_調査結果'!$AW$5:$AW$404,$AL256))</f>
        <v/>
      </c>
      <c r="Y256" s="37">
        <f>IF($AL256="","",INDEX('04_調査結果'!$AX$5:$AX$404,$AL256))</f>
        <v/>
      </c>
      <c r="Z256">
        <f>IF($AL256="","",INDEX('04_調査結果'!$S$5:$S$404,$AL256)&amp;"")</f>
        <v/>
      </c>
      <c r="AA256">
        <f>IF($AL256="","",INDEX('04_調査結果'!$T$5:$T$404,$AL256))</f>
        <v/>
      </c>
      <c r="AB256">
        <f>IF($AL256="","",INDEX('04_調査結果'!$U$5:$U$404,$AL256))</f>
        <v/>
      </c>
      <c r="AC256">
        <f>IF($AL256="","",INDEX('04_調査結果'!$V$5:$V$404,$AL256))</f>
        <v/>
      </c>
      <c r="AD256">
        <f>IF($AL256="","",INDEX('04_調査結果'!$W$5:$W$404,$AL256))</f>
        <v/>
      </c>
      <c r="AE256">
        <f>IF($AL256="","",INDEX('04_調査結果'!$X$5:$X$404,$AL256))</f>
        <v/>
      </c>
      <c r="AF256">
        <f>IF($AL256="","",INDEX('04_調査結果'!$Y$5:$Y$404,$AL256))</f>
        <v/>
      </c>
      <c r="AG256">
        <f>IF($AL256="","",INDEX('04_調査結果'!$Z$5:$Z$404,$AL256))</f>
        <v/>
      </c>
      <c r="AH256">
        <f>IF($AL256="","",INDEX('04_調査結果'!$AK$5:$AK$404,$AL256))</f>
        <v/>
      </c>
      <c r="AI256">
        <f>IF($AL256="","",INDEX('04_調査結果'!$AH$5:$AH$404,$AL256)&amp;"")</f>
        <v/>
      </c>
      <c r="AJ256">
        <f>IF($AL256="","",INDEX('04_調査結果'!$AA$5:$AA$404,$AL256)&amp;"")</f>
        <v/>
      </c>
      <c r="AK256">
        <f>IF($AL256="","",INDEX('04_調査結果'!$AC$5:$AC$404,$AL256)&amp;"")</f>
        <v/>
      </c>
      <c r="AL256" s="34">
        <f>IFERROR(MATCH(ROW()-4,'04_調査結果'!$AZ$5:$AZ$404,0),"")</f>
        <v/>
      </c>
    </row>
    <row r="257">
      <c r="A257">
        <f>IF($AL257="","",'01_設定'!$C$36)</f>
        <v/>
      </c>
      <c r="B257">
        <f>IF($AL257="","",'01_設定'!$C$5)</f>
        <v/>
      </c>
      <c r="C257">
        <f>IF($AL257="","",'01_設定'!$C$6)</f>
        <v/>
      </c>
      <c r="D257" s="36">
        <f>IF($AL257="","",'01_設定'!$C$22)</f>
        <v/>
      </c>
      <c r="E257" s="36">
        <f>IF($AL257="","",'01_設定'!$C$23)</f>
        <v/>
      </c>
      <c r="F257">
        <f>IF($AL257="","",'01_設定'!$C$32)</f>
        <v/>
      </c>
      <c r="G257">
        <f>IF($AL257="","",ROW()-4)</f>
        <v/>
      </c>
      <c r="H257">
        <f>IF($AL257="","",INDEX('04_調査結果'!$AO$5:$AO$404,$AL257))</f>
        <v/>
      </c>
      <c r="I257">
        <f>IF($AL257="","",IFERROR(INDEX('M2_区分マスタ'!$I$5:$I$10,INDEX('04_調査結果'!$AP$5:$AP$404,$AL257)),""))</f>
        <v/>
      </c>
      <c r="J257">
        <f>IF($AL257="","",INDEX('04_調査結果'!$BE$5:$BE$404,$AL257)&amp;"")</f>
        <v/>
      </c>
      <c r="K257">
        <f>IF($AL257="","",INDEX('04_調査結果'!$F$5:$F$404,$AL257)&amp;"")</f>
        <v/>
      </c>
      <c r="L257">
        <f>IF($AL257="","",INDEX('04_調査結果'!$G$5:$G$404,$AL257)&amp;"")</f>
        <v/>
      </c>
      <c r="M257">
        <f>IF($AL257="","",INDEX('04_調査結果'!$AQ$5:$AQ$404,$AL257)&amp;"")</f>
        <v/>
      </c>
      <c r="N257">
        <f>IF($AL257="","",IFERROR(INDEX('M1_類型マスタ'!$B$5:$B$19,MATCH(M257,'M1_類型マスタ'!$A$5:$A$19,0)),""))</f>
        <v/>
      </c>
      <c r="O257">
        <f>IF($AL257="","",INDEX('04_調査結果'!$I$5:$I$404,$AL257)&amp;"")</f>
        <v/>
      </c>
      <c r="P257">
        <f>IF($AL257="","",INDEX('04_調査結果'!$J$5:$J$404,$AL257)&amp;"")</f>
        <v/>
      </c>
      <c r="Q257">
        <f>IF($AL257="","",INDEX('04_調査結果'!$K$5:$K$404,$AL257)&amp;"")</f>
        <v/>
      </c>
      <c r="R257">
        <f>IF($AL257="","",INDEX('04_調査結果'!$L$5:$L$404,$AL257)&amp;"")</f>
        <v/>
      </c>
      <c r="S257">
        <f>IF($AL257="","",INDEX('04_調査結果'!$M$5:$M$404,$AL257)&amp;"")</f>
        <v/>
      </c>
      <c r="T257" s="33">
        <f>IF($AL257="","",IF(INDEX('04_調査結果'!$AE$5:$AE$404,$AL257)&lt;&gt;"",INDEX('04_調査結果'!$AE$5:$AE$404,$AL257),INDEX('04_調査結果'!$AS$5:$AS$404,$AL257)))</f>
        <v/>
      </c>
      <c r="U257" s="33">
        <f>IF($AL257="","",IF(INDEX('04_調査結果'!$AF$5:$AF$404,$AL257)&lt;&gt;"",INDEX('04_調査結果'!$AF$5:$AF$404,$AL257),INDEX('04_調査結果'!$AT$5:$AT$404,$AL257)))</f>
        <v/>
      </c>
      <c r="V257" s="33">
        <f>IF($AL257="","",INDEX('04_調査結果'!$AI$5:$AI$404,$AL257))</f>
        <v/>
      </c>
      <c r="W257">
        <f>IF($AL257="","",INDEX('04_調査結果'!$AU$5:$AU$404,$AL257))</f>
        <v/>
      </c>
      <c r="X257" s="37">
        <f>IF($AL257="","",INDEX('04_調査結果'!$AW$5:$AW$404,$AL257))</f>
        <v/>
      </c>
      <c r="Y257" s="37">
        <f>IF($AL257="","",INDEX('04_調査結果'!$AX$5:$AX$404,$AL257))</f>
        <v/>
      </c>
      <c r="Z257">
        <f>IF($AL257="","",INDEX('04_調査結果'!$S$5:$S$404,$AL257)&amp;"")</f>
        <v/>
      </c>
      <c r="AA257">
        <f>IF($AL257="","",INDEX('04_調査結果'!$T$5:$T$404,$AL257))</f>
        <v/>
      </c>
      <c r="AB257">
        <f>IF($AL257="","",INDEX('04_調査結果'!$U$5:$U$404,$AL257))</f>
        <v/>
      </c>
      <c r="AC257">
        <f>IF($AL257="","",INDEX('04_調査結果'!$V$5:$V$404,$AL257))</f>
        <v/>
      </c>
      <c r="AD257">
        <f>IF($AL257="","",INDEX('04_調査結果'!$W$5:$W$404,$AL257))</f>
        <v/>
      </c>
      <c r="AE257">
        <f>IF($AL257="","",INDEX('04_調査結果'!$X$5:$X$404,$AL257))</f>
        <v/>
      </c>
      <c r="AF257">
        <f>IF($AL257="","",INDEX('04_調査結果'!$Y$5:$Y$404,$AL257))</f>
        <v/>
      </c>
      <c r="AG257">
        <f>IF($AL257="","",INDEX('04_調査結果'!$Z$5:$Z$404,$AL257))</f>
        <v/>
      </c>
      <c r="AH257">
        <f>IF($AL257="","",INDEX('04_調査結果'!$AK$5:$AK$404,$AL257))</f>
        <v/>
      </c>
      <c r="AI257">
        <f>IF($AL257="","",INDEX('04_調査結果'!$AH$5:$AH$404,$AL257)&amp;"")</f>
        <v/>
      </c>
      <c r="AJ257">
        <f>IF($AL257="","",INDEX('04_調査結果'!$AA$5:$AA$404,$AL257)&amp;"")</f>
        <v/>
      </c>
      <c r="AK257">
        <f>IF($AL257="","",INDEX('04_調査結果'!$AC$5:$AC$404,$AL257)&amp;"")</f>
        <v/>
      </c>
      <c r="AL257" s="34">
        <f>IFERROR(MATCH(ROW()-4,'04_調査結果'!$AZ$5:$AZ$404,0),"")</f>
        <v/>
      </c>
    </row>
    <row r="258">
      <c r="A258">
        <f>IF($AL258="","",'01_設定'!$C$36)</f>
        <v/>
      </c>
      <c r="B258">
        <f>IF($AL258="","",'01_設定'!$C$5)</f>
        <v/>
      </c>
      <c r="C258">
        <f>IF($AL258="","",'01_設定'!$C$6)</f>
        <v/>
      </c>
      <c r="D258" s="36">
        <f>IF($AL258="","",'01_設定'!$C$22)</f>
        <v/>
      </c>
      <c r="E258" s="36">
        <f>IF($AL258="","",'01_設定'!$C$23)</f>
        <v/>
      </c>
      <c r="F258">
        <f>IF($AL258="","",'01_設定'!$C$32)</f>
        <v/>
      </c>
      <c r="G258">
        <f>IF($AL258="","",ROW()-4)</f>
        <v/>
      </c>
      <c r="H258">
        <f>IF($AL258="","",INDEX('04_調査結果'!$AO$5:$AO$404,$AL258))</f>
        <v/>
      </c>
      <c r="I258">
        <f>IF($AL258="","",IFERROR(INDEX('M2_区分マスタ'!$I$5:$I$10,INDEX('04_調査結果'!$AP$5:$AP$404,$AL258)),""))</f>
        <v/>
      </c>
      <c r="J258">
        <f>IF($AL258="","",INDEX('04_調査結果'!$BE$5:$BE$404,$AL258)&amp;"")</f>
        <v/>
      </c>
      <c r="K258">
        <f>IF($AL258="","",INDEX('04_調査結果'!$F$5:$F$404,$AL258)&amp;"")</f>
        <v/>
      </c>
      <c r="L258">
        <f>IF($AL258="","",INDEX('04_調査結果'!$G$5:$G$404,$AL258)&amp;"")</f>
        <v/>
      </c>
      <c r="M258">
        <f>IF($AL258="","",INDEX('04_調査結果'!$AQ$5:$AQ$404,$AL258)&amp;"")</f>
        <v/>
      </c>
      <c r="N258">
        <f>IF($AL258="","",IFERROR(INDEX('M1_類型マスタ'!$B$5:$B$19,MATCH(M258,'M1_類型マスタ'!$A$5:$A$19,0)),""))</f>
        <v/>
      </c>
      <c r="O258">
        <f>IF($AL258="","",INDEX('04_調査結果'!$I$5:$I$404,$AL258)&amp;"")</f>
        <v/>
      </c>
      <c r="P258">
        <f>IF($AL258="","",INDEX('04_調査結果'!$J$5:$J$404,$AL258)&amp;"")</f>
        <v/>
      </c>
      <c r="Q258">
        <f>IF($AL258="","",INDEX('04_調査結果'!$K$5:$K$404,$AL258)&amp;"")</f>
        <v/>
      </c>
      <c r="R258">
        <f>IF($AL258="","",INDEX('04_調査結果'!$L$5:$L$404,$AL258)&amp;"")</f>
        <v/>
      </c>
      <c r="S258">
        <f>IF($AL258="","",INDEX('04_調査結果'!$M$5:$M$404,$AL258)&amp;"")</f>
        <v/>
      </c>
      <c r="T258" s="33">
        <f>IF($AL258="","",IF(INDEX('04_調査結果'!$AE$5:$AE$404,$AL258)&lt;&gt;"",INDEX('04_調査結果'!$AE$5:$AE$404,$AL258),INDEX('04_調査結果'!$AS$5:$AS$404,$AL258)))</f>
        <v/>
      </c>
      <c r="U258" s="33">
        <f>IF($AL258="","",IF(INDEX('04_調査結果'!$AF$5:$AF$404,$AL258)&lt;&gt;"",INDEX('04_調査結果'!$AF$5:$AF$404,$AL258),INDEX('04_調査結果'!$AT$5:$AT$404,$AL258)))</f>
        <v/>
      </c>
      <c r="V258" s="33">
        <f>IF($AL258="","",INDEX('04_調査結果'!$AI$5:$AI$404,$AL258))</f>
        <v/>
      </c>
      <c r="W258">
        <f>IF($AL258="","",INDEX('04_調査結果'!$AU$5:$AU$404,$AL258))</f>
        <v/>
      </c>
      <c r="X258" s="37">
        <f>IF($AL258="","",INDEX('04_調査結果'!$AW$5:$AW$404,$AL258))</f>
        <v/>
      </c>
      <c r="Y258" s="37">
        <f>IF($AL258="","",INDEX('04_調査結果'!$AX$5:$AX$404,$AL258))</f>
        <v/>
      </c>
      <c r="Z258">
        <f>IF($AL258="","",INDEX('04_調査結果'!$S$5:$S$404,$AL258)&amp;"")</f>
        <v/>
      </c>
      <c r="AA258">
        <f>IF($AL258="","",INDEX('04_調査結果'!$T$5:$T$404,$AL258))</f>
        <v/>
      </c>
      <c r="AB258">
        <f>IF($AL258="","",INDEX('04_調査結果'!$U$5:$U$404,$AL258))</f>
        <v/>
      </c>
      <c r="AC258">
        <f>IF($AL258="","",INDEX('04_調査結果'!$V$5:$V$404,$AL258))</f>
        <v/>
      </c>
      <c r="AD258">
        <f>IF($AL258="","",INDEX('04_調査結果'!$W$5:$W$404,$AL258))</f>
        <v/>
      </c>
      <c r="AE258">
        <f>IF($AL258="","",INDEX('04_調査結果'!$X$5:$X$404,$AL258))</f>
        <v/>
      </c>
      <c r="AF258">
        <f>IF($AL258="","",INDEX('04_調査結果'!$Y$5:$Y$404,$AL258))</f>
        <v/>
      </c>
      <c r="AG258">
        <f>IF($AL258="","",INDEX('04_調査結果'!$Z$5:$Z$404,$AL258))</f>
        <v/>
      </c>
      <c r="AH258">
        <f>IF($AL258="","",INDEX('04_調査結果'!$AK$5:$AK$404,$AL258))</f>
        <v/>
      </c>
      <c r="AI258">
        <f>IF($AL258="","",INDEX('04_調査結果'!$AH$5:$AH$404,$AL258)&amp;"")</f>
        <v/>
      </c>
      <c r="AJ258">
        <f>IF($AL258="","",INDEX('04_調査結果'!$AA$5:$AA$404,$AL258)&amp;"")</f>
        <v/>
      </c>
      <c r="AK258">
        <f>IF($AL258="","",INDEX('04_調査結果'!$AC$5:$AC$404,$AL258)&amp;"")</f>
        <v/>
      </c>
      <c r="AL258" s="34">
        <f>IFERROR(MATCH(ROW()-4,'04_調査結果'!$AZ$5:$AZ$404,0),"")</f>
        <v/>
      </c>
    </row>
    <row r="259">
      <c r="A259">
        <f>IF($AL259="","",'01_設定'!$C$36)</f>
        <v/>
      </c>
      <c r="B259">
        <f>IF($AL259="","",'01_設定'!$C$5)</f>
        <v/>
      </c>
      <c r="C259">
        <f>IF($AL259="","",'01_設定'!$C$6)</f>
        <v/>
      </c>
      <c r="D259" s="36">
        <f>IF($AL259="","",'01_設定'!$C$22)</f>
        <v/>
      </c>
      <c r="E259" s="36">
        <f>IF($AL259="","",'01_設定'!$C$23)</f>
        <v/>
      </c>
      <c r="F259">
        <f>IF($AL259="","",'01_設定'!$C$32)</f>
        <v/>
      </c>
      <c r="G259">
        <f>IF($AL259="","",ROW()-4)</f>
        <v/>
      </c>
      <c r="H259">
        <f>IF($AL259="","",INDEX('04_調査結果'!$AO$5:$AO$404,$AL259))</f>
        <v/>
      </c>
      <c r="I259">
        <f>IF($AL259="","",IFERROR(INDEX('M2_区分マスタ'!$I$5:$I$10,INDEX('04_調査結果'!$AP$5:$AP$404,$AL259)),""))</f>
        <v/>
      </c>
      <c r="J259">
        <f>IF($AL259="","",INDEX('04_調査結果'!$BE$5:$BE$404,$AL259)&amp;"")</f>
        <v/>
      </c>
      <c r="K259">
        <f>IF($AL259="","",INDEX('04_調査結果'!$F$5:$F$404,$AL259)&amp;"")</f>
        <v/>
      </c>
      <c r="L259">
        <f>IF($AL259="","",INDEX('04_調査結果'!$G$5:$G$404,$AL259)&amp;"")</f>
        <v/>
      </c>
      <c r="M259">
        <f>IF($AL259="","",INDEX('04_調査結果'!$AQ$5:$AQ$404,$AL259)&amp;"")</f>
        <v/>
      </c>
      <c r="N259">
        <f>IF($AL259="","",IFERROR(INDEX('M1_類型マスタ'!$B$5:$B$19,MATCH(M259,'M1_類型マスタ'!$A$5:$A$19,0)),""))</f>
        <v/>
      </c>
      <c r="O259">
        <f>IF($AL259="","",INDEX('04_調査結果'!$I$5:$I$404,$AL259)&amp;"")</f>
        <v/>
      </c>
      <c r="P259">
        <f>IF($AL259="","",INDEX('04_調査結果'!$J$5:$J$404,$AL259)&amp;"")</f>
        <v/>
      </c>
      <c r="Q259">
        <f>IF($AL259="","",INDEX('04_調査結果'!$K$5:$K$404,$AL259)&amp;"")</f>
        <v/>
      </c>
      <c r="R259">
        <f>IF($AL259="","",INDEX('04_調査結果'!$L$5:$L$404,$AL259)&amp;"")</f>
        <v/>
      </c>
      <c r="S259">
        <f>IF($AL259="","",INDEX('04_調査結果'!$M$5:$M$404,$AL259)&amp;"")</f>
        <v/>
      </c>
      <c r="T259" s="33">
        <f>IF($AL259="","",IF(INDEX('04_調査結果'!$AE$5:$AE$404,$AL259)&lt;&gt;"",INDEX('04_調査結果'!$AE$5:$AE$404,$AL259),INDEX('04_調査結果'!$AS$5:$AS$404,$AL259)))</f>
        <v/>
      </c>
      <c r="U259" s="33">
        <f>IF($AL259="","",IF(INDEX('04_調査結果'!$AF$5:$AF$404,$AL259)&lt;&gt;"",INDEX('04_調査結果'!$AF$5:$AF$404,$AL259),INDEX('04_調査結果'!$AT$5:$AT$404,$AL259)))</f>
        <v/>
      </c>
      <c r="V259" s="33">
        <f>IF($AL259="","",INDEX('04_調査結果'!$AI$5:$AI$404,$AL259))</f>
        <v/>
      </c>
      <c r="W259">
        <f>IF($AL259="","",INDEX('04_調査結果'!$AU$5:$AU$404,$AL259))</f>
        <v/>
      </c>
      <c r="X259" s="37">
        <f>IF($AL259="","",INDEX('04_調査結果'!$AW$5:$AW$404,$AL259))</f>
        <v/>
      </c>
      <c r="Y259" s="37">
        <f>IF($AL259="","",INDEX('04_調査結果'!$AX$5:$AX$404,$AL259))</f>
        <v/>
      </c>
      <c r="Z259">
        <f>IF($AL259="","",INDEX('04_調査結果'!$S$5:$S$404,$AL259)&amp;"")</f>
        <v/>
      </c>
      <c r="AA259">
        <f>IF($AL259="","",INDEX('04_調査結果'!$T$5:$T$404,$AL259))</f>
        <v/>
      </c>
      <c r="AB259">
        <f>IF($AL259="","",INDEX('04_調査結果'!$U$5:$U$404,$AL259))</f>
        <v/>
      </c>
      <c r="AC259">
        <f>IF($AL259="","",INDEX('04_調査結果'!$V$5:$V$404,$AL259))</f>
        <v/>
      </c>
      <c r="AD259">
        <f>IF($AL259="","",INDEX('04_調査結果'!$W$5:$W$404,$AL259))</f>
        <v/>
      </c>
      <c r="AE259">
        <f>IF($AL259="","",INDEX('04_調査結果'!$X$5:$X$404,$AL259))</f>
        <v/>
      </c>
      <c r="AF259">
        <f>IF($AL259="","",INDEX('04_調査結果'!$Y$5:$Y$404,$AL259))</f>
        <v/>
      </c>
      <c r="AG259">
        <f>IF($AL259="","",INDEX('04_調査結果'!$Z$5:$Z$404,$AL259))</f>
        <v/>
      </c>
      <c r="AH259">
        <f>IF($AL259="","",INDEX('04_調査結果'!$AK$5:$AK$404,$AL259))</f>
        <v/>
      </c>
      <c r="AI259">
        <f>IF($AL259="","",INDEX('04_調査結果'!$AH$5:$AH$404,$AL259)&amp;"")</f>
        <v/>
      </c>
      <c r="AJ259">
        <f>IF($AL259="","",INDEX('04_調査結果'!$AA$5:$AA$404,$AL259)&amp;"")</f>
        <v/>
      </c>
      <c r="AK259">
        <f>IF($AL259="","",INDEX('04_調査結果'!$AC$5:$AC$404,$AL259)&amp;"")</f>
        <v/>
      </c>
      <c r="AL259" s="34">
        <f>IFERROR(MATCH(ROW()-4,'04_調査結果'!$AZ$5:$AZ$404,0),"")</f>
        <v/>
      </c>
    </row>
    <row r="260">
      <c r="A260">
        <f>IF($AL260="","",'01_設定'!$C$36)</f>
        <v/>
      </c>
      <c r="B260">
        <f>IF($AL260="","",'01_設定'!$C$5)</f>
        <v/>
      </c>
      <c r="C260">
        <f>IF($AL260="","",'01_設定'!$C$6)</f>
        <v/>
      </c>
      <c r="D260" s="36">
        <f>IF($AL260="","",'01_設定'!$C$22)</f>
        <v/>
      </c>
      <c r="E260" s="36">
        <f>IF($AL260="","",'01_設定'!$C$23)</f>
        <v/>
      </c>
      <c r="F260">
        <f>IF($AL260="","",'01_設定'!$C$32)</f>
        <v/>
      </c>
      <c r="G260">
        <f>IF($AL260="","",ROW()-4)</f>
        <v/>
      </c>
      <c r="H260">
        <f>IF($AL260="","",INDEX('04_調査結果'!$AO$5:$AO$404,$AL260))</f>
        <v/>
      </c>
      <c r="I260">
        <f>IF($AL260="","",IFERROR(INDEX('M2_区分マスタ'!$I$5:$I$10,INDEX('04_調査結果'!$AP$5:$AP$404,$AL260)),""))</f>
        <v/>
      </c>
      <c r="J260">
        <f>IF($AL260="","",INDEX('04_調査結果'!$BE$5:$BE$404,$AL260)&amp;"")</f>
        <v/>
      </c>
      <c r="K260">
        <f>IF($AL260="","",INDEX('04_調査結果'!$F$5:$F$404,$AL260)&amp;"")</f>
        <v/>
      </c>
      <c r="L260">
        <f>IF($AL260="","",INDEX('04_調査結果'!$G$5:$G$404,$AL260)&amp;"")</f>
        <v/>
      </c>
      <c r="M260">
        <f>IF($AL260="","",INDEX('04_調査結果'!$AQ$5:$AQ$404,$AL260)&amp;"")</f>
        <v/>
      </c>
      <c r="N260">
        <f>IF($AL260="","",IFERROR(INDEX('M1_類型マスタ'!$B$5:$B$19,MATCH(M260,'M1_類型マスタ'!$A$5:$A$19,0)),""))</f>
        <v/>
      </c>
      <c r="O260">
        <f>IF($AL260="","",INDEX('04_調査結果'!$I$5:$I$404,$AL260)&amp;"")</f>
        <v/>
      </c>
      <c r="P260">
        <f>IF($AL260="","",INDEX('04_調査結果'!$J$5:$J$404,$AL260)&amp;"")</f>
        <v/>
      </c>
      <c r="Q260">
        <f>IF($AL260="","",INDEX('04_調査結果'!$K$5:$K$404,$AL260)&amp;"")</f>
        <v/>
      </c>
      <c r="R260">
        <f>IF($AL260="","",INDEX('04_調査結果'!$L$5:$L$404,$AL260)&amp;"")</f>
        <v/>
      </c>
      <c r="S260">
        <f>IF($AL260="","",INDEX('04_調査結果'!$M$5:$M$404,$AL260)&amp;"")</f>
        <v/>
      </c>
      <c r="T260" s="33">
        <f>IF($AL260="","",IF(INDEX('04_調査結果'!$AE$5:$AE$404,$AL260)&lt;&gt;"",INDEX('04_調査結果'!$AE$5:$AE$404,$AL260),INDEX('04_調査結果'!$AS$5:$AS$404,$AL260)))</f>
        <v/>
      </c>
      <c r="U260" s="33">
        <f>IF($AL260="","",IF(INDEX('04_調査結果'!$AF$5:$AF$404,$AL260)&lt;&gt;"",INDEX('04_調査結果'!$AF$5:$AF$404,$AL260),INDEX('04_調査結果'!$AT$5:$AT$404,$AL260)))</f>
        <v/>
      </c>
      <c r="V260" s="33">
        <f>IF($AL260="","",INDEX('04_調査結果'!$AI$5:$AI$404,$AL260))</f>
        <v/>
      </c>
      <c r="W260">
        <f>IF($AL260="","",INDEX('04_調査結果'!$AU$5:$AU$404,$AL260))</f>
        <v/>
      </c>
      <c r="X260" s="37">
        <f>IF($AL260="","",INDEX('04_調査結果'!$AW$5:$AW$404,$AL260))</f>
        <v/>
      </c>
      <c r="Y260" s="37">
        <f>IF($AL260="","",INDEX('04_調査結果'!$AX$5:$AX$404,$AL260))</f>
        <v/>
      </c>
      <c r="Z260">
        <f>IF($AL260="","",INDEX('04_調査結果'!$S$5:$S$404,$AL260)&amp;"")</f>
        <v/>
      </c>
      <c r="AA260">
        <f>IF($AL260="","",INDEX('04_調査結果'!$T$5:$T$404,$AL260))</f>
        <v/>
      </c>
      <c r="AB260">
        <f>IF($AL260="","",INDEX('04_調査結果'!$U$5:$U$404,$AL260))</f>
        <v/>
      </c>
      <c r="AC260">
        <f>IF($AL260="","",INDEX('04_調査結果'!$V$5:$V$404,$AL260))</f>
        <v/>
      </c>
      <c r="AD260">
        <f>IF($AL260="","",INDEX('04_調査結果'!$W$5:$W$404,$AL260))</f>
        <v/>
      </c>
      <c r="AE260">
        <f>IF($AL260="","",INDEX('04_調査結果'!$X$5:$X$404,$AL260))</f>
        <v/>
      </c>
      <c r="AF260">
        <f>IF($AL260="","",INDEX('04_調査結果'!$Y$5:$Y$404,$AL260))</f>
        <v/>
      </c>
      <c r="AG260">
        <f>IF($AL260="","",INDEX('04_調査結果'!$Z$5:$Z$404,$AL260))</f>
        <v/>
      </c>
      <c r="AH260">
        <f>IF($AL260="","",INDEX('04_調査結果'!$AK$5:$AK$404,$AL260))</f>
        <v/>
      </c>
      <c r="AI260">
        <f>IF($AL260="","",INDEX('04_調査結果'!$AH$5:$AH$404,$AL260)&amp;"")</f>
        <v/>
      </c>
      <c r="AJ260">
        <f>IF($AL260="","",INDEX('04_調査結果'!$AA$5:$AA$404,$AL260)&amp;"")</f>
        <v/>
      </c>
      <c r="AK260">
        <f>IF($AL260="","",INDEX('04_調査結果'!$AC$5:$AC$404,$AL260)&amp;"")</f>
        <v/>
      </c>
      <c r="AL260" s="34">
        <f>IFERROR(MATCH(ROW()-4,'04_調査結果'!$AZ$5:$AZ$404,0),"")</f>
        <v/>
      </c>
    </row>
    <row r="261">
      <c r="A261">
        <f>IF($AL261="","",'01_設定'!$C$36)</f>
        <v/>
      </c>
      <c r="B261">
        <f>IF($AL261="","",'01_設定'!$C$5)</f>
        <v/>
      </c>
      <c r="C261">
        <f>IF($AL261="","",'01_設定'!$C$6)</f>
        <v/>
      </c>
      <c r="D261" s="36">
        <f>IF($AL261="","",'01_設定'!$C$22)</f>
        <v/>
      </c>
      <c r="E261" s="36">
        <f>IF($AL261="","",'01_設定'!$C$23)</f>
        <v/>
      </c>
      <c r="F261">
        <f>IF($AL261="","",'01_設定'!$C$32)</f>
        <v/>
      </c>
      <c r="G261">
        <f>IF($AL261="","",ROW()-4)</f>
        <v/>
      </c>
      <c r="H261">
        <f>IF($AL261="","",INDEX('04_調査結果'!$AO$5:$AO$404,$AL261))</f>
        <v/>
      </c>
      <c r="I261">
        <f>IF($AL261="","",IFERROR(INDEX('M2_区分マスタ'!$I$5:$I$10,INDEX('04_調査結果'!$AP$5:$AP$404,$AL261)),""))</f>
        <v/>
      </c>
      <c r="J261">
        <f>IF($AL261="","",INDEX('04_調査結果'!$BE$5:$BE$404,$AL261)&amp;"")</f>
        <v/>
      </c>
      <c r="K261">
        <f>IF($AL261="","",INDEX('04_調査結果'!$F$5:$F$404,$AL261)&amp;"")</f>
        <v/>
      </c>
      <c r="L261">
        <f>IF($AL261="","",INDEX('04_調査結果'!$G$5:$G$404,$AL261)&amp;"")</f>
        <v/>
      </c>
      <c r="M261">
        <f>IF($AL261="","",INDEX('04_調査結果'!$AQ$5:$AQ$404,$AL261)&amp;"")</f>
        <v/>
      </c>
      <c r="N261">
        <f>IF($AL261="","",IFERROR(INDEX('M1_類型マスタ'!$B$5:$B$19,MATCH(M261,'M1_類型マスタ'!$A$5:$A$19,0)),""))</f>
        <v/>
      </c>
      <c r="O261">
        <f>IF($AL261="","",INDEX('04_調査結果'!$I$5:$I$404,$AL261)&amp;"")</f>
        <v/>
      </c>
      <c r="P261">
        <f>IF($AL261="","",INDEX('04_調査結果'!$J$5:$J$404,$AL261)&amp;"")</f>
        <v/>
      </c>
      <c r="Q261">
        <f>IF($AL261="","",INDEX('04_調査結果'!$K$5:$K$404,$AL261)&amp;"")</f>
        <v/>
      </c>
      <c r="R261">
        <f>IF($AL261="","",INDEX('04_調査結果'!$L$5:$L$404,$AL261)&amp;"")</f>
        <v/>
      </c>
      <c r="S261">
        <f>IF($AL261="","",INDEX('04_調査結果'!$M$5:$M$404,$AL261)&amp;"")</f>
        <v/>
      </c>
      <c r="T261" s="33">
        <f>IF($AL261="","",IF(INDEX('04_調査結果'!$AE$5:$AE$404,$AL261)&lt;&gt;"",INDEX('04_調査結果'!$AE$5:$AE$404,$AL261),INDEX('04_調査結果'!$AS$5:$AS$404,$AL261)))</f>
        <v/>
      </c>
      <c r="U261" s="33">
        <f>IF($AL261="","",IF(INDEX('04_調査結果'!$AF$5:$AF$404,$AL261)&lt;&gt;"",INDEX('04_調査結果'!$AF$5:$AF$404,$AL261),INDEX('04_調査結果'!$AT$5:$AT$404,$AL261)))</f>
        <v/>
      </c>
      <c r="V261" s="33">
        <f>IF($AL261="","",INDEX('04_調査結果'!$AI$5:$AI$404,$AL261))</f>
        <v/>
      </c>
      <c r="W261">
        <f>IF($AL261="","",INDEX('04_調査結果'!$AU$5:$AU$404,$AL261))</f>
        <v/>
      </c>
      <c r="X261" s="37">
        <f>IF($AL261="","",INDEX('04_調査結果'!$AW$5:$AW$404,$AL261))</f>
        <v/>
      </c>
      <c r="Y261" s="37">
        <f>IF($AL261="","",INDEX('04_調査結果'!$AX$5:$AX$404,$AL261))</f>
        <v/>
      </c>
      <c r="Z261">
        <f>IF($AL261="","",INDEX('04_調査結果'!$S$5:$S$404,$AL261)&amp;"")</f>
        <v/>
      </c>
      <c r="AA261">
        <f>IF($AL261="","",INDEX('04_調査結果'!$T$5:$T$404,$AL261))</f>
        <v/>
      </c>
      <c r="AB261">
        <f>IF($AL261="","",INDEX('04_調査結果'!$U$5:$U$404,$AL261))</f>
        <v/>
      </c>
      <c r="AC261">
        <f>IF($AL261="","",INDEX('04_調査結果'!$V$5:$V$404,$AL261))</f>
        <v/>
      </c>
      <c r="AD261">
        <f>IF($AL261="","",INDEX('04_調査結果'!$W$5:$W$404,$AL261))</f>
        <v/>
      </c>
      <c r="AE261">
        <f>IF($AL261="","",INDEX('04_調査結果'!$X$5:$X$404,$AL261))</f>
        <v/>
      </c>
      <c r="AF261">
        <f>IF($AL261="","",INDEX('04_調査結果'!$Y$5:$Y$404,$AL261))</f>
        <v/>
      </c>
      <c r="AG261">
        <f>IF($AL261="","",INDEX('04_調査結果'!$Z$5:$Z$404,$AL261))</f>
        <v/>
      </c>
      <c r="AH261">
        <f>IF($AL261="","",INDEX('04_調査結果'!$AK$5:$AK$404,$AL261))</f>
        <v/>
      </c>
      <c r="AI261">
        <f>IF($AL261="","",INDEX('04_調査結果'!$AH$5:$AH$404,$AL261)&amp;"")</f>
        <v/>
      </c>
      <c r="AJ261">
        <f>IF($AL261="","",INDEX('04_調査結果'!$AA$5:$AA$404,$AL261)&amp;"")</f>
        <v/>
      </c>
      <c r="AK261">
        <f>IF($AL261="","",INDEX('04_調査結果'!$AC$5:$AC$404,$AL261)&amp;"")</f>
        <v/>
      </c>
      <c r="AL261" s="34">
        <f>IFERROR(MATCH(ROW()-4,'04_調査結果'!$AZ$5:$AZ$404,0),"")</f>
        <v/>
      </c>
    </row>
    <row r="262">
      <c r="A262">
        <f>IF($AL262="","",'01_設定'!$C$36)</f>
        <v/>
      </c>
      <c r="B262">
        <f>IF($AL262="","",'01_設定'!$C$5)</f>
        <v/>
      </c>
      <c r="C262">
        <f>IF($AL262="","",'01_設定'!$C$6)</f>
        <v/>
      </c>
      <c r="D262" s="36">
        <f>IF($AL262="","",'01_設定'!$C$22)</f>
        <v/>
      </c>
      <c r="E262" s="36">
        <f>IF($AL262="","",'01_設定'!$C$23)</f>
        <v/>
      </c>
      <c r="F262">
        <f>IF($AL262="","",'01_設定'!$C$32)</f>
        <v/>
      </c>
      <c r="G262">
        <f>IF($AL262="","",ROW()-4)</f>
        <v/>
      </c>
      <c r="H262">
        <f>IF($AL262="","",INDEX('04_調査結果'!$AO$5:$AO$404,$AL262))</f>
        <v/>
      </c>
      <c r="I262">
        <f>IF($AL262="","",IFERROR(INDEX('M2_区分マスタ'!$I$5:$I$10,INDEX('04_調査結果'!$AP$5:$AP$404,$AL262)),""))</f>
        <v/>
      </c>
      <c r="J262">
        <f>IF($AL262="","",INDEX('04_調査結果'!$BE$5:$BE$404,$AL262)&amp;"")</f>
        <v/>
      </c>
      <c r="K262">
        <f>IF($AL262="","",INDEX('04_調査結果'!$F$5:$F$404,$AL262)&amp;"")</f>
        <v/>
      </c>
      <c r="L262">
        <f>IF($AL262="","",INDEX('04_調査結果'!$G$5:$G$404,$AL262)&amp;"")</f>
        <v/>
      </c>
      <c r="M262">
        <f>IF($AL262="","",INDEX('04_調査結果'!$AQ$5:$AQ$404,$AL262)&amp;"")</f>
        <v/>
      </c>
      <c r="N262">
        <f>IF($AL262="","",IFERROR(INDEX('M1_類型マスタ'!$B$5:$B$19,MATCH(M262,'M1_類型マスタ'!$A$5:$A$19,0)),""))</f>
        <v/>
      </c>
      <c r="O262">
        <f>IF($AL262="","",INDEX('04_調査結果'!$I$5:$I$404,$AL262)&amp;"")</f>
        <v/>
      </c>
      <c r="P262">
        <f>IF($AL262="","",INDEX('04_調査結果'!$J$5:$J$404,$AL262)&amp;"")</f>
        <v/>
      </c>
      <c r="Q262">
        <f>IF($AL262="","",INDEX('04_調査結果'!$K$5:$K$404,$AL262)&amp;"")</f>
        <v/>
      </c>
      <c r="R262">
        <f>IF($AL262="","",INDEX('04_調査結果'!$L$5:$L$404,$AL262)&amp;"")</f>
        <v/>
      </c>
      <c r="S262">
        <f>IF($AL262="","",INDEX('04_調査結果'!$M$5:$M$404,$AL262)&amp;"")</f>
        <v/>
      </c>
      <c r="T262" s="33">
        <f>IF($AL262="","",IF(INDEX('04_調査結果'!$AE$5:$AE$404,$AL262)&lt;&gt;"",INDEX('04_調査結果'!$AE$5:$AE$404,$AL262),INDEX('04_調査結果'!$AS$5:$AS$404,$AL262)))</f>
        <v/>
      </c>
      <c r="U262" s="33">
        <f>IF($AL262="","",IF(INDEX('04_調査結果'!$AF$5:$AF$404,$AL262)&lt;&gt;"",INDEX('04_調査結果'!$AF$5:$AF$404,$AL262),INDEX('04_調査結果'!$AT$5:$AT$404,$AL262)))</f>
        <v/>
      </c>
      <c r="V262" s="33">
        <f>IF($AL262="","",INDEX('04_調査結果'!$AI$5:$AI$404,$AL262))</f>
        <v/>
      </c>
      <c r="W262">
        <f>IF($AL262="","",INDEX('04_調査結果'!$AU$5:$AU$404,$AL262))</f>
        <v/>
      </c>
      <c r="X262" s="37">
        <f>IF($AL262="","",INDEX('04_調査結果'!$AW$5:$AW$404,$AL262))</f>
        <v/>
      </c>
      <c r="Y262" s="37">
        <f>IF($AL262="","",INDEX('04_調査結果'!$AX$5:$AX$404,$AL262))</f>
        <v/>
      </c>
      <c r="Z262">
        <f>IF($AL262="","",INDEX('04_調査結果'!$S$5:$S$404,$AL262)&amp;"")</f>
        <v/>
      </c>
      <c r="AA262">
        <f>IF($AL262="","",INDEX('04_調査結果'!$T$5:$T$404,$AL262))</f>
        <v/>
      </c>
      <c r="AB262">
        <f>IF($AL262="","",INDEX('04_調査結果'!$U$5:$U$404,$AL262))</f>
        <v/>
      </c>
      <c r="AC262">
        <f>IF($AL262="","",INDEX('04_調査結果'!$V$5:$V$404,$AL262))</f>
        <v/>
      </c>
      <c r="AD262">
        <f>IF($AL262="","",INDEX('04_調査結果'!$W$5:$W$404,$AL262))</f>
        <v/>
      </c>
      <c r="AE262">
        <f>IF($AL262="","",INDEX('04_調査結果'!$X$5:$X$404,$AL262))</f>
        <v/>
      </c>
      <c r="AF262">
        <f>IF($AL262="","",INDEX('04_調査結果'!$Y$5:$Y$404,$AL262))</f>
        <v/>
      </c>
      <c r="AG262">
        <f>IF($AL262="","",INDEX('04_調査結果'!$Z$5:$Z$404,$AL262))</f>
        <v/>
      </c>
      <c r="AH262">
        <f>IF($AL262="","",INDEX('04_調査結果'!$AK$5:$AK$404,$AL262))</f>
        <v/>
      </c>
      <c r="AI262">
        <f>IF($AL262="","",INDEX('04_調査結果'!$AH$5:$AH$404,$AL262)&amp;"")</f>
        <v/>
      </c>
      <c r="AJ262">
        <f>IF($AL262="","",INDEX('04_調査結果'!$AA$5:$AA$404,$AL262)&amp;"")</f>
        <v/>
      </c>
      <c r="AK262">
        <f>IF($AL262="","",INDEX('04_調査結果'!$AC$5:$AC$404,$AL262)&amp;"")</f>
        <v/>
      </c>
      <c r="AL262" s="34">
        <f>IFERROR(MATCH(ROW()-4,'04_調査結果'!$AZ$5:$AZ$404,0),"")</f>
        <v/>
      </c>
    </row>
    <row r="263">
      <c r="A263">
        <f>IF($AL263="","",'01_設定'!$C$36)</f>
        <v/>
      </c>
      <c r="B263">
        <f>IF($AL263="","",'01_設定'!$C$5)</f>
        <v/>
      </c>
      <c r="C263">
        <f>IF($AL263="","",'01_設定'!$C$6)</f>
        <v/>
      </c>
      <c r="D263" s="36">
        <f>IF($AL263="","",'01_設定'!$C$22)</f>
        <v/>
      </c>
      <c r="E263" s="36">
        <f>IF($AL263="","",'01_設定'!$C$23)</f>
        <v/>
      </c>
      <c r="F263">
        <f>IF($AL263="","",'01_設定'!$C$32)</f>
        <v/>
      </c>
      <c r="G263">
        <f>IF($AL263="","",ROW()-4)</f>
        <v/>
      </c>
      <c r="H263">
        <f>IF($AL263="","",INDEX('04_調査結果'!$AO$5:$AO$404,$AL263))</f>
        <v/>
      </c>
      <c r="I263">
        <f>IF($AL263="","",IFERROR(INDEX('M2_区分マスタ'!$I$5:$I$10,INDEX('04_調査結果'!$AP$5:$AP$404,$AL263)),""))</f>
        <v/>
      </c>
      <c r="J263">
        <f>IF($AL263="","",INDEX('04_調査結果'!$BE$5:$BE$404,$AL263)&amp;"")</f>
        <v/>
      </c>
      <c r="K263">
        <f>IF($AL263="","",INDEX('04_調査結果'!$F$5:$F$404,$AL263)&amp;"")</f>
        <v/>
      </c>
      <c r="L263">
        <f>IF($AL263="","",INDEX('04_調査結果'!$G$5:$G$404,$AL263)&amp;"")</f>
        <v/>
      </c>
      <c r="M263">
        <f>IF($AL263="","",INDEX('04_調査結果'!$AQ$5:$AQ$404,$AL263)&amp;"")</f>
        <v/>
      </c>
      <c r="N263">
        <f>IF($AL263="","",IFERROR(INDEX('M1_類型マスタ'!$B$5:$B$19,MATCH(M263,'M1_類型マスタ'!$A$5:$A$19,0)),""))</f>
        <v/>
      </c>
      <c r="O263">
        <f>IF($AL263="","",INDEX('04_調査結果'!$I$5:$I$404,$AL263)&amp;"")</f>
        <v/>
      </c>
      <c r="P263">
        <f>IF($AL263="","",INDEX('04_調査結果'!$J$5:$J$404,$AL263)&amp;"")</f>
        <v/>
      </c>
      <c r="Q263">
        <f>IF($AL263="","",INDEX('04_調査結果'!$K$5:$K$404,$AL263)&amp;"")</f>
        <v/>
      </c>
      <c r="R263">
        <f>IF($AL263="","",INDEX('04_調査結果'!$L$5:$L$404,$AL263)&amp;"")</f>
        <v/>
      </c>
      <c r="S263">
        <f>IF($AL263="","",INDEX('04_調査結果'!$M$5:$M$404,$AL263)&amp;"")</f>
        <v/>
      </c>
      <c r="T263" s="33">
        <f>IF($AL263="","",IF(INDEX('04_調査結果'!$AE$5:$AE$404,$AL263)&lt;&gt;"",INDEX('04_調査結果'!$AE$5:$AE$404,$AL263),INDEX('04_調査結果'!$AS$5:$AS$404,$AL263)))</f>
        <v/>
      </c>
      <c r="U263" s="33">
        <f>IF($AL263="","",IF(INDEX('04_調査結果'!$AF$5:$AF$404,$AL263)&lt;&gt;"",INDEX('04_調査結果'!$AF$5:$AF$404,$AL263),INDEX('04_調査結果'!$AT$5:$AT$404,$AL263)))</f>
        <v/>
      </c>
      <c r="V263" s="33">
        <f>IF($AL263="","",INDEX('04_調査結果'!$AI$5:$AI$404,$AL263))</f>
        <v/>
      </c>
      <c r="W263">
        <f>IF($AL263="","",INDEX('04_調査結果'!$AU$5:$AU$404,$AL263))</f>
        <v/>
      </c>
      <c r="X263" s="37">
        <f>IF($AL263="","",INDEX('04_調査結果'!$AW$5:$AW$404,$AL263))</f>
        <v/>
      </c>
      <c r="Y263" s="37">
        <f>IF($AL263="","",INDEX('04_調査結果'!$AX$5:$AX$404,$AL263))</f>
        <v/>
      </c>
      <c r="Z263">
        <f>IF($AL263="","",INDEX('04_調査結果'!$S$5:$S$404,$AL263)&amp;"")</f>
        <v/>
      </c>
      <c r="AA263">
        <f>IF($AL263="","",INDEX('04_調査結果'!$T$5:$T$404,$AL263))</f>
        <v/>
      </c>
      <c r="AB263">
        <f>IF($AL263="","",INDEX('04_調査結果'!$U$5:$U$404,$AL263))</f>
        <v/>
      </c>
      <c r="AC263">
        <f>IF($AL263="","",INDEX('04_調査結果'!$V$5:$V$404,$AL263))</f>
        <v/>
      </c>
      <c r="AD263">
        <f>IF($AL263="","",INDEX('04_調査結果'!$W$5:$W$404,$AL263))</f>
        <v/>
      </c>
      <c r="AE263">
        <f>IF($AL263="","",INDEX('04_調査結果'!$X$5:$X$404,$AL263))</f>
        <v/>
      </c>
      <c r="AF263">
        <f>IF($AL263="","",INDEX('04_調査結果'!$Y$5:$Y$404,$AL263))</f>
        <v/>
      </c>
      <c r="AG263">
        <f>IF($AL263="","",INDEX('04_調査結果'!$Z$5:$Z$404,$AL263))</f>
        <v/>
      </c>
      <c r="AH263">
        <f>IF($AL263="","",INDEX('04_調査結果'!$AK$5:$AK$404,$AL263))</f>
        <v/>
      </c>
      <c r="AI263">
        <f>IF($AL263="","",INDEX('04_調査結果'!$AH$5:$AH$404,$AL263)&amp;"")</f>
        <v/>
      </c>
      <c r="AJ263">
        <f>IF($AL263="","",INDEX('04_調査結果'!$AA$5:$AA$404,$AL263)&amp;"")</f>
        <v/>
      </c>
      <c r="AK263">
        <f>IF($AL263="","",INDEX('04_調査結果'!$AC$5:$AC$404,$AL263)&amp;"")</f>
        <v/>
      </c>
      <c r="AL263" s="34">
        <f>IFERROR(MATCH(ROW()-4,'04_調査結果'!$AZ$5:$AZ$404,0),"")</f>
        <v/>
      </c>
    </row>
    <row r="264">
      <c r="A264">
        <f>IF($AL264="","",'01_設定'!$C$36)</f>
        <v/>
      </c>
      <c r="B264">
        <f>IF($AL264="","",'01_設定'!$C$5)</f>
        <v/>
      </c>
      <c r="C264">
        <f>IF($AL264="","",'01_設定'!$C$6)</f>
        <v/>
      </c>
      <c r="D264" s="36">
        <f>IF($AL264="","",'01_設定'!$C$22)</f>
        <v/>
      </c>
      <c r="E264" s="36">
        <f>IF($AL264="","",'01_設定'!$C$23)</f>
        <v/>
      </c>
      <c r="F264">
        <f>IF($AL264="","",'01_設定'!$C$32)</f>
        <v/>
      </c>
      <c r="G264">
        <f>IF($AL264="","",ROW()-4)</f>
        <v/>
      </c>
      <c r="H264">
        <f>IF($AL264="","",INDEX('04_調査結果'!$AO$5:$AO$404,$AL264))</f>
        <v/>
      </c>
      <c r="I264">
        <f>IF($AL264="","",IFERROR(INDEX('M2_区分マスタ'!$I$5:$I$10,INDEX('04_調査結果'!$AP$5:$AP$404,$AL264)),""))</f>
        <v/>
      </c>
      <c r="J264">
        <f>IF($AL264="","",INDEX('04_調査結果'!$BE$5:$BE$404,$AL264)&amp;"")</f>
        <v/>
      </c>
      <c r="K264">
        <f>IF($AL264="","",INDEX('04_調査結果'!$F$5:$F$404,$AL264)&amp;"")</f>
        <v/>
      </c>
      <c r="L264">
        <f>IF($AL264="","",INDEX('04_調査結果'!$G$5:$G$404,$AL264)&amp;"")</f>
        <v/>
      </c>
      <c r="M264">
        <f>IF($AL264="","",INDEX('04_調査結果'!$AQ$5:$AQ$404,$AL264)&amp;"")</f>
        <v/>
      </c>
      <c r="N264">
        <f>IF($AL264="","",IFERROR(INDEX('M1_類型マスタ'!$B$5:$B$19,MATCH(M264,'M1_類型マスタ'!$A$5:$A$19,0)),""))</f>
        <v/>
      </c>
      <c r="O264">
        <f>IF($AL264="","",INDEX('04_調査結果'!$I$5:$I$404,$AL264)&amp;"")</f>
        <v/>
      </c>
      <c r="P264">
        <f>IF($AL264="","",INDEX('04_調査結果'!$J$5:$J$404,$AL264)&amp;"")</f>
        <v/>
      </c>
      <c r="Q264">
        <f>IF($AL264="","",INDEX('04_調査結果'!$K$5:$K$404,$AL264)&amp;"")</f>
        <v/>
      </c>
      <c r="R264">
        <f>IF($AL264="","",INDEX('04_調査結果'!$L$5:$L$404,$AL264)&amp;"")</f>
        <v/>
      </c>
      <c r="S264">
        <f>IF($AL264="","",INDEX('04_調査結果'!$M$5:$M$404,$AL264)&amp;"")</f>
        <v/>
      </c>
      <c r="T264" s="33">
        <f>IF($AL264="","",IF(INDEX('04_調査結果'!$AE$5:$AE$404,$AL264)&lt;&gt;"",INDEX('04_調査結果'!$AE$5:$AE$404,$AL264),INDEX('04_調査結果'!$AS$5:$AS$404,$AL264)))</f>
        <v/>
      </c>
      <c r="U264" s="33">
        <f>IF($AL264="","",IF(INDEX('04_調査結果'!$AF$5:$AF$404,$AL264)&lt;&gt;"",INDEX('04_調査結果'!$AF$5:$AF$404,$AL264),INDEX('04_調査結果'!$AT$5:$AT$404,$AL264)))</f>
        <v/>
      </c>
      <c r="V264" s="33">
        <f>IF($AL264="","",INDEX('04_調査結果'!$AI$5:$AI$404,$AL264))</f>
        <v/>
      </c>
      <c r="W264">
        <f>IF($AL264="","",INDEX('04_調査結果'!$AU$5:$AU$404,$AL264))</f>
        <v/>
      </c>
      <c r="X264" s="37">
        <f>IF($AL264="","",INDEX('04_調査結果'!$AW$5:$AW$404,$AL264))</f>
        <v/>
      </c>
      <c r="Y264" s="37">
        <f>IF($AL264="","",INDEX('04_調査結果'!$AX$5:$AX$404,$AL264))</f>
        <v/>
      </c>
      <c r="Z264">
        <f>IF($AL264="","",INDEX('04_調査結果'!$S$5:$S$404,$AL264)&amp;"")</f>
        <v/>
      </c>
      <c r="AA264">
        <f>IF($AL264="","",INDEX('04_調査結果'!$T$5:$T$404,$AL264))</f>
        <v/>
      </c>
      <c r="AB264">
        <f>IF($AL264="","",INDEX('04_調査結果'!$U$5:$U$404,$AL264))</f>
        <v/>
      </c>
      <c r="AC264">
        <f>IF($AL264="","",INDEX('04_調査結果'!$V$5:$V$404,$AL264))</f>
        <v/>
      </c>
      <c r="AD264">
        <f>IF($AL264="","",INDEX('04_調査結果'!$W$5:$W$404,$AL264))</f>
        <v/>
      </c>
      <c r="AE264">
        <f>IF($AL264="","",INDEX('04_調査結果'!$X$5:$X$404,$AL264))</f>
        <v/>
      </c>
      <c r="AF264">
        <f>IF($AL264="","",INDEX('04_調査結果'!$Y$5:$Y$404,$AL264))</f>
        <v/>
      </c>
      <c r="AG264">
        <f>IF($AL264="","",INDEX('04_調査結果'!$Z$5:$Z$404,$AL264))</f>
        <v/>
      </c>
      <c r="AH264">
        <f>IF($AL264="","",INDEX('04_調査結果'!$AK$5:$AK$404,$AL264))</f>
        <v/>
      </c>
      <c r="AI264">
        <f>IF($AL264="","",INDEX('04_調査結果'!$AH$5:$AH$404,$AL264)&amp;"")</f>
        <v/>
      </c>
      <c r="AJ264">
        <f>IF($AL264="","",INDEX('04_調査結果'!$AA$5:$AA$404,$AL264)&amp;"")</f>
        <v/>
      </c>
      <c r="AK264">
        <f>IF($AL264="","",INDEX('04_調査結果'!$AC$5:$AC$404,$AL264)&amp;"")</f>
        <v/>
      </c>
      <c r="AL264" s="34">
        <f>IFERROR(MATCH(ROW()-4,'04_調査結果'!$AZ$5:$AZ$404,0),"")</f>
        <v/>
      </c>
    </row>
    <row r="265">
      <c r="A265">
        <f>IF($AL265="","",'01_設定'!$C$36)</f>
        <v/>
      </c>
      <c r="B265">
        <f>IF($AL265="","",'01_設定'!$C$5)</f>
        <v/>
      </c>
      <c r="C265">
        <f>IF($AL265="","",'01_設定'!$C$6)</f>
        <v/>
      </c>
      <c r="D265" s="36">
        <f>IF($AL265="","",'01_設定'!$C$22)</f>
        <v/>
      </c>
      <c r="E265" s="36">
        <f>IF($AL265="","",'01_設定'!$C$23)</f>
        <v/>
      </c>
      <c r="F265">
        <f>IF($AL265="","",'01_設定'!$C$32)</f>
        <v/>
      </c>
      <c r="G265">
        <f>IF($AL265="","",ROW()-4)</f>
        <v/>
      </c>
      <c r="H265">
        <f>IF($AL265="","",INDEX('04_調査結果'!$AO$5:$AO$404,$AL265))</f>
        <v/>
      </c>
      <c r="I265">
        <f>IF($AL265="","",IFERROR(INDEX('M2_区分マスタ'!$I$5:$I$10,INDEX('04_調査結果'!$AP$5:$AP$404,$AL265)),""))</f>
        <v/>
      </c>
      <c r="J265">
        <f>IF($AL265="","",INDEX('04_調査結果'!$BE$5:$BE$404,$AL265)&amp;"")</f>
        <v/>
      </c>
      <c r="K265">
        <f>IF($AL265="","",INDEX('04_調査結果'!$F$5:$F$404,$AL265)&amp;"")</f>
        <v/>
      </c>
      <c r="L265">
        <f>IF($AL265="","",INDEX('04_調査結果'!$G$5:$G$404,$AL265)&amp;"")</f>
        <v/>
      </c>
      <c r="M265">
        <f>IF($AL265="","",INDEX('04_調査結果'!$AQ$5:$AQ$404,$AL265)&amp;"")</f>
        <v/>
      </c>
      <c r="N265">
        <f>IF($AL265="","",IFERROR(INDEX('M1_類型マスタ'!$B$5:$B$19,MATCH(M265,'M1_類型マスタ'!$A$5:$A$19,0)),""))</f>
        <v/>
      </c>
      <c r="O265">
        <f>IF($AL265="","",INDEX('04_調査結果'!$I$5:$I$404,$AL265)&amp;"")</f>
        <v/>
      </c>
      <c r="P265">
        <f>IF($AL265="","",INDEX('04_調査結果'!$J$5:$J$404,$AL265)&amp;"")</f>
        <v/>
      </c>
      <c r="Q265">
        <f>IF($AL265="","",INDEX('04_調査結果'!$K$5:$K$404,$AL265)&amp;"")</f>
        <v/>
      </c>
      <c r="R265">
        <f>IF($AL265="","",INDEX('04_調査結果'!$L$5:$L$404,$AL265)&amp;"")</f>
        <v/>
      </c>
      <c r="S265">
        <f>IF($AL265="","",INDEX('04_調査結果'!$M$5:$M$404,$AL265)&amp;"")</f>
        <v/>
      </c>
      <c r="T265" s="33">
        <f>IF($AL265="","",IF(INDEX('04_調査結果'!$AE$5:$AE$404,$AL265)&lt;&gt;"",INDEX('04_調査結果'!$AE$5:$AE$404,$AL265),INDEX('04_調査結果'!$AS$5:$AS$404,$AL265)))</f>
        <v/>
      </c>
      <c r="U265" s="33">
        <f>IF($AL265="","",IF(INDEX('04_調査結果'!$AF$5:$AF$404,$AL265)&lt;&gt;"",INDEX('04_調査結果'!$AF$5:$AF$404,$AL265),INDEX('04_調査結果'!$AT$5:$AT$404,$AL265)))</f>
        <v/>
      </c>
      <c r="V265" s="33">
        <f>IF($AL265="","",INDEX('04_調査結果'!$AI$5:$AI$404,$AL265))</f>
        <v/>
      </c>
      <c r="W265">
        <f>IF($AL265="","",INDEX('04_調査結果'!$AU$5:$AU$404,$AL265))</f>
        <v/>
      </c>
      <c r="X265" s="37">
        <f>IF($AL265="","",INDEX('04_調査結果'!$AW$5:$AW$404,$AL265))</f>
        <v/>
      </c>
      <c r="Y265" s="37">
        <f>IF($AL265="","",INDEX('04_調査結果'!$AX$5:$AX$404,$AL265))</f>
        <v/>
      </c>
      <c r="Z265">
        <f>IF($AL265="","",INDEX('04_調査結果'!$S$5:$S$404,$AL265)&amp;"")</f>
        <v/>
      </c>
      <c r="AA265">
        <f>IF($AL265="","",INDEX('04_調査結果'!$T$5:$T$404,$AL265))</f>
        <v/>
      </c>
      <c r="AB265">
        <f>IF($AL265="","",INDEX('04_調査結果'!$U$5:$U$404,$AL265))</f>
        <v/>
      </c>
      <c r="AC265">
        <f>IF($AL265="","",INDEX('04_調査結果'!$V$5:$V$404,$AL265))</f>
        <v/>
      </c>
      <c r="AD265">
        <f>IF($AL265="","",INDEX('04_調査結果'!$W$5:$W$404,$AL265))</f>
        <v/>
      </c>
      <c r="AE265">
        <f>IF($AL265="","",INDEX('04_調査結果'!$X$5:$X$404,$AL265))</f>
        <v/>
      </c>
      <c r="AF265">
        <f>IF($AL265="","",INDEX('04_調査結果'!$Y$5:$Y$404,$AL265))</f>
        <v/>
      </c>
      <c r="AG265">
        <f>IF($AL265="","",INDEX('04_調査結果'!$Z$5:$Z$404,$AL265))</f>
        <v/>
      </c>
      <c r="AH265">
        <f>IF($AL265="","",INDEX('04_調査結果'!$AK$5:$AK$404,$AL265))</f>
        <v/>
      </c>
      <c r="AI265">
        <f>IF($AL265="","",INDEX('04_調査結果'!$AH$5:$AH$404,$AL265)&amp;"")</f>
        <v/>
      </c>
      <c r="AJ265">
        <f>IF($AL265="","",INDEX('04_調査結果'!$AA$5:$AA$404,$AL265)&amp;"")</f>
        <v/>
      </c>
      <c r="AK265">
        <f>IF($AL265="","",INDEX('04_調査結果'!$AC$5:$AC$404,$AL265)&amp;"")</f>
        <v/>
      </c>
      <c r="AL265" s="34">
        <f>IFERROR(MATCH(ROW()-4,'04_調査結果'!$AZ$5:$AZ$404,0),"")</f>
        <v/>
      </c>
    </row>
    <row r="266">
      <c r="A266">
        <f>IF($AL266="","",'01_設定'!$C$36)</f>
        <v/>
      </c>
      <c r="B266">
        <f>IF($AL266="","",'01_設定'!$C$5)</f>
        <v/>
      </c>
      <c r="C266">
        <f>IF($AL266="","",'01_設定'!$C$6)</f>
        <v/>
      </c>
      <c r="D266" s="36">
        <f>IF($AL266="","",'01_設定'!$C$22)</f>
        <v/>
      </c>
      <c r="E266" s="36">
        <f>IF($AL266="","",'01_設定'!$C$23)</f>
        <v/>
      </c>
      <c r="F266">
        <f>IF($AL266="","",'01_設定'!$C$32)</f>
        <v/>
      </c>
      <c r="G266">
        <f>IF($AL266="","",ROW()-4)</f>
        <v/>
      </c>
      <c r="H266">
        <f>IF($AL266="","",INDEX('04_調査結果'!$AO$5:$AO$404,$AL266))</f>
        <v/>
      </c>
      <c r="I266">
        <f>IF($AL266="","",IFERROR(INDEX('M2_区分マスタ'!$I$5:$I$10,INDEX('04_調査結果'!$AP$5:$AP$404,$AL266)),""))</f>
        <v/>
      </c>
      <c r="J266">
        <f>IF($AL266="","",INDEX('04_調査結果'!$BE$5:$BE$404,$AL266)&amp;"")</f>
        <v/>
      </c>
      <c r="K266">
        <f>IF($AL266="","",INDEX('04_調査結果'!$F$5:$F$404,$AL266)&amp;"")</f>
        <v/>
      </c>
      <c r="L266">
        <f>IF($AL266="","",INDEX('04_調査結果'!$G$5:$G$404,$AL266)&amp;"")</f>
        <v/>
      </c>
      <c r="M266">
        <f>IF($AL266="","",INDEX('04_調査結果'!$AQ$5:$AQ$404,$AL266)&amp;"")</f>
        <v/>
      </c>
      <c r="N266">
        <f>IF($AL266="","",IFERROR(INDEX('M1_類型マスタ'!$B$5:$B$19,MATCH(M266,'M1_類型マスタ'!$A$5:$A$19,0)),""))</f>
        <v/>
      </c>
      <c r="O266">
        <f>IF($AL266="","",INDEX('04_調査結果'!$I$5:$I$404,$AL266)&amp;"")</f>
        <v/>
      </c>
      <c r="P266">
        <f>IF($AL266="","",INDEX('04_調査結果'!$J$5:$J$404,$AL266)&amp;"")</f>
        <v/>
      </c>
      <c r="Q266">
        <f>IF($AL266="","",INDEX('04_調査結果'!$K$5:$K$404,$AL266)&amp;"")</f>
        <v/>
      </c>
      <c r="R266">
        <f>IF($AL266="","",INDEX('04_調査結果'!$L$5:$L$404,$AL266)&amp;"")</f>
        <v/>
      </c>
      <c r="S266">
        <f>IF($AL266="","",INDEX('04_調査結果'!$M$5:$M$404,$AL266)&amp;"")</f>
        <v/>
      </c>
      <c r="T266" s="33">
        <f>IF($AL266="","",IF(INDEX('04_調査結果'!$AE$5:$AE$404,$AL266)&lt;&gt;"",INDEX('04_調査結果'!$AE$5:$AE$404,$AL266),INDEX('04_調査結果'!$AS$5:$AS$404,$AL266)))</f>
        <v/>
      </c>
      <c r="U266" s="33">
        <f>IF($AL266="","",IF(INDEX('04_調査結果'!$AF$5:$AF$404,$AL266)&lt;&gt;"",INDEX('04_調査結果'!$AF$5:$AF$404,$AL266),INDEX('04_調査結果'!$AT$5:$AT$404,$AL266)))</f>
        <v/>
      </c>
      <c r="V266" s="33">
        <f>IF($AL266="","",INDEX('04_調査結果'!$AI$5:$AI$404,$AL266))</f>
        <v/>
      </c>
      <c r="W266">
        <f>IF($AL266="","",INDEX('04_調査結果'!$AU$5:$AU$404,$AL266))</f>
        <v/>
      </c>
      <c r="X266" s="37">
        <f>IF($AL266="","",INDEX('04_調査結果'!$AW$5:$AW$404,$AL266))</f>
        <v/>
      </c>
      <c r="Y266" s="37">
        <f>IF($AL266="","",INDEX('04_調査結果'!$AX$5:$AX$404,$AL266))</f>
        <v/>
      </c>
      <c r="Z266">
        <f>IF($AL266="","",INDEX('04_調査結果'!$S$5:$S$404,$AL266)&amp;"")</f>
        <v/>
      </c>
      <c r="AA266">
        <f>IF($AL266="","",INDEX('04_調査結果'!$T$5:$T$404,$AL266))</f>
        <v/>
      </c>
      <c r="AB266">
        <f>IF($AL266="","",INDEX('04_調査結果'!$U$5:$U$404,$AL266))</f>
        <v/>
      </c>
      <c r="AC266">
        <f>IF($AL266="","",INDEX('04_調査結果'!$V$5:$V$404,$AL266))</f>
        <v/>
      </c>
      <c r="AD266">
        <f>IF($AL266="","",INDEX('04_調査結果'!$W$5:$W$404,$AL266))</f>
        <v/>
      </c>
      <c r="AE266">
        <f>IF($AL266="","",INDEX('04_調査結果'!$X$5:$X$404,$AL266))</f>
        <v/>
      </c>
      <c r="AF266">
        <f>IF($AL266="","",INDEX('04_調査結果'!$Y$5:$Y$404,$AL266))</f>
        <v/>
      </c>
      <c r="AG266">
        <f>IF($AL266="","",INDEX('04_調査結果'!$Z$5:$Z$404,$AL266))</f>
        <v/>
      </c>
      <c r="AH266">
        <f>IF($AL266="","",INDEX('04_調査結果'!$AK$5:$AK$404,$AL266))</f>
        <v/>
      </c>
      <c r="AI266">
        <f>IF($AL266="","",INDEX('04_調査結果'!$AH$5:$AH$404,$AL266)&amp;"")</f>
        <v/>
      </c>
      <c r="AJ266">
        <f>IF($AL266="","",INDEX('04_調査結果'!$AA$5:$AA$404,$AL266)&amp;"")</f>
        <v/>
      </c>
      <c r="AK266">
        <f>IF($AL266="","",INDEX('04_調査結果'!$AC$5:$AC$404,$AL266)&amp;"")</f>
        <v/>
      </c>
      <c r="AL266" s="34">
        <f>IFERROR(MATCH(ROW()-4,'04_調査結果'!$AZ$5:$AZ$404,0),"")</f>
        <v/>
      </c>
    </row>
    <row r="267">
      <c r="A267">
        <f>IF($AL267="","",'01_設定'!$C$36)</f>
        <v/>
      </c>
      <c r="B267">
        <f>IF($AL267="","",'01_設定'!$C$5)</f>
        <v/>
      </c>
      <c r="C267">
        <f>IF($AL267="","",'01_設定'!$C$6)</f>
        <v/>
      </c>
      <c r="D267" s="36">
        <f>IF($AL267="","",'01_設定'!$C$22)</f>
        <v/>
      </c>
      <c r="E267" s="36">
        <f>IF($AL267="","",'01_設定'!$C$23)</f>
        <v/>
      </c>
      <c r="F267">
        <f>IF($AL267="","",'01_設定'!$C$32)</f>
        <v/>
      </c>
      <c r="G267">
        <f>IF($AL267="","",ROW()-4)</f>
        <v/>
      </c>
      <c r="H267">
        <f>IF($AL267="","",INDEX('04_調査結果'!$AO$5:$AO$404,$AL267))</f>
        <v/>
      </c>
      <c r="I267">
        <f>IF($AL267="","",IFERROR(INDEX('M2_区分マスタ'!$I$5:$I$10,INDEX('04_調査結果'!$AP$5:$AP$404,$AL267)),""))</f>
        <v/>
      </c>
      <c r="J267">
        <f>IF($AL267="","",INDEX('04_調査結果'!$BE$5:$BE$404,$AL267)&amp;"")</f>
        <v/>
      </c>
      <c r="K267">
        <f>IF($AL267="","",INDEX('04_調査結果'!$F$5:$F$404,$AL267)&amp;"")</f>
        <v/>
      </c>
      <c r="L267">
        <f>IF($AL267="","",INDEX('04_調査結果'!$G$5:$G$404,$AL267)&amp;"")</f>
        <v/>
      </c>
      <c r="M267">
        <f>IF($AL267="","",INDEX('04_調査結果'!$AQ$5:$AQ$404,$AL267)&amp;"")</f>
        <v/>
      </c>
      <c r="N267">
        <f>IF($AL267="","",IFERROR(INDEX('M1_類型マスタ'!$B$5:$B$19,MATCH(M267,'M1_類型マスタ'!$A$5:$A$19,0)),""))</f>
        <v/>
      </c>
      <c r="O267">
        <f>IF($AL267="","",INDEX('04_調査結果'!$I$5:$I$404,$AL267)&amp;"")</f>
        <v/>
      </c>
      <c r="P267">
        <f>IF($AL267="","",INDEX('04_調査結果'!$J$5:$J$404,$AL267)&amp;"")</f>
        <v/>
      </c>
      <c r="Q267">
        <f>IF($AL267="","",INDEX('04_調査結果'!$K$5:$K$404,$AL267)&amp;"")</f>
        <v/>
      </c>
      <c r="R267">
        <f>IF($AL267="","",INDEX('04_調査結果'!$L$5:$L$404,$AL267)&amp;"")</f>
        <v/>
      </c>
      <c r="S267">
        <f>IF($AL267="","",INDEX('04_調査結果'!$M$5:$M$404,$AL267)&amp;"")</f>
        <v/>
      </c>
      <c r="T267" s="33">
        <f>IF($AL267="","",IF(INDEX('04_調査結果'!$AE$5:$AE$404,$AL267)&lt;&gt;"",INDEX('04_調査結果'!$AE$5:$AE$404,$AL267),INDEX('04_調査結果'!$AS$5:$AS$404,$AL267)))</f>
        <v/>
      </c>
      <c r="U267" s="33">
        <f>IF($AL267="","",IF(INDEX('04_調査結果'!$AF$5:$AF$404,$AL267)&lt;&gt;"",INDEX('04_調査結果'!$AF$5:$AF$404,$AL267),INDEX('04_調査結果'!$AT$5:$AT$404,$AL267)))</f>
        <v/>
      </c>
      <c r="V267" s="33">
        <f>IF($AL267="","",INDEX('04_調査結果'!$AI$5:$AI$404,$AL267))</f>
        <v/>
      </c>
      <c r="W267">
        <f>IF($AL267="","",INDEX('04_調査結果'!$AU$5:$AU$404,$AL267))</f>
        <v/>
      </c>
      <c r="X267" s="37">
        <f>IF($AL267="","",INDEX('04_調査結果'!$AW$5:$AW$404,$AL267))</f>
        <v/>
      </c>
      <c r="Y267" s="37">
        <f>IF($AL267="","",INDEX('04_調査結果'!$AX$5:$AX$404,$AL267))</f>
        <v/>
      </c>
      <c r="Z267">
        <f>IF($AL267="","",INDEX('04_調査結果'!$S$5:$S$404,$AL267)&amp;"")</f>
        <v/>
      </c>
      <c r="AA267">
        <f>IF($AL267="","",INDEX('04_調査結果'!$T$5:$T$404,$AL267))</f>
        <v/>
      </c>
      <c r="AB267">
        <f>IF($AL267="","",INDEX('04_調査結果'!$U$5:$U$404,$AL267))</f>
        <v/>
      </c>
      <c r="AC267">
        <f>IF($AL267="","",INDEX('04_調査結果'!$V$5:$V$404,$AL267))</f>
        <v/>
      </c>
      <c r="AD267">
        <f>IF($AL267="","",INDEX('04_調査結果'!$W$5:$W$404,$AL267))</f>
        <v/>
      </c>
      <c r="AE267">
        <f>IF($AL267="","",INDEX('04_調査結果'!$X$5:$X$404,$AL267))</f>
        <v/>
      </c>
      <c r="AF267">
        <f>IF($AL267="","",INDEX('04_調査結果'!$Y$5:$Y$404,$AL267))</f>
        <v/>
      </c>
      <c r="AG267">
        <f>IF($AL267="","",INDEX('04_調査結果'!$Z$5:$Z$404,$AL267))</f>
        <v/>
      </c>
      <c r="AH267">
        <f>IF($AL267="","",INDEX('04_調査結果'!$AK$5:$AK$404,$AL267))</f>
        <v/>
      </c>
      <c r="AI267">
        <f>IF($AL267="","",INDEX('04_調査結果'!$AH$5:$AH$404,$AL267)&amp;"")</f>
        <v/>
      </c>
      <c r="AJ267">
        <f>IF($AL267="","",INDEX('04_調査結果'!$AA$5:$AA$404,$AL267)&amp;"")</f>
        <v/>
      </c>
      <c r="AK267">
        <f>IF($AL267="","",INDEX('04_調査結果'!$AC$5:$AC$404,$AL267)&amp;"")</f>
        <v/>
      </c>
      <c r="AL267" s="34">
        <f>IFERROR(MATCH(ROW()-4,'04_調査結果'!$AZ$5:$AZ$404,0),"")</f>
        <v/>
      </c>
    </row>
    <row r="268">
      <c r="A268">
        <f>IF($AL268="","",'01_設定'!$C$36)</f>
        <v/>
      </c>
      <c r="B268">
        <f>IF($AL268="","",'01_設定'!$C$5)</f>
        <v/>
      </c>
      <c r="C268">
        <f>IF($AL268="","",'01_設定'!$C$6)</f>
        <v/>
      </c>
      <c r="D268" s="36">
        <f>IF($AL268="","",'01_設定'!$C$22)</f>
        <v/>
      </c>
      <c r="E268" s="36">
        <f>IF($AL268="","",'01_設定'!$C$23)</f>
        <v/>
      </c>
      <c r="F268">
        <f>IF($AL268="","",'01_設定'!$C$32)</f>
        <v/>
      </c>
      <c r="G268">
        <f>IF($AL268="","",ROW()-4)</f>
        <v/>
      </c>
      <c r="H268">
        <f>IF($AL268="","",INDEX('04_調査結果'!$AO$5:$AO$404,$AL268))</f>
        <v/>
      </c>
      <c r="I268">
        <f>IF($AL268="","",IFERROR(INDEX('M2_区分マスタ'!$I$5:$I$10,INDEX('04_調査結果'!$AP$5:$AP$404,$AL268)),""))</f>
        <v/>
      </c>
      <c r="J268">
        <f>IF($AL268="","",INDEX('04_調査結果'!$BE$5:$BE$404,$AL268)&amp;"")</f>
        <v/>
      </c>
      <c r="K268">
        <f>IF($AL268="","",INDEX('04_調査結果'!$F$5:$F$404,$AL268)&amp;"")</f>
        <v/>
      </c>
      <c r="L268">
        <f>IF($AL268="","",INDEX('04_調査結果'!$G$5:$G$404,$AL268)&amp;"")</f>
        <v/>
      </c>
      <c r="M268">
        <f>IF($AL268="","",INDEX('04_調査結果'!$AQ$5:$AQ$404,$AL268)&amp;"")</f>
        <v/>
      </c>
      <c r="N268">
        <f>IF($AL268="","",IFERROR(INDEX('M1_類型マスタ'!$B$5:$B$19,MATCH(M268,'M1_類型マスタ'!$A$5:$A$19,0)),""))</f>
        <v/>
      </c>
      <c r="O268">
        <f>IF($AL268="","",INDEX('04_調査結果'!$I$5:$I$404,$AL268)&amp;"")</f>
        <v/>
      </c>
      <c r="P268">
        <f>IF($AL268="","",INDEX('04_調査結果'!$J$5:$J$404,$AL268)&amp;"")</f>
        <v/>
      </c>
      <c r="Q268">
        <f>IF($AL268="","",INDEX('04_調査結果'!$K$5:$K$404,$AL268)&amp;"")</f>
        <v/>
      </c>
      <c r="R268">
        <f>IF($AL268="","",INDEX('04_調査結果'!$L$5:$L$404,$AL268)&amp;"")</f>
        <v/>
      </c>
      <c r="S268">
        <f>IF($AL268="","",INDEX('04_調査結果'!$M$5:$M$404,$AL268)&amp;"")</f>
        <v/>
      </c>
      <c r="T268" s="33">
        <f>IF($AL268="","",IF(INDEX('04_調査結果'!$AE$5:$AE$404,$AL268)&lt;&gt;"",INDEX('04_調査結果'!$AE$5:$AE$404,$AL268),INDEX('04_調査結果'!$AS$5:$AS$404,$AL268)))</f>
        <v/>
      </c>
      <c r="U268" s="33">
        <f>IF($AL268="","",IF(INDEX('04_調査結果'!$AF$5:$AF$404,$AL268)&lt;&gt;"",INDEX('04_調査結果'!$AF$5:$AF$404,$AL268),INDEX('04_調査結果'!$AT$5:$AT$404,$AL268)))</f>
        <v/>
      </c>
      <c r="V268" s="33">
        <f>IF($AL268="","",INDEX('04_調査結果'!$AI$5:$AI$404,$AL268))</f>
        <v/>
      </c>
      <c r="W268">
        <f>IF($AL268="","",INDEX('04_調査結果'!$AU$5:$AU$404,$AL268))</f>
        <v/>
      </c>
      <c r="X268" s="37">
        <f>IF($AL268="","",INDEX('04_調査結果'!$AW$5:$AW$404,$AL268))</f>
        <v/>
      </c>
      <c r="Y268" s="37">
        <f>IF($AL268="","",INDEX('04_調査結果'!$AX$5:$AX$404,$AL268))</f>
        <v/>
      </c>
      <c r="Z268">
        <f>IF($AL268="","",INDEX('04_調査結果'!$S$5:$S$404,$AL268)&amp;"")</f>
        <v/>
      </c>
      <c r="AA268">
        <f>IF($AL268="","",INDEX('04_調査結果'!$T$5:$T$404,$AL268))</f>
        <v/>
      </c>
      <c r="AB268">
        <f>IF($AL268="","",INDEX('04_調査結果'!$U$5:$U$404,$AL268))</f>
        <v/>
      </c>
      <c r="AC268">
        <f>IF($AL268="","",INDEX('04_調査結果'!$V$5:$V$404,$AL268))</f>
        <v/>
      </c>
      <c r="AD268">
        <f>IF($AL268="","",INDEX('04_調査結果'!$W$5:$W$404,$AL268))</f>
        <v/>
      </c>
      <c r="AE268">
        <f>IF($AL268="","",INDEX('04_調査結果'!$X$5:$X$404,$AL268))</f>
        <v/>
      </c>
      <c r="AF268">
        <f>IF($AL268="","",INDEX('04_調査結果'!$Y$5:$Y$404,$AL268))</f>
        <v/>
      </c>
      <c r="AG268">
        <f>IF($AL268="","",INDEX('04_調査結果'!$Z$5:$Z$404,$AL268))</f>
        <v/>
      </c>
      <c r="AH268">
        <f>IF($AL268="","",INDEX('04_調査結果'!$AK$5:$AK$404,$AL268))</f>
        <v/>
      </c>
      <c r="AI268">
        <f>IF($AL268="","",INDEX('04_調査結果'!$AH$5:$AH$404,$AL268)&amp;"")</f>
        <v/>
      </c>
      <c r="AJ268">
        <f>IF($AL268="","",INDEX('04_調査結果'!$AA$5:$AA$404,$AL268)&amp;"")</f>
        <v/>
      </c>
      <c r="AK268">
        <f>IF($AL268="","",INDEX('04_調査結果'!$AC$5:$AC$404,$AL268)&amp;"")</f>
        <v/>
      </c>
      <c r="AL268" s="34">
        <f>IFERROR(MATCH(ROW()-4,'04_調査結果'!$AZ$5:$AZ$404,0),"")</f>
        <v/>
      </c>
    </row>
    <row r="269">
      <c r="A269">
        <f>IF($AL269="","",'01_設定'!$C$36)</f>
        <v/>
      </c>
      <c r="B269">
        <f>IF($AL269="","",'01_設定'!$C$5)</f>
        <v/>
      </c>
      <c r="C269">
        <f>IF($AL269="","",'01_設定'!$C$6)</f>
        <v/>
      </c>
      <c r="D269" s="36">
        <f>IF($AL269="","",'01_設定'!$C$22)</f>
        <v/>
      </c>
      <c r="E269" s="36">
        <f>IF($AL269="","",'01_設定'!$C$23)</f>
        <v/>
      </c>
      <c r="F269">
        <f>IF($AL269="","",'01_設定'!$C$32)</f>
        <v/>
      </c>
      <c r="G269">
        <f>IF($AL269="","",ROW()-4)</f>
        <v/>
      </c>
      <c r="H269">
        <f>IF($AL269="","",INDEX('04_調査結果'!$AO$5:$AO$404,$AL269))</f>
        <v/>
      </c>
      <c r="I269">
        <f>IF($AL269="","",IFERROR(INDEX('M2_区分マスタ'!$I$5:$I$10,INDEX('04_調査結果'!$AP$5:$AP$404,$AL269)),""))</f>
        <v/>
      </c>
      <c r="J269">
        <f>IF($AL269="","",INDEX('04_調査結果'!$BE$5:$BE$404,$AL269)&amp;"")</f>
        <v/>
      </c>
      <c r="K269">
        <f>IF($AL269="","",INDEX('04_調査結果'!$F$5:$F$404,$AL269)&amp;"")</f>
        <v/>
      </c>
      <c r="L269">
        <f>IF($AL269="","",INDEX('04_調査結果'!$G$5:$G$404,$AL269)&amp;"")</f>
        <v/>
      </c>
      <c r="M269">
        <f>IF($AL269="","",INDEX('04_調査結果'!$AQ$5:$AQ$404,$AL269)&amp;"")</f>
        <v/>
      </c>
      <c r="N269">
        <f>IF($AL269="","",IFERROR(INDEX('M1_類型マスタ'!$B$5:$B$19,MATCH(M269,'M1_類型マスタ'!$A$5:$A$19,0)),""))</f>
        <v/>
      </c>
      <c r="O269">
        <f>IF($AL269="","",INDEX('04_調査結果'!$I$5:$I$404,$AL269)&amp;"")</f>
        <v/>
      </c>
      <c r="P269">
        <f>IF($AL269="","",INDEX('04_調査結果'!$J$5:$J$404,$AL269)&amp;"")</f>
        <v/>
      </c>
      <c r="Q269">
        <f>IF($AL269="","",INDEX('04_調査結果'!$K$5:$K$404,$AL269)&amp;"")</f>
        <v/>
      </c>
      <c r="R269">
        <f>IF($AL269="","",INDEX('04_調査結果'!$L$5:$L$404,$AL269)&amp;"")</f>
        <v/>
      </c>
      <c r="S269">
        <f>IF($AL269="","",INDEX('04_調査結果'!$M$5:$M$404,$AL269)&amp;"")</f>
        <v/>
      </c>
      <c r="T269" s="33">
        <f>IF($AL269="","",IF(INDEX('04_調査結果'!$AE$5:$AE$404,$AL269)&lt;&gt;"",INDEX('04_調査結果'!$AE$5:$AE$404,$AL269),INDEX('04_調査結果'!$AS$5:$AS$404,$AL269)))</f>
        <v/>
      </c>
      <c r="U269" s="33">
        <f>IF($AL269="","",IF(INDEX('04_調査結果'!$AF$5:$AF$404,$AL269)&lt;&gt;"",INDEX('04_調査結果'!$AF$5:$AF$404,$AL269),INDEX('04_調査結果'!$AT$5:$AT$404,$AL269)))</f>
        <v/>
      </c>
      <c r="V269" s="33">
        <f>IF($AL269="","",INDEX('04_調査結果'!$AI$5:$AI$404,$AL269))</f>
        <v/>
      </c>
      <c r="W269">
        <f>IF($AL269="","",INDEX('04_調査結果'!$AU$5:$AU$404,$AL269))</f>
        <v/>
      </c>
      <c r="X269" s="37">
        <f>IF($AL269="","",INDEX('04_調査結果'!$AW$5:$AW$404,$AL269))</f>
        <v/>
      </c>
      <c r="Y269" s="37">
        <f>IF($AL269="","",INDEX('04_調査結果'!$AX$5:$AX$404,$AL269))</f>
        <v/>
      </c>
      <c r="Z269">
        <f>IF($AL269="","",INDEX('04_調査結果'!$S$5:$S$404,$AL269)&amp;"")</f>
        <v/>
      </c>
      <c r="AA269">
        <f>IF($AL269="","",INDEX('04_調査結果'!$T$5:$T$404,$AL269))</f>
        <v/>
      </c>
      <c r="AB269">
        <f>IF($AL269="","",INDEX('04_調査結果'!$U$5:$U$404,$AL269))</f>
        <v/>
      </c>
      <c r="AC269">
        <f>IF($AL269="","",INDEX('04_調査結果'!$V$5:$V$404,$AL269))</f>
        <v/>
      </c>
      <c r="AD269">
        <f>IF($AL269="","",INDEX('04_調査結果'!$W$5:$W$404,$AL269))</f>
        <v/>
      </c>
      <c r="AE269">
        <f>IF($AL269="","",INDEX('04_調査結果'!$X$5:$X$404,$AL269))</f>
        <v/>
      </c>
      <c r="AF269">
        <f>IF($AL269="","",INDEX('04_調査結果'!$Y$5:$Y$404,$AL269))</f>
        <v/>
      </c>
      <c r="AG269">
        <f>IF($AL269="","",INDEX('04_調査結果'!$Z$5:$Z$404,$AL269))</f>
        <v/>
      </c>
      <c r="AH269">
        <f>IF($AL269="","",INDEX('04_調査結果'!$AK$5:$AK$404,$AL269))</f>
        <v/>
      </c>
      <c r="AI269">
        <f>IF($AL269="","",INDEX('04_調査結果'!$AH$5:$AH$404,$AL269)&amp;"")</f>
        <v/>
      </c>
      <c r="AJ269">
        <f>IF($AL269="","",INDEX('04_調査結果'!$AA$5:$AA$404,$AL269)&amp;"")</f>
        <v/>
      </c>
      <c r="AK269">
        <f>IF($AL269="","",INDEX('04_調査結果'!$AC$5:$AC$404,$AL269)&amp;"")</f>
        <v/>
      </c>
      <c r="AL269" s="34">
        <f>IFERROR(MATCH(ROW()-4,'04_調査結果'!$AZ$5:$AZ$404,0),"")</f>
        <v/>
      </c>
    </row>
    <row r="270">
      <c r="A270">
        <f>IF($AL270="","",'01_設定'!$C$36)</f>
        <v/>
      </c>
      <c r="B270">
        <f>IF($AL270="","",'01_設定'!$C$5)</f>
        <v/>
      </c>
      <c r="C270">
        <f>IF($AL270="","",'01_設定'!$C$6)</f>
        <v/>
      </c>
      <c r="D270" s="36">
        <f>IF($AL270="","",'01_設定'!$C$22)</f>
        <v/>
      </c>
      <c r="E270" s="36">
        <f>IF($AL270="","",'01_設定'!$C$23)</f>
        <v/>
      </c>
      <c r="F270">
        <f>IF($AL270="","",'01_設定'!$C$32)</f>
        <v/>
      </c>
      <c r="G270">
        <f>IF($AL270="","",ROW()-4)</f>
        <v/>
      </c>
      <c r="H270">
        <f>IF($AL270="","",INDEX('04_調査結果'!$AO$5:$AO$404,$AL270))</f>
        <v/>
      </c>
      <c r="I270">
        <f>IF($AL270="","",IFERROR(INDEX('M2_区分マスタ'!$I$5:$I$10,INDEX('04_調査結果'!$AP$5:$AP$404,$AL270)),""))</f>
        <v/>
      </c>
      <c r="J270">
        <f>IF($AL270="","",INDEX('04_調査結果'!$BE$5:$BE$404,$AL270)&amp;"")</f>
        <v/>
      </c>
      <c r="K270">
        <f>IF($AL270="","",INDEX('04_調査結果'!$F$5:$F$404,$AL270)&amp;"")</f>
        <v/>
      </c>
      <c r="L270">
        <f>IF($AL270="","",INDEX('04_調査結果'!$G$5:$G$404,$AL270)&amp;"")</f>
        <v/>
      </c>
      <c r="M270">
        <f>IF($AL270="","",INDEX('04_調査結果'!$AQ$5:$AQ$404,$AL270)&amp;"")</f>
        <v/>
      </c>
      <c r="N270">
        <f>IF($AL270="","",IFERROR(INDEX('M1_類型マスタ'!$B$5:$B$19,MATCH(M270,'M1_類型マスタ'!$A$5:$A$19,0)),""))</f>
        <v/>
      </c>
      <c r="O270">
        <f>IF($AL270="","",INDEX('04_調査結果'!$I$5:$I$404,$AL270)&amp;"")</f>
        <v/>
      </c>
      <c r="P270">
        <f>IF($AL270="","",INDEX('04_調査結果'!$J$5:$J$404,$AL270)&amp;"")</f>
        <v/>
      </c>
      <c r="Q270">
        <f>IF($AL270="","",INDEX('04_調査結果'!$K$5:$K$404,$AL270)&amp;"")</f>
        <v/>
      </c>
      <c r="R270">
        <f>IF($AL270="","",INDEX('04_調査結果'!$L$5:$L$404,$AL270)&amp;"")</f>
        <v/>
      </c>
      <c r="S270">
        <f>IF($AL270="","",INDEX('04_調査結果'!$M$5:$M$404,$AL270)&amp;"")</f>
        <v/>
      </c>
      <c r="T270" s="33">
        <f>IF($AL270="","",IF(INDEX('04_調査結果'!$AE$5:$AE$404,$AL270)&lt;&gt;"",INDEX('04_調査結果'!$AE$5:$AE$404,$AL270),INDEX('04_調査結果'!$AS$5:$AS$404,$AL270)))</f>
        <v/>
      </c>
      <c r="U270" s="33">
        <f>IF($AL270="","",IF(INDEX('04_調査結果'!$AF$5:$AF$404,$AL270)&lt;&gt;"",INDEX('04_調査結果'!$AF$5:$AF$404,$AL270),INDEX('04_調査結果'!$AT$5:$AT$404,$AL270)))</f>
        <v/>
      </c>
      <c r="V270" s="33">
        <f>IF($AL270="","",INDEX('04_調査結果'!$AI$5:$AI$404,$AL270))</f>
        <v/>
      </c>
      <c r="W270">
        <f>IF($AL270="","",INDEX('04_調査結果'!$AU$5:$AU$404,$AL270))</f>
        <v/>
      </c>
      <c r="X270" s="37">
        <f>IF($AL270="","",INDEX('04_調査結果'!$AW$5:$AW$404,$AL270))</f>
        <v/>
      </c>
      <c r="Y270" s="37">
        <f>IF($AL270="","",INDEX('04_調査結果'!$AX$5:$AX$404,$AL270))</f>
        <v/>
      </c>
      <c r="Z270">
        <f>IF($AL270="","",INDEX('04_調査結果'!$S$5:$S$404,$AL270)&amp;"")</f>
        <v/>
      </c>
      <c r="AA270">
        <f>IF($AL270="","",INDEX('04_調査結果'!$T$5:$T$404,$AL270))</f>
        <v/>
      </c>
      <c r="AB270">
        <f>IF($AL270="","",INDEX('04_調査結果'!$U$5:$U$404,$AL270))</f>
        <v/>
      </c>
      <c r="AC270">
        <f>IF($AL270="","",INDEX('04_調査結果'!$V$5:$V$404,$AL270))</f>
        <v/>
      </c>
      <c r="AD270">
        <f>IF($AL270="","",INDEX('04_調査結果'!$W$5:$W$404,$AL270))</f>
        <v/>
      </c>
      <c r="AE270">
        <f>IF($AL270="","",INDEX('04_調査結果'!$X$5:$X$404,$AL270))</f>
        <v/>
      </c>
      <c r="AF270">
        <f>IF($AL270="","",INDEX('04_調査結果'!$Y$5:$Y$404,$AL270))</f>
        <v/>
      </c>
      <c r="AG270">
        <f>IF($AL270="","",INDEX('04_調査結果'!$Z$5:$Z$404,$AL270))</f>
        <v/>
      </c>
      <c r="AH270">
        <f>IF($AL270="","",INDEX('04_調査結果'!$AK$5:$AK$404,$AL270))</f>
        <v/>
      </c>
      <c r="AI270">
        <f>IF($AL270="","",INDEX('04_調査結果'!$AH$5:$AH$404,$AL270)&amp;"")</f>
        <v/>
      </c>
      <c r="AJ270">
        <f>IF($AL270="","",INDEX('04_調査結果'!$AA$5:$AA$404,$AL270)&amp;"")</f>
        <v/>
      </c>
      <c r="AK270">
        <f>IF($AL270="","",INDEX('04_調査結果'!$AC$5:$AC$404,$AL270)&amp;"")</f>
        <v/>
      </c>
      <c r="AL270" s="34">
        <f>IFERROR(MATCH(ROW()-4,'04_調査結果'!$AZ$5:$AZ$404,0),"")</f>
        <v/>
      </c>
    </row>
    <row r="271">
      <c r="A271">
        <f>IF($AL271="","",'01_設定'!$C$36)</f>
        <v/>
      </c>
      <c r="B271">
        <f>IF($AL271="","",'01_設定'!$C$5)</f>
        <v/>
      </c>
      <c r="C271">
        <f>IF($AL271="","",'01_設定'!$C$6)</f>
        <v/>
      </c>
      <c r="D271" s="36">
        <f>IF($AL271="","",'01_設定'!$C$22)</f>
        <v/>
      </c>
      <c r="E271" s="36">
        <f>IF($AL271="","",'01_設定'!$C$23)</f>
        <v/>
      </c>
      <c r="F271">
        <f>IF($AL271="","",'01_設定'!$C$32)</f>
        <v/>
      </c>
      <c r="G271">
        <f>IF($AL271="","",ROW()-4)</f>
        <v/>
      </c>
      <c r="H271">
        <f>IF($AL271="","",INDEX('04_調査結果'!$AO$5:$AO$404,$AL271))</f>
        <v/>
      </c>
      <c r="I271">
        <f>IF($AL271="","",IFERROR(INDEX('M2_区分マスタ'!$I$5:$I$10,INDEX('04_調査結果'!$AP$5:$AP$404,$AL271)),""))</f>
        <v/>
      </c>
      <c r="J271">
        <f>IF($AL271="","",INDEX('04_調査結果'!$BE$5:$BE$404,$AL271)&amp;"")</f>
        <v/>
      </c>
      <c r="K271">
        <f>IF($AL271="","",INDEX('04_調査結果'!$F$5:$F$404,$AL271)&amp;"")</f>
        <v/>
      </c>
      <c r="L271">
        <f>IF($AL271="","",INDEX('04_調査結果'!$G$5:$G$404,$AL271)&amp;"")</f>
        <v/>
      </c>
      <c r="M271">
        <f>IF($AL271="","",INDEX('04_調査結果'!$AQ$5:$AQ$404,$AL271)&amp;"")</f>
        <v/>
      </c>
      <c r="N271">
        <f>IF($AL271="","",IFERROR(INDEX('M1_類型マスタ'!$B$5:$B$19,MATCH(M271,'M1_類型マスタ'!$A$5:$A$19,0)),""))</f>
        <v/>
      </c>
      <c r="O271">
        <f>IF($AL271="","",INDEX('04_調査結果'!$I$5:$I$404,$AL271)&amp;"")</f>
        <v/>
      </c>
      <c r="P271">
        <f>IF($AL271="","",INDEX('04_調査結果'!$J$5:$J$404,$AL271)&amp;"")</f>
        <v/>
      </c>
      <c r="Q271">
        <f>IF($AL271="","",INDEX('04_調査結果'!$K$5:$K$404,$AL271)&amp;"")</f>
        <v/>
      </c>
      <c r="R271">
        <f>IF($AL271="","",INDEX('04_調査結果'!$L$5:$L$404,$AL271)&amp;"")</f>
        <v/>
      </c>
      <c r="S271">
        <f>IF($AL271="","",INDEX('04_調査結果'!$M$5:$M$404,$AL271)&amp;"")</f>
        <v/>
      </c>
      <c r="T271" s="33">
        <f>IF($AL271="","",IF(INDEX('04_調査結果'!$AE$5:$AE$404,$AL271)&lt;&gt;"",INDEX('04_調査結果'!$AE$5:$AE$404,$AL271),INDEX('04_調査結果'!$AS$5:$AS$404,$AL271)))</f>
        <v/>
      </c>
      <c r="U271" s="33">
        <f>IF($AL271="","",IF(INDEX('04_調査結果'!$AF$5:$AF$404,$AL271)&lt;&gt;"",INDEX('04_調査結果'!$AF$5:$AF$404,$AL271),INDEX('04_調査結果'!$AT$5:$AT$404,$AL271)))</f>
        <v/>
      </c>
      <c r="V271" s="33">
        <f>IF($AL271="","",INDEX('04_調査結果'!$AI$5:$AI$404,$AL271))</f>
        <v/>
      </c>
      <c r="W271">
        <f>IF($AL271="","",INDEX('04_調査結果'!$AU$5:$AU$404,$AL271))</f>
        <v/>
      </c>
      <c r="X271" s="37">
        <f>IF($AL271="","",INDEX('04_調査結果'!$AW$5:$AW$404,$AL271))</f>
        <v/>
      </c>
      <c r="Y271" s="37">
        <f>IF($AL271="","",INDEX('04_調査結果'!$AX$5:$AX$404,$AL271))</f>
        <v/>
      </c>
      <c r="Z271">
        <f>IF($AL271="","",INDEX('04_調査結果'!$S$5:$S$404,$AL271)&amp;"")</f>
        <v/>
      </c>
      <c r="AA271">
        <f>IF($AL271="","",INDEX('04_調査結果'!$T$5:$T$404,$AL271))</f>
        <v/>
      </c>
      <c r="AB271">
        <f>IF($AL271="","",INDEX('04_調査結果'!$U$5:$U$404,$AL271))</f>
        <v/>
      </c>
      <c r="AC271">
        <f>IF($AL271="","",INDEX('04_調査結果'!$V$5:$V$404,$AL271))</f>
        <v/>
      </c>
      <c r="AD271">
        <f>IF($AL271="","",INDEX('04_調査結果'!$W$5:$W$404,$AL271))</f>
        <v/>
      </c>
      <c r="AE271">
        <f>IF($AL271="","",INDEX('04_調査結果'!$X$5:$X$404,$AL271))</f>
        <v/>
      </c>
      <c r="AF271">
        <f>IF($AL271="","",INDEX('04_調査結果'!$Y$5:$Y$404,$AL271))</f>
        <v/>
      </c>
      <c r="AG271">
        <f>IF($AL271="","",INDEX('04_調査結果'!$Z$5:$Z$404,$AL271))</f>
        <v/>
      </c>
      <c r="AH271">
        <f>IF($AL271="","",INDEX('04_調査結果'!$AK$5:$AK$404,$AL271))</f>
        <v/>
      </c>
      <c r="AI271">
        <f>IF($AL271="","",INDEX('04_調査結果'!$AH$5:$AH$404,$AL271)&amp;"")</f>
        <v/>
      </c>
      <c r="AJ271">
        <f>IF($AL271="","",INDEX('04_調査結果'!$AA$5:$AA$404,$AL271)&amp;"")</f>
        <v/>
      </c>
      <c r="AK271">
        <f>IF($AL271="","",INDEX('04_調査結果'!$AC$5:$AC$404,$AL271)&amp;"")</f>
        <v/>
      </c>
      <c r="AL271" s="34">
        <f>IFERROR(MATCH(ROW()-4,'04_調査結果'!$AZ$5:$AZ$404,0),"")</f>
        <v/>
      </c>
    </row>
    <row r="272">
      <c r="A272">
        <f>IF($AL272="","",'01_設定'!$C$36)</f>
        <v/>
      </c>
      <c r="B272">
        <f>IF($AL272="","",'01_設定'!$C$5)</f>
        <v/>
      </c>
      <c r="C272">
        <f>IF($AL272="","",'01_設定'!$C$6)</f>
        <v/>
      </c>
      <c r="D272" s="36">
        <f>IF($AL272="","",'01_設定'!$C$22)</f>
        <v/>
      </c>
      <c r="E272" s="36">
        <f>IF($AL272="","",'01_設定'!$C$23)</f>
        <v/>
      </c>
      <c r="F272">
        <f>IF($AL272="","",'01_設定'!$C$32)</f>
        <v/>
      </c>
      <c r="G272">
        <f>IF($AL272="","",ROW()-4)</f>
        <v/>
      </c>
      <c r="H272">
        <f>IF($AL272="","",INDEX('04_調査結果'!$AO$5:$AO$404,$AL272))</f>
        <v/>
      </c>
      <c r="I272">
        <f>IF($AL272="","",IFERROR(INDEX('M2_区分マスタ'!$I$5:$I$10,INDEX('04_調査結果'!$AP$5:$AP$404,$AL272)),""))</f>
        <v/>
      </c>
      <c r="J272">
        <f>IF($AL272="","",INDEX('04_調査結果'!$BE$5:$BE$404,$AL272)&amp;"")</f>
        <v/>
      </c>
      <c r="K272">
        <f>IF($AL272="","",INDEX('04_調査結果'!$F$5:$F$404,$AL272)&amp;"")</f>
        <v/>
      </c>
      <c r="L272">
        <f>IF($AL272="","",INDEX('04_調査結果'!$G$5:$G$404,$AL272)&amp;"")</f>
        <v/>
      </c>
      <c r="M272">
        <f>IF($AL272="","",INDEX('04_調査結果'!$AQ$5:$AQ$404,$AL272)&amp;"")</f>
        <v/>
      </c>
      <c r="N272">
        <f>IF($AL272="","",IFERROR(INDEX('M1_類型マスタ'!$B$5:$B$19,MATCH(M272,'M1_類型マスタ'!$A$5:$A$19,0)),""))</f>
        <v/>
      </c>
      <c r="O272">
        <f>IF($AL272="","",INDEX('04_調査結果'!$I$5:$I$404,$AL272)&amp;"")</f>
        <v/>
      </c>
      <c r="P272">
        <f>IF($AL272="","",INDEX('04_調査結果'!$J$5:$J$404,$AL272)&amp;"")</f>
        <v/>
      </c>
      <c r="Q272">
        <f>IF($AL272="","",INDEX('04_調査結果'!$K$5:$K$404,$AL272)&amp;"")</f>
        <v/>
      </c>
      <c r="R272">
        <f>IF($AL272="","",INDEX('04_調査結果'!$L$5:$L$404,$AL272)&amp;"")</f>
        <v/>
      </c>
      <c r="S272">
        <f>IF($AL272="","",INDEX('04_調査結果'!$M$5:$M$404,$AL272)&amp;"")</f>
        <v/>
      </c>
      <c r="T272" s="33">
        <f>IF($AL272="","",IF(INDEX('04_調査結果'!$AE$5:$AE$404,$AL272)&lt;&gt;"",INDEX('04_調査結果'!$AE$5:$AE$404,$AL272),INDEX('04_調査結果'!$AS$5:$AS$404,$AL272)))</f>
        <v/>
      </c>
      <c r="U272" s="33">
        <f>IF($AL272="","",IF(INDEX('04_調査結果'!$AF$5:$AF$404,$AL272)&lt;&gt;"",INDEX('04_調査結果'!$AF$5:$AF$404,$AL272),INDEX('04_調査結果'!$AT$5:$AT$404,$AL272)))</f>
        <v/>
      </c>
      <c r="V272" s="33">
        <f>IF($AL272="","",INDEX('04_調査結果'!$AI$5:$AI$404,$AL272))</f>
        <v/>
      </c>
      <c r="W272">
        <f>IF($AL272="","",INDEX('04_調査結果'!$AU$5:$AU$404,$AL272))</f>
        <v/>
      </c>
      <c r="X272" s="37">
        <f>IF($AL272="","",INDEX('04_調査結果'!$AW$5:$AW$404,$AL272))</f>
        <v/>
      </c>
      <c r="Y272" s="37">
        <f>IF($AL272="","",INDEX('04_調査結果'!$AX$5:$AX$404,$AL272))</f>
        <v/>
      </c>
      <c r="Z272">
        <f>IF($AL272="","",INDEX('04_調査結果'!$S$5:$S$404,$AL272)&amp;"")</f>
        <v/>
      </c>
      <c r="AA272">
        <f>IF($AL272="","",INDEX('04_調査結果'!$T$5:$T$404,$AL272))</f>
        <v/>
      </c>
      <c r="AB272">
        <f>IF($AL272="","",INDEX('04_調査結果'!$U$5:$U$404,$AL272))</f>
        <v/>
      </c>
      <c r="AC272">
        <f>IF($AL272="","",INDEX('04_調査結果'!$V$5:$V$404,$AL272))</f>
        <v/>
      </c>
      <c r="AD272">
        <f>IF($AL272="","",INDEX('04_調査結果'!$W$5:$W$404,$AL272))</f>
        <v/>
      </c>
      <c r="AE272">
        <f>IF($AL272="","",INDEX('04_調査結果'!$X$5:$X$404,$AL272))</f>
        <v/>
      </c>
      <c r="AF272">
        <f>IF($AL272="","",INDEX('04_調査結果'!$Y$5:$Y$404,$AL272))</f>
        <v/>
      </c>
      <c r="AG272">
        <f>IF($AL272="","",INDEX('04_調査結果'!$Z$5:$Z$404,$AL272))</f>
        <v/>
      </c>
      <c r="AH272">
        <f>IF($AL272="","",INDEX('04_調査結果'!$AK$5:$AK$404,$AL272))</f>
        <v/>
      </c>
      <c r="AI272">
        <f>IF($AL272="","",INDEX('04_調査結果'!$AH$5:$AH$404,$AL272)&amp;"")</f>
        <v/>
      </c>
      <c r="AJ272">
        <f>IF($AL272="","",INDEX('04_調査結果'!$AA$5:$AA$404,$AL272)&amp;"")</f>
        <v/>
      </c>
      <c r="AK272">
        <f>IF($AL272="","",INDEX('04_調査結果'!$AC$5:$AC$404,$AL272)&amp;"")</f>
        <v/>
      </c>
      <c r="AL272" s="34">
        <f>IFERROR(MATCH(ROW()-4,'04_調査結果'!$AZ$5:$AZ$404,0),"")</f>
        <v/>
      </c>
    </row>
    <row r="273">
      <c r="A273">
        <f>IF($AL273="","",'01_設定'!$C$36)</f>
        <v/>
      </c>
      <c r="B273">
        <f>IF($AL273="","",'01_設定'!$C$5)</f>
        <v/>
      </c>
      <c r="C273">
        <f>IF($AL273="","",'01_設定'!$C$6)</f>
        <v/>
      </c>
      <c r="D273" s="36">
        <f>IF($AL273="","",'01_設定'!$C$22)</f>
        <v/>
      </c>
      <c r="E273" s="36">
        <f>IF($AL273="","",'01_設定'!$C$23)</f>
        <v/>
      </c>
      <c r="F273">
        <f>IF($AL273="","",'01_設定'!$C$32)</f>
        <v/>
      </c>
      <c r="G273">
        <f>IF($AL273="","",ROW()-4)</f>
        <v/>
      </c>
      <c r="H273">
        <f>IF($AL273="","",INDEX('04_調査結果'!$AO$5:$AO$404,$AL273))</f>
        <v/>
      </c>
      <c r="I273">
        <f>IF($AL273="","",IFERROR(INDEX('M2_区分マスタ'!$I$5:$I$10,INDEX('04_調査結果'!$AP$5:$AP$404,$AL273)),""))</f>
        <v/>
      </c>
      <c r="J273">
        <f>IF($AL273="","",INDEX('04_調査結果'!$BE$5:$BE$404,$AL273)&amp;"")</f>
        <v/>
      </c>
      <c r="K273">
        <f>IF($AL273="","",INDEX('04_調査結果'!$F$5:$F$404,$AL273)&amp;"")</f>
        <v/>
      </c>
      <c r="L273">
        <f>IF($AL273="","",INDEX('04_調査結果'!$G$5:$G$404,$AL273)&amp;"")</f>
        <v/>
      </c>
      <c r="M273">
        <f>IF($AL273="","",INDEX('04_調査結果'!$AQ$5:$AQ$404,$AL273)&amp;"")</f>
        <v/>
      </c>
      <c r="N273">
        <f>IF($AL273="","",IFERROR(INDEX('M1_類型マスタ'!$B$5:$B$19,MATCH(M273,'M1_類型マスタ'!$A$5:$A$19,0)),""))</f>
        <v/>
      </c>
      <c r="O273">
        <f>IF($AL273="","",INDEX('04_調査結果'!$I$5:$I$404,$AL273)&amp;"")</f>
        <v/>
      </c>
      <c r="P273">
        <f>IF($AL273="","",INDEX('04_調査結果'!$J$5:$J$404,$AL273)&amp;"")</f>
        <v/>
      </c>
      <c r="Q273">
        <f>IF($AL273="","",INDEX('04_調査結果'!$K$5:$K$404,$AL273)&amp;"")</f>
        <v/>
      </c>
      <c r="R273">
        <f>IF($AL273="","",INDEX('04_調査結果'!$L$5:$L$404,$AL273)&amp;"")</f>
        <v/>
      </c>
      <c r="S273">
        <f>IF($AL273="","",INDEX('04_調査結果'!$M$5:$M$404,$AL273)&amp;"")</f>
        <v/>
      </c>
      <c r="T273" s="33">
        <f>IF($AL273="","",IF(INDEX('04_調査結果'!$AE$5:$AE$404,$AL273)&lt;&gt;"",INDEX('04_調査結果'!$AE$5:$AE$404,$AL273),INDEX('04_調査結果'!$AS$5:$AS$404,$AL273)))</f>
        <v/>
      </c>
      <c r="U273" s="33">
        <f>IF($AL273="","",IF(INDEX('04_調査結果'!$AF$5:$AF$404,$AL273)&lt;&gt;"",INDEX('04_調査結果'!$AF$5:$AF$404,$AL273),INDEX('04_調査結果'!$AT$5:$AT$404,$AL273)))</f>
        <v/>
      </c>
      <c r="V273" s="33">
        <f>IF($AL273="","",INDEX('04_調査結果'!$AI$5:$AI$404,$AL273))</f>
        <v/>
      </c>
      <c r="W273">
        <f>IF($AL273="","",INDEX('04_調査結果'!$AU$5:$AU$404,$AL273))</f>
        <v/>
      </c>
      <c r="X273" s="37">
        <f>IF($AL273="","",INDEX('04_調査結果'!$AW$5:$AW$404,$AL273))</f>
        <v/>
      </c>
      <c r="Y273" s="37">
        <f>IF($AL273="","",INDEX('04_調査結果'!$AX$5:$AX$404,$AL273))</f>
        <v/>
      </c>
      <c r="Z273">
        <f>IF($AL273="","",INDEX('04_調査結果'!$S$5:$S$404,$AL273)&amp;"")</f>
        <v/>
      </c>
      <c r="AA273">
        <f>IF($AL273="","",INDEX('04_調査結果'!$T$5:$T$404,$AL273))</f>
        <v/>
      </c>
      <c r="AB273">
        <f>IF($AL273="","",INDEX('04_調査結果'!$U$5:$U$404,$AL273))</f>
        <v/>
      </c>
      <c r="AC273">
        <f>IF($AL273="","",INDEX('04_調査結果'!$V$5:$V$404,$AL273))</f>
        <v/>
      </c>
      <c r="AD273">
        <f>IF($AL273="","",INDEX('04_調査結果'!$W$5:$W$404,$AL273))</f>
        <v/>
      </c>
      <c r="AE273">
        <f>IF($AL273="","",INDEX('04_調査結果'!$X$5:$X$404,$AL273))</f>
        <v/>
      </c>
      <c r="AF273">
        <f>IF($AL273="","",INDEX('04_調査結果'!$Y$5:$Y$404,$AL273))</f>
        <v/>
      </c>
      <c r="AG273">
        <f>IF($AL273="","",INDEX('04_調査結果'!$Z$5:$Z$404,$AL273))</f>
        <v/>
      </c>
      <c r="AH273">
        <f>IF($AL273="","",INDEX('04_調査結果'!$AK$5:$AK$404,$AL273))</f>
        <v/>
      </c>
      <c r="AI273">
        <f>IF($AL273="","",INDEX('04_調査結果'!$AH$5:$AH$404,$AL273)&amp;"")</f>
        <v/>
      </c>
      <c r="AJ273">
        <f>IF($AL273="","",INDEX('04_調査結果'!$AA$5:$AA$404,$AL273)&amp;"")</f>
        <v/>
      </c>
      <c r="AK273">
        <f>IF($AL273="","",INDEX('04_調査結果'!$AC$5:$AC$404,$AL273)&amp;"")</f>
        <v/>
      </c>
      <c r="AL273" s="34">
        <f>IFERROR(MATCH(ROW()-4,'04_調査結果'!$AZ$5:$AZ$404,0),"")</f>
        <v/>
      </c>
    </row>
    <row r="274">
      <c r="A274">
        <f>IF($AL274="","",'01_設定'!$C$36)</f>
        <v/>
      </c>
      <c r="B274">
        <f>IF($AL274="","",'01_設定'!$C$5)</f>
        <v/>
      </c>
      <c r="C274">
        <f>IF($AL274="","",'01_設定'!$C$6)</f>
        <v/>
      </c>
      <c r="D274" s="36">
        <f>IF($AL274="","",'01_設定'!$C$22)</f>
        <v/>
      </c>
      <c r="E274" s="36">
        <f>IF($AL274="","",'01_設定'!$C$23)</f>
        <v/>
      </c>
      <c r="F274">
        <f>IF($AL274="","",'01_設定'!$C$32)</f>
        <v/>
      </c>
      <c r="G274">
        <f>IF($AL274="","",ROW()-4)</f>
        <v/>
      </c>
      <c r="H274">
        <f>IF($AL274="","",INDEX('04_調査結果'!$AO$5:$AO$404,$AL274))</f>
        <v/>
      </c>
      <c r="I274">
        <f>IF($AL274="","",IFERROR(INDEX('M2_区分マスタ'!$I$5:$I$10,INDEX('04_調査結果'!$AP$5:$AP$404,$AL274)),""))</f>
        <v/>
      </c>
      <c r="J274">
        <f>IF($AL274="","",INDEX('04_調査結果'!$BE$5:$BE$404,$AL274)&amp;"")</f>
        <v/>
      </c>
      <c r="K274">
        <f>IF($AL274="","",INDEX('04_調査結果'!$F$5:$F$404,$AL274)&amp;"")</f>
        <v/>
      </c>
      <c r="L274">
        <f>IF($AL274="","",INDEX('04_調査結果'!$G$5:$G$404,$AL274)&amp;"")</f>
        <v/>
      </c>
      <c r="M274">
        <f>IF($AL274="","",INDEX('04_調査結果'!$AQ$5:$AQ$404,$AL274)&amp;"")</f>
        <v/>
      </c>
      <c r="N274">
        <f>IF($AL274="","",IFERROR(INDEX('M1_類型マスタ'!$B$5:$B$19,MATCH(M274,'M1_類型マスタ'!$A$5:$A$19,0)),""))</f>
        <v/>
      </c>
      <c r="O274">
        <f>IF($AL274="","",INDEX('04_調査結果'!$I$5:$I$404,$AL274)&amp;"")</f>
        <v/>
      </c>
      <c r="P274">
        <f>IF($AL274="","",INDEX('04_調査結果'!$J$5:$J$404,$AL274)&amp;"")</f>
        <v/>
      </c>
      <c r="Q274">
        <f>IF($AL274="","",INDEX('04_調査結果'!$K$5:$K$404,$AL274)&amp;"")</f>
        <v/>
      </c>
      <c r="R274">
        <f>IF($AL274="","",INDEX('04_調査結果'!$L$5:$L$404,$AL274)&amp;"")</f>
        <v/>
      </c>
      <c r="S274">
        <f>IF($AL274="","",INDEX('04_調査結果'!$M$5:$M$404,$AL274)&amp;"")</f>
        <v/>
      </c>
      <c r="T274" s="33">
        <f>IF($AL274="","",IF(INDEX('04_調査結果'!$AE$5:$AE$404,$AL274)&lt;&gt;"",INDEX('04_調査結果'!$AE$5:$AE$404,$AL274),INDEX('04_調査結果'!$AS$5:$AS$404,$AL274)))</f>
        <v/>
      </c>
      <c r="U274" s="33">
        <f>IF($AL274="","",IF(INDEX('04_調査結果'!$AF$5:$AF$404,$AL274)&lt;&gt;"",INDEX('04_調査結果'!$AF$5:$AF$404,$AL274),INDEX('04_調査結果'!$AT$5:$AT$404,$AL274)))</f>
        <v/>
      </c>
      <c r="V274" s="33">
        <f>IF($AL274="","",INDEX('04_調査結果'!$AI$5:$AI$404,$AL274))</f>
        <v/>
      </c>
      <c r="W274">
        <f>IF($AL274="","",INDEX('04_調査結果'!$AU$5:$AU$404,$AL274))</f>
        <v/>
      </c>
      <c r="X274" s="37">
        <f>IF($AL274="","",INDEX('04_調査結果'!$AW$5:$AW$404,$AL274))</f>
        <v/>
      </c>
      <c r="Y274" s="37">
        <f>IF($AL274="","",INDEX('04_調査結果'!$AX$5:$AX$404,$AL274))</f>
        <v/>
      </c>
      <c r="Z274">
        <f>IF($AL274="","",INDEX('04_調査結果'!$S$5:$S$404,$AL274)&amp;"")</f>
        <v/>
      </c>
      <c r="AA274">
        <f>IF($AL274="","",INDEX('04_調査結果'!$T$5:$T$404,$AL274))</f>
        <v/>
      </c>
      <c r="AB274">
        <f>IF($AL274="","",INDEX('04_調査結果'!$U$5:$U$404,$AL274))</f>
        <v/>
      </c>
      <c r="AC274">
        <f>IF($AL274="","",INDEX('04_調査結果'!$V$5:$V$404,$AL274))</f>
        <v/>
      </c>
      <c r="AD274">
        <f>IF($AL274="","",INDEX('04_調査結果'!$W$5:$W$404,$AL274))</f>
        <v/>
      </c>
      <c r="AE274">
        <f>IF($AL274="","",INDEX('04_調査結果'!$X$5:$X$404,$AL274))</f>
        <v/>
      </c>
      <c r="AF274">
        <f>IF($AL274="","",INDEX('04_調査結果'!$Y$5:$Y$404,$AL274))</f>
        <v/>
      </c>
      <c r="AG274">
        <f>IF($AL274="","",INDEX('04_調査結果'!$Z$5:$Z$404,$AL274))</f>
        <v/>
      </c>
      <c r="AH274">
        <f>IF($AL274="","",INDEX('04_調査結果'!$AK$5:$AK$404,$AL274))</f>
        <v/>
      </c>
      <c r="AI274">
        <f>IF($AL274="","",INDEX('04_調査結果'!$AH$5:$AH$404,$AL274)&amp;"")</f>
        <v/>
      </c>
      <c r="AJ274">
        <f>IF($AL274="","",INDEX('04_調査結果'!$AA$5:$AA$404,$AL274)&amp;"")</f>
        <v/>
      </c>
      <c r="AK274">
        <f>IF($AL274="","",INDEX('04_調査結果'!$AC$5:$AC$404,$AL274)&amp;"")</f>
        <v/>
      </c>
      <c r="AL274" s="34">
        <f>IFERROR(MATCH(ROW()-4,'04_調査結果'!$AZ$5:$AZ$404,0),"")</f>
        <v/>
      </c>
    </row>
    <row r="275">
      <c r="A275">
        <f>IF($AL275="","",'01_設定'!$C$36)</f>
        <v/>
      </c>
      <c r="B275">
        <f>IF($AL275="","",'01_設定'!$C$5)</f>
        <v/>
      </c>
      <c r="C275">
        <f>IF($AL275="","",'01_設定'!$C$6)</f>
        <v/>
      </c>
      <c r="D275" s="36">
        <f>IF($AL275="","",'01_設定'!$C$22)</f>
        <v/>
      </c>
      <c r="E275" s="36">
        <f>IF($AL275="","",'01_設定'!$C$23)</f>
        <v/>
      </c>
      <c r="F275">
        <f>IF($AL275="","",'01_設定'!$C$32)</f>
        <v/>
      </c>
      <c r="G275">
        <f>IF($AL275="","",ROW()-4)</f>
        <v/>
      </c>
      <c r="H275">
        <f>IF($AL275="","",INDEX('04_調査結果'!$AO$5:$AO$404,$AL275))</f>
        <v/>
      </c>
      <c r="I275">
        <f>IF($AL275="","",IFERROR(INDEX('M2_区分マスタ'!$I$5:$I$10,INDEX('04_調査結果'!$AP$5:$AP$404,$AL275)),""))</f>
        <v/>
      </c>
      <c r="J275">
        <f>IF($AL275="","",INDEX('04_調査結果'!$BE$5:$BE$404,$AL275)&amp;"")</f>
        <v/>
      </c>
      <c r="K275">
        <f>IF($AL275="","",INDEX('04_調査結果'!$F$5:$F$404,$AL275)&amp;"")</f>
        <v/>
      </c>
      <c r="L275">
        <f>IF($AL275="","",INDEX('04_調査結果'!$G$5:$G$404,$AL275)&amp;"")</f>
        <v/>
      </c>
      <c r="M275">
        <f>IF($AL275="","",INDEX('04_調査結果'!$AQ$5:$AQ$404,$AL275)&amp;"")</f>
        <v/>
      </c>
      <c r="N275">
        <f>IF($AL275="","",IFERROR(INDEX('M1_類型マスタ'!$B$5:$B$19,MATCH(M275,'M1_類型マスタ'!$A$5:$A$19,0)),""))</f>
        <v/>
      </c>
      <c r="O275">
        <f>IF($AL275="","",INDEX('04_調査結果'!$I$5:$I$404,$AL275)&amp;"")</f>
        <v/>
      </c>
      <c r="P275">
        <f>IF($AL275="","",INDEX('04_調査結果'!$J$5:$J$404,$AL275)&amp;"")</f>
        <v/>
      </c>
      <c r="Q275">
        <f>IF($AL275="","",INDEX('04_調査結果'!$K$5:$K$404,$AL275)&amp;"")</f>
        <v/>
      </c>
      <c r="R275">
        <f>IF($AL275="","",INDEX('04_調査結果'!$L$5:$L$404,$AL275)&amp;"")</f>
        <v/>
      </c>
      <c r="S275">
        <f>IF($AL275="","",INDEX('04_調査結果'!$M$5:$M$404,$AL275)&amp;"")</f>
        <v/>
      </c>
      <c r="T275" s="33">
        <f>IF($AL275="","",IF(INDEX('04_調査結果'!$AE$5:$AE$404,$AL275)&lt;&gt;"",INDEX('04_調査結果'!$AE$5:$AE$404,$AL275),INDEX('04_調査結果'!$AS$5:$AS$404,$AL275)))</f>
        <v/>
      </c>
      <c r="U275" s="33">
        <f>IF($AL275="","",IF(INDEX('04_調査結果'!$AF$5:$AF$404,$AL275)&lt;&gt;"",INDEX('04_調査結果'!$AF$5:$AF$404,$AL275),INDEX('04_調査結果'!$AT$5:$AT$404,$AL275)))</f>
        <v/>
      </c>
      <c r="V275" s="33">
        <f>IF($AL275="","",INDEX('04_調査結果'!$AI$5:$AI$404,$AL275))</f>
        <v/>
      </c>
      <c r="W275">
        <f>IF($AL275="","",INDEX('04_調査結果'!$AU$5:$AU$404,$AL275))</f>
        <v/>
      </c>
      <c r="X275" s="37">
        <f>IF($AL275="","",INDEX('04_調査結果'!$AW$5:$AW$404,$AL275))</f>
        <v/>
      </c>
      <c r="Y275" s="37">
        <f>IF($AL275="","",INDEX('04_調査結果'!$AX$5:$AX$404,$AL275))</f>
        <v/>
      </c>
      <c r="Z275">
        <f>IF($AL275="","",INDEX('04_調査結果'!$S$5:$S$404,$AL275)&amp;"")</f>
        <v/>
      </c>
      <c r="AA275">
        <f>IF($AL275="","",INDEX('04_調査結果'!$T$5:$T$404,$AL275))</f>
        <v/>
      </c>
      <c r="AB275">
        <f>IF($AL275="","",INDEX('04_調査結果'!$U$5:$U$404,$AL275))</f>
        <v/>
      </c>
      <c r="AC275">
        <f>IF($AL275="","",INDEX('04_調査結果'!$V$5:$V$404,$AL275))</f>
        <v/>
      </c>
      <c r="AD275">
        <f>IF($AL275="","",INDEX('04_調査結果'!$W$5:$W$404,$AL275))</f>
        <v/>
      </c>
      <c r="AE275">
        <f>IF($AL275="","",INDEX('04_調査結果'!$X$5:$X$404,$AL275))</f>
        <v/>
      </c>
      <c r="AF275">
        <f>IF($AL275="","",INDEX('04_調査結果'!$Y$5:$Y$404,$AL275))</f>
        <v/>
      </c>
      <c r="AG275">
        <f>IF($AL275="","",INDEX('04_調査結果'!$Z$5:$Z$404,$AL275))</f>
        <v/>
      </c>
      <c r="AH275">
        <f>IF($AL275="","",INDEX('04_調査結果'!$AK$5:$AK$404,$AL275))</f>
        <v/>
      </c>
      <c r="AI275">
        <f>IF($AL275="","",INDEX('04_調査結果'!$AH$5:$AH$404,$AL275)&amp;"")</f>
        <v/>
      </c>
      <c r="AJ275">
        <f>IF($AL275="","",INDEX('04_調査結果'!$AA$5:$AA$404,$AL275)&amp;"")</f>
        <v/>
      </c>
      <c r="AK275">
        <f>IF($AL275="","",INDEX('04_調査結果'!$AC$5:$AC$404,$AL275)&amp;"")</f>
        <v/>
      </c>
      <c r="AL275" s="34">
        <f>IFERROR(MATCH(ROW()-4,'04_調査結果'!$AZ$5:$AZ$404,0),"")</f>
        <v/>
      </c>
    </row>
    <row r="276">
      <c r="A276">
        <f>IF($AL276="","",'01_設定'!$C$36)</f>
        <v/>
      </c>
      <c r="B276">
        <f>IF($AL276="","",'01_設定'!$C$5)</f>
        <v/>
      </c>
      <c r="C276">
        <f>IF($AL276="","",'01_設定'!$C$6)</f>
        <v/>
      </c>
      <c r="D276" s="36">
        <f>IF($AL276="","",'01_設定'!$C$22)</f>
        <v/>
      </c>
      <c r="E276" s="36">
        <f>IF($AL276="","",'01_設定'!$C$23)</f>
        <v/>
      </c>
      <c r="F276">
        <f>IF($AL276="","",'01_設定'!$C$32)</f>
        <v/>
      </c>
      <c r="G276">
        <f>IF($AL276="","",ROW()-4)</f>
        <v/>
      </c>
      <c r="H276">
        <f>IF($AL276="","",INDEX('04_調査結果'!$AO$5:$AO$404,$AL276))</f>
        <v/>
      </c>
      <c r="I276">
        <f>IF($AL276="","",IFERROR(INDEX('M2_区分マスタ'!$I$5:$I$10,INDEX('04_調査結果'!$AP$5:$AP$404,$AL276)),""))</f>
        <v/>
      </c>
      <c r="J276">
        <f>IF($AL276="","",INDEX('04_調査結果'!$BE$5:$BE$404,$AL276)&amp;"")</f>
        <v/>
      </c>
      <c r="K276">
        <f>IF($AL276="","",INDEX('04_調査結果'!$F$5:$F$404,$AL276)&amp;"")</f>
        <v/>
      </c>
      <c r="L276">
        <f>IF($AL276="","",INDEX('04_調査結果'!$G$5:$G$404,$AL276)&amp;"")</f>
        <v/>
      </c>
      <c r="M276">
        <f>IF($AL276="","",INDEX('04_調査結果'!$AQ$5:$AQ$404,$AL276)&amp;"")</f>
        <v/>
      </c>
      <c r="N276">
        <f>IF($AL276="","",IFERROR(INDEX('M1_類型マスタ'!$B$5:$B$19,MATCH(M276,'M1_類型マスタ'!$A$5:$A$19,0)),""))</f>
        <v/>
      </c>
      <c r="O276">
        <f>IF($AL276="","",INDEX('04_調査結果'!$I$5:$I$404,$AL276)&amp;"")</f>
        <v/>
      </c>
      <c r="P276">
        <f>IF($AL276="","",INDEX('04_調査結果'!$J$5:$J$404,$AL276)&amp;"")</f>
        <v/>
      </c>
      <c r="Q276">
        <f>IF($AL276="","",INDEX('04_調査結果'!$K$5:$K$404,$AL276)&amp;"")</f>
        <v/>
      </c>
      <c r="R276">
        <f>IF($AL276="","",INDEX('04_調査結果'!$L$5:$L$404,$AL276)&amp;"")</f>
        <v/>
      </c>
      <c r="S276">
        <f>IF($AL276="","",INDEX('04_調査結果'!$M$5:$M$404,$AL276)&amp;"")</f>
        <v/>
      </c>
      <c r="T276" s="33">
        <f>IF($AL276="","",IF(INDEX('04_調査結果'!$AE$5:$AE$404,$AL276)&lt;&gt;"",INDEX('04_調査結果'!$AE$5:$AE$404,$AL276),INDEX('04_調査結果'!$AS$5:$AS$404,$AL276)))</f>
        <v/>
      </c>
      <c r="U276" s="33">
        <f>IF($AL276="","",IF(INDEX('04_調査結果'!$AF$5:$AF$404,$AL276)&lt;&gt;"",INDEX('04_調査結果'!$AF$5:$AF$404,$AL276),INDEX('04_調査結果'!$AT$5:$AT$404,$AL276)))</f>
        <v/>
      </c>
      <c r="V276" s="33">
        <f>IF($AL276="","",INDEX('04_調査結果'!$AI$5:$AI$404,$AL276))</f>
        <v/>
      </c>
      <c r="W276">
        <f>IF($AL276="","",INDEX('04_調査結果'!$AU$5:$AU$404,$AL276))</f>
        <v/>
      </c>
      <c r="X276" s="37">
        <f>IF($AL276="","",INDEX('04_調査結果'!$AW$5:$AW$404,$AL276))</f>
        <v/>
      </c>
      <c r="Y276" s="37">
        <f>IF($AL276="","",INDEX('04_調査結果'!$AX$5:$AX$404,$AL276))</f>
        <v/>
      </c>
      <c r="Z276">
        <f>IF($AL276="","",INDEX('04_調査結果'!$S$5:$S$404,$AL276)&amp;"")</f>
        <v/>
      </c>
      <c r="AA276">
        <f>IF($AL276="","",INDEX('04_調査結果'!$T$5:$T$404,$AL276))</f>
        <v/>
      </c>
      <c r="AB276">
        <f>IF($AL276="","",INDEX('04_調査結果'!$U$5:$U$404,$AL276))</f>
        <v/>
      </c>
      <c r="AC276">
        <f>IF($AL276="","",INDEX('04_調査結果'!$V$5:$V$404,$AL276))</f>
        <v/>
      </c>
      <c r="AD276">
        <f>IF($AL276="","",INDEX('04_調査結果'!$W$5:$W$404,$AL276))</f>
        <v/>
      </c>
      <c r="AE276">
        <f>IF($AL276="","",INDEX('04_調査結果'!$X$5:$X$404,$AL276))</f>
        <v/>
      </c>
      <c r="AF276">
        <f>IF($AL276="","",INDEX('04_調査結果'!$Y$5:$Y$404,$AL276))</f>
        <v/>
      </c>
      <c r="AG276">
        <f>IF($AL276="","",INDEX('04_調査結果'!$Z$5:$Z$404,$AL276))</f>
        <v/>
      </c>
      <c r="AH276">
        <f>IF($AL276="","",INDEX('04_調査結果'!$AK$5:$AK$404,$AL276))</f>
        <v/>
      </c>
      <c r="AI276">
        <f>IF($AL276="","",INDEX('04_調査結果'!$AH$5:$AH$404,$AL276)&amp;"")</f>
        <v/>
      </c>
      <c r="AJ276">
        <f>IF($AL276="","",INDEX('04_調査結果'!$AA$5:$AA$404,$AL276)&amp;"")</f>
        <v/>
      </c>
      <c r="AK276">
        <f>IF($AL276="","",INDEX('04_調査結果'!$AC$5:$AC$404,$AL276)&amp;"")</f>
        <v/>
      </c>
      <c r="AL276" s="34">
        <f>IFERROR(MATCH(ROW()-4,'04_調査結果'!$AZ$5:$AZ$404,0),"")</f>
        <v/>
      </c>
    </row>
    <row r="277">
      <c r="A277">
        <f>IF($AL277="","",'01_設定'!$C$36)</f>
        <v/>
      </c>
      <c r="B277">
        <f>IF($AL277="","",'01_設定'!$C$5)</f>
        <v/>
      </c>
      <c r="C277">
        <f>IF($AL277="","",'01_設定'!$C$6)</f>
        <v/>
      </c>
      <c r="D277" s="36">
        <f>IF($AL277="","",'01_設定'!$C$22)</f>
        <v/>
      </c>
      <c r="E277" s="36">
        <f>IF($AL277="","",'01_設定'!$C$23)</f>
        <v/>
      </c>
      <c r="F277">
        <f>IF($AL277="","",'01_設定'!$C$32)</f>
        <v/>
      </c>
      <c r="G277">
        <f>IF($AL277="","",ROW()-4)</f>
        <v/>
      </c>
      <c r="H277">
        <f>IF($AL277="","",INDEX('04_調査結果'!$AO$5:$AO$404,$AL277))</f>
        <v/>
      </c>
      <c r="I277">
        <f>IF($AL277="","",IFERROR(INDEX('M2_区分マスタ'!$I$5:$I$10,INDEX('04_調査結果'!$AP$5:$AP$404,$AL277)),""))</f>
        <v/>
      </c>
      <c r="J277">
        <f>IF($AL277="","",INDEX('04_調査結果'!$BE$5:$BE$404,$AL277)&amp;"")</f>
        <v/>
      </c>
      <c r="K277">
        <f>IF($AL277="","",INDEX('04_調査結果'!$F$5:$F$404,$AL277)&amp;"")</f>
        <v/>
      </c>
      <c r="L277">
        <f>IF($AL277="","",INDEX('04_調査結果'!$G$5:$G$404,$AL277)&amp;"")</f>
        <v/>
      </c>
      <c r="M277">
        <f>IF($AL277="","",INDEX('04_調査結果'!$AQ$5:$AQ$404,$AL277)&amp;"")</f>
        <v/>
      </c>
      <c r="N277">
        <f>IF($AL277="","",IFERROR(INDEX('M1_類型マスタ'!$B$5:$B$19,MATCH(M277,'M1_類型マスタ'!$A$5:$A$19,0)),""))</f>
        <v/>
      </c>
      <c r="O277">
        <f>IF($AL277="","",INDEX('04_調査結果'!$I$5:$I$404,$AL277)&amp;"")</f>
        <v/>
      </c>
      <c r="P277">
        <f>IF($AL277="","",INDEX('04_調査結果'!$J$5:$J$404,$AL277)&amp;"")</f>
        <v/>
      </c>
      <c r="Q277">
        <f>IF($AL277="","",INDEX('04_調査結果'!$K$5:$K$404,$AL277)&amp;"")</f>
        <v/>
      </c>
      <c r="R277">
        <f>IF($AL277="","",INDEX('04_調査結果'!$L$5:$L$404,$AL277)&amp;"")</f>
        <v/>
      </c>
      <c r="S277">
        <f>IF($AL277="","",INDEX('04_調査結果'!$M$5:$M$404,$AL277)&amp;"")</f>
        <v/>
      </c>
      <c r="T277" s="33">
        <f>IF($AL277="","",IF(INDEX('04_調査結果'!$AE$5:$AE$404,$AL277)&lt;&gt;"",INDEX('04_調査結果'!$AE$5:$AE$404,$AL277),INDEX('04_調査結果'!$AS$5:$AS$404,$AL277)))</f>
        <v/>
      </c>
      <c r="U277" s="33">
        <f>IF($AL277="","",IF(INDEX('04_調査結果'!$AF$5:$AF$404,$AL277)&lt;&gt;"",INDEX('04_調査結果'!$AF$5:$AF$404,$AL277),INDEX('04_調査結果'!$AT$5:$AT$404,$AL277)))</f>
        <v/>
      </c>
      <c r="V277" s="33">
        <f>IF($AL277="","",INDEX('04_調査結果'!$AI$5:$AI$404,$AL277))</f>
        <v/>
      </c>
      <c r="W277">
        <f>IF($AL277="","",INDEX('04_調査結果'!$AU$5:$AU$404,$AL277))</f>
        <v/>
      </c>
      <c r="X277" s="37">
        <f>IF($AL277="","",INDEX('04_調査結果'!$AW$5:$AW$404,$AL277))</f>
        <v/>
      </c>
      <c r="Y277" s="37">
        <f>IF($AL277="","",INDEX('04_調査結果'!$AX$5:$AX$404,$AL277))</f>
        <v/>
      </c>
      <c r="Z277">
        <f>IF($AL277="","",INDEX('04_調査結果'!$S$5:$S$404,$AL277)&amp;"")</f>
        <v/>
      </c>
      <c r="AA277">
        <f>IF($AL277="","",INDEX('04_調査結果'!$T$5:$T$404,$AL277))</f>
        <v/>
      </c>
      <c r="AB277">
        <f>IF($AL277="","",INDEX('04_調査結果'!$U$5:$U$404,$AL277))</f>
        <v/>
      </c>
      <c r="AC277">
        <f>IF($AL277="","",INDEX('04_調査結果'!$V$5:$V$404,$AL277))</f>
        <v/>
      </c>
      <c r="AD277">
        <f>IF($AL277="","",INDEX('04_調査結果'!$W$5:$W$404,$AL277))</f>
        <v/>
      </c>
      <c r="AE277">
        <f>IF($AL277="","",INDEX('04_調査結果'!$X$5:$X$404,$AL277))</f>
        <v/>
      </c>
      <c r="AF277">
        <f>IF($AL277="","",INDEX('04_調査結果'!$Y$5:$Y$404,$AL277))</f>
        <v/>
      </c>
      <c r="AG277">
        <f>IF($AL277="","",INDEX('04_調査結果'!$Z$5:$Z$404,$AL277))</f>
        <v/>
      </c>
      <c r="AH277">
        <f>IF($AL277="","",INDEX('04_調査結果'!$AK$5:$AK$404,$AL277))</f>
        <v/>
      </c>
      <c r="AI277">
        <f>IF($AL277="","",INDEX('04_調査結果'!$AH$5:$AH$404,$AL277)&amp;"")</f>
        <v/>
      </c>
      <c r="AJ277">
        <f>IF($AL277="","",INDEX('04_調査結果'!$AA$5:$AA$404,$AL277)&amp;"")</f>
        <v/>
      </c>
      <c r="AK277">
        <f>IF($AL277="","",INDEX('04_調査結果'!$AC$5:$AC$404,$AL277)&amp;"")</f>
        <v/>
      </c>
      <c r="AL277" s="34">
        <f>IFERROR(MATCH(ROW()-4,'04_調査結果'!$AZ$5:$AZ$404,0),"")</f>
        <v/>
      </c>
    </row>
    <row r="278">
      <c r="A278">
        <f>IF($AL278="","",'01_設定'!$C$36)</f>
        <v/>
      </c>
      <c r="B278">
        <f>IF($AL278="","",'01_設定'!$C$5)</f>
        <v/>
      </c>
      <c r="C278">
        <f>IF($AL278="","",'01_設定'!$C$6)</f>
        <v/>
      </c>
      <c r="D278" s="36">
        <f>IF($AL278="","",'01_設定'!$C$22)</f>
        <v/>
      </c>
      <c r="E278" s="36">
        <f>IF($AL278="","",'01_設定'!$C$23)</f>
        <v/>
      </c>
      <c r="F278">
        <f>IF($AL278="","",'01_設定'!$C$32)</f>
        <v/>
      </c>
      <c r="G278">
        <f>IF($AL278="","",ROW()-4)</f>
        <v/>
      </c>
      <c r="H278">
        <f>IF($AL278="","",INDEX('04_調査結果'!$AO$5:$AO$404,$AL278))</f>
        <v/>
      </c>
      <c r="I278">
        <f>IF($AL278="","",IFERROR(INDEX('M2_区分マスタ'!$I$5:$I$10,INDEX('04_調査結果'!$AP$5:$AP$404,$AL278)),""))</f>
        <v/>
      </c>
      <c r="J278">
        <f>IF($AL278="","",INDEX('04_調査結果'!$BE$5:$BE$404,$AL278)&amp;"")</f>
        <v/>
      </c>
      <c r="K278">
        <f>IF($AL278="","",INDEX('04_調査結果'!$F$5:$F$404,$AL278)&amp;"")</f>
        <v/>
      </c>
      <c r="L278">
        <f>IF($AL278="","",INDEX('04_調査結果'!$G$5:$G$404,$AL278)&amp;"")</f>
        <v/>
      </c>
      <c r="M278">
        <f>IF($AL278="","",INDEX('04_調査結果'!$AQ$5:$AQ$404,$AL278)&amp;"")</f>
        <v/>
      </c>
      <c r="N278">
        <f>IF($AL278="","",IFERROR(INDEX('M1_類型マスタ'!$B$5:$B$19,MATCH(M278,'M1_類型マスタ'!$A$5:$A$19,0)),""))</f>
        <v/>
      </c>
      <c r="O278">
        <f>IF($AL278="","",INDEX('04_調査結果'!$I$5:$I$404,$AL278)&amp;"")</f>
        <v/>
      </c>
      <c r="P278">
        <f>IF($AL278="","",INDEX('04_調査結果'!$J$5:$J$404,$AL278)&amp;"")</f>
        <v/>
      </c>
      <c r="Q278">
        <f>IF($AL278="","",INDEX('04_調査結果'!$K$5:$K$404,$AL278)&amp;"")</f>
        <v/>
      </c>
      <c r="R278">
        <f>IF($AL278="","",INDEX('04_調査結果'!$L$5:$L$404,$AL278)&amp;"")</f>
        <v/>
      </c>
      <c r="S278">
        <f>IF($AL278="","",INDEX('04_調査結果'!$M$5:$M$404,$AL278)&amp;"")</f>
        <v/>
      </c>
      <c r="T278" s="33">
        <f>IF($AL278="","",IF(INDEX('04_調査結果'!$AE$5:$AE$404,$AL278)&lt;&gt;"",INDEX('04_調査結果'!$AE$5:$AE$404,$AL278),INDEX('04_調査結果'!$AS$5:$AS$404,$AL278)))</f>
        <v/>
      </c>
      <c r="U278" s="33">
        <f>IF($AL278="","",IF(INDEX('04_調査結果'!$AF$5:$AF$404,$AL278)&lt;&gt;"",INDEX('04_調査結果'!$AF$5:$AF$404,$AL278),INDEX('04_調査結果'!$AT$5:$AT$404,$AL278)))</f>
        <v/>
      </c>
      <c r="V278" s="33">
        <f>IF($AL278="","",INDEX('04_調査結果'!$AI$5:$AI$404,$AL278))</f>
        <v/>
      </c>
      <c r="W278">
        <f>IF($AL278="","",INDEX('04_調査結果'!$AU$5:$AU$404,$AL278))</f>
        <v/>
      </c>
      <c r="X278" s="37">
        <f>IF($AL278="","",INDEX('04_調査結果'!$AW$5:$AW$404,$AL278))</f>
        <v/>
      </c>
      <c r="Y278" s="37">
        <f>IF($AL278="","",INDEX('04_調査結果'!$AX$5:$AX$404,$AL278))</f>
        <v/>
      </c>
      <c r="Z278">
        <f>IF($AL278="","",INDEX('04_調査結果'!$S$5:$S$404,$AL278)&amp;"")</f>
        <v/>
      </c>
      <c r="AA278">
        <f>IF($AL278="","",INDEX('04_調査結果'!$T$5:$T$404,$AL278))</f>
        <v/>
      </c>
      <c r="AB278">
        <f>IF($AL278="","",INDEX('04_調査結果'!$U$5:$U$404,$AL278))</f>
        <v/>
      </c>
      <c r="AC278">
        <f>IF($AL278="","",INDEX('04_調査結果'!$V$5:$V$404,$AL278))</f>
        <v/>
      </c>
      <c r="AD278">
        <f>IF($AL278="","",INDEX('04_調査結果'!$W$5:$W$404,$AL278))</f>
        <v/>
      </c>
      <c r="AE278">
        <f>IF($AL278="","",INDEX('04_調査結果'!$X$5:$X$404,$AL278))</f>
        <v/>
      </c>
      <c r="AF278">
        <f>IF($AL278="","",INDEX('04_調査結果'!$Y$5:$Y$404,$AL278))</f>
        <v/>
      </c>
      <c r="AG278">
        <f>IF($AL278="","",INDEX('04_調査結果'!$Z$5:$Z$404,$AL278))</f>
        <v/>
      </c>
      <c r="AH278">
        <f>IF($AL278="","",INDEX('04_調査結果'!$AK$5:$AK$404,$AL278))</f>
        <v/>
      </c>
      <c r="AI278">
        <f>IF($AL278="","",INDEX('04_調査結果'!$AH$5:$AH$404,$AL278)&amp;"")</f>
        <v/>
      </c>
      <c r="AJ278">
        <f>IF($AL278="","",INDEX('04_調査結果'!$AA$5:$AA$404,$AL278)&amp;"")</f>
        <v/>
      </c>
      <c r="AK278">
        <f>IF($AL278="","",INDEX('04_調査結果'!$AC$5:$AC$404,$AL278)&amp;"")</f>
        <v/>
      </c>
      <c r="AL278" s="34">
        <f>IFERROR(MATCH(ROW()-4,'04_調査結果'!$AZ$5:$AZ$404,0),"")</f>
        <v/>
      </c>
    </row>
    <row r="279">
      <c r="A279">
        <f>IF($AL279="","",'01_設定'!$C$36)</f>
        <v/>
      </c>
      <c r="B279">
        <f>IF($AL279="","",'01_設定'!$C$5)</f>
        <v/>
      </c>
      <c r="C279">
        <f>IF($AL279="","",'01_設定'!$C$6)</f>
        <v/>
      </c>
      <c r="D279" s="36">
        <f>IF($AL279="","",'01_設定'!$C$22)</f>
        <v/>
      </c>
      <c r="E279" s="36">
        <f>IF($AL279="","",'01_設定'!$C$23)</f>
        <v/>
      </c>
      <c r="F279">
        <f>IF($AL279="","",'01_設定'!$C$32)</f>
        <v/>
      </c>
      <c r="G279">
        <f>IF($AL279="","",ROW()-4)</f>
        <v/>
      </c>
      <c r="H279">
        <f>IF($AL279="","",INDEX('04_調査結果'!$AO$5:$AO$404,$AL279))</f>
        <v/>
      </c>
      <c r="I279">
        <f>IF($AL279="","",IFERROR(INDEX('M2_区分マスタ'!$I$5:$I$10,INDEX('04_調査結果'!$AP$5:$AP$404,$AL279)),""))</f>
        <v/>
      </c>
      <c r="J279">
        <f>IF($AL279="","",INDEX('04_調査結果'!$BE$5:$BE$404,$AL279)&amp;"")</f>
        <v/>
      </c>
      <c r="K279">
        <f>IF($AL279="","",INDEX('04_調査結果'!$F$5:$F$404,$AL279)&amp;"")</f>
        <v/>
      </c>
      <c r="L279">
        <f>IF($AL279="","",INDEX('04_調査結果'!$G$5:$G$404,$AL279)&amp;"")</f>
        <v/>
      </c>
      <c r="M279">
        <f>IF($AL279="","",INDEX('04_調査結果'!$AQ$5:$AQ$404,$AL279)&amp;"")</f>
        <v/>
      </c>
      <c r="N279">
        <f>IF($AL279="","",IFERROR(INDEX('M1_類型マスタ'!$B$5:$B$19,MATCH(M279,'M1_類型マスタ'!$A$5:$A$19,0)),""))</f>
        <v/>
      </c>
      <c r="O279">
        <f>IF($AL279="","",INDEX('04_調査結果'!$I$5:$I$404,$AL279)&amp;"")</f>
        <v/>
      </c>
      <c r="P279">
        <f>IF($AL279="","",INDEX('04_調査結果'!$J$5:$J$404,$AL279)&amp;"")</f>
        <v/>
      </c>
      <c r="Q279">
        <f>IF($AL279="","",INDEX('04_調査結果'!$K$5:$K$404,$AL279)&amp;"")</f>
        <v/>
      </c>
      <c r="R279">
        <f>IF($AL279="","",INDEX('04_調査結果'!$L$5:$L$404,$AL279)&amp;"")</f>
        <v/>
      </c>
      <c r="S279">
        <f>IF($AL279="","",INDEX('04_調査結果'!$M$5:$M$404,$AL279)&amp;"")</f>
        <v/>
      </c>
      <c r="T279" s="33">
        <f>IF($AL279="","",IF(INDEX('04_調査結果'!$AE$5:$AE$404,$AL279)&lt;&gt;"",INDEX('04_調査結果'!$AE$5:$AE$404,$AL279),INDEX('04_調査結果'!$AS$5:$AS$404,$AL279)))</f>
        <v/>
      </c>
      <c r="U279" s="33">
        <f>IF($AL279="","",IF(INDEX('04_調査結果'!$AF$5:$AF$404,$AL279)&lt;&gt;"",INDEX('04_調査結果'!$AF$5:$AF$404,$AL279),INDEX('04_調査結果'!$AT$5:$AT$404,$AL279)))</f>
        <v/>
      </c>
      <c r="V279" s="33">
        <f>IF($AL279="","",INDEX('04_調査結果'!$AI$5:$AI$404,$AL279))</f>
        <v/>
      </c>
      <c r="W279">
        <f>IF($AL279="","",INDEX('04_調査結果'!$AU$5:$AU$404,$AL279))</f>
        <v/>
      </c>
      <c r="X279" s="37">
        <f>IF($AL279="","",INDEX('04_調査結果'!$AW$5:$AW$404,$AL279))</f>
        <v/>
      </c>
      <c r="Y279" s="37">
        <f>IF($AL279="","",INDEX('04_調査結果'!$AX$5:$AX$404,$AL279))</f>
        <v/>
      </c>
      <c r="Z279">
        <f>IF($AL279="","",INDEX('04_調査結果'!$S$5:$S$404,$AL279)&amp;"")</f>
        <v/>
      </c>
      <c r="AA279">
        <f>IF($AL279="","",INDEX('04_調査結果'!$T$5:$T$404,$AL279))</f>
        <v/>
      </c>
      <c r="AB279">
        <f>IF($AL279="","",INDEX('04_調査結果'!$U$5:$U$404,$AL279))</f>
        <v/>
      </c>
      <c r="AC279">
        <f>IF($AL279="","",INDEX('04_調査結果'!$V$5:$V$404,$AL279))</f>
        <v/>
      </c>
      <c r="AD279">
        <f>IF($AL279="","",INDEX('04_調査結果'!$W$5:$W$404,$AL279))</f>
        <v/>
      </c>
      <c r="AE279">
        <f>IF($AL279="","",INDEX('04_調査結果'!$X$5:$X$404,$AL279))</f>
        <v/>
      </c>
      <c r="AF279">
        <f>IF($AL279="","",INDEX('04_調査結果'!$Y$5:$Y$404,$AL279))</f>
        <v/>
      </c>
      <c r="AG279">
        <f>IF($AL279="","",INDEX('04_調査結果'!$Z$5:$Z$404,$AL279))</f>
        <v/>
      </c>
      <c r="AH279">
        <f>IF($AL279="","",INDEX('04_調査結果'!$AK$5:$AK$404,$AL279))</f>
        <v/>
      </c>
      <c r="AI279">
        <f>IF($AL279="","",INDEX('04_調査結果'!$AH$5:$AH$404,$AL279)&amp;"")</f>
        <v/>
      </c>
      <c r="AJ279">
        <f>IF($AL279="","",INDEX('04_調査結果'!$AA$5:$AA$404,$AL279)&amp;"")</f>
        <v/>
      </c>
      <c r="AK279">
        <f>IF($AL279="","",INDEX('04_調査結果'!$AC$5:$AC$404,$AL279)&amp;"")</f>
        <v/>
      </c>
      <c r="AL279" s="34">
        <f>IFERROR(MATCH(ROW()-4,'04_調査結果'!$AZ$5:$AZ$404,0),"")</f>
        <v/>
      </c>
    </row>
    <row r="280">
      <c r="A280">
        <f>IF($AL280="","",'01_設定'!$C$36)</f>
        <v/>
      </c>
      <c r="B280">
        <f>IF($AL280="","",'01_設定'!$C$5)</f>
        <v/>
      </c>
      <c r="C280">
        <f>IF($AL280="","",'01_設定'!$C$6)</f>
        <v/>
      </c>
      <c r="D280" s="36">
        <f>IF($AL280="","",'01_設定'!$C$22)</f>
        <v/>
      </c>
      <c r="E280" s="36">
        <f>IF($AL280="","",'01_設定'!$C$23)</f>
        <v/>
      </c>
      <c r="F280">
        <f>IF($AL280="","",'01_設定'!$C$32)</f>
        <v/>
      </c>
      <c r="G280">
        <f>IF($AL280="","",ROW()-4)</f>
        <v/>
      </c>
      <c r="H280">
        <f>IF($AL280="","",INDEX('04_調査結果'!$AO$5:$AO$404,$AL280))</f>
        <v/>
      </c>
      <c r="I280">
        <f>IF($AL280="","",IFERROR(INDEX('M2_区分マスタ'!$I$5:$I$10,INDEX('04_調査結果'!$AP$5:$AP$404,$AL280)),""))</f>
        <v/>
      </c>
      <c r="J280">
        <f>IF($AL280="","",INDEX('04_調査結果'!$BE$5:$BE$404,$AL280)&amp;"")</f>
        <v/>
      </c>
      <c r="K280">
        <f>IF($AL280="","",INDEX('04_調査結果'!$F$5:$F$404,$AL280)&amp;"")</f>
        <v/>
      </c>
      <c r="L280">
        <f>IF($AL280="","",INDEX('04_調査結果'!$G$5:$G$404,$AL280)&amp;"")</f>
        <v/>
      </c>
      <c r="M280">
        <f>IF($AL280="","",INDEX('04_調査結果'!$AQ$5:$AQ$404,$AL280)&amp;"")</f>
        <v/>
      </c>
      <c r="N280">
        <f>IF($AL280="","",IFERROR(INDEX('M1_類型マスタ'!$B$5:$B$19,MATCH(M280,'M1_類型マスタ'!$A$5:$A$19,0)),""))</f>
        <v/>
      </c>
      <c r="O280">
        <f>IF($AL280="","",INDEX('04_調査結果'!$I$5:$I$404,$AL280)&amp;"")</f>
        <v/>
      </c>
      <c r="P280">
        <f>IF($AL280="","",INDEX('04_調査結果'!$J$5:$J$404,$AL280)&amp;"")</f>
        <v/>
      </c>
      <c r="Q280">
        <f>IF($AL280="","",INDEX('04_調査結果'!$K$5:$K$404,$AL280)&amp;"")</f>
        <v/>
      </c>
      <c r="R280">
        <f>IF($AL280="","",INDEX('04_調査結果'!$L$5:$L$404,$AL280)&amp;"")</f>
        <v/>
      </c>
      <c r="S280">
        <f>IF($AL280="","",INDEX('04_調査結果'!$M$5:$M$404,$AL280)&amp;"")</f>
        <v/>
      </c>
      <c r="T280" s="33">
        <f>IF($AL280="","",IF(INDEX('04_調査結果'!$AE$5:$AE$404,$AL280)&lt;&gt;"",INDEX('04_調査結果'!$AE$5:$AE$404,$AL280),INDEX('04_調査結果'!$AS$5:$AS$404,$AL280)))</f>
        <v/>
      </c>
      <c r="U280" s="33">
        <f>IF($AL280="","",IF(INDEX('04_調査結果'!$AF$5:$AF$404,$AL280)&lt;&gt;"",INDEX('04_調査結果'!$AF$5:$AF$404,$AL280),INDEX('04_調査結果'!$AT$5:$AT$404,$AL280)))</f>
        <v/>
      </c>
      <c r="V280" s="33">
        <f>IF($AL280="","",INDEX('04_調査結果'!$AI$5:$AI$404,$AL280))</f>
        <v/>
      </c>
      <c r="W280">
        <f>IF($AL280="","",INDEX('04_調査結果'!$AU$5:$AU$404,$AL280))</f>
        <v/>
      </c>
      <c r="X280" s="37">
        <f>IF($AL280="","",INDEX('04_調査結果'!$AW$5:$AW$404,$AL280))</f>
        <v/>
      </c>
      <c r="Y280" s="37">
        <f>IF($AL280="","",INDEX('04_調査結果'!$AX$5:$AX$404,$AL280))</f>
        <v/>
      </c>
      <c r="Z280">
        <f>IF($AL280="","",INDEX('04_調査結果'!$S$5:$S$404,$AL280)&amp;"")</f>
        <v/>
      </c>
      <c r="AA280">
        <f>IF($AL280="","",INDEX('04_調査結果'!$T$5:$T$404,$AL280))</f>
        <v/>
      </c>
      <c r="AB280">
        <f>IF($AL280="","",INDEX('04_調査結果'!$U$5:$U$404,$AL280))</f>
        <v/>
      </c>
      <c r="AC280">
        <f>IF($AL280="","",INDEX('04_調査結果'!$V$5:$V$404,$AL280))</f>
        <v/>
      </c>
      <c r="AD280">
        <f>IF($AL280="","",INDEX('04_調査結果'!$W$5:$W$404,$AL280))</f>
        <v/>
      </c>
      <c r="AE280">
        <f>IF($AL280="","",INDEX('04_調査結果'!$X$5:$X$404,$AL280))</f>
        <v/>
      </c>
      <c r="AF280">
        <f>IF($AL280="","",INDEX('04_調査結果'!$Y$5:$Y$404,$AL280))</f>
        <v/>
      </c>
      <c r="AG280">
        <f>IF($AL280="","",INDEX('04_調査結果'!$Z$5:$Z$404,$AL280))</f>
        <v/>
      </c>
      <c r="AH280">
        <f>IF($AL280="","",INDEX('04_調査結果'!$AK$5:$AK$404,$AL280))</f>
        <v/>
      </c>
      <c r="AI280">
        <f>IF($AL280="","",INDEX('04_調査結果'!$AH$5:$AH$404,$AL280)&amp;"")</f>
        <v/>
      </c>
      <c r="AJ280">
        <f>IF($AL280="","",INDEX('04_調査結果'!$AA$5:$AA$404,$AL280)&amp;"")</f>
        <v/>
      </c>
      <c r="AK280">
        <f>IF($AL280="","",INDEX('04_調査結果'!$AC$5:$AC$404,$AL280)&amp;"")</f>
        <v/>
      </c>
      <c r="AL280" s="34">
        <f>IFERROR(MATCH(ROW()-4,'04_調査結果'!$AZ$5:$AZ$404,0),"")</f>
        <v/>
      </c>
    </row>
    <row r="281">
      <c r="A281">
        <f>IF($AL281="","",'01_設定'!$C$36)</f>
        <v/>
      </c>
      <c r="B281">
        <f>IF($AL281="","",'01_設定'!$C$5)</f>
        <v/>
      </c>
      <c r="C281">
        <f>IF($AL281="","",'01_設定'!$C$6)</f>
        <v/>
      </c>
      <c r="D281" s="36">
        <f>IF($AL281="","",'01_設定'!$C$22)</f>
        <v/>
      </c>
      <c r="E281" s="36">
        <f>IF($AL281="","",'01_設定'!$C$23)</f>
        <v/>
      </c>
      <c r="F281">
        <f>IF($AL281="","",'01_設定'!$C$32)</f>
        <v/>
      </c>
      <c r="G281">
        <f>IF($AL281="","",ROW()-4)</f>
        <v/>
      </c>
      <c r="H281">
        <f>IF($AL281="","",INDEX('04_調査結果'!$AO$5:$AO$404,$AL281))</f>
        <v/>
      </c>
      <c r="I281">
        <f>IF($AL281="","",IFERROR(INDEX('M2_区分マスタ'!$I$5:$I$10,INDEX('04_調査結果'!$AP$5:$AP$404,$AL281)),""))</f>
        <v/>
      </c>
      <c r="J281">
        <f>IF($AL281="","",INDEX('04_調査結果'!$BE$5:$BE$404,$AL281)&amp;"")</f>
        <v/>
      </c>
      <c r="K281">
        <f>IF($AL281="","",INDEX('04_調査結果'!$F$5:$F$404,$AL281)&amp;"")</f>
        <v/>
      </c>
      <c r="L281">
        <f>IF($AL281="","",INDEX('04_調査結果'!$G$5:$G$404,$AL281)&amp;"")</f>
        <v/>
      </c>
      <c r="M281">
        <f>IF($AL281="","",INDEX('04_調査結果'!$AQ$5:$AQ$404,$AL281)&amp;"")</f>
        <v/>
      </c>
      <c r="N281">
        <f>IF($AL281="","",IFERROR(INDEX('M1_類型マスタ'!$B$5:$B$19,MATCH(M281,'M1_類型マスタ'!$A$5:$A$19,0)),""))</f>
        <v/>
      </c>
      <c r="O281">
        <f>IF($AL281="","",INDEX('04_調査結果'!$I$5:$I$404,$AL281)&amp;"")</f>
        <v/>
      </c>
      <c r="P281">
        <f>IF($AL281="","",INDEX('04_調査結果'!$J$5:$J$404,$AL281)&amp;"")</f>
        <v/>
      </c>
      <c r="Q281">
        <f>IF($AL281="","",INDEX('04_調査結果'!$K$5:$K$404,$AL281)&amp;"")</f>
        <v/>
      </c>
      <c r="R281">
        <f>IF($AL281="","",INDEX('04_調査結果'!$L$5:$L$404,$AL281)&amp;"")</f>
        <v/>
      </c>
      <c r="S281">
        <f>IF($AL281="","",INDEX('04_調査結果'!$M$5:$M$404,$AL281)&amp;"")</f>
        <v/>
      </c>
      <c r="T281" s="33">
        <f>IF($AL281="","",IF(INDEX('04_調査結果'!$AE$5:$AE$404,$AL281)&lt;&gt;"",INDEX('04_調査結果'!$AE$5:$AE$404,$AL281),INDEX('04_調査結果'!$AS$5:$AS$404,$AL281)))</f>
        <v/>
      </c>
      <c r="U281" s="33">
        <f>IF($AL281="","",IF(INDEX('04_調査結果'!$AF$5:$AF$404,$AL281)&lt;&gt;"",INDEX('04_調査結果'!$AF$5:$AF$404,$AL281),INDEX('04_調査結果'!$AT$5:$AT$404,$AL281)))</f>
        <v/>
      </c>
      <c r="V281" s="33">
        <f>IF($AL281="","",INDEX('04_調査結果'!$AI$5:$AI$404,$AL281))</f>
        <v/>
      </c>
      <c r="W281">
        <f>IF($AL281="","",INDEX('04_調査結果'!$AU$5:$AU$404,$AL281))</f>
        <v/>
      </c>
      <c r="X281" s="37">
        <f>IF($AL281="","",INDEX('04_調査結果'!$AW$5:$AW$404,$AL281))</f>
        <v/>
      </c>
      <c r="Y281" s="37">
        <f>IF($AL281="","",INDEX('04_調査結果'!$AX$5:$AX$404,$AL281))</f>
        <v/>
      </c>
      <c r="Z281">
        <f>IF($AL281="","",INDEX('04_調査結果'!$S$5:$S$404,$AL281)&amp;"")</f>
        <v/>
      </c>
      <c r="AA281">
        <f>IF($AL281="","",INDEX('04_調査結果'!$T$5:$T$404,$AL281))</f>
        <v/>
      </c>
      <c r="AB281">
        <f>IF($AL281="","",INDEX('04_調査結果'!$U$5:$U$404,$AL281))</f>
        <v/>
      </c>
      <c r="AC281">
        <f>IF($AL281="","",INDEX('04_調査結果'!$V$5:$V$404,$AL281))</f>
        <v/>
      </c>
      <c r="AD281">
        <f>IF($AL281="","",INDEX('04_調査結果'!$W$5:$W$404,$AL281))</f>
        <v/>
      </c>
      <c r="AE281">
        <f>IF($AL281="","",INDEX('04_調査結果'!$X$5:$X$404,$AL281))</f>
        <v/>
      </c>
      <c r="AF281">
        <f>IF($AL281="","",INDEX('04_調査結果'!$Y$5:$Y$404,$AL281))</f>
        <v/>
      </c>
      <c r="AG281">
        <f>IF($AL281="","",INDEX('04_調査結果'!$Z$5:$Z$404,$AL281))</f>
        <v/>
      </c>
      <c r="AH281">
        <f>IF($AL281="","",INDEX('04_調査結果'!$AK$5:$AK$404,$AL281))</f>
        <v/>
      </c>
      <c r="AI281">
        <f>IF($AL281="","",INDEX('04_調査結果'!$AH$5:$AH$404,$AL281)&amp;"")</f>
        <v/>
      </c>
      <c r="AJ281">
        <f>IF($AL281="","",INDEX('04_調査結果'!$AA$5:$AA$404,$AL281)&amp;"")</f>
        <v/>
      </c>
      <c r="AK281">
        <f>IF($AL281="","",INDEX('04_調査結果'!$AC$5:$AC$404,$AL281)&amp;"")</f>
        <v/>
      </c>
      <c r="AL281" s="34">
        <f>IFERROR(MATCH(ROW()-4,'04_調査結果'!$AZ$5:$AZ$404,0),"")</f>
        <v/>
      </c>
    </row>
    <row r="282">
      <c r="A282">
        <f>IF($AL282="","",'01_設定'!$C$36)</f>
        <v/>
      </c>
      <c r="B282">
        <f>IF($AL282="","",'01_設定'!$C$5)</f>
        <v/>
      </c>
      <c r="C282">
        <f>IF($AL282="","",'01_設定'!$C$6)</f>
        <v/>
      </c>
      <c r="D282" s="36">
        <f>IF($AL282="","",'01_設定'!$C$22)</f>
        <v/>
      </c>
      <c r="E282" s="36">
        <f>IF($AL282="","",'01_設定'!$C$23)</f>
        <v/>
      </c>
      <c r="F282">
        <f>IF($AL282="","",'01_設定'!$C$32)</f>
        <v/>
      </c>
      <c r="G282">
        <f>IF($AL282="","",ROW()-4)</f>
        <v/>
      </c>
      <c r="H282">
        <f>IF($AL282="","",INDEX('04_調査結果'!$AO$5:$AO$404,$AL282))</f>
        <v/>
      </c>
      <c r="I282">
        <f>IF($AL282="","",IFERROR(INDEX('M2_区分マスタ'!$I$5:$I$10,INDEX('04_調査結果'!$AP$5:$AP$404,$AL282)),""))</f>
        <v/>
      </c>
      <c r="J282">
        <f>IF($AL282="","",INDEX('04_調査結果'!$BE$5:$BE$404,$AL282)&amp;"")</f>
        <v/>
      </c>
      <c r="K282">
        <f>IF($AL282="","",INDEX('04_調査結果'!$F$5:$F$404,$AL282)&amp;"")</f>
        <v/>
      </c>
      <c r="L282">
        <f>IF($AL282="","",INDEX('04_調査結果'!$G$5:$G$404,$AL282)&amp;"")</f>
        <v/>
      </c>
      <c r="M282">
        <f>IF($AL282="","",INDEX('04_調査結果'!$AQ$5:$AQ$404,$AL282)&amp;"")</f>
        <v/>
      </c>
      <c r="N282">
        <f>IF($AL282="","",IFERROR(INDEX('M1_類型マスタ'!$B$5:$B$19,MATCH(M282,'M1_類型マスタ'!$A$5:$A$19,0)),""))</f>
        <v/>
      </c>
      <c r="O282">
        <f>IF($AL282="","",INDEX('04_調査結果'!$I$5:$I$404,$AL282)&amp;"")</f>
        <v/>
      </c>
      <c r="P282">
        <f>IF($AL282="","",INDEX('04_調査結果'!$J$5:$J$404,$AL282)&amp;"")</f>
        <v/>
      </c>
      <c r="Q282">
        <f>IF($AL282="","",INDEX('04_調査結果'!$K$5:$K$404,$AL282)&amp;"")</f>
        <v/>
      </c>
      <c r="R282">
        <f>IF($AL282="","",INDEX('04_調査結果'!$L$5:$L$404,$AL282)&amp;"")</f>
        <v/>
      </c>
      <c r="S282">
        <f>IF($AL282="","",INDEX('04_調査結果'!$M$5:$M$404,$AL282)&amp;"")</f>
        <v/>
      </c>
      <c r="T282" s="33">
        <f>IF($AL282="","",IF(INDEX('04_調査結果'!$AE$5:$AE$404,$AL282)&lt;&gt;"",INDEX('04_調査結果'!$AE$5:$AE$404,$AL282),INDEX('04_調査結果'!$AS$5:$AS$404,$AL282)))</f>
        <v/>
      </c>
      <c r="U282" s="33">
        <f>IF($AL282="","",IF(INDEX('04_調査結果'!$AF$5:$AF$404,$AL282)&lt;&gt;"",INDEX('04_調査結果'!$AF$5:$AF$404,$AL282),INDEX('04_調査結果'!$AT$5:$AT$404,$AL282)))</f>
        <v/>
      </c>
      <c r="V282" s="33">
        <f>IF($AL282="","",INDEX('04_調査結果'!$AI$5:$AI$404,$AL282))</f>
        <v/>
      </c>
      <c r="W282">
        <f>IF($AL282="","",INDEX('04_調査結果'!$AU$5:$AU$404,$AL282))</f>
        <v/>
      </c>
      <c r="X282" s="37">
        <f>IF($AL282="","",INDEX('04_調査結果'!$AW$5:$AW$404,$AL282))</f>
        <v/>
      </c>
      <c r="Y282" s="37">
        <f>IF($AL282="","",INDEX('04_調査結果'!$AX$5:$AX$404,$AL282))</f>
        <v/>
      </c>
      <c r="Z282">
        <f>IF($AL282="","",INDEX('04_調査結果'!$S$5:$S$404,$AL282)&amp;"")</f>
        <v/>
      </c>
      <c r="AA282">
        <f>IF($AL282="","",INDEX('04_調査結果'!$T$5:$T$404,$AL282))</f>
        <v/>
      </c>
      <c r="AB282">
        <f>IF($AL282="","",INDEX('04_調査結果'!$U$5:$U$404,$AL282))</f>
        <v/>
      </c>
      <c r="AC282">
        <f>IF($AL282="","",INDEX('04_調査結果'!$V$5:$V$404,$AL282))</f>
        <v/>
      </c>
      <c r="AD282">
        <f>IF($AL282="","",INDEX('04_調査結果'!$W$5:$W$404,$AL282))</f>
        <v/>
      </c>
      <c r="AE282">
        <f>IF($AL282="","",INDEX('04_調査結果'!$X$5:$X$404,$AL282))</f>
        <v/>
      </c>
      <c r="AF282">
        <f>IF($AL282="","",INDEX('04_調査結果'!$Y$5:$Y$404,$AL282))</f>
        <v/>
      </c>
      <c r="AG282">
        <f>IF($AL282="","",INDEX('04_調査結果'!$Z$5:$Z$404,$AL282))</f>
        <v/>
      </c>
      <c r="AH282">
        <f>IF($AL282="","",INDEX('04_調査結果'!$AK$5:$AK$404,$AL282))</f>
        <v/>
      </c>
      <c r="AI282">
        <f>IF($AL282="","",INDEX('04_調査結果'!$AH$5:$AH$404,$AL282)&amp;"")</f>
        <v/>
      </c>
      <c r="AJ282">
        <f>IF($AL282="","",INDEX('04_調査結果'!$AA$5:$AA$404,$AL282)&amp;"")</f>
        <v/>
      </c>
      <c r="AK282">
        <f>IF($AL282="","",INDEX('04_調査結果'!$AC$5:$AC$404,$AL282)&amp;"")</f>
        <v/>
      </c>
      <c r="AL282" s="34">
        <f>IFERROR(MATCH(ROW()-4,'04_調査結果'!$AZ$5:$AZ$404,0),"")</f>
        <v/>
      </c>
    </row>
    <row r="283">
      <c r="A283">
        <f>IF($AL283="","",'01_設定'!$C$36)</f>
        <v/>
      </c>
      <c r="B283">
        <f>IF($AL283="","",'01_設定'!$C$5)</f>
        <v/>
      </c>
      <c r="C283">
        <f>IF($AL283="","",'01_設定'!$C$6)</f>
        <v/>
      </c>
      <c r="D283" s="36">
        <f>IF($AL283="","",'01_設定'!$C$22)</f>
        <v/>
      </c>
      <c r="E283" s="36">
        <f>IF($AL283="","",'01_設定'!$C$23)</f>
        <v/>
      </c>
      <c r="F283">
        <f>IF($AL283="","",'01_設定'!$C$32)</f>
        <v/>
      </c>
      <c r="G283">
        <f>IF($AL283="","",ROW()-4)</f>
        <v/>
      </c>
      <c r="H283">
        <f>IF($AL283="","",INDEX('04_調査結果'!$AO$5:$AO$404,$AL283))</f>
        <v/>
      </c>
      <c r="I283">
        <f>IF($AL283="","",IFERROR(INDEX('M2_区分マスタ'!$I$5:$I$10,INDEX('04_調査結果'!$AP$5:$AP$404,$AL283)),""))</f>
        <v/>
      </c>
      <c r="J283">
        <f>IF($AL283="","",INDEX('04_調査結果'!$BE$5:$BE$404,$AL283)&amp;"")</f>
        <v/>
      </c>
      <c r="K283">
        <f>IF($AL283="","",INDEX('04_調査結果'!$F$5:$F$404,$AL283)&amp;"")</f>
        <v/>
      </c>
      <c r="L283">
        <f>IF($AL283="","",INDEX('04_調査結果'!$G$5:$G$404,$AL283)&amp;"")</f>
        <v/>
      </c>
      <c r="M283">
        <f>IF($AL283="","",INDEX('04_調査結果'!$AQ$5:$AQ$404,$AL283)&amp;"")</f>
        <v/>
      </c>
      <c r="N283">
        <f>IF($AL283="","",IFERROR(INDEX('M1_類型マスタ'!$B$5:$B$19,MATCH(M283,'M1_類型マスタ'!$A$5:$A$19,0)),""))</f>
        <v/>
      </c>
      <c r="O283">
        <f>IF($AL283="","",INDEX('04_調査結果'!$I$5:$I$404,$AL283)&amp;"")</f>
        <v/>
      </c>
      <c r="P283">
        <f>IF($AL283="","",INDEX('04_調査結果'!$J$5:$J$404,$AL283)&amp;"")</f>
        <v/>
      </c>
      <c r="Q283">
        <f>IF($AL283="","",INDEX('04_調査結果'!$K$5:$K$404,$AL283)&amp;"")</f>
        <v/>
      </c>
      <c r="R283">
        <f>IF($AL283="","",INDEX('04_調査結果'!$L$5:$L$404,$AL283)&amp;"")</f>
        <v/>
      </c>
      <c r="S283">
        <f>IF($AL283="","",INDEX('04_調査結果'!$M$5:$M$404,$AL283)&amp;"")</f>
        <v/>
      </c>
      <c r="T283" s="33">
        <f>IF($AL283="","",IF(INDEX('04_調査結果'!$AE$5:$AE$404,$AL283)&lt;&gt;"",INDEX('04_調査結果'!$AE$5:$AE$404,$AL283),INDEX('04_調査結果'!$AS$5:$AS$404,$AL283)))</f>
        <v/>
      </c>
      <c r="U283" s="33">
        <f>IF($AL283="","",IF(INDEX('04_調査結果'!$AF$5:$AF$404,$AL283)&lt;&gt;"",INDEX('04_調査結果'!$AF$5:$AF$404,$AL283),INDEX('04_調査結果'!$AT$5:$AT$404,$AL283)))</f>
        <v/>
      </c>
      <c r="V283" s="33">
        <f>IF($AL283="","",INDEX('04_調査結果'!$AI$5:$AI$404,$AL283))</f>
        <v/>
      </c>
      <c r="W283">
        <f>IF($AL283="","",INDEX('04_調査結果'!$AU$5:$AU$404,$AL283))</f>
        <v/>
      </c>
      <c r="X283" s="37">
        <f>IF($AL283="","",INDEX('04_調査結果'!$AW$5:$AW$404,$AL283))</f>
        <v/>
      </c>
      <c r="Y283" s="37">
        <f>IF($AL283="","",INDEX('04_調査結果'!$AX$5:$AX$404,$AL283))</f>
        <v/>
      </c>
      <c r="Z283">
        <f>IF($AL283="","",INDEX('04_調査結果'!$S$5:$S$404,$AL283)&amp;"")</f>
        <v/>
      </c>
      <c r="AA283">
        <f>IF($AL283="","",INDEX('04_調査結果'!$T$5:$T$404,$AL283))</f>
        <v/>
      </c>
      <c r="AB283">
        <f>IF($AL283="","",INDEX('04_調査結果'!$U$5:$U$404,$AL283))</f>
        <v/>
      </c>
      <c r="AC283">
        <f>IF($AL283="","",INDEX('04_調査結果'!$V$5:$V$404,$AL283))</f>
        <v/>
      </c>
      <c r="AD283">
        <f>IF($AL283="","",INDEX('04_調査結果'!$W$5:$W$404,$AL283))</f>
        <v/>
      </c>
      <c r="AE283">
        <f>IF($AL283="","",INDEX('04_調査結果'!$X$5:$X$404,$AL283))</f>
        <v/>
      </c>
      <c r="AF283">
        <f>IF($AL283="","",INDEX('04_調査結果'!$Y$5:$Y$404,$AL283))</f>
        <v/>
      </c>
      <c r="AG283">
        <f>IF($AL283="","",INDEX('04_調査結果'!$Z$5:$Z$404,$AL283))</f>
        <v/>
      </c>
      <c r="AH283">
        <f>IF($AL283="","",INDEX('04_調査結果'!$AK$5:$AK$404,$AL283))</f>
        <v/>
      </c>
      <c r="AI283">
        <f>IF($AL283="","",INDEX('04_調査結果'!$AH$5:$AH$404,$AL283)&amp;"")</f>
        <v/>
      </c>
      <c r="AJ283">
        <f>IF($AL283="","",INDEX('04_調査結果'!$AA$5:$AA$404,$AL283)&amp;"")</f>
        <v/>
      </c>
      <c r="AK283">
        <f>IF($AL283="","",INDEX('04_調査結果'!$AC$5:$AC$404,$AL283)&amp;"")</f>
        <v/>
      </c>
      <c r="AL283" s="34">
        <f>IFERROR(MATCH(ROW()-4,'04_調査結果'!$AZ$5:$AZ$404,0),"")</f>
        <v/>
      </c>
    </row>
    <row r="284">
      <c r="A284">
        <f>IF($AL284="","",'01_設定'!$C$36)</f>
        <v/>
      </c>
      <c r="B284">
        <f>IF($AL284="","",'01_設定'!$C$5)</f>
        <v/>
      </c>
      <c r="C284">
        <f>IF($AL284="","",'01_設定'!$C$6)</f>
        <v/>
      </c>
      <c r="D284" s="36">
        <f>IF($AL284="","",'01_設定'!$C$22)</f>
        <v/>
      </c>
      <c r="E284" s="36">
        <f>IF($AL284="","",'01_設定'!$C$23)</f>
        <v/>
      </c>
      <c r="F284">
        <f>IF($AL284="","",'01_設定'!$C$32)</f>
        <v/>
      </c>
      <c r="G284">
        <f>IF($AL284="","",ROW()-4)</f>
        <v/>
      </c>
      <c r="H284">
        <f>IF($AL284="","",INDEX('04_調査結果'!$AO$5:$AO$404,$AL284))</f>
        <v/>
      </c>
      <c r="I284">
        <f>IF($AL284="","",IFERROR(INDEX('M2_区分マスタ'!$I$5:$I$10,INDEX('04_調査結果'!$AP$5:$AP$404,$AL284)),""))</f>
        <v/>
      </c>
      <c r="J284">
        <f>IF($AL284="","",INDEX('04_調査結果'!$BE$5:$BE$404,$AL284)&amp;"")</f>
        <v/>
      </c>
      <c r="K284">
        <f>IF($AL284="","",INDEX('04_調査結果'!$F$5:$F$404,$AL284)&amp;"")</f>
        <v/>
      </c>
      <c r="L284">
        <f>IF($AL284="","",INDEX('04_調査結果'!$G$5:$G$404,$AL284)&amp;"")</f>
        <v/>
      </c>
      <c r="M284">
        <f>IF($AL284="","",INDEX('04_調査結果'!$AQ$5:$AQ$404,$AL284)&amp;"")</f>
        <v/>
      </c>
      <c r="N284">
        <f>IF($AL284="","",IFERROR(INDEX('M1_類型マスタ'!$B$5:$B$19,MATCH(M284,'M1_類型マスタ'!$A$5:$A$19,0)),""))</f>
        <v/>
      </c>
      <c r="O284">
        <f>IF($AL284="","",INDEX('04_調査結果'!$I$5:$I$404,$AL284)&amp;"")</f>
        <v/>
      </c>
      <c r="P284">
        <f>IF($AL284="","",INDEX('04_調査結果'!$J$5:$J$404,$AL284)&amp;"")</f>
        <v/>
      </c>
      <c r="Q284">
        <f>IF($AL284="","",INDEX('04_調査結果'!$K$5:$K$404,$AL284)&amp;"")</f>
        <v/>
      </c>
      <c r="R284">
        <f>IF($AL284="","",INDEX('04_調査結果'!$L$5:$L$404,$AL284)&amp;"")</f>
        <v/>
      </c>
      <c r="S284">
        <f>IF($AL284="","",INDEX('04_調査結果'!$M$5:$M$404,$AL284)&amp;"")</f>
        <v/>
      </c>
      <c r="T284" s="33">
        <f>IF($AL284="","",IF(INDEX('04_調査結果'!$AE$5:$AE$404,$AL284)&lt;&gt;"",INDEX('04_調査結果'!$AE$5:$AE$404,$AL284),INDEX('04_調査結果'!$AS$5:$AS$404,$AL284)))</f>
        <v/>
      </c>
      <c r="U284" s="33">
        <f>IF($AL284="","",IF(INDEX('04_調査結果'!$AF$5:$AF$404,$AL284)&lt;&gt;"",INDEX('04_調査結果'!$AF$5:$AF$404,$AL284),INDEX('04_調査結果'!$AT$5:$AT$404,$AL284)))</f>
        <v/>
      </c>
      <c r="V284" s="33">
        <f>IF($AL284="","",INDEX('04_調査結果'!$AI$5:$AI$404,$AL284))</f>
        <v/>
      </c>
      <c r="W284">
        <f>IF($AL284="","",INDEX('04_調査結果'!$AU$5:$AU$404,$AL284))</f>
        <v/>
      </c>
      <c r="X284" s="37">
        <f>IF($AL284="","",INDEX('04_調査結果'!$AW$5:$AW$404,$AL284))</f>
        <v/>
      </c>
      <c r="Y284" s="37">
        <f>IF($AL284="","",INDEX('04_調査結果'!$AX$5:$AX$404,$AL284))</f>
        <v/>
      </c>
      <c r="Z284">
        <f>IF($AL284="","",INDEX('04_調査結果'!$S$5:$S$404,$AL284)&amp;"")</f>
        <v/>
      </c>
      <c r="AA284">
        <f>IF($AL284="","",INDEX('04_調査結果'!$T$5:$T$404,$AL284))</f>
        <v/>
      </c>
      <c r="AB284">
        <f>IF($AL284="","",INDEX('04_調査結果'!$U$5:$U$404,$AL284))</f>
        <v/>
      </c>
      <c r="AC284">
        <f>IF($AL284="","",INDEX('04_調査結果'!$V$5:$V$404,$AL284))</f>
        <v/>
      </c>
      <c r="AD284">
        <f>IF($AL284="","",INDEX('04_調査結果'!$W$5:$W$404,$AL284))</f>
        <v/>
      </c>
      <c r="AE284">
        <f>IF($AL284="","",INDEX('04_調査結果'!$X$5:$X$404,$AL284))</f>
        <v/>
      </c>
      <c r="AF284">
        <f>IF($AL284="","",INDEX('04_調査結果'!$Y$5:$Y$404,$AL284))</f>
        <v/>
      </c>
      <c r="AG284">
        <f>IF($AL284="","",INDEX('04_調査結果'!$Z$5:$Z$404,$AL284))</f>
        <v/>
      </c>
      <c r="AH284">
        <f>IF($AL284="","",INDEX('04_調査結果'!$AK$5:$AK$404,$AL284))</f>
        <v/>
      </c>
      <c r="AI284">
        <f>IF($AL284="","",INDEX('04_調査結果'!$AH$5:$AH$404,$AL284)&amp;"")</f>
        <v/>
      </c>
      <c r="AJ284">
        <f>IF($AL284="","",INDEX('04_調査結果'!$AA$5:$AA$404,$AL284)&amp;"")</f>
        <v/>
      </c>
      <c r="AK284">
        <f>IF($AL284="","",INDEX('04_調査結果'!$AC$5:$AC$404,$AL284)&amp;"")</f>
        <v/>
      </c>
      <c r="AL284" s="34">
        <f>IFERROR(MATCH(ROW()-4,'04_調査結果'!$AZ$5:$AZ$404,0),"")</f>
        <v/>
      </c>
    </row>
    <row r="285">
      <c r="A285">
        <f>IF($AL285="","",'01_設定'!$C$36)</f>
        <v/>
      </c>
      <c r="B285">
        <f>IF($AL285="","",'01_設定'!$C$5)</f>
        <v/>
      </c>
      <c r="C285">
        <f>IF($AL285="","",'01_設定'!$C$6)</f>
        <v/>
      </c>
      <c r="D285" s="36">
        <f>IF($AL285="","",'01_設定'!$C$22)</f>
        <v/>
      </c>
      <c r="E285" s="36">
        <f>IF($AL285="","",'01_設定'!$C$23)</f>
        <v/>
      </c>
      <c r="F285">
        <f>IF($AL285="","",'01_設定'!$C$32)</f>
        <v/>
      </c>
      <c r="G285">
        <f>IF($AL285="","",ROW()-4)</f>
        <v/>
      </c>
      <c r="H285">
        <f>IF($AL285="","",INDEX('04_調査結果'!$AO$5:$AO$404,$AL285))</f>
        <v/>
      </c>
      <c r="I285">
        <f>IF($AL285="","",IFERROR(INDEX('M2_区分マスタ'!$I$5:$I$10,INDEX('04_調査結果'!$AP$5:$AP$404,$AL285)),""))</f>
        <v/>
      </c>
      <c r="J285">
        <f>IF($AL285="","",INDEX('04_調査結果'!$BE$5:$BE$404,$AL285)&amp;"")</f>
        <v/>
      </c>
      <c r="K285">
        <f>IF($AL285="","",INDEX('04_調査結果'!$F$5:$F$404,$AL285)&amp;"")</f>
        <v/>
      </c>
      <c r="L285">
        <f>IF($AL285="","",INDEX('04_調査結果'!$G$5:$G$404,$AL285)&amp;"")</f>
        <v/>
      </c>
      <c r="M285">
        <f>IF($AL285="","",INDEX('04_調査結果'!$AQ$5:$AQ$404,$AL285)&amp;"")</f>
        <v/>
      </c>
      <c r="N285">
        <f>IF($AL285="","",IFERROR(INDEX('M1_類型マスタ'!$B$5:$B$19,MATCH(M285,'M1_類型マスタ'!$A$5:$A$19,0)),""))</f>
        <v/>
      </c>
      <c r="O285">
        <f>IF($AL285="","",INDEX('04_調査結果'!$I$5:$I$404,$AL285)&amp;"")</f>
        <v/>
      </c>
      <c r="P285">
        <f>IF($AL285="","",INDEX('04_調査結果'!$J$5:$J$404,$AL285)&amp;"")</f>
        <v/>
      </c>
      <c r="Q285">
        <f>IF($AL285="","",INDEX('04_調査結果'!$K$5:$K$404,$AL285)&amp;"")</f>
        <v/>
      </c>
      <c r="R285">
        <f>IF($AL285="","",INDEX('04_調査結果'!$L$5:$L$404,$AL285)&amp;"")</f>
        <v/>
      </c>
      <c r="S285">
        <f>IF($AL285="","",INDEX('04_調査結果'!$M$5:$M$404,$AL285)&amp;"")</f>
        <v/>
      </c>
      <c r="T285" s="33">
        <f>IF($AL285="","",IF(INDEX('04_調査結果'!$AE$5:$AE$404,$AL285)&lt;&gt;"",INDEX('04_調査結果'!$AE$5:$AE$404,$AL285),INDEX('04_調査結果'!$AS$5:$AS$404,$AL285)))</f>
        <v/>
      </c>
      <c r="U285" s="33">
        <f>IF($AL285="","",IF(INDEX('04_調査結果'!$AF$5:$AF$404,$AL285)&lt;&gt;"",INDEX('04_調査結果'!$AF$5:$AF$404,$AL285),INDEX('04_調査結果'!$AT$5:$AT$404,$AL285)))</f>
        <v/>
      </c>
      <c r="V285" s="33">
        <f>IF($AL285="","",INDEX('04_調査結果'!$AI$5:$AI$404,$AL285))</f>
        <v/>
      </c>
      <c r="W285">
        <f>IF($AL285="","",INDEX('04_調査結果'!$AU$5:$AU$404,$AL285))</f>
        <v/>
      </c>
      <c r="X285" s="37">
        <f>IF($AL285="","",INDEX('04_調査結果'!$AW$5:$AW$404,$AL285))</f>
        <v/>
      </c>
      <c r="Y285" s="37">
        <f>IF($AL285="","",INDEX('04_調査結果'!$AX$5:$AX$404,$AL285))</f>
        <v/>
      </c>
      <c r="Z285">
        <f>IF($AL285="","",INDEX('04_調査結果'!$S$5:$S$404,$AL285)&amp;"")</f>
        <v/>
      </c>
      <c r="AA285">
        <f>IF($AL285="","",INDEX('04_調査結果'!$T$5:$T$404,$AL285))</f>
        <v/>
      </c>
      <c r="AB285">
        <f>IF($AL285="","",INDEX('04_調査結果'!$U$5:$U$404,$AL285))</f>
        <v/>
      </c>
      <c r="AC285">
        <f>IF($AL285="","",INDEX('04_調査結果'!$V$5:$V$404,$AL285))</f>
        <v/>
      </c>
      <c r="AD285">
        <f>IF($AL285="","",INDEX('04_調査結果'!$W$5:$W$404,$AL285))</f>
        <v/>
      </c>
      <c r="AE285">
        <f>IF($AL285="","",INDEX('04_調査結果'!$X$5:$X$404,$AL285))</f>
        <v/>
      </c>
      <c r="AF285">
        <f>IF($AL285="","",INDEX('04_調査結果'!$Y$5:$Y$404,$AL285))</f>
        <v/>
      </c>
      <c r="AG285">
        <f>IF($AL285="","",INDEX('04_調査結果'!$Z$5:$Z$404,$AL285))</f>
        <v/>
      </c>
      <c r="AH285">
        <f>IF($AL285="","",INDEX('04_調査結果'!$AK$5:$AK$404,$AL285))</f>
        <v/>
      </c>
      <c r="AI285">
        <f>IF($AL285="","",INDEX('04_調査結果'!$AH$5:$AH$404,$AL285)&amp;"")</f>
        <v/>
      </c>
      <c r="AJ285">
        <f>IF($AL285="","",INDEX('04_調査結果'!$AA$5:$AA$404,$AL285)&amp;"")</f>
        <v/>
      </c>
      <c r="AK285">
        <f>IF($AL285="","",INDEX('04_調査結果'!$AC$5:$AC$404,$AL285)&amp;"")</f>
        <v/>
      </c>
      <c r="AL285" s="34">
        <f>IFERROR(MATCH(ROW()-4,'04_調査結果'!$AZ$5:$AZ$404,0),"")</f>
        <v/>
      </c>
    </row>
    <row r="286">
      <c r="A286">
        <f>IF($AL286="","",'01_設定'!$C$36)</f>
        <v/>
      </c>
      <c r="B286">
        <f>IF($AL286="","",'01_設定'!$C$5)</f>
        <v/>
      </c>
      <c r="C286">
        <f>IF($AL286="","",'01_設定'!$C$6)</f>
        <v/>
      </c>
      <c r="D286" s="36">
        <f>IF($AL286="","",'01_設定'!$C$22)</f>
        <v/>
      </c>
      <c r="E286" s="36">
        <f>IF($AL286="","",'01_設定'!$C$23)</f>
        <v/>
      </c>
      <c r="F286">
        <f>IF($AL286="","",'01_設定'!$C$32)</f>
        <v/>
      </c>
      <c r="G286">
        <f>IF($AL286="","",ROW()-4)</f>
        <v/>
      </c>
      <c r="H286">
        <f>IF($AL286="","",INDEX('04_調査結果'!$AO$5:$AO$404,$AL286))</f>
        <v/>
      </c>
      <c r="I286">
        <f>IF($AL286="","",IFERROR(INDEX('M2_区分マスタ'!$I$5:$I$10,INDEX('04_調査結果'!$AP$5:$AP$404,$AL286)),""))</f>
        <v/>
      </c>
      <c r="J286">
        <f>IF($AL286="","",INDEX('04_調査結果'!$BE$5:$BE$404,$AL286)&amp;"")</f>
        <v/>
      </c>
      <c r="K286">
        <f>IF($AL286="","",INDEX('04_調査結果'!$F$5:$F$404,$AL286)&amp;"")</f>
        <v/>
      </c>
      <c r="L286">
        <f>IF($AL286="","",INDEX('04_調査結果'!$G$5:$G$404,$AL286)&amp;"")</f>
        <v/>
      </c>
      <c r="M286">
        <f>IF($AL286="","",INDEX('04_調査結果'!$AQ$5:$AQ$404,$AL286)&amp;"")</f>
        <v/>
      </c>
      <c r="N286">
        <f>IF($AL286="","",IFERROR(INDEX('M1_類型マスタ'!$B$5:$B$19,MATCH(M286,'M1_類型マスタ'!$A$5:$A$19,0)),""))</f>
        <v/>
      </c>
      <c r="O286">
        <f>IF($AL286="","",INDEX('04_調査結果'!$I$5:$I$404,$AL286)&amp;"")</f>
        <v/>
      </c>
      <c r="P286">
        <f>IF($AL286="","",INDEX('04_調査結果'!$J$5:$J$404,$AL286)&amp;"")</f>
        <v/>
      </c>
      <c r="Q286">
        <f>IF($AL286="","",INDEX('04_調査結果'!$K$5:$K$404,$AL286)&amp;"")</f>
        <v/>
      </c>
      <c r="R286">
        <f>IF($AL286="","",INDEX('04_調査結果'!$L$5:$L$404,$AL286)&amp;"")</f>
        <v/>
      </c>
      <c r="S286">
        <f>IF($AL286="","",INDEX('04_調査結果'!$M$5:$M$404,$AL286)&amp;"")</f>
        <v/>
      </c>
      <c r="T286" s="33">
        <f>IF($AL286="","",IF(INDEX('04_調査結果'!$AE$5:$AE$404,$AL286)&lt;&gt;"",INDEX('04_調査結果'!$AE$5:$AE$404,$AL286),INDEX('04_調査結果'!$AS$5:$AS$404,$AL286)))</f>
        <v/>
      </c>
      <c r="U286" s="33">
        <f>IF($AL286="","",IF(INDEX('04_調査結果'!$AF$5:$AF$404,$AL286)&lt;&gt;"",INDEX('04_調査結果'!$AF$5:$AF$404,$AL286),INDEX('04_調査結果'!$AT$5:$AT$404,$AL286)))</f>
        <v/>
      </c>
      <c r="V286" s="33">
        <f>IF($AL286="","",INDEX('04_調査結果'!$AI$5:$AI$404,$AL286))</f>
        <v/>
      </c>
      <c r="W286">
        <f>IF($AL286="","",INDEX('04_調査結果'!$AU$5:$AU$404,$AL286))</f>
        <v/>
      </c>
      <c r="X286" s="37">
        <f>IF($AL286="","",INDEX('04_調査結果'!$AW$5:$AW$404,$AL286))</f>
        <v/>
      </c>
      <c r="Y286" s="37">
        <f>IF($AL286="","",INDEX('04_調査結果'!$AX$5:$AX$404,$AL286))</f>
        <v/>
      </c>
      <c r="Z286">
        <f>IF($AL286="","",INDEX('04_調査結果'!$S$5:$S$404,$AL286)&amp;"")</f>
        <v/>
      </c>
      <c r="AA286">
        <f>IF($AL286="","",INDEX('04_調査結果'!$T$5:$T$404,$AL286))</f>
        <v/>
      </c>
      <c r="AB286">
        <f>IF($AL286="","",INDEX('04_調査結果'!$U$5:$U$404,$AL286))</f>
        <v/>
      </c>
      <c r="AC286">
        <f>IF($AL286="","",INDEX('04_調査結果'!$V$5:$V$404,$AL286))</f>
        <v/>
      </c>
      <c r="AD286">
        <f>IF($AL286="","",INDEX('04_調査結果'!$W$5:$W$404,$AL286))</f>
        <v/>
      </c>
      <c r="AE286">
        <f>IF($AL286="","",INDEX('04_調査結果'!$X$5:$X$404,$AL286))</f>
        <v/>
      </c>
      <c r="AF286">
        <f>IF($AL286="","",INDEX('04_調査結果'!$Y$5:$Y$404,$AL286))</f>
        <v/>
      </c>
      <c r="AG286">
        <f>IF($AL286="","",INDEX('04_調査結果'!$Z$5:$Z$404,$AL286))</f>
        <v/>
      </c>
      <c r="AH286">
        <f>IF($AL286="","",INDEX('04_調査結果'!$AK$5:$AK$404,$AL286))</f>
        <v/>
      </c>
      <c r="AI286">
        <f>IF($AL286="","",INDEX('04_調査結果'!$AH$5:$AH$404,$AL286)&amp;"")</f>
        <v/>
      </c>
      <c r="AJ286">
        <f>IF($AL286="","",INDEX('04_調査結果'!$AA$5:$AA$404,$AL286)&amp;"")</f>
        <v/>
      </c>
      <c r="AK286">
        <f>IF($AL286="","",INDEX('04_調査結果'!$AC$5:$AC$404,$AL286)&amp;"")</f>
        <v/>
      </c>
      <c r="AL286" s="34">
        <f>IFERROR(MATCH(ROW()-4,'04_調査結果'!$AZ$5:$AZ$404,0),"")</f>
        <v/>
      </c>
    </row>
    <row r="287">
      <c r="A287">
        <f>IF($AL287="","",'01_設定'!$C$36)</f>
        <v/>
      </c>
      <c r="B287">
        <f>IF($AL287="","",'01_設定'!$C$5)</f>
        <v/>
      </c>
      <c r="C287">
        <f>IF($AL287="","",'01_設定'!$C$6)</f>
        <v/>
      </c>
      <c r="D287" s="36">
        <f>IF($AL287="","",'01_設定'!$C$22)</f>
        <v/>
      </c>
      <c r="E287" s="36">
        <f>IF($AL287="","",'01_設定'!$C$23)</f>
        <v/>
      </c>
      <c r="F287">
        <f>IF($AL287="","",'01_設定'!$C$32)</f>
        <v/>
      </c>
      <c r="G287">
        <f>IF($AL287="","",ROW()-4)</f>
        <v/>
      </c>
      <c r="H287">
        <f>IF($AL287="","",INDEX('04_調査結果'!$AO$5:$AO$404,$AL287))</f>
        <v/>
      </c>
      <c r="I287">
        <f>IF($AL287="","",IFERROR(INDEX('M2_区分マスタ'!$I$5:$I$10,INDEX('04_調査結果'!$AP$5:$AP$404,$AL287)),""))</f>
        <v/>
      </c>
      <c r="J287">
        <f>IF($AL287="","",INDEX('04_調査結果'!$BE$5:$BE$404,$AL287)&amp;"")</f>
        <v/>
      </c>
      <c r="K287">
        <f>IF($AL287="","",INDEX('04_調査結果'!$F$5:$F$404,$AL287)&amp;"")</f>
        <v/>
      </c>
      <c r="L287">
        <f>IF($AL287="","",INDEX('04_調査結果'!$G$5:$G$404,$AL287)&amp;"")</f>
        <v/>
      </c>
      <c r="M287">
        <f>IF($AL287="","",INDEX('04_調査結果'!$AQ$5:$AQ$404,$AL287)&amp;"")</f>
        <v/>
      </c>
      <c r="N287">
        <f>IF($AL287="","",IFERROR(INDEX('M1_類型マスタ'!$B$5:$B$19,MATCH(M287,'M1_類型マスタ'!$A$5:$A$19,0)),""))</f>
        <v/>
      </c>
      <c r="O287">
        <f>IF($AL287="","",INDEX('04_調査結果'!$I$5:$I$404,$AL287)&amp;"")</f>
        <v/>
      </c>
      <c r="P287">
        <f>IF($AL287="","",INDEX('04_調査結果'!$J$5:$J$404,$AL287)&amp;"")</f>
        <v/>
      </c>
      <c r="Q287">
        <f>IF($AL287="","",INDEX('04_調査結果'!$K$5:$K$404,$AL287)&amp;"")</f>
        <v/>
      </c>
      <c r="R287">
        <f>IF($AL287="","",INDEX('04_調査結果'!$L$5:$L$404,$AL287)&amp;"")</f>
        <v/>
      </c>
      <c r="S287">
        <f>IF($AL287="","",INDEX('04_調査結果'!$M$5:$M$404,$AL287)&amp;"")</f>
        <v/>
      </c>
      <c r="T287" s="33">
        <f>IF($AL287="","",IF(INDEX('04_調査結果'!$AE$5:$AE$404,$AL287)&lt;&gt;"",INDEX('04_調査結果'!$AE$5:$AE$404,$AL287),INDEX('04_調査結果'!$AS$5:$AS$404,$AL287)))</f>
        <v/>
      </c>
      <c r="U287" s="33">
        <f>IF($AL287="","",IF(INDEX('04_調査結果'!$AF$5:$AF$404,$AL287)&lt;&gt;"",INDEX('04_調査結果'!$AF$5:$AF$404,$AL287),INDEX('04_調査結果'!$AT$5:$AT$404,$AL287)))</f>
        <v/>
      </c>
      <c r="V287" s="33">
        <f>IF($AL287="","",INDEX('04_調査結果'!$AI$5:$AI$404,$AL287))</f>
        <v/>
      </c>
      <c r="W287">
        <f>IF($AL287="","",INDEX('04_調査結果'!$AU$5:$AU$404,$AL287))</f>
        <v/>
      </c>
      <c r="X287" s="37">
        <f>IF($AL287="","",INDEX('04_調査結果'!$AW$5:$AW$404,$AL287))</f>
        <v/>
      </c>
      <c r="Y287" s="37">
        <f>IF($AL287="","",INDEX('04_調査結果'!$AX$5:$AX$404,$AL287))</f>
        <v/>
      </c>
      <c r="Z287">
        <f>IF($AL287="","",INDEX('04_調査結果'!$S$5:$S$404,$AL287)&amp;"")</f>
        <v/>
      </c>
      <c r="AA287">
        <f>IF($AL287="","",INDEX('04_調査結果'!$T$5:$T$404,$AL287))</f>
        <v/>
      </c>
      <c r="AB287">
        <f>IF($AL287="","",INDEX('04_調査結果'!$U$5:$U$404,$AL287))</f>
        <v/>
      </c>
      <c r="AC287">
        <f>IF($AL287="","",INDEX('04_調査結果'!$V$5:$V$404,$AL287))</f>
        <v/>
      </c>
      <c r="AD287">
        <f>IF($AL287="","",INDEX('04_調査結果'!$W$5:$W$404,$AL287))</f>
        <v/>
      </c>
      <c r="AE287">
        <f>IF($AL287="","",INDEX('04_調査結果'!$X$5:$X$404,$AL287))</f>
        <v/>
      </c>
      <c r="AF287">
        <f>IF($AL287="","",INDEX('04_調査結果'!$Y$5:$Y$404,$AL287))</f>
        <v/>
      </c>
      <c r="AG287">
        <f>IF($AL287="","",INDEX('04_調査結果'!$Z$5:$Z$404,$AL287))</f>
        <v/>
      </c>
      <c r="AH287">
        <f>IF($AL287="","",INDEX('04_調査結果'!$AK$5:$AK$404,$AL287))</f>
        <v/>
      </c>
      <c r="AI287">
        <f>IF($AL287="","",INDEX('04_調査結果'!$AH$5:$AH$404,$AL287)&amp;"")</f>
        <v/>
      </c>
      <c r="AJ287">
        <f>IF($AL287="","",INDEX('04_調査結果'!$AA$5:$AA$404,$AL287)&amp;"")</f>
        <v/>
      </c>
      <c r="AK287">
        <f>IF($AL287="","",INDEX('04_調査結果'!$AC$5:$AC$404,$AL287)&amp;"")</f>
        <v/>
      </c>
      <c r="AL287" s="34">
        <f>IFERROR(MATCH(ROW()-4,'04_調査結果'!$AZ$5:$AZ$404,0),"")</f>
        <v/>
      </c>
    </row>
    <row r="288">
      <c r="A288">
        <f>IF($AL288="","",'01_設定'!$C$36)</f>
        <v/>
      </c>
      <c r="B288">
        <f>IF($AL288="","",'01_設定'!$C$5)</f>
        <v/>
      </c>
      <c r="C288">
        <f>IF($AL288="","",'01_設定'!$C$6)</f>
        <v/>
      </c>
      <c r="D288" s="36">
        <f>IF($AL288="","",'01_設定'!$C$22)</f>
        <v/>
      </c>
      <c r="E288" s="36">
        <f>IF($AL288="","",'01_設定'!$C$23)</f>
        <v/>
      </c>
      <c r="F288">
        <f>IF($AL288="","",'01_設定'!$C$32)</f>
        <v/>
      </c>
      <c r="G288">
        <f>IF($AL288="","",ROW()-4)</f>
        <v/>
      </c>
      <c r="H288">
        <f>IF($AL288="","",INDEX('04_調査結果'!$AO$5:$AO$404,$AL288))</f>
        <v/>
      </c>
      <c r="I288">
        <f>IF($AL288="","",IFERROR(INDEX('M2_区分マスタ'!$I$5:$I$10,INDEX('04_調査結果'!$AP$5:$AP$404,$AL288)),""))</f>
        <v/>
      </c>
      <c r="J288">
        <f>IF($AL288="","",INDEX('04_調査結果'!$BE$5:$BE$404,$AL288)&amp;"")</f>
        <v/>
      </c>
      <c r="K288">
        <f>IF($AL288="","",INDEX('04_調査結果'!$F$5:$F$404,$AL288)&amp;"")</f>
        <v/>
      </c>
      <c r="L288">
        <f>IF($AL288="","",INDEX('04_調査結果'!$G$5:$G$404,$AL288)&amp;"")</f>
        <v/>
      </c>
      <c r="M288">
        <f>IF($AL288="","",INDEX('04_調査結果'!$AQ$5:$AQ$404,$AL288)&amp;"")</f>
        <v/>
      </c>
      <c r="N288">
        <f>IF($AL288="","",IFERROR(INDEX('M1_類型マスタ'!$B$5:$B$19,MATCH(M288,'M1_類型マスタ'!$A$5:$A$19,0)),""))</f>
        <v/>
      </c>
      <c r="O288">
        <f>IF($AL288="","",INDEX('04_調査結果'!$I$5:$I$404,$AL288)&amp;"")</f>
        <v/>
      </c>
      <c r="P288">
        <f>IF($AL288="","",INDEX('04_調査結果'!$J$5:$J$404,$AL288)&amp;"")</f>
        <v/>
      </c>
      <c r="Q288">
        <f>IF($AL288="","",INDEX('04_調査結果'!$K$5:$K$404,$AL288)&amp;"")</f>
        <v/>
      </c>
      <c r="R288">
        <f>IF($AL288="","",INDEX('04_調査結果'!$L$5:$L$404,$AL288)&amp;"")</f>
        <v/>
      </c>
      <c r="S288">
        <f>IF($AL288="","",INDEX('04_調査結果'!$M$5:$M$404,$AL288)&amp;"")</f>
        <v/>
      </c>
      <c r="T288" s="33">
        <f>IF($AL288="","",IF(INDEX('04_調査結果'!$AE$5:$AE$404,$AL288)&lt;&gt;"",INDEX('04_調査結果'!$AE$5:$AE$404,$AL288),INDEX('04_調査結果'!$AS$5:$AS$404,$AL288)))</f>
        <v/>
      </c>
      <c r="U288" s="33">
        <f>IF($AL288="","",IF(INDEX('04_調査結果'!$AF$5:$AF$404,$AL288)&lt;&gt;"",INDEX('04_調査結果'!$AF$5:$AF$404,$AL288),INDEX('04_調査結果'!$AT$5:$AT$404,$AL288)))</f>
        <v/>
      </c>
      <c r="V288" s="33">
        <f>IF($AL288="","",INDEX('04_調査結果'!$AI$5:$AI$404,$AL288))</f>
        <v/>
      </c>
      <c r="W288">
        <f>IF($AL288="","",INDEX('04_調査結果'!$AU$5:$AU$404,$AL288))</f>
        <v/>
      </c>
      <c r="X288" s="37">
        <f>IF($AL288="","",INDEX('04_調査結果'!$AW$5:$AW$404,$AL288))</f>
        <v/>
      </c>
      <c r="Y288" s="37">
        <f>IF($AL288="","",INDEX('04_調査結果'!$AX$5:$AX$404,$AL288))</f>
        <v/>
      </c>
      <c r="Z288">
        <f>IF($AL288="","",INDEX('04_調査結果'!$S$5:$S$404,$AL288)&amp;"")</f>
        <v/>
      </c>
      <c r="AA288">
        <f>IF($AL288="","",INDEX('04_調査結果'!$T$5:$T$404,$AL288))</f>
        <v/>
      </c>
      <c r="AB288">
        <f>IF($AL288="","",INDEX('04_調査結果'!$U$5:$U$404,$AL288))</f>
        <v/>
      </c>
      <c r="AC288">
        <f>IF($AL288="","",INDEX('04_調査結果'!$V$5:$V$404,$AL288))</f>
        <v/>
      </c>
      <c r="AD288">
        <f>IF($AL288="","",INDEX('04_調査結果'!$W$5:$W$404,$AL288))</f>
        <v/>
      </c>
      <c r="AE288">
        <f>IF($AL288="","",INDEX('04_調査結果'!$X$5:$X$404,$AL288))</f>
        <v/>
      </c>
      <c r="AF288">
        <f>IF($AL288="","",INDEX('04_調査結果'!$Y$5:$Y$404,$AL288))</f>
        <v/>
      </c>
      <c r="AG288">
        <f>IF($AL288="","",INDEX('04_調査結果'!$Z$5:$Z$404,$AL288))</f>
        <v/>
      </c>
      <c r="AH288">
        <f>IF($AL288="","",INDEX('04_調査結果'!$AK$5:$AK$404,$AL288))</f>
        <v/>
      </c>
      <c r="AI288">
        <f>IF($AL288="","",INDEX('04_調査結果'!$AH$5:$AH$404,$AL288)&amp;"")</f>
        <v/>
      </c>
      <c r="AJ288">
        <f>IF($AL288="","",INDEX('04_調査結果'!$AA$5:$AA$404,$AL288)&amp;"")</f>
        <v/>
      </c>
      <c r="AK288">
        <f>IF($AL288="","",INDEX('04_調査結果'!$AC$5:$AC$404,$AL288)&amp;"")</f>
        <v/>
      </c>
      <c r="AL288" s="34">
        <f>IFERROR(MATCH(ROW()-4,'04_調査結果'!$AZ$5:$AZ$404,0),"")</f>
        <v/>
      </c>
    </row>
    <row r="289">
      <c r="A289">
        <f>IF($AL289="","",'01_設定'!$C$36)</f>
        <v/>
      </c>
      <c r="B289">
        <f>IF($AL289="","",'01_設定'!$C$5)</f>
        <v/>
      </c>
      <c r="C289">
        <f>IF($AL289="","",'01_設定'!$C$6)</f>
        <v/>
      </c>
      <c r="D289" s="36">
        <f>IF($AL289="","",'01_設定'!$C$22)</f>
        <v/>
      </c>
      <c r="E289" s="36">
        <f>IF($AL289="","",'01_設定'!$C$23)</f>
        <v/>
      </c>
      <c r="F289">
        <f>IF($AL289="","",'01_設定'!$C$32)</f>
        <v/>
      </c>
      <c r="G289">
        <f>IF($AL289="","",ROW()-4)</f>
        <v/>
      </c>
      <c r="H289">
        <f>IF($AL289="","",INDEX('04_調査結果'!$AO$5:$AO$404,$AL289))</f>
        <v/>
      </c>
      <c r="I289">
        <f>IF($AL289="","",IFERROR(INDEX('M2_区分マスタ'!$I$5:$I$10,INDEX('04_調査結果'!$AP$5:$AP$404,$AL289)),""))</f>
        <v/>
      </c>
      <c r="J289">
        <f>IF($AL289="","",INDEX('04_調査結果'!$BE$5:$BE$404,$AL289)&amp;"")</f>
        <v/>
      </c>
      <c r="K289">
        <f>IF($AL289="","",INDEX('04_調査結果'!$F$5:$F$404,$AL289)&amp;"")</f>
        <v/>
      </c>
      <c r="L289">
        <f>IF($AL289="","",INDEX('04_調査結果'!$G$5:$G$404,$AL289)&amp;"")</f>
        <v/>
      </c>
      <c r="M289">
        <f>IF($AL289="","",INDEX('04_調査結果'!$AQ$5:$AQ$404,$AL289)&amp;"")</f>
        <v/>
      </c>
      <c r="N289">
        <f>IF($AL289="","",IFERROR(INDEX('M1_類型マスタ'!$B$5:$B$19,MATCH(M289,'M1_類型マスタ'!$A$5:$A$19,0)),""))</f>
        <v/>
      </c>
      <c r="O289">
        <f>IF($AL289="","",INDEX('04_調査結果'!$I$5:$I$404,$AL289)&amp;"")</f>
        <v/>
      </c>
      <c r="P289">
        <f>IF($AL289="","",INDEX('04_調査結果'!$J$5:$J$404,$AL289)&amp;"")</f>
        <v/>
      </c>
      <c r="Q289">
        <f>IF($AL289="","",INDEX('04_調査結果'!$K$5:$K$404,$AL289)&amp;"")</f>
        <v/>
      </c>
      <c r="R289">
        <f>IF($AL289="","",INDEX('04_調査結果'!$L$5:$L$404,$AL289)&amp;"")</f>
        <v/>
      </c>
      <c r="S289">
        <f>IF($AL289="","",INDEX('04_調査結果'!$M$5:$M$404,$AL289)&amp;"")</f>
        <v/>
      </c>
      <c r="T289" s="33">
        <f>IF($AL289="","",IF(INDEX('04_調査結果'!$AE$5:$AE$404,$AL289)&lt;&gt;"",INDEX('04_調査結果'!$AE$5:$AE$404,$AL289),INDEX('04_調査結果'!$AS$5:$AS$404,$AL289)))</f>
        <v/>
      </c>
      <c r="U289" s="33">
        <f>IF($AL289="","",IF(INDEX('04_調査結果'!$AF$5:$AF$404,$AL289)&lt;&gt;"",INDEX('04_調査結果'!$AF$5:$AF$404,$AL289),INDEX('04_調査結果'!$AT$5:$AT$404,$AL289)))</f>
        <v/>
      </c>
      <c r="V289" s="33">
        <f>IF($AL289="","",INDEX('04_調査結果'!$AI$5:$AI$404,$AL289))</f>
        <v/>
      </c>
      <c r="W289">
        <f>IF($AL289="","",INDEX('04_調査結果'!$AU$5:$AU$404,$AL289))</f>
        <v/>
      </c>
      <c r="X289" s="37">
        <f>IF($AL289="","",INDEX('04_調査結果'!$AW$5:$AW$404,$AL289))</f>
        <v/>
      </c>
      <c r="Y289" s="37">
        <f>IF($AL289="","",INDEX('04_調査結果'!$AX$5:$AX$404,$AL289))</f>
        <v/>
      </c>
      <c r="Z289">
        <f>IF($AL289="","",INDEX('04_調査結果'!$S$5:$S$404,$AL289)&amp;"")</f>
        <v/>
      </c>
      <c r="AA289">
        <f>IF($AL289="","",INDEX('04_調査結果'!$T$5:$T$404,$AL289))</f>
        <v/>
      </c>
      <c r="AB289">
        <f>IF($AL289="","",INDEX('04_調査結果'!$U$5:$U$404,$AL289))</f>
        <v/>
      </c>
      <c r="AC289">
        <f>IF($AL289="","",INDEX('04_調査結果'!$V$5:$V$404,$AL289))</f>
        <v/>
      </c>
      <c r="AD289">
        <f>IF($AL289="","",INDEX('04_調査結果'!$W$5:$W$404,$AL289))</f>
        <v/>
      </c>
      <c r="AE289">
        <f>IF($AL289="","",INDEX('04_調査結果'!$X$5:$X$404,$AL289))</f>
        <v/>
      </c>
      <c r="AF289">
        <f>IF($AL289="","",INDEX('04_調査結果'!$Y$5:$Y$404,$AL289))</f>
        <v/>
      </c>
      <c r="AG289">
        <f>IF($AL289="","",INDEX('04_調査結果'!$Z$5:$Z$404,$AL289))</f>
        <v/>
      </c>
      <c r="AH289">
        <f>IF($AL289="","",INDEX('04_調査結果'!$AK$5:$AK$404,$AL289))</f>
        <v/>
      </c>
      <c r="AI289">
        <f>IF($AL289="","",INDEX('04_調査結果'!$AH$5:$AH$404,$AL289)&amp;"")</f>
        <v/>
      </c>
      <c r="AJ289">
        <f>IF($AL289="","",INDEX('04_調査結果'!$AA$5:$AA$404,$AL289)&amp;"")</f>
        <v/>
      </c>
      <c r="AK289">
        <f>IF($AL289="","",INDEX('04_調査結果'!$AC$5:$AC$404,$AL289)&amp;"")</f>
        <v/>
      </c>
      <c r="AL289" s="34">
        <f>IFERROR(MATCH(ROW()-4,'04_調査結果'!$AZ$5:$AZ$404,0),"")</f>
        <v/>
      </c>
    </row>
    <row r="290">
      <c r="A290">
        <f>IF($AL290="","",'01_設定'!$C$36)</f>
        <v/>
      </c>
      <c r="B290">
        <f>IF($AL290="","",'01_設定'!$C$5)</f>
        <v/>
      </c>
      <c r="C290">
        <f>IF($AL290="","",'01_設定'!$C$6)</f>
        <v/>
      </c>
      <c r="D290" s="36">
        <f>IF($AL290="","",'01_設定'!$C$22)</f>
        <v/>
      </c>
      <c r="E290" s="36">
        <f>IF($AL290="","",'01_設定'!$C$23)</f>
        <v/>
      </c>
      <c r="F290">
        <f>IF($AL290="","",'01_設定'!$C$32)</f>
        <v/>
      </c>
      <c r="G290">
        <f>IF($AL290="","",ROW()-4)</f>
        <v/>
      </c>
      <c r="H290">
        <f>IF($AL290="","",INDEX('04_調査結果'!$AO$5:$AO$404,$AL290))</f>
        <v/>
      </c>
      <c r="I290">
        <f>IF($AL290="","",IFERROR(INDEX('M2_区分マスタ'!$I$5:$I$10,INDEX('04_調査結果'!$AP$5:$AP$404,$AL290)),""))</f>
        <v/>
      </c>
      <c r="J290">
        <f>IF($AL290="","",INDEX('04_調査結果'!$BE$5:$BE$404,$AL290)&amp;"")</f>
        <v/>
      </c>
      <c r="K290">
        <f>IF($AL290="","",INDEX('04_調査結果'!$F$5:$F$404,$AL290)&amp;"")</f>
        <v/>
      </c>
      <c r="L290">
        <f>IF($AL290="","",INDEX('04_調査結果'!$G$5:$G$404,$AL290)&amp;"")</f>
        <v/>
      </c>
      <c r="M290">
        <f>IF($AL290="","",INDEX('04_調査結果'!$AQ$5:$AQ$404,$AL290)&amp;"")</f>
        <v/>
      </c>
      <c r="N290">
        <f>IF($AL290="","",IFERROR(INDEX('M1_類型マスタ'!$B$5:$B$19,MATCH(M290,'M1_類型マスタ'!$A$5:$A$19,0)),""))</f>
        <v/>
      </c>
      <c r="O290">
        <f>IF($AL290="","",INDEX('04_調査結果'!$I$5:$I$404,$AL290)&amp;"")</f>
        <v/>
      </c>
      <c r="P290">
        <f>IF($AL290="","",INDEX('04_調査結果'!$J$5:$J$404,$AL290)&amp;"")</f>
        <v/>
      </c>
      <c r="Q290">
        <f>IF($AL290="","",INDEX('04_調査結果'!$K$5:$K$404,$AL290)&amp;"")</f>
        <v/>
      </c>
      <c r="R290">
        <f>IF($AL290="","",INDEX('04_調査結果'!$L$5:$L$404,$AL290)&amp;"")</f>
        <v/>
      </c>
      <c r="S290">
        <f>IF($AL290="","",INDEX('04_調査結果'!$M$5:$M$404,$AL290)&amp;"")</f>
        <v/>
      </c>
      <c r="T290" s="33">
        <f>IF($AL290="","",IF(INDEX('04_調査結果'!$AE$5:$AE$404,$AL290)&lt;&gt;"",INDEX('04_調査結果'!$AE$5:$AE$404,$AL290),INDEX('04_調査結果'!$AS$5:$AS$404,$AL290)))</f>
        <v/>
      </c>
      <c r="U290" s="33">
        <f>IF($AL290="","",IF(INDEX('04_調査結果'!$AF$5:$AF$404,$AL290)&lt;&gt;"",INDEX('04_調査結果'!$AF$5:$AF$404,$AL290),INDEX('04_調査結果'!$AT$5:$AT$404,$AL290)))</f>
        <v/>
      </c>
      <c r="V290" s="33">
        <f>IF($AL290="","",INDEX('04_調査結果'!$AI$5:$AI$404,$AL290))</f>
        <v/>
      </c>
      <c r="W290">
        <f>IF($AL290="","",INDEX('04_調査結果'!$AU$5:$AU$404,$AL290))</f>
        <v/>
      </c>
      <c r="X290" s="37">
        <f>IF($AL290="","",INDEX('04_調査結果'!$AW$5:$AW$404,$AL290))</f>
        <v/>
      </c>
      <c r="Y290" s="37">
        <f>IF($AL290="","",INDEX('04_調査結果'!$AX$5:$AX$404,$AL290))</f>
        <v/>
      </c>
      <c r="Z290">
        <f>IF($AL290="","",INDEX('04_調査結果'!$S$5:$S$404,$AL290)&amp;"")</f>
        <v/>
      </c>
      <c r="AA290">
        <f>IF($AL290="","",INDEX('04_調査結果'!$T$5:$T$404,$AL290))</f>
        <v/>
      </c>
      <c r="AB290">
        <f>IF($AL290="","",INDEX('04_調査結果'!$U$5:$U$404,$AL290))</f>
        <v/>
      </c>
      <c r="AC290">
        <f>IF($AL290="","",INDEX('04_調査結果'!$V$5:$V$404,$AL290))</f>
        <v/>
      </c>
      <c r="AD290">
        <f>IF($AL290="","",INDEX('04_調査結果'!$W$5:$W$404,$AL290))</f>
        <v/>
      </c>
      <c r="AE290">
        <f>IF($AL290="","",INDEX('04_調査結果'!$X$5:$X$404,$AL290))</f>
        <v/>
      </c>
      <c r="AF290">
        <f>IF($AL290="","",INDEX('04_調査結果'!$Y$5:$Y$404,$AL290))</f>
        <v/>
      </c>
      <c r="AG290">
        <f>IF($AL290="","",INDEX('04_調査結果'!$Z$5:$Z$404,$AL290))</f>
        <v/>
      </c>
      <c r="AH290">
        <f>IF($AL290="","",INDEX('04_調査結果'!$AK$5:$AK$404,$AL290))</f>
        <v/>
      </c>
      <c r="AI290">
        <f>IF($AL290="","",INDEX('04_調査結果'!$AH$5:$AH$404,$AL290)&amp;"")</f>
        <v/>
      </c>
      <c r="AJ290">
        <f>IF($AL290="","",INDEX('04_調査結果'!$AA$5:$AA$404,$AL290)&amp;"")</f>
        <v/>
      </c>
      <c r="AK290">
        <f>IF($AL290="","",INDEX('04_調査結果'!$AC$5:$AC$404,$AL290)&amp;"")</f>
        <v/>
      </c>
      <c r="AL290" s="34">
        <f>IFERROR(MATCH(ROW()-4,'04_調査結果'!$AZ$5:$AZ$404,0),"")</f>
        <v/>
      </c>
    </row>
    <row r="291">
      <c r="A291">
        <f>IF($AL291="","",'01_設定'!$C$36)</f>
        <v/>
      </c>
      <c r="B291">
        <f>IF($AL291="","",'01_設定'!$C$5)</f>
        <v/>
      </c>
      <c r="C291">
        <f>IF($AL291="","",'01_設定'!$C$6)</f>
        <v/>
      </c>
      <c r="D291" s="36">
        <f>IF($AL291="","",'01_設定'!$C$22)</f>
        <v/>
      </c>
      <c r="E291" s="36">
        <f>IF($AL291="","",'01_設定'!$C$23)</f>
        <v/>
      </c>
      <c r="F291">
        <f>IF($AL291="","",'01_設定'!$C$32)</f>
        <v/>
      </c>
      <c r="G291">
        <f>IF($AL291="","",ROW()-4)</f>
        <v/>
      </c>
      <c r="H291">
        <f>IF($AL291="","",INDEX('04_調査結果'!$AO$5:$AO$404,$AL291))</f>
        <v/>
      </c>
      <c r="I291">
        <f>IF($AL291="","",IFERROR(INDEX('M2_区分マスタ'!$I$5:$I$10,INDEX('04_調査結果'!$AP$5:$AP$404,$AL291)),""))</f>
        <v/>
      </c>
      <c r="J291">
        <f>IF($AL291="","",INDEX('04_調査結果'!$BE$5:$BE$404,$AL291)&amp;"")</f>
        <v/>
      </c>
      <c r="K291">
        <f>IF($AL291="","",INDEX('04_調査結果'!$F$5:$F$404,$AL291)&amp;"")</f>
        <v/>
      </c>
      <c r="L291">
        <f>IF($AL291="","",INDEX('04_調査結果'!$G$5:$G$404,$AL291)&amp;"")</f>
        <v/>
      </c>
      <c r="M291">
        <f>IF($AL291="","",INDEX('04_調査結果'!$AQ$5:$AQ$404,$AL291)&amp;"")</f>
        <v/>
      </c>
      <c r="N291">
        <f>IF($AL291="","",IFERROR(INDEX('M1_類型マスタ'!$B$5:$B$19,MATCH(M291,'M1_類型マスタ'!$A$5:$A$19,0)),""))</f>
        <v/>
      </c>
      <c r="O291">
        <f>IF($AL291="","",INDEX('04_調査結果'!$I$5:$I$404,$AL291)&amp;"")</f>
        <v/>
      </c>
      <c r="P291">
        <f>IF($AL291="","",INDEX('04_調査結果'!$J$5:$J$404,$AL291)&amp;"")</f>
        <v/>
      </c>
      <c r="Q291">
        <f>IF($AL291="","",INDEX('04_調査結果'!$K$5:$K$404,$AL291)&amp;"")</f>
        <v/>
      </c>
      <c r="R291">
        <f>IF($AL291="","",INDEX('04_調査結果'!$L$5:$L$404,$AL291)&amp;"")</f>
        <v/>
      </c>
      <c r="S291">
        <f>IF($AL291="","",INDEX('04_調査結果'!$M$5:$M$404,$AL291)&amp;"")</f>
        <v/>
      </c>
      <c r="T291" s="33">
        <f>IF($AL291="","",IF(INDEX('04_調査結果'!$AE$5:$AE$404,$AL291)&lt;&gt;"",INDEX('04_調査結果'!$AE$5:$AE$404,$AL291),INDEX('04_調査結果'!$AS$5:$AS$404,$AL291)))</f>
        <v/>
      </c>
      <c r="U291" s="33">
        <f>IF($AL291="","",IF(INDEX('04_調査結果'!$AF$5:$AF$404,$AL291)&lt;&gt;"",INDEX('04_調査結果'!$AF$5:$AF$404,$AL291),INDEX('04_調査結果'!$AT$5:$AT$404,$AL291)))</f>
        <v/>
      </c>
      <c r="V291" s="33">
        <f>IF($AL291="","",INDEX('04_調査結果'!$AI$5:$AI$404,$AL291))</f>
        <v/>
      </c>
      <c r="W291">
        <f>IF($AL291="","",INDEX('04_調査結果'!$AU$5:$AU$404,$AL291))</f>
        <v/>
      </c>
      <c r="X291" s="37">
        <f>IF($AL291="","",INDEX('04_調査結果'!$AW$5:$AW$404,$AL291))</f>
        <v/>
      </c>
      <c r="Y291" s="37">
        <f>IF($AL291="","",INDEX('04_調査結果'!$AX$5:$AX$404,$AL291))</f>
        <v/>
      </c>
      <c r="Z291">
        <f>IF($AL291="","",INDEX('04_調査結果'!$S$5:$S$404,$AL291)&amp;"")</f>
        <v/>
      </c>
      <c r="AA291">
        <f>IF($AL291="","",INDEX('04_調査結果'!$T$5:$T$404,$AL291))</f>
        <v/>
      </c>
      <c r="AB291">
        <f>IF($AL291="","",INDEX('04_調査結果'!$U$5:$U$404,$AL291))</f>
        <v/>
      </c>
      <c r="AC291">
        <f>IF($AL291="","",INDEX('04_調査結果'!$V$5:$V$404,$AL291))</f>
        <v/>
      </c>
      <c r="AD291">
        <f>IF($AL291="","",INDEX('04_調査結果'!$W$5:$W$404,$AL291))</f>
        <v/>
      </c>
      <c r="AE291">
        <f>IF($AL291="","",INDEX('04_調査結果'!$X$5:$X$404,$AL291))</f>
        <v/>
      </c>
      <c r="AF291">
        <f>IF($AL291="","",INDEX('04_調査結果'!$Y$5:$Y$404,$AL291))</f>
        <v/>
      </c>
      <c r="AG291">
        <f>IF($AL291="","",INDEX('04_調査結果'!$Z$5:$Z$404,$AL291))</f>
        <v/>
      </c>
      <c r="AH291">
        <f>IF($AL291="","",INDEX('04_調査結果'!$AK$5:$AK$404,$AL291))</f>
        <v/>
      </c>
      <c r="AI291">
        <f>IF($AL291="","",INDEX('04_調査結果'!$AH$5:$AH$404,$AL291)&amp;"")</f>
        <v/>
      </c>
      <c r="AJ291">
        <f>IF($AL291="","",INDEX('04_調査結果'!$AA$5:$AA$404,$AL291)&amp;"")</f>
        <v/>
      </c>
      <c r="AK291">
        <f>IF($AL291="","",INDEX('04_調査結果'!$AC$5:$AC$404,$AL291)&amp;"")</f>
        <v/>
      </c>
      <c r="AL291" s="34">
        <f>IFERROR(MATCH(ROW()-4,'04_調査結果'!$AZ$5:$AZ$404,0),"")</f>
        <v/>
      </c>
    </row>
    <row r="292">
      <c r="A292">
        <f>IF($AL292="","",'01_設定'!$C$36)</f>
        <v/>
      </c>
      <c r="B292">
        <f>IF($AL292="","",'01_設定'!$C$5)</f>
        <v/>
      </c>
      <c r="C292">
        <f>IF($AL292="","",'01_設定'!$C$6)</f>
        <v/>
      </c>
      <c r="D292" s="36">
        <f>IF($AL292="","",'01_設定'!$C$22)</f>
        <v/>
      </c>
      <c r="E292" s="36">
        <f>IF($AL292="","",'01_設定'!$C$23)</f>
        <v/>
      </c>
      <c r="F292">
        <f>IF($AL292="","",'01_設定'!$C$32)</f>
        <v/>
      </c>
      <c r="G292">
        <f>IF($AL292="","",ROW()-4)</f>
        <v/>
      </c>
      <c r="H292">
        <f>IF($AL292="","",INDEX('04_調査結果'!$AO$5:$AO$404,$AL292))</f>
        <v/>
      </c>
      <c r="I292">
        <f>IF($AL292="","",IFERROR(INDEX('M2_区分マスタ'!$I$5:$I$10,INDEX('04_調査結果'!$AP$5:$AP$404,$AL292)),""))</f>
        <v/>
      </c>
      <c r="J292">
        <f>IF($AL292="","",INDEX('04_調査結果'!$BE$5:$BE$404,$AL292)&amp;"")</f>
        <v/>
      </c>
      <c r="K292">
        <f>IF($AL292="","",INDEX('04_調査結果'!$F$5:$F$404,$AL292)&amp;"")</f>
        <v/>
      </c>
      <c r="L292">
        <f>IF($AL292="","",INDEX('04_調査結果'!$G$5:$G$404,$AL292)&amp;"")</f>
        <v/>
      </c>
      <c r="M292">
        <f>IF($AL292="","",INDEX('04_調査結果'!$AQ$5:$AQ$404,$AL292)&amp;"")</f>
        <v/>
      </c>
      <c r="N292">
        <f>IF($AL292="","",IFERROR(INDEX('M1_類型マスタ'!$B$5:$B$19,MATCH(M292,'M1_類型マスタ'!$A$5:$A$19,0)),""))</f>
        <v/>
      </c>
      <c r="O292">
        <f>IF($AL292="","",INDEX('04_調査結果'!$I$5:$I$404,$AL292)&amp;"")</f>
        <v/>
      </c>
      <c r="P292">
        <f>IF($AL292="","",INDEX('04_調査結果'!$J$5:$J$404,$AL292)&amp;"")</f>
        <v/>
      </c>
      <c r="Q292">
        <f>IF($AL292="","",INDEX('04_調査結果'!$K$5:$K$404,$AL292)&amp;"")</f>
        <v/>
      </c>
      <c r="R292">
        <f>IF($AL292="","",INDEX('04_調査結果'!$L$5:$L$404,$AL292)&amp;"")</f>
        <v/>
      </c>
      <c r="S292">
        <f>IF($AL292="","",INDEX('04_調査結果'!$M$5:$M$404,$AL292)&amp;"")</f>
        <v/>
      </c>
      <c r="T292" s="33">
        <f>IF($AL292="","",IF(INDEX('04_調査結果'!$AE$5:$AE$404,$AL292)&lt;&gt;"",INDEX('04_調査結果'!$AE$5:$AE$404,$AL292),INDEX('04_調査結果'!$AS$5:$AS$404,$AL292)))</f>
        <v/>
      </c>
      <c r="U292" s="33">
        <f>IF($AL292="","",IF(INDEX('04_調査結果'!$AF$5:$AF$404,$AL292)&lt;&gt;"",INDEX('04_調査結果'!$AF$5:$AF$404,$AL292),INDEX('04_調査結果'!$AT$5:$AT$404,$AL292)))</f>
        <v/>
      </c>
      <c r="V292" s="33">
        <f>IF($AL292="","",INDEX('04_調査結果'!$AI$5:$AI$404,$AL292))</f>
        <v/>
      </c>
      <c r="W292">
        <f>IF($AL292="","",INDEX('04_調査結果'!$AU$5:$AU$404,$AL292))</f>
        <v/>
      </c>
      <c r="X292" s="37">
        <f>IF($AL292="","",INDEX('04_調査結果'!$AW$5:$AW$404,$AL292))</f>
        <v/>
      </c>
      <c r="Y292" s="37">
        <f>IF($AL292="","",INDEX('04_調査結果'!$AX$5:$AX$404,$AL292))</f>
        <v/>
      </c>
      <c r="Z292">
        <f>IF($AL292="","",INDEX('04_調査結果'!$S$5:$S$404,$AL292)&amp;"")</f>
        <v/>
      </c>
      <c r="AA292">
        <f>IF($AL292="","",INDEX('04_調査結果'!$T$5:$T$404,$AL292))</f>
        <v/>
      </c>
      <c r="AB292">
        <f>IF($AL292="","",INDEX('04_調査結果'!$U$5:$U$404,$AL292))</f>
        <v/>
      </c>
      <c r="AC292">
        <f>IF($AL292="","",INDEX('04_調査結果'!$V$5:$V$404,$AL292))</f>
        <v/>
      </c>
      <c r="AD292">
        <f>IF($AL292="","",INDEX('04_調査結果'!$W$5:$W$404,$AL292))</f>
        <v/>
      </c>
      <c r="AE292">
        <f>IF($AL292="","",INDEX('04_調査結果'!$X$5:$X$404,$AL292))</f>
        <v/>
      </c>
      <c r="AF292">
        <f>IF($AL292="","",INDEX('04_調査結果'!$Y$5:$Y$404,$AL292))</f>
        <v/>
      </c>
      <c r="AG292">
        <f>IF($AL292="","",INDEX('04_調査結果'!$Z$5:$Z$404,$AL292))</f>
        <v/>
      </c>
      <c r="AH292">
        <f>IF($AL292="","",INDEX('04_調査結果'!$AK$5:$AK$404,$AL292))</f>
        <v/>
      </c>
      <c r="AI292">
        <f>IF($AL292="","",INDEX('04_調査結果'!$AH$5:$AH$404,$AL292)&amp;"")</f>
        <v/>
      </c>
      <c r="AJ292">
        <f>IF($AL292="","",INDEX('04_調査結果'!$AA$5:$AA$404,$AL292)&amp;"")</f>
        <v/>
      </c>
      <c r="AK292">
        <f>IF($AL292="","",INDEX('04_調査結果'!$AC$5:$AC$404,$AL292)&amp;"")</f>
        <v/>
      </c>
      <c r="AL292" s="34">
        <f>IFERROR(MATCH(ROW()-4,'04_調査結果'!$AZ$5:$AZ$404,0),"")</f>
        <v/>
      </c>
    </row>
    <row r="293">
      <c r="A293">
        <f>IF($AL293="","",'01_設定'!$C$36)</f>
        <v/>
      </c>
      <c r="B293">
        <f>IF($AL293="","",'01_設定'!$C$5)</f>
        <v/>
      </c>
      <c r="C293">
        <f>IF($AL293="","",'01_設定'!$C$6)</f>
        <v/>
      </c>
      <c r="D293" s="36">
        <f>IF($AL293="","",'01_設定'!$C$22)</f>
        <v/>
      </c>
      <c r="E293" s="36">
        <f>IF($AL293="","",'01_設定'!$C$23)</f>
        <v/>
      </c>
      <c r="F293">
        <f>IF($AL293="","",'01_設定'!$C$32)</f>
        <v/>
      </c>
      <c r="G293">
        <f>IF($AL293="","",ROW()-4)</f>
        <v/>
      </c>
      <c r="H293">
        <f>IF($AL293="","",INDEX('04_調査結果'!$AO$5:$AO$404,$AL293))</f>
        <v/>
      </c>
      <c r="I293">
        <f>IF($AL293="","",IFERROR(INDEX('M2_区分マスタ'!$I$5:$I$10,INDEX('04_調査結果'!$AP$5:$AP$404,$AL293)),""))</f>
        <v/>
      </c>
      <c r="J293">
        <f>IF($AL293="","",INDEX('04_調査結果'!$BE$5:$BE$404,$AL293)&amp;"")</f>
        <v/>
      </c>
      <c r="K293">
        <f>IF($AL293="","",INDEX('04_調査結果'!$F$5:$F$404,$AL293)&amp;"")</f>
        <v/>
      </c>
      <c r="L293">
        <f>IF($AL293="","",INDEX('04_調査結果'!$G$5:$G$404,$AL293)&amp;"")</f>
        <v/>
      </c>
      <c r="M293">
        <f>IF($AL293="","",INDEX('04_調査結果'!$AQ$5:$AQ$404,$AL293)&amp;"")</f>
        <v/>
      </c>
      <c r="N293">
        <f>IF($AL293="","",IFERROR(INDEX('M1_類型マスタ'!$B$5:$B$19,MATCH(M293,'M1_類型マスタ'!$A$5:$A$19,0)),""))</f>
        <v/>
      </c>
      <c r="O293">
        <f>IF($AL293="","",INDEX('04_調査結果'!$I$5:$I$404,$AL293)&amp;"")</f>
        <v/>
      </c>
      <c r="P293">
        <f>IF($AL293="","",INDEX('04_調査結果'!$J$5:$J$404,$AL293)&amp;"")</f>
        <v/>
      </c>
      <c r="Q293">
        <f>IF($AL293="","",INDEX('04_調査結果'!$K$5:$K$404,$AL293)&amp;"")</f>
        <v/>
      </c>
      <c r="R293">
        <f>IF($AL293="","",INDEX('04_調査結果'!$L$5:$L$404,$AL293)&amp;"")</f>
        <v/>
      </c>
      <c r="S293">
        <f>IF($AL293="","",INDEX('04_調査結果'!$M$5:$M$404,$AL293)&amp;"")</f>
        <v/>
      </c>
      <c r="T293" s="33">
        <f>IF($AL293="","",IF(INDEX('04_調査結果'!$AE$5:$AE$404,$AL293)&lt;&gt;"",INDEX('04_調査結果'!$AE$5:$AE$404,$AL293),INDEX('04_調査結果'!$AS$5:$AS$404,$AL293)))</f>
        <v/>
      </c>
      <c r="U293" s="33">
        <f>IF($AL293="","",IF(INDEX('04_調査結果'!$AF$5:$AF$404,$AL293)&lt;&gt;"",INDEX('04_調査結果'!$AF$5:$AF$404,$AL293),INDEX('04_調査結果'!$AT$5:$AT$404,$AL293)))</f>
        <v/>
      </c>
      <c r="V293" s="33">
        <f>IF($AL293="","",INDEX('04_調査結果'!$AI$5:$AI$404,$AL293))</f>
        <v/>
      </c>
      <c r="W293">
        <f>IF($AL293="","",INDEX('04_調査結果'!$AU$5:$AU$404,$AL293))</f>
        <v/>
      </c>
      <c r="X293" s="37">
        <f>IF($AL293="","",INDEX('04_調査結果'!$AW$5:$AW$404,$AL293))</f>
        <v/>
      </c>
      <c r="Y293" s="37">
        <f>IF($AL293="","",INDEX('04_調査結果'!$AX$5:$AX$404,$AL293))</f>
        <v/>
      </c>
      <c r="Z293">
        <f>IF($AL293="","",INDEX('04_調査結果'!$S$5:$S$404,$AL293)&amp;"")</f>
        <v/>
      </c>
      <c r="AA293">
        <f>IF($AL293="","",INDEX('04_調査結果'!$T$5:$T$404,$AL293))</f>
        <v/>
      </c>
      <c r="AB293">
        <f>IF($AL293="","",INDEX('04_調査結果'!$U$5:$U$404,$AL293))</f>
        <v/>
      </c>
      <c r="AC293">
        <f>IF($AL293="","",INDEX('04_調査結果'!$V$5:$V$404,$AL293))</f>
        <v/>
      </c>
      <c r="AD293">
        <f>IF($AL293="","",INDEX('04_調査結果'!$W$5:$W$404,$AL293))</f>
        <v/>
      </c>
      <c r="AE293">
        <f>IF($AL293="","",INDEX('04_調査結果'!$X$5:$X$404,$AL293))</f>
        <v/>
      </c>
      <c r="AF293">
        <f>IF($AL293="","",INDEX('04_調査結果'!$Y$5:$Y$404,$AL293))</f>
        <v/>
      </c>
      <c r="AG293">
        <f>IF($AL293="","",INDEX('04_調査結果'!$Z$5:$Z$404,$AL293))</f>
        <v/>
      </c>
      <c r="AH293">
        <f>IF($AL293="","",INDEX('04_調査結果'!$AK$5:$AK$404,$AL293))</f>
        <v/>
      </c>
      <c r="AI293">
        <f>IF($AL293="","",INDEX('04_調査結果'!$AH$5:$AH$404,$AL293)&amp;"")</f>
        <v/>
      </c>
      <c r="AJ293">
        <f>IF($AL293="","",INDEX('04_調査結果'!$AA$5:$AA$404,$AL293)&amp;"")</f>
        <v/>
      </c>
      <c r="AK293">
        <f>IF($AL293="","",INDEX('04_調査結果'!$AC$5:$AC$404,$AL293)&amp;"")</f>
        <v/>
      </c>
      <c r="AL293" s="34">
        <f>IFERROR(MATCH(ROW()-4,'04_調査結果'!$AZ$5:$AZ$404,0),"")</f>
        <v/>
      </c>
    </row>
    <row r="294">
      <c r="A294">
        <f>IF($AL294="","",'01_設定'!$C$36)</f>
        <v/>
      </c>
      <c r="B294">
        <f>IF($AL294="","",'01_設定'!$C$5)</f>
        <v/>
      </c>
      <c r="C294">
        <f>IF($AL294="","",'01_設定'!$C$6)</f>
        <v/>
      </c>
      <c r="D294" s="36">
        <f>IF($AL294="","",'01_設定'!$C$22)</f>
        <v/>
      </c>
      <c r="E294" s="36">
        <f>IF($AL294="","",'01_設定'!$C$23)</f>
        <v/>
      </c>
      <c r="F294">
        <f>IF($AL294="","",'01_設定'!$C$32)</f>
        <v/>
      </c>
      <c r="G294">
        <f>IF($AL294="","",ROW()-4)</f>
        <v/>
      </c>
      <c r="H294">
        <f>IF($AL294="","",INDEX('04_調査結果'!$AO$5:$AO$404,$AL294))</f>
        <v/>
      </c>
      <c r="I294">
        <f>IF($AL294="","",IFERROR(INDEX('M2_区分マスタ'!$I$5:$I$10,INDEX('04_調査結果'!$AP$5:$AP$404,$AL294)),""))</f>
        <v/>
      </c>
      <c r="J294">
        <f>IF($AL294="","",INDEX('04_調査結果'!$BE$5:$BE$404,$AL294)&amp;"")</f>
        <v/>
      </c>
      <c r="K294">
        <f>IF($AL294="","",INDEX('04_調査結果'!$F$5:$F$404,$AL294)&amp;"")</f>
        <v/>
      </c>
      <c r="L294">
        <f>IF($AL294="","",INDEX('04_調査結果'!$G$5:$G$404,$AL294)&amp;"")</f>
        <v/>
      </c>
      <c r="M294">
        <f>IF($AL294="","",INDEX('04_調査結果'!$AQ$5:$AQ$404,$AL294)&amp;"")</f>
        <v/>
      </c>
      <c r="N294">
        <f>IF($AL294="","",IFERROR(INDEX('M1_類型マスタ'!$B$5:$B$19,MATCH(M294,'M1_類型マスタ'!$A$5:$A$19,0)),""))</f>
        <v/>
      </c>
      <c r="O294">
        <f>IF($AL294="","",INDEX('04_調査結果'!$I$5:$I$404,$AL294)&amp;"")</f>
        <v/>
      </c>
      <c r="P294">
        <f>IF($AL294="","",INDEX('04_調査結果'!$J$5:$J$404,$AL294)&amp;"")</f>
        <v/>
      </c>
      <c r="Q294">
        <f>IF($AL294="","",INDEX('04_調査結果'!$K$5:$K$404,$AL294)&amp;"")</f>
        <v/>
      </c>
      <c r="R294">
        <f>IF($AL294="","",INDEX('04_調査結果'!$L$5:$L$404,$AL294)&amp;"")</f>
        <v/>
      </c>
      <c r="S294">
        <f>IF($AL294="","",INDEX('04_調査結果'!$M$5:$M$404,$AL294)&amp;"")</f>
        <v/>
      </c>
      <c r="T294" s="33">
        <f>IF($AL294="","",IF(INDEX('04_調査結果'!$AE$5:$AE$404,$AL294)&lt;&gt;"",INDEX('04_調査結果'!$AE$5:$AE$404,$AL294),INDEX('04_調査結果'!$AS$5:$AS$404,$AL294)))</f>
        <v/>
      </c>
      <c r="U294" s="33">
        <f>IF($AL294="","",IF(INDEX('04_調査結果'!$AF$5:$AF$404,$AL294)&lt;&gt;"",INDEX('04_調査結果'!$AF$5:$AF$404,$AL294),INDEX('04_調査結果'!$AT$5:$AT$404,$AL294)))</f>
        <v/>
      </c>
      <c r="V294" s="33">
        <f>IF($AL294="","",INDEX('04_調査結果'!$AI$5:$AI$404,$AL294))</f>
        <v/>
      </c>
      <c r="W294">
        <f>IF($AL294="","",INDEX('04_調査結果'!$AU$5:$AU$404,$AL294))</f>
        <v/>
      </c>
      <c r="X294" s="37">
        <f>IF($AL294="","",INDEX('04_調査結果'!$AW$5:$AW$404,$AL294))</f>
        <v/>
      </c>
      <c r="Y294" s="37">
        <f>IF($AL294="","",INDEX('04_調査結果'!$AX$5:$AX$404,$AL294))</f>
        <v/>
      </c>
      <c r="Z294">
        <f>IF($AL294="","",INDEX('04_調査結果'!$S$5:$S$404,$AL294)&amp;"")</f>
        <v/>
      </c>
      <c r="AA294">
        <f>IF($AL294="","",INDEX('04_調査結果'!$T$5:$T$404,$AL294))</f>
        <v/>
      </c>
      <c r="AB294">
        <f>IF($AL294="","",INDEX('04_調査結果'!$U$5:$U$404,$AL294))</f>
        <v/>
      </c>
      <c r="AC294">
        <f>IF($AL294="","",INDEX('04_調査結果'!$V$5:$V$404,$AL294))</f>
        <v/>
      </c>
      <c r="AD294">
        <f>IF($AL294="","",INDEX('04_調査結果'!$W$5:$W$404,$AL294))</f>
        <v/>
      </c>
      <c r="AE294">
        <f>IF($AL294="","",INDEX('04_調査結果'!$X$5:$X$404,$AL294))</f>
        <v/>
      </c>
      <c r="AF294">
        <f>IF($AL294="","",INDEX('04_調査結果'!$Y$5:$Y$404,$AL294))</f>
        <v/>
      </c>
      <c r="AG294">
        <f>IF($AL294="","",INDEX('04_調査結果'!$Z$5:$Z$404,$AL294))</f>
        <v/>
      </c>
      <c r="AH294">
        <f>IF($AL294="","",INDEX('04_調査結果'!$AK$5:$AK$404,$AL294))</f>
        <v/>
      </c>
      <c r="AI294">
        <f>IF($AL294="","",INDEX('04_調査結果'!$AH$5:$AH$404,$AL294)&amp;"")</f>
        <v/>
      </c>
      <c r="AJ294">
        <f>IF($AL294="","",INDEX('04_調査結果'!$AA$5:$AA$404,$AL294)&amp;"")</f>
        <v/>
      </c>
      <c r="AK294">
        <f>IF($AL294="","",INDEX('04_調査結果'!$AC$5:$AC$404,$AL294)&amp;"")</f>
        <v/>
      </c>
      <c r="AL294" s="34">
        <f>IFERROR(MATCH(ROW()-4,'04_調査結果'!$AZ$5:$AZ$404,0),"")</f>
        <v/>
      </c>
    </row>
    <row r="295">
      <c r="A295">
        <f>IF($AL295="","",'01_設定'!$C$36)</f>
        <v/>
      </c>
      <c r="B295">
        <f>IF($AL295="","",'01_設定'!$C$5)</f>
        <v/>
      </c>
      <c r="C295">
        <f>IF($AL295="","",'01_設定'!$C$6)</f>
        <v/>
      </c>
      <c r="D295" s="36">
        <f>IF($AL295="","",'01_設定'!$C$22)</f>
        <v/>
      </c>
      <c r="E295" s="36">
        <f>IF($AL295="","",'01_設定'!$C$23)</f>
        <v/>
      </c>
      <c r="F295">
        <f>IF($AL295="","",'01_設定'!$C$32)</f>
        <v/>
      </c>
      <c r="G295">
        <f>IF($AL295="","",ROW()-4)</f>
        <v/>
      </c>
      <c r="H295">
        <f>IF($AL295="","",INDEX('04_調査結果'!$AO$5:$AO$404,$AL295))</f>
        <v/>
      </c>
      <c r="I295">
        <f>IF($AL295="","",IFERROR(INDEX('M2_区分マスタ'!$I$5:$I$10,INDEX('04_調査結果'!$AP$5:$AP$404,$AL295)),""))</f>
        <v/>
      </c>
      <c r="J295">
        <f>IF($AL295="","",INDEX('04_調査結果'!$BE$5:$BE$404,$AL295)&amp;"")</f>
        <v/>
      </c>
      <c r="K295">
        <f>IF($AL295="","",INDEX('04_調査結果'!$F$5:$F$404,$AL295)&amp;"")</f>
        <v/>
      </c>
      <c r="L295">
        <f>IF($AL295="","",INDEX('04_調査結果'!$G$5:$G$404,$AL295)&amp;"")</f>
        <v/>
      </c>
      <c r="M295">
        <f>IF($AL295="","",INDEX('04_調査結果'!$AQ$5:$AQ$404,$AL295)&amp;"")</f>
        <v/>
      </c>
      <c r="N295">
        <f>IF($AL295="","",IFERROR(INDEX('M1_類型マスタ'!$B$5:$B$19,MATCH(M295,'M1_類型マスタ'!$A$5:$A$19,0)),""))</f>
        <v/>
      </c>
      <c r="O295">
        <f>IF($AL295="","",INDEX('04_調査結果'!$I$5:$I$404,$AL295)&amp;"")</f>
        <v/>
      </c>
      <c r="P295">
        <f>IF($AL295="","",INDEX('04_調査結果'!$J$5:$J$404,$AL295)&amp;"")</f>
        <v/>
      </c>
      <c r="Q295">
        <f>IF($AL295="","",INDEX('04_調査結果'!$K$5:$K$404,$AL295)&amp;"")</f>
        <v/>
      </c>
      <c r="R295">
        <f>IF($AL295="","",INDEX('04_調査結果'!$L$5:$L$404,$AL295)&amp;"")</f>
        <v/>
      </c>
      <c r="S295">
        <f>IF($AL295="","",INDEX('04_調査結果'!$M$5:$M$404,$AL295)&amp;"")</f>
        <v/>
      </c>
      <c r="T295" s="33">
        <f>IF($AL295="","",IF(INDEX('04_調査結果'!$AE$5:$AE$404,$AL295)&lt;&gt;"",INDEX('04_調査結果'!$AE$5:$AE$404,$AL295),INDEX('04_調査結果'!$AS$5:$AS$404,$AL295)))</f>
        <v/>
      </c>
      <c r="U295" s="33">
        <f>IF($AL295="","",IF(INDEX('04_調査結果'!$AF$5:$AF$404,$AL295)&lt;&gt;"",INDEX('04_調査結果'!$AF$5:$AF$404,$AL295),INDEX('04_調査結果'!$AT$5:$AT$404,$AL295)))</f>
        <v/>
      </c>
      <c r="V295" s="33">
        <f>IF($AL295="","",INDEX('04_調査結果'!$AI$5:$AI$404,$AL295))</f>
        <v/>
      </c>
      <c r="W295">
        <f>IF($AL295="","",INDEX('04_調査結果'!$AU$5:$AU$404,$AL295))</f>
        <v/>
      </c>
      <c r="X295" s="37">
        <f>IF($AL295="","",INDEX('04_調査結果'!$AW$5:$AW$404,$AL295))</f>
        <v/>
      </c>
      <c r="Y295" s="37">
        <f>IF($AL295="","",INDEX('04_調査結果'!$AX$5:$AX$404,$AL295))</f>
        <v/>
      </c>
      <c r="Z295">
        <f>IF($AL295="","",INDEX('04_調査結果'!$S$5:$S$404,$AL295)&amp;"")</f>
        <v/>
      </c>
      <c r="AA295">
        <f>IF($AL295="","",INDEX('04_調査結果'!$T$5:$T$404,$AL295))</f>
        <v/>
      </c>
      <c r="AB295">
        <f>IF($AL295="","",INDEX('04_調査結果'!$U$5:$U$404,$AL295))</f>
        <v/>
      </c>
      <c r="AC295">
        <f>IF($AL295="","",INDEX('04_調査結果'!$V$5:$V$404,$AL295))</f>
        <v/>
      </c>
      <c r="AD295">
        <f>IF($AL295="","",INDEX('04_調査結果'!$W$5:$W$404,$AL295))</f>
        <v/>
      </c>
      <c r="AE295">
        <f>IF($AL295="","",INDEX('04_調査結果'!$X$5:$X$404,$AL295))</f>
        <v/>
      </c>
      <c r="AF295">
        <f>IF($AL295="","",INDEX('04_調査結果'!$Y$5:$Y$404,$AL295))</f>
        <v/>
      </c>
      <c r="AG295">
        <f>IF($AL295="","",INDEX('04_調査結果'!$Z$5:$Z$404,$AL295))</f>
        <v/>
      </c>
      <c r="AH295">
        <f>IF($AL295="","",INDEX('04_調査結果'!$AK$5:$AK$404,$AL295))</f>
        <v/>
      </c>
      <c r="AI295">
        <f>IF($AL295="","",INDEX('04_調査結果'!$AH$5:$AH$404,$AL295)&amp;"")</f>
        <v/>
      </c>
      <c r="AJ295">
        <f>IF($AL295="","",INDEX('04_調査結果'!$AA$5:$AA$404,$AL295)&amp;"")</f>
        <v/>
      </c>
      <c r="AK295">
        <f>IF($AL295="","",INDEX('04_調査結果'!$AC$5:$AC$404,$AL295)&amp;"")</f>
        <v/>
      </c>
      <c r="AL295" s="34">
        <f>IFERROR(MATCH(ROW()-4,'04_調査結果'!$AZ$5:$AZ$404,0),"")</f>
        <v/>
      </c>
    </row>
    <row r="296">
      <c r="A296">
        <f>IF($AL296="","",'01_設定'!$C$36)</f>
        <v/>
      </c>
      <c r="B296">
        <f>IF($AL296="","",'01_設定'!$C$5)</f>
        <v/>
      </c>
      <c r="C296">
        <f>IF($AL296="","",'01_設定'!$C$6)</f>
        <v/>
      </c>
      <c r="D296" s="36">
        <f>IF($AL296="","",'01_設定'!$C$22)</f>
        <v/>
      </c>
      <c r="E296" s="36">
        <f>IF($AL296="","",'01_設定'!$C$23)</f>
        <v/>
      </c>
      <c r="F296">
        <f>IF($AL296="","",'01_設定'!$C$32)</f>
        <v/>
      </c>
      <c r="G296">
        <f>IF($AL296="","",ROW()-4)</f>
        <v/>
      </c>
      <c r="H296">
        <f>IF($AL296="","",INDEX('04_調査結果'!$AO$5:$AO$404,$AL296))</f>
        <v/>
      </c>
      <c r="I296">
        <f>IF($AL296="","",IFERROR(INDEX('M2_区分マスタ'!$I$5:$I$10,INDEX('04_調査結果'!$AP$5:$AP$404,$AL296)),""))</f>
        <v/>
      </c>
      <c r="J296">
        <f>IF($AL296="","",INDEX('04_調査結果'!$BE$5:$BE$404,$AL296)&amp;"")</f>
        <v/>
      </c>
      <c r="K296">
        <f>IF($AL296="","",INDEX('04_調査結果'!$F$5:$F$404,$AL296)&amp;"")</f>
        <v/>
      </c>
      <c r="L296">
        <f>IF($AL296="","",INDEX('04_調査結果'!$G$5:$G$404,$AL296)&amp;"")</f>
        <v/>
      </c>
      <c r="M296">
        <f>IF($AL296="","",INDEX('04_調査結果'!$AQ$5:$AQ$404,$AL296)&amp;"")</f>
        <v/>
      </c>
      <c r="N296">
        <f>IF($AL296="","",IFERROR(INDEX('M1_類型マスタ'!$B$5:$B$19,MATCH(M296,'M1_類型マスタ'!$A$5:$A$19,0)),""))</f>
        <v/>
      </c>
      <c r="O296">
        <f>IF($AL296="","",INDEX('04_調査結果'!$I$5:$I$404,$AL296)&amp;"")</f>
        <v/>
      </c>
      <c r="P296">
        <f>IF($AL296="","",INDEX('04_調査結果'!$J$5:$J$404,$AL296)&amp;"")</f>
        <v/>
      </c>
      <c r="Q296">
        <f>IF($AL296="","",INDEX('04_調査結果'!$K$5:$K$404,$AL296)&amp;"")</f>
        <v/>
      </c>
      <c r="R296">
        <f>IF($AL296="","",INDEX('04_調査結果'!$L$5:$L$404,$AL296)&amp;"")</f>
        <v/>
      </c>
      <c r="S296">
        <f>IF($AL296="","",INDEX('04_調査結果'!$M$5:$M$404,$AL296)&amp;"")</f>
        <v/>
      </c>
      <c r="T296" s="33">
        <f>IF($AL296="","",IF(INDEX('04_調査結果'!$AE$5:$AE$404,$AL296)&lt;&gt;"",INDEX('04_調査結果'!$AE$5:$AE$404,$AL296),INDEX('04_調査結果'!$AS$5:$AS$404,$AL296)))</f>
        <v/>
      </c>
      <c r="U296" s="33">
        <f>IF($AL296="","",IF(INDEX('04_調査結果'!$AF$5:$AF$404,$AL296)&lt;&gt;"",INDEX('04_調査結果'!$AF$5:$AF$404,$AL296),INDEX('04_調査結果'!$AT$5:$AT$404,$AL296)))</f>
        <v/>
      </c>
      <c r="V296" s="33">
        <f>IF($AL296="","",INDEX('04_調査結果'!$AI$5:$AI$404,$AL296))</f>
        <v/>
      </c>
      <c r="W296">
        <f>IF($AL296="","",INDEX('04_調査結果'!$AU$5:$AU$404,$AL296))</f>
        <v/>
      </c>
      <c r="X296" s="37">
        <f>IF($AL296="","",INDEX('04_調査結果'!$AW$5:$AW$404,$AL296))</f>
        <v/>
      </c>
      <c r="Y296" s="37">
        <f>IF($AL296="","",INDEX('04_調査結果'!$AX$5:$AX$404,$AL296))</f>
        <v/>
      </c>
      <c r="Z296">
        <f>IF($AL296="","",INDEX('04_調査結果'!$S$5:$S$404,$AL296)&amp;"")</f>
        <v/>
      </c>
      <c r="AA296">
        <f>IF($AL296="","",INDEX('04_調査結果'!$T$5:$T$404,$AL296))</f>
        <v/>
      </c>
      <c r="AB296">
        <f>IF($AL296="","",INDEX('04_調査結果'!$U$5:$U$404,$AL296))</f>
        <v/>
      </c>
      <c r="AC296">
        <f>IF($AL296="","",INDEX('04_調査結果'!$V$5:$V$404,$AL296))</f>
        <v/>
      </c>
      <c r="AD296">
        <f>IF($AL296="","",INDEX('04_調査結果'!$W$5:$W$404,$AL296))</f>
        <v/>
      </c>
      <c r="AE296">
        <f>IF($AL296="","",INDEX('04_調査結果'!$X$5:$X$404,$AL296))</f>
        <v/>
      </c>
      <c r="AF296">
        <f>IF($AL296="","",INDEX('04_調査結果'!$Y$5:$Y$404,$AL296))</f>
        <v/>
      </c>
      <c r="AG296">
        <f>IF($AL296="","",INDEX('04_調査結果'!$Z$5:$Z$404,$AL296))</f>
        <v/>
      </c>
      <c r="AH296">
        <f>IF($AL296="","",INDEX('04_調査結果'!$AK$5:$AK$404,$AL296))</f>
        <v/>
      </c>
      <c r="AI296">
        <f>IF($AL296="","",INDEX('04_調査結果'!$AH$5:$AH$404,$AL296)&amp;"")</f>
        <v/>
      </c>
      <c r="AJ296">
        <f>IF($AL296="","",INDEX('04_調査結果'!$AA$5:$AA$404,$AL296)&amp;"")</f>
        <v/>
      </c>
      <c r="AK296">
        <f>IF($AL296="","",INDEX('04_調査結果'!$AC$5:$AC$404,$AL296)&amp;"")</f>
        <v/>
      </c>
      <c r="AL296" s="34">
        <f>IFERROR(MATCH(ROW()-4,'04_調査結果'!$AZ$5:$AZ$404,0),"")</f>
        <v/>
      </c>
    </row>
    <row r="297">
      <c r="A297">
        <f>IF($AL297="","",'01_設定'!$C$36)</f>
        <v/>
      </c>
      <c r="B297">
        <f>IF($AL297="","",'01_設定'!$C$5)</f>
        <v/>
      </c>
      <c r="C297">
        <f>IF($AL297="","",'01_設定'!$C$6)</f>
        <v/>
      </c>
      <c r="D297" s="36">
        <f>IF($AL297="","",'01_設定'!$C$22)</f>
        <v/>
      </c>
      <c r="E297" s="36">
        <f>IF($AL297="","",'01_設定'!$C$23)</f>
        <v/>
      </c>
      <c r="F297">
        <f>IF($AL297="","",'01_設定'!$C$32)</f>
        <v/>
      </c>
      <c r="G297">
        <f>IF($AL297="","",ROW()-4)</f>
        <v/>
      </c>
      <c r="H297">
        <f>IF($AL297="","",INDEX('04_調査結果'!$AO$5:$AO$404,$AL297))</f>
        <v/>
      </c>
      <c r="I297">
        <f>IF($AL297="","",IFERROR(INDEX('M2_区分マスタ'!$I$5:$I$10,INDEX('04_調査結果'!$AP$5:$AP$404,$AL297)),""))</f>
        <v/>
      </c>
      <c r="J297">
        <f>IF($AL297="","",INDEX('04_調査結果'!$BE$5:$BE$404,$AL297)&amp;"")</f>
        <v/>
      </c>
      <c r="K297">
        <f>IF($AL297="","",INDEX('04_調査結果'!$F$5:$F$404,$AL297)&amp;"")</f>
        <v/>
      </c>
      <c r="L297">
        <f>IF($AL297="","",INDEX('04_調査結果'!$G$5:$G$404,$AL297)&amp;"")</f>
        <v/>
      </c>
      <c r="M297">
        <f>IF($AL297="","",INDEX('04_調査結果'!$AQ$5:$AQ$404,$AL297)&amp;"")</f>
        <v/>
      </c>
      <c r="N297">
        <f>IF($AL297="","",IFERROR(INDEX('M1_類型マスタ'!$B$5:$B$19,MATCH(M297,'M1_類型マスタ'!$A$5:$A$19,0)),""))</f>
        <v/>
      </c>
      <c r="O297">
        <f>IF($AL297="","",INDEX('04_調査結果'!$I$5:$I$404,$AL297)&amp;"")</f>
        <v/>
      </c>
      <c r="P297">
        <f>IF($AL297="","",INDEX('04_調査結果'!$J$5:$J$404,$AL297)&amp;"")</f>
        <v/>
      </c>
      <c r="Q297">
        <f>IF($AL297="","",INDEX('04_調査結果'!$K$5:$K$404,$AL297)&amp;"")</f>
        <v/>
      </c>
      <c r="R297">
        <f>IF($AL297="","",INDEX('04_調査結果'!$L$5:$L$404,$AL297)&amp;"")</f>
        <v/>
      </c>
      <c r="S297">
        <f>IF($AL297="","",INDEX('04_調査結果'!$M$5:$M$404,$AL297)&amp;"")</f>
        <v/>
      </c>
      <c r="T297" s="33">
        <f>IF($AL297="","",IF(INDEX('04_調査結果'!$AE$5:$AE$404,$AL297)&lt;&gt;"",INDEX('04_調査結果'!$AE$5:$AE$404,$AL297),INDEX('04_調査結果'!$AS$5:$AS$404,$AL297)))</f>
        <v/>
      </c>
      <c r="U297" s="33">
        <f>IF($AL297="","",IF(INDEX('04_調査結果'!$AF$5:$AF$404,$AL297)&lt;&gt;"",INDEX('04_調査結果'!$AF$5:$AF$404,$AL297),INDEX('04_調査結果'!$AT$5:$AT$404,$AL297)))</f>
        <v/>
      </c>
      <c r="V297" s="33">
        <f>IF($AL297="","",INDEX('04_調査結果'!$AI$5:$AI$404,$AL297))</f>
        <v/>
      </c>
      <c r="W297">
        <f>IF($AL297="","",INDEX('04_調査結果'!$AU$5:$AU$404,$AL297))</f>
        <v/>
      </c>
      <c r="X297" s="37">
        <f>IF($AL297="","",INDEX('04_調査結果'!$AW$5:$AW$404,$AL297))</f>
        <v/>
      </c>
      <c r="Y297" s="37">
        <f>IF($AL297="","",INDEX('04_調査結果'!$AX$5:$AX$404,$AL297))</f>
        <v/>
      </c>
      <c r="Z297">
        <f>IF($AL297="","",INDEX('04_調査結果'!$S$5:$S$404,$AL297)&amp;"")</f>
        <v/>
      </c>
      <c r="AA297">
        <f>IF($AL297="","",INDEX('04_調査結果'!$T$5:$T$404,$AL297))</f>
        <v/>
      </c>
      <c r="AB297">
        <f>IF($AL297="","",INDEX('04_調査結果'!$U$5:$U$404,$AL297))</f>
        <v/>
      </c>
      <c r="AC297">
        <f>IF($AL297="","",INDEX('04_調査結果'!$V$5:$V$404,$AL297))</f>
        <v/>
      </c>
      <c r="AD297">
        <f>IF($AL297="","",INDEX('04_調査結果'!$W$5:$W$404,$AL297))</f>
        <v/>
      </c>
      <c r="AE297">
        <f>IF($AL297="","",INDEX('04_調査結果'!$X$5:$X$404,$AL297))</f>
        <v/>
      </c>
      <c r="AF297">
        <f>IF($AL297="","",INDEX('04_調査結果'!$Y$5:$Y$404,$AL297))</f>
        <v/>
      </c>
      <c r="AG297">
        <f>IF($AL297="","",INDEX('04_調査結果'!$Z$5:$Z$404,$AL297))</f>
        <v/>
      </c>
      <c r="AH297">
        <f>IF($AL297="","",INDEX('04_調査結果'!$AK$5:$AK$404,$AL297))</f>
        <v/>
      </c>
      <c r="AI297">
        <f>IF($AL297="","",INDEX('04_調査結果'!$AH$5:$AH$404,$AL297)&amp;"")</f>
        <v/>
      </c>
      <c r="AJ297">
        <f>IF($AL297="","",INDEX('04_調査結果'!$AA$5:$AA$404,$AL297)&amp;"")</f>
        <v/>
      </c>
      <c r="AK297">
        <f>IF($AL297="","",INDEX('04_調査結果'!$AC$5:$AC$404,$AL297)&amp;"")</f>
        <v/>
      </c>
      <c r="AL297" s="34">
        <f>IFERROR(MATCH(ROW()-4,'04_調査結果'!$AZ$5:$AZ$404,0),"")</f>
        <v/>
      </c>
    </row>
    <row r="298">
      <c r="A298">
        <f>IF($AL298="","",'01_設定'!$C$36)</f>
        <v/>
      </c>
      <c r="B298">
        <f>IF($AL298="","",'01_設定'!$C$5)</f>
        <v/>
      </c>
      <c r="C298">
        <f>IF($AL298="","",'01_設定'!$C$6)</f>
        <v/>
      </c>
      <c r="D298" s="36">
        <f>IF($AL298="","",'01_設定'!$C$22)</f>
        <v/>
      </c>
      <c r="E298" s="36">
        <f>IF($AL298="","",'01_設定'!$C$23)</f>
        <v/>
      </c>
      <c r="F298">
        <f>IF($AL298="","",'01_設定'!$C$32)</f>
        <v/>
      </c>
      <c r="G298">
        <f>IF($AL298="","",ROW()-4)</f>
        <v/>
      </c>
      <c r="H298">
        <f>IF($AL298="","",INDEX('04_調査結果'!$AO$5:$AO$404,$AL298))</f>
        <v/>
      </c>
      <c r="I298">
        <f>IF($AL298="","",IFERROR(INDEX('M2_区分マスタ'!$I$5:$I$10,INDEX('04_調査結果'!$AP$5:$AP$404,$AL298)),""))</f>
        <v/>
      </c>
      <c r="J298">
        <f>IF($AL298="","",INDEX('04_調査結果'!$BE$5:$BE$404,$AL298)&amp;"")</f>
        <v/>
      </c>
      <c r="K298">
        <f>IF($AL298="","",INDEX('04_調査結果'!$F$5:$F$404,$AL298)&amp;"")</f>
        <v/>
      </c>
      <c r="L298">
        <f>IF($AL298="","",INDEX('04_調査結果'!$G$5:$G$404,$AL298)&amp;"")</f>
        <v/>
      </c>
      <c r="M298">
        <f>IF($AL298="","",INDEX('04_調査結果'!$AQ$5:$AQ$404,$AL298)&amp;"")</f>
        <v/>
      </c>
      <c r="N298">
        <f>IF($AL298="","",IFERROR(INDEX('M1_類型マスタ'!$B$5:$B$19,MATCH(M298,'M1_類型マスタ'!$A$5:$A$19,0)),""))</f>
        <v/>
      </c>
      <c r="O298">
        <f>IF($AL298="","",INDEX('04_調査結果'!$I$5:$I$404,$AL298)&amp;"")</f>
        <v/>
      </c>
      <c r="P298">
        <f>IF($AL298="","",INDEX('04_調査結果'!$J$5:$J$404,$AL298)&amp;"")</f>
        <v/>
      </c>
      <c r="Q298">
        <f>IF($AL298="","",INDEX('04_調査結果'!$K$5:$K$404,$AL298)&amp;"")</f>
        <v/>
      </c>
      <c r="R298">
        <f>IF($AL298="","",INDEX('04_調査結果'!$L$5:$L$404,$AL298)&amp;"")</f>
        <v/>
      </c>
      <c r="S298">
        <f>IF($AL298="","",INDEX('04_調査結果'!$M$5:$M$404,$AL298)&amp;"")</f>
        <v/>
      </c>
      <c r="T298" s="33">
        <f>IF($AL298="","",IF(INDEX('04_調査結果'!$AE$5:$AE$404,$AL298)&lt;&gt;"",INDEX('04_調査結果'!$AE$5:$AE$404,$AL298),INDEX('04_調査結果'!$AS$5:$AS$404,$AL298)))</f>
        <v/>
      </c>
      <c r="U298" s="33">
        <f>IF($AL298="","",IF(INDEX('04_調査結果'!$AF$5:$AF$404,$AL298)&lt;&gt;"",INDEX('04_調査結果'!$AF$5:$AF$404,$AL298),INDEX('04_調査結果'!$AT$5:$AT$404,$AL298)))</f>
        <v/>
      </c>
      <c r="V298" s="33">
        <f>IF($AL298="","",INDEX('04_調査結果'!$AI$5:$AI$404,$AL298))</f>
        <v/>
      </c>
      <c r="W298">
        <f>IF($AL298="","",INDEX('04_調査結果'!$AU$5:$AU$404,$AL298))</f>
        <v/>
      </c>
      <c r="X298" s="37">
        <f>IF($AL298="","",INDEX('04_調査結果'!$AW$5:$AW$404,$AL298))</f>
        <v/>
      </c>
      <c r="Y298" s="37">
        <f>IF($AL298="","",INDEX('04_調査結果'!$AX$5:$AX$404,$AL298))</f>
        <v/>
      </c>
      <c r="Z298">
        <f>IF($AL298="","",INDEX('04_調査結果'!$S$5:$S$404,$AL298)&amp;"")</f>
        <v/>
      </c>
      <c r="AA298">
        <f>IF($AL298="","",INDEX('04_調査結果'!$T$5:$T$404,$AL298))</f>
        <v/>
      </c>
      <c r="AB298">
        <f>IF($AL298="","",INDEX('04_調査結果'!$U$5:$U$404,$AL298))</f>
        <v/>
      </c>
      <c r="AC298">
        <f>IF($AL298="","",INDEX('04_調査結果'!$V$5:$V$404,$AL298))</f>
        <v/>
      </c>
      <c r="AD298">
        <f>IF($AL298="","",INDEX('04_調査結果'!$W$5:$W$404,$AL298))</f>
        <v/>
      </c>
      <c r="AE298">
        <f>IF($AL298="","",INDEX('04_調査結果'!$X$5:$X$404,$AL298))</f>
        <v/>
      </c>
      <c r="AF298">
        <f>IF($AL298="","",INDEX('04_調査結果'!$Y$5:$Y$404,$AL298))</f>
        <v/>
      </c>
      <c r="AG298">
        <f>IF($AL298="","",INDEX('04_調査結果'!$Z$5:$Z$404,$AL298))</f>
        <v/>
      </c>
      <c r="AH298">
        <f>IF($AL298="","",INDEX('04_調査結果'!$AK$5:$AK$404,$AL298))</f>
        <v/>
      </c>
      <c r="AI298">
        <f>IF($AL298="","",INDEX('04_調査結果'!$AH$5:$AH$404,$AL298)&amp;"")</f>
        <v/>
      </c>
      <c r="AJ298">
        <f>IF($AL298="","",INDEX('04_調査結果'!$AA$5:$AA$404,$AL298)&amp;"")</f>
        <v/>
      </c>
      <c r="AK298">
        <f>IF($AL298="","",INDEX('04_調査結果'!$AC$5:$AC$404,$AL298)&amp;"")</f>
        <v/>
      </c>
      <c r="AL298" s="34">
        <f>IFERROR(MATCH(ROW()-4,'04_調査結果'!$AZ$5:$AZ$404,0),"")</f>
        <v/>
      </c>
    </row>
    <row r="299">
      <c r="A299">
        <f>IF($AL299="","",'01_設定'!$C$36)</f>
        <v/>
      </c>
      <c r="B299">
        <f>IF($AL299="","",'01_設定'!$C$5)</f>
        <v/>
      </c>
      <c r="C299">
        <f>IF($AL299="","",'01_設定'!$C$6)</f>
        <v/>
      </c>
      <c r="D299" s="36">
        <f>IF($AL299="","",'01_設定'!$C$22)</f>
        <v/>
      </c>
      <c r="E299" s="36">
        <f>IF($AL299="","",'01_設定'!$C$23)</f>
        <v/>
      </c>
      <c r="F299">
        <f>IF($AL299="","",'01_設定'!$C$32)</f>
        <v/>
      </c>
      <c r="G299">
        <f>IF($AL299="","",ROW()-4)</f>
        <v/>
      </c>
      <c r="H299">
        <f>IF($AL299="","",INDEX('04_調査結果'!$AO$5:$AO$404,$AL299))</f>
        <v/>
      </c>
      <c r="I299">
        <f>IF($AL299="","",IFERROR(INDEX('M2_区分マスタ'!$I$5:$I$10,INDEX('04_調査結果'!$AP$5:$AP$404,$AL299)),""))</f>
        <v/>
      </c>
      <c r="J299">
        <f>IF($AL299="","",INDEX('04_調査結果'!$BE$5:$BE$404,$AL299)&amp;"")</f>
        <v/>
      </c>
      <c r="K299">
        <f>IF($AL299="","",INDEX('04_調査結果'!$F$5:$F$404,$AL299)&amp;"")</f>
        <v/>
      </c>
      <c r="L299">
        <f>IF($AL299="","",INDEX('04_調査結果'!$G$5:$G$404,$AL299)&amp;"")</f>
        <v/>
      </c>
      <c r="M299">
        <f>IF($AL299="","",INDEX('04_調査結果'!$AQ$5:$AQ$404,$AL299)&amp;"")</f>
        <v/>
      </c>
      <c r="N299">
        <f>IF($AL299="","",IFERROR(INDEX('M1_類型マスタ'!$B$5:$B$19,MATCH(M299,'M1_類型マスタ'!$A$5:$A$19,0)),""))</f>
        <v/>
      </c>
      <c r="O299">
        <f>IF($AL299="","",INDEX('04_調査結果'!$I$5:$I$404,$AL299)&amp;"")</f>
        <v/>
      </c>
      <c r="P299">
        <f>IF($AL299="","",INDEX('04_調査結果'!$J$5:$J$404,$AL299)&amp;"")</f>
        <v/>
      </c>
      <c r="Q299">
        <f>IF($AL299="","",INDEX('04_調査結果'!$K$5:$K$404,$AL299)&amp;"")</f>
        <v/>
      </c>
      <c r="R299">
        <f>IF($AL299="","",INDEX('04_調査結果'!$L$5:$L$404,$AL299)&amp;"")</f>
        <v/>
      </c>
      <c r="S299">
        <f>IF($AL299="","",INDEX('04_調査結果'!$M$5:$M$404,$AL299)&amp;"")</f>
        <v/>
      </c>
      <c r="T299" s="33">
        <f>IF($AL299="","",IF(INDEX('04_調査結果'!$AE$5:$AE$404,$AL299)&lt;&gt;"",INDEX('04_調査結果'!$AE$5:$AE$404,$AL299),INDEX('04_調査結果'!$AS$5:$AS$404,$AL299)))</f>
        <v/>
      </c>
      <c r="U299" s="33">
        <f>IF($AL299="","",IF(INDEX('04_調査結果'!$AF$5:$AF$404,$AL299)&lt;&gt;"",INDEX('04_調査結果'!$AF$5:$AF$404,$AL299),INDEX('04_調査結果'!$AT$5:$AT$404,$AL299)))</f>
        <v/>
      </c>
      <c r="V299" s="33">
        <f>IF($AL299="","",INDEX('04_調査結果'!$AI$5:$AI$404,$AL299))</f>
        <v/>
      </c>
      <c r="W299">
        <f>IF($AL299="","",INDEX('04_調査結果'!$AU$5:$AU$404,$AL299))</f>
        <v/>
      </c>
      <c r="X299" s="37">
        <f>IF($AL299="","",INDEX('04_調査結果'!$AW$5:$AW$404,$AL299))</f>
        <v/>
      </c>
      <c r="Y299" s="37">
        <f>IF($AL299="","",INDEX('04_調査結果'!$AX$5:$AX$404,$AL299))</f>
        <v/>
      </c>
      <c r="Z299">
        <f>IF($AL299="","",INDEX('04_調査結果'!$S$5:$S$404,$AL299)&amp;"")</f>
        <v/>
      </c>
      <c r="AA299">
        <f>IF($AL299="","",INDEX('04_調査結果'!$T$5:$T$404,$AL299))</f>
        <v/>
      </c>
      <c r="AB299">
        <f>IF($AL299="","",INDEX('04_調査結果'!$U$5:$U$404,$AL299))</f>
        <v/>
      </c>
      <c r="AC299">
        <f>IF($AL299="","",INDEX('04_調査結果'!$V$5:$V$404,$AL299))</f>
        <v/>
      </c>
      <c r="AD299">
        <f>IF($AL299="","",INDEX('04_調査結果'!$W$5:$W$404,$AL299))</f>
        <v/>
      </c>
      <c r="AE299">
        <f>IF($AL299="","",INDEX('04_調査結果'!$X$5:$X$404,$AL299))</f>
        <v/>
      </c>
      <c r="AF299">
        <f>IF($AL299="","",INDEX('04_調査結果'!$Y$5:$Y$404,$AL299))</f>
        <v/>
      </c>
      <c r="AG299">
        <f>IF($AL299="","",INDEX('04_調査結果'!$Z$5:$Z$404,$AL299))</f>
        <v/>
      </c>
      <c r="AH299">
        <f>IF($AL299="","",INDEX('04_調査結果'!$AK$5:$AK$404,$AL299))</f>
        <v/>
      </c>
      <c r="AI299">
        <f>IF($AL299="","",INDEX('04_調査結果'!$AH$5:$AH$404,$AL299)&amp;"")</f>
        <v/>
      </c>
      <c r="AJ299">
        <f>IF($AL299="","",INDEX('04_調査結果'!$AA$5:$AA$404,$AL299)&amp;"")</f>
        <v/>
      </c>
      <c r="AK299">
        <f>IF($AL299="","",INDEX('04_調査結果'!$AC$5:$AC$404,$AL299)&amp;"")</f>
        <v/>
      </c>
      <c r="AL299" s="34">
        <f>IFERROR(MATCH(ROW()-4,'04_調査結果'!$AZ$5:$AZ$404,0),"")</f>
        <v/>
      </c>
    </row>
    <row r="300">
      <c r="A300">
        <f>IF($AL300="","",'01_設定'!$C$36)</f>
        <v/>
      </c>
      <c r="B300">
        <f>IF($AL300="","",'01_設定'!$C$5)</f>
        <v/>
      </c>
      <c r="C300">
        <f>IF($AL300="","",'01_設定'!$C$6)</f>
        <v/>
      </c>
      <c r="D300" s="36">
        <f>IF($AL300="","",'01_設定'!$C$22)</f>
        <v/>
      </c>
      <c r="E300" s="36">
        <f>IF($AL300="","",'01_設定'!$C$23)</f>
        <v/>
      </c>
      <c r="F300">
        <f>IF($AL300="","",'01_設定'!$C$32)</f>
        <v/>
      </c>
      <c r="G300">
        <f>IF($AL300="","",ROW()-4)</f>
        <v/>
      </c>
      <c r="H300">
        <f>IF($AL300="","",INDEX('04_調査結果'!$AO$5:$AO$404,$AL300))</f>
        <v/>
      </c>
      <c r="I300">
        <f>IF($AL300="","",IFERROR(INDEX('M2_区分マスタ'!$I$5:$I$10,INDEX('04_調査結果'!$AP$5:$AP$404,$AL300)),""))</f>
        <v/>
      </c>
      <c r="J300">
        <f>IF($AL300="","",INDEX('04_調査結果'!$BE$5:$BE$404,$AL300)&amp;"")</f>
        <v/>
      </c>
      <c r="K300">
        <f>IF($AL300="","",INDEX('04_調査結果'!$F$5:$F$404,$AL300)&amp;"")</f>
        <v/>
      </c>
      <c r="L300">
        <f>IF($AL300="","",INDEX('04_調査結果'!$G$5:$G$404,$AL300)&amp;"")</f>
        <v/>
      </c>
      <c r="M300">
        <f>IF($AL300="","",INDEX('04_調査結果'!$AQ$5:$AQ$404,$AL300)&amp;"")</f>
        <v/>
      </c>
      <c r="N300">
        <f>IF($AL300="","",IFERROR(INDEX('M1_類型マスタ'!$B$5:$B$19,MATCH(M300,'M1_類型マスタ'!$A$5:$A$19,0)),""))</f>
        <v/>
      </c>
      <c r="O300">
        <f>IF($AL300="","",INDEX('04_調査結果'!$I$5:$I$404,$AL300)&amp;"")</f>
        <v/>
      </c>
      <c r="P300">
        <f>IF($AL300="","",INDEX('04_調査結果'!$J$5:$J$404,$AL300)&amp;"")</f>
        <v/>
      </c>
      <c r="Q300">
        <f>IF($AL300="","",INDEX('04_調査結果'!$K$5:$K$404,$AL300)&amp;"")</f>
        <v/>
      </c>
      <c r="R300">
        <f>IF($AL300="","",INDEX('04_調査結果'!$L$5:$L$404,$AL300)&amp;"")</f>
        <v/>
      </c>
      <c r="S300">
        <f>IF($AL300="","",INDEX('04_調査結果'!$M$5:$M$404,$AL300)&amp;"")</f>
        <v/>
      </c>
      <c r="T300" s="33">
        <f>IF($AL300="","",IF(INDEX('04_調査結果'!$AE$5:$AE$404,$AL300)&lt;&gt;"",INDEX('04_調査結果'!$AE$5:$AE$404,$AL300),INDEX('04_調査結果'!$AS$5:$AS$404,$AL300)))</f>
        <v/>
      </c>
      <c r="U300" s="33">
        <f>IF($AL300="","",IF(INDEX('04_調査結果'!$AF$5:$AF$404,$AL300)&lt;&gt;"",INDEX('04_調査結果'!$AF$5:$AF$404,$AL300),INDEX('04_調査結果'!$AT$5:$AT$404,$AL300)))</f>
        <v/>
      </c>
      <c r="V300" s="33">
        <f>IF($AL300="","",INDEX('04_調査結果'!$AI$5:$AI$404,$AL300))</f>
        <v/>
      </c>
      <c r="W300">
        <f>IF($AL300="","",INDEX('04_調査結果'!$AU$5:$AU$404,$AL300))</f>
        <v/>
      </c>
      <c r="X300" s="37">
        <f>IF($AL300="","",INDEX('04_調査結果'!$AW$5:$AW$404,$AL300))</f>
        <v/>
      </c>
      <c r="Y300" s="37">
        <f>IF($AL300="","",INDEX('04_調査結果'!$AX$5:$AX$404,$AL300))</f>
        <v/>
      </c>
      <c r="Z300">
        <f>IF($AL300="","",INDEX('04_調査結果'!$S$5:$S$404,$AL300)&amp;"")</f>
        <v/>
      </c>
      <c r="AA300">
        <f>IF($AL300="","",INDEX('04_調査結果'!$T$5:$T$404,$AL300))</f>
        <v/>
      </c>
      <c r="AB300">
        <f>IF($AL300="","",INDEX('04_調査結果'!$U$5:$U$404,$AL300))</f>
        <v/>
      </c>
      <c r="AC300">
        <f>IF($AL300="","",INDEX('04_調査結果'!$V$5:$V$404,$AL300))</f>
        <v/>
      </c>
      <c r="AD300">
        <f>IF($AL300="","",INDEX('04_調査結果'!$W$5:$W$404,$AL300))</f>
        <v/>
      </c>
      <c r="AE300">
        <f>IF($AL300="","",INDEX('04_調査結果'!$X$5:$X$404,$AL300))</f>
        <v/>
      </c>
      <c r="AF300">
        <f>IF($AL300="","",INDEX('04_調査結果'!$Y$5:$Y$404,$AL300))</f>
        <v/>
      </c>
      <c r="AG300">
        <f>IF($AL300="","",INDEX('04_調査結果'!$Z$5:$Z$404,$AL300))</f>
        <v/>
      </c>
      <c r="AH300">
        <f>IF($AL300="","",INDEX('04_調査結果'!$AK$5:$AK$404,$AL300))</f>
        <v/>
      </c>
      <c r="AI300">
        <f>IF($AL300="","",INDEX('04_調査結果'!$AH$5:$AH$404,$AL300)&amp;"")</f>
        <v/>
      </c>
      <c r="AJ300">
        <f>IF($AL300="","",INDEX('04_調査結果'!$AA$5:$AA$404,$AL300)&amp;"")</f>
        <v/>
      </c>
      <c r="AK300">
        <f>IF($AL300="","",INDEX('04_調査結果'!$AC$5:$AC$404,$AL300)&amp;"")</f>
        <v/>
      </c>
      <c r="AL300" s="34">
        <f>IFERROR(MATCH(ROW()-4,'04_調査結果'!$AZ$5:$AZ$404,0),"")</f>
        <v/>
      </c>
    </row>
    <row r="301">
      <c r="A301">
        <f>IF($AL301="","",'01_設定'!$C$36)</f>
        <v/>
      </c>
      <c r="B301">
        <f>IF($AL301="","",'01_設定'!$C$5)</f>
        <v/>
      </c>
      <c r="C301">
        <f>IF($AL301="","",'01_設定'!$C$6)</f>
        <v/>
      </c>
      <c r="D301" s="36">
        <f>IF($AL301="","",'01_設定'!$C$22)</f>
        <v/>
      </c>
      <c r="E301" s="36">
        <f>IF($AL301="","",'01_設定'!$C$23)</f>
        <v/>
      </c>
      <c r="F301">
        <f>IF($AL301="","",'01_設定'!$C$32)</f>
        <v/>
      </c>
      <c r="G301">
        <f>IF($AL301="","",ROW()-4)</f>
        <v/>
      </c>
      <c r="H301">
        <f>IF($AL301="","",INDEX('04_調査結果'!$AO$5:$AO$404,$AL301))</f>
        <v/>
      </c>
      <c r="I301">
        <f>IF($AL301="","",IFERROR(INDEX('M2_区分マスタ'!$I$5:$I$10,INDEX('04_調査結果'!$AP$5:$AP$404,$AL301)),""))</f>
        <v/>
      </c>
      <c r="J301">
        <f>IF($AL301="","",INDEX('04_調査結果'!$BE$5:$BE$404,$AL301)&amp;"")</f>
        <v/>
      </c>
      <c r="K301">
        <f>IF($AL301="","",INDEX('04_調査結果'!$F$5:$F$404,$AL301)&amp;"")</f>
        <v/>
      </c>
      <c r="L301">
        <f>IF($AL301="","",INDEX('04_調査結果'!$G$5:$G$404,$AL301)&amp;"")</f>
        <v/>
      </c>
      <c r="M301">
        <f>IF($AL301="","",INDEX('04_調査結果'!$AQ$5:$AQ$404,$AL301)&amp;"")</f>
        <v/>
      </c>
      <c r="N301">
        <f>IF($AL301="","",IFERROR(INDEX('M1_類型マスタ'!$B$5:$B$19,MATCH(M301,'M1_類型マスタ'!$A$5:$A$19,0)),""))</f>
        <v/>
      </c>
      <c r="O301">
        <f>IF($AL301="","",INDEX('04_調査結果'!$I$5:$I$404,$AL301)&amp;"")</f>
        <v/>
      </c>
      <c r="P301">
        <f>IF($AL301="","",INDEX('04_調査結果'!$J$5:$J$404,$AL301)&amp;"")</f>
        <v/>
      </c>
      <c r="Q301">
        <f>IF($AL301="","",INDEX('04_調査結果'!$K$5:$K$404,$AL301)&amp;"")</f>
        <v/>
      </c>
      <c r="R301">
        <f>IF($AL301="","",INDEX('04_調査結果'!$L$5:$L$404,$AL301)&amp;"")</f>
        <v/>
      </c>
      <c r="S301">
        <f>IF($AL301="","",INDEX('04_調査結果'!$M$5:$M$404,$AL301)&amp;"")</f>
        <v/>
      </c>
      <c r="T301" s="33">
        <f>IF($AL301="","",IF(INDEX('04_調査結果'!$AE$5:$AE$404,$AL301)&lt;&gt;"",INDEX('04_調査結果'!$AE$5:$AE$404,$AL301),INDEX('04_調査結果'!$AS$5:$AS$404,$AL301)))</f>
        <v/>
      </c>
      <c r="U301" s="33">
        <f>IF($AL301="","",IF(INDEX('04_調査結果'!$AF$5:$AF$404,$AL301)&lt;&gt;"",INDEX('04_調査結果'!$AF$5:$AF$404,$AL301),INDEX('04_調査結果'!$AT$5:$AT$404,$AL301)))</f>
        <v/>
      </c>
      <c r="V301" s="33">
        <f>IF($AL301="","",INDEX('04_調査結果'!$AI$5:$AI$404,$AL301))</f>
        <v/>
      </c>
      <c r="W301">
        <f>IF($AL301="","",INDEX('04_調査結果'!$AU$5:$AU$404,$AL301))</f>
        <v/>
      </c>
      <c r="X301" s="37">
        <f>IF($AL301="","",INDEX('04_調査結果'!$AW$5:$AW$404,$AL301))</f>
        <v/>
      </c>
      <c r="Y301" s="37">
        <f>IF($AL301="","",INDEX('04_調査結果'!$AX$5:$AX$404,$AL301))</f>
        <v/>
      </c>
      <c r="Z301">
        <f>IF($AL301="","",INDEX('04_調査結果'!$S$5:$S$404,$AL301)&amp;"")</f>
        <v/>
      </c>
      <c r="AA301">
        <f>IF($AL301="","",INDEX('04_調査結果'!$T$5:$T$404,$AL301))</f>
        <v/>
      </c>
      <c r="AB301">
        <f>IF($AL301="","",INDEX('04_調査結果'!$U$5:$U$404,$AL301))</f>
        <v/>
      </c>
      <c r="AC301">
        <f>IF($AL301="","",INDEX('04_調査結果'!$V$5:$V$404,$AL301))</f>
        <v/>
      </c>
      <c r="AD301">
        <f>IF($AL301="","",INDEX('04_調査結果'!$W$5:$W$404,$AL301))</f>
        <v/>
      </c>
      <c r="AE301">
        <f>IF($AL301="","",INDEX('04_調査結果'!$X$5:$X$404,$AL301))</f>
        <v/>
      </c>
      <c r="AF301">
        <f>IF($AL301="","",INDEX('04_調査結果'!$Y$5:$Y$404,$AL301))</f>
        <v/>
      </c>
      <c r="AG301">
        <f>IF($AL301="","",INDEX('04_調査結果'!$Z$5:$Z$404,$AL301))</f>
        <v/>
      </c>
      <c r="AH301">
        <f>IF($AL301="","",INDEX('04_調査結果'!$AK$5:$AK$404,$AL301))</f>
        <v/>
      </c>
      <c r="AI301">
        <f>IF($AL301="","",INDEX('04_調査結果'!$AH$5:$AH$404,$AL301)&amp;"")</f>
        <v/>
      </c>
      <c r="AJ301">
        <f>IF($AL301="","",INDEX('04_調査結果'!$AA$5:$AA$404,$AL301)&amp;"")</f>
        <v/>
      </c>
      <c r="AK301">
        <f>IF($AL301="","",INDEX('04_調査結果'!$AC$5:$AC$404,$AL301)&amp;"")</f>
        <v/>
      </c>
      <c r="AL301" s="34">
        <f>IFERROR(MATCH(ROW()-4,'04_調査結果'!$AZ$5:$AZ$404,0),"")</f>
        <v/>
      </c>
    </row>
    <row r="302">
      <c r="A302">
        <f>IF($AL302="","",'01_設定'!$C$36)</f>
        <v/>
      </c>
      <c r="B302">
        <f>IF($AL302="","",'01_設定'!$C$5)</f>
        <v/>
      </c>
      <c r="C302">
        <f>IF($AL302="","",'01_設定'!$C$6)</f>
        <v/>
      </c>
      <c r="D302" s="36">
        <f>IF($AL302="","",'01_設定'!$C$22)</f>
        <v/>
      </c>
      <c r="E302" s="36">
        <f>IF($AL302="","",'01_設定'!$C$23)</f>
        <v/>
      </c>
      <c r="F302">
        <f>IF($AL302="","",'01_設定'!$C$32)</f>
        <v/>
      </c>
      <c r="G302">
        <f>IF($AL302="","",ROW()-4)</f>
        <v/>
      </c>
      <c r="H302">
        <f>IF($AL302="","",INDEX('04_調査結果'!$AO$5:$AO$404,$AL302))</f>
        <v/>
      </c>
      <c r="I302">
        <f>IF($AL302="","",IFERROR(INDEX('M2_区分マスタ'!$I$5:$I$10,INDEX('04_調査結果'!$AP$5:$AP$404,$AL302)),""))</f>
        <v/>
      </c>
      <c r="J302">
        <f>IF($AL302="","",INDEX('04_調査結果'!$BE$5:$BE$404,$AL302)&amp;"")</f>
        <v/>
      </c>
      <c r="K302">
        <f>IF($AL302="","",INDEX('04_調査結果'!$F$5:$F$404,$AL302)&amp;"")</f>
        <v/>
      </c>
      <c r="L302">
        <f>IF($AL302="","",INDEX('04_調査結果'!$G$5:$G$404,$AL302)&amp;"")</f>
        <v/>
      </c>
      <c r="M302">
        <f>IF($AL302="","",INDEX('04_調査結果'!$AQ$5:$AQ$404,$AL302)&amp;"")</f>
        <v/>
      </c>
      <c r="N302">
        <f>IF($AL302="","",IFERROR(INDEX('M1_類型マスタ'!$B$5:$B$19,MATCH(M302,'M1_類型マスタ'!$A$5:$A$19,0)),""))</f>
        <v/>
      </c>
      <c r="O302">
        <f>IF($AL302="","",INDEX('04_調査結果'!$I$5:$I$404,$AL302)&amp;"")</f>
        <v/>
      </c>
      <c r="P302">
        <f>IF($AL302="","",INDEX('04_調査結果'!$J$5:$J$404,$AL302)&amp;"")</f>
        <v/>
      </c>
      <c r="Q302">
        <f>IF($AL302="","",INDEX('04_調査結果'!$K$5:$K$404,$AL302)&amp;"")</f>
        <v/>
      </c>
      <c r="R302">
        <f>IF($AL302="","",INDEX('04_調査結果'!$L$5:$L$404,$AL302)&amp;"")</f>
        <v/>
      </c>
      <c r="S302">
        <f>IF($AL302="","",INDEX('04_調査結果'!$M$5:$M$404,$AL302)&amp;"")</f>
        <v/>
      </c>
      <c r="T302" s="33">
        <f>IF($AL302="","",IF(INDEX('04_調査結果'!$AE$5:$AE$404,$AL302)&lt;&gt;"",INDEX('04_調査結果'!$AE$5:$AE$404,$AL302),INDEX('04_調査結果'!$AS$5:$AS$404,$AL302)))</f>
        <v/>
      </c>
      <c r="U302" s="33">
        <f>IF($AL302="","",IF(INDEX('04_調査結果'!$AF$5:$AF$404,$AL302)&lt;&gt;"",INDEX('04_調査結果'!$AF$5:$AF$404,$AL302),INDEX('04_調査結果'!$AT$5:$AT$404,$AL302)))</f>
        <v/>
      </c>
      <c r="V302" s="33">
        <f>IF($AL302="","",INDEX('04_調査結果'!$AI$5:$AI$404,$AL302))</f>
        <v/>
      </c>
      <c r="W302">
        <f>IF($AL302="","",INDEX('04_調査結果'!$AU$5:$AU$404,$AL302))</f>
        <v/>
      </c>
      <c r="X302" s="37">
        <f>IF($AL302="","",INDEX('04_調査結果'!$AW$5:$AW$404,$AL302))</f>
        <v/>
      </c>
      <c r="Y302" s="37">
        <f>IF($AL302="","",INDEX('04_調査結果'!$AX$5:$AX$404,$AL302))</f>
        <v/>
      </c>
      <c r="Z302">
        <f>IF($AL302="","",INDEX('04_調査結果'!$S$5:$S$404,$AL302)&amp;"")</f>
        <v/>
      </c>
      <c r="AA302">
        <f>IF($AL302="","",INDEX('04_調査結果'!$T$5:$T$404,$AL302))</f>
        <v/>
      </c>
      <c r="AB302">
        <f>IF($AL302="","",INDEX('04_調査結果'!$U$5:$U$404,$AL302))</f>
        <v/>
      </c>
      <c r="AC302">
        <f>IF($AL302="","",INDEX('04_調査結果'!$V$5:$V$404,$AL302))</f>
        <v/>
      </c>
      <c r="AD302">
        <f>IF($AL302="","",INDEX('04_調査結果'!$W$5:$W$404,$AL302))</f>
        <v/>
      </c>
      <c r="AE302">
        <f>IF($AL302="","",INDEX('04_調査結果'!$X$5:$X$404,$AL302))</f>
        <v/>
      </c>
      <c r="AF302">
        <f>IF($AL302="","",INDEX('04_調査結果'!$Y$5:$Y$404,$AL302))</f>
        <v/>
      </c>
      <c r="AG302">
        <f>IF($AL302="","",INDEX('04_調査結果'!$Z$5:$Z$404,$AL302))</f>
        <v/>
      </c>
      <c r="AH302">
        <f>IF($AL302="","",INDEX('04_調査結果'!$AK$5:$AK$404,$AL302))</f>
        <v/>
      </c>
      <c r="AI302">
        <f>IF($AL302="","",INDEX('04_調査結果'!$AH$5:$AH$404,$AL302)&amp;"")</f>
        <v/>
      </c>
      <c r="AJ302">
        <f>IF($AL302="","",INDEX('04_調査結果'!$AA$5:$AA$404,$AL302)&amp;"")</f>
        <v/>
      </c>
      <c r="AK302">
        <f>IF($AL302="","",INDEX('04_調査結果'!$AC$5:$AC$404,$AL302)&amp;"")</f>
        <v/>
      </c>
      <c r="AL302" s="34">
        <f>IFERROR(MATCH(ROW()-4,'04_調査結果'!$AZ$5:$AZ$404,0),"")</f>
        <v/>
      </c>
    </row>
    <row r="303">
      <c r="A303">
        <f>IF($AL303="","",'01_設定'!$C$36)</f>
        <v/>
      </c>
      <c r="B303">
        <f>IF($AL303="","",'01_設定'!$C$5)</f>
        <v/>
      </c>
      <c r="C303">
        <f>IF($AL303="","",'01_設定'!$C$6)</f>
        <v/>
      </c>
      <c r="D303" s="36">
        <f>IF($AL303="","",'01_設定'!$C$22)</f>
        <v/>
      </c>
      <c r="E303" s="36">
        <f>IF($AL303="","",'01_設定'!$C$23)</f>
        <v/>
      </c>
      <c r="F303">
        <f>IF($AL303="","",'01_設定'!$C$32)</f>
        <v/>
      </c>
      <c r="G303">
        <f>IF($AL303="","",ROW()-4)</f>
        <v/>
      </c>
      <c r="H303">
        <f>IF($AL303="","",INDEX('04_調査結果'!$AO$5:$AO$404,$AL303))</f>
        <v/>
      </c>
      <c r="I303">
        <f>IF($AL303="","",IFERROR(INDEX('M2_区分マスタ'!$I$5:$I$10,INDEX('04_調査結果'!$AP$5:$AP$404,$AL303)),""))</f>
        <v/>
      </c>
      <c r="J303">
        <f>IF($AL303="","",INDEX('04_調査結果'!$BE$5:$BE$404,$AL303)&amp;"")</f>
        <v/>
      </c>
      <c r="K303">
        <f>IF($AL303="","",INDEX('04_調査結果'!$F$5:$F$404,$AL303)&amp;"")</f>
        <v/>
      </c>
      <c r="L303">
        <f>IF($AL303="","",INDEX('04_調査結果'!$G$5:$G$404,$AL303)&amp;"")</f>
        <v/>
      </c>
      <c r="M303">
        <f>IF($AL303="","",INDEX('04_調査結果'!$AQ$5:$AQ$404,$AL303)&amp;"")</f>
        <v/>
      </c>
      <c r="N303">
        <f>IF($AL303="","",IFERROR(INDEX('M1_類型マスタ'!$B$5:$B$19,MATCH(M303,'M1_類型マスタ'!$A$5:$A$19,0)),""))</f>
        <v/>
      </c>
      <c r="O303">
        <f>IF($AL303="","",INDEX('04_調査結果'!$I$5:$I$404,$AL303)&amp;"")</f>
        <v/>
      </c>
      <c r="P303">
        <f>IF($AL303="","",INDEX('04_調査結果'!$J$5:$J$404,$AL303)&amp;"")</f>
        <v/>
      </c>
      <c r="Q303">
        <f>IF($AL303="","",INDEX('04_調査結果'!$K$5:$K$404,$AL303)&amp;"")</f>
        <v/>
      </c>
      <c r="R303">
        <f>IF($AL303="","",INDEX('04_調査結果'!$L$5:$L$404,$AL303)&amp;"")</f>
        <v/>
      </c>
      <c r="S303">
        <f>IF($AL303="","",INDEX('04_調査結果'!$M$5:$M$404,$AL303)&amp;"")</f>
        <v/>
      </c>
      <c r="T303" s="33">
        <f>IF($AL303="","",IF(INDEX('04_調査結果'!$AE$5:$AE$404,$AL303)&lt;&gt;"",INDEX('04_調査結果'!$AE$5:$AE$404,$AL303),INDEX('04_調査結果'!$AS$5:$AS$404,$AL303)))</f>
        <v/>
      </c>
      <c r="U303" s="33">
        <f>IF($AL303="","",IF(INDEX('04_調査結果'!$AF$5:$AF$404,$AL303)&lt;&gt;"",INDEX('04_調査結果'!$AF$5:$AF$404,$AL303),INDEX('04_調査結果'!$AT$5:$AT$404,$AL303)))</f>
        <v/>
      </c>
      <c r="V303" s="33">
        <f>IF($AL303="","",INDEX('04_調査結果'!$AI$5:$AI$404,$AL303))</f>
        <v/>
      </c>
      <c r="W303">
        <f>IF($AL303="","",INDEX('04_調査結果'!$AU$5:$AU$404,$AL303))</f>
        <v/>
      </c>
      <c r="X303" s="37">
        <f>IF($AL303="","",INDEX('04_調査結果'!$AW$5:$AW$404,$AL303))</f>
        <v/>
      </c>
      <c r="Y303" s="37">
        <f>IF($AL303="","",INDEX('04_調査結果'!$AX$5:$AX$404,$AL303))</f>
        <v/>
      </c>
      <c r="Z303">
        <f>IF($AL303="","",INDEX('04_調査結果'!$S$5:$S$404,$AL303)&amp;"")</f>
        <v/>
      </c>
      <c r="AA303">
        <f>IF($AL303="","",INDEX('04_調査結果'!$T$5:$T$404,$AL303))</f>
        <v/>
      </c>
      <c r="AB303">
        <f>IF($AL303="","",INDEX('04_調査結果'!$U$5:$U$404,$AL303))</f>
        <v/>
      </c>
      <c r="AC303">
        <f>IF($AL303="","",INDEX('04_調査結果'!$V$5:$V$404,$AL303))</f>
        <v/>
      </c>
      <c r="AD303">
        <f>IF($AL303="","",INDEX('04_調査結果'!$W$5:$W$404,$AL303))</f>
        <v/>
      </c>
      <c r="AE303">
        <f>IF($AL303="","",INDEX('04_調査結果'!$X$5:$X$404,$AL303))</f>
        <v/>
      </c>
      <c r="AF303">
        <f>IF($AL303="","",INDEX('04_調査結果'!$Y$5:$Y$404,$AL303))</f>
        <v/>
      </c>
      <c r="AG303">
        <f>IF($AL303="","",INDEX('04_調査結果'!$Z$5:$Z$404,$AL303))</f>
        <v/>
      </c>
      <c r="AH303">
        <f>IF($AL303="","",INDEX('04_調査結果'!$AK$5:$AK$404,$AL303))</f>
        <v/>
      </c>
      <c r="AI303">
        <f>IF($AL303="","",INDEX('04_調査結果'!$AH$5:$AH$404,$AL303)&amp;"")</f>
        <v/>
      </c>
      <c r="AJ303">
        <f>IF($AL303="","",INDEX('04_調査結果'!$AA$5:$AA$404,$AL303)&amp;"")</f>
        <v/>
      </c>
      <c r="AK303">
        <f>IF($AL303="","",INDEX('04_調査結果'!$AC$5:$AC$404,$AL303)&amp;"")</f>
        <v/>
      </c>
      <c r="AL303" s="34">
        <f>IFERROR(MATCH(ROW()-4,'04_調査結果'!$AZ$5:$AZ$404,0),"")</f>
        <v/>
      </c>
    </row>
    <row r="304">
      <c r="A304">
        <f>IF($AL304="","",'01_設定'!$C$36)</f>
        <v/>
      </c>
      <c r="B304">
        <f>IF($AL304="","",'01_設定'!$C$5)</f>
        <v/>
      </c>
      <c r="C304">
        <f>IF($AL304="","",'01_設定'!$C$6)</f>
        <v/>
      </c>
      <c r="D304" s="36">
        <f>IF($AL304="","",'01_設定'!$C$22)</f>
        <v/>
      </c>
      <c r="E304" s="36">
        <f>IF($AL304="","",'01_設定'!$C$23)</f>
        <v/>
      </c>
      <c r="F304">
        <f>IF($AL304="","",'01_設定'!$C$32)</f>
        <v/>
      </c>
      <c r="G304">
        <f>IF($AL304="","",ROW()-4)</f>
        <v/>
      </c>
      <c r="H304">
        <f>IF($AL304="","",INDEX('04_調査結果'!$AO$5:$AO$404,$AL304))</f>
        <v/>
      </c>
      <c r="I304">
        <f>IF($AL304="","",IFERROR(INDEX('M2_区分マスタ'!$I$5:$I$10,INDEX('04_調査結果'!$AP$5:$AP$404,$AL304)),""))</f>
        <v/>
      </c>
      <c r="J304">
        <f>IF($AL304="","",INDEX('04_調査結果'!$BE$5:$BE$404,$AL304)&amp;"")</f>
        <v/>
      </c>
      <c r="K304">
        <f>IF($AL304="","",INDEX('04_調査結果'!$F$5:$F$404,$AL304)&amp;"")</f>
        <v/>
      </c>
      <c r="L304">
        <f>IF($AL304="","",INDEX('04_調査結果'!$G$5:$G$404,$AL304)&amp;"")</f>
        <v/>
      </c>
      <c r="M304">
        <f>IF($AL304="","",INDEX('04_調査結果'!$AQ$5:$AQ$404,$AL304)&amp;"")</f>
        <v/>
      </c>
      <c r="N304">
        <f>IF($AL304="","",IFERROR(INDEX('M1_類型マスタ'!$B$5:$B$19,MATCH(M304,'M1_類型マスタ'!$A$5:$A$19,0)),""))</f>
        <v/>
      </c>
      <c r="O304">
        <f>IF($AL304="","",INDEX('04_調査結果'!$I$5:$I$404,$AL304)&amp;"")</f>
        <v/>
      </c>
      <c r="P304">
        <f>IF($AL304="","",INDEX('04_調査結果'!$J$5:$J$404,$AL304)&amp;"")</f>
        <v/>
      </c>
      <c r="Q304">
        <f>IF($AL304="","",INDEX('04_調査結果'!$K$5:$K$404,$AL304)&amp;"")</f>
        <v/>
      </c>
      <c r="R304">
        <f>IF($AL304="","",INDEX('04_調査結果'!$L$5:$L$404,$AL304)&amp;"")</f>
        <v/>
      </c>
      <c r="S304">
        <f>IF($AL304="","",INDEX('04_調査結果'!$M$5:$M$404,$AL304)&amp;"")</f>
        <v/>
      </c>
      <c r="T304" s="33">
        <f>IF($AL304="","",IF(INDEX('04_調査結果'!$AE$5:$AE$404,$AL304)&lt;&gt;"",INDEX('04_調査結果'!$AE$5:$AE$404,$AL304),INDEX('04_調査結果'!$AS$5:$AS$404,$AL304)))</f>
        <v/>
      </c>
      <c r="U304" s="33">
        <f>IF($AL304="","",IF(INDEX('04_調査結果'!$AF$5:$AF$404,$AL304)&lt;&gt;"",INDEX('04_調査結果'!$AF$5:$AF$404,$AL304),INDEX('04_調査結果'!$AT$5:$AT$404,$AL304)))</f>
        <v/>
      </c>
      <c r="V304" s="33">
        <f>IF($AL304="","",INDEX('04_調査結果'!$AI$5:$AI$404,$AL304))</f>
        <v/>
      </c>
      <c r="W304">
        <f>IF($AL304="","",INDEX('04_調査結果'!$AU$5:$AU$404,$AL304))</f>
        <v/>
      </c>
      <c r="X304" s="37">
        <f>IF($AL304="","",INDEX('04_調査結果'!$AW$5:$AW$404,$AL304))</f>
        <v/>
      </c>
      <c r="Y304" s="37">
        <f>IF($AL304="","",INDEX('04_調査結果'!$AX$5:$AX$404,$AL304))</f>
        <v/>
      </c>
      <c r="Z304">
        <f>IF($AL304="","",INDEX('04_調査結果'!$S$5:$S$404,$AL304)&amp;"")</f>
        <v/>
      </c>
      <c r="AA304">
        <f>IF($AL304="","",INDEX('04_調査結果'!$T$5:$T$404,$AL304))</f>
        <v/>
      </c>
      <c r="AB304">
        <f>IF($AL304="","",INDEX('04_調査結果'!$U$5:$U$404,$AL304))</f>
        <v/>
      </c>
      <c r="AC304">
        <f>IF($AL304="","",INDEX('04_調査結果'!$V$5:$V$404,$AL304))</f>
        <v/>
      </c>
      <c r="AD304">
        <f>IF($AL304="","",INDEX('04_調査結果'!$W$5:$W$404,$AL304))</f>
        <v/>
      </c>
      <c r="AE304">
        <f>IF($AL304="","",INDEX('04_調査結果'!$X$5:$X$404,$AL304))</f>
        <v/>
      </c>
      <c r="AF304">
        <f>IF($AL304="","",INDEX('04_調査結果'!$Y$5:$Y$404,$AL304))</f>
        <v/>
      </c>
      <c r="AG304">
        <f>IF($AL304="","",INDEX('04_調査結果'!$Z$5:$Z$404,$AL304))</f>
        <v/>
      </c>
      <c r="AH304">
        <f>IF($AL304="","",INDEX('04_調査結果'!$AK$5:$AK$404,$AL304))</f>
        <v/>
      </c>
      <c r="AI304">
        <f>IF($AL304="","",INDEX('04_調査結果'!$AH$5:$AH$404,$AL304)&amp;"")</f>
        <v/>
      </c>
      <c r="AJ304">
        <f>IF($AL304="","",INDEX('04_調査結果'!$AA$5:$AA$404,$AL304)&amp;"")</f>
        <v/>
      </c>
      <c r="AK304">
        <f>IF($AL304="","",INDEX('04_調査結果'!$AC$5:$AC$404,$AL304)&amp;"")</f>
        <v/>
      </c>
      <c r="AL304" s="34">
        <f>IFERROR(MATCH(ROW()-4,'04_調査結果'!$AZ$5:$AZ$404,0),"")</f>
        <v/>
      </c>
    </row>
  </sheetData>
  <conditionalFormatting sqref="AI5:AI304">
    <cfRule type="expression" priority="1" dxfId="6">
      <formula>$AI5="自動化候補"</formula>
    </cfRule>
    <cfRule type="expression" priority="2" dxfId="7">
      <formula>$AI5="オフショア候補"</formula>
    </cfRule>
    <cfRule type="expression" priority="3" dxfId="8">
      <formula>$AI5="ニアショア候補"</formula>
    </cfRule>
    <cfRule type="expression" priority="4" dxfId="1">
      <formula>$AI5="社内で手順化→再評価"</formula>
    </cfRule>
    <cfRule type="expression" priority="5" dxfId="9">
      <formula>$AI5="社内残置"</formula>
    </cfRule>
  </conditionalFormatting>
  <pageMargins left="0.75" right="0.75" top="1" bottom="1" header="0.5" footer="0.5"/>
</worksheet>
</file>

<file path=xl/worksheets/sheet7.xml><?xml version="1.0" encoding="utf-8"?>
<worksheet xmlns="http://schemas.openxmlformats.org/spreadsheetml/2006/main">
  <sheetPr>
    <tabColor rgb="007030A0"/>
    <outlinePr summaryBelow="1" summaryRight="1"/>
    <pageSetUpPr/>
  </sheetPr>
  <dimension ref="A1:P106"/>
  <sheetViews>
    <sheetView showGridLines="1" workbookViewId="0">
      <pane xSplit="1" ySplit="4" topLeftCell="B5" activePane="bottomRight" state="frozen"/>
      <selection pane="topRight"/>
      <selection pane="bottomLeft"/>
      <selection pane="bottomRight" activeCell="A1" sqref="A1"/>
    </sheetView>
  </sheetViews>
  <sheetFormatPr baseColWidth="8" defaultRowHeight="15"/>
  <cols>
    <col width="5" customWidth="1" min="2" max="2"/>
    <col width="18" customWidth="1" min="3" max="3"/>
    <col width="6" customWidth="1" min="4" max="4"/>
    <col width="18" customWidth="1" min="5" max="5"/>
    <col width="20" customWidth="1" min="6" max="6"/>
    <col width="18" customWidth="1" min="7" max="7"/>
    <col width="12" customWidth="1" min="8" max="8"/>
    <col width="14" customWidth="1" min="9" max="9"/>
    <col width="5" customWidth="1" min="10" max="10"/>
    <col width="20" customWidth="1" min="11" max="11"/>
    <col width="7" customWidth="1" min="12" max="12"/>
    <col width="9" customWidth="1" min="13" max="13"/>
    <col width="7" customWidth="1" min="14" max="14"/>
    <col width="10" customWidth="1" min="15" max="15"/>
    <col width="24" customWidth="1" min="16" max="16"/>
  </cols>
  <sheetData>
    <row r="1">
      <c r="A1" s="5" t="inlineStr">
        <is>
          <t>06_顧客別集計（会社名の名寄せと顧客ごとの時間）</t>
        </is>
      </c>
    </row>
    <row r="2">
      <c r="A2" s="2" t="inlineStr">
        <is>
          <t>左：Researcher が書いた会社名の表記の一覧。「株式会社」の有無・全角半角・空白の違いは自動でそろえる。自動でそろわない同じ会社だけ、黄色の列に統一後の名前を入れる。右：統一後の名前ごとの集計（除外したタスクを除く）。</t>
        </is>
      </c>
    </row>
    <row r="4" ht="40" customHeight="1">
      <c r="B4" s="6" t="inlineStr">
        <is>
          <t>No</t>
        </is>
      </c>
      <c r="C4" s="6" t="inlineStr">
        <is>
          <t>Researcher の表記</t>
        </is>
      </c>
      <c r="D4" s="6" t="inlineStr">
        <is>
          <t>件数</t>
        </is>
      </c>
      <c r="E4" s="6" t="inlineStr">
        <is>
          <t>自動でそろえた名前</t>
        </is>
      </c>
      <c r="F4" s="7" t="inlineStr">
        <is>
          <t>統一後の名前（必要なときだけ入力）</t>
        </is>
      </c>
      <c r="G4" s="6" t="inlineStr">
        <is>
          <t>採用する名前</t>
        </is>
      </c>
      <c r="H4" s="29" t="inlineStr">
        <is>
          <t>比較用キー</t>
        </is>
      </c>
      <c r="I4" s="29" t="inlineStr">
        <is>
          <t>表記を整えた名前</t>
        </is>
      </c>
      <c r="J4" s="6" t="inlineStr">
        <is>
          <t>順位</t>
        </is>
      </c>
      <c r="K4" s="6" t="inlineStr">
        <is>
          <t>顧客名（統一後）</t>
        </is>
      </c>
      <c r="L4" s="6" t="inlineStr">
        <is>
          <t>タスク数</t>
        </is>
      </c>
      <c r="M4" s="6" t="inlineStr">
        <is>
          <t>月あたり時間h</t>
        </is>
      </c>
      <c r="N4" s="6" t="inlineStr">
        <is>
          <t>暗黙の数</t>
        </is>
      </c>
      <c r="O4" s="6" t="inlineStr">
        <is>
          <t>任せられる候補の時間h</t>
        </is>
      </c>
      <c r="P4" s="6" t="inlineStr">
        <is>
          <t>案件・対象名の例</t>
        </is>
      </c>
    </row>
    <row r="5">
      <c r="B5" s="34" t="n">
        <v>1</v>
      </c>
      <c r="C5">
        <f>IFERROR(INDEX('04_調査結果'!$BB$5:$BB$404,MATCH(B5,'04_調査結果'!$BD$5:$BD$404,0)),"")</f>
        <v/>
      </c>
      <c r="D5">
        <f>IF(C5="","",COUNTIFS('04_調査結果'!$BB$5:$BB$404,C5,'04_調査結果'!$AB$5:$AB$404,"OK"))</f>
        <v/>
      </c>
      <c r="E5">
        <f>IF(C5="","",INDEX($I$5:$I$104,MATCH(H5,$H$5:$H$104,0)))</f>
        <v/>
      </c>
      <c r="F5" s="31" t="n"/>
      <c r="G5">
        <f>IF(C5="","",IF(F5&lt;&gt;"",F5,E5))</f>
        <v/>
      </c>
      <c r="H5" s="34">
        <f>IF(C5="","",UPPER(SUBSTITUTE(SUBSTITUTE(SUBSTITUTE(SUBSTITUTE(SUBSTITUTE(SUBSTITUTE(SUBSTITUTE(SUBSTITUTE(SUBSTITUTE(SUBSTITUTE(SUBSTITUTE(ASC(C5),"株式会社",""),"有限会社",""),"合同会社",""),"(株)",""),"(有)",""),"(同)",""),"㈱",""),"㈲",""),"様",""),"御中","")," ","")))</f>
        <v/>
      </c>
      <c r="I5" s="34">
        <f>IF(C5="","",TRIM(SUBSTITUTE(SUBSTITUTE(SUBSTITUTE(SUBSTITUTE(SUBSTITUTE(SUBSTITUTE(SUBSTITUTE(SUBSTITUTE(SUBSTITUTE(SUBSTITUTE(SUBSTITUTE(C5,"株式会社",""),"有限会社",""),"合同会社",""),"(株)",""),"（株）",""),"㈱",""),"(有)",""),"（有）",""),"㈲",""),"様",""),"御中","")))</f>
        <v/>
      </c>
      <c r="J5">
        <f>IF(OR(K5="",M5=""),"",RANK(M5,$M$5:$M$104))</f>
        <v/>
      </c>
      <c r="K5" s="38" t="inlineStr">
        <is>
          <t>（顧客以外：社内・庶務など）</t>
        </is>
      </c>
      <c r="L5">
        <f>COUNTIFS('04_調査結果'!$BE$5:$BE$404,"",'04_調査結果'!$AZ$5:$AZ$404,"&gt;0")</f>
        <v/>
      </c>
      <c r="M5" s="33">
        <f>SUMIFS('04_調査結果'!$AI$5:$AI$404,'04_調査結果'!$BE$5:$BE$404,"",'04_調査結果'!$AZ$5:$AZ$404,"&gt;0")</f>
        <v/>
      </c>
      <c r="N5">
        <f>COUNTIFS('04_調査結果'!$BE$5:$BE$404,"",'04_調査結果'!$AZ$5:$AZ$404,"&gt;0",'04_調査結果'!$M$5:$M$404,"暗黙")</f>
        <v/>
      </c>
      <c r="O5" s="33">
        <f>SUMIFS('04_調査結果'!$AI$5:$AI$404,'04_調査結果'!$BE$5:$BE$404,"",'04_調査結果'!$AZ$5:$AZ$404,"&gt;0",'04_調査結果'!$AH$5:$AH$404,"自動化候補")+SUMIFS('04_調査結果'!$AI$5:$AI$404,'04_調査結果'!$BE$5:$BE$404,"",'04_調査結果'!$AZ$5:$AZ$404,"&gt;0",'04_調査結果'!$AH$5:$AH$404,"オフショア候補")+SUMIFS('04_調査結果'!$AI$5:$AI$404,'04_調査結果'!$BE$5:$BE$404,"",'04_調査結果'!$AZ$5:$AZ$404,"&gt;0",'04_調査結果'!$AH$5:$AH$404,"ニアショア候補")</f>
        <v/>
      </c>
      <c r="P5" s="39" t="inlineStr">
        <is>
          <t>-</t>
        </is>
      </c>
    </row>
    <row r="6">
      <c r="B6" s="34" t="n">
        <v>2</v>
      </c>
      <c r="C6">
        <f>IFERROR(INDEX('04_調査結果'!$BB$5:$BB$404,MATCH(B6,'04_調査結果'!$BD$5:$BD$404,0)),"")</f>
        <v/>
      </c>
      <c r="D6">
        <f>IF(C6="","",COUNTIFS('04_調査結果'!$BB$5:$BB$404,C6,'04_調査結果'!$AB$5:$AB$404,"OK"))</f>
        <v/>
      </c>
      <c r="E6">
        <f>IF(C6="","",INDEX($I$5:$I$104,MATCH(H6,$H$5:$H$104,0)))</f>
        <v/>
      </c>
      <c r="F6" s="31" t="n"/>
      <c r="G6">
        <f>IF(C6="","",IF(F6&lt;&gt;"",F6,E6))</f>
        <v/>
      </c>
      <c r="H6" s="34">
        <f>IF(C6="","",UPPER(SUBSTITUTE(SUBSTITUTE(SUBSTITUTE(SUBSTITUTE(SUBSTITUTE(SUBSTITUTE(SUBSTITUTE(SUBSTITUTE(SUBSTITUTE(SUBSTITUTE(SUBSTITUTE(ASC(C6),"株式会社",""),"有限会社",""),"合同会社",""),"(株)",""),"(有)",""),"(同)",""),"㈱",""),"㈲",""),"様",""),"御中","")," ","")))</f>
        <v/>
      </c>
      <c r="I6" s="34">
        <f>IF(C6="","",TRIM(SUBSTITUTE(SUBSTITUTE(SUBSTITUTE(SUBSTITUTE(SUBSTITUTE(SUBSTITUTE(SUBSTITUTE(SUBSTITUTE(SUBSTITUTE(SUBSTITUTE(SUBSTITUTE(C6,"株式会社",""),"有限会社",""),"合同会社",""),"(株)",""),"（株）",""),"㈱",""),"(有)",""),"（有）",""),"㈲",""),"様",""),"御中","")))</f>
        <v/>
      </c>
      <c r="J6">
        <f>IF(OR(K6="",M6=""),"",RANK(M6,$M$5:$M$104))</f>
        <v/>
      </c>
      <c r="K6">
        <f>IFERROR(INDEX('04_調査結果'!$BE$5:$BE$404,MATCH((ROW()-5),'04_調査結果'!$BG$5:$BG$404,0)),"")</f>
        <v/>
      </c>
      <c r="L6">
        <f>IF(K6="","",COUNTIFS('04_調査結果'!$BE$5:$BE$404,K6,'04_調査結果'!$AZ$5:$AZ$404,"&gt;0"))</f>
        <v/>
      </c>
      <c r="M6" s="33">
        <f>IF(K6="","",SUMIFS('04_調査結果'!$AI$5:$AI$404,'04_調査結果'!$BE$5:$BE$404,K6,'04_調査結果'!$AZ$5:$AZ$404,"&gt;0"))</f>
        <v/>
      </c>
      <c r="N6">
        <f>IF(K6="","",COUNTIFS('04_調査結果'!$BE$5:$BE$404,K6,'04_調査結果'!$AZ$5:$AZ$404,"&gt;0",'04_調査結果'!$M$5:$M$404,"暗黙"))</f>
        <v/>
      </c>
      <c r="O6" s="33">
        <f>IF(K6="","",SUMIFS('04_調査結果'!$AI$5:$AI$404,'04_調査結果'!$BE$5:$BE$404,K6,'04_調査結果'!$AZ$5:$AZ$404,"&gt;0",'04_調査結果'!$AH$5:$AH$404,"自動化候補")+SUMIFS('04_調査結果'!$AI$5:$AI$404,'04_調査結果'!$BE$5:$BE$404,K6,'04_調査結果'!$AZ$5:$AZ$404,"&gt;0",'04_調査結果'!$AH$5:$AH$404,"オフショア候補")+SUMIFS('04_調査結果'!$AI$5:$AI$404,'04_調査結果'!$BE$5:$BE$404,K6,'04_調査結果'!$AZ$5:$AZ$404,"&gt;0",'04_調査結果'!$AH$5:$AH$404,"ニアショア候補"))</f>
        <v/>
      </c>
      <c r="P6">
        <f>IF(K6="","",IFERROR(INDEX('04_調査結果'!$F$5:$F$404,MATCH(K6,'04_調査結果'!$BE$5:$BE$404,0))&amp;"",""))</f>
        <v/>
      </c>
    </row>
    <row r="7">
      <c r="B7" s="34" t="n">
        <v>3</v>
      </c>
      <c r="C7">
        <f>IFERROR(INDEX('04_調査結果'!$BB$5:$BB$404,MATCH(B7,'04_調査結果'!$BD$5:$BD$404,0)),"")</f>
        <v/>
      </c>
      <c r="D7">
        <f>IF(C7="","",COUNTIFS('04_調査結果'!$BB$5:$BB$404,C7,'04_調査結果'!$AB$5:$AB$404,"OK"))</f>
        <v/>
      </c>
      <c r="E7">
        <f>IF(C7="","",INDEX($I$5:$I$104,MATCH(H7,$H$5:$H$104,0)))</f>
        <v/>
      </c>
      <c r="F7" s="31" t="n"/>
      <c r="G7">
        <f>IF(C7="","",IF(F7&lt;&gt;"",F7,E7))</f>
        <v/>
      </c>
      <c r="H7" s="34">
        <f>IF(C7="","",UPPER(SUBSTITUTE(SUBSTITUTE(SUBSTITUTE(SUBSTITUTE(SUBSTITUTE(SUBSTITUTE(SUBSTITUTE(SUBSTITUTE(SUBSTITUTE(SUBSTITUTE(SUBSTITUTE(ASC(C7),"株式会社",""),"有限会社",""),"合同会社",""),"(株)",""),"(有)",""),"(同)",""),"㈱",""),"㈲",""),"様",""),"御中","")," ","")))</f>
        <v/>
      </c>
      <c r="I7" s="34">
        <f>IF(C7="","",TRIM(SUBSTITUTE(SUBSTITUTE(SUBSTITUTE(SUBSTITUTE(SUBSTITUTE(SUBSTITUTE(SUBSTITUTE(SUBSTITUTE(SUBSTITUTE(SUBSTITUTE(SUBSTITUTE(C7,"株式会社",""),"有限会社",""),"合同会社",""),"(株)",""),"（株）",""),"㈱",""),"(有)",""),"（有）",""),"㈲",""),"様",""),"御中","")))</f>
        <v/>
      </c>
      <c r="J7">
        <f>IF(OR(K7="",M7=""),"",RANK(M7,$M$5:$M$104))</f>
        <v/>
      </c>
      <c r="K7">
        <f>IFERROR(INDEX('04_調査結果'!$BE$5:$BE$404,MATCH((ROW()-5),'04_調査結果'!$BG$5:$BG$404,0)),"")</f>
        <v/>
      </c>
      <c r="L7">
        <f>IF(K7="","",COUNTIFS('04_調査結果'!$BE$5:$BE$404,K7,'04_調査結果'!$AZ$5:$AZ$404,"&gt;0"))</f>
        <v/>
      </c>
      <c r="M7" s="33">
        <f>IF(K7="","",SUMIFS('04_調査結果'!$AI$5:$AI$404,'04_調査結果'!$BE$5:$BE$404,K7,'04_調査結果'!$AZ$5:$AZ$404,"&gt;0"))</f>
        <v/>
      </c>
      <c r="N7">
        <f>IF(K7="","",COUNTIFS('04_調査結果'!$BE$5:$BE$404,K7,'04_調査結果'!$AZ$5:$AZ$404,"&gt;0",'04_調査結果'!$M$5:$M$404,"暗黙"))</f>
        <v/>
      </c>
      <c r="O7" s="33">
        <f>IF(K7="","",SUMIFS('04_調査結果'!$AI$5:$AI$404,'04_調査結果'!$BE$5:$BE$404,K7,'04_調査結果'!$AZ$5:$AZ$404,"&gt;0",'04_調査結果'!$AH$5:$AH$404,"自動化候補")+SUMIFS('04_調査結果'!$AI$5:$AI$404,'04_調査結果'!$BE$5:$BE$404,K7,'04_調査結果'!$AZ$5:$AZ$404,"&gt;0",'04_調査結果'!$AH$5:$AH$404,"オフショア候補")+SUMIFS('04_調査結果'!$AI$5:$AI$404,'04_調査結果'!$BE$5:$BE$404,K7,'04_調査結果'!$AZ$5:$AZ$404,"&gt;0",'04_調査結果'!$AH$5:$AH$404,"ニアショア候補"))</f>
        <v/>
      </c>
      <c r="P7">
        <f>IF(K7="","",IFERROR(INDEX('04_調査結果'!$F$5:$F$404,MATCH(K7,'04_調査結果'!$BE$5:$BE$404,0))&amp;"",""))</f>
        <v/>
      </c>
    </row>
    <row r="8">
      <c r="B8" s="34" t="n">
        <v>4</v>
      </c>
      <c r="C8">
        <f>IFERROR(INDEX('04_調査結果'!$BB$5:$BB$404,MATCH(B8,'04_調査結果'!$BD$5:$BD$404,0)),"")</f>
        <v/>
      </c>
      <c r="D8">
        <f>IF(C8="","",COUNTIFS('04_調査結果'!$BB$5:$BB$404,C8,'04_調査結果'!$AB$5:$AB$404,"OK"))</f>
        <v/>
      </c>
      <c r="E8">
        <f>IF(C8="","",INDEX($I$5:$I$104,MATCH(H8,$H$5:$H$104,0)))</f>
        <v/>
      </c>
      <c r="F8" s="31" t="n"/>
      <c r="G8">
        <f>IF(C8="","",IF(F8&lt;&gt;"",F8,E8))</f>
        <v/>
      </c>
      <c r="H8" s="34">
        <f>IF(C8="","",UPPER(SUBSTITUTE(SUBSTITUTE(SUBSTITUTE(SUBSTITUTE(SUBSTITUTE(SUBSTITUTE(SUBSTITUTE(SUBSTITUTE(SUBSTITUTE(SUBSTITUTE(SUBSTITUTE(ASC(C8),"株式会社",""),"有限会社",""),"合同会社",""),"(株)",""),"(有)",""),"(同)",""),"㈱",""),"㈲",""),"様",""),"御中","")," ","")))</f>
        <v/>
      </c>
      <c r="I8" s="34">
        <f>IF(C8="","",TRIM(SUBSTITUTE(SUBSTITUTE(SUBSTITUTE(SUBSTITUTE(SUBSTITUTE(SUBSTITUTE(SUBSTITUTE(SUBSTITUTE(SUBSTITUTE(SUBSTITUTE(SUBSTITUTE(C8,"株式会社",""),"有限会社",""),"合同会社",""),"(株)",""),"（株）",""),"㈱",""),"(有)",""),"（有）",""),"㈲",""),"様",""),"御中","")))</f>
        <v/>
      </c>
      <c r="J8">
        <f>IF(OR(K8="",M8=""),"",RANK(M8,$M$5:$M$104))</f>
        <v/>
      </c>
      <c r="K8">
        <f>IFERROR(INDEX('04_調査結果'!$BE$5:$BE$404,MATCH((ROW()-5),'04_調査結果'!$BG$5:$BG$404,0)),"")</f>
        <v/>
      </c>
      <c r="L8">
        <f>IF(K8="","",COUNTIFS('04_調査結果'!$BE$5:$BE$404,K8,'04_調査結果'!$AZ$5:$AZ$404,"&gt;0"))</f>
        <v/>
      </c>
      <c r="M8" s="33">
        <f>IF(K8="","",SUMIFS('04_調査結果'!$AI$5:$AI$404,'04_調査結果'!$BE$5:$BE$404,K8,'04_調査結果'!$AZ$5:$AZ$404,"&gt;0"))</f>
        <v/>
      </c>
      <c r="N8">
        <f>IF(K8="","",COUNTIFS('04_調査結果'!$BE$5:$BE$404,K8,'04_調査結果'!$AZ$5:$AZ$404,"&gt;0",'04_調査結果'!$M$5:$M$404,"暗黙"))</f>
        <v/>
      </c>
      <c r="O8" s="33">
        <f>IF(K8="","",SUMIFS('04_調査結果'!$AI$5:$AI$404,'04_調査結果'!$BE$5:$BE$404,K8,'04_調査結果'!$AZ$5:$AZ$404,"&gt;0",'04_調査結果'!$AH$5:$AH$404,"自動化候補")+SUMIFS('04_調査結果'!$AI$5:$AI$404,'04_調査結果'!$BE$5:$BE$404,K8,'04_調査結果'!$AZ$5:$AZ$404,"&gt;0",'04_調査結果'!$AH$5:$AH$404,"オフショア候補")+SUMIFS('04_調査結果'!$AI$5:$AI$404,'04_調査結果'!$BE$5:$BE$404,K8,'04_調査結果'!$AZ$5:$AZ$404,"&gt;0",'04_調査結果'!$AH$5:$AH$404,"ニアショア候補"))</f>
        <v/>
      </c>
      <c r="P8">
        <f>IF(K8="","",IFERROR(INDEX('04_調査結果'!$F$5:$F$404,MATCH(K8,'04_調査結果'!$BE$5:$BE$404,0))&amp;"",""))</f>
        <v/>
      </c>
    </row>
    <row r="9">
      <c r="B9" s="34" t="n">
        <v>5</v>
      </c>
      <c r="C9">
        <f>IFERROR(INDEX('04_調査結果'!$BB$5:$BB$404,MATCH(B9,'04_調査結果'!$BD$5:$BD$404,0)),"")</f>
        <v/>
      </c>
      <c r="D9">
        <f>IF(C9="","",COUNTIFS('04_調査結果'!$BB$5:$BB$404,C9,'04_調査結果'!$AB$5:$AB$404,"OK"))</f>
        <v/>
      </c>
      <c r="E9">
        <f>IF(C9="","",INDEX($I$5:$I$104,MATCH(H9,$H$5:$H$104,0)))</f>
        <v/>
      </c>
      <c r="F9" s="31" t="n"/>
      <c r="G9">
        <f>IF(C9="","",IF(F9&lt;&gt;"",F9,E9))</f>
        <v/>
      </c>
      <c r="H9" s="34">
        <f>IF(C9="","",UPPER(SUBSTITUTE(SUBSTITUTE(SUBSTITUTE(SUBSTITUTE(SUBSTITUTE(SUBSTITUTE(SUBSTITUTE(SUBSTITUTE(SUBSTITUTE(SUBSTITUTE(SUBSTITUTE(ASC(C9),"株式会社",""),"有限会社",""),"合同会社",""),"(株)",""),"(有)",""),"(同)",""),"㈱",""),"㈲",""),"様",""),"御中","")," ","")))</f>
        <v/>
      </c>
      <c r="I9" s="34">
        <f>IF(C9="","",TRIM(SUBSTITUTE(SUBSTITUTE(SUBSTITUTE(SUBSTITUTE(SUBSTITUTE(SUBSTITUTE(SUBSTITUTE(SUBSTITUTE(SUBSTITUTE(SUBSTITUTE(SUBSTITUTE(C9,"株式会社",""),"有限会社",""),"合同会社",""),"(株)",""),"（株）",""),"㈱",""),"(有)",""),"（有）",""),"㈲",""),"様",""),"御中","")))</f>
        <v/>
      </c>
      <c r="J9">
        <f>IF(OR(K9="",M9=""),"",RANK(M9,$M$5:$M$104))</f>
        <v/>
      </c>
      <c r="K9">
        <f>IFERROR(INDEX('04_調査結果'!$BE$5:$BE$404,MATCH((ROW()-5),'04_調査結果'!$BG$5:$BG$404,0)),"")</f>
        <v/>
      </c>
      <c r="L9">
        <f>IF(K9="","",COUNTIFS('04_調査結果'!$BE$5:$BE$404,K9,'04_調査結果'!$AZ$5:$AZ$404,"&gt;0"))</f>
        <v/>
      </c>
      <c r="M9" s="33">
        <f>IF(K9="","",SUMIFS('04_調査結果'!$AI$5:$AI$404,'04_調査結果'!$BE$5:$BE$404,K9,'04_調査結果'!$AZ$5:$AZ$404,"&gt;0"))</f>
        <v/>
      </c>
      <c r="N9">
        <f>IF(K9="","",COUNTIFS('04_調査結果'!$BE$5:$BE$404,K9,'04_調査結果'!$AZ$5:$AZ$404,"&gt;0",'04_調査結果'!$M$5:$M$404,"暗黙"))</f>
        <v/>
      </c>
      <c r="O9" s="33">
        <f>IF(K9="","",SUMIFS('04_調査結果'!$AI$5:$AI$404,'04_調査結果'!$BE$5:$BE$404,K9,'04_調査結果'!$AZ$5:$AZ$404,"&gt;0",'04_調査結果'!$AH$5:$AH$404,"自動化候補")+SUMIFS('04_調査結果'!$AI$5:$AI$404,'04_調査結果'!$BE$5:$BE$404,K9,'04_調査結果'!$AZ$5:$AZ$404,"&gt;0",'04_調査結果'!$AH$5:$AH$404,"オフショア候補")+SUMIFS('04_調査結果'!$AI$5:$AI$404,'04_調査結果'!$BE$5:$BE$404,K9,'04_調査結果'!$AZ$5:$AZ$404,"&gt;0",'04_調査結果'!$AH$5:$AH$404,"ニアショア候補"))</f>
        <v/>
      </c>
      <c r="P9">
        <f>IF(K9="","",IFERROR(INDEX('04_調査結果'!$F$5:$F$404,MATCH(K9,'04_調査結果'!$BE$5:$BE$404,0))&amp;"",""))</f>
        <v/>
      </c>
    </row>
    <row r="10">
      <c r="B10" s="34" t="n">
        <v>6</v>
      </c>
      <c r="C10">
        <f>IFERROR(INDEX('04_調査結果'!$BB$5:$BB$404,MATCH(B10,'04_調査結果'!$BD$5:$BD$404,0)),"")</f>
        <v/>
      </c>
      <c r="D10">
        <f>IF(C10="","",COUNTIFS('04_調査結果'!$BB$5:$BB$404,C10,'04_調査結果'!$AB$5:$AB$404,"OK"))</f>
        <v/>
      </c>
      <c r="E10">
        <f>IF(C10="","",INDEX($I$5:$I$104,MATCH(H10,$H$5:$H$104,0)))</f>
        <v/>
      </c>
      <c r="F10" s="31" t="n"/>
      <c r="G10">
        <f>IF(C10="","",IF(F10&lt;&gt;"",F10,E10))</f>
        <v/>
      </c>
      <c r="H10" s="34">
        <f>IF(C10="","",UPPER(SUBSTITUTE(SUBSTITUTE(SUBSTITUTE(SUBSTITUTE(SUBSTITUTE(SUBSTITUTE(SUBSTITUTE(SUBSTITUTE(SUBSTITUTE(SUBSTITUTE(SUBSTITUTE(ASC(C10),"株式会社",""),"有限会社",""),"合同会社",""),"(株)",""),"(有)",""),"(同)",""),"㈱",""),"㈲",""),"様",""),"御中","")," ","")))</f>
        <v/>
      </c>
      <c r="I10" s="34">
        <f>IF(C10="","",TRIM(SUBSTITUTE(SUBSTITUTE(SUBSTITUTE(SUBSTITUTE(SUBSTITUTE(SUBSTITUTE(SUBSTITUTE(SUBSTITUTE(SUBSTITUTE(SUBSTITUTE(SUBSTITUTE(C10,"株式会社",""),"有限会社",""),"合同会社",""),"(株)",""),"（株）",""),"㈱",""),"(有)",""),"（有）",""),"㈲",""),"様",""),"御中","")))</f>
        <v/>
      </c>
      <c r="J10">
        <f>IF(OR(K10="",M10=""),"",RANK(M10,$M$5:$M$104))</f>
        <v/>
      </c>
      <c r="K10">
        <f>IFERROR(INDEX('04_調査結果'!$BE$5:$BE$404,MATCH((ROW()-5),'04_調査結果'!$BG$5:$BG$404,0)),"")</f>
        <v/>
      </c>
      <c r="L10">
        <f>IF(K10="","",COUNTIFS('04_調査結果'!$BE$5:$BE$404,K10,'04_調査結果'!$AZ$5:$AZ$404,"&gt;0"))</f>
        <v/>
      </c>
      <c r="M10" s="33">
        <f>IF(K10="","",SUMIFS('04_調査結果'!$AI$5:$AI$404,'04_調査結果'!$BE$5:$BE$404,K10,'04_調査結果'!$AZ$5:$AZ$404,"&gt;0"))</f>
        <v/>
      </c>
      <c r="N10">
        <f>IF(K10="","",COUNTIFS('04_調査結果'!$BE$5:$BE$404,K10,'04_調査結果'!$AZ$5:$AZ$404,"&gt;0",'04_調査結果'!$M$5:$M$404,"暗黙"))</f>
        <v/>
      </c>
      <c r="O10" s="33">
        <f>IF(K10="","",SUMIFS('04_調査結果'!$AI$5:$AI$404,'04_調査結果'!$BE$5:$BE$404,K10,'04_調査結果'!$AZ$5:$AZ$404,"&gt;0",'04_調査結果'!$AH$5:$AH$404,"自動化候補")+SUMIFS('04_調査結果'!$AI$5:$AI$404,'04_調査結果'!$BE$5:$BE$404,K10,'04_調査結果'!$AZ$5:$AZ$404,"&gt;0",'04_調査結果'!$AH$5:$AH$404,"オフショア候補")+SUMIFS('04_調査結果'!$AI$5:$AI$404,'04_調査結果'!$BE$5:$BE$404,K10,'04_調査結果'!$AZ$5:$AZ$404,"&gt;0",'04_調査結果'!$AH$5:$AH$404,"ニアショア候補"))</f>
        <v/>
      </c>
      <c r="P10">
        <f>IF(K10="","",IFERROR(INDEX('04_調査結果'!$F$5:$F$404,MATCH(K10,'04_調査結果'!$BE$5:$BE$404,0))&amp;"",""))</f>
        <v/>
      </c>
    </row>
    <row r="11">
      <c r="B11" s="34" t="n">
        <v>7</v>
      </c>
      <c r="C11">
        <f>IFERROR(INDEX('04_調査結果'!$BB$5:$BB$404,MATCH(B11,'04_調査結果'!$BD$5:$BD$404,0)),"")</f>
        <v/>
      </c>
      <c r="D11">
        <f>IF(C11="","",COUNTIFS('04_調査結果'!$BB$5:$BB$404,C11,'04_調査結果'!$AB$5:$AB$404,"OK"))</f>
        <v/>
      </c>
      <c r="E11">
        <f>IF(C11="","",INDEX($I$5:$I$104,MATCH(H11,$H$5:$H$104,0)))</f>
        <v/>
      </c>
      <c r="F11" s="31" t="n"/>
      <c r="G11">
        <f>IF(C11="","",IF(F11&lt;&gt;"",F11,E11))</f>
        <v/>
      </c>
      <c r="H11" s="34">
        <f>IF(C11="","",UPPER(SUBSTITUTE(SUBSTITUTE(SUBSTITUTE(SUBSTITUTE(SUBSTITUTE(SUBSTITUTE(SUBSTITUTE(SUBSTITUTE(SUBSTITUTE(SUBSTITUTE(SUBSTITUTE(ASC(C11),"株式会社",""),"有限会社",""),"合同会社",""),"(株)",""),"(有)",""),"(同)",""),"㈱",""),"㈲",""),"様",""),"御中","")," ","")))</f>
        <v/>
      </c>
      <c r="I11" s="34">
        <f>IF(C11="","",TRIM(SUBSTITUTE(SUBSTITUTE(SUBSTITUTE(SUBSTITUTE(SUBSTITUTE(SUBSTITUTE(SUBSTITUTE(SUBSTITUTE(SUBSTITUTE(SUBSTITUTE(SUBSTITUTE(C11,"株式会社",""),"有限会社",""),"合同会社",""),"(株)",""),"（株）",""),"㈱",""),"(有)",""),"（有）",""),"㈲",""),"様",""),"御中","")))</f>
        <v/>
      </c>
      <c r="J11">
        <f>IF(OR(K11="",M11=""),"",RANK(M11,$M$5:$M$104))</f>
        <v/>
      </c>
      <c r="K11">
        <f>IFERROR(INDEX('04_調査結果'!$BE$5:$BE$404,MATCH((ROW()-5),'04_調査結果'!$BG$5:$BG$404,0)),"")</f>
        <v/>
      </c>
      <c r="L11">
        <f>IF(K11="","",COUNTIFS('04_調査結果'!$BE$5:$BE$404,K11,'04_調査結果'!$AZ$5:$AZ$404,"&gt;0"))</f>
        <v/>
      </c>
      <c r="M11" s="33">
        <f>IF(K11="","",SUMIFS('04_調査結果'!$AI$5:$AI$404,'04_調査結果'!$BE$5:$BE$404,K11,'04_調査結果'!$AZ$5:$AZ$404,"&gt;0"))</f>
        <v/>
      </c>
      <c r="N11">
        <f>IF(K11="","",COUNTIFS('04_調査結果'!$BE$5:$BE$404,K11,'04_調査結果'!$AZ$5:$AZ$404,"&gt;0",'04_調査結果'!$M$5:$M$404,"暗黙"))</f>
        <v/>
      </c>
      <c r="O11" s="33">
        <f>IF(K11="","",SUMIFS('04_調査結果'!$AI$5:$AI$404,'04_調査結果'!$BE$5:$BE$404,K11,'04_調査結果'!$AZ$5:$AZ$404,"&gt;0",'04_調査結果'!$AH$5:$AH$404,"自動化候補")+SUMIFS('04_調査結果'!$AI$5:$AI$404,'04_調査結果'!$BE$5:$BE$404,K11,'04_調査結果'!$AZ$5:$AZ$404,"&gt;0",'04_調査結果'!$AH$5:$AH$404,"オフショア候補")+SUMIFS('04_調査結果'!$AI$5:$AI$404,'04_調査結果'!$BE$5:$BE$404,K11,'04_調査結果'!$AZ$5:$AZ$404,"&gt;0",'04_調査結果'!$AH$5:$AH$404,"ニアショア候補"))</f>
        <v/>
      </c>
      <c r="P11">
        <f>IF(K11="","",IFERROR(INDEX('04_調査結果'!$F$5:$F$404,MATCH(K11,'04_調査結果'!$BE$5:$BE$404,0))&amp;"",""))</f>
        <v/>
      </c>
    </row>
    <row r="12">
      <c r="B12" s="34" t="n">
        <v>8</v>
      </c>
      <c r="C12">
        <f>IFERROR(INDEX('04_調査結果'!$BB$5:$BB$404,MATCH(B12,'04_調査結果'!$BD$5:$BD$404,0)),"")</f>
        <v/>
      </c>
      <c r="D12">
        <f>IF(C12="","",COUNTIFS('04_調査結果'!$BB$5:$BB$404,C12,'04_調査結果'!$AB$5:$AB$404,"OK"))</f>
        <v/>
      </c>
      <c r="E12">
        <f>IF(C12="","",INDEX($I$5:$I$104,MATCH(H12,$H$5:$H$104,0)))</f>
        <v/>
      </c>
      <c r="F12" s="31" t="n"/>
      <c r="G12">
        <f>IF(C12="","",IF(F12&lt;&gt;"",F12,E12))</f>
        <v/>
      </c>
      <c r="H12" s="34">
        <f>IF(C12="","",UPPER(SUBSTITUTE(SUBSTITUTE(SUBSTITUTE(SUBSTITUTE(SUBSTITUTE(SUBSTITUTE(SUBSTITUTE(SUBSTITUTE(SUBSTITUTE(SUBSTITUTE(SUBSTITUTE(ASC(C12),"株式会社",""),"有限会社",""),"合同会社",""),"(株)",""),"(有)",""),"(同)",""),"㈱",""),"㈲",""),"様",""),"御中","")," ","")))</f>
        <v/>
      </c>
      <c r="I12" s="34">
        <f>IF(C12="","",TRIM(SUBSTITUTE(SUBSTITUTE(SUBSTITUTE(SUBSTITUTE(SUBSTITUTE(SUBSTITUTE(SUBSTITUTE(SUBSTITUTE(SUBSTITUTE(SUBSTITUTE(SUBSTITUTE(C12,"株式会社",""),"有限会社",""),"合同会社",""),"(株)",""),"（株）",""),"㈱",""),"(有)",""),"（有）",""),"㈲",""),"様",""),"御中","")))</f>
        <v/>
      </c>
      <c r="J12">
        <f>IF(OR(K12="",M12=""),"",RANK(M12,$M$5:$M$104))</f>
        <v/>
      </c>
      <c r="K12">
        <f>IFERROR(INDEX('04_調査結果'!$BE$5:$BE$404,MATCH((ROW()-5),'04_調査結果'!$BG$5:$BG$404,0)),"")</f>
        <v/>
      </c>
      <c r="L12">
        <f>IF(K12="","",COUNTIFS('04_調査結果'!$BE$5:$BE$404,K12,'04_調査結果'!$AZ$5:$AZ$404,"&gt;0"))</f>
        <v/>
      </c>
      <c r="M12" s="33">
        <f>IF(K12="","",SUMIFS('04_調査結果'!$AI$5:$AI$404,'04_調査結果'!$BE$5:$BE$404,K12,'04_調査結果'!$AZ$5:$AZ$404,"&gt;0"))</f>
        <v/>
      </c>
      <c r="N12">
        <f>IF(K12="","",COUNTIFS('04_調査結果'!$BE$5:$BE$404,K12,'04_調査結果'!$AZ$5:$AZ$404,"&gt;0",'04_調査結果'!$M$5:$M$404,"暗黙"))</f>
        <v/>
      </c>
      <c r="O12" s="33">
        <f>IF(K12="","",SUMIFS('04_調査結果'!$AI$5:$AI$404,'04_調査結果'!$BE$5:$BE$404,K12,'04_調査結果'!$AZ$5:$AZ$404,"&gt;0",'04_調査結果'!$AH$5:$AH$404,"自動化候補")+SUMIFS('04_調査結果'!$AI$5:$AI$404,'04_調査結果'!$BE$5:$BE$404,K12,'04_調査結果'!$AZ$5:$AZ$404,"&gt;0",'04_調査結果'!$AH$5:$AH$404,"オフショア候補")+SUMIFS('04_調査結果'!$AI$5:$AI$404,'04_調査結果'!$BE$5:$BE$404,K12,'04_調査結果'!$AZ$5:$AZ$404,"&gt;0",'04_調査結果'!$AH$5:$AH$404,"ニアショア候補"))</f>
        <v/>
      </c>
      <c r="P12">
        <f>IF(K12="","",IFERROR(INDEX('04_調査結果'!$F$5:$F$404,MATCH(K12,'04_調査結果'!$BE$5:$BE$404,0))&amp;"",""))</f>
        <v/>
      </c>
    </row>
    <row r="13">
      <c r="B13" s="34" t="n">
        <v>9</v>
      </c>
      <c r="C13">
        <f>IFERROR(INDEX('04_調査結果'!$BB$5:$BB$404,MATCH(B13,'04_調査結果'!$BD$5:$BD$404,0)),"")</f>
        <v/>
      </c>
      <c r="D13">
        <f>IF(C13="","",COUNTIFS('04_調査結果'!$BB$5:$BB$404,C13,'04_調査結果'!$AB$5:$AB$404,"OK"))</f>
        <v/>
      </c>
      <c r="E13">
        <f>IF(C13="","",INDEX($I$5:$I$104,MATCH(H13,$H$5:$H$104,0)))</f>
        <v/>
      </c>
      <c r="F13" s="31" t="n"/>
      <c r="G13">
        <f>IF(C13="","",IF(F13&lt;&gt;"",F13,E13))</f>
        <v/>
      </c>
      <c r="H13" s="34">
        <f>IF(C13="","",UPPER(SUBSTITUTE(SUBSTITUTE(SUBSTITUTE(SUBSTITUTE(SUBSTITUTE(SUBSTITUTE(SUBSTITUTE(SUBSTITUTE(SUBSTITUTE(SUBSTITUTE(SUBSTITUTE(ASC(C13),"株式会社",""),"有限会社",""),"合同会社",""),"(株)",""),"(有)",""),"(同)",""),"㈱",""),"㈲",""),"様",""),"御中","")," ","")))</f>
        <v/>
      </c>
      <c r="I13" s="34">
        <f>IF(C13="","",TRIM(SUBSTITUTE(SUBSTITUTE(SUBSTITUTE(SUBSTITUTE(SUBSTITUTE(SUBSTITUTE(SUBSTITUTE(SUBSTITUTE(SUBSTITUTE(SUBSTITUTE(SUBSTITUTE(C13,"株式会社",""),"有限会社",""),"合同会社",""),"(株)",""),"（株）",""),"㈱",""),"(有)",""),"（有）",""),"㈲",""),"様",""),"御中","")))</f>
        <v/>
      </c>
      <c r="J13">
        <f>IF(OR(K13="",M13=""),"",RANK(M13,$M$5:$M$104))</f>
        <v/>
      </c>
      <c r="K13">
        <f>IFERROR(INDEX('04_調査結果'!$BE$5:$BE$404,MATCH((ROW()-5),'04_調査結果'!$BG$5:$BG$404,0)),"")</f>
        <v/>
      </c>
      <c r="L13">
        <f>IF(K13="","",COUNTIFS('04_調査結果'!$BE$5:$BE$404,K13,'04_調査結果'!$AZ$5:$AZ$404,"&gt;0"))</f>
        <v/>
      </c>
      <c r="M13" s="33">
        <f>IF(K13="","",SUMIFS('04_調査結果'!$AI$5:$AI$404,'04_調査結果'!$BE$5:$BE$404,K13,'04_調査結果'!$AZ$5:$AZ$404,"&gt;0"))</f>
        <v/>
      </c>
      <c r="N13">
        <f>IF(K13="","",COUNTIFS('04_調査結果'!$BE$5:$BE$404,K13,'04_調査結果'!$AZ$5:$AZ$404,"&gt;0",'04_調査結果'!$M$5:$M$404,"暗黙"))</f>
        <v/>
      </c>
      <c r="O13" s="33">
        <f>IF(K13="","",SUMIFS('04_調査結果'!$AI$5:$AI$404,'04_調査結果'!$BE$5:$BE$404,K13,'04_調査結果'!$AZ$5:$AZ$404,"&gt;0",'04_調査結果'!$AH$5:$AH$404,"自動化候補")+SUMIFS('04_調査結果'!$AI$5:$AI$404,'04_調査結果'!$BE$5:$BE$404,K13,'04_調査結果'!$AZ$5:$AZ$404,"&gt;0",'04_調査結果'!$AH$5:$AH$404,"オフショア候補")+SUMIFS('04_調査結果'!$AI$5:$AI$404,'04_調査結果'!$BE$5:$BE$404,K13,'04_調査結果'!$AZ$5:$AZ$404,"&gt;0",'04_調査結果'!$AH$5:$AH$404,"ニアショア候補"))</f>
        <v/>
      </c>
      <c r="P13">
        <f>IF(K13="","",IFERROR(INDEX('04_調査結果'!$F$5:$F$404,MATCH(K13,'04_調査結果'!$BE$5:$BE$404,0))&amp;"",""))</f>
        <v/>
      </c>
    </row>
    <row r="14">
      <c r="B14" s="34" t="n">
        <v>10</v>
      </c>
      <c r="C14">
        <f>IFERROR(INDEX('04_調査結果'!$BB$5:$BB$404,MATCH(B14,'04_調査結果'!$BD$5:$BD$404,0)),"")</f>
        <v/>
      </c>
      <c r="D14">
        <f>IF(C14="","",COUNTIFS('04_調査結果'!$BB$5:$BB$404,C14,'04_調査結果'!$AB$5:$AB$404,"OK"))</f>
        <v/>
      </c>
      <c r="E14">
        <f>IF(C14="","",INDEX($I$5:$I$104,MATCH(H14,$H$5:$H$104,0)))</f>
        <v/>
      </c>
      <c r="F14" s="31" t="n"/>
      <c r="G14">
        <f>IF(C14="","",IF(F14&lt;&gt;"",F14,E14))</f>
        <v/>
      </c>
      <c r="H14" s="34">
        <f>IF(C14="","",UPPER(SUBSTITUTE(SUBSTITUTE(SUBSTITUTE(SUBSTITUTE(SUBSTITUTE(SUBSTITUTE(SUBSTITUTE(SUBSTITUTE(SUBSTITUTE(SUBSTITUTE(SUBSTITUTE(ASC(C14),"株式会社",""),"有限会社",""),"合同会社",""),"(株)",""),"(有)",""),"(同)",""),"㈱",""),"㈲",""),"様",""),"御中","")," ","")))</f>
        <v/>
      </c>
      <c r="I14" s="34">
        <f>IF(C14="","",TRIM(SUBSTITUTE(SUBSTITUTE(SUBSTITUTE(SUBSTITUTE(SUBSTITUTE(SUBSTITUTE(SUBSTITUTE(SUBSTITUTE(SUBSTITUTE(SUBSTITUTE(SUBSTITUTE(C14,"株式会社",""),"有限会社",""),"合同会社",""),"(株)",""),"（株）",""),"㈱",""),"(有)",""),"（有）",""),"㈲",""),"様",""),"御中","")))</f>
        <v/>
      </c>
      <c r="J14">
        <f>IF(OR(K14="",M14=""),"",RANK(M14,$M$5:$M$104))</f>
        <v/>
      </c>
      <c r="K14">
        <f>IFERROR(INDEX('04_調査結果'!$BE$5:$BE$404,MATCH((ROW()-5),'04_調査結果'!$BG$5:$BG$404,0)),"")</f>
        <v/>
      </c>
      <c r="L14">
        <f>IF(K14="","",COUNTIFS('04_調査結果'!$BE$5:$BE$404,K14,'04_調査結果'!$AZ$5:$AZ$404,"&gt;0"))</f>
        <v/>
      </c>
      <c r="M14" s="33">
        <f>IF(K14="","",SUMIFS('04_調査結果'!$AI$5:$AI$404,'04_調査結果'!$BE$5:$BE$404,K14,'04_調査結果'!$AZ$5:$AZ$404,"&gt;0"))</f>
        <v/>
      </c>
      <c r="N14">
        <f>IF(K14="","",COUNTIFS('04_調査結果'!$BE$5:$BE$404,K14,'04_調査結果'!$AZ$5:$AZ$404,"&gt;0",'04_調査結果'!$M$5:$M$404,"暗黙"))</f>
        <v/>
      </c>
      <c r="O14" s="33">
        <f>IF(K14="","",SUMIFS('04_調査結果'!$AI$5:$AI$404,'04_調査結果'!$BE$5:$BE$404,K14,'04_調査結果'!$AZ$5:$AZ$404,"&gt;0",'04_調査結果'!$AH$5:$AH$404,"自動化候補")+SUMIFS('04_調査結果'!$AI$5:$AI$404,'04_調査結果'!$BE$5:$BE$404,K14,'04_調査結果'!$AZ$5:$AZ$404,"&gt;0",'04_調査結果'!$AH$5:$AH$404,"オフショア候補")+SUMIFS('04_調査結果'!$AI$5:$AI$404,'04_調査結果'!$BE$5:$BE$404,K14,'04_調査結果'!$AZ$5:$AZ$404,"&gt;0",'04_調査結果'!$AH$5:$AH$404,"ニアショア候補"))</f>
        <v/>
      </c>
      <c r="P14">
        <f>IF(K14="","",IFERROR(INDEX('04_調査結果'!$F$5:$F$404,MATCH(K14,'04_調査結果'!$BE$5:$BE$404,0))&amp;"",""))</f>
        <v/>
      </c>
    </row>
    <row r="15">
      <c r="B15" s="34" t="n">
        <v>11</v>
      </c>
      <c r="C15">
        <f>IFERROR(INDEX('04_調査結果'!$BB$5:$BB$404,MATCH(B15,'04_調査結果'!$BD$5:$BD$404,0)),"")</f>
        <v/>
      </c>
      <c r="D15">
        <f>IF(C15="","",COUNTIFS('04_調査結果'!$BB$5:$BB$404,C15,'04_調査結果'!$AB$5:$AB$404,"OK"))</f>
        <v/>
      </c>
      <c r="E15">
        <f>IF(C15="","",INDEX($I$5:$I$104,MATCH(H15,$H$5:$H$104,0)))</f>
        <v/>
      </c>
      <c r="F15" s="31" t="n"/>
      <c r="G15">
        <f>IF(C15="","",IF(F15&lt;&gt;"",F15,E15))</f>
        <v/>
      </c>
      <c r="H15" s="34">
        <f>IF(C15="","",UPPER(SUBSTITUTE(SUBSTITUTE(SUBSTITUTE(SUBSTITUTE(SUBSTITUTE(SUBSTITUTE(SUBSTITUTE(SUBSTITUTE(SUBSTITUTE(SUBSTITUTE(SUBSTITUTE(ASC(C15),"株式会社",""),"有限会社",""),"合同会社",""),"(株)",""),"(有)",""),"(同)",""),"㈱",""),"㈲",""),"様",""),"御中","")," ","")))</f>
        <v/>
      </c>
      <c r="I15" s="34">
        <f>IF(C15="","",TRIM(SUBSTITUTE(SUBSTITUTE(SUBSTITUTE(SUBSTITUTE(SUBSTITUTE(SUBSTITUTE(SUBSTITUTE(SUBSTITUTE(SUBSTITUTE(SUBSTITUTE(SUBSTITUTE(C15,"株式会社",""),"有限会社",""),"合同会社",""),"(株)",""),"（株）",""),"㈱",""),"(有)",""),"（有）",""),"㈲",""),"様",""),"御中","")))</f>
        <v/>
      </c>
      <c r="J15">
        <f>IF(OR(K15="",M15=""),"",RANK(M15,$M$5:$M$104))</f>
        <v/>
      </c>
      <c r="K15">
        <f>IFERROR(INDEX('04_調査結果'!$BE$5:$BE$404,MATCH((ROW()-5),'04_調査結果'!$BG$5:$BG$404,0)),"")</f>
        <v/>
      </c>
      <c r="L15">
        <f>IF(K15="","",COUNTIFS('04_調査結果'!$BE$5:$BE$404,K15,'04_調査結果'!$AZ$5:$AZ$404,"&gt;0"))</f>
        <v/>
      </c>
      <c r="M15" s="33">
        <f>IF(K15="","",SUMIFS('04_調査結果'!$AI$5:$AI$404,'04_調査結果'!$BE$5:$BE$404,K15,'04_調査結果'!$AZ$5:$AZ$404,"&gt;0"))</f>
        <v/>
      </c>
      <c r="N15">
        <f>IF(K15="","",COUNTIFS('04_調査結果'!$BE$5:$BE$404,K15,'04_調査結果'!$AZ$5:$AZ$404,"&gt;0",'04_調査結果'!$M$5:$M$404,"暗黙"))</f>
        <v/>
      </c>
      <c r="O15" s="33">
        <f>IF(K15="","",SUMIFS('04_調査結果'!$AI$5:$AI$404,'04_調査結果'!$BE$5:$BE$404,K15,'04_調査結果'!$AZ$5:$AZ$404,"&gt;0",'04_調査結果'!$AH$5:$AH$404,"自動化候補")+SUMIFS('04_調査結果'!$AI$5:$AI$404,'04_調査結果'!$BE$5:$BE$404,K15,'04_調査結果'!$AZ$5:$AZ$404,"&gt;0",'04_調査結果'!$AH$5:$AH$404,"オフショア候補")+SUMIFS('04_調査結果'!$AI$5:$AI$404,'04_調査結果'!$BE$5:$BE$404,K15,'04_調査結果'!$AZ$5:$AZ$404,"&gt;0",'04_調査結果'!$AH$5:$AH$404,"ニアショア候補"))</f>
        <v/>
      </c>
      <c r="P15">
        <f>IF(K15="","",IFERROR(INDEX('04_調査結果'!$F$5:$F$404,MATCH(K15,'04_調査結果'!$BE$5:$BE$404,0))&amp;"",""))</f>
        <v/>
      </c>
    </row>
    <row r="16">
      <c r="B16" s="34" t="n">
        <v>12</v>
      </c>
      <c r="C16">
        <f>IFERROR(INDEX('04_調査結果'!$BB$5:$BB$404,MATCH(B16,'04_調査結果'!$BD$5:$BD$404,0)),"")</f>
        <v/>
      </c>
      <c r="D16">
        <f>IF(C16="","",COUNTIFS('04_調査結果'!$BB$5:$BB$404,C16,'04_調査結果'!$AB$5:$AB$404,"OK"))</f>
        <v/>
      </c>
      <c r="E16">
        <f>IF(C16="","",INDEX($I$5:$I$104,MATCH(H16,$H$5:$H$104,0)))</f>
        <v/>
      </c>
      <c r="F16" s="31" t="n"/>
      <c r="G16">
        <f>IF(C16="","",IF(F16&lt;&gt;"",F16,E16))</f>
        <v/>
      </c>
      <c r="H16" s="34">
        <f>IF(C16="","",UPPER(SUBSTITUTE(SUBSTITUTE(SUBSTITUTE(SUBSTITUTE(SUBSTITUTE(SUBSTITUTE(SUBSTITUTE(SUBSTITUTE(SUBSTITUTE(SUBSTITUTE(SUBSTITUTE(ASC(C16),"株式会社",""),"有限会社",""),"合同会社",""),"(株)",""),"(有)",""),"(同)",""),"㈱",""),"㈲",""),"様",""),"御中","")," ","")))</f>
        <v/>
      </c>
      <c r="I16" s="34">
        <f>IF(C16="","",TRIM(SUBSTITUTE(SUBSTITUTE(SUBSTITUTE(SUBSTITUTE(SUBSTITUTE(SUBSTITUTE(SUBSTITUTE(SUBSTITUTE(SUBSTITUTE(SUBSTITUTE(SUBSTITUTE(C16,"株式会社",""),"有限会社",""),"合同会社",""),"(株)",""),"（株）",""),"㈱",""),"(有)",""),"（有）",""),"㈲",""),"様",""),"御中","")))</f>
        <v/>
      </c>
      <c r="J16">
        <f>IF(OR(K16="",M16=""),"",RANK(M16,$M$5:$M$104))</f>
        <v/>
      </c>
      <c r="K16">
        <f>IFERROR(INDEX('04_調査結果'!$BE$5:$BE$404,MATCH((ROW()-5),'04_調査結果'!$BG$5:$BG$404,0)),"")</f>
        <v/>
      </c>
      <c r="L16">
        <f>IF(K16="","",COUNTIFS('04_調査結果'!$BE$5:$BE$404,K16,'04_調査結果'!$AZ$5:$AZ$404,"&gt;0"))</f>
        <v/>
      </c>
      <c r="M16" s="33">
        <f>IF(K16="","",SUMIFS('04_調査結果'!$AI$5:$AI$404,'04_調査結果'!$BE$5:$BE$404,K16,'04_調査結果'!$AZ$5:$AZ$404,"&gt;0"))</f>
        <v/>
      </c>
      <c r="N16">
        <f>IF(K16="","",COUNTIFS('04_調査結果'!$BE$5:$BE$404,K16,'04_調査結果'!$AZ$5:$AZ$404,"&gt;0",'04_調査結果'!$M$5:$M$404,"暗黙"))</f>
        <v/>
      </c>
      <c r="O16" s="33">
        <f>IF(K16="","",SUMIFS('04_調査結果'!$AI$5:$AI$404,'04_調査結果'!$BE$5:$BE$404,K16,'04_調査結果'!$AZ$5:$AZ$404,"&gt;0",'04_調査結果'!$AH$5:$AH$404,"自動化候補")+SUMIFS('04_調査結果'!$AI$5:$AI$404,'04_調査結果'!$BE$5:$BE$404,K16,'04_調査結果'!$AZ$5:$AZ$404,"&gt;0",'04_調査結果'!$AH$5:$AH$404,"オフショア候補")+SUMIFS('04_調査結果'!$AI$5:$AI$404,'04_調査結果'!$BE$5:$BE$404,K16,'04_調査結果'!$AZ$5:$AZ$404,"&gt;0",'04_調査結果'!$AH$5:$AH$404,"ニアショア候補"))</f>
        <v/>
      </c>
      <c r="P16">
        <f>IF(K16="","",IFERROR(INDEX('04_調査結果'!$F$5:$F$404,MATCH(K16,'04_調査結果'!$BE$5:$BE$404,0))&amp;"",""))</f>
        <v/>
      </c>
    </row>
    <row r="17">
      <c r="B17" s="34" t="n">
        <v>13</v>
      </c>
      <c r="C17">
        <f>IFERROR(INDEX('04_調査結果'!$BB$5:$BB$404,MATCH(B17,'04_調査結果'!$BD$5:$BD$404,0)),"")</f>
        <v/>
      </c>
      <c r="D17">
        <f>IF(C17="","",COUNTIFS('04_調査結果'!$BB$5:$BB$404,C17,'04_調査結果'!$AB$5:$AB$404,"OK"))</f>
        <v/>
      </c>
      <c r="E17">
        <f>IF(C17="","",INDEX($I$5:$I$104,MATCH(H17,$H$5:$H$104,0)))</f>
        <v/>
      </c>
      <c r="F17" s="31" t="n"/>
      <c r="G17">
        <f>IF(C17="","",IF(F17&lt;&gt;"",F17,E17))</f>
        <v/>
      </c>
      <c r="H17" s="34">
        <f>IF(C17="","",UPPER(SUBSTITUTE(SUBSTITUTE(SUBSTITUTE(SUBSTITUTE(SUBSTITUTE(SUBSTITUTE(SUBSTITUTE(SUBSTITUTE(SUBSTITUTE(SUBSTITUTE(SUBSTITUTE(ASC(C17),"株式会社",""),"有限会社",""),"合同会社",""),"(株)",""),"(有)",""),"(同)",""),"㈱",""),"㈲",""),"様",""),"御中","")," ","")))</f>
        <v/>
      </c>
      <c r="I17" s="34">
        <f>IF(C17="","",TRIM(SUBSTITUTE(SUBSTITUTE(SUBSTITUTE(SUBSTITUTE(SUBSTITUTE(SUBSTITUTE(SUBSTITUTE(SUBSTITUTE(SUBSTITUTE(SUBSTITUTE(SUBSTITUTE(C17,"株式会社",""),"有限会社",""),"合同会社",""),"(株)",""),"（株）",""),"㈱",""),"(有)",""),"（有）",""),"㈲",""),"様",""),"御中","")))</f>
        <v/>
      </c>
      <c r="J17">
        <f>IF(OR(K17="",M17=""),"",RANK(M17,$M$5:$M$104))</f>
        <v/>
      </c>
      <c r="K17">
        <f>IFERROR(INDEX('04_調査結果'!$BE$5:$BE$404,MATCH((ROW()-5),'04_調査結果'!$BG$5:$BG$404,0)),"")</f>
        <v/>
      </c>
      <c r="L17">
        <f>IF(K17="","",COUNTIFS('04_調査結果'!$BE$5:$BE$404,K17,'04_調査結果'!$AZ$5:$AZ$404,"&gt;0"))</f>
        <v/>
      </c>
      <c r="M17" s="33">
        <f>IF(K17="","",SUMIFS('04_調査結果'!$AI$5:$AI$404,'04_調査結果'!$BE$5:$BE$404,K17,'04_調査結果'!$AZ$5:$AZ$404,"&gt;0"))</f>
        <v/>
      </c>
      <c r="N17">
        <f>IF(K17="","",COUNTIFS('04_調査結果'!$BE$5:$BE$404,K17,'04_調査結果'!$AZ$5:$AZ$404,"&gt;0",'04_調査結果'!$M$5:$M$404,"暗黙"))</f>
        <v/>
      </c>
      <c r="O17" s="33">
        <f>IF(K17="","",SUMIFS('04_調査結果'!$AI$5:$AI$404,'04_調査結果'!$BE$5:$BE$404,K17,'04_調査結果'!$AZ$5:$AZ$404,"&gt;0",'04_調査結果'!$AH$5:$AH$404,"自動化候補")+SUMIFS('04_調査結果'!$AI$5:$AI$404,'04_調査結果'!$BE$5:$BE$404,K17,'04_調査結果'!$AZ$5:$AZ$404,"&gt;0",'04_調査結果'!$AH$5:$AH$404,"オフショア候補")+SUMIFS('04_調査結果'!$AI$5:$AI$404,'04_調査結果'!$BE$5:$BE$404,K17,'04_調査結果'!$AZ$5:$AZ$404,"&gt;0",'04_調査結果'!$AH$5:$AH$404,"ニアショア候補"))</f>
        <v/>
      </c>
      <c r="P17">
        <f>IF(K17="","",IFERROR(INDEX('04_調査結果'!$F$5:$F$404,MATCH(K17,'04_調査結果'!$BE$5:$BE$404,0))&amp;"",""))</f>
        <v/>
      </c>
    </row>
    <row r="18">
      <c r="B18" s="34" t="n">
        <v>14</v>
      </c>
      <c r="C18">
        <f>IFERROR(INDEX('04_調査結果'!$BB$5:$BB$404,MATCH(B18,'04_調査結果'!$BD$5:$BD$404,0)),"")</f>
        <v/>
      </c>
      <c r="D18">
        <f>IF(C18="","",COUNTIFS('04_調査結果'!$BB$5:$BB$404,C18,'04_調査結果'!$AB$5:$AB$404,"OK"))</f>
        <v/>
      </c>
      <c r="E18">
        <f>IF(C18="","",INDEX($I$5:$I$104,MATCH(H18,$H$5:$H$104,0)))</f>
        <v/>
      </c>
      <c r="F18" s="31" t="n"/>
      <c r="G18">
        <f>IF(C18="","",IF(F18&lt;&gt;"",F18,E18))</f>
        <v/>
      </c>
      <c r="H18" s="34">
        <f>IF(C18="","",UPPER(SUBSTITUTE(SUBSTITUTE(SUBSTITUTE(SUBSTITUTE(SUBSTITUTE(SUBSTITUTE(SUBSTITUTE(SUBSTITUTE(SUBSTITUTE(SUBSTITUTE(SUBSTITUTE(ASC(C18),"株式会社",""),"有限会社",""),"合同会社",""),"(株)",""),"(有)",""),"(同)",""),"㈱",""),"㈲",""),"様",""),"御中","")," ","")))</f>
        <v/>
      </c>
      <c r="I18" s="34">
        <f>IF(C18="","",TRIM(SUBSTITUTE(SUBSTITUTE(SUBSTITUTE(SUBSTITUTE(SUBSTITUTE(SUBSTITUTE(SUBSTITUTE(SUBSTITUTE(SUBSTITUTE(SUBSTITUTE(SUBSTITUTE(C18,"株式会社",""),"有限会社",""),"合同会社",""),"(株)",""),"（株）",""),"㈱",""),"(有)",""),"（有）",""),"㈲",""),"様",""),"御中","")))</f>
        <v/>
      </c>
      <c r="J18">
        <f>IF(OR(K18="",M18=""),"",RANK(M18,$M$5:$M$104))</f>
        <v/>
      </c>
      <c r="K18">
        <f>IFERROR(INDEX('04_調査結果'!$BE$5:$BE$404,MATCH((ROW()-5),'04_調査結果'!$BG$5:$BG$404,0)),"")</f>
        <v/>
      </c>
      <c r="L18">
        <f>IF(K18="","",COUNTIFS('04_調査結果'!$BE$5:$BE$404,K18,'04_調査結果'!$AZ$5:$AZ$404,"&gt;0"))</f>
        <v/>
      </c>
      <c r="M18" s="33">
        <f>IF(K18="","",SUMIFS('04_調査結果'!$AI$5:$AI$404,'04_調査結果'!$BE$5:$BE$404,K18,'04_調査結果'!$AZ$5:$AZ$404,"&gt;0"))</f>
        <v/>
      </c>
      <c r="N18">
        <f>IF(K18="","",COUNTIFS('04_調査結果'!$BE$5:$BE$404,K18,'04_調査結果'!$AZ$5:$AZ$404,"&gt;0",'04_調査結果'!$M$5:$M$404,"暗黙"))</f>
        <v/>
      </c>
      <c r="O18" s="33">
        <f>IF(K18="","",SUMIFS('04_調査結果'!$AI$5:$AI$404,'04_調査結果'!$BE$5:$BE$404,K18,'04_調査結果'!$AZ$5:$AZ$404,"&gt;0",'04_調査結果'!$AH$5:$AH$404,"自動化候補")+SUMIFS('04_調査結果'!$AI$5:$AI$404,'04_調査結果'!$BE$5:$BE$404,K18,'04_調査結果'!$AZ$5:$AZ$404,"&gt;0",'04_調査結果'!$AH$5:$AH$404,"オフショア候補")+SUMIFS('04_調査結果'!$AI$5:$AI$404,'04_調査結果'!$BE$5:$BE$404,K18,'04_調査結果'!$AZ$5:$AZ$404,"&gt;0",'04_調査結果'!$AH$5:$AH$404,"ニアショア候補"))</f>
        <v/>
      </c>
      <c r="P18">
        <f>IF(K18="","",IFERROR(INDEX('04_調査結果'!$F$5:$F$404,MATCH(K18,'04_調査結果'!$BE$5:$BE$404,0))&amp;"",""))</f>
        <v/>
      </c>
    </row>
    <row r="19">
      <c r="B19" s="34" t="n">
        <v>15</v>
      </c>
      <c r="C19">
        <f>IFERROR(INDEX('04_調査結果'!$BB$5:$BB$404,MATCH(B19,'04_調査結果'!$BD$5:$BD$404,0)),"")</f>
        <v/>
      </c>
      <c r="D19">
        <f>IF(C19="","",COUNTIFS('04_調査結果'!$BB$5:$BB$404,C19,'04_調査結果'!$AB$5:$AB$404,"OK"))</f>
        <v/>
      </c>
      <c r="E19">
        <f>IF(C19="","",INDEX($I$5:$I$104,MATCH(H19,$H$5:$H$104,0)))</f>
        <v/>
      </c>
      <c r="F19" s="31" t="n"/>
      <c r="G19">
        <f>IF(C19="","",IF(F19&lt;&gt;"",F19,E19))</f>
        <v/>
      </c>
      <c r="H19" s="34">
        <f>IF(C19="","",UPPER(SUBSTITUTE(SUBSTITUTE(SUBSTITUTE(SUBSTITUTE(SUBSTITUTE(SUBSTITUTE(SUBSTITUTE(SUBSTITUTE(SUBSTITUTE(SUBSTITUTE(SUBSTITUTE(ASC(C19),"株式会社",""),"有限会社",""),"合同会社",""),"(株)",""),"(有)",""),"(同)",""),"㈱",""),"㈲",""),"様",""),"御中","")," ","")))</f>
        <v/>
      </c>
      <c r="I19" s="34">
        <f>IF(C19="","",TRIM(SUBSTITUTE(SUBSTITUTE(SUBSTITUTE(SUBSTITUTE(SUBSTITUTE(SUBSTITUTE(SUBSTITUTE(SUBSTITUTE(SUBSTITUTE(SUBSTITUTE(SUBSTITUTE(C19,"株式会社",""),"有限会社",""),"合同会社",""),"(株)",""),"（株）",""),"㈱",""),"(有)",""),"（有）",""),"㈲",""),"様",""),"御中","")))</f>
        <v/>
      </c>
      <c r="J19">
        <f>IF(OR(K19="",M19=""),"",RANK(M19,$M$5:$M$104))</f>
        <v/>
      </c>
      <c r="K19">
        <f>IFERROR(INDEX('04_調査結果'!$BE$5:$BE$404,MATCH((ROW()-5),'04_調査結果'!$BG$5:$BG$404,0)),"")</f>
        <v/>
      </c>
      <c r="L19">
        <f>IF(K19="","",COUNTIFS('04_調査結果'!$BE$5:$BE$404,K19,'04_調査結果'!$AZ$5:$AZ$404,"&gt;0"))</f>
        <v/>
      </c>
      <c r="M19" s="33">
        <f>IF(K19="","",SUMIFS('04_調査結果'!$AI$5:$AI$404,'04_調査結果'!$BE$5:$BE$404,K19,'04_調査結果'!$AZ$5:$AZ$404,"&gt;0"))</f>
        <v/>
      </c>
      <c r="N19">
        <f>IF(K19="","",COUNTIFS('04_調査結果'!$BE$5:$BE$404,K19,'04_調査結果'!$AZ$5:$AZ$404,"&gt;0",'04_調査結果'!$M$5:$M$404,"暗黙"))</f>
        <v/>
      </c>
      <c r="O19" s="33">
        <f>IF(K19="","",SUMIFS('04_調査結果'!$AI$5:$AI$404,'04_調査結果'!$BE$5:$BE$404,K19,'04_調査結果'!$AZ$5:$AZ$404,"&gt;0",'04_調査結果'!$AH$5:$AH$404,"自動化候補")+SUMIFS('04_調査結果'!$AI$5:$AI$404,'04_調査結果'!$BE$5:$BE$404,K19,'04_調査結果'!$AZ$5:$AZ$404,"&gt;0",'04_調査結果'!$AH$5:$AH$404,"オフショア候補")+SUMIFS('04_調査結果'!$AI$5:$AI$404,'04_調査結果'!$BE$5:$BE$404,K19,'04_調査結果'!$AZ$5:$AZ$404,"&gt;0",'04_調査結果'!$AH$5:$AH$404,"ニアショア候補"))</f>
        <v/>
      </c>
      <c r="P19">
        <f>IF(K19="","",IFERROR(INDEX('04_調査結果'!$F$5:$F$404,MATCH(K19,'04_調査結果'!$BE$5:$BE$404,0))&amp;"",""))</f>
        <v/>
      </c>
    </row>
    <row r="20">
      <c r="B20" s="34" t="n">
        <v>16</v>
      </c>
      <c r="C20">
        <f>IFERROR(INDEX('04_調査結果'!$BB$5:$BB$404,MATCH(B20,'04_調査結果'!$BD$5:$BD$404,0)),"")</f>
        <v/>
      </c>
      <c r="D20">
        <f>IF(C20="","",COUNTIFS('04_調査結果'!$BB$5:$BB$404,C20,'04_調査結果'!$AB$5:$AB$404,"OK"))</f>
        <v/>
      </c>
      <c r="E20">
        <f>IF(C20="","",INDEX($I$5:$I$104,MATCH(H20,$H$5:$H$104,0)))</f>
        <v/>
      </c>
      <c r="F20" s="31" t="n"/>
      <c r="G20">
        <f>IF(C20="","",IF(F20&lt;&gt;"",F20,E20))</f>
        <v/>
      </c>
      <c r="H20" s="34">
        <f>IF(C20="","",UPPER(SUBSTITUTE(SUBSTITUTE(SUBSTITUTE(SUBSTITUTE(SUBSTITUTE(SUBSTITUTE(SUBSTITUTE(SUBSTITUTE(SUBSTITUTE(SUBSTITUTE(SUBSTITUTE(ASC(C20),"株式会社",""),"有限会社",""),"合同会社",""),"(株)",""),"(有)",""),"(同)",""),"㈱",""),"㈲",""),"様",""),"御中","")," ","")))</f>
        <v/>
      </c>
      <c r="I20" s="34">
        <f>IF(C20="","",TRIM(SUBSTITUTE(SUBSTITUTE(SUBSTITUTE(SUBSTITUTE(SUBSTITUTE(SUBSTITUTE(SUBSTITUTE(SUBSTITUTE(SUBSTITUTE(SUBSTITUTE(SUBSTITUTE(C20,"株式会社",""),"有限会社",""),"合同会社",""),"(株)",""),"（株）",""),"㈱",""),"(有)",""),"（有）",""),"㈲",""),"様",""),"御中","")))</f>
        <v/>
      </c>
      <c r="J20">
        <f>IF(OR(K20="",M20=""),"",RANK(M20,$M$5:$M$104))</f>
        <v/>
      </c>
      <c r="K20">
        <f>IFERROR(INDEX('04_調査結果'!$BE$5:$BE$404,MATCH((ROW()-5),'04_調査結果'!$BG$5:$BG$404,0)),"")</f>
        <v/>
      </c>
      <c r="L20">
        <f>IF(K20="","",COUNTIFS('04_調査結果'!$BE$5:$BE$404,K20,'04_調査結果'!$AZ$5:$AZ$404,"&gt;0"))</f>
        <v/>
      </c>
      <c r="M20" s="33">
        <f>IF(K20="","",SUMIFS('04_調査結果'!$AI$5:$AI$404,'04_調査結果'!$BE$5:$BE$404,K20,'04_調査結果'!$AZ$5:$AZ$404,"&gt;0"))</f>
        <v/>
      </c>
      <c r="N20">
        <f>IF(K20="","",COUNTIFS('04_調査結果'!$BE$5:$BE$404,K20,'04_調査結果'!$AZ$5:$AZ$404,"&gt;0",'04_調査結果'!$M$5:$M$404,"暗黙"))</f>
        <v/>
      </c>
      <c r="O20" s="33">
        <f>IF(K20="","",SUMIFS('04_調査結果'!$AI$5:$AI$404,'04_調査結果'!$BE$5:$BE$404,K20,'04_調査結果'!$AZ$5:$AZ$404,"&gt;0",'04_調査結果'!$AH$5:$AH$404,"自動化候補")+SUMIFS('04_調査結果'!$AI$5:$AI$404,'04_調査結果'!$BE$5:$BE$404,K20,'04_調査結果'!$AZ$5:$AZ$404,"&gt;0",'04_調査結果'!$AH$5:$AH$404,"オフショア候補")+SUMIFS('04_調査結果'!$AI$5:$AI$404,'04_調査結果'!$BE$5:$BE$404,K20,'04_調査結果'!$AZ$5:$AZ$404,"&gt;0",'04_調査結果'!$AH$5:$AH$404,"ニアショア候補"))</f>
        <v/>
      </c>
      <c r="P20">
        <f>IF(K20="","",IFERROR(INDEX('04_調査結果'!$F$5:$F$404,MATCH(K20,'04_調査結果'!$BE$5:$BE$404,0))&amp;"",""))</f>
        <v/>
      </c>
    </row>
    <row r="21">
      <c r="B21" s="34" t="n">
        <v>17</v>
      </c>
      <c r="C21">
        <f>IFERROR(INDEX('04_調査結果'!$BB$5:$BB$404,MATCH(B21,'04_調査結果'!$BD$5:$BD$404,0)),"")</f>
        <v/>
      </c>
      <c r="D21">
        <f>IF(C21="","",COUNTIFS('04_調査結果'!$BB$5:$BB$404,C21,'04_調査結果'!$AB$5:$AB$404,"OK"))</f>
        <v/>
      </c>
      <c r="E21">
        <f>IF(C21="","",INDEX($I$5:$I$104,MATCH(H21,$H$5:$H$104,0)))</f>
        <v/>
      </c>
      <c r="F21" s="31" t="n"/>
      <c r="G21">
        <f>IF(C21="","",IF(F21&lt;&gt;"",F21,E21))</f>
        <v/>
      </c>
      <c r="H21" s="34">
        <f>IF(C21="","",UPPER(SUBSTITUTE(SUBSTITUTE(SUBSTITUTE(SUBSTITUTE(SUBSTITUTE(SUBSTITUTE(SUBSTITUTE(SUBSTITUTE(SUBSTITUTE(SUBSTITUTE(SUBSTITUTE(ASC(C21),"株式会社",""),"有限会社",""),"合同会社",""),"(株)",""),"(有)",""),"(同)",""),"㈱",""),"㈲",""),"様",""),"御中","")," ","")))</f>
        <v/>
      </c>
      <c r="I21" s="34">
        <f>IF(C21="","",TRIM(SUBSTITUTE(SUBSTITUTE(SUBSTITUTE(SUBSTITUTE(SUBSTITUTE(SUBSTITUTE(SUBSTITUTE(SUBSTITUTE(SUBSTITUTE(SUBSTITUTE(SUBSTITUTE(C21,"株式会社",""),"有限会社",""),"合同会社",""),"(株)",""),"（株）",""),"㈱",""),"(有)",""),"（有）",""),"㈲",""),"様",""),"御中","")))</f>
        <v/>
      </c>
      <c r="J21">
        <f>IF(OR(K21="",M21=""),"",RANK(M21,$M$5:$M$104))</f>
        <v/>
      </c>
      <c r="K21">
        <f>IFERROR(INDEX('04_調査結果'!$BE$5:$BE$404,MATCH((ROW()-5),'04_調査結果'!$BG$5:$BG$404,0)),"")</f>
        <v/>
      </c>
      <c r="L21">
        <f>IF(K21="","",COUNTIFS('04_調査結果'!$BE$5:$BE$404,K21,'04_調査結果'!$AZ$5:$AZ$404,"&gt;0"))</f>
        <v/>
      </c>
      <c r="M21" s="33">
        <f>IF(K21="","",SUMIFS('04_調査結果'!$AI$5:$AI$404,'04_調査結果'!$BE$5:$BE$404,K21,'04_調査結果'!$AZ$5:$AZ$404,"&gt;0"))</f>
        <v/>
      </c>
      <c r="N21">
        <f>IF(K21="","",COUNTIFS('04_調査結果'!$BE$5:$BE$404,K21,'04_調査結果'!$AZ$5:$AZ$404,"&gt;0",'04_調査結果'!$M$5:$M$404,"暗黙"))</f>
        <v/>
      </c>
      <c r="O21" s="33">
        <f>IF(K21="","",SUMIFS('04_調査結果'!$AI$5:$AI$404,'04_調査結果'!$BE$5:$BE$404,K21,'04_調査結果'!$AZ$5:$AZ$404,"&gt;0",'04_調査結果'!$AH$5:$AH$404,"自動化候補")+SUMIFS('04_調査結果'!$AI$5:$AI$404,'04_調査結果'!$BE$5:$BE$404,K21,'04_調査結果'!$AZ$5:$AZ$404,"&gt;0",'04_調査結果'!$AH$5:$AH$404,"オフショア候補")+SUMIFS('04_調査結果'!$AI$5:$AI$404,'04_調査結果'!$BE$5:$BE$404,K21,'04_調査結果'!$AZ$5:$AZ$404,"&gt;0",'04_調査結果'!$AH$5:$AH$404,"ニアショア候補"))</f>
        <v/>
      </c>
      <c r="P21">
        <f>IF(K21="","",IFERROR(INDEX('04_調査結果'!$F$5:$F$404,MATCH(K21,'04_調査結果'!$BE$5:$BE$404,0))&amp;"",""))</f>
        <v/>
      </c>
    </row>
    <row r="22">
      <c r="B22" s="34" t="n">
        <v>18</v>
      </c>
      <c r="C22">
        <f>IFERROR(INDEX('04_調査結果'!$BB$5:$BB$404,MATCH(B22,'04_調査結果'!$BD$5:$BD$404,0)),"")</f>
        <v/>
      </c>
      <c r="D22">
        <f>IF(C22="","",COUNTIFS('04_調査結果'!$BB$5:$BB$404,C22,'04_調査結果'!$AB$5:$AB$404,"OK"))</f>
        <v/>
      </c>
      <c r="E22">
        <f>IF(C22="","",INDEX($I$5:$I$104,MATCH(H22,$H$5:$H$104,0)))</f>
        <v/>
      </c>
      <c r="F22" s="31" t="n"/>
      <c r="G22">
        <f>IF(C22="","",IF(F22&lt;&gt;"",F22,E22))</f>
        <v/>
      </c>
      <c r="H22" s="34">
        <f>IF(C22="","",UPPER(SUBSTITUTE(SUBSTITUTE(SUBSTITUTE(SUBSTITUTE(SUBSTITUTE(SUBSTITUTE(SUBSTITUTE(SUBSTITUTE(SUBSTITUTE(SUBSTITUTE(SUBSTITUTE(ASC(C22),"株式会社",""),"有限会社",""),"合同会社",""),"(株)",""),"(有)",""),"(同)",""),"㈱",""),"㈲",""),"様",""),"御中","")," ","")))</f>
        <v/>
      </c>
      <c r="I22" s="34">
        <f>IF(C22="","",TRIM(SUBSTITUTE(SUBSTITUTE(SUBSTITUTE(SUBSTITUTE(SUBSTITUTE(SUBSTITUTE(SUBSTITUTE(SUBSTITUTE(SUBSTITUTE(SUBSTITUTE(SUBSTITUTE(C22,"株式会社",""),"有限会社",""),"合同会社",""),"(株)",""),"（株）",""),"㈱",""),"(有)",""),"（有）",""),"㈲",""),"様",""),"御中","")))</f>
        <v/>
      </c>
      <c r="J22">
        <f>IF(OR(K22="",M22=""),"",RANK(M22,$M$5:$M$104))</f>
        <v/>
      </c>
      <c r="K22">
        <f>IFERROR(INDEX('04_調査結果'!$BE$5:$BE$404,MATCH((ROW()-5),'04_調査結果'!$BG$5:$BG$404,0)),"")</f>
        <v/>
      </c>
      <c r="L22">
        <f>IF(K22="","",COUNTIFS('04_調査結果'!$BE$5:$BE$404,K22,'04_調査結果'!$AZ$5:$AZ$404,"&gt;0"))</f>
        <v/>
      </c>
      <c r="M22" s="33">
        <f>IF(K22="","",SUMIFS('04_調査結果'!$AI$5:$AI$404,'04_調査結果'!$BE$5:$BE$404,K22,'04_調査結果'!$AZ$5:$AZ$404,"&gt;0"))</f>
        <v/>
      </c>
      <c r="N22">
        <f>IF(K22="","",COUNTIFS('04_調査結果'!$BE$5:$BE$404,K22,'04_調査結果'!$AZ$5:$AZ$404,"&gt;0",'04_調査結果'!$M$5:$M$404,"暗黙"))</f>
        <v/>
      </c>
      <c r="O22" s="33">
        <f>IF(K22="","",SUMIFS('04_調査結果'!$AI$5:$AI$404,'04_調査結果'!$BE$5:$BE$404,K22,'04_調査結果'!$AZ$5:$AZ$404,"&gt;0",'04_調査結果'!$AH$5:$AH$404,"自動化候補")+SUMIFS('04_調査結果'!$AI$5:$AI$404,'04_調査結果'!$BE$5:$BE$404,K22,'04_調査結果'!$AZ$5:$AZ$404,"&gt;0",'04_調査結果'!$AH$5:$AH$404,"オフショア候補")+SUMIFS('04_調査結果'!$AI$5:$AI$404,'04_調査結果'!$BE$5:$BE$404,K22,'04_調査結果'!$AZ$5:$AZ$404,"&gt;0",'04_調査結果'!$AH$5:$AH$404,"ニアショア候補"))</f>
        <v/>
      </c>
      <c r="P22">
        <f>IF(K22="","",IFERROR(INDEX('04_調査結果'!$F$5:$F$404,MATCH(K22,'04_調査結果'!$BE$5:$BE$404,0))&amp;"",""))</f>
        <v/>
      </c>
    </row>
    <row r="23">
      <c r="B23" s="34" t="n">
        <v>19</v>
      </c>
      <c r="C23">
        <f>IFERROR(INDEX('04_調査結果'!$BB$5:$BB$404,MATCH(B23,'04_調査結果'!$BD$5:$BD$404,0)),"")</f>
        <v/>
      </c>
      <c r="D23">
        <f>IF(C23="","",COUNTIFS('04_調査結果'!$BB$5:$BB$404,C23,'04_調査結果'!$AB$5:$AB$404,"OK"))</f>
        <v/>
      </c>
      <c r="E23">
        <f>IF(C23="","",INDEX($I$5:$I$104,MATCH(H23,$H$5:$H$104,0)))</f>
        <v/>
      </c>
      <c r="F23" s="31" t="n"/>
      <c r="G23">
        <f>IF(C23="","",IF(F23&lt;&gt;"",F23,E23))</f>
        <v/>
      </c>
      <c r="H23" s="34">
        <f>IF(C23="","",UPPER(SUBSTITUTE(SUBSTITUTE(SUBSTITUTE(SUBSTITUTE(SUBSTITUTE(SUBSTITUTE(SUBSTITUTE(SUBSTITUTE(SUBSTITUTE(SUBSTITUTE(SUBSTITUTE(ASC(C23),"株式会社",""),"有限会社",""),"合同会社",""),"(株)",""),"(有)",""),"(同)",""),"㈱",""),"㈲",""),"様",""),"御中","")," ","")))</f>
        <v/>
      </c>
      <c r="I23" s="34">
        <f>IF(C23="","",TRIM(SUBSTITUTE(SUBSTITUTE(SUBSTITUTE(SUBSTITUTE(SUBSTITUTE(SUBSTITUTE(SUBSTITUTE(SUBSTITUTE(SUBSTITUTE(SUBSTITUTE(SUBSTITUTE(C23,"株式会社",""),"有限会社",""),"合同会社",""),"(株)",""),"（株）",""),"㈱",""),"(有)",""),"（有）",""),"㈲",""),"様",""),"御中","")))</f>
        <v/>
      </c>
      <c r="J23">
        <f>IF(OR(K23="",M23=""),"",RANK(M23,$M$5:$M$104))</f>
        <v/>
      </c>
      <c r="K23">
        <f>IFERROR(INDEX('04_調査結果'!$BE$5:$BE$404,MATCH((ROW()-5),'04_調査結果'!$BG$5:$BG$404,0)),"")</f>
        <v/>
      </c>
      <c r="L23">
        <f>IF(K23="","",COUNTIFS('04_調査結果'!$BE$5:$BE$404,K23,'04_調査結果'!$AZ$5:$AZ$404,"&gt;0"))</f>
        <v/>
      </c>
      <c r="M23" s="33">
        <f>IF(K23="","",SUMIFS('04_調査結果'!$AI$5:$AI$404,'04_調査結果'!$BE$5:$BE$404,K23,'04_調査結果'!$AZ$5:$AZ$404,"&gt;0"))</f>
        <v/>
      </c>
      <c r="N23">
        <f>IF(K23="","",COUNTIFS('04_調査結果'!$BE$5:$BE$404,K23,'04_調査結果'!$AZ$5:$AZ$404,"&gt;0",'04_調査結果'!$M$5:$M$404,"暗黙"))</f>
        <v/>
      </c>
      <c r="O23" s="33">
        <f>IF(K23="","",SUMIFS('04_調査結果'!$AI$5:$AI$404,'04_調査結果'!$BE$5:$BE$404,K23,'04_調査結果'!$AZ$5:$AZ$404,"&gt;0",'04_調査結果'!$AH$5:$AH$404,"自動化候補")+SUMIFS('04_調査結果'!$AI$5:$AI$404,'04_調査結果'!$BE$5:$BE$404,K23,'04_調査結果'!$AZ$5:$AZ$404,"&gt;0",'04_調査結果'!$AH$5:$AH$404,"オフショア候補")+SUMIFS('04_調査結果'!$AI$5:$AI$404,'04_調査結果'!$BE$5:$BE$404,K23,'04_調査結果'!$AZ$5:$AZ$404,"&gt;0",'04_調査結果'!$AH$5:$AH$404,"ニアショア候補"))</f>
        <v/>
      </c>
      <c r="P23">
        <f>IF(K23="","",IFERROR(INDEX('04_調査結果'!$F$5:$F$404,MATCH(K23,'04_調査結果'!$BE$5:$BE$404,0))&amp;"",""))</f>
        <v/>
      </c>
    </row>
    <row r="24">
      <c r="B24" s="34" t="n">
        <v>20</v>
      </c>
      <c r="C24">
        <f>IFERROR(INDEX('04_調査結果'!$BB$5:$BB$404,MATCH(B24,'04_調査結果'!$BD$5:$BD$404,0)),"")</f>
        <v/>
      </c>
      <c r="D24">
        <f>IF(C24="","",COUNTIFS('04_調査結果'!$BB$5:$BB$404,C24,'04_調査結果'!$AB$5:$AB$404,"OK"))</f>
        <v/>
      </c>
      <c r="E24">
        <f>IF(C24="","",INDEX($I$5:$I$104,MATCH(H24,$H$5:$H$104,0)))</f>
        <v/>
      </c>
      <c r="F24" s="31" t="n"/>
      <c r="G24">
        <f>IF(C24="","",IF(F24&lt;&gt;"",F24,E24))</f>
        <v/>
      </c>
      <c r="H24" s="34">
        <f>IF(C24="","",UPPER(SUBSTITUTE(SUBSTITUTE(SUBSTITUTE(SUBSTITUTE(SUBSTITUTE(SUBSTITUTE(SUBSTITUTE(SUBSTITUTE(SUBSTITUTE(SUBSTITUTE(SUBSTITUTE(ASC(C24),"株式会社",""),"有限会社",""),"合同会社",""),"(株)",""),"(有)",""),"(同)",""),"㈱",""),"㈲",""),"様",""),"御中","")," ","")))</f>
        <v/>
      </c>
      <c r="I24" s="34">
        <f>IF(C24="","",TRIM(SUBSTITUTE(SUBSTITUTE(SUBSTITUTE(SUBSTITUTE(SUBSTITUTE(SUBSTITUTE(SUBSTITUTE(SUBSTITUTE(SUBSTITUTE(SUBSTITUTE(SUBSTITUTE(C24,"株式会社",""),"有限会社",""),"合同会社",""),"(株)",""),"（株）",""),"㈱",""),"(有)",""),"（有）",""),"㈲",""),"様",""),"御中","")))</f>
        <v/>
      </c>
      <c r="J24">
        <f>IF(OR(K24="",M24=""),"",RANK(M24,$M$5:$M$104))</f>
        <v/>
      </c>
      <c r="K24">
        <f>IFERROR(INDEX('04_調査結果'!$BE$5:$BE$404,MATCH((ROW()-5),'04_調査結果'!$BG$5:$BG$404,0)),"")</f>
        <v/>
      </c>
      <c r="L24">
        <f>IF(K24="","",COUNTIFS('04_調査結果'!$BE$5:$BE$404,K24,'04_調査結果'!$AZ$5:$AZ$404,"&gt;0"))</f>
        <v/>
      </c>
      <c r="M24" s="33">
        <f>IF(K24="","",SUMIFS('04_調査結果'!$AI$5:$AI$404,'04_調査結果'!$BE$5:$BE$404,K24,'04_調査結果'!$AZ$5:$AZ$404,"&gt;0"))</f>
        <v/>
      </c>
      <c r="N24">
        <f>IF(K24="","",COUNTIFS('04_調査結果'!$BE$5:$BE$404,K24,'04_調査結果'!$AZ$5:$AZ$404,"&gt;0",'04_調査結果'!$M$5:$M$404,"暗黙"))</f>
        <v/>
      </c>
      <c r="O24" s="33">
        <f>IF(K24="","",SUMIFS('04_調査結果'!$AI$5:$AI$404,'04_調査結果'!$BE$5:$BE$404,K24,'04_調査結果'!$AZ$5:$AZ$404,"&gt;0",'04_調査結果'!$AH$5:$AH$404,"自動化候補")+SUMIFS('04_調査結果'!$AI$5:$AI$404,'04_調査結果'!$BE$5:$BE$404,K24,'04_調査結果'!$AZ$5:$AZ$404,"&gt;0",'04_調査結果'!$AH$5:$AH$404,"オフショア候補")+SUMIFS('04_調査結果'!$AI$5:$AI$404,'04_調査結果'!$BE$5:$BE$404,K24,'04_調査結果'!$AZ$5:$AZ$404,"&gt;0",'04_調査結果'!$AH$5:$AH$404,"ニアショア候補"))</f>
        <v/>
      </c>
      <c r="P24">
        <f>IF(K24="","",IFERROR(INDEX('04_調査結果'!$F$5:$F$404,MATCH(K24,'04_調査結果'!$BE$5:$BE$404,0))&amp;"",""))</f>
        <v/>
      </c>
    </row>
    <row r="25">
      <c r="B25" s="34" t="n">
        <v>21</v>
      </c>
      <c r="C25">
        <f>IFERROR(INDEX('04_調査結果'!$BB$5:$BB$404,MATCH(B25,'04_調査結果'!$BD$5:$BD$404,0)),"")</f>
        <v/>
      </c>
      <c r="D25">
        <f>IF(C25="","",COUNTIFS('04_調査結果'!$BB$5:$BB$404,C25,'04_調査結果'!$AB$5:$AB$404,"OK"))</f>
        <v/>
      </c>
      <c r="E25">
        <f>IF(C25="","",INDEX($I$5:$I$104,MATCH(H25,$H$5:$H$104,0)))</f>
        <v/>
      </c>
      <c r="F25" s="31" t="n"/>
      <c r="G25">
        <f>IF(C25="","",IF(F25&lt;&gt;"",F25,E25))</f>
        <v/>
      </c>
      <c r="H25" s="34">
        <f>IF(C25="","",UPPER(SUBSTITUTE(SUBSTITUTE(SUBSTITUTE(SUBSTITUTE(SUBSTITUTE(SUBSTITUTE(SUBSTITUTE(SUBSTITUTE(SUBSTITUTE(SUBSTITUTE(SUBSTITUTE(ASC(C25),"株式会社",""),"有限会社",""),"合同会社",""),"(株)",""),"(有)",""),"(同)",""),"㈱",""),"㈲",""),"様",""),"御中","")," ","")))</f>
        <v/>
      </c>
      <c r="I25" s="34">
        <f>IF(C25="","",TRIM(SUBSTITUTE(SUBSTITUTE(SUBSTITUTE(SUBSTITUTE(SUBSTITUTE(SUBSTITUTE(SUBSTITUTE(SUBSTITUTE(SUBSTITUTE(SUBSTITUTE(SUBSTITUTE(C25,"株式会社",""),"有限会社",""),"合同会社",""),"(株)",""),"（株）",""),"㈱",""),"(有)",""),"（有）",""),"㈲",""),"様",""),"御中","")))</f>
        <v/>
      </c>
      <c r="J25">
        <f>IF(OR(K25="",M25=""),"",RANK(M25,$M$5:$M$104))</f>
        <v/>
      </c>
      <c r="K25">
        <f>IFERROR(INDEX('04_調査結果'!$BE$5:$BE$404,MATCH((ROW()-5),'04_調査結果'!$BG$5:$BG$404,0)),"")</f>
        <v/>
      </c>
      <c r="L25">
        <f>IF(K25="","",COUNTIFS('04_調査結果'!$BE$5:$BE$404,K25,'04_調査結果'!$AZ$5:$AZ$404,"&gt;0"))</f>
        <v/>
      </c>
      <c r="M25" s="33">
        <f>IF(K25="","",SUMIFS('04_調査結果'!$AI$5:$AI$404,'04_調査結果'!$BE$5:$BE$404,K25,'04_調査結果'!$AZ$5:$AZ$404,"&gt;0"))</f>
        <v/>
      </c>
      <c r="N25">
        <f>IF(K25="","",COUNTIFS('04_調査結果'!$BE$5:$BE$404,K25,'04_調査結果'!$AZ$5:$AZ$404,"&gt;0",'04_調査結果'!$M$5:$M$404,"暗黙"))</f>
        <v/>
      </c>
      <c r="O25" s="33">
        <f>IF(K25="","",SUMIFS('04_調査結果'!$AI$5:$AI$404,'04_調査結果'!$BE$5:$BE$404,K25,'04_調査結果'!$AZ$5:$AZ$404,"&gt;0",'04_調査結果'!$AH$5:$AH$404,"自動化候補")+SUMIFS('04_調査結果'!$AI$5:$AI$404,'04_調査結果'!$BE$5:$BE$404,K25,'04_調査結果'!$AZ$5:$AZ$404,"&gt;0",'04_調査結果'!$AH$5:$AH$404,"オフショア候補")+SUMIFS('04_調査結果'!$AI$5:$AI$404,'04_調査結果'!$BE$5:$BE$404,K25,'04_調査結果'!$AZ$5:$AZ$404,"&gt;0",'04_調査結果'!$AH$5:$AH$404,"ニアショア候補"))</f>
        <v/>
      </c>
      <c r="P25">
        <f>IF(K25="","",IFERROR(INDEX('04_調査結果'!$F$5:$F$404,MATCH(K25,'04_調査結果'!$BE$5:$BE$404,0))&amp;"",""))</f>
        <v/>
      </c>
    </row>
    <row r="26">
      <c r="B26" s="34" t="n">
        <v>22</v>
      </c>
      <c r="C26">
        <f>IFERROR(INDEX('04_調査結果'!$BB$5:$BB$404,MATCH(B26,'04_調査結果'!$BD$5:$BD$404,0)),"")</f>
        <v/>
      </c>
      <c r="D26">
        <f>IF(C26="","",COUNTIFS('04_調査結果'!$BB$5:$BB$404,C26,'04_調査結果'!$AB$5:$AB$404,"OK"))</f>
        <v/>
      </c>
      <c r="E26">
        <f>IF(C26="","",INDEX($I$5:$I$104,MATCH(H26,$H$5:$H$104,0)))</f>
        <v/>
      </c>
      <c r="F26" s="31" t="n"/>
      <c r="G26">
        <f>IF(C26="","",IF(F26&lt;&gt;"",F26,E26))</f>
        <v/>
      </c>
      <c r="H26" s="34">
        <f>IF(C26="","",UPPER(SUBSTITUTE(SUBSTITUTE(SUBSTITUTE(SUBSTITUTE(SUBSTITUTE(SUBSTITUTE(SUBSTITUTE(SUBSTITUTE(SUBSTITUTE(SUBSTITUTE(SUBSTITUTE(ASC(C26),"株式会社",""),"有限会社",""),"合同会社",""),"(株)",""),"(有)",""),"(同)",""),"㈱",""),"㈲",""),"様",""),"御中","")," ","")))</f>
        <v/>
      </c>
      <c r="I26" s="34">
        <f>IF(C26="","",TRIM(SUBSTITUTE(SUBSTITUTE(SUBSTITUTE(SUBSTITUTE(SUBSTITUTE(SUBSTITUTE(SUBSTITUTE(SUBSTITUTE(SUBSTITUTE(SUBSTITUTE(SUBSTITUTE(C26,"株式会社",""),"有限会社",""),"合同会社",""),"(株)",""),"（株）",""),"㈱",""),"(有)",""),"（有）",""),"㈲",""),"様",""),"御中","")))</f>
        <v/>
      </c>
      <c r="J26">
        <f>IF(OR(K26="",M26=""),"",RANK(M26,$M$5:$M$104))</f>
        <v/>
      </c>
      <c r="K26">
        <f>IFERROR(INDEX('04_調査結果'!$BE$5:$BE$404,MATCH((ROW()-5),'04_調査結果'!$BG$5:$BG$404,0)),"")</f>
        <v/>
      </c>
      <c r="L26">
        <f>IF(K26="","",COUNTIFS('04_調査結果'!$BE$5:$BE$404,K26,'04_調査結果'!$AZ$5:$AZ$404,"&gt;0"))</f>
        <v/>
      </c>
      <c r="M26" s="33">
        <f>IF(K26="","",SUMIFS('04_調査結果'!$AI$5:$AI$404,'04_調査結果'!$BE$5:$BE$404,K26,'04_調査結果'!$AZ$5:$AZ$404,"&gt;0"))</f>
        <v/>
      </c>
      <c r="N26">
        <f>IF(K26="","",COUNTIFS('04_調査結果'!$BE$5:$BE$404,K26,'04_調査結果'!$AZ$5:$AZ$404,"&gt;0",'04_調査結果'!$M$5:$M$404,"暗黙"))</f>
        <v/>
      </c>
      <c r="O26" s="33">
        <f>IF(K26="","",SUMIFS('04_調査結果'!$AI$5:$AI$404,'04_調査結果'!$BE$5:$BE$404,K26,'04_調査結果'!$AZ$5:$AZ$404,"&gt;0",'04_調査結果'!$AH$5:$AH$404,"自動化候補")+SUMIFS('04_調査結果'!$AI$5:$AI$404,'04_調査結果'!$BE$5:$BE$404,K26,'04_調査結果'!$AZ$5:$AZ$404,"&gt;0",'04_調査結果'!$AH$5:$AH$404,"オフショア候補")+SUMIFS('04_調査結果'!$AI$5:$AI$404,'04_調査結果'!$BE$5:$BE$404,K26,'04_調査結果'!$AZ$5:$AZ$404,"&gt;0",'04_調査結果'!$AH$5:$AH$404,"ニアショア候補"))</f>
        <v/>
      </c>
      <c r="P26">
        <f>IF(K26="","",IFERROR(INDEX('04_調査結果'!$F$5:$F$404,MATCH(K26,'04_調査結果'!$BE$5:$BE$404,0))&amp;"",""))</f>
        <v/>
      </c>
    </row>
    <row r="27">
      <c r="B27" s="34" t="n">
        <v>23</v>
      </c>
      <c r="C27">
        <f>IFERROR(INDEX('04_調査結果'!$BB$5:$BB$404,MATCH(B27,'04_調査結果'!$BD$5:$BD$404,0)),"")</f>
        <v/>
      </c>
      <c r="D27">
        <f>IF(C27="","",COUNTIFS('04_調査結果'!$BB$5:$BB$404,C27,'04_調査結果'!$AB$5:$AB$404,"OK"))</f>
        <v/>
      </c>
      <c r="E27">
        <f>IF(C27="","",INDEX($I$5:$I$104,MATCH(H27,$H$5:$H$104,0)))</f>
        <v/>
      </c>
      <c r="F27" s="31" t="n"/>
      <c r="G27">
        <f>IF(C27="","",IF(F27&lt;&gt;"",F27,E27))</f>
        <v/>
      </c>
      <c r="H27" s="34">
        <f>IF(C27="","",UPPER(SUBSTITUTE(SUBSTITUTE(SUBSTITUTE(SUBSTITUTE(SUBSTITUTE(SUBSTITUTE(SUBSTITUTE(SUBSTITUTE(SUBSTITUTE(SUBSTITUTE(SUBSTITUTE(ASC(C27),"株式会社",""),"有限会社",""),"合同会社",""),"(株)",""),"(有)",""),"(同)",""),"㈱",""),"㈲",""),"様",""),"御中","")," ","")))</f>
        <v/>
      </c>
      <c r="I27" s="34">
        <f>IF(C27="","",TRIM(SUBSTITUTE(SUBSTITUTE(SUBSTITUTE(SUBSTITUTE(SUBSTITUTE(SUBSTITUTE(SUBSTITUTE(SUBSTITUTE(SUBSTITUTE(SUBSTITUTE(SUBSTITUTE(C27,"株式会社",""),"有限会社",""),"合同会社",""),"(株)",""),"（株）",""),"㈱",""),"(有)",""),"（有）",""),"㈲",""),"様",""),"御中","")))</f>
        <v/>
      </c>
      <c r="J27">
        <f>IF(OR(K27="",M27=""),"",RANK(M27,$M$5:$M$104))</f>
        <v/>
      </c>
      <c r="K27">
        <f>IFERROR(INDEX('04_調査結果'!$BE$5:$BE$404,MATCH((ROW()-5),'04_調査結果'!$BG$5:$BG$404,0)),"")</f>
        <v/>
      </c>
      <c r="L27">
        <f>IF(K27="","",COUNTIFS('04_調査結果'!$BE$5:$BE$404,K27,'04_調査結果'!$AZ$5:$AZ$404,"&gt;0"))</f>
        <v/>
      </c>
      <c r="M27" s="33">
        <f>IF(K27="","",SUMIFS('04_調査結果'!$AI$5:$AI$404,'04_調査結果'!$BE$5:$BE$404,K27,'04_調査結果'!$AZ$5:$AZ$404,"&gt;0"))</f>
        <v/>
      </c>
      <c r="N27">
        <f>IF(K27="","",COUNTIFS('04_調査結果'!$BE$5:$BE$404,K27,'04_調査結果'!$AZ$5:$AZ$404,"&gt;0",'04_調査結果'!$M$5:$M$404,"暗黙"))</f>
        <v/>
      </c>
      <c r="O27" s="33">
        <f>IF(K27="","",SUMIFS('04_調査結果'!$AI$5:$AI$404,'04_調査結果'!$BE$5:$BE$404,K27,'04_調査結果'!$AZ$5:$AZ$404,"&gt;0",'04_調査結果'!$AH$5:$AH$404,"自動化候補")+SUMIFS('04_調査結果'!$AI$5:$AI$404,'04_調査結果'!$BE$5:$BE$404,K27,'04_調査結果'!$AZ$5:$AZ$404,"&gt;0",'04_調査結果'!$AH$5:$AH$404,"オフショア候補")+SUMIFS('04_調査結果'!$AI$5:$AI$404,'04_調査結果'!$BE$5:$BE$404,K27,'04_調査結果'!$AZ$5:$AZ$404,"&gt;0",'04_調査結果'!$AH$5:$AH$404,"ニアショア候補"))</f>
        <v/>
      </c>
      <c r="P27">
        <f>IF(K27="","",IFERROR(INDEX('04_調査結果'!$F$5:$F$404,MATCH(K27,'04_調査結果'!$BE$5:$BE$404,0))&amp;"",""))</f>
        <v/>
      </c>
    </row>
    <row r="28">
      <c r="B28" s="34" t="n">
        <v>24</v>
      </c>
      <c r="C28">
        <f>IFERROR(INDEX('04_調査結果'!$BB$5:$BB$404,MATCH(B28,'04_調査結果'!$BD$5:$BD$404,0)),"")</f>
        <v/>
      </c>
      <c r="D28">
        <f>IF(C28="","",COUNTIFS('04_調査結果'!$BB$5:$BB$404,C28,'04_調査結果'!$AB$5:$AB$404,"OK"))</f>
        <v/>
      </c>
      <c r="E28">
        <f>IF(C28="","",INDEX($I$5:$I$104,MATCH(H28,$H$5:$H$104,0)))</f>
        <v/>
      </c>
      <c r="F28" s="31" t="n"/>
      <c r="G28">
        <f>IF(C28="","",IF(F28&lt;&gt;"",F28,E28))</f>
        <v/>
      </c>
      <c r="H28" s="34">
        <f>IF(C28="","",UPPER(SUBSTITUTE(SUBSTITUTE(SUBSTITUTE(SUBSTITUTE(SUBSTITUTE(SUBSTITUTE(SUBSTITUTE(SUBSTITUTE(SUBSTITUTE(SUBSTITUTE(SUBSTITUTE(ASC(C28),"株式会社",""),"有限会社",""),"合同会社",""),"(株)",""),"(有)",""),"(同)",""),"㈱",""),"㈲",""),"様",""),"御中","")," ","")))</f>
        <v/>
      </c>
      <c r="I28" s="34">
        <f>IF(C28="","",TRIM(SUBSTITUTE(SUBSTITUTE(SUBSTITUTE(SUBSTITUTE(SUBSTITUTE(SUBSTITUTE(SUBSTITUTE(SUBSTITUTE(SUBSTITUTE(SUBSTITUTE(SUBSTITUTE(C28,"株式会社",""),"有限会社",""),"合同会社",""),"(株)",""),"（株）",""),"㈱",""),"(有)",""),"（有）",""),"㈲",""),"様",""),"御中","")))</f>
        <v/>
      </c>
      <c r="J28">
        <f>IF(OR(K28="",M28=""),"",RANK(M28,$M$5:$M$104))</f>
        <v/>
      </c>
      <c r="K28">
        <f>IFERROR(INDEX('04_調査結果'!$BE$5:$BE$404,MATCH((ROW()-5),'04_調査結果'!$BG$5:$BG$404,0)),"")</f>
        <v/>
      </c>
      <c r="L28">
        <f>IF(K28="","",COUNTIFS('04_調査結果'!$BE$5:$BE$404,K28,'04_調査結果'!$AZ$5:$AZ$404,"&gt;0"))</f>
        <v/>
      </c>
      <c r="M28" s="33">
        <f>IF(K28="","",SUMIFS('04_調査結果'!$AI$5:$AI$404,'04_調査結果'!$BE$5:$BE$404,K28,'04_調査結果'!$AZ$5:$AZ$404,"&gt;0"))</f>
        <v/>
      </c>
      <c r="N28">
        <f>IF(K28="","",COUNTIFS('04_調査結果'!$BE$5:$BE$404,K28,'04_調査結果'!$AZ$5:$AZ$404,"&gt;0",'04_調査結果'!$M$5:$M$404,"暗黙"))</f>
        <v/>
      </c>
      <c r="O28" s="33">
        <f>IF(K28="","",SUMIFS('04_調査結果'!$AI$5:$AI$404,'04_調査結果'!$BE$5:$BE$404,K28,'04_調査結果'!$AZ$5:$AZ$404,"&gt;0",'04_調査結果'!$AH$5:$AH$404,"自動化候補")+SUMIFS('04_調査結果'!$AI$5:$AI$404,'04_調査結果'!$BE$5:$BE$404,K28,'04_調査結果'!$AZ$5:$AZ$404,"&gt;0",'04_調査結果'!$AH$5:$AH$404,"オフショア候補")+SUMIFS('04_調査結果'!$AI$5:$AI$404,'04_調査結果'!$BE$5:$BE$404,K28,'04_調査結果'!$AZ$5:$AZ$404,"&gt;0",'04_調査結果'!$AH$5:$AH$404,"ニアショア候補"))</f>
        <v/>
      </c>
      <c r="P28">
        <f>IF(K28="","",IFERROR(INDEX('04_調査結果'!$F$5:$F$404,MATCH(K28,'04_調査結果'!$BE$5:$BE$404,0))&amp;"",""))</f>
        <v/>
      </c>
    </row>
    <row r="29">
      <c r="B29" s="34" t="n">
        <v>25</v>
      </c>
      <c r="C29">
        <f>IFERROR(INDEX('04_調査結果'!$BB$5:$BB$404,MATCH(B29,'04_調査結果'!$BD$5:$BD$404,0)),"")</f>
        <v/>
      </c>
      <c r="D29">
        <f>IF(C29="","",COUNTIFS('04_調査結果'!$BB$5:$BB$404,C29,'04_調査結果'!$AB$5:$AB$404,"OK"))</f>
        <v/>
      </c>
      <c r="E29">
        <f>IF(C29="","",INDEX($I$5:$I$104,MATCH(H29,$H$5:$H$104,0)))</f>
        <v/>
      </c>
      <c r="F29" s="31" t="n"/>
      <c r="G29">
        <f>IF(C29="","",IF(F29&lt;&gt;"",F29,E29))</f>
        <v/>
      </c>
      <c r="H29" s="34">
        <f>IF(C29="","",UPPER(SUBSTITUTE(SUBSTITUTE(SUBSTITUTE(SUBSTITUTE(SUBSTITUTE(SUBSTITUTE(SUBSTITUTE(SUBSTITUTE(SUBSTITUTE(SUBSTITUTE(SUBSTITUTE(ASC(C29),"株式会社",""),"有限会社",""),"合同会社",""),"(株)",""),"(有)",""),"(同)",""),"㈱",""),"㈲",""),"様",""),"御中","")," ","")))</f>
        <v/>
      </c>
      <c r="I29" s="34">
        <f>IF(C29="","",TRIM(SUBSTITUTE(SUBSTITUTE(SUBSTITUTE(SUBSTITUTE(SUBSTITUTE(SUBSTITUTE(SUBSTITUTE(SUBSTITUTE(SUBSTITUTE(SUBSTITUTE(SUBSTITUTE(C29,"株式会社",""),"有限会社",""),"合同会社",""),"(株)",""),"（株）",""),"㈱",""),"(有)",""),"（有）",""),"㈲",""),"様",""),"御中","")))</f>
        <v/>
      </c>
      <c r="J29">
        <f>IF(OR(K29="",M29=""),"",RANK(M29,$M$5:$M$104))</f>
        <v/>
      </c>
      <c r="K29">
        <f>IFERROR(INDEX('04_調査結果'!$BE$5:$BE$404,MATCH((ROW()-5),'04_調査結果'!$BG$5:$BG$404,0)),"")</f>
        <v/>
      </c>
      <c r="L29">
        <f>IF(K29="","",COUNTIFS('04_調査結果'!$BE$5:$BE$404,K29,'04_調査結果'!$AZ$5:$AZ$404,"&gt;0"))</f>
        <v/>
      </c>
      <c r="M29" s="33">
        <f>IF(K29="","",SUMIFS('04_調査結果'!$AI$5:$AI$404,'04_調査結果'!$BE$5:$BE$404,K29,'04_調査結果'!$AZ$5:$AZ$404,"&gt;0"))</f>
        <v/>
      </c>
      <c r="N29">
        <f>IF(K29="","",COUNTIFS('04_調査結果'!$BE$5:$BE$404,K29,'04_調査結果'!$AZ$5:$AZ$404,"&gt;0",'04_調査結果'!$M$5:$M$404,"暗黙"))</f>
        <v/>
      </c>
      <c r="O29" s="33">
        <f>IF(K29="","",SUMIFS('04_調査結果'!$AI$5:$AI$404,'04_調査結果'!$BE$5:$BE$404,K29,'04_調査結果'!$AZ$5:$AZ$404,"&gt;0",'04_調査結果'!$AH$5:$AH$404,"自動化候補")+SUMIFS('04_調査結果'!$AI$5:$AI$404,'04_調査結果'!$BE$5:$BE$404,K29,'04_調査結果'!$AZ$5:$AZ$404,"&gt;0",'04_調査結果'!$AH$5:$AH$404,"オフショア候補")+SUMIFS('04_調査結果'!$AI$5:$AI$404,'04_調査結果'!$BE$5:$BE$404,K29,'04_調査結果'!$AZ$5:$AZ$404,"&gt;0",'04_調査結果'!$AH$5:$AH$404,"ニアショア候補"))</f>
        <v/>
      </c>
      <c r="P29">
        <f>IF(K29="","",IFERROR(INDEX('04_調査結果'!$F$5:$F$404,MATCH(K29,'04_調査結果'!$BE$5:$BE$404,0))&amp;"",""))</f>
        <v/>
      </c>
    </row>
    <row r="30">
      <c r="B30" s="34" t="n">
        <v>26</v>
      </c>
      <c r="C30">
        <f>IFERROR(INDEX('04_調査結果'!$BB$5:$BB$404,MATCH(B30,'04_調査結果'!$BD$5:$BD$404,0)),"")</f>
        <v/>
      </c>
      <c r="D30">
        <f>IF(C30="","",COUNTIFS('04_調査結果'!$BB$5:$BB$404,C30,'04_調査結果'!$AB$5:$AB$404,"OK"))</f>
        <v/>
      </c>
      <c r="E30">
        <f>IF(C30="","",INDEX($I$5:$I$104,MATCH(H30,$H$5:$H$104,0)))</f>
        <v/>
      </c>
      <c r="F30" s="31" t="n"/>
      <c r="G30">
        <f>IF(C30="","",IF(F30&lt;&gt;"",F30,E30))</f>
        <v/>
      </c>
      <c r="H30" s="34">
        <f>IF(C30="","",UPPER(SUBSTITUTE(SUBSTITUTE(SUBSTITUTE(SUBSTITUTE(SUBSTITUTE(SUBSTITUTE(SUBSTITUTE(SUBSTITUTE(SUBSTITUTE(SUBSTITUTE(SUBSTITUTE(ASC(C30),"株式会社",""),"有限会社",""),"合同会社",""),"(株)",""),"(有)",""),"(同)",""),"㈱",""),"㈲",""),"様",""),"御中","")," ","")))</f>
        <v/>
      </c>
      <c r="I30" s="34">
        <f>IF(C30="","",TRIM(SUBSTITUTE(SUBSTITUTE(SUBSTITUTE(SUBSTITUTE(SUBSTITUTE(SUBSTITUTE(SUBSTITUTE(SUBSTITUTE(SUBSTITUTE(SUBSTITUTE(SUBSTITUTE(C30,"株式会社",""),"有限会社",""),"合同会社",""),"(株)",""),"（株）",""),"㈱",""),"(有)",""),"（有）",""),"㈲",""),"様",""),"御中","")))</f>
        <v/>
      </c>
      <c r="J30">
        <f>IF(OR(K30="",M30=""),"",RANK(M30,$M$5:$M$104))</f>
        <v/>
      </c>
      <c r="K30">
        <f>IFERROR(INDEX('04_調査結果'!$BE$5:$BE$404,MATCH((ROW()-5),'04_調査結果'!$BG$5:$BG$404,0)),"")</f>
        <v/>
      </c>
      <c r="L30">
        <f>IF(K30="","",COUNTIFS('04_調査結果'!$BE$5:$BE$404,K30,'04_調査結果'!$AZ$5:$AZ$404,"&gt;0"))</f>
        <v/>
      </c>
      <c r="M30" s="33">
        <f>IF(K30="","",SUMIFS('04_調査結果'!$AI$5:$AI$404,'04_調査結果'!$BE$5:$BE$404,K30,'04_調査結果'!$AZ$5:$AZ$404,"&gt;0"))</f>
        <v/>
      </c>
      <c r="N30">
        <f>IF(K30="","",COUNTIFS('04_調査結果'!$BE$5:$BE$404,K30,'04_調査結果'!$AZ$5:$AZ$404,"&gt;0",'04_調査結果'!$M$5:$M$404,"暗黙"))</f>
        <v/>
      </c>
      <c r="O30" s="33">
        <f>IF(K30="","",SUMIFS('04_調査結果'!$AI$5:$AI$404,'04_調査結果'!$BE$5:$BE$404,K30,'04_調査結果'!$AZ$5:$AZ$404,"&gt;0",'04_調査結果'!$AH$5:$AH$404,"自動化候補")+SUMIFS('04_調査結果'!$AI$5:$AI$404,'04_調査結果'!$BE$5:$BE$404,K30,'04_調査結果'!$AZ$5:$AZ$404,"&gt;0",'04_調査結果'!$AH$5:$AH$404,"オフショア候補")+SUMIFS('04_調査結果'!$AI$5:$AI$404,'04_調査結果'!$BE$5:$BE$404,K30,'04_調査結果'!$AZ$5:$AZ$404,"&gt;0",'04_調査結果'!$AH$5:$AH$404,"ニアショア候補"))</f>
        <v/>
      </c>
      <c r="P30">
        <f>IF(K30="","",IFERROR(INDEX('04_調査結果'!$F$5:$F$404,MATCH(K30,'04_調査結果'!$BE$5:$BE$404,0))&amp;"",""))</f>
        <v/>
      </c>
    </row>
    <row r="31">
      <c r="B31" s="34" t="n">
        <v>27</v>
      </c>
      <c r="C31">
        <f>IFERROR(INDEX('04_調査結果'!$BB$5:$BB$404,MATCH(B31,'04_調査結果'!$BD$5:$BD$404,0)),"")</f>
        <v/>
      </c>
      <c r="D31">
        <f>IF(C31="","",COUNTIFS('04_調査結果'!$BB$5:$BB$404,C31,'04_調査結果'!$AB$5:$AB$404,"OK"))</f>
        <v/>
      </c>
      <c r="E31">
        <f>IF(C31="","",INDEX($I$5:$I$104,MATCH(H31,$H$5:$H$104,0)))</f>
        <v/>
      </c>
      <c r="F31" s="31" t="n"/>
      <c r="G31">
        <f>IF(C31="","",IF(F31&lt;&gt;"",F31,E31))</f>
        <v/>
      </c>
      <c r="H31" s="34">
        <f>IF(C31="","",UPPER(SUBSTITUTE(SUBSTITUTE(SUBSTITUTE(SUBSTITUTE(SUBSTITUTE(SUBSTITUTE(SUBSTITUTE(SUBSTITUTE(SUBSTITUTE(SUBSTITUTE(SUBSTITUTE(ASC(C31),"株式会社",""),"有限会社",""),"合同会社",""),"(株)",""),"(有)",""),"(同)",""),"㈱",""),"㈲",""),"様",""),"御中","")," ","")))</f>
        <v/>
      </c>
      <c r="I31" s="34">
        <f>IF(C31="","",TRIM(SUBSTITUTE(SUBSTITUTE(SUBSTITUTE(SUBSTITUTE(SUBSTITUTE(SUBSTITUTE(SUBSTITUTE(SUBSTITUTE(SUBSTITUTE(SUBSTITUTE(SUBSTITUTE(C31,"株式会社",""),"有限会社",""),"合同会社",""),"(株)",""),"（株）",""),"㈱",""),"(有)",""),"（有）",""),"㈲",""),"様",""),"御中","")))</f>
        <v/>
      </c>
      <c r="J31">
        <f>IF(OR(K31="",M31=""),"",RANK(M31,$M$5:$M$104))</f>
        <v/>
      </c>
      <c r="K31">
        <f>IFERROR(INDEX('04_調査結果'!$BE$5:$BE$404,MATCH((ROW()-5),'04_調査結果'!$BG$5:$BG$404,0)),"")</f>
        <v/>
      </c>
      <c r="L31">
        <f>IF(K31="","",COUNTIFS('04_調査結果'!$BE$5:$BE$404,K31,'04_調査結果'!$AZ$5:$AZ$404,"&gt;0"))</f>
        <v/>
      </c>
      <c r="M31" s="33">
        <f>IF(K31="","",SUMIFS('04_調査結果'!$AI$5:$AI$404,'04_調査結果'!$BE$5:$BE$404,K31,'04_調査結果'!$AZ$5:$AZ$404,"&gt;0"))</f>
        <v/>
      </c>
      <c r="N31">
        <f>IF(K31="","",COUNTIFS('04_調査結果'!$BE$5:$BE$404,K31,'04_調査結果'!$AZ$5:$AZ$404,"&gt;0",'04_調査結果'!$M$5:$M$404,"暗黙"))</f>
        <v/>
      </c>
      <c r="O31" s="33">
        <f>IF(K31="","",SUMIFS('04_調査結果'!$AI$5:$AI$404,'04_調査結果'!$BE$5:$BE$404,K31,'04_調査結果'!$AZ$5:$AZ$404,"&gt;0",'04_調査結果'!$AH$5:$AH$404,"自動化候補")+SUMIFS('04_調査結果'!$AI$5:$AI$404,'04_調査結果'!$BE$5:$BE$404,K31,'04_調査結果'!$AZ$5:$AZ$404,"&gt;0",'04_調査結果'!$AH$5:$AH$404,"オフショア候補")+SUMIFS('04_調査結果'!$AI$5:$AI$404,'04_調査結果'!$BE$5:$BE$404,K31,'04_調査結果'!$AZ$5:$AZ$404,"&gt;0",'04_調査結果'!$AH$5:$AH$404,"ニアショア候補"))</f>
        <v/>
      </c>
      <c r="P31">
        <f>IF(K31="","",IFERROR(INDEX('04_調査結果'!$F$5:$F$404,MATCH(K31,'04_調査結果'!$BE$5:$BE$404,0))&amp;"",""))</f>
        <v/>
      </c>
    </row>
    <row r="32">
      <c r="B32" s="34" t="n">
        <v>28</v>
      </c>
      <c r="C32">
        <f>IFERROR(INDEX('04_調査結果'!$BB$5:$BB$404,MATCH(B32,'04_調査結果'!$BD$5:$BD$404,0)),"")</f>
        <v/>
      </c>
      <c r="D32">
        <f>IF(C32="","",COUNTIFS('04_調査結果'!$BB$5:$BB$404,C32,'04_調査結果'!$AB$5:$AB$404,"OK"))</f>
        <v/>
      </c>
      <c r="E32">
        <f>IF(C32="","",INDEX($I$5:$I$104,MATCH(H32,$H$5:$H$104,0)))</f>
        <v/>
      </c>
      <c r="F32" s="31" t="n"/>
      <c r="G32">
        <f>IF(C32="","",IF(F32&lt;&gt;"",F32,E32))</f>
        <v/>
      </c>
      <c r="H32" s="34">
        <f>IF(C32="","",UPPER(SUBSTITUTE(SUBSTITUTE(SUBSTITUTE(SUBSTITUTE(SUBSTITUTE(SUBSTITUTE(SUBSTITUTE(SUBSTITUTE(SUBSTITUTE(SUBSTITUTE(SUBSTITUTE(ASC(C32),"株式会社",""),"有限会社",""),"合同会社",""),"(株)",""),"(有)",""),"(同)",""),"㈱",""),"㈲",""),"様",""),"御中","")," ","")))</f>
        <v/>
      </c>
      <c r="I32" s="34">
        <f>IF(C32="","",TRIM(SUBSTITUTE(SUBSTITUTE(SUBSTITUTE(SUBSTITUTE(SUBSTITUTE(SUBSTITUTE(SUBSTITUTE(SUBSTITUTE(SUBSTITUTE(SUBSTITUTE(SUBSTITUTE(C32,"株式会社",""),"有限会社",""),"合同会社",""),"(株)",""),"（株）",""),"㈱",""),"(有)",""),"（有）",""),"㈲",""),"様",""),"御中","")))</f>
        <v/>
      </c>
      <c r="J32">
        <f>IF(OR(K32="",M32=""),"",RANK(M32,$M$5:$M$104))</f>
        <v/>
      </c>
      <c r="K32">
        <f>IFERROR(INDEX('04_調査結果'!$BE$5:$BE$404,MATCH((ROW()-5),'04_調査結果'!$BG$5:$BG$404,0)),"")</f>
        <v/>
      </c>
      <c r="L32">
        <f>IF(K32="","",COUNTIFS('04_調査結果'!$BE$5:$BE$404,K32,'04_調査結果'!$AZ$5:$AZ$404,"&gt;0"))</f>
        <v/>
      </c>
      <c r="M32" s="33">
        <f>IF(K32="","",SUMIFS('04_調査結果'!$AI$5:$AI$404,'04_調査結果'!$BE$5:$BE$404,K32,'04_調査結果'!$AZ$5:$AZ$404,"&gt;0"))</f>
        <v/>
      </c>
      <c r="N32">
        <f>IF(K32="","",COUNTIFS('04_調査結果'!$BE$5:$BE$404,K32,'04_調査結果'!$AZ$5:$AZ$404,"&gt;0",'04_調査結果'!$M$5:$M$404,"暗黙"))</f>
        <v/>
      </c>
      <c r="O32" s="33">
        <f>IF(K32="","",SUMIFS('04_調査結果'!$AI$5:$AI$404,'04_調査結果'!$BE$5:$BE$404,K32,'04_調査結果'!$AZ$5:$AZ$404,"&gt;0",'04_調査結果'!$AH$5:$AH$404,"自動化候補")+SUMIFS('04_調査結果'!$AI$5:$AI$404,'04_調査結果'!$BE$5:$BE$404,K32,'04_調査結果'!$AZ$5:$AZ$404,"&gt;0",'04_調査結果'!$AH$5:$AH$404,"オフショア候補")+SUMIFS('04_調査結果'!$AI$5:$AI$404,'04_調査結果'!$BE$5:$BE$404,K32,'04_調査結果'!$AZ$5:$AZ$404,"&gt;0",'04_調査結果'!$AH$5:$AH$404,"ニアショア候補"))</f>
        <v/>
      </c>
      <c r="P32">
        <f>IF(K32="","",IFERROR(INDEX('04_調査結果'!$F$5:$F$404,MATCH(K32,'04_調査結果'!$BE$5:$BE$404,0))&amp;"",""))</f>
        <v/>
      </c>
    </row>
    <row r="33">
      <c r="B33" s="34" t="n">
        <v>29</v>
      </c>
      <c r="C33">
        <f>IFERROR(INDEX('04_調査結果'!$BB$5:$BB$404,MATCH(B33,'04_調査結果'!$BD$5:$BD$404,0)),"")</f>
        <v/>
      </c>
      <c r="D33">
        <f>IF(C33="","",COUNTIFS('04_調査結果'!$BB$5:$BB$404,C33,'04_調査結果'!$AB$5:$AB$404,"OK"))</f>
        <v/>
      </c>
      <c r="E33">
        <f>IF(C33="","",INDEX($I$5:$I$104,MATCH(H33,$H$5:$H$104,0)))</f>
        <v/>
      </c>
      <c r="F33" s="31" t="n"/>
      <c r="G33">
        <f>IF(C33="","",IF(F33&lt;&gt;"",F33,E33))</f>
        <v/>
      </c>
      <c r="H33" s="34">
        <f>IF(C33="","",UPPER(SUBSTITUTE(SUBSTITUTE(SUBSTITUTE(SUBSTITUTE(SUBSTITUTE(SUBSTITUTE(SUBSTITUTE(SUBSTITUTE(SUBSTITUTE(SUBSTITUTE(SUBSTITUTE(ASC(C33),"株式会社",""),"有限会社",""),"合同会社",""),"(株)",""),"(有)",""),"(同)",""),"㈱",""),"㈲",""),"様",""),"御中","")," ","")))</f>
        <v/>
      </c>
      <c r="I33" s="34">
        <f>IF(C33="","",TRIM(SUBSTITUTE(SUBSTITUTE(SUBSTITUTE(SUBSTITUTE(SUBSTITUTE(SUBSTITUTE(SUBSTITUTE(SUBSTITUTE(SUBSTITUTE(SUBSTITUTE(SUBSTITUTE(C33,"株式会社",""),"有限会社",""),"合同会社",""),"(株)",""),"（株）",""),"㈱",""),"(有)",""),"（有）",""),"㈲",""),"様",""),"御中","")))</f>
        <v/>
      </c>
      <c r="J33">
        <f>IF(OR(K33="",M33=""),"",RANK(M33,$M$5:$M$104))</f>
        <v/>
      </c>
      <c r="K33">
        <f>IFERROR(INDEX('04_調査結果'!$BE$5:$BE$404,MATCH((ROW()-5),'04_調査結果'!$BG$5:$BG$404,0)),"")</f>
        <v/>
      </c>
      <c r="L33">
        <f>IF(K33="","",COUNTIFS('04_調査結果'!$BE$5:$BE$404,K33,'04_調査結果'!$AZ$5:$AZ$404,"&gt;0"))</f>
        <v/>
      </c>
      <c r="M33" s="33">
        <f>IF(K33="","",SUMIFS('04_調査結果'!$AI$5:$AI$404,'04_調査結果'!$BE$5:$BE$404,K33,'04_調査結果'!$AZ$5:$AZ$404,"&gt;0"))</f>
        <v/>
      </c>
      <c r="N33">
        <f>IF(K33="","",COUNTIFS('04_調査結果'!$BE$5:$BE$404,K33,'04_調査結果'!$AZ$5:$AZ$404,"&gt;0",'04_調査結果'!$M$5:$M$404,"暗黙"))</f>
        <v/>
      </c>
      <c r="O33" s="33">
        <f>IF(K33="","",SUMIFS('04_調査結果'!$AI$5:$AI$404,'04_調査結果'!$BE$5:$BE$404,K33,'04_調査結果'!$AZ$5:$AZ$404,"&gt;0",'04_調査結果'!$AH$5:$AH$404,"自動化候補")+SUMIFS('04_調査結果'!$AI$5:$AI$404,'04_調査結果'!$BE$5:$BE$404,K33,'04_調査結果'!$AZ$5:$AZ$404,"&gt;0",'04_調査結果'!$AH$5:$AH$404,"オフショア候補")+SUMIFS('04_調査結果'!$AI$5:$AI$404,'04_調査結果'!$BE$5:$BE$404,K33,'04_調査結果'!$AZ$5:$AZ$404,"&gt;0",'04_調査結果'!$AH$5:$AH$404,"ニアショア候補"))</f>
        <v/>
      </c>
      <c r="P33">
        <f>IF(K33="","",IFERROR(INDEX('04_調査結果'!$F$5:$F$404,MATCH(K33,'04_調査結果'!$BE$5:$BE$404,0))&amp;"",""))</f>
        <v/>
      </c>
    </row>
    <row r="34">
      <c r="B34" s="34" t="n">
        <v>30</v>
      </c>
      <c r="C34">
        <f>IFERROR(INDEX('04_調査結果'!$BB$5:$BB$404,MATCH(B34,'04_調査結果'!$BD$5:$BD$404,0)),"")</f>
        <v/>
      </c>
      <c r="D34">
        <f>IF(C34="","",COUNTIFS('04_調査結果'!$BB$5:$BB$404,C34,'04_調査結果'!$AB$5:$AB$404,"OK"))</f>
        <v/>
      </c>
      <c r="E34">
        <f>IF(C34="","",INDEX($I$5:$I$104,MATCH(H34,$H$5:$H$104,0)))</f>
        <v/>
      </c>
      <c r="F34" s="31" t="n"/>
      <c r="G34">
        <f>IF(C34="","",IF(F34&lt;&gt;"",F34,E34))</f>
        <v/>
      </c>
      <c r="H34" s="34">
        <f>IF(C34="","",UPPER(SUBSTITUTE(SUBSTITUTE(SUBSTITUTE(SUBSTITUTE(SUBSTITUTE(SUBSTITUTE(SUBSTITUTE(SUBSTITUTE(SUBSTITUTE(SUBSTITUTE(SUBSTITUTE(ASC(C34),"株式会社",""),"有限会社",""),"合同会社",""),"(株)",""),"(有)",""),"(同)",""),"㈱",""),"㈲",""),"様",""),"御中","")," ","")))</f>
        <v/>
      </c>
      <c r="I34" s="34">
        <f>IF(C34="","",TRIM(SUBSTITUTE(SUBSTITUTE(SUBSTITUTE(SUBSTITUTE(SUBSTITUTE(SUBSTITUTE(SUBSTITUTE(SUBSTITUTE(SUBSTITUTE(SUBSTITUTE(SUBSTITUTE(C34,"株式会社",""),"有限会社",""),"合同会社",""),"(株)",""),"（株）",""),"㈱",""),"(有)",""),"（有）",""),"㈲",""),"様",""),"御中","")))</f>
        <v/>
      </c>
      <c r="J34">
        <f>IF(OR(K34="",M34=""),"",RANK(M34,$M$5:$M$104))</f>
        <v/>
      </c>
      <c r="K34">
        <f>IFERROR(INDEX('04_調査結果'!$BE$5:$BE$404,MATCH((ROW()-5),'04_調査結果'!$BG$5:$BG$404,0)),"")</f>
        <v/>
      </c>
      <c r="L34">
        <f>IF(K34="","",COUNTIFS('04_調査結果'!$BE$5:$BE$404,K34,'04_調査結果'!$AZ$5:$AZ$404,"&gt;0"))</f>
        <v/>
      </c>
      <c r="M34" s="33">
        <f>IF(K34="","",SUMIFS('04_調査結果'!$AI$5:$AI$404,'04_調査結果'!$BE$5:$BE$404,K34,'04_調査結果'!$AZ$5:$AZ$404,"&gt;0"))</f>
        <v/>
      </c>
      <c r="N34">
        <f>IF(K34="","",COUNTIFS('04_調査結果'!$BE$5:$BE$404,K34,'04_調査結果'!$AZ$5:$AZ$404,"&gt;0",'04_調査結果'!$M$5:$M$404,"暗黙"))</f>
        <v/>
      </c>
      <c r="O34" s="33">
        <f>IF(K34="","",SUMIFS('04_調査結果'!$AI$5:$AI$404,'04_調査結果'!$BE$5:$BE$404,K34,'04_調査結果'!$AZ$5:$AZ$404,"&gt;0",'04_調査結果'!$AH$5:$AH$404,"自動化候補")+SUMIFS('04_調査結果'!$AI$5:$AI$404,'04_調査結果'!$BE$5:$BE$404,K34,'04_調査結果'!$AZ$5:$AZ$404,"&gt;0",'04_調査結果'!$AH$5:$AH$404,"オフショア候補")+SUMIFS('04_調査結果'!$AI$5:$AI$404,'04_調査結果'!$BE$5:$BE$404,K34,'04_調査結果'!$AZ$5:$AZ$404,"&gt;0",'04_調査結果'!$AH$5:$AH$404,"ニアショア候補"))</f>
        <v/>
      </c>
      <c r="P34">
        <f>IF(K34="","",IFERROR(INDEX('04_調査結果'!$F$5:$F$404,MATCH(K34,'04_調査結果'!$BE$5:$BE$404,0))&amp;"",""))</f>
        <v/>
      </c>
    </row>
    <row r="35">
      <c r="B35" s="34" t="n">
        <v>31</v>
      </c>
      <c r="C35">
        <f>IFERROR(INDEX('04_調査結果'!$BB$5:$BB$404,MATCH(B35,'04_調査結果'!$BD$5:$BD$404,0)),"")</f>
        <v/>
      </c>
      <c r="D35">
        <f>IF(C35="","",COUNTIFS('04_調査結果'!$BB$5:$BB$404,C35,'04_調査結果'!$AB$5:$AB$404,"OK"))</f>
        <v/>
      </c>
      <c r="E35">
        <f>IF(C35="","",INDEX($I$5:$I$104,MATCH(H35,$H$5:$H$104,0)))</f>
        <v/>
      </c>
      <c r="F35" s="31" t="n"/>
      <c r="G35">
        <f>IF(C35="","",IF(F35&lt;&gt;"",F35,E35))</f>
        <v/>
      </c>
      <c r="H35" s="34">
        <f>IF(C35="","",UPPER(SUBSTITUTE(SUBSTITUTE(SUBSTITUTE(SUBSTITUTE(SUBSTITUTE(SUBSTITUTE(SUBSTITUTE(SUBSTITUTE(SUBSTITUTE(SUBSTITUTE(SUBSTITUTE(ASC(C35),"株式会社",""),"有限会社",""),"合同会社",""),"(株)",""),"(有)",""),"(同)",""),"㈱",""),"㈲",""),"様",""),"御中","")," ","")))</f>
        <v/>
      </c>
      <c r="I35" s="34">
        <f>IF(C35="","",TRIM(SUBSTITUTE(SUBSTITUTE(SUBSTITUTE(SUBSTITUTE(SUBSTITUTE(SUBSTITUTE(SUBSTITUTE(SUBSTITUTE(SUBSTITUTE(SUBSTITUTE(SUBSTITUTE(C35,"株式会社",""),"有限会社",""),"合同会社",""),"(株)",""),"（株）",""),"㈱",""),"(有)",""),"（有）",""),"㈲",""),"様",""),"御中","")))</f>
        <v/>
      </c>
      <c r="J35">
        <f>IF(OR(K35="",M35=""),"",RANK(M35,$M$5:$M$104))</f>
        <v/>
      </c>
      <c r="K35">
        <f>IFERROR(INDEX('04_調査結果'!$BE$5:$BE$404,MATCH((ROW()-5),'04_調査結果'!$BG$5:$BG$404,0)),"")</f>
        <v/>
      </c>
      <c r="L35">
        <f>IF(K35="","",COUNTIFS('04_調査結果'!$BE$5:$BE$404,K35,'04_調査結果'!$AZ$5:$AZ$404,"&gt;0"))</f>
        <v/>
      </c>
      <c r="M35" s="33">
        <f>IF(K35="","",SUMIFS('04_調査結果'!$AI$5:$AI$404,'04_調査結果'!$BE$5:$BE$404,K35,'04_調査結果'!$AZ$5:$AZ$404,"&gt;0"))</f>
        <v/>
      </c>
      <c r="N35">
        <f>IF(K35="","",COUNTIFS('04_調査結果'!$BE$5:$BE$404,K35,'04_調査結果'!$AZ$5:$AZ$404,"&gt;0",'04_調査結果'!$M$5:$M$404,"暗黙"))</f>
        <v/>
      </c>
      <c r="O35" s="33">
        <f>IF(K35="","",SUMIFS('04_調査結果'!$AI$5:$AI$404,'04_調査結果'!$BE$5:$BE$404,K35,'04_調査結果'!$AZ$5:$AZ$404,"&gt;0",'04_調査結果'!$AH$5:$AH$404,"自動化候補")+SUMIFS('04_調査結果'!$AI$5:$AI$404,'04_調査結果'!$BE$5:$BE$404,K35,'04_調査結果'!$AZ$5:$AZ$404,"&gt;0",'04_調査結果'!$AH$5:$AH$404,"オフショア候補")+SUMIFS('04_調査結果'!$AI$5:$AI$404,'04_調査結果'!$BE$5:$BE$404,K35,'04_調査結果'!$AZ$5:$AZ$404,"&gt;0",'04_調査結果'!$AH$5:$AH$404,"ニアショア候補"))</f>
        <v/>
      </c>
      <c r="P35">
        <f>IF(K35="","",IFERROR(INDEX('04_調査結果'!$F$5:$F$404,MATCH(K35,'04_調査結果'!$BE$5:$BE$404,0))&amp;"",""))</f>
        <v/>
      </c>
    </row>
    <row r="36">
      <c r="B36" s="34" t="n">
        <v>32</v>
      </c>
      <c r="C36">
        <f>IFERROR(INDEX('04_調査結果'!$BB$5:$BB$404,MATCH(B36,'04_調査結果'!$BD$5:$BD$404,0)),"")</f>
        <v/>
      </c>
      <c r="D36">
        <f>IF(C36="","",COUNTIFS('04_調査結果'!$BB$5:$BB$404,C36,'04_調査結果'!$AB$5:$AB$404,"OK"))</f>
        <v/>
      </c>
      <c r="E36">
        <f>IF(C36="","",INDEX($I$5:$I$104,MATCH(H36,$H$5:$H$104,0)))</f>
        <v/>
      </c>
      <c r="F36" s="31" t="n"/>
      <c r="G36">
        <f>IF(C36="","",IF(F36&lt;&gt;"",F36,E36))</f>
        <v/>
      </c>
      <c r="H36" s="34">
        <f>IF(C36="","",UPPER(SUBSTITUTE(SUBSTITUTE(SUBSTITUTE(SUBSTITUTE(SUBSTITUTE(SUBSTITUTE(SUBSTITUTE(SUBSTITUTE(SUBSTITUTE(SUBSTITUTE(SUBSTITUTE(ASC(C36),"株式会社",""),"有限会社",""),"合同会社",""),"(株)",""),"(有)",""),"(同)",""),"㈱",""),"㈲",""),"様",""),"御中","")," ","")))</f>
        <v/>
      </c>
      <c r="I36" s="34">
        <f>IF(C36="","",TRIM(SUBSTITUTE(SUBSTITUTE(SUBSTITUTE(SUBSTITUTE(SUBSTITUTE(SUBSTITUTE(SUBSTITUTE(SUBSTITUTE(SUBSTITUTE(SUBSTITUTE(SUBSTITUTE(C36,"株式会社",""),"有限会社",""),"合同会社",""),"(株)",""),"（株）",""),"㈱",""),"(有)",""),"（有）",""),"㈲",""),"様",""),"御中","")))</f>
        <v/>
      </c>
      <c r="J36">
        <f>IF(OR(K36="",M36=""),"",RANK(M36,$M$5:$M$104))</f>
        <v/>
      </c>
      <c r="K36">
        <f>IFERROR(INDEX('04_調査結果'!$BE$5:$BE$404,MATCH((ROW()-5),'04_調査結果'!$BG$5:$BG$404,0)),"")</f>
        <v/>
      </c>
      <c r="L36">
        <f>IF(K36="","",COUNTIFS('04_調査結果'!$BE$5:$BE$404,K36,'04_調査結果'!$AZ$5:$AZ$404,"&gt;0"))</f>
        <v/>
      </c>
      <c r="M36" s="33">
        <f>IF(K36="","",SUMIFS('04_調査結果'!$AI$5:$AI$404,'04_調査結果'!$BE$5:$BE$404,K36,'04_調査結果'!$AZ$5:$AZ$404,"&gt;0"))</f>
        <v/>
      </c>
      <c r="N36">
        <f>IF(K36="","",COUNTIFS('04_調査結果'!$BE$5:$BE$404,K36,'04_調査結果'!$AZ$5:$AZ$404,"&gt;0",'04_調査結果'!$M$5:$M$404,"暗黙"))</f>
        <v/>
      </c>
      <c r="O36" s="33">
        <f>IF(K36="","",SUMIFS('04_調査結果'!$AI$5:$AI$404,'04_調査結果'!$BE$5:$BE$404,K36,'04_調査結果'!$AZ$5:$AZ$404,"&gt;0",'04_調査結果'!$AH$5:$AH$404,"自動化候補")+SUMIFS('04_調査結果'!$AI$5:$AI$404,'04_調査結果'!$BE$5:$BE$404,K36,'04_調査結果'!$AZ$5:$AZ$404,"&gt;0",'04_調査結果'!$AH$5:$AH$404,"オフショア候補")+SUMIFS('04_調査結果'!$AI$5:$AI$404,'04_調査結果'!$BE$5:$BE$404,K36,'04_調査結果'!$AZ$5:$AZ$404,"&gt;0",'04_調査結果'!$AH$5:$AH$404,"ニアショア候補"))</f>
        <v/>
      </c>
      <c r="P36">
        <f>IF(K36="","",IFERROR(INDEX('04_調査結果'!$F$5:$F$404,MATCH(K36,'04_調査結果'!$BE$5:$BE$404,0))&amp;"",""))</f>
        <v/>
      </c>
    </row>
    <row r="37">
      <c r="B37" s="34" t="n">
        <v>33</v>
      </c>
      <c r="C37">
        <f>IFERROR(INDEX('04_調査結果'!$BB$5:$BB$404,MATCH(B37,'04_調査結果'!$BD$5:$BD$404,0)),"")</f>
        <v/>
      </c>
      <c r="D37">
        <f>IF(C37="","",COUNTIFS('04_調査結果'!$BB$5:$BB$404,C37,'04_調査結果'!$AB$5:$AB$404,"OK"))</f>
        <v/>
      </c>
      <c r="E37">
        <f>IF(C37="","",INDEX($I$5:$I$104,MATCH(H37,$H$5:$H$104,0)))</f>
        <v/>
      </c>
      <c r="F37" s="31" t="n"/>
      <c r="G37">
        <f>IF(C37="","",IF(F37&lt;&gt;"",F37,E37))</f>
        <v/>
      </c>
      <c r="H37" s="34">
        <f>IF(C37="","",UPPER(SUBSTITUTE(SUBSTITUTE(SUBSTITUTE(SUBSTITUTE(SUBSTITUTE(SUBSTITUTE(SUBSTITUTE(SUBSTITUTE(SUBSTITUTE(SUBSTITUTE(SUBSTITUTE(ASC(C37),"株式会社",""),"有限会社",""),"合同会社",""),"(株)",""),"(有)",""),"(同)",""),"㈱",""),"㈲",""),"様",""),"御中","")," ","")))</f>
        <v/>
      </c>
      <c r="I37" s="34">
        <f>IF(C37="","",TRIM(SUBSTITUTE(SUBSTITUTE(SUBSTITUTE(SUBSTITUTE(SUBSTITUTE(SUBSTITUTE(SUBSTITUTE(SUBSTITUTE(SUBSTITUTE(SUBSTITUTE(SUBSTITUTE(C37,"株式会社",""),"有限会社",""),"合同会社",""),"(株)",""),"（株）",""),"㈱",""),"(有)",""),"（有）",""),"㈲",""),"様",""),"御中","")))</f>
        <v/>
      </c>
      <c r="J37">
        <f>IF(OR(K37="",M37=""),"",RANK(M37,$M$5:$M$104))</f>
        <v/>
      </c>
      <c r="K37">
        <f>IFERROR(INDEX('04_調査結果'!$BE$5:$BE$404,MATCH((ROW()-5),'04_調査結果'!$BG$5:$BG$404,0)),"")</f>
        <v/>
      </c>
      <c r="L37">
        <f>IF(K37="","",COUNTIFS('04_調査結果'!$BE$5:$BE$404,K37,'04_調査結果'!$AZ$5:$AZ$404,"&gt;0"))</f>
        <v/>
      </c>
      <c r="M37" s="33">
        <f>IF(K37="","",SUMIFS('04_調査結果'!$AI$5:$AI$404,'04_調査結果'!$BE$5:$BE$404,K37,'04_調査結果'!$AZ$5:$AZ$404,"&gt;0"))</f>
        <v/>
      </c>
      <c r="N37">
        <f>IF(K37="","",COUNTIFS('04_調査結果'!$BE$5:$BE$404,K37,'04_調査結果'!$AZ$5:$AZ$404,"&gt;0",'04_調査結果'!$M$5:$M$404,"暗黙"))</f>
        <v/>
      </c>
      <c r="O37" s="33">
        <f>IF(K37="","",SUMIFS('04_調査結果'!$AI$5:$AI$404,'04_調査結果'!$BE$5:$BE$404,K37,'04_調査結果'!$AZ$5:$AZ$404,"&gt;0",'04_調査結果'!$AH$5:$AH$404,"自動化候補")+SUMIFS('04_調査結果'!$AI$5:$AI$404,'04_調査結果'!$BE$5:$BE$404,K37,'04_調査結果'!$AZ$5:$AZ$404,"&gt;0",'04_調査結果'!$AH$5:$AH$404,"オフショア候補")+SUMIFS('04_調査結果'!$AI$5:$AI$404,'04_調査結果'!$BE$5:$BE$404,K37,'04_調査結果'!$AZ$5:$AZ$404,"&gt;0",'04_調査結果'!$AH$5:$AH$404,"ニアショア候補"))</f>
        <v/>
      </c>
      <c r="P37">
        <f>IF(K37="","",IFERROR(INDEX('04_調査結果'!$F$5:$F$404,MATCH(K37,'04_調査結果'!$BE$5:$BE$404,0))&amp;"",""))</f>
        <v/>
      </c>
    </row>
    <row r="38">
      <c r="B38" s="34" t="n">
        <v>34</v>
      </c>
      <c r="C38">
        <f>IFERROR(INDEX('04_調査結果'!$BB$5:$BB$404,MATCH(B38,'04_調査結果'!$BD$5:$BD$404,0)),"")</f>
        <v/>
      </c>
      <c r="D38">
        <f>IF(C38="","",COUNTIFS('04_調査結果'!$BB$5:$BB$404,C38,'04_調査結果'!$AB$5:$AB$404,"OK"))</f>
        <v/>
      </c>
      <c r="E38">
        <f>IF(C38="","",INDEX($I$5:$I$104,MATCH(H38,$H$5:$H$104,0)))</f>
        <v/>
      </c>
      <c r="F38" s="31" t="n"/>
      <c r="G38">
        <f>IF(C38="","",IF(F38&lt;&gt;"",F38,E38))</f>
        <v/>
      </c>
      <c r="H38" s="34">
        <f>IF(C38="","",UPPER(SUBSTITUTE(SUBSTITUTE(SUBSTITUTE(SUBSTITUTE(SUBSTITUTE(SUBSTITUTE(SUBSTITUTE(SUBSTITUTE(SUBSTITUTE(SUBSTITUTE(SUBSTITUTE(ASC(C38),"株式会社",""),"有限会社",""),"合同会社",""),"(株)",""),"(有)",""),"(同)",""),"㈱",""),"㈲",""),"様",""),"御中","")," ","")))</f>
        <v/>
      </c>
      <c r="I38" s="34">
        <f>IF(C38="","",TRIM(SUBSTITUTE(SUBSTITUTE(SUBSTITUTE(SUBSTITUTE(SUBSTITUTE(SUBSTITUTE(SUBSTITUTE(SUBSTITUTE(SUBSTITUTE(SUBSTITUTE(SUBSTITUTE(C38,"株式会社",""),"有限会社",""),"合同会社",""),"(株)",""),"（株）",""),"㈱",""),"(有)",""),"（有）",""),"㈲",""),"様",""),"御中","")))</f>
        <v/>
      </c>
      <c r="J38">
        <f>IF(OR(K38="",M38=""),"",RANK(M38,$M$5:$M$104))</f>
        <v/>
      </c>
      <c r="K38">
        <f>IFERROR(INDEX('04_調査結果'!$BE$5:$BE$404,MATCH((ROW()-5),'04_調査結果'!$BG$5:$BG$404,0)),"")</f>
        <v/>
      </c>
      <c r="L38">
        <f>IF(K38="","",COUNTIFS('04_調査結果'!$BE$5:$BE$404,K38,'04_調査結果'!$AZ$5:$AZ$404,"&gt;0"))</f>
        <v/>
      </c>
      <c r="M38" s="33">
        <f>IF(K38="","",SUMIFS('04_調査結果'!$AI$5:$AI$404,'04_調査結果'!$BE$5:$BE$404,K38,'04_調査結果'!$AZ$5:$AZ$404,"&gt;0"))</f>
        <v/>
      </c>
      <c r="N38">
        <f>IF(K38="","",COUNTIFS('04_調査結果'!$BE$5:$BE$404,K38,'04_調査結果'!$AZ$5:$AZ$404,"&gt;0",'04_調査結果'!$M$5:$M$404,"暗黙"))</f>
        <v/>
      </c>
      <c r="O38" s="33">
        <f>IF(K38="","",SUMIFS('04_調査結果'!$AI$5:$AI$404,'04_調査結果'!$BE$5:$BE$404,K38,'04_調査結果'!$AZ$5:$AZ$404,"&gt;0",'04_調査結果'!$AH$5:$AH$404,"自動化候補")+SUMIFS('04_調査結果'!$AI$5:$AI$404,'04_調査結果'!$BE$5:$BE$404,K38,'04_調査結果'!$AZ$5:$AZ$404,"&gt;0",'04_調査結果'!$AH$5:$AH$404,"オフショア候補")+SUMIFS('04_調査結果'!$AI$5:$AI$404,'04_調査結果'!$BE$5:$BE$404,K38,'04_調査結果'!$AZ$5:$AZ$404,"&gt;0",'04_調査結果'!$AH$5:$AH$404,"ニアショア候補"))</f>
        <v/>
      </c>
      <c r="P38">
        <f>IF(K38="","",IFERROR(INDEX('04_調査結果'!$F$5:$F$404,MATCH(K38,'04_調査結果'!$BE$5:$BE$404,0))&amp;"",""))</f>
        <v/>
      </c>
    </row>
    <row r="39">
      <c r="B39" s="34" t="n">
        <v>35</v>
      </c>
      <c r="C39">
        <f>IFERROR(INDEX('04_調査結果'!$BB$5:$BB$404,MATCH(B39,'04_調査結果'!$BD$5:$BD$404,0)),"")</f>
        <v/>
      </c>
      <c r="D39">
        <f>IF(C39="","",COUNTIFS('04_調査結果'!$BB$5:$BB$404,C39,'04_調査結果'!$AB$5:$AB$404,"OK"))</f>
        <v/>
      </c>
      <c r="E39">
        <f>IF(C39="","",INDEX($I$5:$I$104,MATCH(H39,$H$5:$H$104,0)))</f>
        <v/>
      </c>
      <c r="F39" s="31" t="n"/>
      <c r="G39">
        <f>IF(C39="","",IF(F39&lt;&gt;"",F39,E39))</f>
        <v/>
      </c>
      <c r="H39" s="34">
        <f>IF(C39="","",UPPER(SUBSTITUTE(SUBSTITUTE(SUBSTITUTE(SUBSTITUTE(SUBSTITUTE(SUBSTITUTE(SUBSTITUTE(SUBSTITUTE(SUBSTITUTE(SUBSTITUTE(SUBSTITUTE(ASC(C39),"株式会社",""),"有限会社",""),"合同会社",""),"(株)",""),"(有)",""),"(同)",""),"㈱",""),"㈲",""),"様",""),"御中","")," ","")))</f>
        <v/>
      </c>
      <c r="I39" s="34">
        <f>IF(C39="","",TRIM(SUBSTITUTE(SUBSTITUTE(SUBSTITUTE(SUBSTITUTE(SUBSTITUTE(SUBSTITUTE(SUBSTITUTE(SUBSTITUTE(SUBSTITUTE(SUBSTITUTE(SUBSTITUTE(C39,"株式会社",""),"有限会社",""),"合同会社",""),"(株)",""),"（株）",""),"㈱",""),"(有)",""),"（有）",""),"㈲",""),"様",""),"御中","")))</f>
        <v/>
      </c>
      <c r="J39">
        <f>IF(OR(K39="",M39=""),"",RANK(M39,$M$5:$M$104))</f>
        <v/>
      </c>
      <c r="K39">
        <f>IFERROR(INDEX('04_調査結果'!$BE$5:$BE$404,MATCH((ROW()-5),'04_調査結果'!$BG$5:$BG$404,0)),"")</f>
        <v/>
      </c>
      <c r="L39">
        <f>IF(K39="","",COUNTIFS('04_調査結果'!$BE$5:$BE$404,K39,'04_調査結果'!$AZ$5:$AZ$404,"&gt;0"))</f>
        <v/>
      </c>
      <c r="M39" s="33">
        <f>IF(K39="","",SUMIFS('04_調査結果'!$AI$5:$AI$404,'04_調査結果'!$BE$5:$BE$404,K39,'04_調査結果'!$AZ$5:$AZ$404,"&gt;0"))</f>
        <v/>
      </c>
      <c r="N39">
        <f>IF(K39="","",COUNTIFS('04_調査結果'!$BE$5:$BE$404,K39,'04_調査結果'!$AZ$5:$AZ$404,"&gt;0",'04_調査結果'!$M$5:$M$404,"暗黙"))</f>
        <v/>
      </c>
      <c r="O39" s="33">
        <f>IF(K39="","",SUMIFS('04_調査結果'!$AI$5:$AI$404,'04_調査結果'!$BE$5:$BE$404,K39,'04_調査結果'!$AZ$5:$AZ$404,"&gt;0",'04_調査結果'!$AH$5:$AH$404,"自動化候補")+SUMIFS('04_調査結果'!$AI$5:$AI$404,'04_調査結果'!$BE$5:$BE$404,K39,'04_調査結果'!$AZ$5:$AZ$404,"&gt;0",'04_調査結果'!$AH$5:$AH$404,"オフショア候補")+SUMIFS('04_調査結果'!$AI$5:$AI$404,'04_調査結果'!$BE$5:$BE$404,K39,'04_調査結果'!$AZ$5:$AZ$404,"&gt;0",'04_調査結果'!$AH$5:$AH$404,"ニアショア候補"))</f>
        <v/>
      </c>
      <c r="P39">
        <f>IF(K39="","",IFERROR(INDEX('04_調査結果'!$F$5:$F$404,MATCH(K39,'04_調査結果'!$BE$5:$BE$404,0))&amp;"",""))</f>
        <v/>
      </c>
    </row>
    <row r="40">
      <c r="B40" s="34" t="n">
        <v>36</v>
      </c>
      <c r="C40">
        <f>IFERROR(INDEX('04_調査結果'!$BB$5:$BB$404,MATCH(B40,'04_調査結果'!$BD$5:$BD$404,0)),"")</f>
        <v/>
      </c>
      <c r="D40">
        <f>IF(C40="","",COUNTIFS('04_調査結果'!$BB$5:$BB$404,C40,'04_調査結果'!$AB$5:$AB$404,"OK"))</f>
        <v/>
      </c>
      <c r="E40">
        <f>IF(C40="","",INDEX($I$5:$I$104,MATCH(H40,$H$5:$H$104,0)))</f>
        <v/>
      </c>
      <c r="F40" s="31" t="n"/>
      <c r="G40">
        <f>IF(C40="","",IF(F40&lt;&gt;"",F40,E40))</f>
        <v/>
      </c>
      <c r="H40" s="34">
        <f>IF(C40="","",UPPER(SUBSTITUTE(SUBSTITUTE(SUBSTITUTE(SUBSTITUTE(SUBSTITUTE(SUBSTITUTE(SUBSTITUTE(SUBSTITUTE(SUBSTITUTE(SUBSTITUTE(SUBSTITUTE(ASC(C40),"株式会社",""),"有限会社",""),"合同会社",""),"(株)",""),"(有)",""),"(同)",""),"㈱",""),"㈲",""),"様",""),"御中","")," ","")))</f>
        <v/>
      </c>
      <c r="I40" s="34">
        <f>IF(C40="","",TRIM(SUBSTITUTE(SUBSTITUTE(SUBSTITUTE(SUBSTITUTE(SUBSTITUTE(SUBSTITUTE(SUBSTITUTE(SUBSTITUTE(SUBSTITUTE(SUBSTITUTE(SUBSTITUTE(C40,"株式会社",""),"有限会社",""),"合同会社",""),"(株)",""),"（株）",""),"㈱",""),"(有)",""),"（有）",""),"㈲",""),"様",""),"御中","")))</f>
        <v/>
      </c>
      <c r="J40">
        <f>IF(OR(K40="",M40=""),"",RANK(M40,$M$5:$M$104))</f>
        <v/>
      </c>
      <c r="K40">
        <f>IFERROR(INDEX('04_調査結果'!$BE$5:$BE$404,MATCH((ROW()-5),'04_調査結果'!$BG$5:$BG$404,0)),"")</f>
        <v/>
      </c>
      <c r="L40">
        <f>IF(K40="","",COUNTIFS('04_調査結果'!$BE$5:$BE$404,K40,'04_調査結果'!$AZ$5:$AZ$404,"&gt;0"))</f>
        <v/>
      </c>
      <c r="M40" s="33">
        <f>IF(K40="","",SUMIFS('04_調査結果'!$AI$5:$AI$404,'04_調査結果'!$BE$5:$BE$404,K40,'04_調査結果'!$AZ$5:$AZ$404,"&gt;0"))</f>
        <v/>
      </c>
      <c r="N40">
        <f>IF(K40="","",COUNTIFS('04_調査結果'!$BE$5:$BE$404,K40,'04_調査結果'!$AZ$5:$AZ$404,"&gt;0",'04_調査結果'!$M$5:$M$404,"暗黙"))</f>
        <v/>
      </c>
      <c r="O40" s="33">
        <f>IF(K40="","",SUMIFS('04_調査結果'!$AI$5:$AI$404,'04_調査結果'!$BE$5:$BE$404,K40,'04_調査結果'!$AZ$5:$AZ$404,"&gt;0",'04_調査結果'!$AH$5:$AH$404,"自動化候補")+SUMIFS('04_調査結果'!$AI$5:$AI$404,'04_調査結果'!$BE$5:$BE$404,K40,'04_調査結果'!$AZ$5:$AZ$404,"&gt;0",'04_調査結果'!$AH$5:$AH$404,"オフショア候補")+SUMIFS('04_調査結果'!$AI$5:$AI$404,'04_調査結果'!$BE$5:$BE$404,K40,'04_調査結果'!$AZ$5:$AZ$404,"&gt;0",'04_調査結果'!$AH$5:$AH$404,"ニアショア候補"))</f>
        <v/>
      </c>
      <c r="P40">
        <f>IF(K40="","",IFERROR(INDEX('04_調査結果'!$F$5:$F$404,MATCH(K40,'04_調査結果'!$BE$5:$BE$404,0))&amp;"",""))</f>
        <v/>
      </c>
    </row>
    <row r="41">
      <c r="B41" s="34" t="n">
        <v>37</v>
      </c>
      <c r="C41">
        <f>IFERROR(INDEX('04_調査結果'!$BB$5:$BB$404,MATCH(B41,'04_調査結果'!$BD$5:$BD$404,0)),"")</f>
        <v/>
      </c>
      <c r="D41">
        <f>IF(C41="","",COUNTIFS('04_調査結果'!$BB$5:$BB$404,C41,'04_調査結果'!$AB$5:$AB$404,"OK"))</f>
        <v/>
      </c>
      <c r="E41">
        <f>IF(C41="","",INDEX($I$5:$I$104,MATCH(H41,$H$5:$H$104,0)))</f>
        <v/>
      </c>
      <c r="F41" s="31" t="n"/>
      <c r="G41">
        <f>IF(C41="","",IF(F41&lt;&gt;"",F41,E41))</f>
        <v/>
      </c>
      <c r="H41" s="34">
        <f>IF(C41="","",UPPER(SUBSTITUTE(SUBSTITUTE(SUBSTITUTE(SUBSTITUTE(SUBSTITUTE(SUBSTITUTE(SUBSTITUTE(SUBSTITUTE(SUBSTITUTE(SUBSTITUTE(SUBSTITUTE(ASC(C41),"株式会社",""),"有限会社",""),"合同会社",""),"(株)",""),"(有)",""),"(同)",""),"㈱",""),"㈲",""),"様",""),"御中","")," ","")))</f>
        <v/>
      </c>
      <c r="I41" s="34">
        <f>IF(C41="","",TRIM(SUBSTITUTE(SUBSTITUTE(SUBSTITUTE(SUBSTITUTE(SUBSTITUTE(SUBSTITUTE(SUBSTITUTE(SUBSTITUTE(SUBSTITUTE(SUBSTITUTE(SUBSTITUTE(C41,"株式会社",""),"有限会社",""),"合同会社",""),"(株)",""),"（株）",""),"㈱",""),"(有)",""),"（有）",""),"㈲",""),"様",""),"御中","")))</f>
        <v/>
      </c>
      <c r="J41">
        <f>IF(OR(K41="",M41=""),"",RANK(M41,$M$5:$M$104))</f>
        <v/>
      </c>
      <c r="K41">
        <f>IFERROR(INDEX('04_調査結果'!$BE$5:$BE$404,MATCH((ROW()-5),'04_調査結果'!$BG$5:$BG$404,0)),"")</f>
        <v/>
      </c>
      <c r="L41">
        <f>IF(K41="","",COUNTIFS('04_調査結果'!$BE$5:$BE$404,K41,'04_調査結果'!$AZ$5:$AZ$404,"&gt;0"))</f>
        <v/>
      </c>
      <c r="M41" s="33">
        <f>IF(K41="","",SUMIFS('04_調査結果'!$AI$5:$AI$404,'04_調査結果'!$BE$5:$BE$404,K41,'04_調査結果'!$AZ$5:$AZ$404,"&gt;0"))</f>
        <v/>
      </c>
      <c r="N41">
        <f>IF(K41="","",COUNTIFS('04_調査結果'!$BE$5:$BE$404,K41,'04_調査結果'!$AZ$5:$AZ$404,"&gt;0",'04_調査結果'!$M$5:$M$404,"暗黙"))</f>
        <v/>
      </c>
      <c r="O41" s="33">
        <f>IF(K41="","",SUMIFS('04_調査結果'!$AI$5:$AI$404,'04_調査結果'!$BE$5:$BE$404,K41,'04_調査結果'!$AZ$5:$AZ$404,"&gt;0",'04_調査結果'!$AH$5:$AH$404,"自動化候補")+SUMIFS('04_調査結果'!$AI$5:$AI$404,'04_調査結果'!$BE$5:$BE$404,K41,'04_調査結果'!$AZ$5:$AZ$404,"&gt;0",'04_調査結果'!$AH$5:$AH$404,"オフショア候補")+SUMIFS('04_調査結果'!$AI$5:$AI$404,'04_調査結果'!$BE$5:$BE$404,K41,'04_調査結果'!$AZ$5:$AZ$404,"&gt;0",'04_調査結果'!$AH$5:$AH$404,"ニアショア候補"))</f>
        <v/>
      </c>
      <c r="P41">
        <f>IF(K41="","",IFERROR(INDEX('04_調査結果'!$F$5:$F$404,MATCH(K41,'04_調査結果'!$BE$5:$BE$404,0))&amp;"",""))</f>
        <v/>
      </c>
    </row>
    <row r="42">
      <c r="B42" s="34" t="n">
        <v>38</v>
      </c>
      <c r="C42">
        <f>IFERROR(INDEX('04_調査結果'!$BB$5:$BB$404,MATCH(B42,'04_調査結果'!$BD$5:$BD$404,0)),"")</f>
        <v/>
      </c>
      <c r="D42">
        <f>IF(C42="","",COUNTIFS('04_調査結果'!$BB$5:$BB$404,C42,'04_調査結果'!$AB$5:$AB$404,"OK"))</f>
        <v/>
      </c>
      <c r="E42">
        <f>IF(C42="","",INDEX($I$5:$I$104,MATCH(H42,$H$5:$H$104,0)))</f>
        <v/>
      </c>
      <c r="F42" s="31" t="n"/>
      <c r="G42">
        <f>IF(C42="","",IF(F42&lt;&gt;"",F42,E42))</f>
        <v/>
      </c>
      <c r="H42" s="34">
        <f>IF(C42="","",UPPER(SUBSTITUTE(SUBSTITUTE(SUBSTITUTE(SUBSTITUTE(SUBSTITUTE(SUBSTITUTE(SUBSTITUTE(SUBSTITUTE(SUBSTITUTE(SUBSTITUTE(SUBSTITUTE(ASC(C42),"株式会社",""),"有限会社",""),"合同会社",""),"(株)",""),"(有)",""),"(同)",""),"㈱",""),"㈲",""),"様",""),"御中","")," ","")))</f>
        <v/>
      </c>
      <c r="I42" s="34">
        <f>IF(C42="","",TRIM(SUBSTITUTE(SUBSTITUTE(SUBSTITUTE(SUBSTITUTE(SUBSTITUTE(SUBSTITUTE(SUBSTITUTE(SUBSTITUTE(SUBSTITUTE(SUBSTITUTE(SUBSTITUTE(C42,"株式会社",""),"有限会社",""),"合同会社",""),"(株)",""),"（株）",""),"㈱",""),"(有)",""),"（有）",""),"㈲",""),"様",""),"御中","")))</f>
        <v/>
      </c>
      <c r="J42">
        <f>IF(OR(K42="",M42=""),"",RANK(M42,$M$5:$M$104))</f>
        <v/>
      </c>
      <c r="K42">
        <f>IFERROR(INDEX('04_調査結果'!$BE$5:$BE$404,MATCH((ROW()-5),'04_調査結果'!$BG$5:$BG$404,0)),"")</f>
        <v/>
      </c>
      <c r="L42">
        <f>IF(K42="","",COUNTIFS('04_調査結果'!$BE$5:$BE$404,K42,'04_調査結果'!$AZ$5:$AZ$404,"&gt;0"))</f>
        <v/>
      </c>
      <c r="M42" s="33">
        <f>IF(K42="","",SUMIFS('04_調査結果'!$AI$5:$AI$404,'04_調査結果'!$BE$5:$BE$404,K42,'04_調査結果'!$AZ$5:$AZ$404,"&gt;0"))</f>
        <v/>
      </c>
      <c r="N42">
        <f>IF(K42="","",COUNTIFS('04_調査結果'!$BE$5:$BE$404,K42,'04_調査結果'!$AZ$5:$AZ$404,"&gt;0",'04_調査結果'!$M$5:$M$404,"暗黙"))</f>
        <v/>
      </c>
      <c r="O42" s="33">
        <f>IF(K42="","",SUMIFS('04_調査結果'!$AI$5:$AI$404,'04_調査結果'!$BE$5:$BE$404,K42,'04_調査結果'!$AZ$5:$AZ$404,"&gt;0",'04_調査結果'!$AH$5:$AH$404,"自動化候補")+SUMIFS('04_調査結果'!$AI$5:$AI$404,'04_調査結果'!$BE$5:$BE$404,K42,'04_調査結果'!$AZ$5:$AZ$404,"&gt;0",'04_調査結果'!$AH$5:$AH$404,"オフショア候補")+SUMIFS('04_調査結果'!$AI$5:$AI$404,'04_調査結果'!$BE$5:$BE$404,K42,'04_調査結果'!$AZ$5:$AZ$404,"&gt;0",'04_調査結果'!$AH$5:$AH$404,"ニアショア候補"))</f>
        <v/>
      </c>
      <c r="P42">
        <f>IF(K42="","",IFERROR(INDEX('04_調査結果'!$F$5:$F$404,MATCH(K42,'04_調査結果'!$BE$5:$BE$404,0))&amp;"",""))</f>
        <v/>
      </c>
    </row>
    <row r="43">
      <c r="B43" s="34" t="n">
        <v>39</v>
      </c>
      <c r="C43">
        <f>IFERROR(INDEX('04_調査結果'!$BB$5:$BB$404,MATCH(B43,'04_調査結果'!$BD$5:$BD$404,0)),"")</f>
        <v/>
      </c>
      <c r="D43">
        <f>IF(C43="","",COUNTIFS('04_調査結果'!$BB$5:$BB$404,C43,'04_調査結果'!$AB$5:$AB$404,"OK"))</f>
        <v/>
      </c>
      <c r="E43">
        <f>IF(C43="","",INDEX($I$5:$I$104,MATCH(H43,$H$5:$H$104,0)))</f>
        <v/>
      </c>
      <c r="F43" s="31" t="n"/>
      <c r="G43">
        <f>IF(C43="","",IF(F43&lt;&gt;"",F43,E43))</f>
        <v/>
      </c>
      <c r="H43" s="34">
        <f>IF(C43="","",UPPER(SUBSTITUTE(SUBSTITUTE(SUBSTITUTE(SUBSTITUTE(SUBSTITUTE(SUBSTITUTE(SUBSTITUTE(SUBSTITUTE(SUBSTITUTE(SUBSTITUTE(SUBSTITUTE(ASC(C43),"株式会社",""),"有限会社",""),"合同会社",""),"(株)",""),"(有)",""),"(同)",""),"㈱",""),"㈲",""),"様",""),"御中","")," ","")))</f>
        <v/>
      </c>
      <c r="I43" s="34">
        <f>IF(C43="","",TRIM(SUBSTITUTE(SUBSTITUTE(SUBSTITUTE(SUBSTITUTE(SUBSTITUTE(SUBSTITUTE(SUBSTITUTE(SUBSTITUTE(SUBSTITUTE(SUBSTITUTE(SUBSTITUTE(C43,"株式会社",""),"有限会社",""),"合同会社",""),"(株)",""),"（株）",""),"㈱",""),"(有)",""),"（有）",""),"㈲",""),"様",""),"御中","")))</f>
        <v/>
      </c>
      <c r="J43">
        <f>IF(OR(K43="",M43=""),"",RANK(M43,$M$5:$M$104))</f>
        <v/>
      </c>
      <c r="K43">
        <f>IFERROR(INDEX('04_調査結果'!$BE$5:$BE$404,MATCH((ROW()-5),'04_調査結果'!$BG$5:$BG$404,0)),"")</f>
        <v/>
      </c>
      <c r="L43">
        <f>IF(K43="","",COUNTIFS('04_調査結果'!$BE$5:$BE$404,K43,'04_調査結果'!$AZ$5:$AZ$404,"&gt;0"))</f>
        <v/>
      </c>
      <c r="M43" s="33">
        <f>IF(K43="","",SUMIFS('04_調査結果'!$AI$5:$AI$404,'04_調査結果'!$BE$5:$BE$404,K43,'04_調査結果'!$AZ$5:$AZ$404,"&gt;0"))</f>
        <v/>
      </c>
      <c r="N43">
        <f>IF(K43="","",COUNTIFS('04_調査結果'!$BE$5:$BE$404,K43,'04_調査結果'!$AZ$5:$AZ$404,"&gt;0",'04_調査結果'!$M$5:$M$404,"暗黙"))</f>
        <v/>
      </c>
      <c r="O43" s="33">
        <f>IF(K43="","",SUMIFS('04_調査結果'!$AI$5:$AI$404,'04_調査結果'!$BE$5:$BE$404,K43,'04_調査結果'!$AZ$5:$AZ$404,"&gt;0",'04_調査結果'!$AH$5:$AH$404,"自動化候補")+SUMIFS('04_調査結果'!$AI$5:$AI$404,'04_調査結果'!$BE$5:$BE$404,K43,'04_調査結果'!$AZ$5:$AZ$404,"&gt;0",'04_調査結果'!$AH$5:$AH$404,"オフショア候補")+SUMIFS('04_調査結果'!$AI$5:$AI$404,'04_調査結果'!$BE$5:$BE$404,K43,'04_調査結果'!$AZ$5:$AZ$404,"&gt;0",'04_調査結果'!$AH$5:$AH$404,"ニアショア候補"))</f>
        <v/>
      </c>
      <c r="P43">
        <f>IF(K43="","",IFERROR(INDEX('04_調査結果'!$F$5:$F$404,MATCH(K43,'04_調査結果'!$BE$5:$BE$404,0))&amp;"",""))</f>
        <v/>
      </c>
    </row>
    <row r="44">
      <c r="B44" s="34" t="n">
        <v>40</v>
      </c>
      <c r="C44">
        <f>IFERROR(INDEX('04_調査結果'!$BB$5:$BB$404,MATCH(B44,'04_調査結果'!$BD$5:$BD$404,0)),"")</f>
        <v/>
      </c>
      <c r="D44">
        <f>IF(C44="","",COUNTIFS('04_調査結果'!$BB$5:$BB$404,C44,'04_調査結果'!$AB$5:$AB$404,"OK"))</f>
        <v/>
      </c>
      <c r="E44">
        <f>IF(C44="","",INDEX($I$5:$I$104,MATCH(H44,$H$5:$H$104,0)))</f>
        <v/>
      </c>
      <c r="F44" s="31" t="n"/>
      <c r="G44">
        <f>IF(C44="","",IF(F44&lt;&gt;"",F44,E44))</f>
        <v/>
      </c>
      <c r="H44" s="34">
        <f>IF(C44="","",UPPER(SUBSTITUTE(SUBSTITUTE(SUBSTITUTE(SUBSTITUTE(SUBSTITUTE(SUBSTITUTE(SUBSTITUTE(SUBSTITUTE(SUBSTITUTE(SUBSTITUTE(SUBSTITUTE(ASC(C44),"株式会社",""),"有限会社",""),"合同会社",""),"(株)",""),"(有)",""),"(同)",""),"㈱",""),"㈲",""),"様",""),"御中","")," ","")))</f>
        <v/>
      </c>
      <c r="I44" s="34">
        <f>IF(C44="","",TRIM(SUBSTITUTE(SUBSTITUTE(SUBSTITUTE(SUBSTITUTE(SUBSTITUTE(SUBSTITUTE(SUBSTITUTE(SUBSTITUTE(SUBSTITUTE(SUBSTITUTE(SUBSTITUTE(C44,"株式会社",""),"有限会社",""),"合同会社",""),"(株)",""),"（株）",""),"㈱",""),"(有)",""),"（有）",""),"㈲",""),"様",""),"御中","")))</f>
        <v/>
      </c>
      <c r="J44">
        <f>IF(OR(K44="",M44=""),"",RANK(M44,$M$5:$M$104))</f>
        <v/>
      </c>
      <c r="K44">
        <f>IFERROR(INDEX('04_調査結果'!$BE$5:$BE$404,MATCH((ROW()-5),'04_調査結果'!$BG$5:$BG$404,0)),"")</f>
        <v/>
      </c>
      <c r="L44">
        <f>IF(K44="","",COUNTIFS('04_調査結果'!$BE$5:$BE$404,K44,'04_調査結果'!$AZ$5:$AZ$404,"&gt;0"))</f>
        <v/>
      </c>
      <c r="M44" s="33">
        <f>IF(K44="","",SUMIFS('04_調査結果'!$AI$5:$AI$404,'04_調査結果'!$BE$5:$BE$404,K44,'04_調査結果'!$AZ$5:$AZ$404,"&gt;0"))</f>
        <v/>
      </c>
      <c r="N44">
        <f>IF(K44="","",COUNTIFS('04_調査結果'!$BE$5:$BE$404,K44,'04_調査結果'!$AZ$5:$AZ$404,"&gt;0",'04_調査結果'!$M$5:$M$404,"暗黙"))</f>
        <v/>
      </c>
      <c r="O44" s="33">
        <f>IF(K44="","",SUMIFS('04_調査結果'!$AI$5:$AI$404,'04_調査結果'!$BE$5:$BE$404,K44,'04_調査結果'!$AZ$5:$AZ$404,"&gt;0",'04_調査結果'!$AH$5:$AH$404,"自動化候補")+SUMIFS('04_調査結果'!$AI$5:$AI$404,'04_調査結果'!$BE$5:$BE$404,K44,'04_調査結果'!$AZ$5:$AZ$404,"&gt;0",'04_調査結果'!$AH$5:$AH$404,"オフショア候補")+SUMIFS('04_調査結果'!$AI$5:$AI$404,'04_調査結果'!$BE$5:$BE$404,K44,'04_調査結果'!$AZ$5:$AZ$404,"&gt;0",'04_調査結果'!$AH$5:$AH$404,"ニアショア候補"))</f>
        <v/>
      </c>
      <c r="P44">
        <f>IF(K44="","",IFERROR(INDEX('04_調査結果'!$F$5:$F$404,MATCH(K44,'04_調査結果'!$BE$5:$BE$404,0))&amp;"",""))</f>
        <v/>
      </c>
    </row>
    <row r="45">
      <c r="B45" s="34" t="n">
        <v>41</v>
      </c>
      <c r="C45">
        <f>IFERROR(INDEX('04_調査結果'!$BB$5:$BB$404,MATCH(B45,'04_調査結果'!$BD$5:$BD$404,0)),"")</f>
        <v/>
      </c>
      <c r="D45">
        <f>IF(C45="","",COUNTIFS('04_調査結果'!$BB$5:$BB$404,C45,'04_調査結果'!$AB$5:$AB$404,"OK"))</f>
        <v/>
      </c>
      <c r="E45">
        <f>IF(C45="","",INDEX($I$5:$I$104,MATCH(H45,$H$5:$H$104,0)))</f>
        <v/>
      </c>
      <c r="F45" s="31" t="n"/>
      <c r="G45">
        <f>IF(C45="","",IF(F45&lt;&gt;"",F45,E45))</f>
        <v/>
      </c>
      <c r="H45" s="34">
        <f>IF(C45="","",UPPER(SUBSTITUTE(SUBSTITUTE(SUBSTITUTE(SUBSTITUTE(SUBSTITUTE(SUBSTITUTE(SUBSTITUTE(SUBSTITUTE(SUBSTITUTE(SUBSTITUTE(SUBSTITUTE(ASC(C45),"株式会社",""),"有限会社",""),"合同会社",""),"(株)",""),"(有)",""),"(同)",""),"㈱",""),"㈲",""),"様",""),"御中","")," ","")))</f>
        <v/>
      </c>
      <c r="I45" s="34">
        <f>IF(C45="","",TRIM(SUBSTITUTE(SUBSTITUTE(SUBSTITUTE(SUBSTITUTE(SUBSTITUTE(SUBSTITUTE(SUBSTITUTE(SUBSTITUTE(SUBSTITUTE(SUBSTITUTE(SUBSTITUTE(C45,"株式会社",""),"有限会社",""),"合同会社",""),"(株)",""),"（株）",""),"㈱",""),"(有)",""),"（有）",""),"㈲",""),"様",""),"御中","")))</f>
        <v/>
      </c>
      <c r="J45">
        <f>IF(OR(K45="",M45=""),"",RANK(M45,$M$5:$M$104))</f>
        <v/>
      </c>
      <c r="K45">
        <f>IFERROR(INDEX('04_調査結果'!$BE$5:$BE$404,MATCH((ROW()-5),'04_調査結果'!$BG$5:$BG$404,0)),"")</f>
        <v/>
      </c>
      <c r="L45">
        <f>IF(K45="","",COUNTIFS('04_調査結果'!$BE$5:$BE$404,K45,'04_調査結果'!$AZ$5:$AZ$404,"&gt;0"))</f>
        <v/>
      </c>
      <c r="M45" s="33">
        <f>IF(K45="","",SUMIFS('04_調査結果'!$AI$5:$AI$404,'04_調査結果'!$BE$5:$BE$404,K45,'04_調査結果'!$AZ$5:$AZ$404,"&gt;0"))</f>
        <v/>
      </c>
      <c r="N45">
        <f>IF(K45="","",COUNTIFS('04_調査結果'!$BE$5:$BE$404,K45,'04_調査結果'!$AZ$5:$AZ$404,"&gt;0",'04_調査結果'!$M$5:$M$404,"暗黙"))</f>
        <v/>
      </c>
      <c r="O45" s="33">
        <f>IF(K45="","",SUMIFS('04_調査結果'!$AI$5:$AI$404,'04_調査結果'!$BE$5:$BE$404,K45,'04_調査結果'!$AZ$5:$AZ$404,"&gt;0",'04_調査結果'!$AH$5:$AH$404,"自動化候補")+SUMIFS('04_調査結果'!$AI$5:$AI$404,'04_調査結果'!$BE$5:$BE$404,K45,'04_調査結果'!$AZ$5:$AZ$404,"&gt;0",'04_調査結果'!$AH$5:$AH$404,"オフショア候補")+SUMIFS('04_調査結果'!$AI$5:$AI$404,'04_調査結果'!$BE$5:$BE$404,K45,'04_調査結果'!$AZ$5:$AZ$404,"&gt;0",'04_調査結果'!$AH$5:$AH$404,"ニアショア候補"))</f>
        <v/>
      </c>
      <c r="P45">
        <f>IF(K45="","",IFERROR(INDEX('04_調査結果'!$F$5:$F$404,MATCH(K45,'04_調査結果'!$BE$5:$BE$404,0))&amp;"",""))</f>
        <v/>
      </c>
    </row>
    <row r="46">
      <c r="B46" s="34" t="n">
        <v>42</v>
      </c>
      <c r="C46">
        <f>IFERROR(INDEX('04_調査結果'!$BB$5:$BB$404,MATCH(B46,'04_調査結果'!$BD$5:$BD$404,0)),"")</f>
        <v/>
      </c>
      <c r="D46">
        <f>IF(C46="","",COUNTIFS('04_調査結果'!$BB$5:$BB$404,C46,'04_調査結果'!$AB$5:$AB$404,"OK"))</f>
        <v/>
      </c>
      <c r="E46">
        <f>IF(C46="","",INDEX($I$5:$I$104,MATCH(H46,$H$5:$H$104,0)))</f>
        <v/>
      </c>
      <c r="F46" s="31" t="n"/>
      <c r="G46">
        <f>IF(C46="","",IF(F46&lt;&gt;"",F46,E46))</f>
        <v/>
      </c>
      <c r="H46" s="34">
        <f>IF(C46="","",UPPER(SUBSTITUTE(SUBSTITUTE(SUBSTITUTE(SUBSTITUTE(SUBSTITUTE(SUBSTITUTE(SUBSTITUTE(SUBSTITUTE(SUBSTITUTE(SUBSTITUTE(SUBSTITUTE(ASC(C46),"株式会社",""),"有限会社",""),"合同会社",""),"(株)",""),"(有)",""),"(同)",""),"㈱",""),"㈲",""),"様",""),"御中","")," ","")))</f>
        <v/>
      </c>
      <c r="I46" s="34">
        <f>IF(C46="","",TRIM(SUBSTITUTE(SUBSTITUTE(SUBSTITUTE(SUBSTITUTE(SUBSTITUTE(SUBSTITUTE(SUBSTITUTE(SUBSTITUTE(SUBSTITUTE(SUBSTITUTE(SUBSTITUTE(C46,"株式会社",""),"有限会社",""),"合同会社",""),"(株)",""),"（株）",""),"㈱",""),"(有)",""),"（有）",""),"㈲",""),"様",""),"御中","")))</f>
        <v/>
      </c>
      <c r="J46">
        <f>IF(OR(K46="",M46=""),"",RANK(M46,$M$5:$M$104))</f>
        <v/>
      </c>
      <c r="K46">
        <f>IFERROR(INDEX('04_調査結果'!$BE$5:$BE$404,MATCH((ROW()-5),'04_調査結果'!$BG$5:$BG$404,0)),"")</f>
        <v/>
      </c>
      <c r="L46">
        <f>IF(K46="","",COUNTIFS('04_調査結果'!$BE$5:$BE$404,K46,'04_調査結果'!$AZ$5:$AZ$404,"&gt;0"))</f>
        <v/>
      </c>
      <c r="M46" s="33">
        <f>IF(K46="","",SUMIFS('04_調査結果'!$AI$5:$AI$404,'04_調査結果'!$BE$5:$BE$404,K46,'04_調査結果'!$AZ$5:$AZ$404,"&gt;0"))</f>
        <v/>
      </c>
      <c r="N46">
        <f>IF(K46="","",COUNTIFS('04_調査結果'!$BE$5:$BE$404,K46,'04_調査結果'!$AZ$5:$AZ$404,"&gt;0",'04_調査結果'!$M$5:$M$404,"暗黙"))</f>
        <v/>
      </c>
      <c r="O46" s="33">
        <f>IF(K46="","",SUMIFS('04_調査結果'!$AI$5:$AI$404,'04_調査結果'!$BE$5:$BE$404,K46,'04_調査結果'!$AZ$5:$AZ$404,"&gt;0",'04_調査結果'!$AH$5:$AH$404,"自動化候補")+SUMIFS('04_調査結果'!$AI$5:$AI$404,'04_調査結果'!$BE$5:$BE$404,K46,'04_調査結果'!$AZ$5:$AZ$404,"&gt;0",'04_調査結果'!$AH$5:$AH$404,"オフショア候補")+SUMIFS('04_調査結果'!$AI$5:$AI$404,'04_調査結果'!$BE$5:$BE$404,K46,'04_調査結果'!$AZ$5:$AZ$404,"&gt;0",'04_調査結果'!$AH$5:$AH$404,"ニアショア候補"))</f>
        <v/>
      </c>
      <c r="P46">
        <f>IF(K46="","",IFERROR(INDEX('04_調査結果'!$F$5:$F$404,MATCH(K46,'04_調査結果'!$BE$5:$BE$404,0))&amp;"",""))</f>
        <v/>
      </c>
    </row>
    <row r="47">
      <c r="B47" s="34" t="n">
        <v>43</v>
      </c>
      <c r="C47">
        <f>IFERROR(INDEX('04_調査結果'!$BB$5:$BB$404,MATCH(B47,'04_調査結果'!$BD$5:$BD$404,0)),"")</f>
        <v/>
      </c>
      <c r="D47">
        <f>IF(C47="","",COUNTIFS('04_調査結果'!$BB$5:$BB$404,C47,'04_調査結果'!$AB$5:$AB$404,"OK"))</f>
        <v/>
      </c>
      <c r="E47">
        <f>IF(C47="","",INDEX($I$5:$I$104,MATCH(H47,$H$5:$H$104,0)))</f>
        <v/>
      </c>
      <c r="F47" s="31" t="n"/>
      <c r="G47">
        <f>IF(C47="","",IF(F47&lt;&gt;"",F47,E47))</f>
        <v/>
      </c>
      <c r="H47" s="34">
        <f>IF(C47="","",UPPER(SUBSTITUTE(SUBSTITUTE(SUBSTITUTE(SUBSTITUTE(SUBSTITUTE(SUBSTITUTE(SUBSTITUTE(SUBSTITUTE(SUBSTITUTE(SUBSTITUTE(SUBSTITUTE(ASC(C47),"株式会社",""),"有限会社",""),"合同会社",""),"(株)",""),"(有)",""),"(同)",""),"㈱",""),"㈲",""),"様",""),"御中","")," ","")))</f>
        <v/>
      </c>
      <c r="I47" s="34">
        <f>IF(C47="","",TRIM(SUBSTITUTE(SUBSTITUTE(SUBSTITUTE(SUBSTITUTE(SUBSTITUTE(SUBSTITUTE(SUBSTITUTE(SUBSTITUTE(SUBSTITUTE(SUBSTITUTE(SUBSTITUTE(C47,"株式会社",""),"有限会社",""),"合同会社",""),"(株)",""),"（株）",""),"㈱",""),"(有)",""),"（有）",""),"㈲",""),"様",""),"御中","")))</f>
        <v/>
      </c>
      <c r="J47">
        <f>IF(OR(K47="",M47=""),"",RANK(M47,$M$5:$M$104))</f>
        <v/>
      </c>
      <c r="K47">
        <f>IFERROR(INDEX('04_調査結果'!$BE$5:$BE$404,MATCH((ROW()-5),'04_調査結果'!$BG$5:$BG$404,0)),"")</f>
        <v/>
      </c>
      <c r="L47">
        <f>IF(K47="","",COUNTIFS('04_調査結果'!$BE$5:$BE$404,K47,'04_調査結果'!$AZ$5:$AZ$404,"&gt;0"))</f>
        <v/>
      </c>
      <c r="M47" s="33">
        <f>IF(K47="","",SUMIFS('04_調査結果'!$AI$5:$AI$404,'04_調査結果'!$BE$5:$BE$404,K47,'04_調査結果'!$AZ$5:$AZ$404,"&gt;0"))</f>
        <v/>
      </c>
      <c r="N47">
        <f>IF(K47="","",COUNTIFS('04_調査結果'!$BE$5:$BE$404,K47,'04_調査結果'!$AZ$5:$AZ$404,"&gt;0",'04_調査結果'!$M$5:$M$404,"暗黙"))</f>
        <v/>
      </c>
      <c r="O47" s="33">
        <f>IF(K47="","",SUMIFS('04_調査結果'!$AI$5:$AI$404,'04_調査結果'!$BE$5:$BE$404,K47,'04_調査結果'!$AZ$5:$AZ$404,"&gt;0",'04_調査結果'!$AH$5:$AH$404,"自動化候補")+SUMIFS('04_調査結果'!$AI$5:$AI$404,'04_調査結果'!$BE$5:$BE$404,K47,'04_調査結果'!$AZ$5:$AZ$404,"&gt;0",'04_調査結果'!$AH$5:$AH$404,"オフショア候補")+SUMIFS('04_調査結果'!$AI$5:$AI$404,'04_調査結果'!$BE$5:$BE$404,K47,'04_調査結果'!$AZ$5:$AZ$404,"&gt;0",'04_調査結果'!$AH$5:$AH$404,"ニアショア候補"))</f>
        <v/>
      </c>
      <c r="P47">
        <f>IF(K47="","",IFERROR(INDEX('04_調査結果'!$F$5:$F$404,MATCH(K47,'04_調査結果'!$BE$5:$BE$404,0))&amp;"",""))</f>
        <v/>
      </c>
    </row>
    <row r="48">
      <c r="B48" s="34" t="n">
        <v>44</v>
      </c>
      <c r="C48">
        <f>IFERROR(INDEX('04_調査結果'!$BB$5:$BB$404,MATCH(B48,'04_調査結果'!$BD$5:$BD$404,0)),"")</f>
        <v/>
      </c>
      <c r="D48">
        <f>IF(C48="","",COUNTIFS('04_調査結果'!$BB$5:$BB$404,C48,'04_調査結果'!$AB$5:$AB$404,"OK"))</f>
        <v/>
      </c>
      <c r="E48">
        <f>IF(C48="","",INDEX($I$5:$I$104,MATCH(H48,$H$5:$H$104,0)))</f>
        <v/>
      </c>
      <c r="F48" s="31" t="n"/>
      <c r="G48">
        <f>IF(C48="","",IF(F48&lt;&gt;"",F48,E48))</f>
        <v/>
      </c>
      <c r="H48" s="34">
        <f>IF(C48="","",UPPER(SUBSTITUTE(SUBSTITUTE(SUBSTITUTE(SUBSTITUTE(SUBSTITUTE(SUBSTITUTE(SUBSTITUTE(SUBSTITUTE(SUBSTITUTE(SUBSTITUTE(SUBSTITUTE(ASC(C48),"株式会社",""),"有限会社",""),"合同会社",""),"(株)",""),"(有)",""),"(同)",""),"㈱",""),"㈲",""),"様",""),"御中","")," ","")))</f>
        <v/>
      </c>
      <c r="I48" s="34">
        <f>IF(C48="","",TRIM(SUBSTITUTE(SUBSTITUTE(SUBSTITUTE(SUBSTITUTE(SUBSTITUTE(SUBSTITUTE(SUBSTITUTE(SUBSTITUTE(SUBSTITUTE(SUBSTITUTE(SUBSTITUTE(C48,"株式会社",""),"有限会社",""),"合同会社",""),"(株)",""),"（株）",""),"㈱",""),"(有)",""),"（有）",""),"㈲",""),"様",""),"御中","")))</f>
        <v/>
      </c>
      <c r="J48">
        <f>IF(OR(K48="",M48=""),"",RANK(M48,$M$5:$M$104))</f>
        <v/>
      </c>
      <c r="K48">
        <f>IFERROR(INDEX('04_調査結果'!$BE$5:$BE$404,MATCH((ROW()-5),'04_調査結果'!$BG$5:$BG$404,0)),"")</f>
        <v/>
      </c>
      <c r="L48">
        <f>IF(K48="","",COUNTIFS('04_調査結果'!$BE$5:$BE$404,K48,'04_調査結果'!$AZ$5:$AZ$404,"&gt;0"))</f>
        <v/>
      </c>
      <c r="M48" s="33">
        <f>IF(K48="","",SUMIFS('04_調査結果'!$AI$5:$AI$404,'04_調査結果'!$BE$5:$BE$404,K48,'04_調査結果'!$AZ$5:$AZ$404,"&gt;0"))</f>
        <v/>
      </c>
      <c r="N48">
        <f>IF(K48="","",COUNTIFS('04_調査結果'!$BE$5:$BE$404,K48,'04_調査結果'!$AZ$5:$AZ$404,"&gt;0",'04_調査結果'!$M$5:$M$404,"暗黙"))</f>
        <v/>
      </c>
      <c r="O48" s="33">
        <f>IF(K48="","",SUMIFS('04_調査結果'!$AI$5:$AI$404,'04_調査結果'!$BE$5:$BE$404,K48,'04_調査結果'!$AZ$5:$AZ$404,"&gt;0",'04_調査結果'!$AH$5:$AH$404,"自動化候補")+SUMIFS('04_調査結果'!$AI$5:$AI$404,'04_調査結果'!$BE$5:$BE$404,K48,'04_調査結果'!$AZ$5:$AZ$404,"&gt;0",'04_調査結果'!$AH$5:$AH$404,"オフショア候補")+SUMIFS('04_調査結果'!$AI$5:$AI$404,'04_調査結果'!$BE$5:$BE$404,K48,'04_調査結果'!$AZ$5:$AZ$404,"&gt;0",'04_調査結果'!$AH$5:$AH$404,"ニアショア候補"))</f>
        <v/>
      </c>
      <c r="P48">
        <f>IF(K48="","",IFERROR(INDEX('04_調査結果'!$F$5:$F$404,MATCH(K48,'04_調査結果'!$BE$5:$BE$404,0))&amp;"",""))</f>
        <v/>
      </c>
    </row>
    <row r="49">
      <c r="B49" s="34" t="n">
        <v>45</v>
      </c>
      <c r="C49">
        <f>IFERROR(INDEX('04_調査結果'!$BB$5:$BB$404,MATCH(B49,'04_調査結果'!$BD$5:$BD$404,0)),"")</f>
        <v/>
      </c>
      <c r="D49">
        <f>IF(C49="","",COUNTIFS('04_調査結果'!$BB$5:$BB$404,C49,'04_調査結果'!$AB$5:$AB$404,"OK"))</f>
        <v/>
      </c>
      <c r="E49">
        <f>IF(C49="","",INDEX($I$5:$I$104,MATCH(H49,$H$5:$H$104,0)))</f>
        <v/>
      </c>
      <c r="F49" s="31" t="n"/>
      <c r="G49">
        <f>IF(C49="","",IF(F49&lt;&gt;"",F49,E49))</f>
        <v/>
      </c>
      <c r="H49" s="34">
        <f>IF(C49="","",UPPER(SUBSTITUTE(SUBSTITUTE(SUBSTITUTE(SUBSTITUTE(SUBSTITUTE(SUBSTITUTE(SUBSTITUTE(SUBSTITUTE(SUBSTITUTE(SUBSTITUTE(SUBSTITUTE(ASC(C49),"株式会社",""),"有限会社",""),"合同会社",""),"(株)",""),"(有)",""),"(同)",""),"㈱",""),"㈲",""),"様",""),"御中","")," ","")))</f>
        <v/>
      </c>
      <c r="I49" s="34">
        <f>IF(C49="","",TRIM(SUBSTITUTE(SUBSTITUTE(SUBSTITUTE(SUBSTITUTE(SUBSTITUTE(SUBSTITUTE(SUBSTITUTE(SUBSTITUTE(SUBSTITUTE(SUBSTITUTE(SUBSTITUTE(C49,"株式会社",""),"有限会社",""),"合同会社",""),"(株)",""),"（株）",""),"㈱",""),"(有)",""),"（有）",""),"㈲",""),"様",""),"御中","")))</f>
        <v/>
      </c>
      <c r="J49">
        <f>IF(OR(K49="",M49=""),"",RANK(M49,$M$5:$M$104))</f>
        <v/>
      </c>
      <c r="K49">
        <f>IFERROR(INDEX('04_調査結果'!$BE$5:$BE$404,MATCH((ROW()-5),'04_調査結果'!$BG$5:$BG$404,0)),"")</f>
        <v/>
      </c>
      <c r="L49">
        <f>IF(K49="","",COUNTIFS('04_調査結果'!$BE$5:$BE$404,K49,'04_調査結果'!$AZ$5:$AZ$404,"&gt;0"))</f>
        <v/>
      </c>
      <c r="M49" s="33">
        <f>IF(K49="","",SUMIFS('04_調査結果'!$AI$5:$AI$404,'04_調査結果'!$BE$5:$BE$404,K49,'04_調査結果'!$AZ$5:$AZ$404,"&gt;0"))</f>
        <v/>
      </c>
      <c r="N49">
        <f>IF(K49="","",COUNTIFS('04_調査結果'!$BE$5:$BE$404,K49,'04_調査結果'!$AZ$5:$AZ$404,"&gt;0",'04_調査結果'!$M$5:$M$404,"暗黙"))</f>
        <v/>
      </c>
      <c r="O49" s="33">
        <f>IF(K49="","",SUMIFS('04_調査結果'!$AI$5:$AI$404,'04_調査結果'!$BE$5:$BE$404,K49,'04_調査結果'!$AZ$5:$AZ$404,"&gt;0",'04_調査結果'!$AH$5:$AH$404,"自動化候補")+SUMIFS('04_調査結果'!$AI$5:$AI$404,'04_調査結果'!$BE$5:$BE$404,K49,'04_調査結果'!$AZ$5:$AZ$404,"&gt;0",'04_調査結果'!$AH$5:$AH$404,"オフショア候補")+SUMIFS('04_調査結果'!$AI$5:$AI$404,'04_調査結果'!$BE$5:$BE$404,K49,'04_調査結果'!$AZ$5:$AZ$404,"&gt;0",'04_調査結果'!$AH$5:$AH$404,"ニアショア候補"))</f>
        <v/>
      </c>
      <c r="P49">
        <f>IF(K49="","",IFERROR(INDEX('04_調査結果'!$F$5:$F$404,MATCH(K49,'04_調査結果'!$BE$5:$BE$404,0))&amp;"",""))</f>
        <v/>
      </c>
    </row>
    <row r="50">
      <c r="B50" s="34" t="n">
        <v>46</v>
      </c>
      <c r="C50">
        <f>IFERROR(INDEX('04_調査結果'!$BB$5:$BB$404,MATCH(B50,'04_調査結果'!$BD$5:$BD$404,0)),"")</f>
        <v/>
      </c>
      <c r="D50">
        <f>IF(C50="","",COUNTIFS('04_調査結果'!$BB$5:$BB$404,C50,'04_調査結果'!$AB$5:$AB$404,"OK"))</f>
        <v/>
      </c>
      <c r="E50">
        <f>IF(C50="","",INDEX($I$5:$I$104,MATCH(H50,$H$5:$H$104,0)))</f>
        <v/>
      </c>
      <c r="F50" s="31" t="n"/>
      <c r="G50">
        <f>IF(C50="","",IF(F50&lt;&gt;"",F50,E50))</f>
        <v/>
      </c>
      <c r="H50" s="34">
        <f>IF(C50="","",UPPER(SUBSTITUTE(SUBSTITUTE(SUBSTITUTE(SUBSTITUTE(SUBSTITUTE(SUBSTITUTE(SUBSTITUTE(SUBSTITUTE(SUBSTITUTE(SUBSTITUTE(SUBSTITUTE(ASC(C50),"株式会社",""),"有限会社",""),"合同会社",""),"(株)",""),"(有)",""),"(同)",""),"㈱",""),"㈲",""),"様",""),"御中","")," ","")))</f>
        <v/>
      </c>
      <c r="I50" s="34">
        <f>IF(C50="","",TRIM(SUBSTITUTE(SUBSTITUTE(SUBSTITUTE(SUBSTITUTE(SUBSTITUTE(SUBSTITUTE(SUBSTITUTE(SUBSTITUTE(SUBSTITUTE(SUBSTITUTE(SUBSTITUTE(C50,"株式会社",""),"有限会社",""),"合同会社",""),"(株)",""),"（株）",""),"㈱",""),"(有)",""),"（有）",""),"㈲",""),"様",""),"御中","")))</f>
        <v/>
      </c>
      <c r="J50">
        <f>IF(OR(K50="",M50=""),"",RANK(M50,$M$5:$M$104))</f>
        <v/>
      </c>
      <c r="K50">
        <f>IFERROR(INDEX('04_調査結果'!$BE$5:$BE$404,MATCH((ROW()-5),'04_調査結果'!$BG$5:$BG$404,0)),"")</f>
        <v/>
      </c>
      <c r="L50">
        <f>IF(K50="","",COUNTIFS('04_調査結果'!$BE$5:$BE$404,K50,'04_調査結果'!$AZ$5:$AZ$404,"&gt;0"))</f>
        <v/>
      </c>
      <c r="M50" s="33">
        <f>IF(K50="","",SUMIFS('04_調査結果'!$AI$5:$AI$404,'04_調査結果'!$BE$5:$BE$404,K50,'04_調査結果'!$AZ$5:$AZ$404,"&gt;0"))</f>
        <v/>
      </c>
      <c r="N50">
        <f>IF(K50="","",COUNTIFS('04_調査結果'!$BE$5:$BE$404,K50,'04_調査結果'!$AZ$5:$AZ$404,"&gt;0",'04_調査結果'!$M$5:$M$404,"暗黙"))</f>
        <v/>
      </c>
      <c r="O50" s="33">
        <f>IF(K50="","",SUMIFS('04_調査結果'!$AI$5:$AI$404,'04_調査結果'!$BE$5:$BE$404,K50,'04_調査結果'!$AZ$5:$AZ$404,"&gt;0",'04_調査結果'!$AH$5:$AH$404,"自動化候補")+SUMIFS('04_調査結果'!$AI$5:$AI$404,'04_調査結果'!$BE$5:$BE$404,K50,'04_調査結果'!$AZ$5:$AZ$404,"&gt;0",'04_調査結果'!$AH$5:$AH$404,"オフショア候補")+SUMIFS('04_調査結果'!$AI$5:$AI$404,'04_調査結果'!$BE$5:$BE$404,K50,'04_調査結果'!$AZ$5:$AZ$404,"&gt;0",'04_調査結果'!$AH$5:$AH$404,"ニアショア候補"))</f>
        <v/>
      </c>
      <c r="P50">
        <f>IF(K50="","",IFERROR(INDEX('04_調査結果'!$F$5:$F$404,MATCH(K50,'04_調査結果'!$BE$5:$BE$404,0))&amp;"",""))</f>
        <v/>
      </c>
    </row>
    <row r="51">
      <c r="B51" s="34" t="n">
        <v>47</v>
      </c>
      <c r="C51">
        <f>IFERROR(INDEX('04_調査結果'!$BB$5:$BB$404,MATCH(B51,'04_調査結果'!$BD$5:$BD$404,0)),"")</f>
        <v/>
      </c>
      <c r="D51">
        <f>IF(C51="","",COUNTIFS('04_調査結果'!$BB$5:$BB$404,C51,'04_調査結果'!$AB$5:$AB$404,"OK"))</f>
        <v/>
      </c>
      <c r="E51">
        <f>IF(C51="","",INDEX($I$5:$I$104,MATCH(H51,$H$5:$H$104,0)))</f>
        <v/>
      </c>
      <c r="F51" s="31" t="n"/>
      <c r="G51">
        <f>IF(C51="","",IF(F51&lt;&gt;"",F51,E51))</f>
        <v/>
      </c>
      <c r="H51" s="34">
        <f>IF(C51="","",UPPER(SUBSTITUTE(SUBSTITUTE(SUBSTITUTE(SUBSTITUTE(SUBSTITUTE(SUBSTITUTE(SUBSTITUTE(SUBSTITUTE(SUBSTITUTE(SUBSTITUTE(SUBSTITUTE(ASC(C51),"株式会社",""),"有限会社",""),"合同会社",""),"(株)",""),"(有)",""),"(同)",""),"㈱",""),"㈲",""),"様",""),"御中","")," ","")))</f>
        <v/>
      </c>
      <c r="I51" s="34">
        <f>IF(C51="","",TRIM(SUBSTITUTE(SUBSTITUTE(SUBSTITUTE(SUBSTITUTE(SUBSTITUTE(SUBSTITUTE(SUBSTITUTE(SUBSTITUTE(SUBSTITUTE(SUBSTITUTE(SUBSTITUTE(C51,"株式会社",""),"有限会社",""),"合同会社",""),"(株)",""),"（株）",""),"㈱",""),"(有)",""),"（有）",""),"㈲",""),"様",""),"御中","")))</f>
        <v/>
      </c>
      <c r="J51">
        <f>IF(OR(K51="",M51=""),"",RANK(M51,$M$5:$M$104))</f>
        <v/>
      </c>
      <c r="K51">
        <f>IFERROR(INDEX('04_調査結果'!$BE$5:$BE$404,MATCH((ROW()-5),'04_調査結果'!$BG$5:$BG$404,0)),"")</f>
        <v/>
      </c>
      <c r="L51">
        <f>IF(K51="","",COUNTIFS('04_調査結果'!$BE$5:$BE$404,K51,'04_調査結果'!$AZ$5:$AZ$404,"&gt;0"))</f>
        <v/>
      </c>
      <c r="M51" s="33">
        <f>IF(K51="","",SUMIFS('04_調査結果'!$AI$5:$AI$404,'04_調査結果'!$BE$5:$BE$404,K51,'04_調査結果'!$AZ$5:$AZ$404,"&gt;0"))</f>
        <v/>
      </c>
      <c r="N51">
        <f>IF(K51="","",COUNTIFS('04_調査結果'!$BE$5:$BE$404,K51,'04_調査結果'!$AZ$5:$AZ$404,"&gt;0",'04_調査結果'!$M$5:$M$404,"暗黙"))</f>
        <v/>
      </c>
      <c r="O51" s="33">
        <f>IF(K51="","",SUMIFS('04_調査結果'!$AI$5:$AI$404,'04_調査結果'!$BE$5:$BE$404,K51,'04_調査結果'!$AZ$5:$AZ$404,"&gt;0",'04_調査結果'!$AH$5:$AH$404,"自動化候補")+SUMIFS('04_調査結果'!$AI$5:$AI$404,'04_調査結果'!$BE$5:$BE$404,K51,'04_調査結果'!$AZ$5:$AZ$404,"&gt;0",'04_調査結果'!$AH$5:$AH$404,"オフショア候補")+SUMIFS('04_調査結果'!$AI$5:$AI$404,'04_調査結果'!$BE$5:$BE$404,K51,'04_調査結果'!$AZ$5:$AZ$404,"&gt;0",'04_調査結果'!$AH$5:$AH$404,"ニアショア候補"))</f>
        <v/>
      </c>
      <c r="P51">
        <f>IF(K51="","",IFERROR(INDEX('04_調査結果'!$F$5:$F$404,MATCH(K51,'04_調査結果'!$BE$5:$BE$404,0))&amp;"",""))</f>
        <v/>
      </c>
    </row>
    <row r="52">
      <c r="B52" s="34" t="n">
        <v>48</v>
      </c>
      <c r="C52">
        <f>IFERROR(INDEX('04_調査結果'!$BB$5:$BB$404,MATCH(B52,'04_調査結果'!$BD$5:$BD$404,0)),"")</f>
        <v/>
      </c>
      <c r="D52">
        <f>IF(C52="","",COUNTIFS('04_調査結果'!$BB$5:$BB$404,C52,'04_調査結果'!$AB$5:$AB$404,"OK"))</f>
        <v/>
      </c>
      <c r="E52">
        <f>IF(C52="","",INDEX($I$5:$I$104,MATCH(H52,$H$5:$H$104,0)))</f>
        <v/>
      </c>
      <c r="F52" s="31" t="n"/>
      <c r="G52">
        <f>IF(C52="","",IF(F52&lt;&gt;"",F52,E52))</f>
        <v/>
      </c>
      <c r="H52" s="34">
        <f>IF(C52="","",UPPER(SUBSTITUTE(SUBSTITUTE(SUBSTITUTE(SUBSTITUTE(SUBSTITUTE(SUBSTITUTE(SUBSTITUTE(SUBSTITUTE(SUBSTITUTE(SUBSTITUTE(SUBSTITUTE(ASC(C52),"株式会社",""),"有限会社",""),"合同会社",""),"(株)",""),"(有)",""),"(同)",""),"㈱",""),"㈲",""),"様",""),"御中","")," ","")))</f>
        <v/>
      </c>
      <c r="I52" s="34">
        <f>IF(C52="","",TRIM(SUBSTITUTE(SUBSTITUTE(SUBSTITUTE(SUBSTITUTE(SUBSTITUTE(SUBSTITUTE(SUBSTITUTE(SUBSTITUTE(SUBSTITUTE(SUBSTITUTE(SUBSTITUTE(C52,"株式会社",""),"有限会社",""),"合同会社",""),"(株)",""),"（株）",""),"㈱",""),"(有)",""),"（有）",""),"㈲",""),"様",""),"御中","")))</f>
        <v/>
      </c>
      <c r="J52">
        <f>IF(OR(K52="",M52=""),"",RANK(M52,$M$5:$M$104))</f>
        <v/>
      </c>
      <c r="K52">
        <f>IFERROR(INDEX('04_調査結果'!$BE$5:$BE$404,MATCH((ROW()-5),'04_調査結果'!$BG$5:$BG$404,0)),"")</f>
        <v/>
      </c>
      <c r="L52">
        <f>IF(K52="","",COUNTIFS('04_調査結果'!$BE$5:$BE$404,K52,'04_調査結果'!$AZ$5:$AZ$404,"&gt;0"))</f>
        <v/>
      </c>
      <c r="M52" s="33">
        <f>IF(K52="","",SUMIFS('04_調査結果'!$AI$5:$AI$404,'04_調査結果'!$BE$5:$BE$404,K52,'04_調査結果'!$AZ$5:$AZ$404,"&gt;0"))</f>
        <v/>
      </c>
      <c r="N52">
        <f>IF(K52="","",COUNTIFS('04_調査結果'!$BE$5:$BE$404,K52,'04_調査結果'!$AZ$5:$AZ$404,"&gt;0",'04_調査結果'!$M$5:$M$404,"暗黙"))</f>
        <v/>
      </c>
      <c r="O52" s="33">
        <f>IF(K52="","",SUMIFS('04_調査結果'!$AI$5:$AI$404,'04_調査結果'!$BE$5:$BE$404,K52,'04_調査結果'!$AZ$5:$AZ$404,"&gt;0",'04_調査結果'!$AH$5:$AH$404,"自動化候補")+SUMIFS('04_調査結果'!$AI$5:$AI$404,'04_調査結果'!$BE$5:$BE$404,K52,'04_調査結果'!$AZ$5:$AZ$404,"&gt;0",'04_調査結果'!$AH$5:$AH$404,"オフショア候補")+SUMIFS('04_調査結果'!$AI$5:$AI$404,'04_調査結果'!$BE$5:$BE$404,K52,'04_調査結果'!$AZ$5:$AZ$404,"&gt;0",'04_調査結果'!$AH$5:$AH$404,"ニアショア候補"))</f>
        <v/>
      </c>
      <c r="P52">
        <f>IF(K52="","",IFERROR(INDEX('04_調査結果'!$F$5:$F$404,MATCH(K52,'04_調査結果'!$BE$5:$BE$404,0))&amp;"",""))</f>
        <v/>
      </c>
    </row>
    <row r="53">
      <c r="B53" s="34" t="n">
        <v>49</v>
      </c>
      <c r="C53">
        <f>IFERROR(INDEX('04_調査結果'!$BB$5:$BB$404,MATCH(B53,'04_調査結果'!$BD$5:$BD$404,0)),"")</f>
        <v/>
      </c>
      <c r="D53">
        <f>IF(C53="","",COUNTIFS('04_調査結果'!$BB$5:$BB$404,C53,'04_調査結果'!$AB$5:$AB$404,"OK"))</f>
        <v/>
      </c>
      <c r="E53">
        <f>IF(C53="","",INDEX($I$5:$I$104,MATCH(H53,$H$5:$H$104,0)))</f>
        <v/>
      </c>
      <c r="F53" s="31" t="n"/>
      <c r="G53">
        <f>IF(C53="","",IF(F53&lt;&gt;"",F53,E53))</f>
        <v/>
      </c>
      <c r="H53" s="34">
        <f>IF(C53="","",UPPER(SUBSTITUTE(SUBSTITUTE(SUBSTITUTE(SUBSTITUTE(SUBSTITUTE(SUBSTITUTE(SUBSTITUTE(SUBSTITUTE(SUBSTITUTE(SUBSTITUTE(SUBSTITUTE(ASC(C53),"株式会社",""),"有限会社",""),"合同会社",""),"(株)",""),"(有)",""),"(同)",""),"㈱",""),"㈲",""),"様",""),"御中","")," ","")))</f>
        <v/>
      </c>
      <c r="I53" s="34">
        <f>IF(C53="","",TRIM(SUBSTITUTE(SUBSTITUTE(SUBSTITUTE(SUBSTITUTE(SUBSTITUTE(SUBSTITUTE(SUBSTITUTE(SUBSTITUTE(SUBSTITUTE(SUBSTITUTE(SUBSTITUTE(C53,"株式会社",""),"有限会社",""),"合同会社",""),"(株)",""),"（株）",""),"㈱",""),"(有)",""),"（有）",""),"㈲",""),"様",""),"御中","")))</f>
        <v/>
      </c>
      <c r="J53">
        <f>IF(OR(K53="",M53=""),"",RANK(M53,$M$5:$M$104))</f>
        <v/>
      </c>
      <c r="K53">
        <f>IFERROR(INDEX('04_調査結果'!$BE$5:$BE$404,MATCH((ROW()-5),'04_調査結果'!$BG$5:$BG$404,0)),"")</f>
        <v/>
      </c>
      <c r="L53">
        <f>IF(K53="","",COUNTIFS('04_調査結果'!$BE$5:$BE$404,K53,'04_調査結果'!$AZ$5:$AZ$404,"&gt;0"))</f>
        <v/>
      </c>
      <c r="M53" s="33">
        <f>IF(K53="","",SUMIFS('04_調査結果'!$AI$5:$AI$404,'04_調査結果'!$BE$5:$BE$404,K53,'04_調査結果'!$AZ$5:$AZ$404,"&gt;0"))</f>
        <v/>
      </c>
      <c r="N53">
        <f>IF(K53="","",COUNTIFS('04_調査結果'!$BE$5:$BE$404,K53,'04_調査結果'!$AZ$5:$AZ$404,"&gt;0",'04_調査結果'!$M$5:$M$404,"暗黙"))</f>
        <v/>
      </c>
      <c r="O53" s="33">
        <f>IF(K53="","",SUMIFS('04_調査結果'!$AI$5:$AI$404,'04_調査結果'!$BE$5:$BE$404,K53,'04_調査結果'!$AZ$5:$AZ$404,"&gt;0",'04_調査結果'!$AH$5:$AH$404,"自動化候補")+SUMIFS('04_調査結果'!$AI$5:$AI$404,'04_調査結果'!$BE$5:$BE$404,K53,'04_調査結果'!$AZ$5:$AZ$404,"&gt;0",'04_調査結果'!$AH$5:$AH$404,"オフショア候補")+SUMIFS('04_調査結果'!$AI$5:$AI$404,'04_調査結果'!$BE$5:$BE$404,K53,'04_調査結果'!$AZ$5:$AZ$404,"&gt;0",'04_調査結果'!$AH$5:$AH$404,"ニアショア候補"))</f>
        <v/>
      </c>
      <c r="P53">
        <f>IF(K53="","",IFERROR(INDEX('04_調査結果'!$F$5:$F$404,MATCH(K53,'04_調査結果'!$BE$5:$BE$404,0))&amp;"",""))</f>
        <v/>
      </c>
    </row>
    <row r="54">
      <c r="B54" s="34" t="n">
        <v>50</v>
      </c>
      <c r="C54">
        <f>IFERROR(INDEX('04_調査結果'!$BB$5:$BB$404,MATCH(B54,'04_調査結果'!$BD$5:$BD$404,0)),"")</f>
        <v/>
      </c>
      <c r="D54">
        <f>IF(C54="","",COUNTIFS('04_調査結果'!$BB$5:$BB$404,C54,'04_調査結果'!$AB$5:$AB$404,"OK"))</f>
        <v/>
      </c>
      <c r="E54">
        <f>IF(C54="","",INDEX($I$5:$I$104,MATCH(H54,$H$5:$H$104,0)))</f>
        <v/>
      </c>
      <c r="F54" s="31" t="n"/>
      <c r="G54">
        <f>IF(C54="","",IF(F54&lt;&gt;"",F54,E54))</f>
        <v/>
      </c>
      <c r="H54" s="34">
        <f>IF(C54="","",UPPER(SUBSTITUTE(SUBSTITUTE(SUBSTITUTE(SUBSTITUTE(SUBSTITUTE(SUBSTITUTE(SUBSTITUTE(SUBSTITUTE(SUBSTITUTE(SUBSTITUTE(SUBSTITUTE(ASC(C54),"株式会社",""),"有限会社",""),"合同会社",""),"(株)",""),"(有)",""),"(同)",""),"㈱",""),"㈲",""),"様",""),"御中","")," ","")))</f>
        <v/>
      </c>
      <c r="I54" s="34">
        <f>IF(C54="","",TRIM(SUBSTITUTE(SUBSTITUTE(SUBSTITUTE(SUBSTITUTE(SUBSTITUTE(SUBSTITUTE(SUBSTITUTE(SUBSTITUTE(SUBSTITUTE(SUBSTITUTE(SUBSTITUTE(C54,"株式会社",""),"有限会社",""),"合同会社",""),"(株)",""),"（株）",""),"㈱",""),"(有)",""),"（有）",""),"㈲",""),"様",""),"御中","")))</f>
        <v/>
      </c>
      <c r="J54">
        <f>IF(OR(K54="",M54=""),"",RANK(M54,$M$5:$M$104))</f>
        <v/>
      </c>
      <c r="K54">
        <f>IFERROR(INDEX('04_調査結果'!$BE$5:$BE$404,MATCH((ROW()-5),'04_調査結果'!$BG$5:$BG$404,0)),"")</f>
        <v/>
      </c>
      <c r="L54">
        <f>IF(K54="","",COUNTIFS('04_調査結果'!$BE$5:$BE$404,K54,'04_調査結果'!$AZ$5:$AZ$404,"&gt;0"))</f>
        <v/>
      </c>
      <c r="M54" s="33">
        <f>IF(K54="","",SUMIFS('04_調査結果'!$AI$5:$AI$404,'04_調査結果'!$BE$5:$BE$404,K54,'04_調査結果'!$AZ$5:$AZ$404,"&gt;0"))</f>
        <v/>
      </c>
      <c r="N54">
        <f>IF(K54="","",COUNTIFS('04_調査結果'!$BE$5:$BE$404,K54,'04_調査結果'!$AZ$5:$AZ$404,"&gt;0",'04_調査結果'!$M$5:$M$404,"暗黙"))</f>
        <v/>
      </c>
      <c r="O54" s="33">
        <f>IF(K54="","",SUMIFS('04_調査結果'!$AI$5:$AI$404,'04_調査結果'!$BE$5:$BE$404,K54,'04_調査結果'!$AZ$5:$AZ$404,"&gt;0",'04_調査結果'!$AH$5:$AH$404,"自動化候補")+SUMIFS('04_調査結果'!$AI$5:$AI$404,'04_調査結果'!$BE$5:$BE$404,K54,'04_調査結果'!$AZ$5:$AZ$404,"&gt;0",'04_調査結果'!$AH$5:$AH$404,"オフショア候補")+SUMIFS('04_調査結果'!$AI$5:$AI$404,'04_調査結果'!$BE$5:$BE$404,K54,'04_調査結果'!$AZ$5:$AZ$404,"&gt;0",'04_調査結果'!$AH$5:$AH$404,"ニアショア候補"))</f>
        <v/>
      </c>
      <c r="P54">
        <f>IF(K54="","",IFERROR(INDEX('04_調査結果'!$F$5:$F$404,MATCH(K54,'04_調査結果'!$BE$5:$BE$404,0))&amp;"",""))</f>
        <v/>
      </c>
    </row>
    <row r="55">
      <c r="B55" s="34" t="n">
        <v>51</v>
      </c>
      <c r="C55">
        <f>IFERROR(INDEX('04_調査結果'!$BB$5:$BB$404,MATCH(B55,'04_調査結果'!$BD$5:$BD$404,0)),"")</f>
        <v/>
      </c>
      <c r="D55">
        <f>IF(C55="","",COUNTIFS('04_調査結果'!$BB$5:$BB$404,C55,'04_調査結果'!$AB$5:$AB$404,"OK"))</f>
        <v/>
      </c>
      <c r="E55">
        <f>IF(C55="","",INDEX($I$5:$I$104,MATCH(H55,$H$5:$H$104,0)))</f>
        <v/>
      </c>
      <c r="F55" s="31" t="n"/>
      <c r="G55">
        <f>IF(C55="","",IF(F55&lt;&gt;"",F55,E55))</f>
        <v/>
      </c>
      <c r="H55" s="34">
        <f>IF(C55="","",UPPER(SUBSTITUTE(SUBSTITUTE(SUBSTITUTE(SUBSTITUTE(SUBSTITUTE(SUBSTITUTE(SUBSTITUTE(SUBSTITUTE(SUBSTITUTE(SUBSTITUTE(SUBSTITUTE(ASC(C55),"株式会社",""),"有限会社",""),"合同会社",""),"(株)",""),"(有)",""),"(同)",""),"㈱",""),"㈲",""),"様",""),"御中","")," ","")))</f>
        <v/>
      </c>
      <c r="I55" s="34">
        <f>IF(C55="","",TRIM(SUBSTITUTE(SUBSTITUTE(SUBSTITUTE(SUBSTITUTE(SUBSTITUTE(SUBSTITUTE(SUBSTITUTE(SUBSTITUTE(SUBSTITUTE(SUBSTITUTE(SUBSTITUTE(C55,"株式会社",""),"有限会社",""),"合同会社",""),"(株)",""),"（株）",""),"㈱",""),"(有)",""),"（有）",""),"㈲",""),"様",""),"御中","")))</f>
        <v/>
      </c>
      <c r="J55">
        <f>IF(OR(K55="",M55=""),"",RANK(M55,$M$5:$M$104))</f>
        <v/>
      </c>
      <c r="K55">
        <f>IFERROR(INDEX('04_調査結果'!$BE$5:$BE$404,MATCH((ROW()-5),'04_調査結果'!$BG$5:$BG$404,0)),"")</f>
        <v/>
      </c>
      <c r="L55">
        <f>IF(K55="","",COUNTIFS('04_調査結果'!$BE$5:$BE$404,K55,'04_調査結果'!$AZ$5:$AZ$404,"&gt;0"))</f>
        <v/>
      </c>
      <c r="M55" s="33">
        <f>IF(K55="","",SUMIFS('04_調査結果'!$AI$5:$AI$404,'04_調査結果'!$BE$5:$BE$404,K55,'04_調査結果'!$AZ$5:$AZ$404,"&gt;0"))</f>
        <v/>
      </c>
      <c r="N55">
        <f>IF(K55="","",COUNTIFS('04_調査結果'!$BE$5:$BE$404,K55,'04_調査結果'!$AZ$5:$AZ$404,"&gt;0",'04_調査結果'!$M$5:$M$404,"暗黙"))</f>
        <v/>
      </c>
      <c r="O55" s="33">
        <f>IF(K55="","",SUMIFS('04_調査結果'!$AI$5:$AI$404,'04_調査結果'!$BE$5:$BE$404,K55,'04_調査結果'!$AZ$5:$AZ$404,"&gt;0",'04_調査結果'!$AH$5:$AH$404,"自動化候補")+SUMIFS('04_調査結果'!$AI$5:$AI$404,'04_調査結果'!$BE$5:$BE$404,K55,'04_調査結果'!$AZ$5:$AZ$404,"&gt;0",'04_調査結果'!$AH$5:$AH$404,"オフショア候補")+SUMIFS('04_調査結果'!$AI$5:$AI$404,'04_調査結果'!$BE$5:$BE$404,K55,'04_調査結果'!$AZ$5:$AZ$404,"&gt;0",'04_調査結果'!$AH$5:$AH$404,"ニアショア候補"))</f>
        <v/>
      </c>
      <c r="P55">
        <f>IF(K55="","",IFERROR(INDEX('04_調査結果'!$F$5:$F$404,MATCH(K55,'04_調査結果'!$BE$5:$BE$404,0))&amp;"",""))</f>
        <v/>
      </c>
    </row>
    <row r="56">
      <c r="B56" s="34" t="n">
        <v>52</v>
      </c>
      <c r="C56">
        <f>IFERROR(INDEX('04_調査結果'!$BB$5:$BB$404,MATCH(B56,'04_調査結果'!$BD$5:$BD$404,0)),"")</f>
        <v/>
      </c>
      <c r="D56">
        <f>IF(C56="","",COUNTIFS('04_調査結果'!$BB$5:$BB$404,C56,'04_調査結果'!$AB$5:$AB$404,"OK"))</f>
        <v/>
      </c>
      <c r="E56">
        <f>IF(C56="","",INDEX($I$5:$I$104,MATCH(H56,$H$5:$H$104,0)))</f>
        <v/>
      </c>
      <c r="F56" s="31" t="n"/>
      <c r="G56">
        <f>IF(C56="","",IF(F56&lt;&gt;"",F56,E56))</f>
        <v/>
      </c>
      <c r="H56" s="34">
        <f>IF(C56="","",UPPER(SUBSTITUTE(SUBSTITUTE(SUBSTITUTE(SUBSTITUTE(SUBSTITUTE(SUBSTITUTE(SUBSTITUTE(SUBSTITUTE(SUBSTITUTE(SUBSTITUTE(SUBSTITUTE(ASC(C56),"株式会社",""),"有限会社",""),"合同会社",""),"(株)",""),"(有)",""),"(同)",""),"㈱",""),"㈲",""),"様",""),"御中","")," ","")))</f>
        <v/>
      </c>
      <c r="I56" s="34">
        <f>IF(C56="","",TRIM(SUBSTITUTE(SUBSTITUTE(SUBSTITUTE(SUBSTITUTE(SUBSTITUTE(SUBSTITUTE(SUBSTITUTE(SUBSTITUTE(SUBSTITUTE(SUBSTITUTE(SUBSTITUTE(C56,"株式会社",""),"有限会社",""),"合同会社",""),"(株)",""),"（株）",""),"㈱",""),"(有)",""),"（有）",""),"㈲",""),"様",""),"御中","")))</f>
        <v/>
      </c>
      <c r="J56">
        <f>IF(OR(K56="",M56=""),"",RANK(M56,$M$5:$M$104))</f>
        <v/>
      </c>
      <c r="K56">
        <f>IFERROR(INDEX('04_調査結果'!$BE$5:$BE$404,MATCH((ROW()-5),'04_調査結果'!$BG$5:$BG$404,0)),"")</f>
        <v/>
      </c>
      <c r="L56">
        <f>IF(K56="","",COUNTIFS('04_調査結果'!$BE$5:$BE$404,K56,'04_調査結果'!$AZ$5:$AZ$404,"&gt;0"))</f>
        <v/>
      </c>
      <c r="M56" s="33">
        <f>IF(K56="","",SUMIFS('04_調査結果'!$AI$5:$AI$404,'04_調査結果'!$BE$5:$BE$404,K56,'04_調査結果'!$AZ$5:$AZ$404,"&gt;0"))</f>
        <v/>
      </c>
      <c r="N56">
        <f>IF(K56="","",COUNTIFS('04_調査結果'!$BE$5:$BE$404,K56,'04_調査結果'!$AZ$5:$AZ$404,"&gt;0",'04_調査結果'!$M$5:$M$404,"暗黙"))</f>
        <v/>
      </c>
      <c r="O56" s="33">
        <f>IF(K56="","",SUMIFS('04_調査結果'!$AI$5:$AI$404,'04_調査結果'!$BE$5:$BE$404,K56,'04_調査結果'!$AZ$5:$AZ$404,"&gt;0",'04_調査結果'!$AH$5:$AH$404,"自動化候補")+SUMIFS('04_調査結果'!$AI$5:$AI$404,'04_調査結果'!$BE$5:$BE$404,K56,'04_調査結果'!$AZ$5:$AZ$404,"&gt;0",'04_調査結果'!$AH$5:$AH$404,"オフショア候補")+SUMIFS('04_調査結果'!$AI$5:$AI$404,'04_調査結果'!$BE$5:$BE$404,K56,'04_調査結果'!$AZ$5:$AZ$404,"&gt;0",'04_調査結果'!$AH$5:$AH$404,"ニアショア候補"))</f>
        <v/>
      </c>
      <c r="P56">
        <f>IF(K56="","",IFERROR(INDEX('04_調査結果'!$F$5:$F$404,MATCH(K56,'04_調査結果'!$BE$5:$BE$404,0))&amp;"",""))</f>
        <v/>
      </c>
    </row>
    <row r="57">
      <c r="B57" s="34" t="n">
        <v>53</v>
      </c>
      <c r="C57">
        <f>IFERROR(INDEX('04_調査結果'!$BB$5:$BB$404,MATCH(B57,'04_調査結果'!$BD$5:$BD$404,0)),"")</f>
        <v/>
      </c>
      <c r="D57">
        <f>IF(C57="","",COUNTIFS('04_調査結果'!$BB$5:$BB$404,C57,'04_調査結果'!$AB$5:$AB$404,"OK"))</f>
        <v/>
      </c>
      <c r="E57">
        <f>IF(C57="","",INDEX($I$5:$I$104,MATCH(H57,$H$5:$H$104,0)))</f>
        <v/>
      </c>
      <c r="F57" s="31" t="n"/>
      <c r="G57">
        <f>IF(C57="","",IF(F57&lt;&gt;"",F57,E57))</f>
        <v/>
      </c>
      <c r="H57" s="34">
        <f>IF(C57="","",UPPER(SUBSTITUTE(SUBSTITUTE(SUBSTITUTE(SUBSTITUTE(SUBSTITUTE(SUBSTITUTE(SUBSTITUTE(SUBSTITUTE(SUBSTITUTE(SUBSTITUTE(SUBSTITUTE(ASC(C57),"株式会社",""),"有限会社",""),"合同会社",""),"(株)",""),"(有)",""),"(同)",""),"㈱",""),"㈲",""),"様",""),"御中","")," ","")))</f>
        <v/>
      </c>
      <c r="I57" s="34">
        <f>IF(C57="","",TRIM(SUBSTITUTE(SUBSTITUTE(SUBSTITUTE(SUBSTITUTE(SUBSTITUTE(SUBSTITUTE(SUBSTITUTE(SUBSTITUTE(SUBSTITUTE(SUBSTITUTE(SUBSTITUTE(C57,"株式会社",""),"有限会社",""),"合同会社",""),"(株)",""),"（株）",""),"㈱",""),"(有)",""),"（有）",""),"㈲",""),"様",""),"御中","")))</f>
        <v/>
      </c>
      <c r="J57">
        <f>IF(OR(K57="",M57=""),"",RANK(M57,$M$5:$M$104))</f>
        <v/>
      </c>
      <c r="K57">
        <f>IFERROR(INDEX('04_調査結果'!$BE$5:$BE$404,MATCH((ROW()-5),'04_調査結果'!$BG$5:$BG$404,0)),"")</f>
        <v/>
      </c>
      <c r="L57">
        <f>IF(K57="","",COUNTIFS('04_調査結果'!$BE$5:$BE$404,K57,'04_調査結果'!$AZ$5:$AZ$404,"&gt;0"))</f>
        <v/>
      </c>
      <c r="M57" s="33">
        <f>IF(K57="","",SUMIFS('04_調査結果'!$AI$5:$AI$404,'04_調査結果'!$BE$5:$BE$404,K57,'04_調査結果'!$AZ$5:$AZ$404,"&gt;0"))</f>
        <v/>
      </c>
      <c r="N57">
        <f>IF(K57="","",COUNTIFS('04_調査結果'!$BE$5:$BE$404,K57,'04_調査結果'!$AZ$5:$AZ$404,"&gt;0",'04_調査結果'!$M$5:$M$404,"暗黙"))</f>
        <v/>
      </c>
      <c r="O57" s="33">
        <f>IF(K57="","",SUMIFS('04_調査結果'!$AI$5:$AI$404,'04_調査結果'!$BE$5:$BE$404,K57,'04_調査結果'!$AZ$5:$AZ$404,"&gt;0",'04_調査結果'!$AH$5:$AH$404,"自動化候補")+SUMIFS('04_調査結果'!$AI$5:$AI$404,'04_調査結果'!$BE$5:$BE$404,K57,'04_調査結果'!$AZ$5:$AZ$404,"&gt;0",'04_調査結果'!$AH$5:$AH$404,"オフショア候補")+SUMIFS('04_調査結果'!$AI$5:$AI$404,'04_調査結果'!$BE$5:$BE$404,K57,'04_調査結果'!$AZ$5:$AZ$404,"&gt;0",'04_調査結果'!$AH$5:$AH$404,"ニアショア候補"))</f>
        <v/>
      </c>
      <c r="P57">
        <f>IF(K57="","",IFERROR(INDEX('04_調査結果'!$F$5:$F$404,MATCH(K57,'04_調査結果'!$BE$5:$BE$404,0))&amp;"",""))</f>
        <v/>
      </c>
    </row>
    <row r="58">
      <c r="B58" s="34" t="n">
        <v>54</v>
      </c>
      <c r="C58">
        <f>IFERROR(INDEX('04_調査結果'!$BB$5:$BB$404,MATCH(B58,'04_調査結果'!$BD$5:$BD$404,0)),"")</f>
        <v/>
      </c>
      <c r="D58">
        <f>IF(C58="","",COUNTIFS('04_調査結果'!$BB$5:$BB$404,C58,'04_調査結果'!$AB$5:$AB$404,"OK"))</f>
        <v/>
      </c>
      <c r="E58">
        <f>IF(C58="","",INDEX($I$5:$I$104,MATCH(H58,$H$5:$H$104,0)))</f>
        <v/>
      </c>
      <c r="F58" s="31" t="n"/>
      <c r="G58">
        <f>IF(C58="","",IF(F58&lt;&gt;"",F58,E58))</f>
        <v/>
      </c>
      <c r="H58" s="34">
        <f>IF(C58="","",UPPER(SUBSTITUTE(SUBSTITUTE(SUBSTITUTE(SUBSTITUTE(SUBSTITUTE(SUBSTITUTE(SUBSTITUTE(SUBSTITUTE(SUBSTITUTE(SUBSTITUTE(SUBSTITUTE(ASC(C58),"株式会社",""),"有限会社",""),"合同会社",""),"(株)",""),"(有)",""),"(同)",""),"㈱",""),"㈲",""),"様",""),"御中","")," ","")))</f>
        <v/>
      </c>
      <c r="I58" s="34">
        <f>IF(C58="","",TRIM(SUBSTITUTE(SUBSTITUTE(SUBSTITUTE(SUBSTITUTE(SUBSTITUTE(SUBSTITUTE(SUBSTITUTE(SUBSTITUTE(SUBSTITUTE(SUBSTITUTE(SUBSTITUTE(C58,"株式会社",""),"有限会社",""),"合同会社",""),"(株)",""),"（株）",""),"㈱",""),"(有)",""),"（有）",""),"㈲",""),"様",""),"御中","")))</f>
        <v/>
      </c>
      <c r="J58">
        <f>IF(OR(K58="",M58=""),"",RANK(M58,$M$5:$M$104))</f>
        <v/>
      </c>
      <c r="K58">
        <f>IFERROR(INDEX('04_調査結果'!$BE$5:$BE$404,MATCH((ROW()-5),'04_調査結果'!$BG$5:$BG$404,0)),"")</f>
        <v/>
      </c>
      <c r="L58">
        <f>IF(K58="","",COUNTIFS('04_調査結果'!$BE$5:$BE$404,K58,'04_調査結果'!$AZ$5:$AZ$404,"&gt;0"))</f>
        <v/>
      </c>
      <c r="M58" s="33">
        <f>IF(K58="","",SUMIFS('04_調査結果'!$AI$5:$AI$404,'04_調査結果'!$BE$5:$BE$404,K58,'04_調査結果'!$AZ$5:$AZ$404,"&gt;0"))</f>
        <v/>
      </c>
      <c r="N58">
        <f>IF(K58="","",COUNTIFS('04_調査結果'!$BE$5:$BE$404,K58,'04_調査結果'!$AZ$5:$AZ$404,"&gt;0",'04_調査結果'!$M$5:$M$404,"暗黙"))</f>
        <v/>
      </c>
      <c r="O58" s="33">
        <f>IF(K58="","",SUMIFS('04_調査結果'!$AI$5:$AI$404,'04_調査結果'!$BE$5:$BE$404,K58,'04_調査結果'!$AZ$5:$AZ$404,"&gt;0",'04_調査結果'!$AH$5:$AH$404,"自動化候補")+SUMIFS('04_調査結果'!$AI$5:$AI$404,'04_調査結果'!$BE$5:$BE$404,K58,'04_調査結果'!$AZ$5:$AZ$404,"&gt;0",'04_調査結果'!$AH$5:$AH$404,"オフショア候補")+SUMIFS('04_調査結果'!$AI$5:$AI$404,'04_調査結果'!$BE$5:$BE$404,K58,'04_調査結果'!$AZ$5:$AZ$404,"&gt;0",'04_調査結果'!$AH$5:$AH$404,"ニアショア候補"))</f>
        <v/>
      </c>
      <c r="P58">
        <f>IF(K58="","",IFERROR(INDEX('04_調査結果'!$F$5:$F$404,MATCH(K58,'04_調査結果'!$BE$5:$BE$404,0))&amp;"",""))</f>
        <v/>
      </c>
    </row>
    <row r="59">
      <c r="B59" s="34" t="n">
        <v>55</v>
      </c>
      <c r="C59">
        <f>IFERROR(INDEX('04_調査結果'!$BB$5:$BB$404,MATCH(B59,'04_調査結果'!$BD$5:$BD$404,0)),"")</f>
        <v/>
      </c>
      <c r="D59">
        <f>IF(C59="","",COUNTIFS('04_調査結果'!$BB$5:$BB$404,C59,'04_調査結果'!$AB$5:$AB$404,"OK"))</f>
        <v/>
      </c>
      <c r="E59">
        <f>IF(C59="","",INDEX($I$5:$I$104,MATCH(H59,$H$5:$H$104,0)))</f>
        <v/>
      </c>
      <c r="F59" s="31" t="n"/>
      <c r="G59">
        <f>IF(C59="","",IF(F59&lt;&gt;"",F59,E59))</f>
        <v/>
      </c>
      <c r="H59" s="34">
        <f>IF(C59="","",UPPER(SUBSTITUTE(SUBSTITUTE(SUBSTITUTE(SUBSTITUTE(SUBSTITUTE(SUBSTITUTE(SUBSTITUTE(SUBSTITUTE(SUBSTITUTE(SUBSTITUTE(SUBSTITUTE(ASC(C59),"株式会社",""),"有限会社",""),"合同会社",""),"(株)",""),"(有)",""),"(同)",""),"㈱",""),"㈲",""),"様",""),"御中","")," ","")))</f>
        <v/>
      </c>
      <c r="I59" s="34">
        <f>IF(C59="","",TRIM(SUBSTITUTE(SUBSTITUTE(SUBSTITUTE(SUBSTITUTE(SUBSTITUTE(SUBSTITUTE(SUBSTITUTE(SUBSTITUTE(SUBSTITUTE(SUBSTITUTE(SUBSTITUTE(C59,"株式会社",""),"有限会社",""),"合同会社",""),"(株)",""),"（株）",""),"㈱",""),"(有)",""),"（有）",""),"㈲",""),"様",""),"御中","")))</f>
        <v/>
      </c>
      <c r="J59">
        <f>IF(OR(K59="",M59=""),"",RANK(M59,$M$5:$M$104))</f>
        <v/>
      </c>
      <c r="K59">
        <f>IFERROR(INDEX('04_調査結果'!$BE$5:$BE$404,MATCH((ROW()-5),'04_調査結果'!$BG$5:$BG$404,0)),"")</f>
        <v/>
      </c>
      <c r="L59">
        <f>IF(K59="","",COUNTIFS('04_調査結果'!$BE$5:$BE$404,K59,'04_調査結果'!$AZ$5:$AZ$404,"&gt;0"))</f>
        <v/>
      </c>
      <c r="M59" s="33">
        <f>IF(K59="","",SUMIFS('04_調査結果'!$AI$5:$AI$404,'04_調査結果'!$BE$5:$BE$404,K59,'04_調査結果'!$AZ$5:$AZ$404,"&gt;0"))</f>
        <v/>
      </c>
      <c r="N59">
        <f>IF(K59="","",COUNTIFS('04_調査結果'!$BE$5:$BE$404,K59,'04_調査結果'!$AZ$5:$AZ$404,"&gt;0",'04_調査結果'!$M$5:$M$404,"暗黙"))</f>
        <v/>
      </c>
      <c r="O59" s="33">
        <f>IF(K59="","",SUMIFS('04_調査結果'!$AI$5:$AI$404,'04_調査結果'!$BE$5:$BE$404,K59,'04_調査結果'!$AZ$5:$AZ$404,"&gt;0",'04_調査結果'!$AH$5:$AH$404,"自動化候補")+SUMIFS('04_調査結果'!$AI$5:$AI$404,'04_調査結果'!$BE$5:$BE$404,K59,'04_調査結果'!$AZ$5:$AZ$404,"&gt;0",'04_調査結果'!$AH$5:$AH$404,"オフショア候補")+SUMIFS('04_調査結果'!$AI$5:$AI$404,'04_調査結果'!$BE$5:$BE$404,K59,'04_調査結果'!$AZ$5:$AZ$404,"&gt;0",'04_調査結果'!$AH$5:$AH$404,"ニアショア候補"))</f>
        <v/>
      </c>
      <c r="P59">
        <f>IF(K59="","",IFERROR(INDEX('04_調査結果'!$F$5:$F$404,MATCH(K59,'04_調査結果'!$BE$5:$BE$404,0))&amp;"",""))</f>
        <v/>
      </c>
    </row>
    <row r="60">
      <c r="B60" s="34" t="n">
        <v>56</v>
      </c>
      <c r="C60">
        <f>IFERROR(INDEX('04_調査結果'!$BB$5:$BB$404,MATCH(B60,'04_調査結果'!$BD$5:$BD$404,0)),"")</f>
        <v/>
      </c>
      <c r="D60">
        <f>IF(C60="","",COUNTIFS('04_調査結果'!$BB$5:$BB$404,C60,'04_調査結果'!$AB$5:$AB$404,"OK"))</f>
        <v/>
      </c>
      <c r="E60">
        <f>IF(C60="","",INDEX($I$5:$I$104,MATCH(H60,$H$5:$H$104,0)))</f>
        <v/>
      </c>
      <c r="F60" s="31" t="n"/>
      <c r="G60">
        <f>IF(C60="","",IF(F60&lt;&gt;"",F60,E60))</f>
        <v/>
      </c>
      <c r="H60" s="34">
        <f>IF(C60="","",UPPER(SUBSTITUTE(SUBSTITUTE(SUBSTITUTE(SUBSTITUTE(SUBSTITUTE(SUBSTITUTE(SUBSTITUTE(SUBSTITUTE(SUBSTITUTE(SUBSTITUTE(SUBSTITUTE(ASC(C60),"株式会社",""),"有限会社",""),"合同会社",""),"(株)",""),"(有)",""),"(同)",""),"㈱",""),"㈲",""),"様",""),"御中","")," ","")))</f>
        <v/>
      </c>
      <c r="I60" s="34">
        <f>IF(C60="","",TRIM(SUBSTITUTE(SUBSTITUTE(SUBSTITUTE(SUBSTITUTE(SUBSTITUTE(SUBSTITUTE(SUBSTITUTE(SUBSTITUTE(SUBSTITUTE(SUBSTITUTE(SUBSTITUTE(C60,"株式会社",""),"有限会社",""),"合同会社",""),"(株)",""),"（株）",""),"㈱",""),"(有)",""),"（有）",""),"㈲",""),"様",""),"御中","")))</f>
        <v/>
      </c>
      <c r="J60">
        <f>IF(OR(K60="",M60=""),"",RANK(M60,$M$5:$M$104))</f>
        <v/>
      </c>
      <c r="K60">
        <f>IFERROR(INDEX('04_調査結果'!$BE$5:$BE$404,MATCH((ROW()-5),'04_調査結果'!$BG$5:$BG$404,0)),"")</f>
        <v/>
      </c>
      <c r="L60">
        <f>IF(K60="","",COUNTIFS('04_調査結果'!$BE$5:$BE$404,K60,'04_調査結果'!$AZ$5:$AZ$404,"&gt;0"))</f>
        <v/>
      </c>
      <c r="M60" s="33">
        <f>IF(K60="","",SUMIFS('04_調査結果'!$AI$5:$AI$404,'04_調査結果'!$BE$5:$BE$404,K60,'04_調査結果'!$AZ$5:$AZ$404,"&gt;0"))</f>
        <v/>
      </c>
      <c r="N60">
        <f>IF(K60="","",COUNTIFS('04_調査結果'!$BE$5:$BE$404,K60,'04_調査結果'!$AZ$5:$AZ$404,"&gt;0",'04_調査結果'!$M$5:$M$404,"暗黙"))</f>
        <v/>
      </c>
      <c r="O60" s="33">
        <f>IF(K60="","",SUMIFS('04_調査結果'!$AI$5:$AI$404,'04_調査結果'!$BE$5:$BE$404,K60,'04_調査結果'!$AZ$5:$AZ$404,"&gt;0",'04_調査結果'!$AH$5:$AH$404,"自動化候補")+SUMIFS('04_調査結果'!$AI$5:$AI$404,'04_調査結果'!$BE$5:$BE$404,K60,'04_調査結果'!$AZ$5:$AZ$404,"&gt;0",'04_調査結果'!$AH$5:$AH$404,"オフショア候補")+SUMIFS('04_調査結果'!$AI$5:$AI$404,'04_調査結果'!$BE$5:$BE$404,K60,'04_調査結果'!$AZ$5:$AZ$404,"&gt;0",'04_調査結果'!$AH$5:$AH$404,"ニアショア候補"))</f>
        <v/>
      </c>
      <c r="P60">
        <f>IF(K60="","",IFERROR(INDEX('04_調査結果'!$F$5:$F$404,MATCH(K60,'04_調査結果'!$BE$5:$BE$404,0))&amp;"",""))</f>
        <v/>
      </c>
    </row>
    <row r="61">
      <c r="B61" s="34" t="n">
        <v>57</v>
      </c>
      <c r="C61">
        <f>IFERROR(INDEX('04_調査結果'!$BB$5:$BB$404,MATCH(B61,'04_調査結果'!$BD$5:$BD$404,0)),"")</f>
        <v/>
      </c>
      <c r="D61">
        <f>IF(C61="","",COUNTIFS('04_調査結果'!$BB$5:$BB$404,C61,'04_調査結果'!$AB$5:$AB$404,"OK"))</f>
        <v/>
      </c>
      <c r="E61">
        <f>IF(C61="","",INDEX($I$5:$I$104,MATCH(H61,$H$5:$H$104,0)))</f>
        <v/>
      </c>
      <c r="F61" s="31" t="n"/>
      <c r="G61">
        <f>IF(C61="","",IF(F61&lt;&gt;"",F61,E61))</f>
        <v/>
      </c>
      <c r="H61" s="34">
        <f>IF(C61="","",UPPER(SUBSTITUTE(SUBSTITUTE(SUBSTITUTE(SUBSTITUTE(SUBSTITUTE(SUBSTITUTE(SUBSTITUTE(SUBSTITUTE(SUBSTITUTE(SUBSTITUTE(SUBSTITUTE(ASC(C61),"株式会社",""),"有限会社",""),"合同会社",""),"(株)",""),"(有)",""),"(同)",""),"㈱",""),"㈲",""),"様",""),"御中","")," ","")))</f>
        <v/>
      </c>
      <c r="I61" s="34">
        <f>IF(C61="","",TRIM(SUBSTITUTE(SUBSTITUTE(SUBSTITUTE(SUBSTITUTE(SUBSTITUTE(SUBSTITUTE(SUBSTITUTE(SUBSTITUTE(SUBSTITUTE(SUBSTITUTE(SUBSTITUTE(C61,"株式会社",""),"有限会社",""),"合同会社",""),"(株)",""),"（株）",""),"㈱",""),"(有)",""),"（有）",""),"㈲",""),"様",""),"御中","")))</f>
        <v/>
      </c>
      <c r="J61">
        <f>IF(OR(K61="",M61=""),"",RANK(M61,$M$5:$M$104))</f>
        <v/>
      </c>
      <c r="K61">
        <f>IFERROR(INDEX('04_調査結果'!$BE$5:$BE$404,MATCH((ROW()-5),'04_調査結果'!$BG$5:$BG$404,0)),"")</f>
        <v/>
      </c>
      <c r="L61">
        <f>IF(K61="","",COUNTIFS('04_調査結果'!$BE$5:$BE$404,K61,'04_調査結果'!$AZ$5:$AZ$404,"&gt;0"))</f>
        <v/>
      </c>
      <c r="M61" s="33">
        <f>IF(K61="","",SUMIFS('04_調査結果'!$AI$5:$AI$404,'04_調査結果'!$BE$5:$BE$404,K61,'04_調査結果'!$AZ$5:$AZ$404,"&gt;0"))</f>
        <v/>
      </c>
      <c r="N61">
        <f>IF(K61="","",COUNTIFS('04_調査結果'!$BE$5:$BE$404,K61,'04_調査結果'!$AZ$5:$AZ$404,"&gt;0",'04_調査結果'!$M$5:$M$404,"暗黙"))</f>
        <v/>
      </c>
      <c r="O61" s="33">
        <f>IF(K61="","",SUMIFS('04_調査結果'!$AI$5:$AI$404,'04_調査結果'!$BE$5:$BE$404,K61,'04_調査結果'!$AZ$5:$AZ$404,"&gt;0",'04_調査結果'!$AH$5:$AH$404,"自動化候補")+SUMIFS('04_調査結果'!$AI$5:$AI$404,'04_調査結果'!$BE$5:$BE$404,K61,'04_調査結果'!$AZ$5:$AZ$404,"&gt;0",'04_調査結果'!$AH$5:$AH$404,"オフショア候補")+SUMIFS('04_調査結果'!$AI$5:$AI$404,'04_調査結果'!$BE$5:$BE$404,K61,'04_調査結果'!$AZ$5:$AZ$404,"&gt;0",'04_調査結果'!$AH$5:$AH$404,"ニアショア候補"))</f>
        <v/>
      </c>
      <c r="P61">
        <f>IF(K61="","",IFERROR(INDEX('04_調査結果'!$F$5:$F$404,MATCH(K61,'04_調査結果'!$BE$5:$BE$404,0))&amp;"",""))</f>
        <v/>
      </c>
    </row>
    <row r="62">
      <c r="B62" s="34" t="n">
        <v>58</v>
      </c>
      <c r="C62">
        <f>IFERROR(INDEX('04_調査結果'!$BB$5:$BB$404,MATCH(B62,'04_調査結果'!$BD$5:$BD$404,0)),"")</f>
        <v/>
      </c>
      <c r="D62">
        <f>IF(C62="","",COUNTIFS('04_調査結果'!$BB$5:$BB$404,C62,'04_調査結果'!$AB$5:$AB$404,"OK"))</f>
        <v/>
      </c>
      <c r="E62">
        <f>IF(C62="","",INDEX($I$5:$I$104,MATCH(H62,$H$5:$H$104,0)))</f>
        <v/>
      </c>
      <c r="F62" s="31" t="n"/>
      <c r="G62">
        <f>IF(C62="","",IF(F62&lt;&gt;"",F62,E62))</f>
        <v/>
      </c>
      <c r="H62" s="34">
        <f>IF(C62="","",UPPER(SUBSTITUTE(SUBSTITUTE(SUBSTITUTE(SUBSTITUTE(SUBSTITUTE(SUBSTITUTE(SUBSTITUTE(SUBSTITUTE(SUBSTITUTE(SUBSTITUTE(SUBSTITUTE(ASC(C62),"株式会社",""),"有限会社",""),"合同会社",""),"(株)",""),"(有)",""),"(同)",""),"㈱",""),"㈲",""),"様",""),"御中","")," ","")))</f>
        <v/>
      </c>
      <c r="I62" s="34">
        <f>IF(C62="","",TRIM(SUBSTITUTE(SUBSTITUTE(SUBSTITUTE(SUBSTITUTE(SUBSTITUTE(SUBSTITUTE(SUBSTITUTE(SUBSTITUTE(SUBSTITUTE(SUBSTITUTE(SUBSTITUTE(C62,"株式会社",""),"有限会社",""),"合同会社",""),"(株)",""),"（株）",""),"㈱",""),"(有)",""),"（有）",""),"㈲",""),"様",""),"御中","")))</f>
        <v/>
      </c>
      <c r="J62">
        <f>IF(OR(K62="",M62=""),"",RANK(M62,$M$5:$M$104))</f>
        <v/>
      </c>
      <c r="K62">
        <f>IFERROR(INDEX('04_調査結果'!$BE$5:$BE$404,MATCH((ROW()-5),'04_調査結果'!$BG$5:$BG$404,0)),"")</f>
        <v/>
      </c>
      <c r="L62">
        <f>IF(K62="","",COUNTIFS('04_調査結果'!$BE$5:$BE$404,K62,'04_調査結果'!$AZ$5:$AZ$404,"&gt;0"))</f>
        <v/>
      </c>
      <c r="M62" s="33">
        <f>IF(K62="","",SUMIFS('04_調査結果'!$AI$5:$AI$404,'04_調査結果'!$BE$5:$BE$404,K62,'04_調査結果'!$AZ$5:$AZ$404,"&gt;0"))</f>
        <v/>
      </c>
      <c r="N62">
        <f>IF(K62="","",COUNTIFS('04_調査結果'!$BE$5:$BE$404,K62,'04_調査結果'!$AZ$5:$AZ$404,"&gt;0",'04_調査結果'!$M$5:$M$404,"暗黙"))</f>
        <v/>
      </c>
      <c r="O62" s="33">
        <f>IF(K62="","",SUMIFS('04_調査結果'!$AI$5:$AI$404,'04_調査結果'!$BE$5:$BE$404,K62,'04_調査結果'!$AZ$5:$AZ$404,"&gt;0",'04_調査結果'!$AH$5:$AH$404,"自動化候補")+SUMIFS('04_調査結果'!$AI$5:$AI$404,'04_調査結果'!$BE$5:$BE$404,K62,'04_調査結果'!$AZ$5:$AZ$404,"&gt;0",'04_調査結果'!$AH$5:$AH$404,"オフショア候補")+SUMIFS('04_調査結果'!$AI$5:$AI$404,'04_調査結果'!$BE$5:$BE$404,K62,'04_調査結果'!$AZ$5:$AZ$404,"&gt;0",'04_調査結果'!$AH$5:$AH$404,"ニアショア候補"))</f>
        <v/>
      </c>
      <c r="P62">
        <f>IF(K62="","",IFERROR(INDEX('04_調査結果'!$F$5:$F$404,MATCH(K62,'04_調査結果'!$BE$5:$BE$404,0))&amp;"",""))</f>
        <v/>
      </c>
    </row>
    <row r="63">
      <c r="B63" s="34" t="n">
        <v>59</v>
      </c>
      <c r="C63">
        <f>IFERROR(INDEX('04_調査結果'!$BB$5:$BB$404,MATCH(B63,'04_調査結果'!$BD$5:$BD$404,0)),"")</f>
        <v/>
      </c>
      <c r="D63">
        <f>IF(C63="","",COUNTIFS('04_調査結果'!$BB$5:$BB$404,C63,'04_調査結果'!$AB$5:$AB$404,"OK"))</f>
        <v/>
      </c>
      <c r="E63">
        <f>IF(C63="","",INDEX($I$5:$I$104,MATCH(H63,$H$5:$H$104,0)))</f>
        <v/>
      </c>
      <c r="F63" s="31" t="n"/>
      <c r="G63">
        <f>IF(C63="","",IF(F63&lt;&gt;"",F63,E63))</f>
        <v/>
      </c>
      <c r="H63" s="34">
        <f>IF(C63="","",UPPER(SUBSTITUTE(SUBSTITUTE(SUBSTITUTE(SUBSTITUTE(SUBSTITUTE(SUBSTITUTE(SUBSTITUTE(SUBSTITUTE(SUBSTITUTE(SUBSTITUTE(SUBSTITUTE(ASC(C63),"株式会社",""),"有限会社",""),"合同会社",""),"(株)",""),"(有)",""),"(同)",""),"㈱",""),"㈲",""),"様",""),"御中","")," ","")))</f>
        <v/>
      </c>
      <c r="I63" s="34">
        <f>IF(C63="","",TRIM(SUBSTITUTE(SUBSTITUTE(SUBSTITUTE(SUBSTITUTE(SUBSTITUTE(SUBSTITUTE(SUBSTITUTE(SUBSTITUTE(SUBSTITUTE(SUBSTITUTE(SUBSTITUTE(C63,"株式会社",""),"有限会社",""),"合同会社",""),"(株)",""),"（株）",""),"㈱",""),"(有)",""),"（有）",""),"㈲",""),"様",""),"御中","")))</f>
        <v/>
      </c>
      <c r="J63">
        <f>IF(OR(K63="",M63=""),"",RANK(M63,$M$5:$M$104))</f>
        <v/>
      </c>
      <c r="K63">
        <f>IFERROR(INDEX('04_調査結果'!$BE$5:$BE$404,MATCH((ROW()-5),'04_調査結果'!$BG$5:$BG$404,0)),"")</f>
        <v/>
      </c>
      <c r="L63">
        <f>IF(K63="","",COUNTIFS('04_調査結果'!$BE$5:$BE$404,K63,'04_調査結果'!$AZ$5:$AZ$404,"&gt;0"))</f>
        <v/>
      </c>
      <c r="M63" s="33">
        <f>IF(K63="","",SUMIFS('04_調査結果'!$AI$5:$AI$404,'04_調査結果'!$BE$5:$BE$404,K63,'04_調査結果'!$AZ$5:$AZ$404,"&gt;0"))</f>
        <v/>
      </c>
      <c r="N63">
        <f>IF(K63="","",COUNTIFS('04_調査結果'!$BE$5:$BE$404,K63,'04_調査結果'!$AZ$5:$AZ$404,"&gt;0",'04_調査結果'!$M$5:$M$404,"暗黙"))</f>
        <v/>
      </c>
      <c r="O63" s="33">
        <f>IF(K63="","",SUMIFS('04_調査結果'!$AI$5:$AI$404,'04_調査結果'!$BE$5:$BE$404,K63,'04_調査結果'!$AZ$5:$AZ$404,"&gt;0",'04_調査結果'!$AH$5:$AH$404,"自動化候補")+SUMIFS('04_調査結果'!$AI$5:$AI$404,'04_調査結果'!$BE$5:$BE$404,K63,'04_調査結果'!$AZ$5:$AZ$404,"&gt;0",'04_調査結果'!$AH$5:$AH$404,"オフショア候補")+SUMIFS('04_調査結果'!$AI$5:$AI$404,'04_調査結果'!$BE$5:$BE$404,K63,'04_調査結果'!$AZ$5:$AZ$404,"&gt;0",'04_調査結果'!$AH$5:$AH$404,"ニアショア候補"))</f>
        <v/>
      </c>
      <c r="P63">
        <f>IF(K63="","",IFERROR(INDEX('04_調査結果'!$F$5:$F$404,MATCH(K63,'04_調査結果'!$BE$5:$BE$404,0))&amp;"",""))</f>
        <v/>
      </c>
    </row>
    <row r="64">
      <c r="B64" s="34" t="n">
        <v>60</v>
      </c>
      <c r="C64">
        <f>IFERROR(INDEX('04_調査結果'!$BB$5:$BB$404,MATCH(B64,'04_調査結果'!$BD$5:$BD$404,0)),"")</f>
        <v/>
      </c>
      <c r="D64">
        <f>IF(C64="","",COUNTIFS('04_調査結果'!$BB$5:$BB$404,C64,'04_調査結果'!$AB$5:$AB$404,"OK"))</f>
        <v/>
      </c>
      <c r="E64">
        <f>IF(C64="","",INDEX($I$5:$I$104,MATCH(H64,$H$5:$H$104,0)))</f>
        <v/>
      </c>
      <c r="F64" s="31" t="n"/>
      <c r="G64">
        <f>IF(C64="","",IF(F64&lt;&gt;"",F64,E64))</f>
        <v/>
      </c>
      <c r="H64" s="34">
        <f>IF(C64="","",UPPER(SUBSTITUTE(SUBSTITUTE(SUBSTITUTE(SUBSTITUTE(SUBSTITUTE(SUBSTITUTE(SUBSTITUTE(SUBSTITUTE(SUBSTITUTE(SUBSTITUTE(SUBSTITUTE(ASC(C64),"株式会社",""),"有限会社",""),"合同会社",""),"(株)",""),"(有)",""),"(同)",""),"㈱",""),"㈲",""),"様",""),"御中","")," ","")))</f>
        <v/>
      </c>
      <c r="I64" s="34">
        <f>IF(C64="","",TRIM(SUBSTITUTE(SUBSTITUTE(SUBSTITUTE(SUBSTITUTE(SUBSTITUTE(SUBSTITUTE(SUBSTITUTE(SUBSTITUTE(SUBSTITUTE(SUBSTITUTE(SUBSTITUTE(C64,"株式会社",""),"有限会社",""),"合同会社",""),"(株)",""),"（株）",""),"㈱",""),"(有)",""),"（有）",""),"㈲",""),"様",""),"御中","")))</f>
        <v/>
      </c>
      <c r="J64">
        <f>IF(OR(K64="",M64=""),"",RANK(M64,$M$5:$M$104))</f>
        <v/>
      </c>
      <c r="K64">
        <f>IFERROR(INDEX('04_調査結果'!$BE$5:$BE$404,MATCH((ROW()-5),'04_調査結果'!$BG$5:$BG$404,0)),"")</f>
        <v/>
      </c>
      <c r="L64">
        <f>IF(K64="","",COUNTIFS('04_調査結果'!$BE$5:$BE$404,K64,'04_調査結果'!$AZ$5:$AZ$404,"&gt;0"))</f>
        <v/>
      </c>
      <c r="M64" s="33">
        <f>IF(K64="","",SUMIFS('04_調査結果'!$AI$5:$AI$404,'04_調査結果'!$BE$5:$BE$404,K64,'04_調査結果'!$AZ$5:$AZ$404,"&gt;0"))</f>
        <v/>
      </c>
      <c r="N64">
        <f>IF(K64="","",COUNTIFS('04_調査結果'!$BE$5:$BE$404,K64,'04_調査結果'!$AZ$5:$AZ$404,"&gt;0",'04_調査結果'!$M$5:$M$404,"暗黙"))</f>
        <v/>
      </c>
      <c r="O64" s="33">
        <f>IF(K64="","",SUMIFS('04_調査結果'!$AI$5:$AI$404,'04_調査結果'!$BE$5:$BE$404,K64,'04_調査結果'!$AZ$5:$AZ$404,"&gt;0",'04_調査結果'!$AH$5:$AH$404,"自動化候補")+SUMIFS('04_調査結果'!$AI$5:$AI$404,'04_調査結果'!$BE$5:$BE$404,K64,'04_調査結果'!$AZ$5:$AZ$404,"&gt;0",'04_調査結果'!$AH$5:$AH$404,"オフショア候補")+SUMIFS('04_調査結果'!$AI$5:$AI$404,'04_調査結果'!$BE$5:$BE$404,K64,'04_調査結果'!$AZ$5:$AZ$404,"&gt;0",'04_調査結果'!$AH$5:$AH$404,"ニアショア候補"))</f>
        <v/>
      </c>
      <c r="P64">
        <f>IF(K64="","",IFERROR(INDEX('04_調査結果'!$F$5:$F$404,MATCH(K64,'04_調査結果'!$BE$5:$BE$404,0))&amp;"",""))</f>
        <v/>
      </c>
    </row>
    <row r="65">
      <c r="B65" s="34" t="n">
        <v>61</v>
      </c>
      <c r="C65">
        <f>IFERROR(INDEX('04_調査結果'!$BB$5:$BB$404,MATCH(B65,'04_調査結果'!$BD$5:$BD$404,0)),"")</f>
        <v/>
      </c>
      <c r="D65">
        <f>IF(C65="","",COUNTIFS('04_調査結果'!$BB$5:$BB$404,C65,'04_調査結果'!$AB$5:$AB$404,"OK"))</f>
        <v/>
      </c>
      <c r="E65">
        <f>IF(C65="","",INDEX($I$5:$I$104,MATCH(H65,$H$5:$H$104,0)))</f>
        <v/>
      </c>
      <c r="F65" s="31" t="n"/>
      <c r="G65">
        <f>IF(C65="","",IF(F65&lt;&gt;"",F65,E65))</f>
        <v/>
      </c>
      <c r="H65" s="34">
        <f>IF(C65="","",UPPER(SUBSTITUTE(SUBSTITUTE(SUBSTITUTE(SUBSTITUTE(SUBSTITUTE(SUBSTITUTE(SUBSTITUTE(SUBSTITUTE(SUBSTITUTE(SUBSTITUTE(SUBSTITUTE(ASC(C65),"株式会社",""),"有限会社",""),"合同会社",""),"(株)",""),"(有)",""),"(同)",""),"㈱",""),"㈲",""),"様",""),"御中","")," ","")))</f>
        <v/>
      </c>
      <c r="I65" s="34">
        <f>IF(C65="","",TRIM(SUBSTITUTE(SUBSTITUTE(SUBSTITUTE(SUBSTITUTE(SUBSTITUTE(SUBSTITUTE(SUBSTITUTE(SUBSTITUTE(SUBSTITUTE(SUBSTITUTE(SUBSTITUTE(C65,"株式会社",""),"有限会社",""),"合同会社",""),"(株)",""),"（株）",""),"㈱",""),"(有)",""),"（有）",""),"㈲",""),"様",""),"御中","")))</f>
        <v/>
      </c>
      <c r="J65">
        <f>IF(OR(K65="",M65=""),"",RANK(M65,$M$5:$M$104))</f>
        <v/>
      </c>
      <c r="K65">
        <f>IFERROR(INDEX('04_調査結果'!$BE$5:$BE$404,MATCH((ROW()-5),'04_調査結果'!$BG$5:$BG$404,0)),"")</f>
        <v/>
      </c>
      <c r="L65">
        <f>IF(K65="","",COUNTIFS('04_調査結果'!$BE$5:$BE$404,K65,'04_調査結果'!$AZ$5:$AZ$404,"&gt;0"))</f>
        <v/>
      </c>
      <c r="M65" s="33">
        <f>IF(K65="","",SUMIFS('04_調査結果'!$AI$5:$AI$404,'04_調査結果'!$BE$5:$BE$404,K65,'04_調査結果'!$AZ$5:$AZ$404,"&gt;0"))</f>
        <v/>
      </c>
      <c r="N65">
        <f>IF(K65="","",COUNTIFS('04_調査結果'!$BE$5:$BE$404,K65,'04_調査結果'!$AZ$5:$AZ$404,"&gt;0",'04_調査結果'!$M$5:$M$404,"暗黙"))</f>
        <v/>
      </c>
      <c r="O65" s="33">
        <f>IF(K65="","",SUMIFS('04_調査結果'!$AI$5:$AI$404,'04_調査結果'!$BE$5:$BE$404,K65,'04_調査結果'!$AZ$5:$AZ$404,"&gt;0",'04_調査結果'!$AH$5:$AH$404,"自動化候補")+SUMIFS('04_調査結果'!$AI$5:$AI$404,'04_調査結果'!$BE$5:$BE$404,K65,'04_調査結果'!$AZ$5:$AZ$404,"&gt;0",'04_調査結果'!$AH$5:$AH$404,"オフショア候補")+SUMIFS('04_調査結果'!$AI$5:$AI$404,'04_調査結果'!$BE$5:$BE$404,K65,'04_調査結果'!$AZ$5:$AZ$404,"&gt;0",'04_調査結果'!$AH$5:$AH$404,"ニアショア候補"))</f>
        <v/>
      </c>
      <c r="P65">
        <f>IF(K65="","",IFERROR(INDEX('04_調査結果'!$F$5:$F$404,MATCH(K65,'04_調査結果'!$BE$5:$BE$404,0))&amp;"",""))</f>
        <v/>
      </c>
    </row>
    <row r="66">
      <c r="B66" s="34" t="n">
        <v>62</v>
      </c>
      <c r="C66">
        <f>IFERROR(INDEX('04_調査結果'!$BB$5:$BB$404,MATCH(B66,'04_調査結果'!$BD$5:$BD$404,0)),"")</f>
        <v/>
      </c>
      <c r="D66">
        <f>IF(C66="","",COUNTIFS('04_調査結果'!$BB$5:$BB$404,C66,'04_調査結果'!$AB$5:$AB$404,"OK"))</f>
        <v/>
      </c>
      <c r="E66">
        <f>IF(C66="","",INDEX($I$5:$I$104,MATCH(H66,$H$5:$H$104,0)))</f>
        <v/>
      </c>
      <c r="F66" s="31" t="n"/>
      <c r="G66">
        <f>IF(C66="","",IF(F66&lt;&gt;"",F66,E66))</f>
        <v/>
      </c>
      <c r="H66" s="34">
        <f>IF(C66="","",UPPER(SUBSTITUTE(SUBSTITUTE(SUBSTITUTE(SUBSTITUTE(SUBSTITUTE(SUBSTITUTE(SUBSTITUTE(SUBSTITUTE(SUBSTITUTE(SUBSTITUTE(SUBSTITUTE(ASC(C66),"株式会社",""),"有限会社",""),"合同会社",""),"(株)",""),"(有)",""),"(同)",""),"㈱",""),"㈲",""),"様",""),"御中","")," ","")))</f>
        <v/>
      </c>
      <c r="I66" s="34">
        <f>IF(C66="","",TRIM(SUBSTITUTE(SUBSTITUTE(SUBSTITUTE(SUBSTITUTE(SUBSTITUTE(SUBSTITUTE(SUBSTITUTE(SUBSTITUTE(SUBSTITUTE(SUBSTITUTE(SUBSTITUTE(C66,"株式会社",""),"有限会社",""),"合同会社",""),"(株)",""),"（株）",""),"㈱",""),"(有)",""),"（有）",""),"㈲",""),"様",""),"御中","")))</f>
        <v/>
      </c>
      <c r="J66">
        <f>IF(OR(K66="",M66=""),"",RANK(M66,$M$5:$M$104))</f>
        <v/>
      </c>
      <c r="K66">
        <f>IFERROR(INDEX('04_調査結果'!$BE$5:$BE$404,MATCH((ROW()-5),'04_調査結果'!$BG$5:$BG$404,0)),"")</f>
        <v/>
      </c>
      <c r="L66">
        <f>IF(K66="","",COUNTIFS('04_調査結果'!$BE$5:$BE$404,K66,'04_調査結果'!$AZ$5:$AZ$404,"&gt;0"))</f>
        <v/>
      </c>
      <c r="M66" s="33">
        <f>IF(K66="","",SUMIFS('04_調査結果'!$AI$5:$AI$404,'04_調査結果'!$BE$5:$BE$404,K66,'04_調査結果'!$AZ$5:$AZ$404,"&gt;0"))</f>
        <v/>
      </c>
      <c r="N66">
        <f>IF(K66="","",COUNTIFS('04_調査結果'!$BE$5:$BE$404,K66,'04_調査結果'!$AZ$5:$AZ$404,"&gt;0",'04_調査結果'!$M$5:$M$404,"暗黙"))</f>
        <v/>
      </c>
      <c r="O66" s="33">
        <f>IF(K66="","",SUMIFS('04_調査結果'!$AI$5:$AI$404,'04_調査結果'!$BE$5:$BE$404,K66,'04_調査結果'!$AZ$5:$AZ$404,"&gt;0",'04_調査結果'!$AH$5:$AH$404,"自動化候補")+SUMIFS('04_調査結果'!$AI$5:$AI$404,'04_調査結果'!$BE$5:$BE$404,K66,'04_調査結果'!$AZ$5:$AZ$404,"&gt;0",'04_調査結果'!$AH$5:$AH$404,"オフショア候補")+SUMIFS('04_調査結果'!$AI$5:$AI$404,'04_調査結果'!$BE$5:$BE$404,K66,'04_調査結果'!$AZ$5:$AZ$404,"&gt;0",'04_調査結果'!$AH$5:$AH$404,"ニアショア候補"))</f>
        <v/>
      </c>
      <c r="P66">
        <f>IF(K66="","",IFERROR(INDEX('04_調査結果'!$F$5:$F$404,MATCH(K66,'04_調査結果'!$BE$5:$BE$404,0))&amp;"",""))</f>
        <v/>
      </c>
    </row>
    <row r="67">
      <c r="B67" s="34" t="n">
        <v>63</v>
      </c>
      <c r="C67">
        <f>IFERROR(INDEX('04_調査結果'!$BB$5:$BB$404,MATCH(B67,'04_調査結果'!$BD$5:$BD$404,0)),"")</f>
        <v/>
      </c>
      <c r="D67">
        <f>IF(C67="","",COUNTIFS('04_調査結果'!$BB$5:$BB$404,C67,'04_調査結果'!$AB$5:$AB$404,"OK"))</f>
        <v/>
      </c>
      <c r="E67">
        <f>IF(C67="","",INDEX($I$5:$I$104,MATCH(H67,$H$5:$H$104,0)))</f>
        <v/>
      </c>
      <c r="F67" s="31" t="n"/>
      <c r="G67">
        <f>IF(C67="","",IF(F67&lt;&gt;"",F67,E67))</f>
        <v/>
      </c>
      <c r="H67" s="34">
        <f>IF(C67="","",UPPER(SUBSTITUTE(SUBSTITUTE(SUBSTITUTE(SUBSTITUTE(SUBSTITUTE(SUBSTITUTE(SUBSTITUTE(SUBSTITUTE(SUBSTITUTE(SUBSTITUTE(SUBSTITUTE(ASC(C67),"株式会社",""),"有限会社",""),"合同会社",""),"(株)",""),"(有)",""),"(同)",""),"㈱",""),"㈲",""),"様",""),"御中","")," ","")))</f>
        <v/>
      </c>
      <c r="I67" s="34">
        <f>IF(C67="","",TRIM(SUBSTITUTE(SUBSTITUTE(SUBSTITUTE(SUBSTITUTE(SUBSTITUTE(SUBSTITUTE(SUBSTITUTE(SUBSTITUTE(SUBSTITUTE(SUBSTITUTE(SUBSTITUTE(C67,"株式会社",""),"有限会社",""),"合同会社",""),"(株)",""),"（株）",""),"㈱",""),"(有)",""),"（有）",""),"㈲",""),"様",""),"御中","")))</f>
        <v/>
      </c>
      <c r="J67">
        <f>IF(OR(K67="",M67=""),"",RANK(M67,$M$5:$M$104))</f>
        <v/>
      </c>
      <c r="K67">
        <f>IFERROR(INDEX('04_調査結果'!$BE$5:$BE$404,MATCH((ROW()-5),'04_調査結果'!$BG$5:$BG$404,0)),"")</f>
        <v/>
      </c>
      <c r="L67">
        <f>IF(K67="","",COUNTIFS('04_調査結果'!$BE$5:$BE$404,K67,'04_調査結果'!$AZ$5:$AZ$404,"&gt;0"))</f>
        <v/>
      </c>
      <c r="M67" s="33">
        <f>IF(K67="","",SUMIFS('04_調査結果'!$AI$5:$AI$404,'04_調査結果'!$BE$5:$BE$404,K67,'04_調査結果'!$AZ$5:$AZ$404,"&gt;0"))</f>
        <v/>
      </c>
      <c r="N67">
        <f>IF(K67="","",COUNTIFS('04_調査結果'!$BE$5:$BE$404,K67,'04_調査結果'!$AZ$5:$AZ$404,"&gt;0",'04_調査結果'!$M$5:$M$404,"暗黙"))</f>
        <v/>
      </c>
      <c r="O67" s="33">
        <f>IF(K67="","",SUMIFS('04_調査結果'!$AI$5:$AI$404,'04_調査結果'!$BE$5:$BE$404,K67,'04_調査結果'!$AZ$5:$AZ$404,"&gt;0",'04_調査結果'!$AH$5:$AH$404,"自動化候補")+SUMIFS('04_調査結果'!$AI$5:$AI$404,'04_調査結果'!$BE$5:$BE$404,K67,'04_調査結果'!$AZ$5:$AZ$404,"&gt;0",'04_調査結果'!$AH$5:$AH$404,"オフショア候補")+SUMIFS('04_調査結果'!$AI$5:$AI$404,'04_調査結果'!$BE$5:$BE$404,K67,'04_調査結果'!$AZ$5:$AZ$404,"&gt;0",'04_調査結果'!$AH$5:$AH$404,"ニアショア候補"))</f>
        <v/>
      </c>
      <c r="P67">
        <f>IF(K67="","",IFERROR(INDEX('04_調査結果'!$F$5:$F$404,MATCH(K67,'04_調査結果'!$BE$5:$BE$404,0))&amp;"",""))</f>
        <v/>
      </c>
    </row>
    <row r="68">
      <c r="B68" s="34" t="n">
        <v>64</v>
      </c>
      <c r="C68">
        <f>IFERROR(INDEX('04_調査結果'!$BB$5:$BB$404,MATCH(B68,'04_調査結果'!$BD$5:$BD$404,0)),"")</f>
        <v/>
      </c>
      <c r="D68">
        <f>IF(C68="","",COUNTIFS('04_調査結果'!$BB$5:$BB$404,C68,'04_調査結果'!$AB$5:$AB$404,"OK"))</f>
        <v/>
      </c>
      <c r="E68">
        <f>IF(C68="","",INDEX($I$5:$I$104,MATCH(H68,$H$5:$H$104,0)))</f>
        <v/>
      </c>
      <c r="F68" s="31" t="n"/>
      <c r="G68">
        <f>IF(C68="","",IF(F68&lt;&gt;"",F68,E68))</f>
        <v/>
      </c>
      <c r="H68" s="34">
        <f>IF(C68="","",UPPER(SUBSTITUTE(SUBSTITUTE(SUBSTITUTE(SUBSTITUTE(SUBSTITUTE(SUBSTITUTE(SUBSTITUTE(SUBSTITUTE(SUBSTITUTE(SUBSTITUTE(SUBSTITUTE(ASC(C68),"株式会社",""),"有限会社",""),"合同会社",""),"(株)",""),"(有)",""),"(同)",""),"㈱",""),"㈲",""),"様",""),"御中","")," ","")))</f>
        <v/>
      </c>
      <c r="I68" s="34">
        <f>IF(C68="","",TRIM(SUBSTITUTE(SUBSTITUTE(SUBSTITUTE(SUBSTITUTE(SUBSTITUTE(SUBSTITUTE(SUBSTITUTE(SUBSTITUTE(SUBSTITUTE(SUBSTITUTE(SUBSTITUTE(C68,"株式会社",""),"有限会社",""),"合同会社",""),"(株)",""),"（株）",""),"㈱",""),"(有)",""),"（有）",""),"㈲",""),"様",""),"御中","")))</f>
        <v/>
      </c>
      <c r="J68">
        <f>IF(OR(K68="",M68=""),"",RANK(M68,$M$5:$M$104))</f>
        <v/>
      </c>
      <c r="K68">
        <f>IFERROR(INDEX('04_調査結果'!$BE$5:$BE$404,MATCH((ROW()-5),'04_調査結果'!$BG$5:$BG$404,0)),"")</f>
        <v/>
      </c>
      <c r="L68">
        <f>IF(K68="","",COUNTIFS('04_調査結果'!$BE$5:$BE$404,K68,'04_調査結果'!$AZ$5:$AZ$404,"&gt;0"))</f>
        <v/>
      </c>
      <c r="M68" s="33">
        <f>IF(K68="","",SUMIFS('04_調査結果'!$AI$5:$AI$404,'04_調査結果'!$BE$5:$BE$404,K68,'04_調査結果'!$AZ$5:$AZ$404,"&gt;0"))</f>
        <v/>
      </c>
      <c r="N68">
        <f>IF(K68="","",COUNTIFS('04_調査結果'!$BE$5:$BE$404,K68,'04_調査結果'!$AZ$5:$AZ$404,"&gt;0",'04_調査結果'!$M$5:$M$404,"暗黙"))</f>
        <v/>
      </c>
      <c r="O68" s="33">
        <f>IF(K68="","",SUMIFS('04_調査結果'!$AI$5:$AI$404,'04_調査結果'!$BE$5:$BE$404,K68,'04_調査結果'!$AZ$5:$AZ$404,"&gt;0",'04_調査結果'!$AH$5:$AH$404,"自動化候補")+SUMIFS('04_調査結果'!$AI$5:$AI$404,'04_調査結果'!$BE$5:$BE$404,K68,'04_調査結果'!$AZ$5:$AZ$404,"&gt;0",'04_調査結果'!$AH$5:$AH$404,"オフショア候補")+SUMIFS('04_調査結果'!$AI$5:$AI$404,'04_調査結果'!$BE$5:$BE$404,K68,'04_調査結果'!$AZ$5:$AZ$404,"&gt;0",'04_調査結果'!$AH$5:$AH$404,"ニアショア候補"))</f>
        <v/>
      </c>
      <c r="P68">
        <f>IF(K68="","",IFERROR(INDEX('04_調査結果'!$F$5:$F$404,MATCH(K68,'04_調査結果'!$BE$5:$BE$404,0))&amp;"",""))</f>
        <v/>
      </c>
    </row>
    <row r="69">
      <c r="B69" s="34" t="n">
        <v>65</v>
      </c>
      <c r="C69">
        <f>IFERROR(INDEX('04_調査結果'!$BB$5:$BB$404,MATCH(B69,'04_調査結果'!$BD$5:$BD$404,0)),"")</f>
        <v/>
      </c>
      <c r="D69">
        <f>IF(C69="","",COUNTIFS('04_調査結果'!$BB$5:$BB$404,C69,'04_調査結果'!$AB$5:$AB$404,"OK"))</f>
        <v/>
      </c>
      <c r="E69">
        <f>IF(C69="","",INDEX($I$5:$I$104,MATCH(H69,$H$5:$H$104,0)))</f>
        <v/>
      </c>
      <c r="F69" s="31" t="n"/>
      <c r="G69">
        <f>IF(C69="","",IF(F69&lt;&gt;"",F69,E69))</f>
        <v/>
      </c>
      <c r="H69" s="34">
        <f>IF(C69="","",UPPER(SUBSTITUTE(SUBSTITUTE(SUBSTITUTE(SUBSTITUTE(SUBSTITUTE(SUBSTITUTE(SUBSTITUTE(SUBSTITUTE(SUBSTITUTE(SUBSTITUTE(SUBSTITUTE(ASC(C69),"株式会社",""),"有限会社",""),"合同会社",""),"(株)",""),"(有)",""),"(同)",""),"㈱",""),"㈲",""),"様",""),"御中","")," ","")))</f>
        <v/>
      </c>
      <c r="I69" s="34">
        <f>IF(C69="","",TRIM(SUBSTITUTE(SUBSTITUTE(SUBSTITUTE(SUBSTITUTE(SUBSTITUTE(SUBSTITUTE(SUBSTITUTE(SUBSTITUTE(SUBSTITUTE(SUBSTITUTE(SUBSTITUTE(C69,"株式会社",""),"有限会社",""),"合同会社",""),"(株)",""),"（株）",""),"㈱",""),"(有)",""),"（有）",""),"㈲",""),"様",""),"御中","")))</f>
        <v/>
      </c>
      <c r="J69">
        <f>IF(OR(K69="",M69=""),"",RANK(M69,$M$5:$M$104))</f>
        <v/>
      </c>
      <c r="K69">
        <f>IFERROR(INDEX('04_調査結果'!$BE$5:$BE$404,MATCH((ROW()-5),'04_調査結果'!$BG$5:$BG$404,0)),"")</f>
        <v/>
      </c>
      <c r="L69">
        <f>IF(K69="","",COUNTIFS('04_調査結果'!$BE$5:$BE$404,K69,'04_調査結果'!$AZ$5:$AZ$404,"&gt;0"))</f>
        <v/>
      </c>
      <c r="M69" s="33">
        <f>IF(K69="","",SUMIFS('04_調査結果'!$AI$5:$AI$404,'04_調査結果'!$BE$5:$BE$404,K69,'04_調査結果'!$AZ$5:$AZ$404,"&gt;0"))</f>
        <v/>
      </c>
      <c r="N69">
        <f>IF(K69="","",COUNTIFS('04_調査結果'!$BE$5:$BE$404,K69,'04_調査結果'!$AZ$5:$AZ$404,"&gt;0",'04_調査結果'!$M$5:$M$404,"暗黙"))</f>
        <v/>
      </c>
      <c r="O69" s="33">
        <f>IF(K69="","",SUMIFS('04_調査結果'!$AI$5:$AI$404,'04_調査結果'!$BE$5:$BE$404,K69,'04_調査結果'!$AZ$5:$AZ$404,"&gt;0",'04_調査結果'!$AH$5:$AH$404,"自動化候補")+SUMIFS('04_調査結果'!$AI$5:$AI$404,'04_調査結果'!$BE$5:$BE$404,K69,'04_調査結果'!$AZ$5:$AZ$404,"&gt;0",'04_調査結果'!$AH$5:$AH$404,"オフショア候補")+SUMIFS('04_調査結果'!$AI$5:$AI$404,'04_調査結果'!$BE$5:$BE$404,K69,'04_調査結果'!$AZ$5:$AZ$404,"&gt;0",'04_調査結果'!$AH$5:$AH$404,"ニアショア候補"))</f>
        <v/>
      </c>
      <c r="P69">
        <f>IF(K69="","",IFERROR(INDEX('04_調査結果'!$F$5:$F$404,MATCH(K69,'04_調査結果'!$BE$5:$BE$404,0))&amp;"",""))</f>
        <v/>
      </c>
    </row>
    <row r="70">
      <c r="B70" s="34" t="n">
        <v>66</v>
      </c>
      <c r="C70">
        <f>IFERROR(INDEX('04_調査結果'!$BB$5:$BB$404,MATCH(B70,'04_調査結果'!$BD$5:$BD$404,0)),"")</f>
        <v/>
      </c>
      <c r="D70">
        <f>IF(C70="","",COUNTIFS('04_調査結果'!$BB$5:$BB$404,C70,'04_調査結果'!$AB$5:$AB$404,"OK"))</f>
        <v/>
      </c>
      <c r="E70">
        <f>IF(C70="","",INDEX($I$5:$I$104,MATCH(H70,$H$5:$H$104,0)))</f>
        <v/>
      </c>
      <c r="F70" s="31" t="n"/>
      <c r="G70">
        <f>IF(C70="","",IF(F70&lt;&gt;"",F70,E70))</f>
        <v/>
      </c>
      <c r="H70" s="34">
        <f>IF(C70="","",UPPER(SUBSTITUTE(SUBSTITUTE(SUBSTITUTE(SUBSTITUTE(SUBSTITUTE(SUBSTITUTE(SUBSTITUTE(SUBSTITUTE(SUBSTITUTE(SUBSTITUTE(SUBSTITUTE(ASC(C70),"株式会社",""),"有限会社",""),"合同会社",""),"(株)",""),"(有)",""),"(同)",""),"㈱",""),"㈲",""),"様",""),"御中","")," ","")))</f>
        <v/>
      </c>
      <c r="I70" s="34">
        <f>IF(C70="","",TRIM(SUBSTITUTE(SUBSTITUTE(SUBSTITUTE(SUBSTITUTE(SUBSTITUTE(SUBSTITUTE(SUBSTITUTE(SUBSTITUTE(SUBSTITUTE(SUBSTITUTE(SUBSTITUTE(C70,"株式会社",""),"有限会社",""),"合同会社",""),"(株)",""),"（株）",""),"㈱",""),"(有)",""),"（有）",""),"㈲",""),"様",""),"御中","")))</f>
        <v/>
      </c>
      <c r="J70">
        <f>IF(OR(K70="",M70=""),"",RANK(M70,$M$5:$M$104))</f>
        <v/>
      </c>
      <c r="K70">
        <f>IFERROR(INDEX('04_調査結果'!$BE$5:$BE$404,MATCH((ROW()-5),'04_調査結果'!$BG$5:$BG$404,0)),"")</f>
        <v/>
      </c>
      <c r="L70">
        <f>IF(K70="","",COUNTIFS('04_調査結果'!$BE$5:$BE$404,K70,'04_調査結果'!$AZ$5:$AZ$404,"&gt;0"))</f>
        <v/>
      </c>
      <c r="M70" s="33">
        <f>IF(K70="","",SUMIFS('04_調査結果'!$AI$5:$AI$404,'04_調査結果'!$BE$5:$BE$404,K70,'04_調査結果'!$AZ$5:$AZ$404,"&gt;0"))</f>
        <v/>
      </c>
      <c r="N70">
        <f>IF(K70="","",COUNTIFS('04_調査結果'!$BE$5:$BE$404,K70,'04_調査結果'!$AZ$5:$AZ$404,"&gt;0",'04_調査結果'!$M$5:$M$404,"暗黙"))</f>
        <v/>
      </c>
      <c r="O70" s="33">
        <f>IF(K70="","",SUMIFS('04_調査結果'!$AI$5:$AI$404,'04_調査結果'!$BE$5:$BE$404,K70,'04_調査結果'!$AZ$5:$AZ$404,"&gt;0",'04_調査結果'!$AH$5:$AH$404,"自動化候補")+SUMIFS('04_調査結果'!$AI$5:$AI$404,'04_調査結果'!$BE$5:$BE$404,K70,'04_調査結果'!$AZ$5:$AZ$404,"&gt;0",'04_調査結果'!$AH$5:$AH$404,"オフショア候補")+SUMIFS('04_調査結果'!$AI$5:$AI$404,'04_調査結果'!$BE$5:$BE$404,K70,'04_調査結果'!$AZ$5:$AZ$404,"&gt;0",'04_調査結果'!$AH$5:$AH$404,"ニアショア候補"))</f>
        <v/>
      </c>
      <c r="P70">
        <f>IF(K70="","",IFERROR(INDEX('04_調査結果'!$F$5:$F$404,MATCH(K70,'04_調査結果'!$BE$5:$BE$404,0))&amp;"",""))</f>
        <v/>
      </c>
    </row>
    <row r="71">
      <c r="B71" s="34" t="n">
        <v>67</v>
      </c>
      <c r="C71">
        <f>IFERROR(INDEX('04_調査結果'!$BB$5:$BB$404,MATCH(B71,'04_調査結果'!$BD$5:$BD$404,0)),"")</f>
        <v/>
      </c>
      <c r="D71">
        <f>IF(C71="","",COUNTIFS('04_調査結果'!$BB$5:$BB$404,C71,'04_調査結果'!$AB$5:$AB$404,"OK"))</f>
        <v/>
      </c>
      <c r="E71">
        <f>IF(C71="","",INDEX($I$5:$I$104,MATCH(H71,$H$5:$H$104,0)))</f>
        <v/>
      </c>
      <c r="F71" s="31" t="n"/>
      <c r="G71">
        <f>IF(C71="","",IF(F71&lt;&gt;"",F71,E71))</f>
        <v/>
      </c>
      <c r="H71" s="34">
        <f>IF(C71="","",UPPER(SUBSTITUTE(SUBSTITUTE(SUBSTITUTE(SUBSTITUTE(SUBSTITUTE(SUBSTITUTE(SUBSTITUTE(SUBSTITUTE(SUBSTITUTE(SUBSTITUTE(SUBSTITUTE(ASC(C71),"株式会社",""),"有限会社",""),"合同会社",""),"(株)",""),"(有)",""),"(同)",""),"㈱",""),"㈲",""),"様",""),"御中","")," ","")))</f>
        <v/>
      </c>
      <c r="I71" s="34">
        <f>IF(C71="","",TRIM(SUBSTITUTE(SUBSTITUTE(SUBSTITUTE(SUBSTITUTE(SUBSTITUTE(SUBSTITUTE(SUBSTITUTE(SUBSTITUTE(SUBSTITUTE(SUBSTITUTE(SUBSTITUTE(C71,"株式会社",""),"有限会社",""),"合同会社",""),"(株)",""),"（株）",""),"㈱",""),"(有)",""),"（有）",""),"㈲",""),"様",""),"御中","")))</f>
        <v/>
      </c>
      <c r="J71">
        <f>IF(OR(K71="",M71=""),"",RANK(M71,$M$5:$M$104))</f>
        <v/>
      </c>
      <c r="K71">
        <f>IFERROR(INDEX('04_調査結果'!$BE$5:$BE$404,MATCH((ROW()-5),'04_調査結果'!$BG$5:$BG$404,0)),"")</f>
        <v/>
      </c>
      <c r="L71">
        <f>IF(K71="","",COUNTIFS('04_調査結果'!$BE$5:$BE$404,K71,'04_調査結果'!$AZ$5:$AZ$404,"&gt;0"))</f>
        <v/>
      </c>
      <c r="M71" s="33">
        <f>IF(K71="","",SUMIFS('04_調査結果'!$AI$5:$AI$404,'04_調査結果'!$BE$5:$BE$404,K71,'04_調査結果'!$AZ$5:$AZ$404,"&gt;0"))</f>
        <v/>
      </c>
      <c r="N71">
        <f>IF(K71="","",COUNTIFS('04_調査結果'!$BE$5:$BE$404,K71,'04_調査結果'!$AZ$5:$AZ$404,"&gt;0",'04_調査結果'!$M$5:$M$404,"暗黙"))</f>
        <v/>
      </c>
      <c r="O71" s="33">
        <f>IF(K71="","",SUMIFS('04_調査結果'!$AI$5:$AI$404,'04_調査結果'!$BE$5:$BE$404,K71,'04_調査結果'!$AZ$5:$AZ$404,"&gt;0",'04_調査結果'!$AH$5:$AH$404,"自動化候補")+SUMIFS('04_調査結果'!$AI$5:$AI$404,'04_調査結果'!$BE$5:$BE$404,K71,'04_調査結果'!$AZ$5:$AZ$404,"&gt;0",'04_調査結果'!$AH$5:$AH$404,"オフショア候補")+SUMIFS('04_調査結果'!$AI$5:$AI$404,'04_調査結果'!$BE$5:$BE$404,K71,'04_調査結果'!$AZ$5:$AZ$404,"&gt;0",'04_調査結果'!$AH$5:$AH$404,"ニアショア候補"))</f>
        <v/>
      </c>
      <c r="P71">
        <f>IF(K71="","",IFERROR(INDEX('04_調査結果'!$F$5:$F$404,MATCH(K71,'04_調査結果'!$BE$5:$BE$404,0))&amp;"",""))</f>
        <v/>
      </c>
    </row>
    <row r="72">
      <c r="B72" s="34" t="n">
        <v>68</v>
      </c>
      <c r="C72">
        <f>IFERROR(INDEX('04_調査結果'!$BB$5:$BB$404,MATCH(B72,'04_調査結果'!$BD$5:$BD$404,0)),"")</f>
        <v/>
      </c>
      <c r="D72">
        <f>IF(C72="","",COUNTIFS('04_調査結果'!$BB$5:$BB$404,C72,'04_調査結果'!$AB$5:$AB$404,"OK"))</f>
        <v/>
      </c>
      <c r="E72">
        <f>IF(C72="","",INDEX($I$5:$I$104,MATCH(H72,$H$5:$H$104,0)))</f>
        <v/>
      </c>
      <c r="F72" s="31" t="n"/>
      <c r="G72">
        <f>IF(C72="","",IF(F72&lt;&gt;"",F72,E72))</f>
        <v/>
      </c>
      <c r="H72" s="34">
        <f>IF(C72="","",UPPER(SUBSTITUTE(SUBSTITUTE(SUBSTITUTE(SUBSTITUTE(SUBSTITUTE(SUBSTITUTE(SUBSTITUTE(SUBSTITUTE(SUBSTITUTE(SUBSTITUTE(SUBSTITUTE(ASC(C72),"株式会社",""),"有限会社",""),"合同会社",""),"(株)",""),"(有)",""),"(同)",""),"㈱",""),"㈲",""),"様",""),"御中","")," ","")))</f>
        <v/>
      </c>
      <c r="I72" s="34">
        <f>IF(C72="","",TRIM(SUBSTITUTE(SUBSTITUTE(SUBSTITUTE(SUBSTITUTE(SUBSTITUTE(SUBSTITUTE(SUBSTITUTE(SUBSTITUTE(SUBSTITUTE(SUBSTITUTE(SUBSTITUTE(C72,"株式会社",""),"有限会社",""),"合同会社",""),"(株)",""),"（株）",""),"㈱",""),"(有)",""),"（有）",""),"㈲",""),"様",""),"御中","")))</f>
        <v/>
      </c>
      <c r="J72">
        <f>IF(OR(K72="",M72=""),"",RANK(M72,$M$5:$M$104))</f>
        <v/>
      </c>
      <c r="K72">
        <f>IFERROR(INDEX('04_調査結果'!$BE$5:$BE$404,MATCH((ROW()-5),'04_調査結果'!$BG$5:$BG$404,0)),"")</f>
        <v/>
      </c>
      <c r="L72">
        <f>IF(K72="","",COUNTIFS('04_調査結果'!$BE$5:$BE$404,K72,'04_調査結果'!$AZ$5:$AZ$404,"&gt;0"))</f>
        <v/>
      </c>
      <c r="M72" s="33">
        <f>IF(K72="","",SUMIFS('04_調査結果'!$AI$5:$AI$404,'04_調査結果'!$BE$5:$BE$404,K72,'04_調査結果'!$AZ$5:$AZ$404,"&gt;0"))</f>
        <v/>
      </c>
      <c r="N72">
        <f>IF(K72="","",COUNTIFS('04_調査結果'!$BE$5:$BE$404,K72,'04_調査結果'!$AZ$5:$AZ$404,"&gt;0",'04_調査結果'!$M$5:$M$404,"暗黙"))</f>
        <v/>
      </c>
      <c r="O72" s="33">
        <f>IF(K72="","",SUMIFS('04_調査結果'!$AI$5:$AI$404,'04_調査結果'!$BE$5:$BE$404,K72,'04_調査結果'!$AZ$5:$AZ$404,"&gt;0",'04_調査結果'!$AH$5:$AH$404,"自動化候補")+SUMIFS('04_調査結果'!$AI$5:$AI$404,'04_調査結果'!$BE$5:$BE$404,K72,'04_調査結果'!$AZ$5:$AZ$404,"&gt;0",'04_調査結果'!$AH$5:$AH$404,"オフショア候補")+SUMIFS('04_調査結果'!$AI$5:$AI$404,'04_調査結果'!$BE$5:$BE$404,K72,'04_調査結果'!$AZ$5:$AZ$404,"&gt;0",'04_調査結果'!$AH$5:$AH$404,"ニアショア候補"))</f>
        <v/>
      </c>
      <c r="P72">
        <f>IF(K72="","",IFERROR(INDEX('04_調査結果'!$F$5:$F$404,MATCH(K72,'04_調査結果'!$BE$5:$BE$404,0))&amp;"",""))</f>
        <v/>
      </c>
    </row>
    <row r="73">
      <c r="B73" s="34" t="n">
        <v>69</v>
      </c>
      <c r="C73">
        <f>IFERROR(INDEX('04_調査結果'!$BB$5:$BB$404,MATCH(B73,'04_調査結果'!$BD$5:$BD$404,0)),"")</f>
        <v/>
      </c>
      <c r="D73">
        <f>IF(C73="","",COUNTIFS('04_調査結果'!$BB$5:$BB$404,C73,'04_調査結果'!$AB$5:$AB$404,"OK"))</f>
        <v/>
      </c>
      <c r="E73">
        <f>IF(C73="","",INDEX($I$5:$I$104,MATCH(H73,$H$5:$H$104,0)))</f>
        <v/>
      </c>
      <c r="F73" s="31" t="n"/>
      <c r="G73">
        <f>IF(C73="","",IF(F73&lt;&gt;"",F73,E73))</f>
        <v/>
      </c>
      <c r="H73" s="34">
        <f>IF(C73="","",UPPER(SUBSTITUTE(SUBSTITUTE(SUBSTITUTE(SUBSTITUTE(SUBSTITUTE(SUBSTITUTE(SUBSTITUTE(SUBSTITUTE(SUBSTITUTE(SUBSTITUTE(SUBSTITUTE(ASC(C73),"株式会社",""),"有限会社",""),"合同会社",""),"(株)",""),"(有)",""),"(同)",""),"㈱",""),"㈲",""),"様",""),"御中","")," ","")))</f>
        <v/>
      </c>
      <c r="I73" s="34">
        <f>IF(C73="","",TRIM(SUBSTITUTE(SUBSTITUTE(SUBSTITUTE(SUBSTITUTE(SUBSTITUTE(SUBSTITUTE(SUBSTITUTE(SUBSTITUTE(SUBSTITUTE(SUBSTITUTE(SUBSTITUTE(C73,"株式会社",""),"有限会社",""),"合同会社",""),"(株)",""),"（株）",""),"㈱",""),"(有)",""),"（有）",""),"㈲",""),"様",""),"御中","")))</f>
        <v/>
      </c>
      <c r="J73">
        <f>IF(OR(K73="",M73=""),"",RANK(M73,$M$5:$M$104))</f>
        <v/>
      </c>
      <c r="K73">
        <f>IFERROR(INDEX('04_調査結果'!$BE$5:$BE$404,MATCH((ROW()-5),'04_調査結果'!$BG$5:$BG$404,0)),"")</f>
        <v/>
      </c>
      <c r="L73">
        <f>IF(K73="","",COUNTIFS('04_調査結果'!$BE$5:$BE$404,K73,'04_調査結果'!$AZ$5:$AZ$404,"&gt;0"))</f>
        <v/>
      </c>
      <c r="M73" s="33">
        <f>IF(K73="","",SUMIFS('04_調査結果'!$AI$5:$AI$404,'04_調査結果'!$BE$5:$BE$404,K73,'04_調査結果'!$AZ$5:$AZ$404,"&gt;0"))</f>
        <v/>
      </c>
      <c r="N73">
        <f>IF(K73="","",COUNTIFS('04_調査結果'!$BE$5:$BE$404,K73,'04_調査結果'!$AZ$5:$AZ$404,"&gt;0",'04_調査結果'!$M$5:$M$404,"暗黙"))</f>
        <v/>
      </c>
      <c r="O73" s="33">
        <f>IF(K73="","",SUMIFS('04_調査結果'!$AI$5:$AI$404,'04_調査結果'!$BE$5:$BE$404,K73,'04_調査結果'!$AZ$5:$AZ$404,"&gt;0",'04_調査結果'!$AH$5:$AH$404,"自動化候補")+SUMIFS('04_調査結果'!$AI$5:$AI$404,'04_調査結果'!$BE$5:$BE$404,K73,'04_調査結果'!$AZ$5:$AZ$404,"&gt;0",'04_調査結果'!$AH$5:$AH$404,"オフショア候補")+SUMIFS('04_調査結果'!$AI$5:$AI$404,'04_調査結果'!$BE$5:$BE$404,K73,'04_調査結果'!$AZ$5:$AZ$404,"&gt;0",'04_調査結果'!$AH$5:$AH$404,"ニアショア候補"))</f>
        <v/>
      </c>
      <c r="P73">
        <f>IF(K73="","",IFERROR(INDEX('04_調査結果'!$F$5:$F$404,MATCH(K73,'04_調査結果'!$BE$5:$BE$404,0))&amp;"",""))</f>
        <v/>
      </c>
    </row>
    <row r="74">
      <c r="B74" s="34" t="n">
        <v>70</v>
      </c>
      <c r="C74">
        <f>IFERROR(INDEX('04_調査結果'!$BB$5:$BB$404,MATCH(B74,'04_調査結果'!$BD$5:$BD$404,0)),"")</f>
        <v/>
      </c>
      <c r="D74">
        <f>IF(C74="","",COUNTIFS('04_調査結果'!$BB$5:$BB$404,C74,'04_調査結果'!$AB$5:$AB$404,"OK"))</f>
        <v/>
      </c>
      <c r="E74">
        <f>IF(C74="","",INDEX($I$5:$I$104,MATCH(H74,$H$5:$H$104,0)))</f>
        <v/>
      </c>
      <c r="F74" s="31" t="n"/>
      <c r="G74">
        <f>IF(C74="","",IF(F74&lt;&gt;"",F74,E74))</f>
        <v/>
      </c>
      <c r="H74" s="34">
        <f>IF(C74="","",UPPER(SUBSTITUTE(SUBSTITUTE(SUBSTITUTE(SUBSTITUTE(SUBSTITUTE(SUBSTITUTE(SUBSTITUTE(SUBSTITUTE(SUBSTITUTE(SUBSTITUTE(SUBSTITUTE(ASC(C74),"株式会社",""),"有限会社",""),"合同会社",""),"(株)",""),"(有)",""),"(同)",""),"㈱",""),"㈲",""),"様",""),"御中","")," ","")))</f>
        <v/>
      </c>
      <c r="I74" s="34">
        <f>IF(C74="","",TRIM(SUBSTITUTE(SUBSTITUTE(SUBSTITUTE(SUBSTITUTE(SUBSTITUTE(SUBSTITUTE(SUBSTITUTE(SUBSTITUTE(SUBSTITUTE(SUBSTITUTE(SUBSTITUTE(C74,"株式会社",""),"有限会社",""),"合同会社",""),"(株)",""),"（株）",""),"㈱",""),"(有)",""),"（有）",""),"㈲",""),"様",""),"御中","")))</f>
        <v/>
      </c>
      <c r="J74">
        <f>IF(OR(K74="",M74=""),"",RANK(M74,$M$5:$M$104))</f>
        <v/>
      </c>
      <c r="K74">
        <f>IFERROR(INDEX('04_調査結果'!$BE$5:$BE$404,MATCH((ROW()-5),'04_調査結果'!$BG$5:$BG$404,0)),"")</f>
        <v/>
      </c>
      <c r="L74">
        <f>IF(K74="","",COUNTIFS('04_調査結果'!$BE$5:$BE$404,K74,'04_調査結果'!$AZ$5:$AZ$404,"&gt;0"))</f>
        <v/>
      </c>
      <c r="M74" s="33">
        <f>IF(K74="","",SUMIFS('04_調査結果'!$AI$5:$AI$404,'04_調査結果'!$BE$5:$BE$404,K74,'04_調査結果'!$AZ$5:$AZ$404,"&gt;0"))</f>
        <v/>
      </c>
      <c r="N74">
        <f>IF(K74="","",COUNTIFS('04_調査結果'!$BE$5:$BE$404,K74,'04_調査結果'!$AZ$5:$AZ$404,"&gt;0",'04_調査結果'!$M$5:$M$404,"暗黙"))</f>
        <v/>
      </c>
      <c r="O74" s="33">
        <f>IF(K74="","",SUMIFS('04_調査結果'!$AI$5:$AI$404,'04_調査結果'!$BE$5:$BE$404,K74,'04_調査結果'!$AZ$5:$AZ$404,"&gt;0",'04_調査結果'!$AH$5:$AH$404,"自動化候補")+SUMIFS('04_調査結果'!$AI$5:$AI$404,'04_調査結果'!$BE$5:$BE$404,K74,'04_調査結果'!$AZ$5:$AZ$404,"&gt;0",'04_調査結果'!$AH$5:$AH$404,"オフショア候補")+SUMIFS('04_調査結果'!$AI$5:$AI$404,'04_調査結果'!$BE$5:$BE$404,K74,'04_調査結果'!$AZ$5:$AZ$404,"&gt;0",'04_調査結果'!$AH$5:$AH$404,"ニアショア候補"))</f>
        <v/>
      </c>
      <c r="P74">
        <f>IF(K74="","",IFERROR(INDEX('04_調査結果'!$F$5:$F$404,MATCH(K74,'04_調査結果'!$BE$5:$BE$404,0))&amp;"",""))</f>
        <v/>
      </c>
    </row>
    <row r="75">
      <c r="B75" s="34" t="n">
        <v>71</v>
      </c>
      <c r="C75">
        <f>IFERROR(INDEX('04_調査結果'!$BB$5:$BB$404,MATCH(B75,'04_調査結果'!$BD$5:$BD$404,0)),"")</f>
        <v/>
      </c>
      <c r="D75">
        <f>IF(C75="","",COUNTIFS('04_調査結果'!$BB$5:$BB$404,C75,'04_調査結果'!$AB$5:$AB$404,"OK"))</f>
        <v/>
      </c>
      <c r="E75">
        <f>IF(C75="","",INDEX($I$5:$I$104,MATCH(H75,$H$5:$H$104,0)))</f>
        <v/>
      </c>
      <c r="F75" s="31" t="n"/>
      <c r="G75">
        <f>IF(C75="","",IF(F75&lt;&gt;"",F75,E75))</f>
        <v/>
      </c>
      <c r="H75" s="34">
        <f>IF(C75="","",UPPER(SUBSTITUTE(SUBSTITUTE(SUBSTITUTE(SUBSTITUTE(SUBSTITUTE(SUBSTITUTE(SUBSTITUTE(SUBSTITUTE(SUBSTITUTE(SUBSTITUTE(SUBSTITUTE(ASC(C75),"株式会社",""),"有限会社",""),"合同会社",""),"(株)",""),"(有)",""),"(同)",""),"㈱",""),"㈲",""),"様",""),"御中","")," ","")))</f>
        <v/>
      </c>
      <c r="I75" s="34">
        <f>IF(C75="","",TRIM(SUBSTITUTE(SUBSTITUTE(SUBSTITUTE(SUBSTITUTE(SUBSTITUTE(SUBSTITUTE(SUBSTITUTE(SUBSTITUTE(SUBSTITUTE(SUBSTITUTE(SUBSTITUTE(C75,"株式会社",""),"有限会社",""),"合同会社",""),"(株)",""),"（株）",""),"㈱",""),"(有)",""),"（有）",""),"㈲",""),"様",""),"御中","")))</f>
        <v/>
      </c>
      <c r="J75">
        <f>IF(OR(K75="",M75=""),"",RANK(M75,$M$5:$M$104))</f>
        <v/>
      </c>
      <c r="K75">
        <f>IFERROR(INDEX('04_調査結果'!$BE$5:$BE$404,MATCH((ROW()-5),'04_調査結果'!$BG$5:$BG$404,0)),"")</f>
        <v/>
      </c>
      <c r="L75">
        <f>IF(K75="","",COUNTIFS('04_調査結果'!$BE$5:$BE$404,K75,'04_調査結果'!$AZ$5:$AZ$404,"&gt;0"))</f>
        <v/>
      </c>
      <c r="M75" s="33">
        <f>IF(K75="","",SUMIFS('04_調査結果'!$AI$5:$AI$404,'04_調査結果'!$BE$5:$BE$404,K75,'04_調査結果'!$AZ$5:$AZ$404,"&gt;0"))</f>
        <v/>
      </c>
      <c r="N75">
        <f>IF(K75="","",COUNTIFS('04_調査結果'!$BE$5:$BE$404,K75,'04_調査結果'!$AZ$5:$AZ$404,"&gt;0",'04_調査結果'!$M$5:$M$404,"暗黙"))</f>
        <v/>
      </c>
      <c r="O75" s="33">
        <f>IF(K75="","",SUMIFS('04_調査結果'!$AI$5:$AI$404,'04_調査結果'!$BE$5:$BE$404,K75,'04_調査結果'!$AZ$5:$AZ$404,"&gt;0",'04_調査結果'!$AH$5:$AH$404,"自動化候補")+SUMIFS('04_調査結果'!$AI$5:$AI$404,'04_調査結果'!$BE$5:$BE$404,K75,'04_調査結果'!$AZ$5:$AZ$404,"&gt;0",'04_調査結果'!$AH$5:$AH$404,"オフショア候補")+SUMIFS('04_調査結果'!$AI$5:$AI$404,'04_調査結果'!$BE$5:$BE$404,K75,'04_調査結果'!$AZ$5:$AZ$404,"&gt;0",'04_調査結果'!$AH$5:$AH$404,"ニアショア候補"))</f>
        <v/>
      </c>
      <c r="P75">
        <f>IF(K75="","",IFERROR(INDEX('04_調査結果'!$F$5:$F$404,MATCH(K75,'04_調査結果'!$BE$5:$BE$404,0))&amp;"",""))</f>
        <v/>
      </c>
    </row>
    <row r="76">
      <c r="B76" s="34" t="n">
        <v>72</v>
      </c>
      <c r="C76">
        <f>IFERROR(INDEX('04_調査結果'!$BB$5:$BB$404,MATCH(B76,'04_調査結果'!$BD$5:$BD$404,0)),"")</f>
        <v/>
      </c>
      <c r="D76">
        <f>IF(C76="","",COUNTIFS('04_調査結果'!$BB$5:$BB$404,C76,'04_調査結果'!$AB$5:$AB$404,"OK"))</f>
        <v/>
      </c>
      <c r="E76">
        <f>IF(C76="","",INDEX($I$5:$I$104,MATCH(H76,$H$5:$H$104,0)))</f>
        <v/>
      </c>
      <c r="F76" s="31" t="n"/>
      <c r="G76">
        <f>IF(C76="","",IF(F76&lt;&gt;"",F76,E76))</f>
        <v/>
      </c>
      <c r="H76" s="34">
        <f>IF(C76="","",UPPER(SUBSTITUTE(SUBSTITUTE(SUBSTITUTE(SUBSTITUTE(SUBSTITUTE(SUBSTITUTE(SUBSTITUTE(SUBSTITUTE(SUBSTITUTE(SUBSTITUTE(SUBSTITUTE(ASC(C76),"株式会社",""),"有限会社",""),"合同会社",""),"(株)",""),"(有)",""),"(同)",""),"㈱",""),"㈲",""),"様",""),"御中","")," ","")))</f>
        <v/>
      </c>
      <c r="I76" s="34">
        <f>IF(C76="","",TRIM(SUBSTITUTE(SUBSTITUTE(SUBSTITUTE(SUBSTITUTE(SUBSTITUTE(SUBSTITUTE(SUBSTITUTE(SUBSTITUTE(SUBSTITUTE(SUBSTITUTE(SUBSTITUTE(C76,"株式会社",""),"有限会社",""),"合同会社",""),"(株)",""),"（株）",""),"㈱",""),"(有)",""),"（有）",""),"㈲",""),"様",""),"御中","")))</f>
        <v/>
      </c>
      <c r="J76">
        <f>IF(OR(K76="",M76=""),"",RANK(M76,$M$5:$M$104))</f>
        <v/>
      </c>
      <c r="K76">
        <f>IFERROR(INDEX('04_調査結果'!$BE$5:$BE$404,MATCH((ROW()-5),'04_調査結果'!$BG$5:$BG$404,0)),"")</f>
        <v/>
      </c>
      <c r="L76">
        <f>IF(K76="","",COUNTIFS('04_調査結果'!$BE$5:$BE$404,K76,'04_調査結果'!$AZ$5:$AZ$404,"&gt;0"))</f>
        <v/>
      </c>
      <c r="M76" s="33">
        <f>IF(K76="","",SUMIFS('04_調査結果'!$AI$5:$AI$404,'04_調査結果'!$BE$5:$BE$404,K76,'04_調査結果'!$AZ$5:$AZ$404,"&gt;0"))</f>
        <v/>
      </c>
      <c r="N76">
        <f>IF(K76="","",COUNTIFS('04_調査結果'!$BE$5:$BE$404,K76,'04_調査結果'!$AZ$5:$AZ$404,"&gt;0",'04_調査結果'!$M$5:$M$404,"暗黙"))</f>
        <v/>
      </c>
      <c r="O76" s="33">
        <f>IF(K76="","",SUMIFS('04_調査結果'!$AI$5:$AI$404,'04_調査結果'!$BE$5:$BE$404,K76,'04_調査結果'!$AZ$5:$AZ$404,"&gt;0",'04_調査結果'!$AH$5:$AH$404,"自動化候補")+SUMIFS('04_調査結果'!$AI$5:$AI$404,'04_調査結果'!$BE$5:$BE$404,K76,'04_調査結果'!$AZ$5:$AZ$404,"&gt;0",'04_調査結果'!$AH$5:$AH$404,"オフショア候補")+SUMIFS('04_調査結果'!$AI$5:$AI$404,'04_調査結果'!$BE$5:$BE$404,K76,'04_調査結果'!$AZ$5:$AZ$404,"&gt;0",'04_調査結果'!$AH$5:$AH$404,"ニアショア候補"))</f>
        <v/>
      </c>
      <c r="P76">
        <f>IF(K76="","",IFERROR(INDEX('04_調査結果'!$F$5:$F$404,MATCH(K76,'04_調査結果'!$BE$5:$BE$404,0))&amp;"",""))</f>
        <v/>
      </c>
    </row>
    <row r="77">
      <c r="B77" s="34" t="n">
        <v>73</v>
      </c>
      <c r="C77">
        <f>IFERROR(INDEX('04_調査結果'!$BB$5:$BB$404,MATCH(B77,'04_調査結果'!$BD$5:$BD$404,0)),"")</f>
        <v/>
      </c>
      <c r="D77">
        <f>IF(C77="","",COUNTIFS('04_調査結果'!$BB$5:$BB$404,C77,'04_調査結果'!$AB$5:$AB$404,"OK"))</f>
        <v/>
      </c>
      <c r="E77">
        <f>IF(C77="","",INDEX($I$5:$I$104,MATCH(H77,$H$5:$H$104,0)))</f>
        <v/>
      </c>
      <c r="F77" s="31" t="n"/>
      <c r="G77">
        <f>IF(C77="","",IF(F77&lt;&gt;"",F77,E77))</f>
        <v/>
      </c>
      <c r="H77" s="34">
        <f>IF(C77="","",UPPER(SUBSTITUTE(SUBSTITUTE(SUBSTITUTE(SUBSTITUTE(SUBSTITUTE(SUBSTITUTE(SUBSTITUTE(SUBSTITUTE(SUBSTITUTE(SUBSTITUTE(SUBSTITUTE(ASC(C77),"株式会社",""),"有限会社",""),"合同会社",""),"(株)",""),"(有)",""),"(同)",""),"㈱",""),"㈲",""),"様",""),"御中","")," ","")))</f>
        <v/>
      </c>
      <c r="I77" s="34">
        <f>IF(C77="","",TRIM(SUBSTITUTE(SUBSTITUTE(SUBSTITUTE(SUBSTITUTE(SUBSTITUTE(SUBSTITUTE(SUBSTITUTE(SUBSTITUTE(SUBSTITUTE(SUBSTITUTE(SUBSTITUTE(C77,"株式会社",""),"有限会社",""),"合同会社",""),"(株)",""),"（株）",""),"㈱",""),"(有)",""),"（有）",""),"㈲",""),"様",""),"御中","")))</f>
        <v/>
      </c>
      <c r="J77">
        <f>IF(OR(K77="",M77=""),"",RANK(M77,$M$5:$M$104))</f>
        <v/>
      </c>
      <c r="K77">
        <f>IFERROR(INDEX('04_調査結果'!$BE$5:$BE$404,MATCH((ROW()-5),'04_調査結果'!$BG$5:$BG$404,0)),"")</f>
        <v/>
      </c>
      <c r="L77">
        <f>IF(K77="","",COUNTIFS('04_調査結果'!$BE$5:$BE$404,K77,'04_調査結果'!$AZ$5:$AZ$404,"&gt;0"))</f>
        <v/>
      </c>
      <c r="M77" s="33">
        <f>IF(K77="","",SUMIFS('04_調査結果'!$AI$5:$AI$404,'04_調査結果'!$BE$5:$BE$404,K77,'04_調査結果'!$AZ$5:$AZ$404,"&gt;0"))</f>
        <v/>
      </c>
      <c r="N77">
        <f>IF(K77="","",COUNTIFS('04_調査結果'!$BE$5:$BE$404,K77,'04_調査結果'!$AZ$5:$AZ$404,"&gt;0",'04_調査結果'!$M$5:$M$404,"暗黙"))</f>
        <v/>
      </c>
      <c r="O77" s="33">
        <f>IF(K77="","",SUMIFS('04_調査結果'!$AI$5:$AI$404,'04_調査結果'!$BE$5:$BE$404,K77,'04_調査結果'!$AZ$5:$AZ$404,"&gt;0",'04_調査結果'!$AH$5:$AH$404,"自動化候補")+SUMIFS('04_調査結果'!$AI$5:$AI$404,'04_調査結果'!$BE$5:$BE$404,K77,'04_調査結果'!$AZ$5:$AZ$404,"&gt;0",'04_調査結果'!$AH$5:$AH$404,"オフショア候補")+SUMIFS('04_調査結果'!$AI$5:$AI$404,'04_調査結果'!$BE$5:$BE$404,K77,'04_調査結果'!$AZ$5:$AZ$404,"&gt;0",'04_調査結果'!$AH$5:$AH$404,"ニアショア候補"))</f>
        <v/>
      </c>
      <c r="P77">
        <f>IF(K77="","",IFERROR(INDEX('04_調査結果'!$F$5:$F$404,MATCH(K77,'04_調査結果'!$BE$5:$BE$404,0))&amp;"",""))</f>
        <v/>
      </c>
    </row>
    <row r="78">
      <c r="B78" s="34" t="n">
        <v>74</v>
      </c>
      <c r="C78">
        <f>IFERROR(INDEX('04_調査結果'!$BB$5:$BB$404,MATCH(B78,'04_調査結果'!$BD$5:$BD$404,0)),"")</f>
        <v/>
      </c>
      <c r="D78">
        <f>IF(C78="","",COUNTIFS('04_調査結果'!$BB$5:$BB$404,C78,'04_調査結果'!$AB$5:$AB$404,"OK"))</f>
        <v/>
      </c>
      <c r="E78">
        <f>IF(C78="","",INDEX($I$5:$I$104,MATCH(H78,$H$5:$H$104,0)))</f>
        <v/>
      </c>
      <c r="F78" s="31" t="n"/>
      <c r="G78">
        <f>IF(C78="","",IF(F78&lt;&gt;"",F78,E78))</f>
        <v/>
      </c>
      <c r="H78" s="34">
        <f>IF(C78="","",UPPER(SUBSTITUTE(SUBSTITUTE(SUBSTITUTE(SUBSTITUTE(SUBSTITUTE(SUBSTITUTE(SUBSTITUTE(SUBSTITUTE(SUBSTITUTE(SUBSTITUTE(SUBSTITUTE(ASC(C78),"株式会社",""),"有限会社",""),"合同会社",""),"(株)",""),"(有)",""),"(同)",""),"㈱",""),"㈲",""),"様",""),"御中","")," ","")))</f>
        <v/>
      </c>
      <c r="I78" s="34">
        <f>IF(C78="","",TRIM(SUBSTITUTE(SUBSTITUTE(SUBSTITUTE(SUBSTITUTE(SUBSTITUTE(SUBSTITUTE(SUBSTITUTE(SUBSTITUTE(SUBSTITUTE(SUBSTITUTE(SUBSTITUTE(C78,"株式会社",""),"有限会社",""),"合同会社",""),"(株)",""),"（株）",""),"㈱",""),"(有)",""),"（有）",""),"㈲",""),"様",""),"御中","")))</f>
        <v/>
      </c>
      <c r="J78">
        <f>IF(OR(K78="",M78=""),"",RANK(M78,$M$5:$M$104))</f>
        <v/>
      </c>
      <c r="K78">
        <f>IFERROR(INDEX('04_調査結果'!$BE$5:$BE$404,MATCH((ROW()-5),'04_調査結果'!$BG$5:$BG$404,0)),"")</f>
        <v/>
      </c>
      <c r="L78">
        <f>IF(K78="","",COUNTIFS('04_調査結果'!$BE$5:$BE$404,K78,'04_調査結果'!$AZ$5:$AZ$404,"&gt;0"))</f>
        <v/>
      </c>
      <c r="M78" s="33">
        <f>IF(K78="","",SUMIFS('04_調査結果'!$AI$5:$AI$404,'04_調査結果'!$BE$5:$BE$404,K78,'04_調査結果'!$AZ$5:$AZ$404,"&gt;0"))</f>
        <v/>
      </c>
      <c r="N78">
        <f>IF(K78="","",COUNTIFS('04_調査結果'!$BE$5:$BE$404,K78,'04_調査結果'!$AZ$5:$AZ$404,"&gt;0",'04_調査結果'!$M$5:$M$404,"暗黙"))</f>
        <v/>
      </c>
      <c r="O78" s="33">
        <f>IF(K78="","",SUMIFS('04_調査結果'!$AI$5:$AI$404,'04_調査結果'!$BE$5:$BE$404,K78,'04_調査結果'!$AZ$5:$AZ$404,"&gt;0",'04_調査結果'!$AH$5:$AH$404,"自動化候補")+SUMIFS('04_調査結果'!$AI$5:$AI$404,'04_調査結果'!$BE$5:$BE$404,K78,'04_調査結果'!$AZ$5:$AZ$404,"&gt;0",'04_調査結果'!$AH$5:$AH$404,"オフショア候補")+SUMIFS('04_調査結果'!$AI$5:$AI$404,'04_調査結果'!$BE$5:$BE$404,K78,'04_調査結果'!$AZ$5:$AZ$404,"&gt;0",'04_調査結果'!$AH$5:$AH$404,"ニアショア候補"))</f>
        <v/>
      </c>
      <c r="P78">
        <f>IF(K78="","",IFERROR(INDEX('04_調査結果'!$F$5:$F$404,MATCH(K78,'04_調査結果'!$BE$5:$BE$404,0))&amp;"",""))</f>
        <v/>
      </c>
    </row>
    <row r="79">
      <c r="B79" s="34" t="n">
        <v>75</v>
      </c>
      <c r="C79">
        <f>IFERROR(INDEX('04_調査結果'!$BB$5:$BB$404,MATCH(B79,'04_調査結果'!$BD$5:$BD$404,0)),"")</f>
        <v/>
      </c>
      <c r="D79">
        <f>IF(C79="","",COUNTIFS('04_調査結果'!$BB$5:$BB$404,C79,'04_調査結果'!$AB$5:$AB$404,"OK"))</f>
        <v/>
      </c>
      <c r="E79">
        <f>IF(C79="","",INDEX($I$5:$I$104,MATCH(H79,$H$5:$H$104,0)))</f>
        <v/>
      </c>
      <c r="F79" s="31" t="n"/>
      <c r="G79">
        <f>IF(C79="","",IF(F79&lt;&gt;"",F79,E79))</f>
        <v/>
      </c>
      <c r="H79" s="34">
        <f>IF(C79="","",UPPER(SUBSTITUTE(SUBSTITUTE(SUBSTITUTE(SUBSTITUTE(SUBSTITUTE(SUBSTITUTE(SUBSTITUTE(SUBSTITUTE(SUBSTITUTE(SUBSTITUTE(SUBSTITUTE(ASC(C79),"株式会社",""),"有限会社",""),"合同会社",""),"(株)",""),"(有)",""),"(同)",""),"㈱",""),"㈲",""),"様",""),"御中","")," ","")))</f>
        <v/>
      </c>
      <c r="I79" s="34">
        <f>IF(C79="","",TRIM(SUBSTITUTE(SUBSTITUTE(SUBSTITUTE(SUBSTITUTE(SUBSTITUTE(SUBSTITUTE(SUBSTITUTE(SUBSTITUTE(SUBSTITUTE(SUBSTITUTE(SUBSTITUTE(C79,"株式会社",""),"有限会社",""),"合同会社",""),"(株)",""),"（株）",""),"㈱",""),"(有)",""),"（有）",""),"㈲",""),"様",""),"御中","")))</f>
        <v/>
      </c>
      <c r="J79">
        <f>IF(OR(K79="",M79=""),"",RANK(M79,$M$5:$M$104))</f>
        <v/>
      </c>
      <c r="K79">
        <f>IFERROR(INDEX('04_調査結果'!$BE$5:$BE$404,MATCH((ROW()-5),'04_調査結果'!$BG$5:$BG$404,0)),"")</f>
        <v/>
      </c>
      <c r="L79">
        <f>IF(K79="","",COUNTIFS('04_調査結果'!$BE$5:$BE$404,K79,'04_調査結果'!$AZ$5:$AZ$404,"&gt;0"))</f>
        <v/>
      </c>
      <c r="M79" s="33">
        <f>IF(K79="","",SUMIFS('04_調査結果'!$AI$5:$AI$404,'04_調査結果'!$BE$5:$BE$404,K79,'04_調査結果'!$AZ$5:$AZ$404,"&gt;0"))</f>
        <v/>
      </c>
      <c r="N79">
        <f>IF(K79="","",COUNTIFS('04_調査結果'!$BE$5:$BE$404,K79,'04_調査結果'!$AZ$5:$AZ$404,"&gt;0",'04_調査結果'!$M$5:$M$404,"暗黙"))</f>
        <v/>
      </c>
      <c r="O79" s="33">
        <f>IF(K79="","",SUMIFS('04_調査結果'!$AI$5:$AI$404,'04_調査結果'!$BE$5:$BE$404,K79,'04_調査結果'!$AZ$5:$AZ$404,"&gt;0",'04_調査結果'!$AH$5:$AH$404,"自動化候補")+SUMIFS('04_調査結果'!$AI$5:$AI$404,'04_調査結果'!$BE$5:$BE$404,K79,'04_調査結果'!$AZ$5:$AZ$404,"&gt;0",'04_調査結果'!$AH$5:$AH$404,"オフショア候補")+SUMIFS('04_調査結果'!$AI$5:$AI$404,'04_調査結果'!$BE$5:$BE$404,K79,'04_調査結果'!$AZ$5:$AZ$404,"&gt;0",'04_調査結果'!$AH$5:$AH$404,"ニアショア候補"))</f>
        <v/>
      </c>
      <c r="P79">
        <f>IF(K79="","",IFERROR(INDEX('04_調査結果'!$F$5:$F$404,MATCH(K79,'04_調査結果'!$BE$5:$BE$404,0))&amp;"",""))</f>
        <v/>
      </c>
    </row>
    <row r="80">
      <c r="B80" s="34" t="n">
        <v>76</v>
      </c>
      <c r="C80">
        <f>IFERROR(INDEX('04_調査結果'!$BB$5:$BB$404,MATCH(B80,'04_調査結果'!$BD$5:$BD$404,0)),"")</f>
        <v/>
      </c>
      <c r="D80">
        <f>IF(C80="","",COUNTIFS('04_調査結果'!$BB$5:$BB$404,C80,'04_調査結果'!$AB$5:$AB$404,"OK"))</f>
        <v/>
      </c>
      <c r="E80">
        <f>IF(C80="","",INDEX($I$5:$I$104,MATCH(H80,$H$5:$H$104,0)))</f>
        <v/>
      </c>
      <c r="F80" s="31" t="n"/>
      <c r="G80">
        <f>IF(C80="","",IF(F80&lt;&gt;"",F80,E80))</f>
        <v/>
      </c>
      <c r="H80" s="34">
        <f>IF(C80="","",UPPER(SUBSTITUTE(SUBSTITUTE(SUBSTITUTE(SUBSTITUTE(SUBSTITUTE(SUBSTITUTE(SUBSTITUTE(SUBSTITUTE(SUBSTITUTE(SUBSTITUTE(SUBSTITUTE(ASC(C80),"株式会社",""),"有限会社",""),"合同会社",""),"(株)",""),"(有)",""),"(同)",""),"㈱",""),"㈲",""),"様",""),"御中","")," ","")))</f>
        <v/>
      </c>
      <c r="I80" s="34">
        <f>IF(C80="","",TRIM(SUBSTITUTE(SUBSTITUTE(SUBSTITUTE(SUBSTITUTE(SUBSTITUTE(SUBSTITUTE(SUBSTITUTE(SUBSTITUTE(SUBSTITUTE(SUBSTITUTE(SUBSTITUTE(C80,"株式会社",""),"有限会社",""),"合同会社",""),"(株)",""),"（株）",""),"㈱",""),"(有)",""),"（有）",""),"㈲",""),"様",""),"御中","")))</f>
        <v/>
      </c>
      <c r="J80">
        <f>IF(OR(K80="",M80=""),"",RANK(M80,$M$5:$M$104))</f>
        <v/>
      </c>
      <c r="K80">
        <f>IFERROR(INDEX('04_調査結果'!$BE$5:$BE$404,MATCH((ROW()-5),'04_調査結果'!$BG$5:$BG$404,0)),"")</f>
        <v/>
      </c>
      <c r="L80">
        <f>IF(K80="","",COUNTIFS('04_調査結果'!$BE$5:$BE$404,K80,'04_調査結果'!$AZ$5:$AZ$404,"&gt;0"))</f>
        <v/>
      </c>
      <c r="M80" s="33">
        <f>IF(K80="","",SUMIFS('04_調査結果'!$AI$5:$AI$404,'04_調査結果'!$BE$5:$BE$404,K80,'04_調査結果'!$AZ$5:$AZ$404,"&gt;0"))</f>
        <v/>
      </c>
      <c r="N80">
        <f>IF(K80="","",COUNTIFS('04_調査結果'!$BE$5:$BE$404,K80,'04_調査結果'!$AZ$5:$AZ$404,"&gt;0",'04_調査結果'!$M$5:$M$404,"暗黙"))</f>
        <v/>
      </c>
      <c r="O80" s="33">
        <f>IF(K80="","",SUMIFS('04_調査結果'!$AI$5:$AI$404,'04_調査結果'!$BE$5:$BE$404,K80,'04_調査結果'!$AZ$5:$AZ$404,"&gt;0",'04_調査結果'!$AH$5:$AH$404,"自動化候補")+SUMIFS('04_調査結果'!$AI$5:$AI$404,'04_調査結果'!$BE$5:$BE$404,K80,'04_調査結果'!$AZ$5:$AZ$404,"&gt;0",'04_調査結果'!$AH$5:$AH$404,"オフショア候補")+SUMIFS('04_調査結果'!$AI$5:$AI$404,'04_調査結果'!$BE$5:$BE$404,K80,'04_調査結果'!$AZ$5:$AZ$404,"&gt;0",'04_調査結果'!$AH$5:$AH$404,"ニアショア候補"))</f>
        <v/>
      </c>
      <c r="P80">
        <f>IF(K80="","",IFERROR(INDEX('04_調査結果'!$F$5:$F$404,MATCH(K80,'04_調査結果'!$BE$5:$BE$404,0))&amp;"",""))</f>
        <v/>
      </c>
    </row>
    <row r="81">
      <c r="B81" s="34" t="n">
        <v>77</v>
      </c>
      <c r="C81">
        <f>IFERROR(INDEX('04_調査結果'!$BB$5:$BB$404,MATCH(B81,'04_調査結果'!$BD$5:$BD$404,0)),"")</f>
        <v/>
      </c>
      <c r="D81">
        <f>IF(C81="","",COUNTIFS('04_調査結果'!$BB$5:$BB$404,C81,'04_調査結果'!$AB$5:$AB$404,"OK"))</f>
        <v/>
      </c>
      <c r="E81">
        <f>IF(C81="","",INDEX($I$5:$I$104,MATCH(H81,$H$5:$H$104,0)))</f>
        <v/>
      </c>
      <c r="F81" s="31" t="n"/>
      <c r="G81">
        <f>IF(C81="","",IF(F81&lt;&gt;"",F81,E81))</f>
        <v/>
      </c>
      <c r="H81" s="34">
        <f>IF(C81="","",UPPER(SUBSTITUTE(SUBSTITUTE(SUBSTITUTE(SUBSTITUTE(SUBSTITUTE(SUBSTITUTE(SUBSTITUTE(SUBSTITUTE(SUBSTITUTE(SUBSTITUTE(SUBSTITUTE(ASC(C81),"株式会社",""),"有限会社",""),"合同会社",""),"(株)",""),"(有)",""),"(同)",""),"㈱",""),"㈲",""),"様",""),"御中","")," ","")))</f>
        <v/>
      </c>
      <c r="I81" s="34">
        <f>IF(C81="","",TRIM(SUBSTITUTE(SUBSTITUTE(SUBSTITUTE(SUBSTITUTE(SUBSTITUTE(SUBSTITUTE(SUBSTITUTE(SUBSTITUTE(SUBSTITUTE(SUBSTITUTE(SUBSTITUTE(C81,"株式会社",""),"有限会社",""),"合同会社",""),"(株)",""),"（株）",""),"㈱",""),"(有)",""),"（有）",""),"㈲",""),"様",""),"御中","")))</f>
        <v/>
      </c>
      <c r="J81">
        <f>IF(OR(K81="",M81=""),"",RANK(M81,$M$5:$M$104))</f>
        <v/>
      </c>
      <c r="K81">
        <f>IFERROR(INDEX('04_調査結果'!$BE$5:$BE$404,MATCH((ROW()-5),'04_調査結果'!$BG$5:$BG$404,0)),"")</f>
        <v/>
      </c>
      <c r="L81">
        <f>IF(K81="","",COUNTIFS('04_調査結果'!$BE$5:$BE$404,K81,'04_調査結果'!$AZ$5:$AZ$404,"&gt;0"))</f>
        <v/>
      </c>
      <c r="M81" s="33">
        <f>IF(K81="","",SUMIFS('04_調査結果'!$AI$5:$AI$404,'04_調査結果'!$BE$5:$BE$404,K81,'04_調査結果'!$AZ$5:$AZ$404,"&gt;0"))</f>
        <v/>
      </c>
      <c r="N81">
        <f>IF(K81="","",COUNTIFS('04_調査結果'!$BE$5:$BE$404,K81,'04_調査結果'!$AZ$5:$AZ$404,"&gt;0",'04_調査結果'!$M$5:$M$404,"暗黙"))</f>
        <v/>
      </c>
      <c r="O81" s="33">
        <f>IF(K81="","",SUMIFS('04_調査結果'!$AI$5:$AI$404,'04_調査結果'!$BE$5:$BE$404,K81,'04_調査結果'!$AZ$5:$AZ$404,"&gt;0",'04_調査結果'!$AH$5:$AH$404,"自動化候補")+SUMIFS('04_調査結果'!$AI$5:$AI$404,'04_調査結果'!$BE$5:$BE$404,K81,'04_調査結果'!$AZ$5:$AZ$404,"&gt;0",'04_調査結果'!$AH$5:$AH$404,"オフショア候補")+SUMIFS('04_調査結果'!$AI$5:$AI$404,'04_調査結果'!$BE$5:$BE$404,K81,'04_調査結果'!$AZ$5:$AZ$404,"&gt;0",'04_調査結果'!$AH$5:$AH$404,"ニアショア候補"))</f>
        <v/>
      </c>
      <c r="P81">
        <f>IF(K81="","",IFERROR(INDEX('04_調査結果'!$F$5:$F$404,MATCH(K81,'04_調査結果'!$BE$5:$BE$404,0))&amp;"",""))</f>
        <v/>
      </c>
    </row>
    <row r="82">
      <c r="B82" s="34" t="n">
        <v>78</v>
      </c>
      <c r="C82">
        <f>IFERROR(INDEX('04_調査結果'!$BB$5:$BB$404,MATCH(B82,'04_調査結果'!$BD$5:$BD$404,0)),"")</f>
        <v/>
      </c>
      <c r="D82">
        <f>IF(C82="","",COUNTIFS('04_調査結果'!$BB$5:$BB$404,C82,'04_調査結果'!$AB$5:$AB$404,"OK"))</f>
        <v/>
      </c>
      <c r="E82">
        <f>IF(C82="","",INDEX($I$5:$I$104,MATCH(H82,$H$5:$H$104,0)))</f>
        <v/>
      </c>
      <c r="F82" s="31" t="n"/>
      <c r="G82">
        <f>IF(C82="","",IF(F82&lt;&gt;"",F82,E82))</f>
        <v/>
      </c>
      <c r="H82" s="34">
        <f>IF(C82="","",UPPER(SUBSTITUTE(SUBSTITUTE(SUBSTITUTE(SUBSTITUTE(SUBSTITUTE(SUBSTITUTE(SUBSTITUTE(SUBSTITUTE(SUBSTITUTE(SUBSTITUTE(SUBSTITUTE(ASC(C82),"株式会社",""),"有限会社",""),"合同会社",""),"(株)",""),"(有)",""),"(同)",""),"㈱",""),"㈲",""),"様",""),"御中","")," ","")))</f>
        <v/>
      </c>
      <c r="I82" s="34">
        <f>IF(C82="","",TRIM(SUBSTITUTE(SUBSTITUTE(SUBSTITUTE(SUBSTITUTE(SUBSTITUTE(SUBSTITUTE(SUBSTITUTE(SUBSTITUTE(SUBSTITUTE(SUBSTITUTE(SUBSTITUTE(C82,"株式会社",""),"有限会社",""),"合同会社",""),"(株)",""),"（株）",""),"㈱",""),"(有)",""),"（有）",""),"㈲",""),"様",""),"御中","")))</f>
        <v/>
      </c>
      <c r="J82">
        <f>IF(OR(K82="",M82=""),"",RANK(M82,$M$5:$M$104))</f>
        <v/>
      </c>
      <c r="K82">
        <f>IFERROR(INDEX('04_調査結果'!$BE$5:$BE$404,MATCH((ROW()-5),'04_調査結果'!$BG$5:$BG$404,0)),"")</f>
        <v/>
      </c>
      <c r="L82">
        <f>IF(K82="","",COUNTIFS('04_調査結果'!$BE$5:$BE$404,K82,'04_調査結果'!$AZ$5:$AZ$404,"&gt;0"))</f>
        <v/>
      </c>
      <c r="M82" s="33">
        <f>IF(K82="","",SUMIFS('04_調査結果'!$AI$5:$AI$404,'04_調査結果'!$BE$5:$BE$404,K82,'04_調査結果'!$AZ$5:$AZ$404,"&gt;0"))</f>
        <v/>
      </c>
      <c r="N82">
        <f>IF(K82="","",COUNTIFS('04_調査結果'!$BE$5:$BE$404,K82,'04_調査結果'!$AZ$5:$AZ$404,"&gt;0",'04_調査結果'!$M$5:$M$404,"暗黙"))</f>
        <v/>
      </c>
      <c r="O82" s="33">
        <f>IF(K82="","",SUMIFS('04_調査結果'!$AI$5:$AI$404,'04_調査結果'!$BE$5:$BE$404,K82,'04_調査結果'!$AZ$5:$AZ$404,"&gt;0",'04_調査結果'!$AH$5:$AH$404,"自動化候補")+SUMIFS('04_調査結果'!$AI$5:$AI$404,'04_調査結果'!$BE$5:$BE$404,K82,'04_調査結果'!$AZ$5:$AZ$404,"&gt;0",'04_調査結果'!$AH$5:$AH$404,"オフショア候補")+SUMIFS('04_調査結果'!$AI$5:$AI$404,'04_調査結果'!$BE$5:$BE$404,K82,'04_調査結果'!$AZ$5:$AZ$404,"&gt;0",'04_調査結果'!$AH$5:$AH$404,"ニアショア候補"))</f>
        <v/>
      </c>
      <c r="P82">
        <f>IF(K82="","",IFERROR(INDEX('04_調査結果'!$F$5:$F$404,MATCH(K82,'04_調査結果'!$BE$5:$BE$404,0))&amp;"",""))</f>
        <v/>
      </c>
    </row>
    <row r="83">
      <c r="B83" s="34" t="n">
        <v>79</v>
      </c>
      <c r="C83">
        <f>IFERROR(INDEX('04_調査結果'!$BB$5:$BB$404,MATCH(B83,'04_調査結果'!$BD$5:$BD$404,0)),"")</f>
        <v/>
      </c>
      <c r="D83">
        <f>IF(C83="","",COUNTIFS('04_調査結果'!$BB$5:$BB$404,C83,'04_調査結果'!$AB$5:$AB$404,"OK"))</f>
        <v/>
      </c>
      <c r="E83">
        <f>IF(C83="","",INDEX($I$5:$I$104,MATCH(H83,$H$5:$H$104,0)))</f>
        <v/>
      </c>
      <c r="F83" s="31" t="n"/>
      <c r="G83">
        <f>IF(C83="","",IF(F83&lt;&gt;"",F83,E83))</f>
        <v/>
      </c>
      <c r="H83" s="34">
        <f>IF(C83="","",UPPER(SUBSTITUTE(SUBSTITUTE(SUBSTITUTE(SUBSTITUTE(SUBSTITUTE(SUBSTITUTE(SUBSTITUTE(SUBSTITUTE(SUBSTITUTE(SUBSTITUTE(SUBSTITUTE(ASC(C83),"株式会社",""),"有限会社",""),"合同会社",""),"(株)",""),"(有)",""),"(同)",""),"㈱",""),"㈲",""),"様",""),"御中","")," ","")))</f>
        <v/>
      </c>
      <c r="I83" s="34">
        <f>IF(C83="","",TRIM(SUBSTITUTE(SUBSTITUTE(SUBSTITUTE(SUBSTITUTE(SUBSTITUTE(SUBSTITUTE(SUBSTITUTE(SUBSTITUTE(SUBSTITUTE(SUBSTITUTE(SUBSTITUTE(C83,"株式会社",""),"有限会社",""),"合同会社",""),"(株)",""),"（株）",""),"㈱",""),"(有)",""),"（有）",""),"㈲",""),"様",""),"御中","")))</f>
        <v/>
      </c>
      <c r="J83">
        <f>IF(OR(K83="",M83=""),"",RANK(M83,$M$5:$M$104))</f>
        <v/>
      </c>
      <c r="K83">
        <f>IFERROR(INDEX('04_調査結果'!$BE$5:$BE$404,MATCH((ROW()-5),'04_調査結果'!$BG$5:$BG$404,0)),"")</f>
        <v/>
      </c>
      <c r="L83">
        <f>IF(K83="","",COUNTIFS('04_調査結果'!$BE$5:$BE$404,K83,'04_調査結果'!$AZ$5:$AZ$404,"&gt;0"))</f>
        <v/>
      </c>
      <c r="M83" s="33">
        <f>IF(K83="","",SUMIFS('04_調査結果'!$AI$5:$AI$404,'04_調査結果'!$BE$5:$BE$404,K83,'04_調査結果'!$AZ$5:$AZ$404,"&gt;0"))</f>
        <v/>
      </c>
      <c r="N83">
        <f>IF(K83="","",COUNTIFS('04_調査結果'!$BE$5:$BE$404,K83,'04_調査結果'!$AZ$5:$AZ$404,"&gt;0",'04_調査結果'!$M$5:$M$404,"暗黙"))</f>
        <v/>
      </c>
      <c r="O83" s="33">
        <f>IF(K83="","",SUMIFS('04_調査結果'!$AI$5:$AI$404,'04_調査結果'!$BE$5:$BE$404,K83,'04_調査結果'!$AZ$5:$AZ$404,"&gt;0",'04_調査結果'!$AH$5:$AH$404,"自動化候補")+SUMIFS('04_調査結果'!$AI$5:$AI$404,'04_調査結果'!$BE$5:$BE$404,K83,'04_調査結果'!$AZ$5:$AZ$404,"&gt;0",'04_調査結果'!$AH$5:$AH$404,"オフショア候補")+SUMIFS('04_調査結果'!$AI$5:$AI$404,'04_調査結果'!$BE$5:$BE$404,K83,'04_調査結果'!$AZ$5:$AZ$404,"&gt;0",'04_調査結果'!$AH$5:$AH$404,"ニアショア候補"))</f>
        <v/>
      </c>
      <c r="P83">
        <f>IF(K83="","",IFERROR(INDEX('04_調査結果'!$F$5:$F$404,MATCH(K83,'04_調査結果'!$BE$5:$BE$404,0))&amp;"",""))</f>
        <v/>
      </c>
    </row>
    <row r="84">
      <c r="B84" s="34" t="n">
        <v>80</v>
      </c>
      <c r="C84">
        <f>IFERROR(INDEX('04_調査結果'!$BB$5:$BB$404,MATCH(B84,'04_調査結果'!$BD$5:$BD$404,0)),"")</f>
        <v/>
      </c>
      <c r="D84">
        <f>IF(C84="","",COUNTIFS('04_調査結果'!$BB$5:$BB$404,C84,'04_調査結果'!$AB$5:$AB$404,"OK"))</f>
        <v/>
      </c>
      <c r="E84">
        <f>IF(C84="","",INDEX($I$5:$I$104,MATCH(H84,$H$5:$H$104,0)))</f>
        <v/>
      </c>
      <c r="F84" s="31" t="n"/>
      <c r="G84">
        <f>IF(C84="","",IF(F84&lt;&gt;"",F84,E84))</f>
        <v/>
      </c>
      <c r="H84" s="34">
        <f>IF(C84="","",UPPER(SUBSTITUTE(SUBSTITUTE(SUBSTITUTE(SUBSTITUTE(SUBSTITUTE(SUBSTITUTE(SUBSTITUTE(SUBSTITUTE(SUBSTITUTE(SUBSTITUTE(SUBSTITUTE(ASC(C84),"株式会社",""),"有限会社",""),"合同会社",""),"(株)",""),"(有)",""),"(同)",""),"㈱",""),"㈲",""),"様",""),"御中","")," ","")))</f>
        <v/>
      </c>
      <c r="I84" s="34">
        <f>IF(C84="","",TRIM(SUBSTITUTE(SUBSTITUTE(SUBSTITUTE(SUBSTITUTE(SUBSTITUTE(SUBSTITUTE(SUBSTITUTE(SUBSTITUTE(SUBSTITUTE(SUBSTITUTE(SUBSTITUTE(C84,"株式会社",""),"有限会社",""),"合同会社",""),"(株)",""),"（株）",""),"㈱",""),"(有)",""),"（有）",""),"㈲",""),"様",""),"御中","")))</f>
        <v/>
      </c>
      <c r="J84">
        <f>IF(OR(K84="",M84=""),"",RANK(M84,$M$5:$M$104))</f>
        <v/>
      </c>
      <c r="K84">
        <f>IFERROR(INDEX('04_調査結果'!$BE$5:$BE$404,MATCH((ROW()-5),'04_調査結果'!$BG$5:$BG$404,0)),"")</f>
        <v/>
      </c>
      <c r="L84">
        <f>IF(K84="","",COUNTIFS('04_調査結果'!$BE$5:$BE$404,K84,'04_調査結果'!$AZ$5:$AZ$404,"&gt;0"))</f>
        <v/>
      </c>
      <c r="M84" s="33">
        <f>IF(K84="","",SUMIFS('04_調査結果'!$AI$5:$AI$404,'04_調査結果'!$BE$5:$BE$404,K84,'04_調査結果'!$AZ$5:$AZ$404,"&gt;0"))</f>
        <v/>
      </c>
      <c r="N84">
        <f>IF(K84="","",COUNTIFS('04_調査結果'!$BE$5:$BE$404,K84,'04_調査結果'!$AZ$5:$AZ$404,"&gt;0",'04_調査結果'!$M$5:$M$404,"暗黙"))</f>
        <v/>
      </c>
      <c r="O84" s="33">
        <f>IF(K84="","",SUMIFS('04_調査結果'!$AI$5:$AI$404,'04_調査結果'!$BE$5:$BE$404,K84,'04_調査結果'!$AZ$5:$AZ$404,"&gt;0",'04_調査結果'!$AH$5:$AH$404,"自動化候補")+SUMIFS('04_調査結果'!$AI$5:$AI$404,'04_調査結果'!$BE$5:$BE$404,K84,'04_調査結果'!$AZ$5:$AZ$404,"&gt;0",'04_調査結果'!$AH$5:$AH$404,"オフショア候補")+SUMIFS('04_調査結果'!$AI$5:$AI$404,'04_調査結果'!$BE$5:$BE$404,K84,'04_調査結果'!$AZ$5:$AZ$404,"&gt;0",'04_調査結果'!$AH$5:$AH$404,"ニアショア候補"))</f>
        <v/>
      </c>
      <c r="P84">
        <f>IF(K84="","",IFERROR(INDEX('04_調査結果'!$F$5:$F$404,MATCH(K84,'04_調査結果'!$BE$5:$BE$404,0))&amp;"",""))</f>
        <v/>
      </c>
    </row>
    <row r="85">
      <c r="B85" s="34" t="n">
        <v>81</v>
      </c>
      <c r="C85">
        <f>IFERROR(INDEX('04_調査結果'!$BB$5:$BB$404,MATCH(B85,'04_調査結果'!$BD$5:$BD$404,0)),"")</f>
        <v/>
      </c>
      <c r="D85">
        <f>IF(C85="","",COUNTIFS('04_調査結果'!$BB$5:$BB$404,C85,'04_調査結果'!$AB$5:$AB$404,"OK"))</f>
        <v/>
      </c>
      <c r="E85">
        <f>IF(C85="","",INDEX($I$5:$I$104,MATCH(H85,$H$5:$H$104,0)))</f>
        <v/>
      </c>
      <c r="F85" s="31" t="n"/>
      <c r="G85">
        <f>IF(C85="","",IF(F85&lt;&gt;"",F85,E85))</f>
        <v/>
      </c>
      <c r="H85" s="34">
        <f>IF(C85="","",UPPER(SUBSTITUTE(SUBSTITUTE(SUBSTITUTE(SUBSTITUTE(SUBSTITUTE(SUBSTITUTE(SUBSTITUTE(SUBSTITUTE(SUBSTITUTE(SUBSTITUTE(SUBSTITUTE(ASC(C85),"株式会社",""),"有限会社",""),"合同会社",""),"(株)",""),"(有)",""),"(同)",""),"㈱",""),"㈲",""),"様",""),"御中","")," ","")))</f>
        <v/>
      </c>
      <c r="I85" s="34">
        <f>IF(C85="","",TRIM(SUBSTITUTE(SUBSTITUTE(SUBSTITUTE(SUBSTITUTE(SUBSTITUTE(SUBSTITUTE(SUBSTITUTE(SUBSTITUTE(SUBSTITUTE(SUBSTITUTE(SUBSTITUTE(C85,"株式会社",""),"有限会社",""),"合同会社",""),"(株)",""),"（株）",""),"㈱",""),"(有)",""),"（有）",""),"㈲",""),"様",""),"御中","")))</f>
        <v/>
      </c>
      <c r="J85">
        <f>IF(OR(K85="",M85=""),"",RANK(M85,$M$5:$M$104))</f>
        <v/>
      </c>
      <c r="K85">
        <f>IFERROR(INDEX('04_調査結果'!$BE$5:$BE$404,MATCH((ROW()-5),'04_調査結果'!$BG$5:$BG$404,0)),"")</f>
        <v/>
      </c>
      <c r="L85">
        <f>IF(K85="","",COUNTIFS('04_調査結果'!$BE$5:$BE$404,K85,'04_調査結果'!$AZ$5:$AZ$404,"&gt;0"))</f>
        <v/>
      </c>
      <c r="M85" s="33">
        <f>IF(K85="","",SUMIFS('04_調査結果'!$AI$5:$AI$404,'04_調査結果'!$BE$5:$BE$404,K85,'04_調査結果'!$AZ$5:$AZ$404,"&gt;0"))</f>
        <v/>
      </c>
      <c r="N85">
        <f>IF(K85="","",COUNTIFS('04_調査結果'!$BE$5:$BE$404,K85,'04_調査結果'!$AZ$5:$AZ$404,"&gt;0",'04_調査結果'!$M$5:$M$404,"暗黙"))</f>
        <v/>
      </c>
      <c r="O85" s="33">
        <f>IF(K85="","",SUMIFS('04_調査結果'!$AI$5:$AI$404,'04_調査結果'!$BE$5:$BE$404,K85,'04_調査結果'!$AZ$5:$AZ$404,"&gt;0",'04_調査結果'!$AH$5:$AH$404,"自動化候補")+SUMIFS('04_調査結果'!$AI$5:$AI$404,'04_調査結果'!$BE$5:$BE$404,K85,'04_調査結果'!$AZ$5:$AZ$404,"&gt;0",'04_調査結果'!$AH$5:$AH$404,"オフショア候補")+SUMIFS('04_調査結果'!$AI$5:$AI$404,'04_調査結果'!$BE$5:$BE$404,K85,'04_調査結果'!$AZ$5:$AZ$404,"&gt;0",'04_調査結果'!$AH$5:$AH$404,"ニアショア候補"))</f>
        <v/>
      </c>
      <c r="P85">
        <f>IF(K85="","",IFERROR(INDEX('04_調査結果'!$F$5:$F$404,MATCH(K85,'04_調査結果'!$BE$5:$BE$404,0))&amp;"",""))</f>
        <v/>
      </c>
    </row>
    <row r="86">
      <c r="B86" s="34" t="n">
        <v>82</v>
      </c>
      <c r="C86">
        <f>IFERROR(INDEX('04_調査結果'!$BB$5:$BB$404,MATCH(B86,'04_調査結果'!$BD$5:$BD$404,0)),"")</f>
        <v/>
      </c>
      <c r="D86">
        <f>IF(C86="","",COUNTIFS('04_調査結果'!$BB$5:$BB$404,C86,'04_調査結果'!$AB$5:$AB$404,"OK"))</f>
        <v/>
      </c>
      <c r="E86">
        <f>IF(C86="","",INDEX($I$5:$I$104,MATCH(H86,$H$5:$H$104,0)))</f>
        <v/>
      </c>
      <c r="F86" s="31" t="n"/>
      <c r="G86">
        <f>IF(C86="","",IF(F86&lt;&gt;"",F86,E86))</f>
        <v/>
      </c>
      <c r="H86" s="34">
        <f>IF(C86="","",UPPER(SUBSTITUTE(SUBSTITUTE(SUBSTITUTE(SUBSTITUTE(SUBSTITUTE(SUBSTITUTE(SUBSTITUTE(SUBSTITUTE(SUBSTITUTE(SUBSTITUTE(SUBSTITUTE(ASC(C86),"株式会社",""),"有限会社",""),"合同会社",""),"(株)",""),"(有)",""),"(同)",""),"㈱",""),"㈲",""),"様",""),"御中","")," ","")))</f>
        <v/>
      </c>
      <c r="I86" s="34">
        <f>IF(C86="","",TRIM(SUBSTITUTE(SUBSTITUTE(SUBSTITUTE(SUBSTITUTE(SUBSTITUTE(SUBSTITUTE(SUBSTITUTE(SUBSTITUTE(SUBSTITUTE(SUBSTITUTE(SUBSTITUTE(C86,"株式会社",""),"有限会社",""),"合同会社",""),"(株)",""),"（株）",""),"㈱",""),"(有)",""),"（有）",""),"㈲",""),"様",""),"御中","")))</f>
        <v/>
      </c>
      <c r="J86">
        <f>IF(OR(K86="",M86=""),"",RANK(M86,$M$5:$M$104))</f>
        <v/>
      </c>
      <c r="K86">
        <f>IFERROR(INDEX('04_調査結果'!$BE$5:$BE$404,MATCH((ROW()-5),'04_調査結果'!$BG$5:$BG$404,0)),"")</f>
        <v/>
      </c>
      <c r="L86">
        <f>IF(K86="","",COUNTIFS('04_調査結果'!$BE$5:$BE$404,K86,'04_調査結果'!$AZ$5:$AZ$404,"&gt;0"))</f>
        <v/>
      </c>
      <c r="M86" s="33">
        <f>IF(K86="","",SUMIFS('04_調査結果'!$AI$5:$AI$404,'04_調査結果'!$BE$5:$BE$404,K86,'04_調査結果'!$AZ$5:$AZ$404,"&gt;0"))</f>
        <v/>
      </c>
      <c r="N86">
        <f>IF(K86="","",COUNTIFS('04_調査結果'!$BE$5:$BE$404,K86,'04_調査結果'!$AZ$5:$AZ$404,"&gt;0",'04_調査結果'!$M$5:$M$404,"暗黙"))</f>
        <v/>
      </c>
      <c r="O86" s="33">
        <f>IF(K86="","",SUMIFS('04_調査結果'!$AI$5:$AI$404,'04_調査結果'!$BE$5:$BE$404,K86,'04_調査結果'!$AZ$5:$AZ$404,"&gt;0",'04_調査結果'!$AH$5:$AH$404,"自動化候補")+SUMIFS('04_調査結果'!$AI$5:$AI$404,'04_調査結果'!$BE$5:$BE$404,K86,'04_調査結果'!$AZ$5:$AZ$404,"&gt;0",'04_調査結果'!$AH$5:$AH$404,"オフショア候補")+SUMIFS('04_調査結果'!$AI$5:$AI$404,'04_調査結果'!$BE$5:$BE$404,K86,'04_調査結果'!$AZ$5:$AZ$404,"&gt;0",'04_調査結果'!$AH$5:$AH$404,"ニアショア候補"))</f>
        <v/>
      </c>
      <c r="P86">
        <f>IF(K86="","",IFERROR(INDEX('04_調査結果'!$F$5:$F$404,MATCH(K86,'04_調査結果'!$BE$5:$BE$404,0))&amp;"",""))</f>
        <v/>
      </c>
    </row>
    <row r="87">
      <c r="B87" s="34" t="n">
        <v>83</v>
      </c>
      <c r="C87">
        <f>IFERROR(INDEX('04_調査結果'!$BB$5:$BB$404,MATCH(B87,'04_調査結果'!$BD$5:$BD$404,0)),"")</f>
        <v/>
      </c>
      <c r="D87">
        <f>IF(C87="","",COUNTIFS('04_調査結果'!$BB$5:$BB$404,C87,'04_調査結果'!$AB$5:$AB$404,"OK"))</f>
        <v/>
      </c>
      <c r="E87">
        <f>IF(C87="","",INDEX($I$5:$I$104,MATCH(H87,$H$5:$H$104,0)))</f>
        <v/>
      </c>
      <c r="F87" s="31" t="n"/>
      <c r="G87">
        <f>IF(C87="","",IF(F87&lt;&gt;"",F87,E87))</f>
        <v/>
      </c>
      <c r="H87" s="34">
        <f>IF(C87="","",UPPER(SUBSTITUTE(SUBSTITUTE(SUBSTITUTE(SUBSTITUTE(SUBSTITUTE(SUBSTITUTE(SUBSTITUTE(SUBSTITUTE(SUBSTITUTE(SUBSTITUTE(SUBSTITUTE(ASC(C87),"株式会社",""),"有限会社",""),"合同会社",""),"(株)",""),"(有)",""),"(同)",""),"㈱",""),"㈲",""),"様",""),"御中","")," ","")))</f>
        <v/>
      </c>
      <c r="I87" s="34">
        <f>IF(C87="","",TRIM(SUBSTITUTE(SUBSTITUTE(SUBSTITUTE(SUBSTITUTE(SUBSTITUTE(SUBSTITUTE(SUBSTITUTE(SUBSTITUTE(SUBSTITUTE(SUBSTITUTE(SUBSTITUTE(C87,"株式会社",""),"有限会社",""),"合同会社",""),"(株)",""),"（株）",""),"㈱",""),"(有)",""),"（有）",""),"㈲",""),"様",""),"御中","")))</f>
        <v/>
      </c>
      <c r="J87">
        <f>IF(OR(K87="",M87=""),"",RANK(M87,$M$5:$M$104))</f>
        <v/>
      </c>
      <c r="K87">
        <f>IFERROR(INDEX('04_調査結果'!$BE$5:$BE$404,MATCH((ROW()-5),'04_調査結果'!$BG$5:$BG$404,0)),"")</f>
        <v/>
      </c>
      <c r="L87">
        <f>IF(K87="","",COUNTIFS('04_調査結果'!$BE$5:$BE$404,K87,'04_調査結果'!$AZ$5:$AZ$404,"&gt;0"))</f>
        <v/>
      </c>
      <c r="M87" s="33">
        <f>IF(K87="","",SUMIFS('04_調査結果'!$AI$5:$AI$404,'04_調査結果'!$BE$5:$BE$404,K87,'04_調査結果'!$AZ$5:$AZ$404,"&gt;0"))</f>
        <v/>
      </c>
      <c r="N87">
        <f>IF(K87="","",COUNTIFS('04_調査結果'!$BE$5:$BE$404,K87,'04_調査結果'!$AZ$5:$AZ$404,"&gt;0",'04_調査結果'!$M$5:$M$404,"暗黙"))</f>
        <v/>
      </c>
      <c r="O87" s="33">
        <f>IF(K87="","",SUMIFS('04_調査結果'!$AI$5:$AI$404,'04_調査結果'!$BE$5:$BE$404,K87,'04_調査結果'!$AZ$5:$AZ$404,"&gt;0",'04_調査結果'!$AH$5:$AH$404,"自動化候補")+SUMIFS('04_調査結果'!$AI$5:$AI$404,'04_調査結果'!$BE$5:$BE$404,K87,'04_調査結果'!$AZ$5:$AZ$404,"&gt;0",'04_調査結果'!$AH$5:$AH$404,"オフショア候補")+SUMIFS('04_調査結果'!$AI$5:$AI$404,'04_調査結果'!$BE$5:$BE$404,K87,'04_調査結果'!$AZ$5:$AZ$404,"&gt;0",'04_調査結果'!$AH$5:$AH$404,"ニアショア候補"))</f>
        <v/>
      </c>
      <c r="P87">
        <f>IF(K87="","",IFERROR(INDEX('04_調査結果'!$F$5:$F$404,MATCH(K87,'04_調査結果'!$BE$5:$BE$404,0))&amp;"",""))</f>
        <v/>
      </c>
    </row>
    <row r="88">
      <c r="B88" s="34" t="n">
        <v>84</v>
      </c>
      <c r="C88">
        <f>IFERROR(INDEX('04_調査結果'!$BB$5:$BB$404,MATCH(B88,'04_調査結果'!$BD$5:$BD$404,0)),"")</f>
        <v/>
      </c>
      <c r="D88">
        <f>IF(C88="","",COUNTIFS('04_調査結果'!$BB$5:$BB$404,C88,'04_調査結果'!$AB$5:$AB$404,"OK"))</f>
        <v/>
      </c>
      <c r="E88">
        <f>IF(C88="","",INDEX($I$5:$I$104,MATCH(H88,$H$5:$H$104,0)))</f>
        <v/>
      </c>
      <c r="F88" s="31" t="n"/>
      <c r="G88">
        <f>IF(C88="","",IF(F88&lt;&gt;"",F88,E88))</f>
        <v/>
      </c>
      <c r="H88" s="34">
        <f>IF(C88="","",UPPER(SUBSTITUTE(SUBSTITUTE(SUBSTITUTE(SUBSTITUTE(SUBSTITUTE(SUBSTITUTE(SUBSTITUTE(SUBSTITUTE(SUBSTITUTE(SUBSTITUTE(SUBSTITUTE(ASC(C88),"株式会社",""),"有限会社",""),"合同会社",""),"(株)",""),"(有)",""),"(同)",""),"㈱",""),"㈲",""),"様",""),"御中","")," ","")))</f>
        <v/>
      </c>
      <c r="I88" s="34">
        <f>IF(C88="","",TRIM(SUBSTITUTE(SUBSTITUTE(SUBSTITUTE(SUBSTITUTE(SUBSTITUTE(SUBSTITUTE(SUBSTITUTE(SUBSTITUTE(SUBSTITUTE(SUBSTITUTE(SUBSTITUTE(C88,"株式会社",""),"有限会社",""),"合同会社",""),"(株)",""),"（株）",""),"㈱",""),"(有)",""),"（有）",""),"㈲",""),"様",""),"御中","")))</f>
        <v/>
      </c>
      <c r="J88">
        <f>IF(OR(K88="",M88=""),"",RANK(M88,$M$5:$M$104))</f>
        <v/>
      </c>
      <c r="K88">
        <f>IFERROR(INDEX('04_調査結果'!$BE$5:$BE$404,MATCH((ROW()-5),'04_調査結果'!$BG$5:$BG$404,0)),"")</f>
        <v/>
      </c>
      <c r="L88">
        <f>IF(K88="","",COUNTIFS('04_調査結果'!$BE$5:$BE$404,K88,'04_調査結果'!$AZ$5:$AZ$404,"&gt;0"))</f>
        <v/>
      </c>
      <c r="M88" s="33">
        <f>IF(K88="","",SUMIFS('04_調査結果'!$AI$5:$AI$404,'04_調査結果'!$BE$5:$BE$404,K88,'04_調査結果'!$AZ$5:$AZ$404,"&gt;0"))</f>
        <v/>
      </c>
      <c r="N88">
        <f>IF(K88="","",COUNTIFS('04_調査結果'!$BE$5:$BE$404,K88,'04_調査結果'!$AZ$5:$AZ$404,"&gt;0",'04_調査結果'!$M$5:$M$404,"暗黙"))</f>
        <v/>
      </c>
      <c r="O88" s="33">
        <f>IF(K88="","",SUMIFS('04_調査結果'!$AI$5:$AI$404,'04_調査結果'!$BE$5:$BE$404,K88,'04_調査結果'!$AZ$5:$AZ$404,"&gt;0",'04_調査結果'!$AH$5:$AH$404,"自動化候補")+SUMIFS('04_調査結果'!$AI$5:$AI$404,'04_調査結果'!$BE$5:$BE$404,K88,'04_調査結果'!$AZ$5:$AZ$404,"&gt;0",'04_調査結果'!$AH$5:$AH$404,"オフショア候補")+SUMIFS('04_調査結果'!$AI$5:$AI$404,'04_調査結果'!$BE$5:$BE$404,K88,'04_調査結果'!$AZ$5:$AZ$404,"&gt;0",'04_調査結果'!$AH$5:$AH$404,"ニアショア候補"))</f>
        <v/>
      </c>
      <c r="P88">
        <f>IF(K88="","",IFERROR(INDEX('04_調査結果'!$F$5:$F$404,MATCH(K88,'04_調査結果'!$BE$5:$BE$404,0))&amp;"",""))</f>
        <v/>
      </c>
    </row>
    <row r="89">
      <c r="B89" s="34" t="n">
        <v>85</v>
      </c>
      <c r="C89">
        <f>IFERROR(INDEX('04_調査結果'!$BB$5:$BB$404,MATCH(B89,'04_調査結果'!$BD$5:$BD$404,0)),"")</f>
        <v/>
      </c>
      <c r="D89">
        <f>IF(C89="","",COUNTIFS('04_調査結果'!$BB$5:$BB$404,C89,'04_調査結果'!$AB$5:$AB$404,"OK"))</f>
        <v/>
      </c>
      <c r="E89">
        <f>IF(C89="","",INDEX($I$5:$I$104,MATCH(H89,$H$5:$H$104,0)))</f>
        <v/>
      </c>
      <c r="F89" s="31" t="n"/>
      <c r="G89">
        <f>IF(C89="","",IF(F89&lt;&gt;"",F89,E89))</f>
        <v/>
      </c>
      <c r="H89" s="34">
        <f>IF(C89="","",UPPER(SUBSTITUTE(SUBSTITUTE(SUBSTITUTE(SUBSTITUTE(SUBSTITUTE(SUBSTITUTE(SUBSTITUTE(SUBSTITUTE(SUBSTITUTE(SUBSTITUTE(SUBSTITUTE(ASC(C89),"株式会社",""),"有限会社",""),"合同会社",""),"(株)",""),"(有)",""),"(同)",""),"㈱",""),"㈲",""),"様",""),"御中","")," ","")))</f>
        <v/>
      </c>
      <c r="I89" s="34">
        <f>IF(C89="","",TRIM(SUBSTITUTE(SUBSTITUTE(SUBSTITUTE(SUBSTITUTE(SUBSTITUTE(SUBSTITUTE(SUBSTITUTE(SUBSTITUTE(SUBSTITUTE(SUBSTITUTE(SUBSTITUTE(C89,"株式会社",""),"有限会社",""),"合同会社",""),"(株)",""),"（株）",""),"㈱",""),"(有)",""),"（有）",""),"㈲",""),"様",""),"御中","")))</f>
        <v/>
      </c>
      <c r="J89">
        <f>IF(OR(K89="",M89=""),"",RANK(M89,$M$5:$M$104))</f>
        <v/>
      </c>
      <c r="K89">
        <f>IFERROR(INDEX('04_調査結果'!$BE$5:$BE$404,MATCH((ROW()-5),'04_調査結果'!$BG$5:$BG$404,0)),"")</f>
        <v/>
      </c>
      <c r="L89">
        <f>IF(K89="","",COUNTIFS('04_調査結果'!$BE$5:$BE$404,K89,'04_調査結果'!$AZ$5:$AZ$404,"&gt;0"))</f>
        <v/>
      </c>
      <c r="M89" s="33">
        <f>IF(K89="","",SUMIFS('04_調査結果'!$AI$5:$AI$404,'04_調査結果'!$BE$5:$BE$404,K89,'04_調査結果'!$AZ$5:$AZ$404,"&gt;0"))</f>
        <v/>
      </c>
      <c r="N89">
        <f>IF(K89="","",COUNTIFS('04_調査結果'!$BE$5:$BE$404,K89,'04_調査結果'!$AZ$5:$AZ$404,"&gt;0",'04_調査結果'!$M$5:$M$404,"暗黙"))</f>
        <v/>
      </c>
      <c r="O89" s="33">
        <f>IF(K89="","",SUMIFS('04_調査結果'!$AI$5:$AI$404,'04_調査結果'!$BE$5:$BE$404,K89,'04_調査結果'!$AZ$5:$AZ$404,"&gt;0",'04_調査結果'!$AH$5:$AH$404,"自動化候補")+SUMIFS('04_調査結果'!$AI$5:$AI$404,'04_調査結果'!$BE$5:$BE$404,K89,'04_調査結果'!$AZ$5:$AZ$404,"&gt;0",'04_調査結果'!$AH$5:$AH$404,"オフショア候補")+SUMIFS('04_調査結果'!$AI$5:$AI$404,'04_調査結果'!$BE$5:$BE$404,K89,'04_調査結果'!$AZ$5:$AZ$404,"&gt;0",'04_調査結果'!$AH$5:$AH$404,"ニアショア候補"))</f>
        <v/>
      </c>
      <c r="P89">
        <f>IF(K89="","",IFERROR(INDEX('04_調査結果'!$F$5:$F$404,MATCH(K89,'04_調査結果'!$BE$5:$BE$404,0))&amp;"",""))</f>
        <v/>
      </c>
    </row>
    <row r="90">
      <c r="B90" s="34" t="n">
        <v>86</v>
      </c>
      <c r="C90">
        <f>IFERROR(INDEX('04_調査結果'!$BB$5:$BB$404,MATCH(B90,'04_調査結果'!$BD$5:$BD$404,0)),"")</f>
        <v/>
      </c>
      <c r="D90">
        <f>IF(C90="","",COUNTIFS('04_調査結果'!$BB$5:$BB$404,C90,'04_調査結果'!$AB$5:$AB$404,"OK"))</f>
        <v/>
      </c>
      <c r="E90">
        <f>IF(C90="","",INDEX($I$5:$I$104,MATCH(H90,$H$5:$H$104,0)))</f>
        <v/>
      </c>
      <c r="F90" s="31" t="n"/>
      <c r="G90">
        <f>IF(C90="","",IF(F90&lt;&gt;"",F90,E90))</f>
        <v/>
      </c>
      <c r="H90" s="34">
        <f>IF(C90="","",UPPER(SUBSTITUTE(SUBSTITUTE(SUBSTITUTE(SUBSTITUTE(SUBSTITUTE(SUBSTITUTE(SUBSTITUTE(SUBSTITUTE(SUBSTITUTE(SUBSTITUTE(SUBSTITUTE(ASC(C90),"株式会社",""),"有限会社",""),"合同会社",""),"(株)",""),"(有)",""),"(同)",""),"㈱",""),"㈲",""),"様",""),"御中","")," ","")))</f>
        <v/>
      </c>
      <c r="I90" s="34">
        <f>IF(C90="","",TRIM(SUBSTITUTE(SUBSTITUTE(SUBSTITUTE(SUBSTITUTE(SUBSTITUTE(SUBSTITUTE(SUBSTITUTE(SUBSTITUTE(SUBSTITUTE(SUBSTITUTE(SUBSTITUTE(C90,"株式会社",""),"有限会社",""),"合同会社",""),"(株)",""),"（株）",""),"㈱",""),"(有)",""),"（有）",""),"㈲",""),"様",""),"御中","")))</f>
        <v/>
      </c>
      <c r="J90">
        <f>IF(OR(K90="",M90=""),"",RANK(M90,$M$5:$M$104))</f>
        <v/>
      </c>
      <c r="K90">
        <f>IFERROR(INDEX('04_調査結果'!$BE$5:$BE$404,MATCH((ROW()-5),'04_調査結果'!$BG$5:$BG$404,0)),"")</f>
        <v/>
      </c>
      <c r="L90">
        <f>IF(K90="","",COUNTIFS('04_調査結果'!$BE$5:$BE$404,K90,'04_調査結果'!$AZ$5:$AZ$404,"&gt;0"))</f>
        <v/>
      </c>
      <c r="M90" s="33">
        <f>IF(K90="","",SUMIFS('04_調査結果'!$AI$5:$AI$404,'04_調査結果'!$BE$5:$BE$404,K90,'04_調査結果'!$AZ$5:$AZ$404,"&gt;0"))</f>
        <v/>
      </c>
      <c r="N90">
        <f>IF(K90="","",COUNTIFS('04_調査結果'!$BE$5:$BE$404,K90,'04_調査結果'!$AZ$5:$AZ$404,"&gt;0",'04_調査結果'!$M$5:$M$404,"暗黙"))</f>
        <v/>
      </c>
      <c r="O90" s="33">
        <f>IF(K90="","",SUMIFS('04_調査結果'!$AI$5:$AI$404,'04_調査結果'!$BE$5:$BE$404,K90,'04_調査結果'!$AZ$5:$AZ$404,"&gt;0",'04_調査結果'!$AH$5:$AH$404,"自動化候補")+SUMIFS('04_調査結果'!$AI$5:$AI$404,'04_調査結果'!$BE$5:$BE$404,K90,'04_調査結果'!$AZ$5:$AZ$404,"&gt;0",'04_調査結果'!$AH$5:$AH$404,"オフショア候補")+SUMIFS('04_調査結果'!$AI$5:$AI$404,'04_調査結果'!$BE$5:$BE$404,K90,'04_調査結果'!$AZ$5:$AZ$404,"&gt;0",'04_調査結果'!$AH$5:$AH$404,"ニアショア候補"))</f>
        <v/>
      </c>
      <c r="P90">
        <f>IF(K90="","",IFERROR(INDEX('04_調査結果'!$F$5:$F$404,MATCH(K90,'04_調査結果'!$BE$5:$BE$404,0))&amp;"",""))</f>
        <v/>
      </c>
    </row>
    <row r="91">
      <c r="B91" s="34" t="n">
        <v>87</v>
      </c>
      <c r="C91">
        <f>IFERROR(INDEX('04_調査結果'!$BB$5:$BB$404,MATCH(B91,'04_調査結果'!$BD$5:$BD$404,0)),"")</f>
        <v/>
      </c>
      <c r="D91">
        <f>IF(C91="","",COUNTIFS('04_調査結果'!$BB$5:$BB$404,C91,'04_調査結果'!$AB$5:$AB$404,"OK"))</f>
        <v/>
      </c>
      <c r="E91">
        <f>IF(C91="","",INDEX($I$5:$I$104,MATCH(H91,$H$5:$H$104,0)))</f>
        <v/>
      </c>
      <c r="F91" s="31" t="n"/>
      <c r="G91">
        <f>IF(C91="","",IF(F91&lt;&gt;"",F91,E91))</f>
        <v/>
      </c>
      <c r="H91" s="34">
        <f>IF(C91="","",UPPER(SUBSTITUTE(SUBSTITUTE(SUBSTITUTE(SUBSTITUTE(SUBSTITUTE(SUBSTITUTE(SUBSTITUTE(SUBSTITUTE(SUBSTITUTE(SUBSTITUTE(SUBSTITUTE(ASC(C91),"株式会社",""),"有限会社",""),"合同会社",""),"(株)",""),"(有)",""),"(同)",""),"㈱",""),"㈲",""),"様",""),"御中","")," ","")))</f>
        <v/>
      </c>
      <c r="I91" s="34">
        <f>IF(C91="","",TRIM(SUBSTITUTE(SUBSTITUTE(SUBSTITUTE(SUBSTITUTE(SUBSTITUTE(SUBSTITUTE(SUBSTITUTE(SUBSTITUTE(SUBSTITUTE(SUBSTITUTE(SUBSTITUTE(C91,"株式会社",""),"有限会社",""),"合同会社",""),"(株)",""),"（株）",""),"㈱",""),"(有)",""),"（有）",""),"㈲",""),"様",""),"御中","")))</f>
        <v/>
      </c>
      <c r="J91">
        <f>IF(OR(K91="",M91=""),"",RANK(M91,$M$5:$M$104))</f>
        <v/>
      </c>
      <c r="K91">
        <f>IFERROR(INDEX('04_調査結果'!$BE$5:$BE$404,MATCH((ROW()-5),'04_調査結果'!$BG$5:$BG$404,0)),"")</f>
        <v/>
      </c>
      <c r="L91">
        <f>IF(K91="","",COUNTIFS('04_調査結果'!$BE$5:$BE$404,K91,'04_調査結果'!$AZ$5:$AZ$404,"&gt;0"))</f>
        <v/>
      </c>
      <c r="M91" s="33">
        <f>IF(K91="","",SUMIFS('04_調査結果'!$AI$5:$AI$404,'04_調査結果'!$BE$5:$BE$404,K91,'04_調査結果'!$AZ$5:$AZ$404,"&gt;0"))</f>
        <v/>
      </c>
      <c r="N91">
        <f>IF(K91="","",COUNTIFS('04_調査結果'!$BE$5:$BE$404,K91,'04_調査結果'!$AZ$5:$AZ$404,"&gt;0",'04_調査結果'!$M$5:$M$404,"暗黙"))</f>
        <v/>
      </c>
      <c r="O91" s="33">
        <f>IF(K91="","",SUMIFS('04_調査結果'!$AI$5:$AI$404,'04_調査結果'!$BE$5:$BE$404,K91,'04_調査結果'!$AZ$5:$AZ$404,"&gt;0",'04_調査結果'!$AH$5:$AH$404,"自動化候補")+SUMIFS('04_調査結果'!$AI$5:$AI$404,'04_調査結果'!$BE$5:$BE$404,K91,'04_調査結果'!$AZ$5:$AZ$404,"&gt;0",'04_調査結果'!$AH$5:$AH$404,"オフショア候補")+SUMIFS('04_調査結果'!$AI$5:$AI$404,'04_調査結果'!$BE$5:$BE$404,K91,'04_調査結果'!$AZ$5:$AZ$404,"&gt;0",'04_調査結果'!$AH$5:$AH$404,"ニアショア候補"))</f>
        <v/>
      </c>
      <c r="P91">
        <f>IF(K91="","",IFERROR(INDEX('04_調査結果'!$F$5:$F$404,MATCH(K91,'04_調査結果'!$BE$5:$BE$404,0))&amp;"",""))</f>
        <v/>
      </c>
    </row>
    <row r="92">
      <c r="B92" s="34" t="n">
        <v>88</v>
      </c>
      <c r="C92">
        <f>IFERROR(INDEX('04_調査結果'!$BB$5:$BB$404,MATCH(B92,'04_調査結果'!$BD$5:$BD$404,0)),"")</f>
        <v/>
      </c>
      <c r="D92">
        <f>IF(C92="","",COUNTIFS('04_調査結果'!$BB$5:$BB$404,C92,'04_調査結果'!$AB$5:$AB$404,"OK"))</f>
        <v/>
      </c>
      <c r="E92">
        <f>IF(C92="","",INDEX($I$5:$I$104,MATCH(H92,$H$5:$H$104,0)))</f>
        <v/>
      </c>
      <c r="F92" s="31" t="n"/>
      <c r="G92">
        <f>IF(C92="","",IF(F92&lt;&gt;"",F92,E92))</f>
        <v/>
      </c>
      <c r="H92" s="34">
        <f>IF(C92="","",UPPER(SUBSTITUTE(SUBSTITUTE(SUBSTITUTE(SUBSTITUTE(SUBSTITUTE(SUBSTITUTE(SUBSTITUTE(SUBSTITUTE(SUBSTITUTE(SUBSTITUTE(SUBSTITUTE(ASC(C92),"株式会社",""),"有限会社",""),"合同会社",""),"(株)",""),"(有)",""),"(同)",""),"㈱",""),"㈲",""),"様",""),"御中","")," ","")))</f>
        <v/>
      </c>
      <c r="I92" s="34">
        <f>IF(C92="","",TRIM(SUBSTITUTE(SUBSTITUTE(SUBSTITUTE(SUBSTITUTE(SUBSTITUTE(SUBSTITUTE(SUBSTITUTE(SUBSTITUTE(SUBSTITUTE(SUBSTITUTE(SUBSTITUTE(C92,"株式会社",""),"有限会社",""),"合同会社",""),"(株)",""),"（株）",""),"㈱",""),"(有)",""),"（有）",""),"㈲",""),"様",""),"御中","")))</f>
        <v/>
      </c>
      <c r="J92">
        <f>IF(OR(K92="",M92=""),"",RANK(M92,$M$5:$M$104))</f>
        <v/>
      </c>
      <c r="K92">
        <f>IFERROR(INDEX('04_調査結果'!$BE$5:$BE$404,MATCH((ROW()-5),'04_調査結果'!$BG$5:$BG$404,0)),"")</f>
        <v/>
      </c>
      <c r="L92">
        <f>IF(K92="","",COUNTIFS('04_調査結果'!$BE$5:$BE$404,K92,'04_調査結果'!$AZ$5:$AZ$404,"&gt;0"))</f>
        <v/>
      </c>
      <c r="M92" s="33">
        <f>IF(K92="","",SUMIFS('04_調査結果'!$AI$5:$AI$404,'04_調査結果'!$BE$5:$BE$404,K92,'04_調査結果'!$AZ$5:$AZ$404,"&gt;0"))</f>
        <v/>
      </c>
      <c r="N92">
        <f>IF(K92="","",COUNTIFS('04_調査結果'!$BE$5:$BE$404,K92,'04_調査結果'!$AZ$5:$AZ$404,"&gt;0",'04_調査結果'!$M$5:$M$404,"暗黙"))</f>
        <v/>
      </c>
      <c r="O92" s="33">
        <f>IF(K92="","",SUMIFS('04_調査結果'!$AI$5:$AI$404,'04_調査結果'!$BE$5:$BE$404,K92,'04_調査結果'!$AZ$5:$AZ$404,"&gt;0",'04_調査結果'!$AH$5:$AH$404,"自動化候補")+SUMIFS('04_調査結果'!$AI$5:$AI$404,'04_調査結果'!$BE$5:$BE$404,K92,'04_調査結果'!$AZ$5:$AZ$404,"&gt;0",'04_調査結果'!$AH$5:$AH$404,"オフショア候補")+SUMIFS('04_調査結果'!$AI$5:$AI$404,'04_調査結果'!$BE$5:$BE$404,K92,'04_調査結果'!$AZ$5:$AZ$404,"&gt;0",'04_調査結果'!$AH$5:$AH$404,"ニアショア候補"))</f>
        <v/>
      </c>
      <c r="P92">
        <f>IF(K92="","",IFERROR(INDEX('04_調査結果'!$F$5:$F$404,MATCH(K92,'04_調査結果'!$BE$5:$BE$404,0))&amp;"",""))</f>
        <v/>
      </c>
    </row>
    <row r="93">
      <c r="B93" s="34" t="n">
        <v>89</v>
      </c>
      <c r="C93">
        <f>IFERROR(INDEX('04_調査結果'!$BB$5:$BB$404,MATCH(B93,'04_調査結果'!$BD$5:$BD$404,0)),"")</f>
        <v/>
      </c>
      <c r="D93">
        <f>IF(C93="","",COUNTIFS('04_調査結果'!$BB$5:$BB$404,C93,'04_調査結果'!$AB$5:$AB$404,"OK"))</f>
        <v/>
      </c>
      <c r="E93">
        <f>IF(C93="","",INDEX($I$5:$I$104,MATCH(H93,$H$5:$H$104,0)))</f>
        <v/>
      </c>
      <c r="F93" s="31" t="n"/>
      <c r="G93">
        <f>IF(C93="","",IF(F93&lt;&gt;"",F93,E93))</f>
        <v/>
      </c>
      <c r="H93" s="34">
        <f>IF(C93="","",UPPER(SUBSTITUTE(SUBSTITUTE(SUBSTITUTE(SUBSTITUTE(SUBSTITUTE(SUBSTITUTE(SUBSTITUTE(SUBSTITUTE(SUBSTITUTE(SUBSTITUTE(SUBSTITUTE(ASC(C93),"株式会社",""),"有限会社",""),"合同会社",""),"(株)",""),"(有)",""),"(同)",""),"㈱",""),"㈲",""),"様",""),"御中","")," ","")))</f>
        <v/>
      </c>
      <c r="I93" s="34">
        <f>IF(C93="","",TRIM(SUBSTITUTE(SUBSTITUTE(SUBSTITUTE(SUBSTITUTE(SUBSTITUTE(SUBSTITUTE(SUBSTITUTE(SUBSTITUTE(SUBSTITUTE(SUBSTITUTE(SUBSTITUTE(C93,"株式会社",""),"有限会社",""),"合同会社",""),"(株)",""),"（株）",""),"㈱",""),"(有)",""),"（有）",""),"㈲",""),"様",""),"御中","")))</f>
        <v/>
      </c>
      <c r="J93">
        <f>IF(OR(K93="",M93=""),"",RANK(M93,$M$5:$M$104))</f>
        <v/>
      </c>
      <c r="K93">
        <f>IFERROR(INDEX('04_調査結果'!$BE$5:$BE$404,MATCH((ROW()-5),'04_調査結果'!$BG$5:$BG$404,0)),"")</f>
        <v/>
      </c>
      <c r="L93">
        <f>IF(K93="","",COUNTIFS('04_調査結果'!$BE$5:$BE$404,K93,'04_調査結果'!$AZ$5:$AZ$404,"&gt;0"))</f>
        <v/>
      </c>
      <c r="M93" s="33">
        <f>IF(K93="","",SUMIFS('04_調査結果'!$AI$5:$AI$404,'04_調査結果'!$BE$5:$BE$404,K93,'04_調査結果'!$AZ$5:$AZ$404,"&gt;0"))</f>
        <v/>
      </c>
      <c r="N93">
        <f>IF(K93="","",COUNTIFS('04_調査結果'!$BE$5:$BE$404,K93,'04_調査結果'!$AZ$5:$AZ$404,"&gt;0",'04_調査結果'!$M$5:$M$404,"暗黙"))</f>
        <v/>
      </c>
      <c r="O93" s="33">
        <f>IF(K93="","",SUMIFS('04_調査結果'!$AI$5:$AI$404,'04_調査結果'!$BE$5:$BE$404,K93,'04_調査結果'!$AZ$5:$AZ$404,"&gt;0",'04_調査結果'!$AH$5:$AH$404,"自動化候補")+SUMIFS('04_調査結果'!$AI$5:$AI$404,'04_調査結果'!$BE$5:$BE$404,K93,'04_調査結果'!$AZ$5:$AZ$404,"&gt;0",'04_調査結果'!$AH$5:$AH$404,"オフショア候補")+SUMIFS('04_調査結果'!$AI$5:$AI$404,'04_調査結果'!$BE$5:$BE$404,K93,'04_調査結果'!$AZ$5:$AZ$404,"&gt;0",'04_調査結果'!$AH$5:$AH$404,"ニアショア候補"))</f>
        <v/>
      </c>
      <c r="P93">
        <f>IF(K93="","",IFERROR(INDEX('04_調査結果'!$F$5:$F$404,MATCH(K93,'04_調査結果'!$BE$5:$BE$404,0))&amp;"",""))</f>
        <v/>
      </c>
    </row>
    <row r="94">
      <c r="B94" s="34" t="n">
        <v>90</v>
      </c>
      <c r="C94">
        <f>IFERROR(INDEX('04_調査結果'!$BB$5:$BB$404,MATCH(B94,'04_調査結果'!$BD$5:$BD$404,0)),"")</f>
        <v/>
      </c>
      <c r="D94">
        <f>IF(C94="","",COUNTIFS('04_調査結果'!$BB$5:$BB$404,C94,'04_調査結果'!$AB$5:$AB$404,"OK"))</f>
        <v/>
      </c>
      <c r="E94">
        <f>IF(C94="","",INDEX($I$5:$I$104,MATCH(H94,$H$5:$H$104,0)))</f>
        <v/>
      </c>
      <c r="F94" s="31" t="n"/>
      <c r="G94">
        <f>IF(C94="","",IF(F94&lt;&gt;"",F94,E94))</f>
        <v/>
      </c>
      <c r="H94" s="34">
        <f>IF(C94="","",UPPER(SUBSTITUTE(SUBSTITUTE(SUBSTITUTE(SUBSTITUTE(SUBSTITUTE(SUBSTITUTE(SUBSTITUTE(SUBSTITUTE(SUBSTITUTE(SUBSTITUTE(SUBSTITUTE(ASC(C94),"株式会社",""),"有限会社",""),"合同会社",""),"(株)",""),"(有)",""),"(同)",""),"㈱",""),"㈲",""),"様",""),"御中","")," ","")))</f>
        <v/>
      </c>
      <c r="I94" s="34">
        <f>IF(C94="","",TRIM(SUBSTITUTE(SUBSTITUTE(SUBSTITUTE(SUBSTITUTE(SUBSTITUTE(SUBSTITUTE(SUBSTITUTE(SUBSTITUTE(SUBSTITUTE(SUBSTITUTE(SUBSTITUTE(C94,"株式会社",""),"有限会社",""),"合同会社",""),"(株)",""),"（株）",""),"㈱",""),"(有)",""),"（有）",""),"㈲",""),"様",""),"御中","")))</f>
        <v/>
      </c>
      <c r="J94">
        <f>IF(OR(K94="",M94=""),"",RANK(M94,$M$5:$M$104))</f>
        <v/>
      </c>
      <c r="K94">
        <f>IFERROR(INDEX('04_調査結果'!$BE$5:$BE$404,MATCH((ROW()-5),'04_調査結果'!$BG$5:$BG$404,0)),"")</f>
        <v/>
      </c>
      <c r="L94">
        <f>IF(K94="","",COUNTIFS('04_調査結果'!$BE$5:$BE$404,K94,'04_調査結果'!$AZ$5:$AZ$404,"&gt;0"))</f>
        <v/>
      </c>
      <c r="M94" s="33">
        <f>IF(K94="","",SUMIFS('04_調査結果'!$AI$5:$AI$404,'04_調査結果'!$BE$5:$BE$404,K94,'04_調査結果'!$AZ$5:$AZ$404,"&gt;0"))</f>
        <v/>
      </c>
      <c r="N94">
        <f>IF(K94="","",COUNTIFS('04_調査結果'!$BE$5:$BE$404,K94,'04_調査結果'!$AZ$5:$AZ$404,"&gt;0",'04_調査結果'!$M$5:$M$404,"暗黙"))</f>
        <v/>
      </c>
      <c r="O94" s="33">
        <f>IF(K94="","",SUMIFS('04_調査結果'!$AI$5:$AI$404,'04_調査結果'!$BE$5:$BE$404,K94,'04_調査結果'!$AZ$5:$AZ$404,"&gt;0",'04_調査結果'!$AH$5:$AH$404,"自動化候補")+SUMIFS('04_調査結果'!$AI$5:$AI$404,'04_調査結果'!$BE$5:$BE$404,K94,'04_調査結果'!$AZ$5:$AZ$404,"&gt;0",'04_調査結果'!$AH$5:$AH$404,"オフショア候補")+SUMIFS('04_調査結果'!$AI$5:$AI$404,'04_調査結果'!$BE$5:$BE$404,K94,'04_調査結果'!$AZ$5:$AZ$404,"&gt;0",'04_調査結果'!$AH$5:$AH$404,"ニアショア候補"))</f>
        <v/>
      </c>
      <c r="P94">
        <f>IF(K94="","",IFERROR(INDEX('04_調査結果'!$F$5:$F$404,MATCH(K94,'04_調査結果'!$BE$5:$BE$404,0))&amp;"",""))</f>
        <v/>
      </c>
    </row>
    <row r="95">
      <c r="B95" s="34" t="n">
        <v>91</v>
      </c>
      <c r="C95">
        <f>IFERROR(INDEX('04_調査結果'!$BB$5:$BB$404,MATCH(B95,'04_調査結果'!$BD$5:$BD$404,0)),"")</f>
        <v/>
      </c>
      <c r="D95">
        <f>IF(C95="","",COUNTIFS('04_調査結果'!$BB$5:$BB$404,C95,'04_調査結果'!$AB$5:$AB$404,"OK"))</f>
        <v/>
      </c>
      <c r="E95">
        <f>IF(C95="","",INDEX($I$5:$I$104,MATCH(H95,$H$5:$H$104,0)))</f>
        <v/>
      </c>
      <c r="F95" s="31" t="n"/>
      <c r="G95">
        <f>IF(C95="","",IF(F95&lt;&gt;"",F95,E95))</f>
        <v/>
      </c>
      <c r="H95" s="34">
        <f>IF(C95="","",UPPER(SUBSTITUTE(SUBSTITUTE(SUBSTITUTE(SUBSTITUTE(SUBSTITUTE(SUBSTITUTE(SUBSTITUTE(SUBSTITUTE(SUBSTITUTE(SUBSTITUTE(SUBSTITUTE(ASC(C95),"株式会社",""),"有限会社",""),"合同会社",""),"(株)",""),"(有)",""),"(同)",""),"㈱",""),"㈲",""),"様",""),"御中","")," ","")))</f>
        <v/>
      </c>
      <c r="I95" s="34">
        <f>IF(C95="","",TRIM(SUBSTITUTE(SUBSTITUTE(SUBSTITUTE(SUBSTITUTE(SUBSTITUTE(SUBSTITUTE(SUBSTITUTE(SUBSTITUTE(SUBSTITUTE(SUBSTITUTE(SUBSTITUTE(C95,"株式会社",""),"有限会社",""),"合同会社",""),"(株)",""),"（株）",""),"㈱",""),"(有)",""),"（有）",""),"㈲",""),"様",""),"御中","")))</f>
        <v/>
      </c>
      <c r="J95">
        <f>IF(OR(K95="",M95=""),"",RANK(M95,$M$5:$M$104))</f>
        <v/>
      </c>
      <c r="K95">
        <f>IFERROR(INDEX('04_調査結果'!$BE$5:$BE$404,MATCH((ROW()-5),'04_調査結果'!$BG$5:$BG$404,0)),"")</f>
        <v/>
      </c>
      <c r="L95">
        <f>IF(K95="","",COUNTIFS('04_調査結果'!$BE$5:$BE$404,K95,'04_調査結果'!$AZ$5:$AZ$404,"&gt;0"))</f>
        <v/>
      </c>
      <c r="M95" s="33">
        <f>IF(K95="","",SUMIFS('04_調査結果'!$AI$5:$AI$404,'04_調査結果'!$BE$5:$BE$404,K95,'04_調査結果'!$AZ$5:$AZ$404,"&gt;0"))</f>
        <v/>
      </c>
      <c r="N95">
        <f>IF(K95="","",COUNTIFS('04_調査結果'!$BE$5:$BE$404,K95,'04_調査結果'!$AZ$5:$AZ$404,"&gt;0",'04_調査結果'!$M$5:$M$404,"暗黙"))</f>
        <v/>
      </c>
      <c r="O95" s="33">
        <f>IF(K95="","",SUMIFS('04_調査結果'!$AI$5:$AI$404,'04_調査結果'!$BE$5:$BE$404,K95,'04_調査結果'!$AZ$5:$AZ$404,"&gt;0",'04_調査結果'!$AH$5:$AH$404,"自動化候補")+SUMIFS('04_調査結果'!$AI$5:$AI$404,'04_調査結果'!$BE$5:$BE$404,K95,'04_調査結果'!$AZ$5:$AZ$404,"&gt;0",'04_調査結果'!$AH$5:$AH$404,"オフショア候補")+SUMIFS('04_調査結果'!$AI$5:$AI$404,'04_調査結果'!$BE$5:$BE$404,K95,'04_調査結果'!$AZ$5:$AZ$404,"&gt;0",'04_調査結果'!$AH$5:$AH$404,"ニアショア候補"))</f>
        <v/>
      </c>
      <c r="P95">
        <f>IF(K95="","",IFERROR(INDEX('04_調査結果'!$F$5:$F$404,MATCH(K95,'04_調査結果'!$BE$5:$BE$404,0))&amp;"",""))</f>
        <v/>
      </c>
    </row>
    <row r="96">
      <c r="B96" s="34" t="n">
        <v>92</v>
      </c>
      <c r="C96">
        <f>IFERROR(INDEX('04_調査結果'!$BB$5:$BB$404,MATCH(B96,'04_調査結果'!$BD$5:$BD$404,0)),"")</f>
        <v/>
      </c>
      <c r="D96">
        <f>IF(C96="","",COUNTIFS('04_調査結果'!$BB$5:$BB$404,C96,'04_調査結果'!$AB$5:$AB$404,"OK"))</f>
        <v/>
      </c>
      <c r="E96">
        <f>IF(C96="","",INDEX($I$5:$I$104,MATCH(H96,$H$5:$H$104,0)))</f>
        <v/>
      </c>
      <c r="F96" s="31" t="n"/>
      <c r="G96">
        <f>IF(C96="","",IF(F96&lt;&gt;"",F96,E96))</f>
        <v/>
      </c>
      <c r="H96" s="34">
        <f>IF(C96="","",UPPER(SUBSTITUTE(SUBSTITUTE(SUBSTITUTE(SUBSTITUTE(SUBSTITUTE(SUBSTITUTE(SUBSTITUTE(SUBSTITUTE(SUBSTITUTE(SUBSTITUTE(SUBSTITUTE(ASC(C96),"株式会社",""),"有限会社",""),"合同会社",""),"(株)",""),"(有)",""),"(同)",""),"㈱",""),"㈲",""),"様",""),"御中","")," ","")))</f>
        <v/>
      </c>
      <c r="I96" s="34">
        <f>IF(C96="","",TRIM(SUBSTITUTE(SUBSTITUTE(SUBSTITUTE(SUBSTITUTE(SUBSTITUTE(SUBSTITUTE(SUBSTITUTE(SUBSTITUTE(SUBSTITUTE(SUBSTITUTE(SUBSTITUTE(C96,"株式会社",""),"有限会社",""),"合同会社",""),"(株)",""),"（株）",""),"㈱",""),"(有)",""),"（有）",""),"㈲",""),"様",""),"御中","")))</f>
        <v/>
      </c>
      <c r="J96">
        <f>IF(OR(K96="",M96=""),"",RANK(M96,$M$5:$M$104))</f>
        <v/>
      </c>
      <c r="K96">
        <f>IFERROR(INDEX('04_調査結果'!$BE$5:$BE$404,MATCH((ROW()-5),'04_調査結果'!$BG$5:$BG$404,0)),"")</f>
        <v/>
      </c>
      <c r="L96">
        <f>IF(K96="","",COUNTIFS('04_調査結果'!$BE$5:$BE$404,K96,'04_調査結果'!$AZ$5:$AZ$404,"&gt;0"))</f>
        <v/>
      </c>
      <c r="M96" s="33">
        <f>IF(K96="","",SUMIFS('04_調査結果'!$AI$5:$AI$404,'04_調査結果'!$BE$5:$BE$404,K96,'04_調査結果'!$AZ$5:$AZ$404,"&gt;0"))</f>
        <v/>
      </c>
      <c r="N96">
        <f>IF(K96="","",COUNTIFS('04_調査結果'!$BE$5:$BE$404,K96,'04_調査結果'!$AZ$5:$AZ$404,"&gt;0",'04_調査結果'!$M$5:$M$404,"暗黙"))</f>
        <v/>
      </c>
      <c r="O96" s="33">
        <f>IF(K96="","",SUMIFS('04_調査結果'!$AI$5:$AI$404,'04_調査結果'!$BE$5:$BE$404,K96,'04_調査結果'!$AZ$5:$AZ$404,"&gt;0",'04_調査結果'!$AH$5:$AH$404,"自動化候補")+SUMIFS('04_調査結果'!$AI$5:$AI$404,'04_調査結果'!$BE$5:$BE$404,K96,'04_調査結果'!$AZ$5:$AZ$404,"&gt;0",'04_調査結果'!$AH$5:$AH$404,"オフショア候補")+SUMIFS('04_調査結果'!$AI$5:$AI$404,'04_調査結果'!$BE$5:$BE$404,K96,'04_調査結果'!$AZ$5:$AZ$404,"&gt;0",'04_調査結果'!$AH$5:$AH$404,"ニアショア候補"))</f>
        <v/>
      </c>
      <c r="P96">
        <f>IF(K96="","",IFERROR(INDEX('04_調査結果'!$F$5:$F$404,MATCH(K96,'04_調査結果'!$BE$5:$BE$404,0))&amp;"",""))</f>
        <v/>
      </c>
    </row>
    <row r="97">
      <c r="B97" s="34" t="n">
        <v>93</v>
      </c>
      <c r="C97">
        <f>IFERROR(INDEX('04_調査結果'!$BB$5:$BB$404,MATCH(B97,'04_調査結果'!$BD$5:$BD$404,0)),"")</f>
        <v/>
      </c>
      <c r="D97">
        <f>IF(C97="","",COUNTIFS('04_調査結果'!$BB$5:$BB$404,C97,'04_調査結果'!$AB$5:$AB$404,"OK"))</f>
        <v/>
      </c>
      <c r="E97">
        <f>IF(C97="","",INDEX($I$5:$I$104,MATCH(H97,$H$5:$H$104,0)))</f>
        <v/>
      </c>
      <c r="F97" s="31" t="n"/>
      <c r="G97">
        <f>IF(C97="","",IF(F97&lt;&gt;"",F97,E97))</f>
        <v/>
      </c>
      <c r="H97" s="34">
        <f>IF(C97="","",UPPER(SUBSTITUTE(SUBSTITUTE(SUBSTITUTE(SUBSTITUTE(SUBSTITUTE(SUBSTITUTE(SUBSTITUTE(SUBSTITUTE(SUBSTITUTE(SUBSTITUTE(SUBSTITUTE(ASC(C97),"株式会社",""),"有限会社",""),"合同会社",""),"(株)",""),"(有)",""),"(同)",""),"㈱",""),"㈲",""),"様",""),"御中","")," ","")))</f>
        <v/>
      </c>
      <c r="I97" s="34">
        <f>IF(C97="","",TRIM(SUBSTITUTE(SUBSTITUTE(SUBSTITUTE(SUBSTITUTE(SUBSTITUTE(SUBSTITUTE(SUBSTITUTE(SUBSTITUTE(SUBSTITUTE(SUBSTITUTE(SUBSTITUTE(C97,"株式会社",""),"有限会社",""),"合同会社",""),"(株)",""),"（株）",""),"㈱",""),"(有)",""),"（有）",""),"㈲",""),"様",""),"御中","")))</f>
        <v/>
      </c>
      <c r="J97">
        <f>IF(OR(K97="",M97=""),"",RANK(M97,$M$5:$M$104))</f>
        <v/>
      </c>
      <c r="K97">
        <f>IFERROR(INDEX('04_調査結果'!$BE$5:$BE$404,MATCH((ROW()-5),'04_調査結果'!$BG$5:$BG$404,0)),"")</f>
        <v/>
      </c>
      <c r="L97">
        <f>IF(K97="","",COUNTIFS('04_調査結果'!$BE$5:$BE$404,K97,'04_調査結果'!$AZ$5:$AZ$404,"&gt;0"))</f>
        <v/>
      </c>
      <c r="M97" s="33">
        <f>IF(K97="","",SUMIFS('04_調査結果'!$AI$5:$AI$404,'04_調査結果'!$BE$5:$BE$404,K97,'04_調査結果'!$AZ$5:$AZ$404,"&gt;0"))</f>
        <v/>
      </c>
      <c r="N97">
        <f>IF(K97="","",COUNTIFS('04_調査結果'!$BE$5:$BE$404,K97,'04_調査結果'!$AZ$5:$AZ$404,"&gt;0",'04_調査結果'!$M$5:$M$404,"暗黙"))</f>
        <v/>
      </c>
      <c r="O97" s="33">
        <f>IF(K97="","",SUMIFS('04_調査結果'!$AI$5:$AI$404,'04_調査結果'!$BE$5:$BE$404,K97,'04_調査結果'!$AZ$5:$AZ$404,"&gt;0",'04_調査結果'!$AH$5:$AH$404,"自動化候補")+SUMIFS('04_調査結果'!$AI$5:$AI$404,'04_調査結果'!$BE$5:$BE$404,K97,'04_調査結果'!$AZ$5:$AZ$404,"&gt;0",'04_調査結果'!$AH$5:$AH$404,"オフショア候補")+SUMIFS('04_調査結果'!$AI$5:$AI$404,'04_調査結果'!$BE$5:$BE$404,K97,'04_調査結果'!$AZ$5:$AZ$404,"&gt;0",'04_調査結果'!$AH$5:$AH$404,"ニアショア候補"))</f>
        <v/>
      </c>
      <c r="P97">
        <f>IF(K97="","",IFERROR(INDEX('04_調査結果'!$F$5:$F$404,MATCH(K97,'04_調査結果'!$BE$5:$BE$404,0))&amp;"",""))</f>
        <v/>
      </c>
    </row>
    <row r="98">
      <c r="B98" s="34" t="n">
        <v>94</v>
      </c>
      <c r="C98">
        <f>IFERROR(INDEX('04_調査結果'!$BB$5:$BB$404,MATCH(B98,'04_調査結果'!$BD$5:$BD$404,0)),"")</f>
        <v/>
      </c>
      <c r="D98">
        <f>IF(C98="","",COUNTIFS('04_調査結果'!$BB$5:$BB$404,C98,'04_調査結果'!$AB$5:$AB$404,"OK"))</f>
        <v/>
      </c>
      <c r="E98">
        <f>IF(C98="","",INDEX($I$5:$I$104,MATCH(H98,$H$5:$H$104,0)))</f>
        <v/>
      </c>
      <c r="F98" s="31" t="n"/>
      <c r="G98">
        <f>IF(C98="","",IF(F98&lt;&gt;"",F98,E98))</f>
        <v/>
      </c>
      <c r="H98" s="34">
        <f>IF(C98="","",UPPER(SUBSTITUTE(SUBSTITUTE(SUBSTITUTE(SUBSTITUTE(SUBSTITUTE(SUBSTITUTE(SUBSTITUTE(SUBSTITUTE(SUBSTITUTE(SUBSTITUTE(SUBSTITUTE(ASC(C98),"株式会社",""),"有限会社",""),"合同会社",""),"(株)",""),"(有)",""),"(同)",""),"㈱",""),"㈲",""),"様",""),"御中","")," ","")))</f>
        <v/>
      </c>
      <c r="I98" s="34">
        <f>IF(C98="","",TRIM(SUBSTITUTE(SUBSTITUTE(SUBSTITUTE(SUBSTITUTE(SUBSTITUTE(SUBSTITUTE(SUBSTITUTE(SUBSTITUTE(SUBSTITUTE(SUBSTITUTE(SUBSTITUTE(C98,"株式会社",""),"有限会社",""),"合同会社",""),"(株)",""),"（株）",""),"㈱",""),"(有)",""),"（有）",""),"㈲",""),"様",""),"御中","")))</f>
        <v/>
      </c>
      <c r="J98">
        <f>IF(OR(K98="",M98=""),"",RANK(M98,$M$5:$M$104))</f>
        <v/>
      </c>
      <c r="K98">
        <f>IFERROR(INDEX('04_調査結果'!$BE$5:$BE$404,MATCH((ROW()-5),'04_調査結果'!$BG$5:$BG$404,0)),"")</f>
        <v/>
      </c>
      <c r="L98">
        <f>IF(K98="","",COUNTIFS('04_調査結果'!$BE$5:$BE$404,K98,'04_調査結果'!$AZ$5:$AZ$404,"&gt;0"))</f>
        <v/>
      </c>
      <c r="M98" s="33">
        <f>IF(K98="","",SUMIFS('04_調査結果'!$AI$5:$AI$404,'04_調査結果'!$BE$5:$BE$404,K98,'04_調査結果'!$AZ$5:$AZ$404,"&gt;0"))</f>
        <v/>
      </c>
      <c r="N98">
        <f>IF(K98="","",COUNTIFS('04_調査結果'!$BE$5:$BE$404,K98,'04_調査結果'!$AZ$5:$AZ$404,"&gt;0",'04_調査結果'!$M$5:$M$404,"暗黙"))</f>
        <v/>
      </c>
      <c r="O98" s="33">
        <f>IF(K98="","",SUMIFS('04_調査結果'!$AI$5:$AI$404,'04_調査結果'!$BE$5:$BE$404,K98,'04_調査結果'!$AZ$5:$AZ$404,"&gt;0",'04_調査結果'!$AH$5:$AH$404,"自動化候補")+SUMIFS('04_調査結果'!$AI$5:$AI$404,'04_調査結果'!$BE$5:$BE$404,K98,'04_調査結果'!$AZ$5:$AZ$404,"&gt;0",'04_調査結果'!$AH$5:$AH$404,"オフショア候補")+SUMIFS('04_調査結果'!$AI$5:$AI$404,'04_調査結果'!$BE$5:$BE$404,K98,'04_調査結果'!$AZ$5:$AZ$404,"&gt;0",'04_調査結果'!$AH$5:$AH$404,"ニアショア候補"))</f>
        <v/>
      </c>
      <c r="P98">
        <f>IF(K98="","",IFERROR(INDEX('04_調査結果'!$F$5:$F$404,MATCH(K98,'04_調査結果'!$BE$5:$BE$404,0))&amp;"",""))</f>
        <v/>
      </c>
    </row>
    <row r="99">
      <c r="B99" s="34" t="n">
        <v>95</v>
      </c>
      <c r="C99">
        <f>IFERROR(INDEX('04_調査結果'!$BB$5:$BB$404,MATCH(B99,'04_調査結果'!$BD$5:$BD$404,0)),"")</f>
        <v/>
      </c>
      <c r="D99">
        <f>IF(C99="","",COUNTIFS('04_調査結果'!$BB$5:$BB$404,C99,'04_調査結果'!$AB$5:$AB$404,"OK"))</f>
        <v/>
      </c>
      <c r="E99">
        <f>IF(C99="","",INDEX($I$5:$I$104,MATCH(H99,$H$5:$H$104,0)))</f>
        <v/>
      </c>
      <c r="F99" s="31" t="n"/>
      <c r="G99">
        <f>IF(C99="","",IF(F99&lt;&gt;"",F99,E99))</f>
        <v/>
      </c>
      <c r="H99" s="34">
        <f>IF(C99="","",UPPER(SUBSTITUTE(SUBSTITUTE(SUBSTITUTE(SUBSTITUTE(SUBSTITUTE(SUBSTITUTE(SUBSTITUTE(SUBSTITUTE(SUBSTITUTE(SUBSTITUTE(SUBSTITUTE(ASC(C99),"株式会社",""),"有限会社",""),"合同会社",""),"(株)",""),"(有)",""),"(同)",""),"㈱",""),"㈲",""),"様",""),"御中","")," ","")))</f>
        <v/>
      </c>
      <c r="I99" s="34">
        <f>IF(C99="","",TRIM(SUBSTITUTE(SUBSTITUTE(SUBSTITUTE(SUBSTITUTE(SUBSTITUTE(SUBSTITUTE(SUBSTITUTE(SUBSTITUTE(SUBSTITUTE(SUBSTITUTE(SUBSTITUTE(C99,"株式会社",""),"有限会社",""),"合同会社",""),"(株)",""),"（株）",""),"㈱",""),"(有)",""),"（有）",""),"㈲",""),"様",""),"御中","")))</f>
        <v/>
      </c>
      <c r="J99">
        <f>IF(OR(K99="",M99=""),"",RANK(M99,$M$5:$M$104))</f>
        <v/>
      </c>
      <c r="K99">
        <f>IFERROR(INDEX('04_調査結果'!$BE$5:$BE$404,MATCH((ROW()-5),'04_調査結果'!$BG$5:$BG$404,0)),"")</f>
        <v/>
      </c>
      <c r="L99">
        <f>IF(K99="","",COUNTIFS('04_調査結果'!$BE$5:$BE$404,K99,'04_調査結果'!$AZ$5:$AZ$404,"&gt;0"))</f>
        <v/>
      </c>
      <c r="M99" s="33">
        <f>IF(K99="","",SUMIFS('04_調査結果'!$AI$5:$AI$404,'04_調査結果'!$BE$5:$BE$404,K99,'04_調査結果'!$AZ$5:$AZ$404,"&gt;0"))</f>
        <v/>
      </c>
      <c r="N99">
        <f>IF(K99="","",COUNTIFS('04_調査結果'!$BE$5:$BE$404,K99,'04_調査結果'!$AZ$5:$AZ$404,"&gt;0",'04_調査結果'!$M$5:$M$404,"暗黙"))</f>
        <v/>
      </c>
      <c r="O99" s="33">
        <f>IF(K99="","",SUMIFS('04_調査結果'!$AI$5:$AI$404,'04_調査結果'!$BE$5:$BE$404,K99,'04_調査結果'!$AZ$5:$AZ$404,"&gt;0",'04_調査結果'!$AH$5:$AH$404,"自動化候補")+SUMIFS('04_調査結果'!$AI$5:$AI$404,'04_調査結果'!$BE$5:$BE$404,K99,'04_調査結果'!$AZ$5:$AZ$404,"&gt;0",'04_調査結果'!$AH$5:$AH$404,"オフショア候補")+SUMIFS('04_調査結果'!$AI$5:$AI$404,'04_調査結果'!$BE$5:$BE$404,K99,'04_調査結果'!$AZ$5:$AZ$404,"&gt;0",'04_調査結果'!$AH$5:$AH$404,"ニアショア候補"))</f>
        <v/>
      </c>
      <c r="P99">
        <f>IF(K99="","",IFERROR(INDEX('04_調査結果'!$F$5:$F$404,MATCH(K99,'04_調査結果'!$BE$5:$BE$404,0))&amp;"",""))</f>
        <v/>
      </c>
    </row>
    <row r="100">
      <c r="B100" s="34" t="n">
        <v>96</v>
      </c>
      <c r="C100">
        <f>IFERROR(INDEX('04_調査結果'!$BB$5:$BB$404,MATCH(B100,'04_調査結果'!$BD$5:$BD$404,0)),"")</f>
        <v/>
      </c>
      <c r="D100">
        <f>IF(C100="","",COUNTIFS('04_調査結果'!$BB$5:$BB$404,C100,'04_調査結果'!$AB$5:$AB$404,"OK"))</f>
        <v/>
      </c>
      <c r="E100">
        <f>IF(C100="","",INDEX($I$5:$I$104,MATCH(H100,$H$5:$H$104,0)))</f>
        <v/>
      </c>
      <c r="F100" s="31" t="n"/>
      <c r="G100">
        <f>IF(C100="","",IF(F100&lt;&gt;"",F100,E100))</f>
        <v/>
      </c>
      <c r="H100" s="34">
        <f>IF(C100="","",UPPER(SUBSTITUTE(SUBSTITUTE(SUBSTITUTE(SUBSTITUTE(SUBSTITUTE(SUBSTITUTE(SUBSTITUTE(SUBSTITUTE(SUBSTITUTE(SUBSTITUTE(SUBSTITUTE(ASC(C100),"株式会社",""),"有限会社",""),"合同会社",""),"(株)",""),"(有)",""),"(同)",""),"㈱",""),"㈲",""),"様",""),"御中","")," ","")))</f>
        <v/>
      </c>
      <c r="I100" s="34">
        <f>IF(C100="","",TRIM(SUBSTITUTE(SUBSTITUTE(SUBSTITUTE(SUBSTITUTE(SUBSTITUTE(SUBSTITUTE(SUBSTITUTE(SUBSTITUTE(SUBSTITUTE(SUBSTITUTE(SUBSTITUTE(C100,"株式会社",""),"有限会社",""),"合同会社",""),"(株)",""),"（株）",""),"㈱",""),"(有)",""),"（有）",""),"㈲",""),"様",""),"御中","")))</f>
        <v/>
      </c>
      <c r="J100">
        <f>IF(OR(K100="",M100=""),"",RANK(M100,$M$5:$M$104))</f>
        <v/>
      </c>
      <c r="K100">
        <f>IFERROR(INDEX('04_調査結果'!$BE$5:$BE$404,MATCH((ROW()-5),'04_調査結果'!$BG$5:$BG$404,0)),"")</f>
        <v/>
      </c>
      <c r="L100">
        <f>IF(K100="","",COUNTIFS('04_調査結果'!$BE$5:$BE$404,K100,'04_調査結果'!$AZ$5:$AZ$404,"&gt;0"))</f>
        <v/>
      </c>
      <c r="M100" s="33">
        <f>IF(K100="","",SUMIFS('04_調査結果'!$AI$5:$AI$404,'04_調査結果'!$BE$5:$BE$404,K100,'04_調査結果'!$AZ$5:$AZ$404,"&gt;0"))</f>
        <v/>
      </c>
      <c r="N100">
        <f>IF(K100="","",COUNTIFS('04_調査結果'!$BE$5:$BE$404,K100,'04_調査結果'!$AZ$5:$AZ$404,"&gt;0",'04_調査結果'!$M$5:$M$404,"暗黙"))</f>
        <v/>
      </c>
      <c r="O100" s="33">
        <f>IF(K100="","",SUMIFS('04_調査結果'!$AI$5:$AI$404,'04_調査結果'!$BE$5:$BE$404,K100,'04_調査結果'!$AZ$5:$AZ$404,"&gt;0",'04_調査結果'!$AH$5:$AH$404,"自動化候補")+SUMIFS('04_調査結果'!$AI$5:$AI$404,'04_調査結果'!$BE$5:$BE$404,K100,'04_調査結果'!$AZ$5:$AZ$404,"&gt;0",'04_調査結果'!$AH$5:$AH$404,"オフショア候補")+SUMIFS('04_調査結果'!$AI$5:$AI$404,'04_調査結果'!$BE$5:$BE$404,K100,'04_調査結果'!$AZ$5:$AZ$404,"&gt;0",'04_調査結果'!$AH$5:$AH$404,"ニアショア候補"))</f>
        <v/>
      </c>
      <c r="P100">
        <f>IF(K100="","",IFERROR(INDEX('04_調査結果'!$F$5:$F$404,MATCH(K100,'04_調査結果'!$BE$5:$BE$404,0))&amp;"",""))</f>
        <v/>
      </c>
    </row>
    <row r="101">
      <c r="B101" s="34" t="n">
        <v>97</v>
      </c>
      <c r="C101">
        <f>IFERROR(INDEX('04_調査結果'!$BB$5:$BB$404,MATCH(B101,'04_調査結果'!$BD$5:$BD$404,0)),"")</f>
        <v/>
      </c>
      <c r="D101">
        <f>IF(C101="","",COUNTIFS('04_調査結果'!$BB$5:$BB$404,C101,'04_調査結果'!$AB$5:$AB$404,"OK"))</f>
        <v/>
      </c>
      <c r="E101">
        <f>IF(C101="","",INDEX($I$5:$I$104,MATCH(H101,$H$5:$H$104,0)))</f>
        <v/>
      </c>
      <c r="F101" s="31" t="n"/>
      <c r="G101">
        <f>IF(C101="","",IF(F101&lt;&gt;"",F101,E101))</f>
        <v/>
      </c>
      <c r="H101" s="34">
        <f>IF(C101="","",UPPER(SUBSTITUTE(SUBSTITUTE(SUBSTITUTE(SUBSTITUTE(SUBSTITUTE(SUBSTITUTE(SUBSTITUTE(SUBSTITUTE(SUBSTITUTE(SUBSTITUTE(SUBSTITUTE(ASC(C101),"株式会社",""),"有限会社",""),"合同会社",""),"(株)",""),"(有)",""),"(同)",""),"㈱",""),"㈲",""),"様",""),"御中","")," ","")))</f>
        <v/>
      </c>
      <c r="I101" s="34">
        <f>IF(C101="","",TRIM(SUBSTITUTE(SUBSTITUTE(SUBSTITUTE(SUBSTITUTE(SUBSTITUTE(SUBSTITUTE(SUBSTITUTE(SUBSTITUTE(SUBSTITUTE(SUBSTITUTE(SUBSTITUTE(C101,"株式会社",""),"有限会社",""),"合同会社",""),"(株)",""),"（株）",""),"㈱",""),"(有)",""),"（有）",""),"㈲",""),"様",""),"御中","")))</f>
        <v/>
      </c>
      <c r="J101">
        <f>IF(OR(K101="",M101=""),"",RANK(M101,$M$5:$M$104))</f>
        <v/>
      </c>
      <c r="K101">
        <f>IFERROR(INDEX('04_調査結果'!$BE$5:$BE$404,MATCH((ROW()-5),'04_調査結果'!$BG$5:$BG$404,0)),"")</f>
        <v/>
      </c>
      <c r="L101">
        <f>IF(K101="","",COUNTIFS('04_調査結果'!$BE$5:$BE$404,K101,'04_調査結果'!$AZ$5:$AZ$404,"&gt;0"))</f>
        <v/>
      </c>
      <c r="M101" s="33">
        <f>IF(K101="","",SUMIFS('04_調査結果'!$AI$5:$AI$404,'04_調査結果'!$BE$5:$BE$404,K101,'04_調査結果'!$AZ$5:$AZ$404,"&gt;0"))</f>
        <v/>
      </c>
      <c r="N101">
        <f>IF(K101="","",COUNTIFS('04_調査結果'!$BE$5:$BE$404,K101,'04_調査結果'!$AZ$5:$AZ$404,"&gt;0",'04_調査結果'!$M$5:$M$404,"暗黙"))</f>
        <v/>
      </c>
      <c r="O101" s="33">
        <f>IF(K101="","",SUMIFS('04_調査結果'!$AI$5:$AI$404,'04_調査結果'!$BE$5:$BE$404,K101,'04_調査結果'!$AZ$5:$AZ$404,"&gt;0",'04_調査結果'!$AH$5:$AH$404,"自動化候補")+SUMIFS('04_調査結果'!$AI$5:$AI$404,'04_調査結果'!$BE$5:$BE$404,K101,'04_調査結果'!$AZ$5:$AZ$404,"&gt;0",'04_調査結果'!$AH$5:$AH$404,"オフショア候補")+SUMIFS('04_調査結果'!$AI$5:$AI$404,'04_調査結果'!$BE$5:$BE$404,K101,'04_調査結果'!$AZ$5:$AZ$404,"&gt;0",'04_調査結果'!$AH$5:$AH$404,"ニアショア候補"))</f>
        <v/>
      </c>
      <c r="P101">
        <f>IF(K101="","",IFERROR(INDEX('04_調査結果'!$F$5:$F$404,MATCH(K101,'04_調査結果'!$BE$5:$BE$404,0))&amp;"",""))</f>
        <v/>
      </c>
    </row>
    <row r="102">
      <c r="B102" s="34" t="n">
        <v>98</v>
      </c>
      <c r="C102">
        <f>IFERROR(INDEX('04_調査結果'!$BB$5:$BB$404,MATCH(B102,'04_調査結果'!$BD$5:$BD$404,0)),"")</f>
        <v/>
      </c>
      <c r="D102">
        <f>IF(C102="","",COUNTIFS('04_調査結果'!$BB$5:$BB$404,C102,'04_調査結果'!$AB$5:$AB$404,"OK"))</f>
        <v/>
      </c>
      <c r="E102">
        <f>IF(C102="","",INDEX($I$5:$I$104,MATCH(H102,$H$5:$H$104,0)))</f>
        <v/>
      </c>
      <c r="F102" s="31" t="n"/>
      <c r="G102">
        <f>IF(C102="","",IF(F102&lt;&gt;"",F102,E102))</f>
        <v/>
      </c>
      <c r="H102" s="34">
        <f>IF(C102="","",UPPER(SUBSTITUTE(SUBSTITUTE(SUBSTITUTE(SUBSTITUTE(SUBSTITUTE(SUBSTITUTE(SUBSTITUTE(SUBSTITUTE(SUBSTITUTE(SUBSTITUTE(SUBSTITUTE(ASC(C102),"株式会社",""),"有限会社",""),"合同会社",""),"(株)",""),"(有)",""),"(同)",""),"㈱",""),"㈲",""),"様",""),"御中","")," ","")))</f>
        <v/>
      </c>
      <c r="I102" s="34">
        <f>IF(C102="","",TRIM(SUBSTITUTE(SUBSTITUTE(SUBSTITUTE(SUBSTITUTE(SUBSTITUTE(SUBSTITUTE(SUBSTITUTE(SUBSTITUTE(SUBSTITUTE(SUBSTITUTE(SUBSTITUTE(C102,"株式会社",""),"有限会社",""),"合同会社",""),"(株)",""),"（株）",""),"㈱",""),"(有)",""),"（有）",""),"㈲",""),"様",""),"御中","")))</f>
        <v/>
      </c>
      <c r="J102">
        <f>IF(OR(K102="",M102=""),"",RANK(M102,$M$5:$M$104))</f>
        <v/>
      </c>
      <c r="K102">
        <f>IFERROR(INDEX('04_調査結果'!$BE$5:$BE$404,MATCH((ROW()-5),'04_調査結果'!$BG$5:$BG$404,0)),"")</f>
        <v/>
      </c>
      <c r="L102">
        <f>IF(K102="","",COUNTIFS('04_調査結果'!$BE$5:$BE$404,K102,'04_調査結果'!$AZ$5:$AZ$404,"&gt;0"))</f>
        <v/>
      </c>
      <c r="M102" s="33">
        <f>IF(K102="","",SUMIFS('04_調査結果'!$AI$5:$AI$404,'04_調査結果'!$BE$5:$BE$404,K102,'04_調査結果'!$AZ$5:$AZ$404,"&gt;0"))</f>
        <v/>
      </c>
      <c r="N102">
        <f>IF(K102="","",COUNTIFS('04_調査結果'!$BE$5:$BE$404,K102,'04_調査結果'!$AZ$5:$AZ$404,"&gt;0",'04_調査結果'!$M$5:$M$404,"暗黙"))</f>
        <v/>
      </c>
      <c r="O102" s="33">
        <f>IF(K102="","",SUMIFS('04_調査結果'!$AI$5:$AI$404,'04_調査結果'!$BE$5:$BE$404,K102,'04_調査結果'!$AZ$5:$AZ$404,"&gt;0",'04_調査結果'!$AH$5:$AH$404,"自動化候補")+SUMIFS('04_調査結果'!$AI$5:$AI$404,'04_調査結果'!$BE$5:$BE$404,K102,'04_調査結果'!$AZ$5:$AZ$404,"&gt;0",'04_調査結果'!$AH$5:$AH$404,"オフショア候補")+SUMIFS('04_調査結果'!$AI$5:$AI$404,'04_調査結果'!$BE$5:$BE$404,K102,'04_調査結果'!$AZ$5:$AZ$404,"&gt;0",'04_調査結果'!$AH$5:$AH$404,"ニアショア候補"))</f>
        <v/>
      </c>
      <c r="P102">
        <f>IF(K102="","",IFERROR(INDEX('04_調査結果'!$F$5:$F$404,MATCH(K102,'04_調査結果'!$BE$5:$BE$404,0))&amp;"",""))</f>
        <v/>
      </c>
    </row>
    <row r="103">
      <c r="B103" s="34" t="n">
        <v>99</v>
      </c>
      <c r="C103">
        <f>IFERROR(INDEX('04_調査結果'!$BB$5:$BB$404,MATCH(B103,'04_調査結果'!$BD$5:$BD$404,0)),"")</f>
        <v/>
      </c>
      <c r="D103">
        <f>IF(C103="","",COUNTIFS('04_調査結果'!$BB$5:$BB$404,C103,'04_調査結果'!$AB$5:$AB$404,"OK"))</f>
        <v/>
      </c>
      <c r="E103">
        <f>IF(C103="","",INDEX($I$5:$I$104,MATCH(H103,$H$5:$H$104,0)))</f>
        <v/>
      </c>
      <c r="F103" s="31" t="n"/>
      <c r="G103">
        <f>IF(C103="","",IF(F103&lt;&gt;"",F103,E103))</f>
        <v/>
      </c>
      <c r="H103" s="34">
        <f>IF(C103="","",UPPER(SUBSTITUTE(SUBSTITUTE(SUBSTITUTE(SUBSTITUTE(SUBSTITUTE(SUBSTITUTE(SUBSTITUTE(SUBSTITUTE(SUBSTITUTE(SUBSTITUTE(SUBSTITUTE(ASC(C103),"株式会社",""),"有限会社",""),"合同会社",""),"(株)",""),"(有)",""),"(同)",""),"㈱",""),"㈲",""),"様",""),"御中","")," ","")))</f>
        <v/>
      </c>
      <c r="I103" s="34">
        <f>IF(C103="","",TRIM(SUBSTITUTE(SUBSTITUTE(SUBSTITUTE(SUBSTITUTE(SUBSTITUTE(SUBSTITUTE(SUBSTITUTE(SUBSTITUTE(SUBSTITUTE(SUBSTITUTE(SUBSTITUTE(C103,"株式会社",""),"有限会社",""),"合同会社",""),"(株)",""),"（株）",""),"㈱",""),"(有)",""),"（有）",""),"㈲",""),"様",""),"御中","")))</f>
        <v/>
      </c>
      <c r="J103">
        <f>IF(OR(K103="",M103=""),"",RANK(M103,$M$5:$M$104))</f>
        <v/>
      </c>
      <c r="K103">
        <f>IFERROR(INDEX('04_調査結果'!$BE$5:$BE$404,MATCH((ROW()-5),'04_調査結果'!$BG$5:$BG$404,0)),"")</f>
        <v/>
      </c>
      <c r="L103">
        <f>IF(K103="","",COUNTIFS('04_調査結果'!$BE$5:$BE$404,K103,'04_調査結果'!$AZ$5:$AZ$404,"&gt;0"))</f>
        <v/>
      </c>
      <c r="M103" s="33">
        <f>IF(K103="","",SUMIFS('04_調査結果'!$AI$5:$AI$404,'04_調査結果'!$BE$5:$BE$404,K103,'04_調査結果'!$AZ$5:$AZ$404,"&gt;0"))</f>
        <v/>
      </c>
      <c r="N103">
        <f>IF(K103="","",COUNTIFS('04_調査結果'!$BE$5:$BE$404,K103,'04_調査結果'!$AZ$5:$AZ$404,"&gt;0",'04_調査結果'!$M$5:$M$404,"暗黙"))</f>
        <v/>
      </c>
      <c r="O103" s="33">
        <f>IF(K103="","",SUMIFS('04_調査結果'!$AI$5:$AI$404,'04_調査結果'!$BE$5:$BE$404,K103,'04_調査結果'!$AZ$5:$AZ$404,"&gt;0",'04_調査結果'!$AH$5:$AH$404,"自動化候補")+SUMIFS('04_調査結果'!$AI$5:$AI$404,'04_調査結果'!$BE$5:$BE$404,K103,'04_調査結果'!$AZ$5:$AZ$404,"&gt;0",'04_調査結果'!$AH$5:$AH$404,"オフショア候補")+SUMIFS('04_調査結果'!$AI$5:$AI$404,'04_調査結果'!$BE$5:$BE$404,K103,'04_調査結果'!$AZ$5:$AZ$404,"&gt;0",'04_調査結果'!$AH$5:$AH$404,"ニアショア候補"))</f>
        <v/>
      </c>
      <c r="P103">
        <f>IF(K103="","",IFERROR(INDEX('04_調査結果'!$F$5:$F$404,MATCH(K103,'04_調査結果'!$BE$5:$BE$404,0))&amp;"",""))</f>
        <v/>
      </c>
    </row>
    <row r="104">
      <c r="B104" s="34" t="n">
        <v>100</v>
      </c>
      <c r="C104">
        <f>IFERROR(INDEX('04_調査結果'!$BB$5:$BB$404,MATCH(B104,'04_調査結果'!$BD$5:$BD$404,0)),"")</f>
        <v/>
      </c>
      <c r="D104">
        <f>IF(C104="","",COUNTIFS('04_調査結果'!$BB$5:$BB$404,C104,'04_調査結果'!$AB$5:$AB$404,"OK"))</f>
        <v/>
      </c>
      <c r="E104">
        <f>IF(C104="","",INDEX($I$5:$I$104,MATCH(H104,$H$5:$H$104,0)))</f>
        <v/>
      </c>
      <c r="F104" s="31" t="n"/>
      <c r="G104">
        <f>IF(C104="","",IF(F104&lt;&gt;"",F104,E104))</f>
        <v/>
      </c>
      <c r="H104" s="34">
        <f>IF(C104="","",UPPER(SUBSTITUTE(SUBSTITUTE(SUBSTITUTE(SUBSTITUTE(SUBSTITUTE(SUBSTITUTE(SUBSTITUTE(SUBSTITUTE(SUBSTITUTE(SUBSTITUTE(SUBSTITUTE(ASC(C104),"株式会社",""),"有限会社",""),"合同会社",""),"(株)",""),"(有)",""),"(同)",""),"㈱",""),"㈲",""),"様",""),"御中","")," ","")))</f>
        <v/>
      </c>
      <c r="I104" s="34">
        <f>IF(C104="","",TRIM(SUBSTITUTE(SUBSTITUTE(SUBSTITUTE(SUBSTITUTE(SUBSTITUTE(SUBSTITUTE(SUBSTITUTE(SUBSTITUTE(SUBSTITUTE(SUBSTITUTE(SUBSTITUTE(C104,"株式会社",""),"有限会社",""),"合同会社",""),"(株)",""),"（株）",""),"㈱",""),"(有)",""),"（有）",""),"㈲",""),"様",""),"御中","")))</f>
        <v/>
      </c>
      <c r="J104">
        <f>IF(OR(K104="",M104=""),"",RANK(M104,$M$5:$M$104))</f>
        <v/>
      </c>
      <c r="K104">
        <f>IFERROR(INDEX('04_調査結果'!$BE$5:$BE$404,MATCH((ROW()-5),'04_調査結果'!$BG$5:$BG$404,0)),"")</f>
        <v/>
      </c>
      <c r="L104">
        <f>IF(K104="","",COUNTIFS('04_調査結果'!$BE$5:$BE$404,K104,'04_調査結果'!$AZ$5:$AZ$404,"&gt;0"))</f>
        <v/>
      </c>
      <c r="M104" s="33">
        <f>IF(K104="","",SUMIFS('04_調査結果'!$AI$5:$AI$404,'04_調査結果'!$BE$5:$BE$404,K104,'04_調査結果'!$AZ$5:$AZ$404,"&gt;0"))</f>
        <v/>
      </c>
      <c r="N104">
        <f>IF(K104="","",COUNTIFS('04_調査結果'!$BE$5:$BE$404,K104,'04_調査結果'!$AZ$5:$AZ$404,"&gt;0",'04_調査結果'!$M$5:$M$404,"暗黙"))</f>
        <v/>
      </c>
      <c r="O104" s="33">
        <f>IF(K104="","",SUMIFS('04_調査結果'!$AI$5:$AI$404,'04_調査結果'!$BE$5:$BE$404,K104,'04_調査結果'!$AZ$5:$AZ$404,"&gt;0",'04_調査結果'!$AH$5:$AH$404,"自動化候補")+SUMIFS('04_調査結果'!$AI$5:$AI$404,'04_調査結果'!$BE$5:$BE$404,K104,'04_調査結果'!$AZ$5:$AZ$404,"&gt;0",'04_調査結果'!$AH$5:$AH$404,"オフショア候補")+SUMIFS('04_調査結果'!$AI$5:$AI$404,'04_調査結果'!$BE$5:$BE$404,K104,'04_調査結果'!$AZ$5:$AZ$404,"&gt;0",'04_調査結果'!$AH$5:$AH$404,"ニアショア候補"))</f>
        <v/>
      </c>
      <c r="P104">
        <f>IF(K104="","",IFERROR(INDEX('04_調査結果'!$F$5:$F$404,MATCH(K104,'04_調査結果'!$BE$5:$BE$404,0))&amp;"",""))</f>
        <v/>
      </c>
    </row>
    <row r="106">
      <c r="B106" s="2" t="inlineStr">
        <is>
          <t>※ 薄い黄色の行は、別の表記と自動でそろえたもの。違う会社がまとめられていたら、黄色の列に正しい名前を入れて分ける。</t>
        </is>
      </c>
    </row>
  </sheetData>
  <conditionalFormatting sqref="C5:H104">
    <cfRule type="expression" priority="1" dxfId="10">
      <formula>AND($C5&lt;&gt;"",$E5&lt;&gt;$C5)</formula>
    </cfRule>
  </conditionalFormatting>
  <pageMargins left="0.75" right="0.75" top="1" bottom="1" header="0.5" footer="0.5"/>
</worksheet>
</file>

<file path=xl/worksheets/sheet8.xml><?xml version="1.0" encoding="utf-8"?>
<worksheet xmlns="http://schemas.openxmlformats.org/spreadsheetml/2006/main">
  <sheetPr>
    <tabColor rgb="00808080"/>
    <outlinePr summaryBelow="1" summaryRight="1"/>
    <pageSetUpPr/>
  </sheetPr>
  <dimension ref="A1:E19"/>
  <sheetViews>
    <sheetView showGridLines="1" workbookViewId="0">
      <selection activeCell="A1" sqref="A1"/>
    </sheetView>
  </sheetViews>
  <sheetFormatPr baseColWidth="8" defaultRowHeight="15"/>
  <cols>
    <col width="10" customWidth="1" min="1" max="1"/>
    <col width="22" customWidth="1" min="2" max="2"/>
    <col width="52" customWidth="1" min="3" max="3"/>
    <col width="40" customWidth="1" min="4" max="4"/>
    <col width="34" customWidth="1" min="5" max="5"/>
  </cols>
  <sheetData>
    <row r="1">
      <c r="A1" s="5" t="inlineStr">
        <is>
          <t>M1_類型マスタ</t>
        </is>
      </c>
    </row>
    <row r="2">
      <c r="A2" s="2" t="inlineStr">
        <is>
          <t>暗黙タスクの類型（全員共通）。</t>
        </is>
      </c>
    </row>
    <row r="4" ht="30" customHeight="1">
      <c r="A4" s="6" t="inlineStr">
        <is>
          <t>類型コード</t>
        </is>
      </c>
      <c r="B4" s="6" t="inlineStr">
        <is>
          <t>名称</t>
        </is>
      </c>
      <c r="C4" s="6" t="inlineStr">
        <is>
          <t>定義</t>
        </is>
      </c>
      <c r="D4" s="6" t="inlineStr">
        <is>
          <t>典型的な行動の例</t>
        </is>
      </c>
      <c r="E4" s="6" t="inlineStr">
        <is>
          <t>移管の傾向（参考）</t>
        </is>
      </c>
    </row>
    <row r="5" ht="30" customHeight="1">
      <c r="A5" s="8" t="inlineStr">
        <is>
          <t>T01</t>
        </is>
      </c>
      <c r="B5" s="8" t="inlineStr">
        <is>
          <t>中継・転送</t>
        </is>
      </c>
      <c r="C5" s="23" t="inlineStr">
        <is>
          <t>受け取った情報・依頼を、内容をほぼ変えずに別の人・部署へ回す</t>
        </is>
      </c>
      <c r="D5" s="23" t="inlineStr">
        <is>
          <t>社外からの問合せを担当者へ転送／通達をチームに共有</t>
        </is>
      </c>
      <c r="E5" s="23" t="inlineStr">
        <is>
          <t>自動化・オフショア向き（転送ルールを決めやすい）</t>
        </is>
      </c>
    </row>
    <row r="6" ht="30" customHeight="1">
      <c r="A6" s="8" t="inlineStr">
        <is>
          <t>T02</t>
        </is>
      </c>
      <c r="B6" s="8" t="inlineStr">
        <is>
          <t>日程・会議調整</t>
        </is>
      </c>
      <c r="C6" s="23" t="inlineStr">
        <is>
          <t>複数人の予定を確認し、日時・場所・参加者を決めて連絡する</t>
        </is>
      </c>
      <c r="D6" s="23" t="inlineStr">
        <is>
          <t>候補日の提示／会議室予約／リスケ連絡</t>
        </is>
      </c>
      <c r="E6" s="23" t="inlineStr">
        <is>
          <t>ニアショア向き（アシスタント業務）</t>
        </is>
      </c>
    </row>
    <row r="7" ht="30" customHeight="1">
      <c r="A7" s="8" t="inlineStr">
        <is>
          <t>T03</t>
        </is>
      </c>
      <c r="B7" s="8" t="inlineStr">
        <is>
          <t>催促・フォローアップ</t>
        </is>
      </c>
      <c r="C7" s="23" t="inlineStr">
        <is>
          <t>返事や提出がない相手に再確認・催促する</t>
        </is>
      </c>
      <c r="D7" s="23" t="inlineStr">
        <is>
          <t>提出期限のリマインド／回答状況の確認</t>
        </is>
      </c>
      <c r="E7" s="23" t="inlineStr">
        <is>
          <t>自動化（リマインド）・ニアショア向き</t>
        </is>
      </c>
    </row>
    <row r="8" ht="30" customHeight="1">
      <c r="A8" s="8" t="inlineStr">
        <is>
          <t>T04</t>
        </is>
      </c>
      <c r="B8" s="8" t="inlineStr">
        <is>
          <t>取りまとめ・集約</t>
        </is>
      </c>
      <c r="C8" s="23" t="inlineStr">
        <is>
          <t>複数人から情報・資料を回収し、一つにまとめる</t>
        </is>
      </c>
      <c r="D8" s="23" t="inlineStr">
        <is>
          <t>各課の数値回収と集計／アンケート回収</t>
        </is>
      </c>
      <c r="E8" s="23" t="inlineStr">
        <is>
          <t>様式を決めればオフショア・ニアショア向き</t>
        </is>
      </c>
    </row>
    <row r="9" ht="30" customHeight="1">
      <c r="A9" s="8" t="inlineStr">
        <is>
          <t>T05</t>
        </is>
      </c>
      <c r="B9" s="8" t="inlineStr">
        <is>
          <t>確認・承認・レビュー</t>
        </is>
      </c>
      <c r="C9" s="23" t="inlineStr">
        <is>
          <t>他人の作成物・申請を確認し、承認・差し戻し・修正する</t>
        </is>
      </c>
      <c r="D9" s="23" t="inlineStr">
        <is>
          <t>資料レビュー／稟議の事前確認／経費チェック</t>
        </is>
      </c>
      <c r="E9" s="23" t="inlineStr">
        <is>
          <t>社内残置が多い（形式チェックは移管可）</t>
        </is>
      </c>
    </row>
    <row r="10" ht="30" customHeight="1">
      <c r="A10" s="8" t="inlineStr">
        <is>
          <t>T06</t>
        </is>
      </c>
      <c r="B10" s="8" t="inlineStr">
        <is>
          <t>問い合わせ対応・振り分け</t>
        </is>
      </c>
      <c r="C10" s="23" t="inlineStr">
        <is>
          <t>質問・依頼を受け、一次回答するか担当を決めて振る</t>
        </is>
      </c>
      <c r="D10" s="23" t="inlineStr">
        <is>
          <t>他部署からの質問への回答／担当者の割り当て</t>
        </is>
      </c>
      <c r="E10" s="23" t="inlineStr">
        <is>
          <t>FAQ化すればニアショア向き</t>
        </is>
      </c>
    </row>
    <row r="11" ht="30" customHeight="1">
      <c r="A11" s="8" t="inlineStr">
        <is>
          <t>T07</t>
        </is>
      </c>
      <c r="B11" s="8" t="inlineStr">
        <is>
          <t>利害調整・合意形成</t>
        </is>
      </c>
      <c r="C11" s="23" t="inlineStr">
        <is>
          <t>立場の違う関係者の意見をすり合わせ、合意を作る</t>
        </is>
      </c>
      <c r="D11" s="23" t="inlineStr">
        <is>
          <t>部署間の役割分担の調整／根回し</t>
        </is>
      </c>
      <c r="E11" s="23" t="inlineStr">
        <is>
          <t>社内残置</t>
        </is>
      </c>
    </row>
    <row r="12" ht="30" customHeight="1">
      <c r="A12" s="8" t="inlineStr">
        <is>
          <t>T08</t>
        </is>
      </c>
      <c r="B12" s="8" t="inlineStr">
        <is>
          <t>定例報告・数値更新</t>
        </is>
      </c>
      <c r="C12" s="23" t="inlineStr">
        <is>
          <t>決まった周期で報告書・数値・進捗を更新し送付する</t>
        </is>
      </c>
      <c r="D12" s="23" t="inlineStr">
        <is>
          <t>週次報告／月次KPIの更新</t>
        </is>
      </c>
      <c r="E12" s="23" t="inlineStr">
        <is>
          <t>自動化・オフショア向き</t>
        </is>
      </c>
    </row>
    <row r="13" ht="30" customHeight="1">
      <c r="A13" s="8" t="inlineStr">
        <is>
          <t>T09</t>
        </is>
      </c>
      <c r="B13" s="8" t="inlineStr">
        <is>
          <t>申請・手配・事務手続き</t>
        </is>
      </c>
      <c r="C13" s="23" t="inlineStr">
        <is>
          <t>社内外の手続き・発注・予約・登録を行う</t>
        </is>
      </c>
      <c r="D13" s="23" t="inlineStr">
        <is>
          <t>出張手配／アカウント申請／発注処理</t>
        </is>
      </c>
      <c r="E13" s="23" t="inlineStr">
        <is>
          <t>ニアショア・オフショア向き</t>
        </is>
      </c>
    </row>
    <row r="14" ht="30" customHeight="1">
      <c r="A14" s="8" t="inlineStr">
        <is>
          <t>T10</t>
        </is>
      </c>
      <c r="B14" s="8" t="inlineStr">
        <is>
          <t>調査・情報探し</t>
        </is>
      </c>
      <c r="C14" s="23" t="inlineStr">
        <is>
          <t>回答や判断のために、資料・過去の経緯・データを調べる</t>
        </is>
      </c>
      <c r="D14" s="23" t="inlineStr">
        <is>
          <t>過去メールの経緯確認／規程の確認</t>
        </is>
      </c>
      <c r="E14" s="23" t="inlineStr">
        <is>
          <t>内容しだい</t>
        </is>
      </c>
    </row>
    <row r="15" ht="30" customHeight="1">
      <c r="A15" s="8" t="inlineStr">
        <is>
          <t>T11</t>
        </is>
      </c>
      <c r="B15" s="8" t="inlineStr">
        <is>
          <t>トラブル・例外対応</t>
        </is>
      </c>
      <c r="C15" s="23" t="inlineStr">
        <is>
          <t>想定外の事象に一次対応し、必要ならエスカレーションする</t>
        </is>
      </c>
      <c r="D15" s="23" t="inlineStr">
        <is>
          <t>障害の連絡／クレームの一次対応</t>
        </is>
      </c>
      <c r="E15" s="23" t="inlineStr">
        <is>
          <t>社内残置が多い</t>
        </is>
      </c>
    </row>
    <row r="16" ht="30" customHeight="1">
      <c r="A16" s="8" t="inlineStr">
        <is>
          <t>T12</t>
        </is>
      </c>
      <c r="B16" s="8" t="inlineStr">
        <is>
          <t>相談対応・指導</t>
        </is>
      </c>
      <c r="C16" s="23" t="inlineStr">
        <is>
          <t>部下・同僚からの相談に乗り、指導・助言する</t>
        </is>
      </c>
      <c r="D16" s="23" t="inlineStr">
        <is>
          <t>進め方の相談／文書の添削</t>
        </is>
      </c>
      <c r="E16" s="23" t="inlineStr">
        <is>
          <t>社内残置</t>
        </is>
      </c>
    </row>
    <row r="17" ht="30" customHeight="1">
      <c r="A17" s="8" t="inlineStr">
        <is>
          <t>T13</t>
        </is>
      </c>
      <c r="B17" s="8" t="inlineStr">
        <is>
          <t>会議運営</t>
        </is>
      </c>
      <c r="C17" s="23" t="inlineStr">
        <is>
          <t>会議の準備・進行・議事録作成・共有・宿題管理を行う</t>
        </is>
      </c>
      <c r="D17" s="23" t="inlineStr">
        <is>
          <t>アジェンダ作成／議事録配布／宿題の追跡</t>
        </is>
      </c>
      <c r="E17" s="23" t="inlineStr">
        <is>
          <t>議事録・宿題管理はニアショア向き</t>
        </is>
      </c>
    </row>
    <row r="18" ht="30" customHeight="1">
      <c r="A18" s="8" t="inlineStr">
        <is>
          <t>T14</t>
        </is>
      </c>
      <c r="B18" s="8" t="inlineStr">
        <is>
          <t>資料・文書作成</t>
        </is>
      </c>
      <c r="C18" s="23" t="inlineStr">
        <is>
          <t>報告書・提案書・手順書など成果物そのものを作る</t>
        </is>
      </c>
      <c r="D18" s="23" t="inlineStr">
        <is>
          <t>提案資料の作成／手順書の作成</t>
        </is>
      </c>
      <c r="E18" s="23" t="inlineStr">
        <is>
          <t>内容しだい</t>
        </is>
      </c>
    </row>
    <row r="19" ht="30" customHeight="1">
      <c r="A19" s="8" t="inlineStr">
        <is>
          <t>T99</t>
        </is>
      </c>
      <c r="B19" s="8" t="inlineStr">
        <is>
          <t>その他</t>
        </is>
      </c>
      <c r="C19" s="23" t="inlineStr">
        <is>
          <t>上のどれにも当たらないもの</t>
        </is>
      </c>
      <c r="D19" s="23" t="inlineStr">
        <is>
          <t>-</t>
        </is>
      </c>
      <c r="E19" s="23" t="inlineStr">
        <is>
          <t>個別に判断</t>
        </is>
      </c>
    </row>
  </sheetData>
  <pageMargins left="0.75" right="0.75" top="1" bottom="1" header="0.5" footer="0.5"/>
</worksheet>
</file>

<file path=xl/worksheets/sheet9.xml><?xml version="1.0" encoding="utf-8"?>
<worksheet xmlns="http://schemas.openxmlformats.org/spreadsheetml/2006/main">
  <sheetPr>
    <tabColor rgb="00808080"/>
    <outlinePr summaryBelow="1" summaryRight="1"/>
    <pageSetUpPr/>
  </sheetPr>
  <dimension ref="A1:I46"/>
  <sheetViews>
    <sheetView showGridLines="1" workbookViewId="0">
      <selection activeCell="A1" sqref="A1"/>
    </sheetView>
  </sheetViews>
  <sheetFormatPr baseColWidth="8" defaultRowHeight="15"/>
  <cols>
    <col width="18" customWidth="1" min="2" max="2"/>
    <col width="30" customWidth="1" min="3" max="3"/>
    <col width="30" customWidth="1" min="4" max="4"/>
    <col width="40" customWidth="1" min="5" max="5"/>
    <col width="14" customWidth="1" min="6" max="6"/>
    <col width="22" customWidth="1" min="7" max="7"/>
    <col width="10" customWidth="1" min="8" max="8"/>
    <col width="16" customWidth="1" min="9" max="9"/>
  </cols>
  <sheetData>
    <row r="1">
      <c r="A1" s="5" t="inlineStr">
        <is>
          <t>M2_区分マスタ</t>
        </is>
      </c>
    </row>
    <row r="2">
      <c r="A2" s="2" t="inlineStr">
        <is>
          <t>プルダウンの選択肢と、評価・判定の基準。</t>
        </is>
      </c>
    </row>
    <row r="4" ht="30" customHeight="1">
      <c r="B4" s="6" t="inlineStr">
        <is>
          <t>部署区分</t>
        </is>
      </c>
      <c r="C4" s="6" t="inlineStr">
        <is>
          <t>役職区分</t>
        </is>
      </c>
      <c r="D4" s="6" t="inlineStr">
        <is>
          <t>調査の完了</t>
        </is>
      </c>
      <c r="E4" s="6" t="inlineStr">
        <is>
          <t>本人確認の状況</t>
        </is>
      </c>
      <c r="F4" s="6" t="inlineStr">
        <is>
          <t>提出状況</t>
        </is>
      </c>
      <c r="G4" s="6" t="inlineStr">
        <is>
          <t>移管区分</t>
        </is>
      </c>
      <c r="H4" s="6" t="inlineStr">
        <is>
          <t>本人確認</t>
        </is>
      </c>
      <c r="I4" s="6" t="inlineStr">
        <is>
          <t>業務区分</t>
        </is>
      </c>
    </row>
    <row r="5">
      <c r="B5" s="8" t="inlineStr">
        <is>
          <t>営業</t>
        </is>
      </c>
      <c r="C5" s="8" t="inlineStr">
        <is>
          <t>部長級以上</t>
        </is>
      </c>
      <c r="D5" s="8" t="inlineStr">
        <is>
          <t>自動</t>
        </is>
      </c>
      <c r="E5" s="8" t="inlineStr">
        <is>
          <t>未完了</t>
        </is>
      </c>
      <c r="F5" s="8" t="inlineStr">
        <is>
          <t>未提出</t>
        </is>
      </c>
      <c r="G5" s="8" t="inlineStr">
        <is>
          <t>自動化候補</t>
        </is>
      </c>
      <c r="H5" s="8" t="inlineStr">
        <is>
          <t>除外</t>
        </is>
      </c>
      <c r="I5" s="8" t="inlineStr">
        <is>
          <t>顧客案件</t>
        </is>
      </c>
    </row>
    <row r="6">
      <c r="B6" s="8" t="inlineStr">
        <is>
          <t>マーケティング</t>
        </is>
      </c>
      <c r="C6" s="8" t="inlineStr">
        <is>
          <t>課長級</t>
        </is>
      </c>
      <c r="D6" s="8" t="inlineStr">
        <is>
          <t>完了</t>
        </is>
      </c>
      <c r="E6" s="8" t="inlineStr">
        <is>
          <t>完了</t>
        </is>
      </c>
      <c r="F6" s="8" t="inlineStr">
        <is>
          <t>提出済み</t>
        </is>
      </c>
      <c r="G6" s="8" t="inlineStr">
        <is>
          <t>オフショア候補</t>
        </is>
      </c>
      <c r="I6" s="8" t="inlineStr">
        <is>
          <t>提案・営業</t>
        </is>
      </c>
    </row>
    <row r="7">
      <c r="B7" s="8" t="inlineStr">
        <is>
          <t>企画・管理</t>
        </is>
      </c>
      <c r="C7" s="8" t="inlineStr">
        <is>
          <t>係長・リーダー級</t>
        </is>
      </c>
      <c r="G7" s="8" t="inlineStr">
        <is>
          <t>ニアショア候補</t>
        </is>
      </c>
      <c r="I7" s="8" t="inlineStr">
        <is>
          <t>社内プロジェクト・改善</t>
        </is>
      </c>
    </row>
    <row r="8">
      <c r="B8" s="8" t="inlineStr">
        <is>
          <t>開発・技術</t>
        </is>
      </c>
      <c r="C8" s="8" t="inlineStr">
        <is>
          <t>その他</t>
        </is>
      </c>
      <c r="G8" s="8" t="inlineStr">
        <is>
          <t>社内で手順化→再評価</t>
        </is>
      </c>
      <c r="I8" s="8" t="inlineStr">
        <is>
          <t>部門運営・人材マネジメント</t>
        </is>
      </c>
    </row>
    <row r="9">
      <c r="B9" s="8" t="inlineStr">
        <is>
          <t>製造・品質</t>
        </is>
      </c>
      <c r="G9" s="8" t="inlineStr">
        <is>
          <t>社内残置</t>
        </is>
      </c>
      <c r="I9" s="8" t="inlineStr">
        <is>
          <t>庶務・事務手続き</t>
        </is>
      </c>
    </row>
    <row r="10">
      <c r="B10" s="8" t="inlineStr">
        <is>
          <t>購買・物流</t>
        </is>
      </c>
      <c r="I10" s="8" t="inlineStr">
        <is>
          <t>全社行事・その他</t>
        </is>
      </c>
    </row>
    <row r="11">
      <c r="B11" s="8" t="inlineStr">
        <is>
          <t>人事・総務</t>
        </is>
      </c>
      <c r="I11" s="34" t="inlineStr">
        <is>
          <t>↓プロンプトに入る一覧（自動）</t>
        </is>
      </c>
    </row>
    <row r="12">
      <c r="B12" s="8" t="inlineStr">
        <is>
          <t>経理・財務</t>
        </is>
      </c>
      <c r="I12" s="34">
        <f>"1 "&amp;I5&amp;"／2 "&amp;I6&amp;"／3 "&amp;I7&amp;"／4 "&amp;I8&amp;"／5 "&amp;I9&amp;"／6 "&amp;I10</f>
        <v/>
      </c>
    </row>
    <row r="13">
      <c r="B13" s="8" t="inlineStr">
        <is>
          <t>情報システム</t>
        </is>
      </c>
    </row>
    <row r="14">
      <c r="B14" s="8" t="inlineStr">
        <is>
          <t>法務・監査</t>
        </is>
      </c>
    </row>
    <row r="15">
      <c r="B15" s="8" t="inlineStr">
        <is>
          <t>顧客サポート</t>
        </is>
      </c>
    </row>
    <row r="16">
      <c r="B16" s="8" t="inlineStr">
        <is>
          <t>その他</t>
        </is>
      </c>
    </row>
    <row r="20">
      <c r="B20" s="12" t="inlineStr">
        <is>
          <t>■ 属性評価の基準（大きいほど任せにくい）</t>
        </is>
      </c>
    </row>
    <row r="21" ht="30" customHeight="1">
      <c r="B21" s="6" t="inlineStr">
        <is>
          <t>観点</t>
        </is>
      </c>
      <c r="C21" s="6" t="inlineStr">
        <is>
          <t>0</t>
        </is>
      </c>
      <c r="D21" s="6" t="inlineStr">
        <is>
          <t>1</t>
        </is>
      </c>
      <c r="E21" s="6" t="inlineStr">
        <is>
          <t>2</t>
        </is>
      </c>
    </row>
    <row r="22">
      <c r="B22" s="23" t="inlineStr">
        <is>
          <t>A1 判断・裁量</t>
        </is>
      </c>
      <c r="C22" s="23" t="inlineStr">
        <is>
          <t>手順どおりで判断不要</t>
        </is>
      </c>
      <c r="D22" s="23" t="inlineStr">
        <is>
          <t>軽い判断がある</t>
        </is>
      </c>
      <c r="E22" s="23" t="inlineStr">
        <is>
          <t>管理職の判断・決裁が必要</t>
        </is>
      </c>
    </row>
    <row r="23">
      <c r="B23" s="23" t="inlineStr">
        <is>
          <t>A2 機密性</t>
        </is>
      </c>
      <c r="C23" s="23" t="inlineStr">
        <is>
          <t>社内の一般的な情報</t>
        </is>
      </c>
      <c r="D23" s="23" t="inlineStr">
        <is>
          <t>社外秘</t>
        </is>
      </c>
      <c r="E23" s="23" t="inlineStr">
        <is>
          <t>人事・評価・個人情報・未公表の経営情報</t>
        </is>
      </c>
    </row>
    <row r="24">
      <c r="B24" s="23" t="inlineStr">
        <is>
          <t>A3 関係性</t>
        </is>
      </c>
      <c r="C24" s="23" t="inlineStr">
        <is>
          <t>誰が対応しても同じ</t>
        </is>
      </c>
      <c r="D24" s="23" t="inlineStr">
        <is>
          <t>相手との一定の関係が必要</t>
        </is>
      </c>
      <c r="E24" s="23" t="inlineStr">
        <is>
          <t>本人との信頼関係が前提</t>
        </is>
      </c>
    </row>
    <row r="25">
      <c r="B25" s="23" t="inlineStr">
        <is>
          <t>A4 言語・文脈</t>
        </is>
      </c>
      <c r="C25" s="23" t="inlineStr">
        <is>
          <t>定型文で足りる</t>
        </is>
      </c>
      <c r="D25" s="23" t="inlineStr">
        <is>
          <t>日本語の言い回し・社内用語が必要</t>
        </is>
      </c>
      <c r="E25" s="23" t="inlineStr">
        <is>
          <t>経緯や空気を読む高度な日本語が必要</t>
        </is>
      </c>
    </row>
    <row r="26">
      <c r="B26" s="23" t="inlineStr">
        <is>
          <t>A5 即時性</t>
        </is>
      </c>
      <c r="C26" s="23" t="inlineStr">
        <is>
          <t>翌営業日でよい</t>
        </is>
      </c>
      <c r="D26" s="23" t="inlineStr">
        <is>
          <t>当日中に必要</t>
        </is>
      </c>
      <c r="E26" s="23" t="inlineStr">
        <is>
          <t>即時、または日本の勤務時間内の対応が必須</t>
        </is>
      </c>
    </row>
    <row r="27">
      <c r="B27" s="23" t="inlineStr">
        <is>
          <t>A6 非定型度</t>
        </is>
      </c>
      <c r="C27" s="23" t="inlineStr">
        <is>
          <t>毎回同じ手順</t>
        </is>
      </c>
      <c r="D27" s="23" t="inlineStr">
        <is>
          <t>いくつかのパターンがある</t>
        </is>
      </c>
      <c r="E27" s="23" t="inlineStr">
        <is>
          <t>毎回内容が違う</t>
        </is>
      </c>
    </row>
    <row r="28">
      <c r="B28" s="23" t="inlineStr">
        <is>
          <t>A7 システム権限</t>
        </is>
      </c>
      <c r="C28" s="23" t="inlineStr">
        <is>
          <t>メール・Teamsだけで完結</t>
        </is>
      </c>
      <c r="D28" s="23" t="inlineStr">
        <is>
          <t>社内システムの閲覧が必要</t>
        </is>
      </c>
      <c r="E28" s="23" t="inlineStr">
        <is>
          <t>承認権限・特別なIDが必要</t>
        </is>
      </c>
    </row>
    <row r="31">
      <c r="B31" s="12" t="inlineStr">
        <is>
          <t>■ 移管区分の自動判定ルール（上から順に当てはめる）</t>
        </is>
      </c>
    </row>
    <row r="32" ht="30" customHeight="1">
      <c r="B32" s="6" t="inlineStr">
        <is>
          <t>順</t>
        </is>
      </c>
      <c r="C32" s="6" t="inlineStr">
        <is>
          <t>区分</t>
        </is>
      </c>
      <c r="D32" s="6" t="inlineStr">
        <is>
          <t>条件</t>
        </is>
      </c>
    </row>
    <row r="33">
      <c r="B33" s="8" t="inlineStr">
        <is>
          <t>1</t>
        </is>
      </c>
      <c r="C33" s="8" t="inlineStr">
        <is>
          <t>社内残置</t>
        </is>
      </c>
      <c r="D33" s="8" t="inlineStr">
        <is>
          <t>A1・A2・A3 のどれかが2</t>
        </is>
      </c>
    </row>
    <row r="34">
      <c r="B34" s="8" t="inlineStr">
        <is>
          <t>2</t>
        </is>
      </c>
      <c r="C34" s="8" t="inlineStr">
        <is>
          <t>自動化候補</t>
        </is>
      </c>
      <c r="D34" s="8" t="inlineStr">
        <is>
          <t>A1=0 かつ A4=0 かつ A6=0</t>
        </is>
      </c>
    </row>
    <row r="35">
      <c r="B35" s="8" t="inlineStr">
        <is>
          <t>3</t>
        </is>
      </c>
      <c r="C35" s="8" t="inlineStr">
        <is>
          <t>オフショア候補</t>
        </is>
      </c>
      <c r="D35" s="8" t="inlineStr">
        <is>
          <t>A2=0 かつ A4〜A7 がすべて1以下（海外拠点・海外委託）</t>
        </is>
      </c>
    </row>
    <row r="36">
      <c r="B36" s="8" t="inlineStr">
        <is>
          <t>4</t>
        </is>
      </c>
      <c r="C36" s="8" t="inlineStr">
        <is>
          <t>ニアショア候補</t>
        </is>
      </c>
      <c r="D36" s="8" t="inlineStr">
        <is>
          <t>A6 と A7 が1以下（国内別拠点・国内委託）</t>
        </is>
      </c>
    </row>
    <row r="37">
      <c r="B37" s="8" t="inlineStr">
        <is>
          <t>5</t>
        </is>
      </c>
      <c r="C37" s="8" t="inlineStr">
        <is>
          <t>社内で手順化→再評価</t>
        </is>
      </c>
      <c r="D37" s="8" t="inlineStr">
        <is>
          <t>上のどれにも当たらない</t>
        </is>
      </c>
    </row>
    <row r="39">
      <c r="B39" s="12" t="inlineStr">
        <is>
          <t>■ 回数・時間の読み替え（Researcher が数字以外で書いた場合）</t>
        </is>
      </c>
    </row>
    <row r="40">
      <c r="B40" s="8" t="inlineStr">
        <is>
          <t>週n回</t>
        </is>
      </c>
      <c r="C40" s="8" t="inlineStr">
        <is>
          <t>n×4.3 回/月</t>
        </is>
      </c>
    </row>
    <row r="41">
      <c r="B41" s="8" t="inlineStr">
        <is>
          <t>年n回</t>
        </is>
      </c>
      <c r="C41" s="8" t="inlineStr">
        <is>
          <t>n÷12 回/月</t>
        </is>
      </c>
    </row>
    <row r="42">
      <c r="B42" s="8" t="inlineStr">
        <is>
          <t>毎日・日次</t>
        </is>
      </c>
      <c r="C42" s="8" t="inlineStr">
        <is>
          <t>20 回/月</t>
        </is>
      </c>
    </row>
    <row r="43">
      <c r="B43" s="8" t="inlineStr">
        <is>
          <t>毎週</t>
        </is>
      </c>
      <c r="C43" s="8" t="inlineStr">
        <is>
          <t>4.3 回/月</t>
        </is>
      </c>
    </row>
    <row r="44">
      <c r="B44" s="8" t="inlineStr">
        <is>
          <t>毎月</t>
        </is>
      </c>
      <c r="C44" s="8" t="inlineStr">
        <is>
          <t>1 回/月</t>
        </is>
      </c>
    </row>
    <row r="45">
      <c r="B45" s="8" t="inlineStr">
        <is>
          <t>n時間</t>
        </is>
      </c>
      <c r="C45" s="8" t="inlineStr">
        <is>
          <t>n×60 分</t>
        </is>
      </c>
    </row>
    <row r="46">
      <c r="B46" s="8" t="inlineStr">
        <is>
          <t>それ以外</t>
        </is>
      </c>
      <c r="C46" s="8" t="inlineStr">
        <is>
          <t>読み替えず「△回数・分が数字でない」になる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2026-10-07T11:05:21Z</dcterms:created>
  <dcterms:modified xsi:type="dcterms:W3CDTF">2026-10-07T11:05:21Z</dcterms:modified>
</cp:coreProperties>
</file>