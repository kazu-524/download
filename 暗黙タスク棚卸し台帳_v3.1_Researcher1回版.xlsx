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はじめに" sheetId="1" state="visible" r:id="rId1"/>
    <sheet name="01_設定" sheetId="2" state="visible" r:id="rId2"/>
    <sheet name="02_ダッシュボード" sheetId="3" state="visible" r:id="rId3"/>
    <sheet name="03_プロンプト" sheetId="4" state="visible" r:id="rId4"/>
    <sheet name="04_調査結果" sheetId="5" state="visible" r:id="rId5"/>
    <sheet name="05_タスク一覧（提出用）" sheetId="6" state="visible" r:id="rId6"/>
    <sheet name="M1_類型マスタ" sheetId="7" state="visible" r:id="rId7"/>
    <sheet name="M2_区分マスタ" sheetId="8" state="visible" r:id="rId8"/>
  </sheets>
  <definedNames/>
  <calcPr calcId="124519" fullCalcOnLoad="1"/>
</workbook>
</file>

<file path=xl/styles.xml><?xml version="1.0" encoding="utf-8"?>
<styleSheet xmlns="http://schemas.openxmlformats.org/spreadsheetml/2006/main">
  <numFmts count="4">
    <numFmt numFmtId="164" formatCode="yyyy/mm/dd"/>
    <numFmt numFmtId="165" formatCode="yyyy/mm/dd hh:mm"/>
    <numFmt numFmtId="166" formatCode="yyyy/mm"/>
    <numFmt numFmtId="167" formatCode="0.0"/>
  </numFmts>
  <fonts count="14">
    <font>
      <name val="Calibri"/>
      <family val="2"/>
      <color theme="1"/>
      <sz val="11"/>
      <scheme val="minor"/>
    </font>
    <font>
      <name val="Meiryo UI"/>
      <b val="1"/>
      <color rgb="001F4E78"/>
      <sz val="14"/>
    </font>
    <font>
      <name val="Meiryo UI"/>
      <color rgb="00595959"/>
      <sz val="9"/>
    </font>
    <font>
      <name val="Meiryo UI"/>
      <b val="1"/>
      <color rgb="00FFFFFF"/>
      <sz val="10"/>
    </font>
    <font>
      <name val="Meiryo UI"/>
      <color rgb="00000000"/>
      <sz val="10"/>
    </font>
    <font>
      <name val="Meiryo UI"/>
      <b val="1"/>
      <color rgb="001F4E78"/>
      <sz val="11"/>
    </font>
    <font>
      <name val="Meiryo UI"/>
      <b val="1"/>
      <color rgb="00000000"/>
      <sz val="10"/>
    </font>
    <font>
      <name val="Meiryo UI"/>
      <i val="1"/>
      <color rgb="00C00000"/>
      <sz val="9"/>
    </font>
    <font>
      <name val="Meiryo UI"/>
      <color rgb="00808080"/>
      <sz val="9"/>
    </font>
    <font>
      <name val="Meiryo UI"/>
      <b val="1"/>
      <color rgb="001F4E78"/>
      <sz val="12"/>
    </font>
    <font>
      <name val="Meiryo UI"/>
      <b val="1"/>
      <color rgb="00C00000"/>
      <sz val="11"/>
    </font>
    <font>
      <name val="Meiryo UI"/>
      <color rgb="00000000"/>
      <sz val="9"/>
    </font>
    <font>
      <name val="Meiryo UI"/>
      <b val="1"/>
      <color rgb="001F4E78"/>
      <sz val="16"/>
    </font>
    <font>
      <name val="Meiryo UI"/>
      <b val="1"/>
      <color rgb="00FFFFFF"/>
      <sz val="12"/>
    </font>
  </fonts>
  <fills count="8">
    <fill>
      <patternFill/>
    </fill>
    <fill>
      <patternFill patternType="gray125"/>
    </fill>
    <fill>
      <patternFill patternType="solid">
        <fgColor rgb="001F4E78"/>
        <bgColor rgb="001F4E78"/>
      </patternFill>
    </fill>
    <fill>
      <patternFill patternType="solid">
        <fgColor rgb="00BF8F00"/>
        <bgColor rgb="00BF8F00"/>
      </patternFill>
    </fill>
    <fill>
      <patternFill patternType="solid">
        <fgColor rgb="00FFF2CC"/>
        <bgColor rgb="00FFF2CC"/>
      </patternFill>
    </fill>
    <fill>
      <patternFill patternType="solid">
        <fgColor rgb="00F2F2F2"/>
        <bgColor rgb="00F2F2F2"/>
      </patternFill>
    </fill>
    <fill>
      <patternFill patternType="solid">
        <fgColor rgb="00548235"/>
        <bgColor rgb="00548235"/>
      </patternFill>
    </fill>
    <fill>
      <patternFill patternType="solid">
        <fgColor rgb="00808080"/>
        <b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2" fillId="0" borderId="0" pivotButton="0" quotePrefix="0" xfId="0"/>
    <xf numFmtId="0" fontId="2" fillId="0" borderId="0" pivotButton="0" quotePrefix="0" xfId="0"/>
    <xf numFmtId="0" fontId="4" fillId="0" borderId="0" applyAlignment="1" pivotButton="0" quotePrefix="0" xfId="0">
      <alignment vertical="top" wrapText="1"/>
    </xf>
    <xf numFmtId="0" fontId="13" fillId="2"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pivotButton="0" quotePrefix="0" xfId="0"/>
    <xf numFmtId="0" fontId="4" fillId="4" borderId="1" pivotButton="0" quotePrefix="0" xfId="0"/>
    <xf numFmtId="164" fontId="4" fillId="4" borderId="1" pivotButton="0" quotePrefix="0" xfId="0"/>
    <xf numFmtId="9" fontId="4" fillId="4" borderId="1" pivotButton="0" quotePrefix="0" xfId="0"/>
    <xf numFmtId="0" fontId="5" fillId="0" borderId="0" pivotButton="0" quotePrefix="0" xfId="0"/>
    <xf numFmtId="165" fontId="4" fillId="4" borderId="1" pivotButton="0" quotePrefix="0" xfId="0"/>
    <xf numFmtId="164" fontId="4" fillId="5" borderId="1" pivotButton="0" quotePrefix="0" xfId="0"/>
    <xf numFmtId="1" fontId="4" fillId="5" borderId="1" pivotButton="0" quotePrefix="0" xfId="0"/>
    <xf numFmtId="9" fontId="4" fillId="5" borderId="1" pivotButton="0" quotePrefix="0" xfId="0"/>
    <xf numFmtId="0" fontId="4" fillId="5" borderId="1" pivotButton="0" quotePrefix="0" xfId="0"/>
    <xf numFmtId="0" fontId="6" fillId="0" borderId="1" pivotButton="0" quotePrefix="0" xfId="0"/>
    <xf numFmtId="0" fontId="0" fillId="0" borderId="4" pivotButton="0" quotePrefix="0" xfId="0"/>
    <xf numFmtId="0" fontId="0" fillId="0" borderId="5" pivotButton="0" quotePrefix="0" xfId="0"/>
    <xf numFmtId="0" fontId="9" fillId="0" borderId="0" pivotButton="0" quotePrefix="0" xfId="0"/>
    <xf numFmtId="0" fontId="10" fillId="0" borderId="1" applyAlignment="1" pivotButton="0" quotePrefix="0" xfId="0">
      <alignment vertical="top" wrapText="1"/>
    </xf>
    <xf numFmtId="0" fontId="4" fillId="0" borderId="1" applyAlignment="1" pivotButton="0" quotePrefix="0" xfId="0">
      <alignment vertical="top" wrapText="1"/>
    </xf>
    <xf numFmtId="0" fontId="11" fillId="0" borderId="0" pivotButton="0" quotePrefix="0" xfId="0"/>
    <xf numFmtId="9" fontId="4" fillId="0" borderId="1" pivotButton="0" quotePrefix="0" xfId="0"/>
    <xf numFmtId="167" fontId="4" fillId="0" borderId="1" pivotButton="0" quotePrefix="0" xfId="0"/>
    <xf numFmtId="0" fontId="4" fillId="4" borderId="1" applyAlignment="1" pivotButton="0" quotePrefix="0" xfId="0">
      <alignment vertical="top"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7" fillId="0" borderId="0" pivotButton="0" quotePrefix="0" xfId="0"/>
    <xf numFmtId="0" fontId="0" fillId="4" borderId="0" pivotButton="0" quotePrefix="0" xfId="0"/>
    <xf numFmtId="167" fontId="0" fillId="4" borderId="0" pivotButton="0" quotePrefix="0" xfId="0"/>
    <xf numFmtId="167" fontId="0" fillId="0" borderId="0" pivotButton="0" quotePrefix="0" xfId="0"/>
    <xf numFmtId="0" fontId="8" fillId="0" borderId="0" pivotButton="0" quotePrefix="0" xfId="0"/>
    <xf numFmtId="166" fontId="8" fillId="0" borderId="0" pivotButton="0" quotePrefix="0" xfId="0"/>
    <xf numFmtId="164" fontId="0" fillId="0" borderId="0" pivotButton="0" quotePrefix="0" xfId="0"/>
    <xf numFmtId="166" fontId="0" fillId="0" borderId="0" pivotButton="0" quotePrefix="0" xfId="0"/>
  </cellXfs>
  <cellStyles count="1">
    <cellStyle name="Normal" xfId="0" builtinId="0" hidden="0"/>
  </cellStyles>
  <dxfs count="10">
    <dxf>
      <fill>
        <patternFill patternType="solid">
          <fgColor rgb="00FFC7CE"/>
          <bgColor rgb="00FFC7CE"/>
        </patternFill>
      </fill>
    </dxf>
    <dxf>
      <fill>
        <patternFill patternType="solid">
          <fgColor rgb="00FFEB9C"/>
          <bgColor rgb="00FFEB9C"/>
        </patternFill>
      </fill>
    </dxf>
    <dxf>
      <font>
        <color rgb="00006100"/>
      </font>
    </dxf>
    <dxf>
      <font>
        <color rgb="00A6A6A6"/>
      </font>
    </dxf>
    <dxf>
      <fill>
        <patternFill patternType="solid">
          <fgColor rgb="00FCE4D6"/>
          <bgColor rgb="00FCE4D6"/>
        </patternFill>
      </fill>
    </dxf>
    <dxf>
      <font>
        <strike val="1"/>
        <color rgb="00A6A6A6"/>
      </font>
    </dxf>
    <dxf>
      <fill>
        <patternFill patternType="solid">
          <fgColor rgb="00BDD7EE"/>
          <bgColor rgb="00BDD7EE"/>
        </patternFill>
      </fill>
    </dxf>
    <dxf>
      <fill>
        <patternFill patternType="solid">
          <fgColor rgb="00C6EFCE"/>
          <bgColor rgb="00C6EFCE"/>
        </patternFill>
      </fill>
    </dxf>
    <dxf>
      <fill>
        <patternFill patternType="solid">
          <fgColor rgb="00E2EFDA"/>
          <bgColor rgb="00E2EFDA"/>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B1:B40"/>
  <sheetViews>
    <sheetView showGridLines="0" workbookViewId="0">
      <selection activeCell="A1" sqref="A1"/>
    </sheetView>
  </sheetViews>
  <sheetFormatPr baseColWidth="8" defaultRowHeight="15"/>
  <cols>
    <col width="3" customWidth="1" min="1" max="1"/>
    <col width="150" customWidth="1" min="2" max="2"/>
  </cols>
  <sheetData>
    <row r="1" ht="28" customHeight="1">
      <c r="B1" s="1" t="inlineStr">
        <is>
          <t>暗黙タスク棚卸し台帳 v3.1（Researcher 1回版）</t>
        </is>
      </c>
    </row>
    <row r="2">
      <c r="B2" s="2" t="inlineStr">
        <is>
          <t>対象：管理職（不特定多数への配布を想定）　／　人の操作：Researcher への依頼1回・貼り付け1回・本人確認　／　待ち時間：5〜45分</t>
        </is>
      </c>
    </row>
    <row r="3">
      <c r="B3" s="3" t="inlineStr"/>
    </row>
    <row r="4" ht="20" customHeight="1">
      <c r="B4" s="4" t="inlineStr">
        <is>
          <t>1. この台帳でやること</t>
        </is>
      </c>
    </row>
    <row r="5" ht="30" customHeight="1">
      <c r="B5" s="3" t="inlineStr">
        <is>
          <t>・Microsoft 365 Copilot の Researcher に1回だけ依頼し、保存期間（既定14か月）分のメール・Teams チャット・会議から、調整・連絡・確認などで時間が過ぎていく「暗黙のタスク」を洗い出す。</t>
        </is>
      </c>
    </row>
    <row r="6" ht="15" customHeight="1">
      <c r="B6" s="3" t="inlineStr">
        <is>
          <t>・Researcher は6つの観点を順番に調べ、タスク名・頻度と時間の目安・根拠の件数・任せやすさの採点（A1〜A7）までを1つの表で返す。</t>
        </is>
      </c>
    </row>
    <row r="7" ht="30" customHeight="1">
      <c r="B7" s="3" t="inlineStr">
        <is>
          <t>・台帳は貼り付けた表を自動でチェックし、月あたりの時間と「自動化／オフショア／ニアショア／社内」の区分を計算する。提出するのは 05_タスク一覧（提出用）。</t>
        </is>
      </c>
    </row>
    <row r="8">
      <c r="B8" s="3" t="inlineStr"/>
    </row>
    <row r="9" ht="20" customHeight="1">
      <c r="B9" s="4" t="inlineStr">
        <is>
          <t>2. 手順（02_ダッシュボードの「次にやること」が自動で切り替わる）</t>
        </is>
      </c>
    </row>
    <row r="10" ht="15" customHeight="1">
      <c r="B10" s="3" t="inlineStr">
        <is>
          <t>① 02_ダッシュボードの「このセルをコピー」を選んでコピーする（Ctrl+C）</t>
        </is>
      </c>
    </row>
    <row r="11" ht="30" customHeight="1">
      <c r="B11" s="3" t="inlineStr">
        <is>
          <t>② Microsoft 365 Copilot で Researcher を開き、新しいチャットに貼り付けて送る。調べる範囲を選べる場合は「メール」「会議」「チャット」を選び、Web は外す</t>
        </is>
      </c>
    </row>
    <row r="12" ht="15" customHeight="1">
      <c r="B12" s="3" t="inlineStr">
        <is>
          <t>③ 終わるまで待つ（5〜45分。ほかの仕事をしていてよい）。確認の質問が来たら「指示どおりに進めてください」と返す</t>
        </is>
      </c>
    </row>
    <row r="13" ht="15" customHeight="1">
      <c r="B13" s="3" t="inlineStr">
        <is>
          <t>④ 回答の表を見出し行ごとコピーし、04_調査結果の A5 から下の最初の空き行に貼り付ける</t>
        </is>
      </c>
    </row>
    <row r="14" ht="15" customHeight="1">
      <c r="B14" s="3" t="inlineStr">
        <is>
          <t>⑤ 表が途中で終わっていれば、ダッシュボードが「続きプロンプト」に切り替わる。同じチャットに送り、続きを④と同じように貼る</t>
        </is>
      </c>
    </row>
    <row r="15" ht="30" customHeight="1">
      <c r="B15" s="3" t="inlineStr">
        <is>
          <t>⑥ 本人確認：明らかな誤りや重複を「除外」にし、実感と大きく違うものだけ回数・時間を補正する。01_設定の実行日を入れ、「本人確認」を「完了」にする</t>
        </is>
      </c>
    </row>
    <row r="16" ht="15" customHeight="1">
      <c r="B16" s="3" t="inlineStr">
        <is>
          <t>⑦ 提出：05_タスク一覧（提出用）を提出し、01_設定の「提出状況」を「提出済み」にする</t>
        </is>
      </c>
    </row>
    <row r="17">
      <c r="B17" s="3" t="inlineStr"/>
    </row>
    <row r="18" ht="20" customHeight="1">
      <c r="B18" s="4" t="inlineStr">
        <is>
          <t>3. 判定列（04_調査結果 W列）の見方</t>
        </is>
      </c>
    </row>
    <row r="19" ht="15" customHeight="1">
      <c r="B19" s="3" t="inlineStr">
        <is>
          <t>・OK：集計の対象になる</t>
        </is>
      </c>
    </row>
    <row r="20" ht="15" customHeight="1">
      <c r="B20" s="3" t="inlineStr">
        <is>
          <t>・（見出し行）（終わりの印）（続きありの印）×表以外の行：集計されない。消さなくてよい</t>
        </is>
      </c>
    </row>
    <row r="21" ht="15" customHeight="1">
      <c r="B21" s="3" t="inlineStr">
        <is>
          <t>・△〜：値を直すと集計の対象になる。直さなければその行が集計されないだけで、他の行には影響しない</t>
        </is>
      </c>
    </row>
    <row r="22" ht="30" customHeight="1">
      <c r="B22" s="3" t="inlineStr">
        <is>
          <t>・類型が「T02 日程・会議調整」のように名前付きでも、先頭のコードで読み取る。回数が「週1回」などでも主な書き方は自動で月あたりに読み替える（M2_区分マスタ参照）</t>
        </is>
      </c>
    </row>
    <row r="23">
      <c r="B23" s="3" t="inlineStr"/>
    </row>
    <row r="24" ht="20" customHeight="1">
      <c r="B24" s="4" t="inlineStr">
        <is>
          <t>4. うまくいかないとき</t>
        </is>
      </c>
    </row>
    <row r="25" ht="15" customHeight="1">
      <c r="B25" s="3" t="inlineStr">
        <is>
          <t>・表にならず文章で返ってきた／観点ごとに表が分かれた／列の並びが違う：03_プロンプトの「出し直し」を同じチャットに送る</t>
        </is>
      </c>
    </row>
    <row r="26" ht="15" customHeight="1">
      <c r="B26" s="3" t="inlineStr">
        <is>
          <t>・表は全部出ているのに「終わりの印」がない：01_設定の「調査の完了」を「完了」にする</t>
        </is>
      </c>
    </row>
    <row r="27" ht="30" customHeight="1">
      <c r="B27" s="3" t="inlineStr">
        <is>
          <t>・タスクが極端に少ない、観点が0件ばかり：Researcher で調べる範囲にメール・チャット・会議が含まれているか確認し、新しいチャットでやり直す</t>
        </is>
      </c>
    </row>
    <row r="28" ht="30" customHeight="1">
      <c r="B28" s="3" t="inlineStr">
        <is>
          <t>・Researcher が使えない（会社で無効など）：同じ文面を通常の Copilot Chat（職場モード）に送っても動く。ただし調べる深さは浅くなる</t>
        </is>
      </c>
    </row>
    <row r="29">
      <c r="B29" s="3" t="inlineStr"/>
    </row>
    <row r="30" ht="20" customHeight="1">
      <c r="B30" s="4" t="inlineStr">
        <is>
          <t>5. 知っておくこと（Researcher の性質）</t>
        </is>
      </c>
    </row>
    <row r="31" ht="30" customHeight="1">
      <c r="B31" s="3" t="inlineStr">
        <is>
          <t>・Researcher はメールを全件読むのではなく、検索を繰り返して新しい手がかりが出なくなったところで止める。主な暗黙のタスクの洗い出しには向くが、回数・時間は目安として扱う。</t>
        </is>
      </c>
    </row>
    <row r="32" ht="30" customHeight="1">
      <c r="B32" s="3" t="inlineStr">
        <is>
          <t>・やり取りの量が多い業務ほど拾われやすく、静かに処理している業務は漏れやすい。観点を6つに分けて順番に調べさせることで補っている。「観点別のタスク数」が0の観点は漏れの可能性がある。</t>
        </is>
      </c>
    </row>
    <row r="33" ht="15" customHeight="1">
      <c r="B33" s="3" t="inlineStr">
        <is>
          <t>・根拠が1件しかないタスクは、思い込みや作り話が混じる可能性がある。「要確認」列で目印を付けている。</t>
        </is>
      </c>
    </row>
    <row r="34" ht="30" customHeight="1">
      <c r="B34" s="3" t="inlineStr">
        <is>
          <t>・結果が直近に偏ることがある。ダッシュボードの「直近に偏っている割合」が赤くなったら注意。気になる場合だけ、03_プロンプトの R2（前半の追加調査・任意）を使う。</t>
        </is>
      </c>
    </row>
    <row r="35" ht="15" customHeight="1">
      <c r="B35" s="3" t="inlineStr">
        <is>
          <t>・Researcher は1人あたり月25回まで。この台帳では通常1回（続きや出し直しをしても数回）で済む。</t>
        </is>
      </c>
    </row>
    <row r="36">
      <c r="B36" s="3" t="inlineStr"/>
    </row>
    <row r="37" ht="20" customHeight="1">
      <c r="B37" s="4" t="inlineStr">
        <is>
          <t>6. 配布・集約する担当者へ</t>
        </is>
      </c>
    </row>
    <row r="38" ht="15" customHeight="1">
      <c r="B38" s="3" t="inlineStr">
        <is>
          <t>・配布前に、01_設定の「実行者ID」を人ごとに採番する（氏名は使わない）。実行日は空欄のまま配ってよい。</t>
        </is>
      </c>
    </row>
    <row r="39" ht="30" customHeight="1">
      <c r="B39" s="3" t="inlineStr">
        <is>
          <t>・集約：提出されたファイルを1つのフォルダーに集め、Excel の［データ］→［データの取得］→［ファイルから］→［フォルダーから］で「05_タスク一覧（提出用）」シートを結合する。各行に実行者ID・実行日・対象開始日・台帳の版が入っている。</t>
        </is>
      </c>
    </row>
    <row r="40" ht="15" customHeight="1">
      <c r="B40" s="3" t="inlineStr">
        <is>
          <t>・類型コード・採点基準・移管区分は全員共通なので、部署・役職をまたいで集計できる。調査の文面は 03_プロンプトの原本（黄色）で一括して直せる。</t>
        </is>
      </c>
    </row>
  </sheetData>
  <pageMargins left="0.75" right="0.75" top="1" bottom="1" header="0.5" footer="0.5"/>
</worksheet>
</file>

<file path=xl/worksheets/sheet2.xml><?xml version="1.0" encoding="utf-8"?>
<worksheet xmlns="http://schemas.openxmlformats.org/spreadsheetml/2006/main">
  <sheetPr>
    <tabColor rgb="00BF8F00"/>
    <outlinePr summaryBelow="1" summaryRight="1"/>
    <pageSetUpPr/>
  </sheetPr>
  <dimension ref="A1:D32"/>
  <sheetViews>
    <sheetView showGridLines="1" workbookViewId="0">
      <selection activeCell="A1" sqref="A1"/>
    </sheetView>
  </sheetViews>
  <sheetFormatPr baseColWidth="8" defaultRowHeight="15"/>
  <cols>
    <col width="2" customWidth="1" min="1" max="1"/>
    <col width="30" customWidth="1" min="2" max="2"/>
    <col width="22" customWidth="1" min="3" max="3"/>
    <col width="90" customWidth="1" min="4" max="4"/>
  </cols>
  <sheetData>
    <row r="1">
      <c r="A1" s="5" t="inlineStr">
        <is>
          <t>01_設定</t>
        </is>
      </c>
    </row>
    <row r="2">
      <c r="A2" s="2" t="inlineStr">
        <is>
          <t>黄色のセルだけを入力・選択する。灰色は自動計算。</t>
        </is>
      </c>
    </row>
    <row r="3" ht="30" customHeight="1">
      <c r="B3" s="6" t="inlineStr">
        <is>
          <t>項目</t>
        </is>
      </c>
      <c r="C3" s="7" t="inlineStr">
        <is>
          <t>値</t>
        </is>
      </c>
      <c r="D3" s="6" t="inlineStr">
        <is>
          <t>説明</t>
        </is>
      </c>
    </row>
    <row r="4">
      <c r="B4" s="8" t="inlineStr">
        <is>
          <t>実行者ID（匿名）</t>
        </is>
      </c>
      <c r="C4" s="9" t="inlineStr">
        <is>
          <t>MGR-0001</t>
        </is>
      </c>
      <c r="D4" s="2" t="inlineStr">
        <is>
          <t>配布元が割り当てた匿名ID。氏名は書かない。</t>
        </is>
      </c>
    </row>
    <row r="5">
      <c r="B5" s="8" t="inlineStr">
        <is>
          <t>部署区分</t>
        </is>
      </c>
      <c r="C5" s="9" t="inlineStr">
        <is>
          <t>企画・管理</t>
        </is>
      </c>
      <c r="D5" s="2" t="inlineStr">
        <is>
          <t>プルダウンから選ぶ。</t>
        </is>
      </c>
    </row>
    <row r="6">
      <c r="B6" s="8" t="inlineStr">
        <is>
          <t>役職区分</t>
        </is>
      </c>
      <c r="C6" s="9" t="inlineStr">
        <is>
          <t>課長級</t>
        </is>
      </c>
      <c r="D6" s="2" t="inlineStr">
        <is>
          <t>プルダウンから選ぶ。</t>
        </is>
      </c>
    </row>
    <row r="7">
      <c r="B7" s="8" t="inlineStr">
        <is>
          <t>実行日</t>
        </is>
      </c>
      <c r="C7" s="10" t="n"/>
      <c r="D7" s="2" t="inlineStr">
        <is>
          <t>Researcher を実行する（した）日。空欄の間は今日の日付が使われる。本人確認のときに日付を入れて固定する。</t>
        </is>
      </c>
    </row>
    <row r="8">
      <c r="B8" s="8" t="inlineStr">
        <is>
          <t>保存期間（月）</t>
        </is>
      </c>
      <c r="C8" s="9" t="n">
        <v>14</v>
      </c>
      <c r="D8" s="2" t="inlineStr">
        <is>
          <t>会社のメール・チャットの保存期間。対象期間の長さになる。</t>
        </is>
      </c>
    </row>
    <row r="9">
      <c r="B9" s="8" t="inlineStr">
        <is>
          <t>最大行数</t>
        </is>
      </c>
      <c r="C9" s="9" t="n">
        <v>50</v>
      </c>
      <c r="D9" s="2" t="inlineStr">
        <is>
          <t>Researcher に挙げてもらうタスクの上限。</t>
        </is>
      </c>
    </row>
    <row r="10">
      <c r="B10" s="8" t="inlineStr">
        <is>
          <t>直近とみなす月数</t>
        </is>
      </c>
      <c r="C10" s="9" t="n">
        <v>3</v>
      </c>
      <c r="D10" s="2" t="inlineStr">
        <is>
          <t>偏りチェック用。根拠の最初がこの月数以内のタスクを「直近」とみなす。</t>
        </is>
      </c>
    </row>
    <row r="11">
      <c r="B11" s="8" t="inlineStr">
        <is>
          <t>偏りの判定基準</t>
        </is>
      </c>
      <c r="C11" s="11" t="n">
        <v>0.7</v>
      </c>
      <c r="D11" s="2" t="inlineStr">
        <is>
          <t>直近のタスクがこの割合以上なら、ダッシュボードに注意を出す。</t>
        </is>
      </c>
    </row>
    <row r="12">
      <c r="B12" s="8" t="inlineStr">
        <is>
          <t>調査の完了</t>
        </is>
      </c>
      <c r="C12" s="9" t="inlineStr">
        <is>
          <t>自動</t>
        </is>
      </c>
      <c r="D12" s="2" t="inlineStr">
        <is>
          <t>通常は「自動」。終わりの印（##END##）がないが表は全部出ていると判断した場合だけ「完了」にする。</t>
        </is>
      </c>
    </row>
    <row r="13">
      <c r="B13" s="8" t="inlineStr">
        <is>
          <t>本人確認</t>
        </is>
      </c>
      <c r="C13" s="9" t="inlineStr">
        <is>
          <t>未完了</t>
        </is>
      </c>
      <c r="D13" s="2" t="inlineStr">
        <is>
          <t>本人確認が終わったら「完了」にする。</t>
        </is>
      </c>
    </row>
    <row r="14">
      <c r="B14" s="8" t="inlineStr">
        <is>
          <t>提出状況</t>
        </is>
      </c>
      <c r="C14" s="9" t="inlineStr">
        <is>
          <t>未提出</t>
        </is>
      </c>
      <c r="D14" s="2" t="inlineStr">
        <is>
          <t>提出したら「提出済み」にする。</t>
        </is>
      </c>
    </row>
    <row r="16">
      <c r="B16" s="12" t="inlineStr">
        <is>
          <t>■ 実行の記録（任意）</t>
        </is>
      </c>
    </row>
    <row r="17">
      <c r="B17" s="8" t="inlineStr">
        <is>
          <t>Researcher を実行した日時</t>
        </is>
      </c>
      <c r="C17" s="13" t="n"/>
    </row>
    <row r="18">
      <c r="B18" s="8" t="inlineStr">
        <is>
          <t>かかった時間（分）</t>
        </is>
      </c>
      <c r="C18" s="9" t="n"/>
    </row>
    <row r="19">
      <c r="B19" s="8" t="inlineStr">
        <is>
          <t>メモ</t>
        </is>
      </c>
      <c r="C19" s="9" t="n"/>
    </row>
    <row r="21">
      <c r="B21" s="12" t="inlineStr">
        <is>
          <t>■ 自動計算（触らない）</t>
        </is>
      </c>
    </row>
    <row r="22">
      <c r="B22" s="8" t="inlineStr">
        <is>
          <t>実行日（使用する値）</t>
        </is>
      </c>
      <c r="C22" s="14">
        <f>IF(C7="",TODAY(),C7)</f>
        <v/>
      </c>
    </row>
    <row r="23">
      <c r="B23" s="8" t="inlineStr">
        <is>
          <t>対象開始日</t>
        </is>
      </c>
      <c r="C23" s="14">
        <f>EDATE(C22,-C8)</f>
        <v/>
      </c>
    </row>
    <row r="24">
      <c r="B24" s="8" t="inlineStr">
        <is>
          <t>対象月数</t>
        </is>
      </c>
      <c r="C24" s="15">
        <f>ROUND((C22-C23)/30.44,0)</f>
        <v/>
      </c>
    </row>
    <row r="25">
      <c r="B25" s="8" t="inlineStr">
        <is>
          <t>前半の終了日</t>
        </is>
      </c>
      <c r="C25" s="14">
        <f>C23+INT((C22-C23)/2)</f>
        <v/>
      </c>
    </row>
    <row r="26">
      <c r="B26" s="8" t="inlineStr">
        <is>
          <t>直近の境界日</t>
        </is>
      </c>
      <c r="C26" s="14">
        <f>EDATE(C22,-C10)</f>
        <v/>
      </c>
    </row>
    <row r="27">
      <c r="B27" s="8" t="inlineStr">
        <is>
          <t>直近に偏っている割合（観点6を除く）</t>
        </is>
      </c>
      <c r="C27" s="16">
        <f>IFERROR(COUNTIFS('04_調査結果'!$AS$5:$AS$404,1,'04_調査結果'!$AJ$5:$AJ$404,"&lt;&gt;6")/(COUNTIFS('04_調査結果'!$AS$5:$AS$404,1,'04_調査結果'!$AJ$5:$AJ$404,"&lt;&gt;6")+COUNTIFS('04_調査結果'!$AS$5:$AS$404,0,'04_調査結果'!$AJ$5:$AJ$404,"&lt;&gt;6")),"")</f>
        <v/>
      </c>
    </row>
    <row r="28">
      <c r="B28" s="8" t="inlineStr">
        <is>
          <t>OKの件数</t>
        </is>
      </c>
      <c r="C28" s="17">
        <f>COUNTIF('04_調査結果'!$W$5:$W$404,"OK")</f>
        <v/>
      </c>
    </row>
    <row r="29">
      <c r="B29" s="8" t="inlineStr">
        <is>
          <t>終わりの印の数</t>
        </is>
      </c>
      <c r="C29" s="17">
        <f>COUNTIF('04_調査結果'!$W$5:$W$404,"（終わりの印）")</f>
        <v/>
      </c>
    </row>
    <row r="30">
      <c r="B30" s="8" t="inlineStr">
        <is>
          <t>状態コード</t>
        </is>
      </c>
      <c r="C30" s="17">
        <f>IF(C28=0,1,IF(AND(C29=0,C12&lt;&gt;"完了"),2,IF(C13&lt;&gt;"完了",3,IF(C14&lt;&gt;"提出済み",4,5))))</f>
        <v/>
      </c>
    </row>
    <row r="31">
      <c r="B31" s="8" t="inlineStr">
        <is>
          <t>列の並びチェック</t>
        </is>
      </c>
      <c r="C31" s="17">
        <f>IF(ISNA(MATCH("調査ID",'04_調査結果'!$AH$5:$AH$404,0)),"見出し行なし（確認できない）",IF(AND(INDEX('04_調査結果'!$E$5:$E$404,MATCH("調査ID",'04_調査結果'!$AH$5:$AH$404,0))="類型",INDEX('04_調査結果'!$K$5:$K$404,MATCH("調査ID",'04_調査結果'!$AH$5:$AH$404,0))="根拠の件数",INDEX('04_調査結果'!$V$5:$V$404,MATCH("調査ID",'04_調査結果'!$AH$5:$AH$404,0))="任せるための前提条件"),"OK","列がずれている可能性"))</f>
        <v/>
      </c>
    </row>
    <row r="32">
      <c r="B32" s="8" t="inlineStr">
        <is>
          <t>台帳の版</t>
        </is>
      </c>
      <c r="C32" s="17" t="inlineStr">
        <is>
          <t>v3.1</t>
        </is>
      </c>
    </row>
  </sheetData>
  <dataValidations count="5">
    <dataValidation sqref="C5" showDropDown="0" showInputMessage="0" showErrorMessage="1" allowBlank="1" type="list">
      <formula1>='M2_区分マスタ'!$B$5:$B$16</formula1>
    </dataValidation>
    <dataValidation sqref="C6" showDropDown="0" showInputMessage="0" showErrorMessage="1" allowBlank="1" type="list">
      <formula1>='M2_区分マスタ'!$C$5:$C$8</formula1>
    </dataValidation>
    <dataValidation sqref="C12" showDropDown="0" showInputMessage="0" showErrorMessage="1" allowBlank="1" type="list">
      <formula1>='M2_区分マスタ'!$D$5:$D$6</formula1>
    </dataValidation>
    <dataValidation sqref="C13" showDropDown="0" showInputMessage="0" showErrorMessage="1" allowBlank="1" type="list">
      <formula1>='M2_区分マスタ'!$E$5:$E$6</formula1>
    </dataValidation>
    <dataValidation sqref="C14" showDropDown="0" showInputMessage="0" showErrorMessage="1" allowBlank="1" type="list">
      <formula1>='M2_区分マスタ'!$F$5:$F$6</formula1>
    </dataValidation>
  </dataValidation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I72"/>
  <sheetViews>
    <sheetView showGridLines="1" workbookViewId="0">
      <selection activeCell="A1" sqref="A1"/>
    </sheetView>
  </sheetViews>
  <sheetFormatPr baseColWidth="8" defaultRowHeight="15"/>
  <cols>
    <col width="2" customWidth="1" min="1" max="1"/>
    <col width="26" customWidth="1" min="2" max="2"/>
    <col width="16" customWidth="1" min="3" max="3"/>
    <col width="30" customWidth="1" min="4" max="4"/>
    <col width="12" customWidth="1" min="5" max="5"/>
    <col width="12" customWidth="1" min="6" max="6"/>
    <col width="14" customWidth="1" min="7" max="7"/>
    <col width="16" customWidth="1" min="8" max="8"/>
    <col width="16" customWidth="1" min="9" max="9"/>
  </cols>
  <sheetData>
    <row r="1">
      <c r="A1" s="5" t="inlineStr">
        <is>
          <t>02_ダッシュボード</t>
        </is>
      </c>
    </row>
    <row r="2">
      <c r="A2" s="2" t="inlineStr">
        <is>
          <t>「次にやること」を上から順に行う。Researcher に送るのは基本的に1回だけ。</t>
        </is>
      </c>
    </row>
    <row r="4">
      <c r="B4" s="18" t="inlineStr">
        <is>
          <t>実行者ID</t>
        </is>
      </c>
      <c r="C4" s="8">
        <f>'01_設定'!C4</f>
        <v/>
      </c>
      <c r="D4" s="19" t="n"/>
      <c r="E4" s="19" t="n"/>
      <c r="F4" s="19" t="n"/>
      <c r="G4" s="19" t="n"/>
      <c r="H4" s="19" t="n"/>
      <c r="I4" s="20" t="n"/>
    </row>
    <row r="5">
      <c r="B5" s="18" t="inlineStr">
        <is>
          <t>対象期間</t>
        </is>
      </c>
      <c r="C5" s="8">
        <f>TEXT('01_設定'!C23,"yyyy/mm/dd")&amp;"〜"&amp;TEXT('01_設定'!C22,"yyyy/mm/dd")&amp;"（約"&amp;'01_設定'!C24&amp;"か月）"&amp;IF('01_設定'!C7="","　※実行日が未入力のため今日の日付で計算中","")</f>
        <v/>
      </c>
      <c r="D5" s="19" t="n"/>
      <c r="E5" s="19" t="n"/>
      <c r="F5" s="19" t="n"/>
      <c r="G5" s="19" t="n"/>
      <c r="H5" s="19" t="n"/>
      <c r="I5" s="20" t="n"/>
    </row>
    <row r="6"/>
    <row r="7">
      <c r="B7" s="21" t="inlineStr">
        <is>
          <t>■ 次にやること</t>
        </is>
      </c>
    </row>
    <row r="8" ht="32" customHeight="1">
      <c r="B8" s="18" t="inlineStr">
        <is>
          <t>状態</t>
        </is>
      </c>
      <c r="C8" s="22">
        <f>CHOOSE('01_設定'!$C$30,"① 調査プロンプトを Researcher の新しいチャットに送り、表を 04_調査結果に貼る","② 終わりの印がまだない。表が途中なら続きプロンプトを同じチャットに送り、続きを貼る（全部出ていれば 01_設定の「調査の完了」を「完了」に）","③ 本人確認（手順は下のセル）","④ 提出（手順は下のセル）","すべて完了")</f>
        <v/>
      </c>
      <c r="D8" s="19" t="n"/>
      <c r="E8" s="19" t="n"/>
      <c r="F8" s="19" t="n"/>
      <c r="G8" s="19" t="n"/>
      <c r="H8" s="19" t="n"/>
      <c r="I8" s="20" t="n"/>
    </row>
    <row r="9" ht="260" customHeight="1">
      <c r="B9" s="18" t="inlineStr">
        <is>
          <t>このセルをコピー</t>
        </is>
      </c>
      <c r="C9" s="23">
        <f>CHOOSE('01_設定'!$C$30,'03_プロンプト'!$E$13,'03_プロンプト'!$E$14,'03_プロンプト'!$E$8,'03_プロンプト'!$E$9,"")</f>
        <v/>
      </c>
      <c r="D9" s="19" t="n"/>
      <c r="E9" s="19" t="n"/>
      <c r="F9" s="19" t="n"/>
      <c r="G9" s="19" t="n"/>
      <c r="H9" s="19" t="n"/>
      <c r="I9" s="20" t="n"/>
    </row>
    <row r="10">
      <c r="B10" s="18" t="inlineStr">
        <is>
          <t>文字数</t>
        </is>
      </c>
      <c r="C10" s="8">
        <f>IF(C9="","",LEN(C9))</f>
        <v/>
      </c>
      <c r="D10" s="19" t="n"/>
      <c r="E10" s="19" t="n"/>
      <c r="F10" s="19" t="n"/>
      <c r="G10" s="19" t="n"/>
      <c r="H10" s="19" t="n"/>
      <c r="I10" s="20" t="n"/>
    </row>
    <row r="11">
      <c r="B11" s="2" t="inlineStr">
        <is>
          <t>※ セルを選んで Ctrl+C → Researcher の入力欄に Ctrl+V。先頭と末尾に " が付いてもそのまま送ってよい。</t>
        </is>
      </c>
    </row>
    <row r="12">
      <c r="B12" s="2" t="inlineStr">
        <is>
          <t>※ Researcher で調べる範囲を選べる場合は、メール・会議・チャットを選び、Web は外す。</t>
        </is>
      </c>
    </row>
    <row r="13">
      <c r="B13" s="2" t="inlineStr">
        <is>
          <t>※ Researcher から確認の質問が来たら「指示どおりに進めてください」と返す。</t>
        </is>
      </c>
    </row>
    <row r="14">
      <c r="B14" s="2" t="inlineStr">
        <is>
          <t>※ 表にならなかった・表が分かれた・列がずれた場合は、03_プロンプトの「出し直し」を同じチャットに送る。</t>
        </is>
      </c>
    </row>
    <row r="15"/>
    <row r="16">
      <c r="B16" s="21" t="inlineStr">
        <is>
          <t>■ 品質チェック</t>
        </is>
      </c>
    </row>
    <row r="17" ht="30" customHeight="1">
      <c r="B17" s="6" t="inlineStr">
        <is>
          <t>項目</t>
        </is>
      </c>
      <c r="C17" s="6" t="inlineStr">
        <is>
          <t>値</t>
        </is>
      </c>
      <c r="D17" s="6" t="inlineStr">
        <is>
          <t>見方・対処</t>
        </is>
      </c>
    </row>
    <row r="18">
      <c r="B18" s="8" t="inlineStr">
        <is>
          <t>OK のタスク数</t>
        </is>
      </c>
      <c r="C18" s="8">
        <f>'01_設定'!C28</f>
        <v/>
      </c>
      <c r="D18" s="24" t="inlineStr">
        <is>
          <t>少なすぎる（10件未満など）場合は、貼り付け漏れや途中終了がないか確認する</t>
        </is>
      </c>
    </row>
    <row r="19">
      <c r="B19" s="8" t="inlineStr">
        <is>
          <t>列の並び</t>
        </is>
      </c>
      <c r="C19" s="8">
        <f>'01_設定'!C31</f>
        <v/>
      </c>
      <c r="D19" s="24" t="inlineStr">
        <is>
          <t>「列がずれている可能性」なら、03_プロンプトの「出し直し」を同じチャットに送り、貼り直す</t>
        </is>
      </c>
    </row>
    <row r="20">
      <c r="B20" s="8" t="inlineStr">
        <is>
          <t>直さないと集計されない行（△）</t>
        </is>
      </c>
      <c r="C20" s="8">
        <f>COUNTIF('04_調査結果'!$W$5:$W$404,"△*")</f>
        <v/>
      </c>
      <c r="D20" s="24" t="inlineStr">
        <is>
          <t>値を直すと集計の対象になる（直さなくても他の行には影響しない）</t>
        </is>
      </c>
    </row>
    <row r="21">
      <c r="B21" s="8" t="inlineStr">
        <is>
          <t>要確認のタスク</t>
        </is>
      </c>
      <c r="C21" s="8">
        <f>COUNTIF('04_調査結果'!$X$5:$X$404,"?*")</f>
        <v/>
      </c>
      <c r="D21" s="24" t="inlineStr">
        <is>
          <t>根拠1件・同名あり・回数を換算したもの。本人確認で優先して見る</t>
        </is>
      </c>
    </row>
    <row r="22">
      <c r="B22" s="8" t="inlineStr">
        <is>
          <t>直近に偏っている割合</t>
        </is>
      </c>
      <c r="C22" s="25">
        <f>'01_設定'!C27</f>
        <v/>
      </c>
      <c r="D22" s="24" t="inlineStr">
        <is>
          <t>基準以上なら注意。気になる場合だけ、03_プロンプトの R2（前半の追加調査・任意）を使う</t>
        </is>
      </c>
    </row>
    <row r="23"/>
    <row r="24">
      <c r="B24" s="21" t="inlineStr">
        <is>
          <t>■ 観点別のタスク数（0件の観点は漏れの可能性がある）</t>
        </is>
      </c>
    </row>
    <row r="25" ht="30" customHeight="1">
      <c r="B25" s="6" t="inlineStr">
        <is>
          <t>観点</t>
        </is>
      </c>
      <c r="C25" s="6" t="inlineStr">
        <is>
          <t>タスク数</t>
        </is>
      </c>
      <c r="D25" s="6" t="inlineStr">
        <is>
          <t>内容</t>
        </is>
      </c>
    </row>
    <row r="26">
      <c r="B26" s="8" t="n">
        <v>1</v>
      </c>
      <c r="C26" s="8">
        <f>COUNTIFS('04_調査結果'!$AJ$5:$AJ$404,B26,'04_調査結果'!$W$5:$W$404,"OK")</f>
        <v/>
      </c>
      <c r="D26" s="8" t="inlineStr">
        <is>
          <t>中継・調整・催促・取りまとめ</t>
        </is>
      </c>
    </row>
    <row r="27">
      <c r="B27" s="8" t="n">
        <v>2</v>
      </c>
      <c r="C27" s="8">
        <f>COUNTIFS('04_調査結果'!$AJ$5:$AJ$404,B27,'04_調査結果'!$W$5:$W$404,"OK")</f>
        <v/>
      </c>
      <c r="D27" s="8" t="inlineStr">
        <is>
          <t>確認・承認・問い合わせ対応</t>
        </is>
      </c>
    </row>
    <row r="28">
      <c r="B28" s="8" t="n">
        <v>3</v>
      </c>
      <c r="C28" s="8">
        <f>COUNTIFS('04_調査結果'!$AJ$5:$AJ$404,B28,'04_調査結果'!$W$5:$W$404,"OK")</f>
        <v/>
      </c>
      <c r="D28" s="8" t="inlineStr">
        <is>
          <t>利害調整・トラブル・相談対応</t>
        </is>
      </c>
    </row>
    <row r="29">
      <c r="B29" s="8" t="n">
        <v>4</v>
      </c>
      <c r="C29" s="8">
        <f>COUNTIFS('04_調査結果'!$AJ$5:$AJ$404,B29,'04_調査結果'!$W$5:$W$404,"OK")</f>
        <v/>
      </c>
      <c r="D29" s="8" t="inlineStr">
        <is>
          <t>定例報告・会議運営</t>
        </is>
      </c>
    </row>
    <row r="30">
      <c r="B30" s="8" t="n">
        <v>5</v>
      </c>
      <c r="C30" s="8">
        <f>COUNTIFS('04_調査結果'!$AJ$5:$AJ$404,B30,'04_調査結果'!$W$5:$W$404,"OK")</f>
        <v/>
      </c>
      <c r="D30" s="8" t="inlineStr">
        <is>
          <t>申請・手配・調べもの・資料作成</t>
        </is>
      </c>
    </row>
    <row r="31">
      <c r="B31" s="8" t="n">
        <v>6</v>
      </c>
      <c r="C31" s="8">
        <f>COUNTIFS('04_調査結果'!$AJ$5:$AJ$404,B31,'04_調査結果'!$W$5:$W$404,"OK")</f>
        <v/>
      </c>
      <c r="D31" s="8" t="inlineStr">
        <is>
          <t>年に数回の業務</t>
        </is>
      </c>
    </row>
    <row r="32"/>
    <row r="33">
      <c r="B33" s="21" t="inlineStr">
        <is>
          <t>■ 類型別の集計（除外したタスクを除く）</t>
        </is>
      </c>
    </row>
    <row r="34" ht="30" customHeight="1">
      <c r="B34" s="6" t="inlineStr">
        <is>
          <t>類型</t>
        </is>
      </c>
      <c r="C34" s="6" t="inlineStr">
        <is>
          <t>タスク数</t>
        </is>
      </c>
      <c r="D34" s="6" t="inlineStr">
        <is>
          <t>類型名</t>
        </is>
      </c>
      <c r="E34" s="6" t="inlineStr">
        <is>
          <t>暗黙の数</t>
        </is>
      </c>
      <c r="F34" s="6" t="inlineStr">
        <is>
          <t>月あたり時間h</t>
        </is>
      </c>
    </row>
    <row r="35">
      <c r="B35" s="8" t="inlineStr">
        <is>
          <t>T01</t>
        </is>
      </c>
      <c r="C35" s="8">
        <f>COUNTIFS('04_調査結果'!$AK$5:$AK$404,B35,'04_調査結果'!$AT$5:$AT$404,"&gt;0")</f>
        <v/>
      </c>
      <c r="D35" s="8" t="inlineStr">
        <is>
          <t>中継・転送</t>
        </is>
      </c>
      <c r="E35" s="8">
        <f>COUNTIFS('04_調査結果'!$AK$5:$AK$404,B35,'04_調査結果'!$AT$5:$AT$404,"&gt;0",'04_調査結果'!$H$5:$H$404,"暗黙")</f>
        <v/>
      </c>
      <c r="F35" s="26">
        <f>SUMIFS('04_調査結果'!$AD$5:$AD$404,'04_調査結果'!$AK$5:$AK$404,B35,'04_調査結果'!$AT$5:$AT$404,"&gt;0")</f>
        <v/>
      </c>
    </row>
    <row r="36">
      <c r="B36" s="8" t="inlineStr">
        <is>
          <t>T02</t>
        </is>
      </c>
      <c r="C36" s="8">
        <f>COUNTIFS('04_調査結果'!$AK$5:$AK$404,B36,'04_調査結果'!$AT$5:$AT$404,"&gt;0")</f>
        <v/>
      </c>
      <c r="D36" s="8" t="inlineStr">
        <is>
          <t>日程・会議調整</t>
        </is>
      </c>
      <c r="E36" s="8">
        <f>COUNTIFS('04_調査結果'!$AK$5:$AK$404,B36,'04_調査結果'!$AT$5:$AT$404,"&gt;0",'04_調査結果'!$H$5:$H$404,"暗黙")</f>
        <v/>
      </c>
      <c r="F36" s="26">
        <f>SUMIFS('04_調査結果'!$AD$5:$AD$404,'04_調査結果'!$AK$5:$AK$404,B36,'04_調査結果'!$AT$5:$AT$404,"&gt;0")</f>
        <v/>
      </c>
    </row>
    <row r="37">
      <c r="B37" s="8" t="inlineStr">
        <is>
          <t>T03</t>
        </is>
      </c>
      <c r="C37" s="8">
        <f>COUNTIFS('04_調査結果'!$AK$5:$AK$404,B37,'04_調査結果'!$AT$5:$AT$404,"&gt;0")</f>
        <v/>
      </c>
      <c r="D37" s="8" t="inlineStr">
        <is>
          <t>催促・フォローアップ</t>
        </is>
      </c>
      <c r="E37" s="8">
        <f>COUNTIFS('04_調査結果'!$AK$5:$AK$404,B37,'04_調査結果'!$AT$5:$AT$404,"&gt;0",'04_調査結果'!$H$5:$H$404,"暗黙")</f>
        <v/>
      </c>
      <c r="F37" s="26">
        <f>SUMIFS('04_調査結果'!$AD$5:$AD$404,'04_調査結果'!$AK$5:$AK$404,B37,'04_調査結果'!$AT$5:$AT$404,"&gt;0")</f>
        <v/>
      </c>
    </row>
    <row r="38">
      <c r="B38" s="8" t="inlineStr">
        <is>
          <t>T04</t>
        </is>
      </c>
      <c r="C38" s="8">
        <f>COUNTIFS('04_調査結果'!$AK$5:$AK$404,B38,'04_調査結果'!$AT$5:$AT$404,"&gt;0")</f>
        <v/>
      </c>
      <c r="D38" s="8" t="inlineStr">
        <is>
          <t>取りまとめ・集約</t>
        </is>
      </c>
      <c r="E38" s="8">
        <f>COUNTIFS('04_調査結果'!$AK$5:$AK$404,B38,'04_調査結果'!$AT$5:$AT$404,"&gt;0",'04_調査結果'!$H$5:$H$404,"暗黙")</f>
        <v/>
      </c>
      <c r="F38" s="26">
        <f>SUMIFS('04_調査結果'!$AD$5:$AD$404,'04_調査結果'!$AK$5:$AK$404,B38,'04_調査結果'!$AT$5:$AT$404,"&gt;0")</f>
        <v/>
      </c>
    </row>
    <row r="39">
      <c r="B39" s="8" t="inlineStr">
        <is>
          <t>T05</t>
        </is>
      </c>
      <c r="C39" s="8">
        <f>COUNTIFS('04_調査結果'!$AK$5:$AK$404,B39,'04_調査結果'!$AT$5:$AT$404,"&gt;0")</f>
        <v/>
      </c>
      <c r="D39" s="8" t="inlineStr">
        <is>
          <t>確認・承認・レビュー</t>
        </is>
      </c>
      <c r="E39" s="8">
        <f>COUNTIFS('04_調査結果'!$AK$5:$AK$404,B39,'04_調査結果'!$AT$5:$AT$404,"&gt;0",'04_調査結果'!$H$5:$H$404,"暗黙")</f>
        <v/>
      </c>
      <c r="F39" s="26">
        <f>SUMIFS('04_調査結果'!$AD$5:$AD$404,'04_調査結果'!$AK$5:$AK$404,B39,'04_調査結果'!$AT$5:$AT$404,"&gt;0")</f>
        <v/>
      </c>
    </row>
    <row r="40">
      <c r="B40" s="8" t="inlineStr">
        <is>
          <t>T06</t>
        </is>
      </c>
      <c r="C40" s="8">
        <f>COUNTIFS('04_調査結果'!$AK$5:$AK$404,B40,'04_調査結果'!$AT$5:$AT$404,"&gt;0")</f>
        <v/>
      </c>
      <c r="D40" s="8" t="inlineStr">
        <is>
          <t>問い合わせ対応・振り分け</t>
        </is>
      </c>
      <c r="E40" s="8">
        <f>COUNTIFS('04_調査結果'!$AK$5:$AK$404,B40,'04_調査結果'!$AT$5:$AT$404,"&gt;0",'04_調査結果'!$H$5:$H$404,"暗黙")</f>
        <v/>
      </c>
      <c r="F40" s="26">
        <f>SUMIFS('04_調査結果'!$AD$5:$AD$404,'04_調査結果'!$AK$5:$AK$404,B40,'04_調査結果'!$AT$5:$AT$404,"&gt;0")</f>
        <v/>
      </c>
    </row>
    <row r="41">
      <c r="B41" s="8" t="inlineStr">
        <is>
          <t>T07</t>
        </is>
      </c>
      <c r="C41" s="8">
        <f>COUNTIFS('04_調査結果'!$AK$5:$AK$404,B41,'04_調査結果'!$AT$5:$AT$404,"&gt;0")</f>
        <v/>
      </c>
      <c r="D41" s="8" t="inlineStr">
        <is>
          <t>利害調整・合意形成</t>
        </is>
      </c>
      <c r="E41" s="8">
        <f>COUNTIFS('04_調査結果'!$AK$5:$AK$404,B41,'04_調査結果'!$AT$5:$AT$404,"&gt;0",'04_調査結果'!$H$5:$H$404,"暗黙")</f>
        <v/>
      </c>
      <c r="F41" s="26">
        <f>SUMIFS('04_調査結果'!$AD$5:$AD$404,'04_調査結果'!$AK$5:$AK$404,B41,'04_調査結果'!$AT$5:$AT$404,"&gt;0")</f>
        <v/>
      </c>
    </row>
    <row r="42">
      <c r="B42" s="8" t="inlineStr">
        <is>
          <t>T08</t>
        </is>
      </c>
      <c r="C42" s="8">
        <f>COUNTIFS('04_調査結果'!$AK$5:$AK$404,B42,'04_調査結果'!$AT$5:$AT$404,"&gt;0")</f>
        <v/>
      </c>
      <c r="D42" s="8" t="inlineStr">
        <is>
          <t>定例報告・数値更新</t>
        </is>
      </c>
      <c r="E42" s="8">
        <f>COUNTIFS('04_調査結果'!$AK$5:$AK$404,B42,'04_調査結果'!$AT$5:$AT$404,"&gt;0",'04_調査結果'!$H$5:$H$404,"暗黙")</f>
        <v/>
      </c>
      <c r="F42" s="26">
        <f>SUMIFS('04_調査結果'!$AD$5:$AD$404,'04_調査結果'!$AK$5:$AK$404,B42,'04_調査結果'!$AT$5:$AT$404,"&gt;0")</f>
        <v/>
      </c>
    </row>
    <row r="43">
      <c r="B43" s="8" t="inlineStr">
        <is>
          <t>T09</t>
        </is>
      </c>
      <c r="C43" s="8">
        <f>COUNTIFS('04_調査結果'!$AK$5:$AK$404,B43,'04_調査結果'!$AT$5:$AT$404,"&gt;0")</f>
        <v/>
      </c>
      <c r="D43" s="8" t="inlineStr">
        <is>
          <t>申請・手配・事務手続き</t>
        </is>
      </c>
      <c r="E43" s="8">
        <f>COUNTIFS('04_調査結果'!$AK$5:$AK$404,B43,'04_調査結果'!$AT$5:$AT$404,"&gt;0",'04_調査結果'!$H$5:$H$404,"暗黙")</f>
        <v/>
      </c>
      <c r="F43" s="26">
        <f>SUMIFS('04_調査結果'!$AD$5:$AD$404,'04_調査結果'!$AK$5:$AK$404,B43,'04_調査結果'!$AT$5:$AT$404,"&gt;0")</f>
        <v/>
      </c>
    </row>
    <row r="44">
      <c r="B44" s="8" t="inlineStr">
        <is>
          <t>T10</t>
        </is>
      </c>
      <c r="C44" s="8">
        <f>COUNTIFS('04_調査結果'!$AK$5:$AK$404,B44,'04_調査結果'!$AT$5:$AT$404,"&gt;0")</f>
        <v/>
      </c>
      <c r="D44" s="8" t="inlineStr">
        <is>
          <t>調査・情報探し</t>
        </is>
      </c>
      <c r="E44" s="8">
        <f>COUNTIFS('04_調査結果'!$AK$5:$AK$404,B44,'04_調査結果'!$AT$5:$AT$404,"&gt;0",'04_調査結果'!$H$5:$H$404,"暗黙")</f>
        <v/>
      </c>
      <c r="F44" s="26">
        <f>SUMIFS('04_調査結果'!$AD$5:$AD$404,'04_調査結果'!$AK$5:$AK$404,B44,'04_調査結果'!$AT$5:$AT$404,"&gt;0")</f>
        <v/>
      </c>
    </row>
    <row r="45">
      <c r="B45" s="8" t="inlineStr">
        <is>
          <t>T11</t>
        </is>
      </c>
      <c r="C45" s="8">
        <f>COUNTIFS('04_調査結果'!$AK$5:$AK$404,B45,'04_調査結果'!$AT$5:$AT$404,"&gt;0")</f>
        <v/>
      </c>
      <c r="D45" s="8" t="inlineStr">
        <is>
          <t>トラブル・例外対応</t>
        </is>
      </c>
      <c r="E45" s="8">
        <f>COUNTIFS('04_調査結果'!$AK$5:$AK$404,B45,'04_調査結果'!$AT$5:$AT$404,"&gt;0",'04_調査結果'!$H$5:$H$404,"暗黙")</f>
        <v/>
      </c>
      <c r="F45" s="26">
        <f>SUMIFS('04_調査結果'!$AD$5:$AD$404,'04_調査結果'!$AK$5:$AK$404,B45,'04_調査結果'!$AT$5:$AT$404,"&gt;0")</f>
        <v/>
      </c>
    </row>
    <row r="46">
      <c r="B46" s="8" t="inlineStr">
        <is>
          <t>T12</t>
        </is>
      </c>
      <c r="C46" s="8">
        <f>COUNTIFS('04_調査結果'!$AK$5:$AK$404,B46,'04_調査結果'!$AT$5:$AT$404,"&gt;0")</f>
        <v/>
      </c>
      <c r="D46" s="8" t="inlineStr">
        <is>
          <t>相談対応・指導</t>
        </is>
      </c>
      <c r="E46" s="8">
        <f>COUNTIFS('04_調査結果'!$AK$5:$AK$404,B46,'04_調査結果'!$AT$5:$AT$404,"&gt;0",'04_調査結果'!$H$5:$H$404,"暗黙")</f>
        <v/>
      </c>
      <c r="F46" s="26">
        <f>SUMIFS('04_調査結果'!$AD$5:$AD$404,'04_調査結果'!$AK$5:$AK$404,B46,'04_調査結果'!$AT$5:$AT$404,"&gt;0")</f>
        <v/>
      </c>
    </row>
    <row r="47">
      <c r="B47" s="8" t="inlineStr">
        <is>
          <t>T13</t>
        </is>
      </c>
      <c r="C47" s="8">
        <f>COUNTIFS('04_調査結果'!$AK$5:$AK$404,B47,'04_調査結果'!$AT$5:$AT$404,"&gt;0")</f>
        <v/>
      </c>
      <c r="D47" s="8" t="inlineStr">
        <is>
          <t>会議運営</t>
        </is>
      </c>
      <c r="E47" s="8">
        <f>COUNTIFS('04_調査結果'!$AK$5:$AK$404,B47,'04_調査結果'!$AT$5:$AT$404,"&gt;0",'04_調査結果'!$H$5:$H$404,"暗黙")</f>
        <v/>
      </c>
      <c r="F47" s="26">
        <f>SUMIFS('04_調査結果'!$AD$5:$AD$404,'04_調査結果'!$AK$5:$AK$404,B47,'04_調査結果'!$AT$5:$AT$404,"&gt;0")</f>
        <v/>
      </c>
    </row>
    <row r="48">
      <c r="B48" s="8" t="inlineStr">
        <is>
          <t>T14</t>
        </is>
      </c>
      <c r="C48" s="8">
        <f>COUNTIFS('04_調査結果'!$AK$5:$AK$404,B48,'04_調査結果'!$AT$5:$AT$404,"&gt;0")</f>
        <v/>
      </c>
      <c r="D48" s="8" t="inlineStr">
        <is>
          <t>資料・文書作成</t>
        </is>
      </c>
      <c r="E48" s="8">
        <f>COUNTIFS('04_調査結果'!$AK$5:$AK$404,B48,'04_調査結果'!$AT$5:$AT$404,"&gt;0",'04_調査結果'!$H$5:$H$404,"暗黙")</f>
        <v/>
      </c>
      <c r="F48" s="26">
        <f>SUMIFS('04_調査結果'!$AD$5:$AD$404,'04_調査結果'!$AK$5:$AK$404,B48,'04_調査結果'!$AT$5:$AT$404,"&gt;0")</f>
        <v/>
      </c>
    </row>
    <row r="49">
      <c r="B49" s="8" t="inlineStr">
        <is>
          <t>T99</t>
        </is>
      </c>
      <c r="C49" s="8">
        <f>COUNTIFS('04_調査結果'!$AK$5:$AK$404,B49,'04_調査結果'!$AT$5:$AT$404,"&gt;0")</f>
        <v/>
      </c>
      <c r="D49" s="8" t="inlineStr">
        <is>
          <t>その他</t>
        </is>
      </c>
      <c r="E49" s="8">
        <f>COUNTIFS('04_調査結果'!$AK$5:$AK$404,B49,'04_調査結果'!$AT$5:$AT$404,"&gt;0",'04_調査結果'!$H$5:$H$404,"暗黙")</f>
        <v/>
      </c>
      <c r="F49" s="26">
        <f>SUMIFS('04_調査結果'!$AD$5:$AD$404,'04_調査結果'!$AK$5:$AK$404,B49,'04_調査結果'!$AT$5:$AT$404,"&gt;0")</f>
        <v/>
      </c>
    </row>
    <row r="50">
      <c r="B50" s="18" t="inlineStr">
        <is>
          <t>合計</t>
        </is>
      </c>
      <c r="C50" s="8">
        <f>SUM(C35:C49)</f>
        <v/>
      </c>
      <c r="E50" s="8">
        <f>SUM(E35:E49)</f>
        <v/>
      </c>
      <c r="F50" s="26">
        <f>SUM(F35:F49)</f>
        <v/>
      </c>
    </row>
    <row r="51"/>
    <row r="52">
      <c r="B52" s="21" t="inlineStr">
        <is>
          <t>■ 移管区分別の集計（除外したタスクを除く）</t>
        </is>
      </c>
    </row>
    <row r="53" ht="30" customHeight="1">
      <c r="B53" s="6" t="inlineStr">
        <is>
          <t>採用区分</t>
        </is>
      </c>
      <c r="C53" s="6" t="inlineStr">
        <is>
          <t>タスク数</t>
        </is>
      </c>
      <c r="D53" s="6" t="inlineStr">
        <is>
          <t>月あたり時間h</t>
        </is>
      </c>
      <c r="E53" s="6" t="inlineStr">
        <is>
          <t>構成比</t>
        </is>
      </c>
    </row>
    <row r="54">
      <c r="B54" s="8" t="inlineStr">
        <is>
          <t>自動化候補</t>
        </is>
      </c>
      <c r="C54" s="8">
        <f>COUNTIFS('04_調査結果'!$AC$5:$AC$404,B54,'04_調査結果'!$AT$5:$AT$404,"&gt;0")</f>
        <v/>
      </c>
      <c r="D54" s="26">
        <f>SUMIFS('04_調査結果'!$AD$5:$AD$404,'04_調査結果'!$AC$5:$AC$404,B54,'04_調査結果'!$AT$5:$AT$404,"&gt;0")</f>
        <v/>
      </c>
      <c r="E54" s="25">
        <f>IF(SUM($D$54:$D$58)=0,"",D54/SUM($D$54:$D$58))</f>
        <v/>
      </c>
    </row>
    <row r="55">
      <c r="B55" s="8" t="inlineStr">
        <is>
          <t>オフショア候補</t>
        </is>
      </c>
      <c r="C55" s="8">
        <f>COUNTIFS('04_調査結果'!$AC$5:$AC$404,B55,'04_調査結果'!$AT$5:$AT$404,"&gt;0")</f>
        <v/>
      </c>
      <c r="D55" s="26">
        <f>SUMIFS('04_調査結果'!$AD$5:$AD$404,'04_調査結果'!$AC$5:$AC$404,B55,'04_調査結果'!$AT$5:$AT$404,"&gt;0")</f>
        <v/>
      </c>
      <c r="E55" s="25">
        <f>IF(SUM($D$54:$D$58)=0,"",D55/SUM($D$54:$D$58))</f>
        <v/>
      </c>
    </row>
    <row r="56">
      <c r="B56" s="8" t="inlineStr">
        <is>
          <t>ニアショア候補</t>
        </is>
      </c>
      <c r="C56" s="8">
        <f>COUNTIFS('04_調査結果'!$AC$5:$AC$404,B56,'04_調査結果'!$AT$5:$AT$404,"&gt;0")</f>
        <v/>
      </c>
      <c r="D56" s="26">
        <f>SUMIFS('04_調査結果'!$AD$5:$AD$404,'04_調査結果'!$AC$5:$AC$404,B56,'04_調査結果'!$AT$5:$AT$404,"&gt;0")</f>
        <v/>
      </c>
      <c r="E56" s="25">
        <f>IF(SUM($D$54:$D$58)=0,"",D56/SUM($D$54:$D$58))</f>
        <v/>
      </c>
    </row>
    <row r="57">
      <c r="B57" s="8" t="inlineStr">
        <is>
          <t>社内で手順化→再評価</t>
        </is>
      </c>
      <c r="C57" s="8">
        <f>COUNTIFS('04_調査結果'!$AC$5:$AC$404,B57,'04_調査結果'!$AT$5:$AT$404,"&gt;0")</f>
        <v/>
      </c>
      <c r="D57" s="26">
        <f>SUMIFS('04_調査結果'!$AD$5:$AD$404,'04_調査結果'!$AC$5:$AC$404,B57,'04_調査結果'!$AT$5:$AT$404,"&gt;0")</f>
        <v/>
      </c>
      <c r="E57" s="25">
        <f>IF(SUM($D$54:$D$58)=0,"",D57/SUM($D$54:$D$58))</f>
        <v/>
      </c>
    </row>
    <row r="58">
      <c r="B58" s="8" t="inlineStr">
        <is>
          <t>社内残置</t>
        </is>
      </c>
      <c r="C58" s="8">
        <f>COUNTIFS('04_調査結果'!$AC$5:$AC$404,B58,'04_調査結果'!$AT$5:$AT$404,"&gt;0")</f>
        <v/>
      </c>
      <c r="D58" s="26">
        <f>SUMIFS('04_調査結果'!$AD$5:$AD$404,'04_調査結果'!$AC$5:$AC$404,B58,'04_調査結果'!$AT$5:$AT$404,"&gt;0")</f>
        <v/>
      </c>
      <c r="E58" s="25">
        <f>IF(SUM($D$54:$D$58)=0,"",D58/SUM($D$54:$D$58))</f>
        <v/>
      </c>
    </row>
    <row r="59"/>
    <row r="60">
      <c r="B60" s="21" t="inlineStr">
        <is>
          <t>■ 時間を使っている上位10タスク</t>
        </is>
      </c>
    </row>
    <row r="61" ht="30" customHeight="1">
      <c r="B61" s="6" t="inlineStr">
        <is>
          <t>順位</t>
        </is>
      </c>
      <c r="C61" s="6" t="inlineStr">
        <is>
          <t>類型</t>
        </is>
      </c>
      <c r="D61" s="6" t="inlineStr">
        <is>
          <t>タスク名</t>
        </is>
      </c>
      <c r="E61" s="6" t="inlineStr">
        <is>
          <t>明示暗黙</t>
        </is>
      </c>
      <c r="F61" s="6" t="inlineStr">
        <is>
          <t>月あたり時間h</t>
        </is>
      </c>
      <c r="G61" s="6" t="inlineStr">
        <is>
          <t>採用区分</t>
        </is>
      </c>
      <c r="H61" s="6" t="inlineStr">
        <is>
          <t>前提条件</t>
        </is>
      </c>
    </row>
    <row r="62">
      <c r="B62" s="8" t="n">
        <v>1</v>
      </c>
      <c r="C62" s="8">
        <f>IFERROR(INDEX('04_調査結果'!$AK$5:$AK$404,MATCH(LARGE('04_調査結果'!$AU$5:$AU$404,B62),'04_調査結果'!$AU$5:$AU$404,0)),"")</f>
        <v/>
      </c>
      <c r="D62" s="8">
        <f>IFERROR(INDEX('04_調査結果'!$D$5:$D$404,MATCH(LARGE('04_調査結果'!$AU$5:$AU$404,B62),'04_調査結果'!$AU$5:$AU$404,0)),"")</f>
        <v/>
      </c>
      <c r="E62" s="8">
        <f>IFERROR(INDEX('04_調査結果'!$H$5:$H$404,MATCH(LARGE('04_調査結果'!$AU$5:$AU$404,B62),'04_調査結果'!$AU$5:$AU$404,0)),"")</f>
        <v/>
      </c>
      <c r="F62" s="26">
        <f>IFERROR(INDEX('04_調査結果'!$AD$5:$AD$404,MATCH(LARGE('04_調査結果'!$AU$5:$AU$404,B62),'04_調査結果'!$AU$5:$AU$404,0)),"")</f>
        <v/>
      </c>
      <c r="G62" s="8">
        <f>IFERROR(INDEX('04_調査結果'!$AC$5:$AC$404,MATCH(LARGE('04_調査結果'!$AU$5:$AU$404,B62),'04_調査結果'!$AU$5:$AU$404,0)),"")</f>
        <v/>
      </c>
      <c r="H62" s="8">
        <f>IFERROR(INDEX('04_調査結果'!$V$5:$V$404,MATCH(LARGE('04_調査結果'!$AU$5:$AU$404,B62),'04_調査結果'!$AU$5:$AU$404,0)),"")</f>
        <v/>
      </c>
      <c r="I62" s="20" t="n"/>
    </row>
    <row r="63">
      <c r="B63" s="8" t="n">
        <v>2</v>
      </c>
      <c r="C63" s="8">
        <f>IFERROR(INDEX('04_調査結果'!$AK$5:$AK$404,MATCH(LARGE('04_調査結果'!$AU$5:$AU$404,B63),'04_調査結果'!$AU$5:$AU$404,0)),"")</f>
        <v/>
      </c>
      <c r="D63" s="8">
        <f>IFERROR(INDEX('04_調査結果'!$D$5:$D$404,MATCH(LARGE('04_調査結果'!$AU$5:$AU$404,B63),'04_調査結果'!$AU$5:$AU$404,0)),"")</f>
        <v/>
      </c>
      <c r="E63" s="8">
        <f>IFERROR(INDEX('04_調査結果'!$H$5:$H$404,MATCH(LARGE('04_調査結果'!$AU$5:$AU$404,B63),'04_調査結果'!$AU$5:$AU$404,0)),"")</f>
        <v/>
      </c>
      <c r="F63" s="26">
        <f>IFERROR(INDEX('04_調査結果'!$AD$5:$AD$404,MATCH(LARGE('04_調査結果'!$AU$5:$AU$404,B63),'04_調査結果'!$AU$5:$AU$404,0)),"")</f>
        <v/>
      </c>
      <c r="G63" s="8">
        <f>IFERROR(INDEX('04_調査結果'!$AC$5:$AC$404,MATCH(LARGE('04_調査結果'!$AU$5:$AU$404,B63),'04_調査結果'!$AU$5:$AU$404,0)),"")</f>
        <v/>
      </c>
      <c r="H63" s="8">
        <f>IFERROR(INDEX('04_調査結果'!$V$5:$V$404,MATCH(LARGE('04_調査結果'!$AU$5:$AU$404,B63),'04_調査結果'!$AU$5:$AU$404,0)),"")</f>
        <v/>
      </c>
      <c r="I63" s="20" t="n"/>
    </row>
    <row r="64">
      <c r="B64" s="8" t="n">
        <v>3</v>
      </c>
      <c r="C64" s="8">
        <f>IFERROR(INDEX('04_調査結果'!$AK$5:$AK$404,MATCH(LARGE('04_調査結果'!$AU$5:$AU$404,B64),'04_調査結果'!$AU$5:$AU$404,0)),"")</f>
        <v/>
      </c>
      <c r="D64" s="8">
        <f>IFERROR(INDEX('04_調査結果'!$D$5:$D$404,MATCH(LARGE('04_調査結果'!$AU$5:$AU$404,B64),'04_調査結果'!$AU$5:$AU$404,0)),"")</f>
        <v/>
      </c>
      <c r="E64" s="8">
        <f>IFERROR(INDEX('04_調査結果'!$H$5:$H$404,MATCH(LARGE('04_調査結果'!$AU$5:$AU$404,B64),'04_調査結果'!$AU$5:$AU$404,0)),"")</f>
        <v/>
      </c>
      <c r="F64" s="26">
        <f>IFERROR(INDEX('04_調査結果'!$AD$5:$AD$404,MATCH(LARGE('04_調査結果'!$AU$5:$AU$404,B64),'04_調査結果'!$AU$5:$AU$404,0)),"")</f>
        <v/>
      </c>
      <c r="G64" s="8">
        <f>IFERROR(INDEX('04_調査結果'!$AC$5:$AC$404,MATCH(LARGE('04_調査結果'!$AU$5:$AU$404,B64),'04_調査結果'!$AU$5:$AU$404,0)),"")</f>
        <v/>
      </c>
      <c r="H64" s="8">
        <f>IFERROR(INDEX('04_調査結果'!$V$5:$V$404,MATCH(LARGE('04_調査結果'!$AU$5:$AU$404,B64),'04_調査結果'!$AU$5:$AU$404,0)),"")</f>
        <v/>
      </c>
      <c r="I64" s="20" t="n"/>
    </row>
    <row r="65">
      <c r="B65" s="8" t="n">
        <v>4</v>
      </c>
      <c r="C65" s="8">
        <f>IFERROR(INDEX('04_調査結果'!$AK$5:$AK$404,MATCH(LARGE('04_調査結果'!$AU$5:$AU$404,B65),'04_調査結果'!$AU$5:$AU$404,0)),"")</f>
        <v/>
      </c>
      <c r="D65" s="8">
        <f>IFERROR(INDEX('04_調査結果'!$D$5:$D$404,MATCH(LARGE('04_調査結果'!$AU$5:$AU$404,B65),'04_調査結果'!$AU$5:$AU$404,0)),"")</f>
        <v/>
      </c>
      <c r="E65" s="8">
        <f>IFERROR(INDEX('04_調査結果'!$H$5:$H$404,MATCH(LARGE('04_調査結果'!$AU$5:$AU$404,B65),'04_調査結果'!$AU$5:$AU$404,0)),"")</f>
        <v/>
      </c>
      <c r="F65" s="26">
        <f>IFERROR(INDEX('04_調査結果'!$AD$5:$AD$404,MATCH(LARGE('04_調査結果'!$AU$5:$AU$404,B65),'04_調査結果'!$AU$5:$AU$404,0)),"")</f>
        <v/>
      </c>
      <c r="G65" s="8">
        <f>IFERROR(INDEX('04_調査結果'!$AC$5:$AC$404,MATCH(LARGE('04_調査結果'!$AU$5:$AU$404,B65),'04_調査結果'!$AU$5:$AU$404,0)),"")</f>
        <v/>
      </c>
      <c r="H65" s="8">
        <f>IFERROR(INDEX('04_調査結果'!$V$5:$V$404,MATCH(LARGE('04_調査結果'!$AU$5:$AU$404,B65),'04_調査結果'!$AU$5:$AU$404,0)),"")</f>
        <v/>
      </c>
      <c r="I65" s="20" t="n"/>
    </row>
    <row r="66">
      <c r="B66" s="8" t="n">
        <v>5</v>
      </c>
      <c r="C66" s="8">
        <f>IFERROR(INDEX('04_調査結果'!$AK$5:$AK$404,MATCH(LARGE('04_調査結果'!$AU$5:$AU$404,B66),'04_調査結果'!$AU$5:$AU$404,0)),"")</f>
        <v/>
      </c>
      <c r="D66" s="8">
        <f>IFERROR(INDEX('04_調査結果'!$D$5:$D$404,MATCH(LARGE('04_調査結果'!$AU$5:$AU$404,B66),'04_調査結果'!$AU$5:$AU$404,0)),"")</f>
        <v/>
      </c>
      <c r="E66" s="8">
        <f>IFERROR(INDEX('04_調査結果'!$H$5:$H$404,MATCH(LARGE('04_調査結果'!$AU$5:$AU$404,B66),'04_調査結果'!$AU$5:$AU$404,0)),"")</f>
        <v/>
      </c>
      <c r="F66" s="26">
        <f>IFERROR(INDEX('04_調査結果'!$AD$5:$AD$404,MATCH(LARGE('04_調査結果'!$AU$5:$AU$404,B66),'04_調査結果'!$AU$5:$AU$404,0)),"")</f>
        <v/>
      </c>
      <c r="G66" s="8">
        <f>IFERROR(INDEX('04_調査結果'!$AC$5:$AC$404,MATCH(LARGE('04_調査結果'!$AU$5:$AU$404,B66),'04_調査結果'!$AU$5:$AU$404,0)),"")</f>
        <v/>
      </c>
      <c r="H66" s="8">
        <f>IFERROR(INDEX('04_調査結果'!$V$5:$V$404,MATCH(LARGE('04_調査結果'!$AU$5:$AU$404,B66),'04_調査結果'!$AU$5:$AU$404,0)),"")</f>
        <v/>
      </c>
      <c r="I66" s="20" t="n"/>
    </row>
    <row r="67">
      <c r="B67" s="8" t="n">
        <v>6</v>
      </c>
      <c r="C67" s="8">
        <f>IFERROR(INDEX('04_調査結果'!$AK$5:$AK$404,MATCH(LARGE('04_調査結果'!$AU$5:$AU$404,B67),'04_調査結果'!$AU$5:$AU$404,0)),"")</f>
        <v/>
      </c>
      <c r="D67" s="8">
        <f>IFERROR(INDEX('04_調査結果'!$D$5:$D$404,MATCH(LARGE('04_調査結果'!$AU$5:$AU$404,B67),'04_調査結果'!$AU$5:$AU$404,0)),"")</f>
        <v/>
      </c>
      <c r="E67" s="8">
        <f>IFERROR(INDEX('04_調査結果'!$H$5:$H$404,MATCH(LARGE('04_調査結果'!$AU$5:$AU$404,B67),'04_調査結果'!$AU$5:$AU$404,0)),"")</f>
        <v/>
      </c>
      <c r="F67" s="26">
        <f>IFERROR(INDEX('04_調査結果'!$AD$5:$AD$404,MATCH(LARGE('04_調査結果'!$AU$5:$AU$404,B67),'04_調査結果'!$AU$5:$AU$404,0)),"")</f>
        <v/>
      </c>
      <c r="G67" s="8">
        <f>IFERROR(INDEX('04_調査結果'!$AC$5:$AC$404,MATCH(LARGE('04_調査結果'!$AU$5:$AU$404,B67),'04_調査結果'!$AU$5:$AU$404,0)),"")</f>
        <v/>
      </c>
      <c r="H67" s="8">
        <f>IFERROR(INDEX('04_調査結果'!$V$5:$V$404,MATCH(LARGE('04_調査結果'!$AU$5:$AU$404,B67),'04_調査結果'!$AU$5:$AU$404,0)),"")</f>
        <v/>
      </c>
      <c r="I67" s="20" t="n"/>
    </row>
    <row r="68">
      <c r="B68" s="8" t="n">
        <v>7</v>
      </c>
      <c r="C68" s="8">
        <f>IFERROR(INDEX('04_調査結果'!$AK$5:$AK$404,MATCH(LARGE('04_調査結果'!$AU$5:$AU$404,B68),'04_調査結果'!$AU$5:$AU$404,0)),"")</f>
        <v/>
      </c>
      <c r="D68" s="8">
        <f>IFERROR(INDEX('04_調査結果'!$D$5:$D$404,MATCH(LARGE('04_調査結果'!$AU$5:$AU$404,B68),'04_調査結果'!$AU$5:$AU$404,0)),"")</f>
        <v/>
      </c>
      <c r="E68" s="8">
        <f>IFERROR(INDEX('04_調査結果'!$H$5:$H$404,MATCH(LARGE('04_調査結果'!$AU$5:$AU$404,B68),'04_調査結果'!$AU$5:$AU$404,0)),"")</f>
        <v/>
      </c>
      <c r="F68" s="26">
        <f>IFERROR(INDEX('04_調査結果'!$AD$5:$AD$404,MATCH(LARGE('04_調査結果'!$AU$5:$AU$404,B68),'04_調査結果'!$AU$5:$AU$404,0)),"")</f>
        <v/>
      </c>
      <c r="G68" s="8">
        <f>IFERROR(INDEX('04_調査結果'!$AC$5:$AC$404,MATCH(LARGE('04_調査結果'!$AU$5:$AU$404,B68),'04_調査結果'!$AU$5:$AU$404,0)),"")</f>
        <v/>
      </c>
      <c r="H68" s="8">
        <f>IFERROR(INDEX('04_調査結果'!$V$5:$V$404,MATCH(LARGE('04_調査結果'!$AU$5:$AU$404,B68),'04_調査結果'!$AU$5:$AU$404,0)),"")</f>
        <v/>
      </c>
      <c r="I68" s="20" t="n"/>
    </row>
    <row r="69">
      <c r="B69" s="8" t="n">
        <v>8</v>
      </c>
      <c r="C69" s="8">
        <f>IFERROR(INDEX('04_調査結果'!$AK$5:$AK$404,MATCH(LARGE('04_調査結果'!$AU$5:$AU$404,B69),'04_調査結果'!$AU$5:$AU$404,0)),"")</f>
        <v/>
      </c>
      <c r="D69" s="8">
        <f>IFERROR(INDEX('04_調査結果'!$D$5:$D$404,MATCH(LARGE('04_調査結果'!$AU$5:$AU$404,B69),'04_調査結果'!$AU$5:$AU$404,0)),"")</f>
        <v/>
      </c>
      <c r="E69" s="8">
        <f>IFERROR(INDEX('04_調査結果'!$H$5:$H$404,MATCH(LARGE('04_調査結果'!$AU$5:$AU$404,B69),'04_調査結果'!$AU$5:$AU$404,0)),"")</f>
        <v/>
      </c>
      <c r="F69" s="26">
        <f>IFERROR(INDEX('04_調査結果'!$AD$5:$AD$404,MATCH(LARGE('04_調査結果'!$AU$5:$AU$404,B69),'04_調査結果'!$AU$5:$AU$404,0)),"")</f>
        <v/>
      </c>
      <c r="G69" s="8">
        <f>IFERROR(INDEX('04_調査結果'!$AC$5:$AC$404,MATCH(LARGE('04_調査結果'!$AU$5:$AU$404,B69),'04_調査結果'!$AU$5:$AU$404,0)),"")</f>
        <v/>
      </c>
      <c r="H69" s="8">
        <f>IFERROR(INDEX('04_調査結果'!$V$5:$V$404,MATCH(LARGE('04_調査結果'!$AU$5:$AU$404,B69),'04_調査結果'!$AU$5:$AU$404,0)),"")</f>
        <v/>
      </c>
      <c r="I69" s="20" t="n"/>
    </row>
    <row r="70">
      <c r="B70" s="8" t="n">
        <v>9</v>
      </c>
      <c r="C70" s="8">
        <f>IFERROR(INDEX('04_調査結果'!$AK$5:$AK$404,MATCH(LARGE('04_調査結果'!$AU$5:$AU$404,B70),'04_調査結果'!$AU$5:$AU$404,0)),"")</f>
        <v/>
      </c>
      <c r="D70" s="8">
        <f>IFERROR(INDEX('04_調査結果'!$D$5:$D$404,MATCH(LARGE('04_調査結果'!$AU$5:$AU$404,B70),'04_調査結果'!$AU$5:$AU$404,0)),"")</f>
        <v/>
      </c>
      <c r="E70" s="8">
        <f>IFERROR(INDEX('04_調査結果'!$H$5:$H$404,MATCH(LARGE('04_調査結果'!$AU$5:$AU$404,B70),'04_調査結果'!$AU$5:$AU$404,0)),"")</f>
        <v/>
      </c>
      <c r="F70" s="26">
        <f>IFERROR(INDEX('04_調査結果'!$AD$5:$AD$404,MATCH(LARGE('04_調査結果'!$AU$5:$AU$404,B70),'04_調査結果'!$AU$5:$AU$404,0)),"")</f>
        <v/>
      </c>
      <c r="G70" s="8">
        <f>IFERROR(INDEX('04_調査結果'!$AC$5:$AC$404,MATCH(LARGE('04_調査結果'!$AU$5:$AU$404,B70),'04_調査結果'!$AU$5:$AU$404,0)),"")</f>
        <v/>
      </c>
      <c r="H70" s="8">
        <f>IFERROR(INDEX('04_調査結果'!$V$5:$V$404,MATCH(LARGE('04_調査結果'!$AU$5:$AU$404,B70),'04_調査結果'!$AU$5:$AU$404,0)),"")</f>
        <v/>
      </c>
      <c r="I70" s="20" t="n"/>
    </row>
    <row r="71">
      <c r="B71" s="8" t="n">
        <v>10</v>
      </c>
      <c r="C71" s="8">
        <f>IFERROR(INDEX('04_調査結果'!$AK$5:$AK$404,MATCH(LARGE('04_調査結果'!$AU$5:$AU$404,B71),'04_調査結果'!$AU$5:$AU$404,0)),"")</f>
        <v/>
      </c>
      <c r="D71" s="8">
        <f>IFERROR(INDEX('04_調査結果'!$D$5:$D$404,MATCH(LARGE('04_調査結果'!$AU$5:$AU$404,B71),'04_調査結果'!$AU$5:$AU$404,0)),"")</f>
        <v/>
      </c>
      <c r="E71" s="8">
        <f>IFERROR(INDEX('04_調査結果'!$H$5:$H$404,MATCH(LARGE('04_調査結果'!$AU$5:$AU$404,B71),'04_調査結果'!$AU$5:$AU$404,0)),"")</f>
        <v/>
      </c>
      <c r="F71" s="26">
        <f>IFERROR(INDEX('04_調査結果'!$AD$5:$AD$404,MATCH(LARGE('04_調査結果'!$AU$5:$AU$404,B71),'04_調査結果'!$AU$5:$AU$404,0)),"")</f>
        <v/>
      </c>
      <c r="G71" s="8">
        <f>IFERROR(INDEX('04_調査結果'!$AC$5:$AC$404,MATCH(LARGE('04_調査結果'!$AU$5:$AU$404,B71),'04_調査結果'!$AU$5:$AU$404,0)),"")</f>
        <v/>
      </c>
      <c r="H71" s="8">
        <f>IFERROR(INDEX('04_調査結果'!$V$5:$V$404,MATCH(LARGE('04_調査結果'!$AU$5:$AU$404,B71),'04_調査結果'!$AU$5:$AU$404,0)),"")</f>
        <v/>
      </c>
      <c r="I71" s="20" t="n"/>
    </row>
    <row r="72"/>
  </sheetData>
  <mergeCells count="20">
    <mergeCell ref="H67:I67"/>
    <mergeCell ref="C8:I8"/>
    <mergeCell ref="H63:I63"/>
    <mergeCell ref="H68:I68"/>
    <mergeCell ref="H64:I64"/>
    <mergeCell ref="D18:I18"/>
    <mergeCell ref="H70:I70"/>
    <mergeCell ref="C5:I5"/>
    <mergeCell ref="H69:I69"/>
    <mergeCell ref="C4:I4"/>
    <mergeCell ref="C10:I10"/>
    <mergeCell ref="H66:I66"/>
    <mergeCell ref="D20:I20"/>
    <mergeCell ref="H65:I65"/>
    <mergeCell ref="D19:I19"/>
    <mergeCell ref="C9:I9"/>
    <mergeCell ref="D22:I22"/>
    <mergeCell ref="H62:I62"/>
    <mergeCell ref="H71:I71"/>
    <mergeCell ref="D21:I21"/>
  </mergeCells>
  <conditionalFormatting sqref="C19">
    <cfRule type="expression" priority="1" dxfId="0">
      <formula>$C$19="列がずれている可能性"</formula>
    </cfRule>
  </conditionalFormatting>
  <conditionalFormatting sqref="C20">
    <cfRule type="expression" priority="2" dxfId="1">
      <formula>$C$20&gt;0</formula>
    </cfRule>
  </conditionalFormatting>
  <conditionalFormatting sqref="C21">
    <cfRule type="expression" priority="3" dxfId="1">
      <formula>$C$21&gt;0</formula>
    </cfRule>
  </conditionalFormatting>
  <conditionalFormatting sqref="C22">
    <cfRule type="expression" priority="4" dxfId="0">
      <formula>AND(ISNUMBER($C$22),$C$22&gt;='01_設定'!$C$11)</formula>
    </cfRule>
  </conditionalFormatting>
  <conditionalFormatting sqref="C26">
    <cfRule type="expression" priority="5" dxfId="1">
      <formula>AND('01_設定'!$C$28&gt;0,$C$26=0)</formula>
    </cfRule>
  </conditionalFormatting>
  <conditionalFormatting sqref="C27">
    <cfRule type="expression" priority="6" dxfId="1">
      <formula>AND('01_設定'!$C$28&gt;0,$C$27=0)</formula>
    </cfRule>
  </conditionalFormatting>
  <conditionalFormatting sqref="C28">
    <cfRule type="expression" priority="7" dxfId="1">
      <formula>AND('01_設定'!$C$28&gt;0,$C$28=0)</formula>
    </cfRule>
  </conditionalFormatting>
  <conditionalFormatting sqref="C29">
    <cfRule type="expression" priority="8" dxfId="1">
      <formula>AND('01_設定'!$C$28&gt;0,$C$29=0)</formula>
    </cfRule>
  </conditionalFormatting>
  <conditionalFormatting sqref="C30">
    <cfRule type="expression" priority="9" dxfId="1">
      <formula>AND('01_設定'!$C$28&gt;0,$C$30=0)</formula>
    </cfRule>
  </conditionalFormatting>
  <conditionalFormatting sqref="C31">
    <cfRule type="expression" priority="10" dxfId="1">
      <formula>AND('01_設定'!$C$28&gt;0,$C$31=0)</formula>
    </cfRule>
  </conditionalFormatting>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F16"/>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2" max="2"/>
    <col width="18" customWidth="1" min="3" max="3"/>
    <col width="30" customWidth="1" min="4" max="4"/>
    <col width="110" customWidth="1" min="5" max="5"/>
    <col width="8" customWidth="1" min="6" max="6"/>
  </cols>
  <sheetData>
    <row r="1">
      <c r="A1" s="5" t="inlineStr">
        <is>
          <t>03_プロンプト</t>
        </is>
      </c>
    </row>
    <row r="2">
      <c r="A2" s="2" t="inlineStr">
        <is>
          <t>Researcher に送る文面。上（黄色）が原本で、下が日付などを差し込んだ完成版。普段は 02_ダッシュボードのセルをコピーすればよい。</t>
        </is>
      </c>
    </row>
    <row r="4" ht="30" customHeight="1">
      <c r="B4" s="6" t="inlineStr">
        <is>
          <t>ID</t>
        </is>
      </c>
      <c r="C4" s="6" t="inlineStr">
        <is>
          <t>名称</t>
        </is>
      </c>
      <c r="D4" s="6" t="inlineStr">
        <is>
          <t>使う場面</t>
        </is>
      </c>
      <c r="E4" s="6" t="inlineStr">
        <is>
          <t>本文</t>
        </is>
      </c>
      <c r="F4" s="6" t="inlineStr">
        <is>
          <t>文字数</t>
        </is>
      </c>
    </row>
    <row r="5" ht="409" customHeight="1">
      <c r="B5" s="18" t="inlineStr">
        <is>
          <t>RT</t>
        </is>
      </c>
      <c r="C5" s="23" t="inlineStr">
        <is>
          <t>調査（原本）</t>
        </is>
      </c>
      <c r="D5" s="23" t="inlineStr">
        <is>
          <t>Researcher の新しいチャットで1回だけ。</t>
        </is>
      </c>
      <c r="E5" s="27" t="inlineStr">
        <is>
          <t>【業務の棚卸し {調査ID}】暗黙のタスクの洗い出し
■対象期間：{期間開始}〜{期間終了}（約{月数}か月）
■調べる範囲：私のメール（特に私が送信したもの）、Teamsのチャット、会議。Webは使わない。
■目的：依頼された仕事だけでなく、誰にも頼まれていないのに私の時間を使っている「暗黙のタスク」を洗い出し、自動化や、他の拠点・委託先に任せられるかを判断したい。{追加の指示}
■調べ方（確認の質問はせず、このまま進めてください）
次の6つの観点を、1つずつ順番に検索してください。
観点1：転送・共有による中継、日程・会議の調整、返事の催促・再確認、複数人からの回収・取りまとめ
観点2：他人の作成物や申請の確認・承認・差し戻し、問い合わせへの一次対応と担当の振り分け
観点3：関係者間の意見調整・根回し、トラブルや例外への一次対応、部下・同僚からの相談対応・指導
観点4：定例の報告・数値の更新、会議の準備・進行・議事録・宿題の管理
観点5：申請・手配・事務手続き、回答や判断のための調べもの、資料・文書の作成
観点6：年に数回だけ発生する業務（予算策定・人事評価・目標設定・年度計画・決算・監査対応・棚卸・人事異動・年次イベントなど）
・どの観点も、対象期間の前半と後半の両方から根拠となるやり取りを確認してください（直近に偏らないこと）。
・繰り返し発生している作業を優先し、個々のメールではなく、同じ種類の作業を1つのタスクにまとめてください。
・実際のやり取りで確認できたものだけを挙げてください。推測で作らないでください。該当がない観点は0件でかまいません。
■出力のルール
・前置き・まとめは書かず、1つの表だけを出す（観点ごとに表を分けない）。最大{最大行数}行。
・表のどの列にも、人名・会社名・製品名・金額・メールアドレスを書かない。表の中に出典番号やリンクを入れない。
・全部出し終えたら、表の最後の行として、調査IDの列に「##END##」とだけ書いた行を加える。途中で止める場合は、同じように「##続きあり##」の行を加える。
・表の列（この順番、この見出しのまま）：
| 調査ID | No | 観点 | タスク名 | 類型 | 説明 | 主な相手 | 明示暗黙 | 月あたり回数 | 1回あたり分 | 根拠の件数 | 根拠の最初 | 根拠の最後 | 暗黙の理由 | A1 | A2 | A3 | A4 | A5 | A6 | A7 | 任せるための前提条件 |
・調査ID：すべての行に {調査ID} と書く
・No：1からの連番
・観点：1〜6の数字だけ
・タスク名：「業務対象＋動作」で20字以内（例：部門定例会議の日程調整）
・類型：次のコードだけを書く（例：T02）　T01 中継・転送／T02 日程・会議調整／T03 催促・フォローアップ／T04 取りまとめ・集約／T05 確認・承認・レビュー／T06 問い合わせ対応・振り分け／T07 利害調整・合意形成／T08 定例報告・数値更新／T09 申請・手配・事務手続き／T10 調査・情報探し／T11 トラブル・例外対応／T12 相談対応・指導／T13 会議運営／T14 資料・文書作成／T99 その他
・説明：40字以内
・主な相手：上司／部下／自部署／他部署／経営層／顧客／取引先／社外その他／複数 のどれか
・明示暗黙：私宛てに具体的な依頼があり、成果物か期限がはっきりしているものは「明示」、それ以外は「暗黙」
・月あたり回数：数字だけ（週1回なら4、月2回なら2、年1回なら0.1、四半期ごとなら0.3）
・1回あたり分：数字だけ（1回分のやり取り全体にかかる時間の目安）
・根拠の件数：このタスクの根拠として確認したやり取りの件数（数字だけ）
・根拠の最初、根拠の最後：根拠にしたやり取りの最初と最後の年月（yyyy/mm）
・暗黙の理由：30字以内（例：依頼がないのに自分から催促している）。明示なら -
・A1〜A7：下の基準で 0・1・2 の数字だけ（大きいほど任せにくい。迷ったら大きい方）
A1 判断・裁量：0=手順どおりで判断不要／1=軽い判断がある／2=管理職の判断・決裁が必要
A2 機密性：0=社内の一般的な情報／1=社外秘／2=人事・評価・個人情報・未公表の経営情報
A3 関係性：0=誰が対応しても同じ／1=相手との一定の関係が必要／2=私本人との信頼関係が前提
A4 言語・文脈：0=定型文で足りる／1=日本語の言い回し・社内用語が必要／2=経緯や空気を読む高度な日本語が必要
A5 即時性：0=翌営業日でよい／1=当日中に必要／2=即時、または日本の勤務時間内の対応が必須
A6 非定型度：0=毎回同じ手順／1=いくつかのパターンがある／2=毎回内容が違う
A7 システム権限：0=メール・Teamsだけで完結／1=社内システムの閲覧が必要／2=承認権限・特別なIDが必要
・任せるための前提条件：40字以内（例：手順書と定型文の整備、閲覧権限の付与）</t>
        </is>
      </c>
      <c r="F5" s="8">
        <f>LEN(E5)</f>
        <v/>
      </c>
    </row>
    <row r="6" ht="42" customHeight="1">
      <c r="B6" s="18" t="inlineStr">
        <is>
          <t>RC</t>
        </is>
      </c>
      <c r="C6" s="23" t="inlineStr">
        <is>
          <t>続き（原本）</t>
        </is>
      </c>
      <c r="D6" s="23" t="inlineStr">
        <is>
          <t>表が途中で終わったとき、同じチャットで。</t>
        </is>
      </c>
      <c r="E6" s="27" t="inlineStr">
        <is>
          <t>【続き {調査ID}】表が途中で終わっています。続きを No.{次No} から、同じ列・同じルールの1つの表で出してください。すでに出した行は繰り返さないでください。前置きは不要です。全部出し終えたら、表の最後の行として、調査IDの列に「##END##」とだけ書いた行を加えてください。</t>
        </is>
      </c>
      <c r="F6" s="8">
        <f>LEN(E6)</f>
        <v/>
      </c>
    </row>
    <row r="7" ht="42" customHeight="1">
      <c r="B7" s="18" t="inlineStr">
        <is>
          <t>RF</t>
        </is>
      </c>
      <c r="C7" s="23" t="inlineStr">
        <is>
          <t>出し直し（原本）</t>
        </is>
      </c>
      <c r="D7" s="23" t="inlineStr">
        <is>
          <t>表にならなかった・表が分かれた・列がずれたとき、同じチャットで。</t>
        </is>
      </c>
      <c r="E7" s="27" t="inlineStr">
        <is>
          <t>【出し直し {調査ID}】上の調査結果を、最初に指定した22列の表1つだけで出し直してください。列の順番と見出しは指定どおりにし、数字の列には数字だけを書いてください。前置き・まとめは不要です。表の最後の行として、調査IDの列に「##END##」とだけ書いた行を加えてください。</t>
        </is>
      </c>
      <c r="F7" s="8">
        <f>LEN(E7)</f>
        <v/>
      </c>
    </row>
    <row r="8" ht="168" customHeight="1">
      <c r="B8" s="18" t="inlineStr">
        <is>
          <t>MR</t>
        </is>
      </c>
      <c r="C8" s="23" t="inlineStr">
        <is>
          <t>手作業：本人確認</t>
        </is>
      </c>
      <c r="D8" s="23" t="inlineStr">
        <is>
          <t>調査のあと。</t>
        </is>
      </c>
      <c r="E8" s="27" t="inlineStr">
        <is>
          <t>【手作業】本人確認（目安20分）
1. 01_設定の「実行日」が空欄なら、Researcher を実行した日を入れる（空欄のままだと毎日変わる）。
2. 04_調査結果の判定列（W列）に「△」が出ている行は、値を直すと集計の対象になる（直さなければ集計されないだけ）。「×」や見出し行・終わりの印はそのままでよい。
3. 05_タスク一覧を上から見て、明らかな誤り・業務ではないもの・重複があれば、04_調査結果のY列（本人確認）で「除外」を選ぶ。X列（要確認）に「根拠1件」「同名あり」と出ているものを優先して見る。何もしなければ提出の対象になる。
4. 回数や時間が実感と大きく違うものだけ、Z列・AA列に自分の見積もりを入れる。移管区分に異論があるものだけ、AB列で選び直す。
5. タスク名・説明などに人名・社名・製品名が残っていれば、04_調査結果で書き換える。
6. 終わったら、01_設定の「本人確認」を「完了」にする。</t>
        </is>
      </c>
      <c r="F8" s="8">
        <f>LEN(E8)</f>
        <v/>
      </c>
    </row>
    <row r="9" ht="84" customHeight="1">
      <c r="B9" s="18" t="inlineStr">
        <is>
          <t>MS</t>
        </is>
      </c>
      <c r="C9" s="23" t="inlineStr">
        <is>
          <t>手作業：提出</t>
        </is>
      </c>
      <c r="D9" s="23" t="inlineStr">
        <is>
          <t>本人確認のあと。</t>
        </is>
      </c>
      <c r="E9" s="27" t="inlineStr">
        <is>
          <t>【手作業】提出
1. 05_タスク一覧（提出用）に、除外していないタスクだけが並んでいることを確認する（氏名・メール本文は含まれない）。
2. 配布元の指示に従い、このファイル、または 05_タスク一覧（提出用）を値で貼り付けた新しいブックを、提出先に保存する。
3. 01_設定の「提出状況」を「提出済み」にする。</t>
        </is>
      </c>
      <c r="F9" s="8">
        <f>LEN(E9)</f>
        <v/>
      </c>
    </row>
    <row r="11">
      <c r="B11" s="12" t="inlineStr">
        <is>
          <t>■ 完成版（自動で差し込み済み）</t>
        </is>
      </c>
    </row>
    <row r="12" ht="30" customHeight="1">
      <c r="B12" s="6" t="inlineStr">
        <is>
          <t>ID</t>
        </is>
      </c>
      <c r="C12" s="6" t="inlineStr">
        <is>
          <t>名称</t>
        </is>
      </c>
      <c r="D12" s="6" t="inlineStr">
        <is>
          <t>使う場面</t>
        </is>
      </c>
      <c r="E12" s="6" t="inlineStr">
        <is>
          <t>本文（このセルをコピー）</t>
        </is>
      </c>
      <c r="F12" s="6" t="inlineStr">
        <is>
          <t>文字数</t>
        </is>
      </c>
    </row>
    <row r="13" ht="120" customHeight="1">
      <c r="B13" s="18" t="inlineStr">
        <is>
          <t>R1</t>
        </is>
      </c>
      <c r="C13" s="23" t="inlineStr">
        <is>
          <t>調査（送るもの）</t>
        </is>
      </c>
      <c r="D13" s="23" t="inlineStr">
        <is>
          <t>Researcher の新しいチャットで1回だけ。</t>
        </is>
      </c>
      <c r="E13" s="23">
        <f>SUBSTITUTE(SUBSTITUTE(SUBSTITUTE(SUBSTITUTE(SUBSTITUTE(SUBSTITUTE($E$5,"{調査ID}","R1"),"{期間開始}",TEXT('01_設定'!$C$23,"yyyy年m月d日")),"{期間終了}",TEXT('01_設定'!$C$22,"yyyy年m月d日")),"{月数}",ROUND(('01_設定'!$C$22-'01_設定'!$C$23)/30.44,0)),"{最大行数}",'01_設定'!$C$9),"{追加の指示}","")</f>
        <v/>
      </c>
      <c r="F13" s="8">
        <f>LEN(E13)</f>
        <v/>
      </c>
    </row>
    <row r="14" ht="120" customHeight="1">
      <c r="B14" s="18" t="inlineStr">
        <is>
          <t>R1続き</t>
        </is>
      </c>
      <c r="C14" s="23" t="inlineStr">
        <is>
          <t>続き（送るもの）</t>
        </is>
      </c>
      <c r="D14" s="23" t="inlineStr">
        <is>
          <t>表が途中で終わったとき、同じチャットで。</t>
        </is>
      </c>
      <c r="E14" s="23">
        <f>SUBSTITUTE(SUBSTITUTE($E$6,"{調査ID}","R1"),"{次No}",IFERROR(_xlfn.MAXIFS('04_調査結果'!$B$5:$B$404,'04_調査結果'!$AH$5:$AH$404,"R1"),0)+1)</f>
        <v/>
      </c>
      <c r="F14" s="8">
        <f>LEN(E14)</f>
        <v/>
      </c>
    </row>
    <row r="15" ht="120" customHeight="1">
      <c r="B15" s="18" t="inlineStr">
        <is>
          <t>R1出し直し</t>
        </is>
      </c>
      <c r="C15" s="23" t="inlineStr">
        <is>
          <t>出し直し（送るもの）</t>
        </is>
      </c>
      <c r="D15" s="23" t="inlineStr">
        <is>
          <t>表にならなかった・表が分かれた・列がずれたとき、同じチャットで。</t>
        </is>
      </c>
      <c r="E15" s="23">
        <f>SUBSTITUTE($E$7,"{調査ID}","R1")</f>
        <v/>
      </c>
      <c r="F15" s="8">
        <f>LEN(E15)</f>
        <v/>
      </c>
    </row>
    <row r="16" ht="120" customHeight="1">
      <c r="B16" s="18" t="inlineStr">
        <is>
          <t>R2</t>
        </is>
      </c>
      <c r="C16" s="23" t="inlineStr">
        <is>
          <t>前半の追加調査（任意）</t>
        </is>
      </c>
      <c r="D16" s="23" t="inlineStr">
        <is>
          <t>結果が直近に偏っていた場合だけ。Researcher の新しいチャットで。</t>
        </is>
      </c>
      <c r="E16" s="23">
        <f>SUBSTITUTE(SUBSTITUTE(SUBSTITUTE(SUBSTITUTE(SUBSTITUTE(SUBSTITUTE($E$5,"{調査ID}","R2"),"{期間開始}",TEXT('01_設定'!$C$23,"yyyy年m月d日")),"{期間終了}",TEXT('01_設定'!$C$25,"yyyy年m月d日")),"{月数}",ROUND(('01_設定'!$C$25-'01_設定'!$C$23)/30.44,0)),"{最大行数}",'01_設定'!$C$9),"{追加の指示}","
※ 直近の業務は別の調査で確認済みです。この期間に繰り返し発生していた業務を中心に挙げてください。")</f>
        <v/>
      </c>
      <c r="F16" s="8">
        <f>LEN(E16)</f>
        <v/>
      </c>
    </row>
  </sheetData>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AU404"/>
  <sheetViews>
    <sheetView showGridLines="1"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5" customWidth="1" min="2" max="2"/>
    <col width="5" customWidth="1" min="3" max="3"/>
    <col width="26" customWidth="1" min="4" max="4"/>
    <col width="7" customWidth="1" min="5" max="5"/>
    <col width="34" customWidth="1" min="6" max="6"/>
    <col width="9" customWidth="1" min="7" max="7"/>
    <col width="7" customWidth="1" min="8" max="8"/>
    <col width="8" customWidth="1" min="9" max="9"/>
    <col width="8" customWidth="1" min="10" max="10"/>
    <col width="7" customWidth="1" min="11" max="11"/>
    <col width="9" customWidth="1" min="12" max="12"/>
    <col width="9" customWidth="1" min="13" max="13"/>
    <col width="26"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30" customWidth="1" min="22" max="22"/>
    <col width="20" customWidth="1" min="23" max="23"/>
    <col width="16" customWidth="1" min="24" max="24"/>
    <col width="8" customWidth="1" min="25" max="25"/>
    <col width="9" customWidth="1" min="26" max="26"/>
    <col width="9" customWidth="1" min="27" max="27"/>
    <col width="16" customWidth="1" min="28" max="28"/>
    <col width="16" customWidth="1" min="29" max="29"/>
    <col width="9" customWidth="1" min="30" max="30"/>
    <col width="16" customWidth="1" min="31" max="31"/>
    <col width="8" customWidth="1" min="32" max="32"/>
    <col width="9" customWidth="1" min="33" max="33"/>
    <col width="7" customWidth="1" min="34" max="34"/>
    <col width="8" customWidth="1" min="35" max="35"/>
    <col width="6" customWidth="1" min="36" max="36"/>
    <col width="6" customWidth="1" min="37" max="37"/>
    <col width="7" customWidth="1" min="38" max="38"/>
    <col width="7" customWidth="1" min="39" max="39"/>
    <col width="7" customWidth="1" min="40" max="40"/>
    <col width="7" customWidth="1" min="41" max="41"/>
    <col width="9" customWidth="1" min="42" max="42"/>
    <col width="10" customWidth="1" min="43" max="43"/>
    <col width="10" customWidth="1" min="44" max="44"/>
    <col width="6" customWidth="1" min="45" max="45"/>
    <col width="6" customWidth="1" min="46" max="46"/>
    <col width="8" customWidth="1" min="47" max="47"/>
  </cols>
  <sheetData>
    <row r="1">
      <c r="A1" s="5" t="inlineStr">
        <is>
          <t>04_調査結果（Researcher の表の貼り付け先・本人確認もここで行う）</t>
        </is>
      </c>
    </row>
    <row r="2">
      <c r="A2" s="2" t="inlineStr">
        <is>
          <t>Researcher の表を見出し行ごとコピーし、A5 から下の最初の空き行に貼る（緑の見出しの列 A〜V）。判定が OK の行だけが集計される。黄色の見出しの列（Y〜AB）は本人確認のときだけ入力する。</t>
        </is>
      </c>
    </row>
    <row r="3" ht="48" customHeight="1">
      <c r="A3" s="28" t="inlineStr">
        <is>
          <t>調査ID</t>
        </is>
      </c>
      <c r="B3" s="28" t="inlineStr">
        <is>
          <t>No</t>
        </is>
      </c>
      <c r="C3" s="28" t="inlineStr">
        <is>
          <t>観点</t>
        </is>
      </c>
      <c r="D3" s="28" t="inlineStr">
        <is>
          <t>タスク名</t>
        </is>
      </c>
      <c r="E3" s="28" t="inlineStr">
        <is>
          <t>類型</t>
        </is>
      </c>
      <c r="F3" s="28" t="inlineStr">
        <is>
          <t>説明</t>
        </is>
      </c>
      <c r="G3" s="28" t="inlineStr">
        <is>
          <t>主な相手</t>
        </is>
      </c>
      <c r="H3" s="28" t="inlineStr">
        <is>
          <t>明示暗黙</t>
        </is>
      </c>
      <c r="I3" s="28" t="inlineStr">
        <is>
          <t>月あたり回数</t>
        </is>
      </c>
      <c r="J3" s="28" t="inlineStr">
        <is>
          <t>1回あたり分</t>
        </is>
      </c>
      <c r="K3" s="28" t="inlineStr">
        <is>
          <t>根拠の件数</t>
        </is>
      </c>
      <c r="L3" s="28" t="inlineStr">
        <is>
          <t>根拠の最初</t>
        </is>
      </c>
      <c r="M3" s="28" t="inlineStr">
        <is>
          <t>根拠の最後</t>
        </is>
      </c>
      <c r="N3" s="28" t="inlineStr">
        <is>
          <t>暗黙の理由</t>
        </is>
      </c>
      <c r="O3" s="28" t="inlineStr">
        <is>
          <t>A1</t>
        </is>
      </c>
      <c r="P3" s="28" t="inlineStr">
        <is>
          <t>A2</t>
        </is>
      </c>
      <c r="Q3" s="28" t="inlineStr">
        <is>
          <t>A3</t>
        </is>
      </c>
      <c r="R3" s="28" t="inlineStr">
        <is>
          <t>A4</t>
        </is>
      </c>
      <c r="S3" s="28" t="inlineStr">
        <is>
          <t>A5</t>
        </is>
      </c>
      <c r="T3" s="28" t="inlineStr">
        <is>
          <t>A6</t>
        </is>
      </c>
      <c r="U3" s="28" t="inlineStr">
        <is>
          <t>A7</t>
        </is>
      </c>
      <c r="V3" s="28" t="inlineStr">
        <is>
          <t>任せるための前提条件</t>
        </is>
      </c>
      <c r="W3" s="6" t="inlineStr">
        <is>
          <t>判定</t>
        </is>
      </c>
      <c r="X3" s="6" t="inlineStr">
        <is>
          <t>要確認</t>
        </is>
      </c>
      <c r="Y3" s="7" t="inlineStr">
        <is>
          <t>本人確認</t>
        </is>
      </c>
      <c r="Z3" s="7" t="inlineStr">
        <is>
          <t>補正：月あたり回数</t>
        </is>
      </c>
      <c r="AA3" s="7" t="inlineStr">
        <is>
          <t>補正：1回あたり分</t>
        </is>
      </c>
      <c r="AB3" s="7" t="inlineStr">
        <is>
          <t>本人判断（上書き）</t>
        </is>
      </c>
      <c r="AC3" s="6" t="inlineStr">
        <is>
          <t>採用区分</t>
        </is>
      </c>
      <c r="AD3" s="6" t="inlineStr">
        <is>
          <t>採用：月あたり時間h</t>
        </is>
      </c>
      <c r="AE3" s="6" t="inlineStr">
        <is>
          <t>自動判定</t>
        </is>
      </c>
      <c r="AF3" s="6" t="inlineStr">
        <is>
          <t>任せやすさ（14点満点）</t>
        </is>
      </c>
      <c r="AG3" s="6" t="inlineStr">
        <is>
          <t>月あたり時間h（推定）</t>
        </is>
      </c>
      <c r="AH3" s="29" t="inlineStr">
        <is>
          <t>調査ID（整形）</t>
        </is>
      </c>
      <c r="AI3" s="29" t="inlineStr">
        <is>
          <t>キー</t>
        </is>
      </c>
      <c r="AJ3" s="29" t="inlineStr">
        <is>
          <t>観点（数値）</t>
        </is>
      </c>
      <c r="AK3" s="29" t="inlineStr">
        <is>
          <t>類型コード</t>
        </is>
      </c>
      <c r="AL3" s="29" t="inlineStr">
        <is>
          <t>回数の数字部分</t>
        </is>
      </c>
      <c r="AM3" s="29" t="inlineStr">
        <is>
          <t>回数（数値）</t>
        </is>
      </c>
      <c r="AN3" s="29" t="inlineStr">
        <is>
          <t>分（数値）</t>
        </is>
      </c>
      <c r="AO3" s="29" t="inlineStr">
        <is>
          <t>根拠の件数（数値）</t>
        </is>
      </c>
      <c r="AP3" s="29" t="inlineStr">
        <is>
          <t>同名チェック</t>
        </is>
      </c>
      <c r="AQ3" s="29" t="inlineStr">
        <is>
          <t>根拠の最初（日付）</t>
        </is>
      </c>
      <c r="AR3" s="29" t="inlineStr">
        <is>
          <t>根拠の最後（日付）</t>
        </is>
      </c>
      <c r="AS3" s="29" t="inlineStr">
        <is>
          <t>直近フラグ</t>
        </is>
      </c>
      <c r="AT3" s="29" t="inlineStr">
        <is>
          <t>一覧番号</t>
        </is>
      </c>
      <c r="AU3" s="29" t="inlineStr">
        <is>
          <t>順位用</t>
        </is>
      </c>
    </row>
    <row r="4">
      <c r="A4" s="30" t="inlineStr">
        <is>
          <t>↓ A5 のセルを選んで貼り付ける（見出し行ごと貼ってよい）。×の行や見出し行は消さなくてよい（集計されない）。</t>
        </is>
      </c>
    </row>
    <row r="5">
      <c r="W5">
        <f>IF(AND(A5="",D5=""),"",IF(ISNUMBER(SEARCH("##END",AH5)),"（終わりの印）",IF(ISNUMBER(SEARCH("##続き",AH5)),"（続きありの印）",IF(AH5="調査ID","（見出し行）",IF(AND(AH5&lt;&gt;"R1",AH5&lt;&gt;"R2"),"×表以外の行（集計されない）",IF(COUNTIF($AI$5:AI5,AI5)&gt;1,"△重複（集計されない）",IF(D5="","△タスク名なし",IF(ISNA(MATCH(AK5,'M1_類型マスタ'!$A$5:$A$19,0)),"△類型が不正",IF(OR(AM5="",AN5=""),"△回数・分が読めない",IF(SUMPRODUCT(--ISNUMBER(--O5:U5))&lt;7,"△採点が足りない",IF(SUMPRODUCT((--O5:U5&gt;2)+(--O5:U5&lt;0))&gt;0,"△採点が範囲外","OK")))))))))))</f>
        <v/>
      </c>
      <c r="X5">
        <f>IF(W5&lt;&gt;"OK","",TRIM(IF(AND(AO5&lt;&gt;"",N(AO5)&lt;=1),"根拠1件 ","")&amp;IF(AP5&lt;&gt;"","同名あり ","")&amp;IF(AND(NOT(ISNUMBER(I5)),I5&lt;&gt;""),"回数を換算 ","")))</f>
        <v/>
      </c>
      <c r="Y5" s="31" t="n"/>
      <c r="Z5" s="32" t="n"/>
      <c r="AA5" s="32" t="n"/>
      <c r="AB5" s="31" t="n"/>
      <c r="AC5">
        <f>IF(W5&lt;&gt;"OK","",IF(AB5&lt;&gt;"",AB5,AE5))</f>
        <v/>
      </c>
      <c r="AD5" s="33">
        <f>IF(W5&lt;&gt;"OK","",IFERROR(IF(Z5&lt;&gt;"",Z5,AM5)*IF(AA5&lt;&gt;"",AA5,AN5)/60,""))</f>
        <v/>
      </c>
      <c r="AE5">
        <f>IF(W5&lt;&gt;"OK","",IF(OR(VALUE(O5)=2,VALUE(P5)=2,VALUE(Q5)=2),"社内残置",IF(AND(VALUE(O5)=0,VALUE(R5)=0,VALUE(T5)=0),"自動化候補",IF(AND(VALUE(P5)=0,VALUE(R5)&lt;=1,VALUE(S5)&lt;=1,VALUE(T5)&lt;=1,VALUE(U5)&lt;=1),"オフショア候補",IF(AND(VALUE(T5)&lt;=1,VALUE(U5)&lt;=1),"ニアショア候補","社内で手順化→再評価")))))</f>
        <v/>
      </c>
      <c r="AF5">
        <f>IF(W5&lt;&gt;"OK","",14-SUMPRODUCT(--O5:U5))</f>
        <v/>
      </c>
      <c r="AG5" s="33">
        <f>IF(W5&lt;&gt;"OK","",AM5*AN5/60)</f>
        <v/>
      </c>
      <c r="AH5" s="34">
        <f>IF(A5="","",UPPER(TRIM(ASC(A5&amp;""))))</f>
        <v/>
      </c>
      <c r="AI5" s="34">
        <f>IF(AH5="","",AH5&amp;"-"&amp;B5)</f>
        <v/>
      </c>
      <c r="AJ5" s="34">
        <f>IF(C5="","",IFERROR(VALUE(ASC(SUBSTITUTE(C5&amp;"","観点",""))),""))</f>
        <v/>
      </c>
      <c r="AK5" s="34">
        <f>IF(E5="","",UPPER(LEFT(TRIM(ASC(E5&amp;"")),3)))</f>
        <v/>
      </c>
      <c r="AL5" s="34">
        <f>IF(I5="","",IFERROR(VALUE(SUBSTITUTE(SUBSTITUTE(SUBSTITUTE(SUBSTITUTE(SUBSTITUTE(SUBSTITUTE(SUBSTITUTE(SUBSTITUTE(SUBSTITUTE(SUBSTITUTE(SUBSTITUTE(SUBSTITUTE(ASC(I5&amp;""),"約",""),"程度",""),"ほど",""),"回",""),"毎",""),"週",""),"月",""),"年",""),"日",""),"に",""),"/","")," ","")),""))</f>
        <v/>
      </c>
      <c r="AM5" s="34">
        <f>IF(I5="","",IF(ISNUMBER(I5),I5,IFERROR(VALUE(ASC(I5&amp;"")),IF(AL5&lt;&gt;"",AL5*IF(ISNUMBER(SEARCH("週",I5)),4.3,IF(ISNUMBER(SEARCH("年",I5)),1/12,IF(ISNUMBER(SEARCH("日",I5)),20,1))),IF(ISNUMBER(SEARCH("日",I5)),20,IF(ISNUMBER(SEARCH("週",I5)),4.3,IF(ISNUMBER(SEARCH("月",I5)),1,"")))))))</f>
        <v/>
      </c>
      <c r="AN5" s="34">
        <f>IF(J5="","",IF(ISNUMBER(J5),J5,IFERROR(VALUE(ASC(J5&amp;"")),IF(ISNUMBER(SEARCH("時間",J5)),IFERROR(VALUE(SUBSTITUTE(SUBSTITUTE(SUBSTITUTE(SUBSTITUTE(SUBSTITUTE(ASC(J5&amp;""),"約",""),"程度",""),"ほど",""),"時間","")," ",""))*60,""),IFERROR(VALUE(SUBSTITUTE(SUBSTITUTE(SUBSTITUTE(SUBSTITUTE(SUBSTITUTE(ASC(J5&amp;""),"約",""),"程度",""),"ほど",""),"分","")," ","")),"")))))</f>
        <v/>
      </c>
      <c r="AO5" s="34">
        <f>IF(K5="","",IF(ISNUMBER(K5),K5,IFERROR(VALUE(SUBSTITUTE(SUBSTITUTE(SUBSTITUTE(ASC(K5&amp;""),"約",""),"件","")," ","")),"")))</f>
        <v/>
      </c>
      <c r="AP5" s="34">
        <f>IF(W5&lt;&gt;"OK","",IF(COUNTIFS($D$5:$D$404,D5,$W$5:$W$404,"OK")&gt;1,"同名あり",""))</f>
        <v/>
      </c>
      <c r="AQ5" s="35">
        <f>IF(L5="","",IF(ISNUMBER(L5),L5,IFERROR(DATEVALUE(SUBSTITUTE(SUBSTITUTE(ASC(L5&amp;""),"-","/"),".","/")&amp;"/01"),"")))</f>
        <v/>
      </c>
      <c r="AR5" s="35">
        <f>IF(M5="","",IF(ISNUMBER(M5),M5,IFERROR(DATEVALUE(SUBSTITUTE(SUBSTITUTE(ASC(M5&amp;""),"-","/"),".","/")&amp;"/01"),"")))</f>
        <v/>
      </c>
      <c r="AS5" s="34">
        <f>IF(OR(W5&lt;&gt;"OK",AQ5=""),"",IF(AQ5&gt;='01_設定'!$C$26,1,0))</f>
        <v/>
      </c>
      <c r="AT5" s="34">
        <f>IF(AND(W5="OK",Y5&lt;&gt;"除外"),COUNTIFS($W$5:W5,"OK",$Y$5:Y5,"&lt;&gt;除外"),"")</f>
        <v/>
      </c>
      <c r="AU5" s="34">
        <f>IF(OR(AT5="",AD5=""),"",AD5+ROW()/1000000000)</f>
        <v/>
      </c>
    </row>
    <row r="6">
      <c r="W6">
        <f>IF(AND(A6="",D6=""),"",IF(ISNUMBER(SEARCH("##END",AH6)),"（終わりの印）",IF(ISNUMBER(SEARCH("##続き",AH6)),"（続きありの印）",IF(AH6="調査ID","（見出し行）",IF(AND(AH6&lt;&gt;"R1",AH6&lt;&gt;"R2"),"×表以外の行（集計されない）",IF(COUNTIF($AI$5:AI6,AI6)&gt;1,"△重複（集計されない）",IF(D6="","△タスク名なし",IF(ISNA(MATCH(AK6,'M1_類型マスタ'!$A$5:$A$19,0)),"△類型が不正",IF(OR(AM6="",AN6=""),"△回数・分が読めない",IF(SUMPRODUCT(--ISNUMBER(--O6:U6))&lt;7,"△採点が足りない",IF(SUMPRODUCT((--O6:U6&gt;2)+(--O6:U6&lt;0))&gt;0,"△採点が範囲外","OK")))))))))))</f>
        <v/>
      </c>
      <c r="X6">
        <f>IF(W6&lt;&gt;"OK","",TRIM(IF(AND(AO6&lt;&gt;"",N(AO6)&lt;=1),"根拠1件 ","")&amp;IF(AP6&lt;&gt;"","同名あり ","")&amp;IF(AND(NOT(ISNUMBER(I6)),I6&lt;&gt;""),"回数を換算 ","")))</f>
        <v/>
      </c>
      <c r="Y6" s="31" t="n"/>
      <c r="Z6" s="32" t="n"/>
      <c r="AA6" s="32" t="n"/>
      <c r="AB6" s="31" t="n"/>
      <c r="AC6">
        <f>IF(W6&lt;&gt;"OK","",IF(AB6&lt;&gt;"",AB6,AE6))</f>
        <v/>
      </c>
      <c r="AD6" s="33">
        <f>IF(W6&lt;&gt;"OK","",IFERROR(IF(Z6&lt;&gt;"",Z6,AM6)*IF(AA6&lt;&gt;"",AA6,AN6)/60,""))</f>
        <v/>
      </c>
      <c r="AE6">
        <f>IF(W6&lt;&gt;"OK","",IF(OR(VALUE(O6)=2,VALUE(P6)=2,VALUE(Q6)=2),"社内残置",IF(AND(VALUE(O6)=0,VALUE(R6)=0,VALUE(T6)=0),"自動化候補",IF(AND(VALUE(P6)=0,VALUE(R6)&lt;=1,VALUE(S6)&lt;=1,VALUE(T6)&lt;=1,VALUE(U6)&lt;=1),"オフショア候補",IF(AND(VALUE(T6)&lt;=1,VALUE(U6)&lt;=1),"ニアショア候補","社内で手順化→再評価")))))</f>
        <v/>
      </c>
      <c r="AF6">
        <f>IF(W6&lt;&gt;"OK","",14-SUMPRODUCT(--O6:U6))</f>
        <v/>
      </c>
      <c r="AG6" s="33">
        <f>IF(W6&lt;&gt;"OK","",AM6*AN6/60)</f>
        <v/>
      </c>
      <c r="AH6" s="34">
        <f>IF(A6="","",UPPER(TRIM(ASC(A6&amp;""))))</f>
        <v/>
      </c>
      <c r="AI6" s="34">
        <f>IF(AH6="","",AH6&amp;"-"&amp;B6)</f>
        <v/>
      </c>
      <c r="AJ6" s="34">
        <f>IF(C6="","",IFERROR(VALUE(ASC(SUBSTITUTE(C6&amp;"","観点",""))),""))</f>
        <v/>
      </c>
      <c r="AK6" s="34">
        <f>IF(E6="","",UPPER(LEFT(TRIM(ASC(E6&amp;"")),3)))</f>
        <v/>
      </c>
      <c r="AL6" s="34">
        <f>IF(I6="","",IFERROR(VALUE(SUBSTITUTE(SUBSTITUTE(SUBSTITUTE(SUBSTITUTE(SUBSTITUTE(SUBSTITUTE(SUBSTITUTE(SUBSTITUTE(SUBSTITUTE(SUBSTITUTE(SUBSTITUTE(SUBSTITUTE(ASC(I6&amp;""),"約",""),"程度",""),"ほど",""),"回",""),"毎",""),"週",""),"月",""),"年",""),"日",""),"に",""),"/","")," ","")),""))</f>
        <v/>
      </c>
      <c r="AM6" s="34">
        <f>IF(I6="","",IF(ISNUMBER(I6),I6,IFERROR(VALUE(ASC(I6&amp;"")),IF(AL6&lt;&gt;"",AL6*IF(ISNUMBER(SEARCH("週",I6)),4.3,IF(ISNUMBER(SEARCH("年",I6)),1/12,IF(ISNUMBER(SEARCH("日",I6)),20,1))),IF(ISNUMBER(SEARCH("日",I6)),20,IF(ISNUMBER(SEARCH("週",I6)),4.3,IF(ISNUMBER(SEARCH("月",I6)),1,"")))))))</f>
        <v/>
      </c>
      <c r="AN6" s="34">
        <f>IF(J6="","",IF(ISNUMBER(J6),J6,IFERROR(VALUE(ASC(J6&amp;"")),IF(ISNUMBER(SEARCH("時間",J6)),IFERROR(VALUE(SUBSTITUTE(SUBSTITUTE(SUBSTITUTE(SUBSTITUTE(SUBSTITUTE(ASC(J6&amp;""),"約",""),"程度",""),"ほど",""),"時間","")," ",""))*60,""),IFERROR(VALUE(SUBSTITUTE(SUBSTITUTE(SUBSTITUTE(SUBSTITUTE(SUBSTITUTE(ASC(J6&amp;""),"約",""),"程度",""),"ほど",""),"分","")," ","")),"")))))</f>
        <v/>
      </c>
      <c r="AO6" s="34">
        <f>IF(K6="","",IF(ISNUMBER(K6),K6,IFERROR(VALUE(SUBSTITUTE(SUBSTITUTE(SUBSTITUTE(ASC(K6&amp;""),"約",""),"件","")," ","")),"")))</f>
        <v/>
      </c>
      <c r="AP6" s="34">
        <f>IF(W6&lt;&gt;"OK","",IF(COUNTIFS($D$5:$D$404,D6,$W$5:$W$404,"OK")&gt;1,"同名あり",""))</f>
        <v/>
      </c>
      <c r="AQ6" s="35">
        <f>IF(L6="","",IF(ISNUMBER(L6),L6,IFERROR(DATEVALUE(SUBSTITUTE(SUBSTITUTE(ASC(L6&amp;""),"-","/"),".","/")&amp;"/01"),"")))</f>
        <v/>
      </c>
      <c r="AR6" s="35">
        <f>IF(M6="","",IF(ISNUMBER(M6),M6,IFERROR(DATEVALUE(SUBSTITUTE(SUBSTITUTE(ASC(M6&amp;""),"-","/"),".","/")&amp;"/01"),"")))</f>
        <v/>
      </c>
      <c r="AS6" s="34">
        <f>IF(OR(W6&lt;&gt;"OK",AQ6=""),"",IF(AQ6&gt;='01_設定'!$C$26,1,0))</f>
        <v/>
      </c>
      <c r="AT6" s="34">
        <f>IF(AND(W6="OK",Y6&lt;&gt;"除外"),COUNTIFS($W$5:W6,"OK",$Y$5:Y6,"&lt;&gt;除外"),"")</f>
        <v/>
      </c>
      <c r="AU6" s="34">
        <f>IF(OR(AT6="",AD6=""),"",AD6+ROW()/1000000000)</f>
        <v/>
      </c>
    </row>
    <row r="7">
      <c r="W7">
        <f>IF(AND(A7="",D7=""),"",IF(ISNUMBER(SEARCH("##END",AH7)),"（終わりの印）",IF(ISNUMBER(SEARCH("##続き",AH7)),"（続きありの印）",IF(AH7="調査ID","（見出し行）",IF(AND(AH7&lt;&gt;"R1",AH7&lt;&gt;"R2"),"×表以外の行（集計されない）",IF(COUNTIF($AI$5:AI7,AI7)&gt;1,"△重複（集計されない）",IF(D7="","△タスク名なし",IF(ISNA(MATCH(AK7,'M1_類型マスタ'!$A$5:$A$19,0)),"△類型が不正",IF(OR(AM7="",AN7=""),"△回数・分が読めない",IF(SUMPRODUCT(--ISNUMBER(--O7:U7))&lt;7,"△採点が足りない",IF(SUMPRODUCT((--O7:U7&gt;2)+(--O7:U7&lt;0))&gt;0,"△採点が範囲外","OK")))))))))))</f>
        <v/>
      </c>
      <c r="X7">
        <f>IF(W7&lt;&gt;"OK","",TRIM(IF(AND(AO7&lt;&gt;"",N(AO7)&lt;=1),"根拠1件 ","")&amp;IF(AP7&lt;&gt;"","同名あり ","")&amp;IF(AND(NOT(ISNUMBER(I7)),I7&lt;&gt;""),"回数を換算 ","")))</f>
        <v/>
      </c>
      <c r="Y7" s="31" t="n"/>
      <c r="Z7" s="32" t="n"/>
      <c r="AA7" s="32" t="n"/>
      <c r="AB7" s="31" t="n"/>
      <c r="AC7">
        <f>IF(W7&lt;&gt;"OK","",IF(AB7&lt;&gt;"",AB7,AE7))</f>
        <v/>
      </c>
      <c r="AD7" s="33">
        <f>IF(W7&lt;&gt;"OK","",IFERROR(IF(Z7&lt;&gt;"",Z7,AM7)*IF(AA7&lt;&gt;"",AA7,AN7)/60,""))</f>
        <v/>
      </c>
      <c r="AE7">
        <f>IF(W7&lt;&gt;"OK","",IF(OR(VALUE(O7)=2,VALUE(P7)=2,VALUE(Q7)=2),"社内残置",IF(AND(VALUE(O7)=0,VALUE(R7)=0,VALUE(T7)=0),"自動化候補",IF(AND(VALUE(P7)=0,VALUE(R7)&lt;=1,VALUE(S7)&lt;=1,VALUE(T7)&lt;=1,VALUE(U7)&lt;=1),"オフショア候補",IF(AND(VALUE(T7)&lt;=1,VALUE(U7)&lt;=1),"ニアショア候補","社内で手順化→再評価")))))</f>
        <v/>
      </c>
      <c r="AF7">
        <f>IF(W7&lt;&gt;"OK","",14-SUMPRODUCT(--O7:U7))</f>
        <v/>
      </c>
      <c r="AG7" s="33">
        <f>IF(W7&lt;&gt;"OK","",AM7*AN7/60)</f>
        <v/>
      </c>
      <c r="AH7" s="34">
        <f>IF(A7="","",UPPER(TRIM(ASC(A7&amp;""))))</f>
        <v/>
      </c>
      <c r="AI7" s="34">
        <f>IF(AH7="","",AH7&amp;"-"&amp;B7)</f>
        <v/>
      </c>
      <c r="AJ7" s="34">
        <f>IF(C7="","",IFERROR(VALUE(ASC(SUBSTITUTE(C7&amp;"","観点",""))),""))</f>
        <v/>
      </c>
      <c r="AK7" s="34">
        <f>IF(E7="","",UPPER(LEFT(TRIM(ASC(E7&amp;"")),3)))</f>
        <v/>
      </c>
      <c r="AL7" s="34">
        <f>IF(I7="","",IFERROR(VALUE(SUBSTITUTE(SUBSTITUTE(SUBSTITUTE(SUBSTITUTE(SUBSTITUTE(SUBSTITUTE(SUBSTITUTE(SUBSTITUTE(SUBSTITUTE(SUBSTITUTE(SUBSTITUTE(SUBSTITUTE(ASC(I7&amp;""),"約",""),"程度",""),"ほど",""),"回",""),"毎",""),"週",""),"月",""),"年",""),"日",""),"に",""),"/","")," ","")),""))</f>
        <v/>
      </c>
      <c r="AM7" s="34">
        <f>IF(I7="","",IF(ISNUMBER(I7),I7,IFERROR(VALUE(ASC(I7&amp;"")),IF(AL7&lt;&gt;"",AL7*IF(ISNUMBER(SEARCH("週",I7)),4.3,IF(ISNUMBER(SEARCH("年",I7)),1/12,IF(ISNUMBER(SEARCH("日",I7)),20,1))),IF(ISNUMBER(SEARCH("日",I7)),20,IF(ISNUMBER(SEARCH("週",I7)),4.3,IF(ISNUMBER(SEARCH("月",I7)),1,"")))))))</f>
        <v/>
      </c>
      <c r="AN7" s="34">
        <f>IF(J7="","",IF(ISNUMBER(J7),J7,IFERROR(VALUE(ASC(J7&amp;"")),IF(ISNUMBER(SEARCH("時間",J7)),IFERROR(VALUE(SUBSTITUTE(SUBSTITUTE(SUBSTITUTE(SUBSTITUTE(SUBSTITUTE(ASC(J7&amp;""),"約",""),"程度",""),"ほど",""),"時間","")," ",""))*60,""),IFERROR(VALUE(SUBSTITUTE(SUBSTITUTE(SUBSTITUTE(SUBSTITUTE(SUBSTITUTE(ASC(J7&amp;""),"約",""),"程度",""),"ほど",""),"分","")," ","")),"")))))</f>
        <v/>
      </c>
      <c r="AO7" s="34">
        <f>IF(K7="","",IF(ISNUMBER(K7),K7,IFERROR(VALUE(SUBSTITUTE(SUBSTITUTE(SUBSTITUTE(ASC(K7&amp;""),"約",""),"件","")," ","")),"")))</f>
        <v/>
      </c>
      <c r="AP7" s="34">
        <f>IF(W7&lt;&gt;"OK","",IF(COUNTIFS($D$5:$D$404,D7,$W$5:$W$404,"OK")&gt;1,"同名あり",""))</f>
        <v/>
      </c>
      <c r="AQ7" s="35">
        <f>IF(L7="","",IF(ISNUMBER(L7),L7,IFERROR(DATEVALUE(SUBSTITUTE(SUBSTITUTE(ASC(L7&amp;""),"-","/"),".","/")&amp;"/01"),"")))</f>
        <v/>
      </c>
      <c r="AR7" s="35">
        <f>IF(M7="","",IF(ISNUMBER(M7),M7,IFERROR(DATEVALUE(SUBSTITUTE(SUBSTITUTE(ASC(M7&amp;""),"-","/"),".","/")&amp;"/01"),"")))</f>
        <v/>
      </c>
      <c r="AS7" s="34">
        <f>IF(OR(W7&lt;&gt;"OK",AQ7=""),"",IF(AQ7&gt;='01_設定'!$C$26,1,0))</f>
        <v/>
      </c>
      <c r="AT7" s="34">
        <f>IF(AND(W7="OK",Y7&lt;&gt;"除外"),COUNTIFS($W$5:W7,"OK",$Y$5:Y7,"&lt;&gt;除外"),"")</f>
        <v/>
      </c>
      <c r="AU7" s="34">
        <f>IF(OR(AT7="",AD7=""),"",AD7+ROW()/1000000000)</f>
        <v/>
      </c>
    </row>
    <row r="8">
      <c r="W8">
        <f>IF(AND(A8="",D8=""),"",IF(ISNUMBER(SEARCH("##END",AH8)),"（終わりの印）",IF(ISNUMBER(SEARCH("##続き",AH8)),"（続きありの印）",IF(AH8="調査ID","（見出し行）",IF(AND(AH8&lt;&gt;"R1",AH8&lt;&gt;"R2"),"×表以外の行（集計されない）",IF(COUNTIF($AI$5:AI8,AI8)&gt;1,"△重複（集計されない）",IF(D8="","△タスク名なし",IF(ISNA(MATCH(AK8,'M1_類型マスタ'!$A$5:$A$19,0)),"△類型が不正",IF(OR(AM8="",AN8=""),"△回数・分が読めない",IF(SUMPRODUCT(--ISNUMBER(--O8:U8))&lt;7,"△採点が足りない",IF(SUMPRODUCT((--O8:U8&gt;2)+(--O8:U8&lt;0))&gt;0,"△採点が範囲外","OK")))))))))))</f>
        <v/>
      </c>
      <c r="X8">
        <f>IF(W8&lt;&gt;"OK","",TRIM(IF(AND(AO8&lt;&gt;"",N(AO8)&lt;=1),"根拠1件 ","")&amp;IF(AP8&lt;&gt;"","同名あり ","")&amp;IF(AND(NOT(ISNUMBER(I8)),I8&lt;&gt;""),"回数を換算 ","")))</f>
        <v/>
      </c>
      <c r="Y8" s="31" t="n"/>
      <c r="Z8" s="32" t="n"/>
      <c r="AA8" s="32" t="n"/>
      <c r="AB8" s="31" t="n"/>
      <c r="AC8">
        <f>IF(W8&lt;&gt;"OK","",IF(AB8&lt;&gt;"",AB8,AE8))</f>
        <v/>
      </c>
      <c r="AD8" s="33">
        <f>IF(W8&lt;&gt;"OK","",IFERROR(IF(Z8&lt;&gt;"",Z8,AM8)*IF(AA8&lt;&gt;"",AA8,AN8)/60,""))</f>
        <v/>
      </c>
      <c r="AE8">
        <f>IF(W8&lt;&gt;"OK","",IF(OR(VALUE(O8)=2,VALUE(P8)=2,VALUE(Q8)=2),"社内残置",IF(AND(VALUE(O8)=0,VALUE(R8)=0,VALUE(T8)=0),"自動化候補",IF(AND(VALUE(P8)=0,VALUE(R8)&lt;=1,VALUE(S8)&lt;=1,VALUE(T8)&lt;=1,VALUE(U8)&lt;=1),"オフショア候補",IF(AND(VALUE(T8)&lt;=1,VALUE(U8)&lt;=1),"ニアショア候補","社内で手順化→再評価")))))</f>
        <v/>
      </c>
      <c r="AF8">
        <f>IF(W8&lt;&gt;"OK","",14-SUMPRODUCT(--O8:U8))</f>
        <v/>
      </c>
      <c r="AG8" s="33">
        <f>IF(W8&lt;&gt;"OK","",AM8*AN8/60)</f>
        <v/>
      </c>
      <c r="AH8" s="34">
        <f>IF(A8="","",UPPER(TRIM(ASC(A8&amp;""))))</f>
        <v/>
      </c>
      <c r="AI8" s="34">
        <f>IF(AH8="","",AH8&amp;"-"&amp;B8)</f>
        <v/>
      </c>
      <c r="AJ8" s="34">
        <f>IF(C8="","",IFERROR(VALUE(ASC(SUBSTITUTE(C8&amp;"","観点",""))),""))</f>
        <v/>
      </c>
      <c r="AK8" s="34">
        <f>IF(E8="","",UPPER(LEFT(TRIM(ASC(E8&amp;"")),3)))</f>
        <v/>
      </c>
      <c r="AL8" s="34">
        <f>IF(I8="","",IFERROR(VALUE(SUBSTITUTE(SUBSTITUTE(SUBSTITUTE(SUBSTITUTE(SUBSTITUTE(SUBSTITUTE(SUBSTITUTE(SUBSTITUTE(SUBSTITUTE(SUBSTITUTE(SUBSTITUTE(SUBSTITUTE(ASC(I8&amp;""),"約",""),"程度",""),"ほど",""),"回",""),"毎",""),"週",""),"月",""),"年",""),"日",""),"に",""),"/","")," ","")),""))</f>
        <v/>
      </c>
      <c r="AM8" s="34">
        <f>IF(I8="","",IF(ISNUMBER(I8),I8,IFERROR(VALUE(ASC(I8&amp;"")),IF(AL8&lt;&gt;"",AL8*IF(ISNUMBER(SEARCH("週",I8)),4.3,IF(ISNUMBER(SEARCH("年",I8)),1/12,IF(ISNUMBER(SEARCH("日",I8)),20,1))),IF(ISNUMBER(SEARCH("日",I8)),20,IF(ISNUMBER(SEARCH("週",I8)),4.3,IF(ISNUMBER(SEARCH("月",I8)),1,"")))))))</f>
        <v/>
      </c>
      <c r="AN8" s="34">
        <f>IF(J8="","",IF(ISNUMBER(J8),J8,IFERROR(VALUE(ASC(J8&amp;"")),IF(ISNUMBER(SEARCH("時間",J8)),IFERROR(VALUE(SUBSTITUTE(SUBSTITUTE(SUBSTITUTE(SUBSTITUTE(SUBSTITUTE(ASC(J8&amp;""),"約",""),"程度",""),"ほど",""),"時間","")," ",""))*60,""),IFERROR(VALUE(SUBSTITUTE(SUBSTITUTE(SUBSTITUTE(SUBSTITUTE(SUBSTITUTE(ASC(J8&amp;""),"約",""),"程度",""),"ほど",""),"分","")," ","")),"")))))</f>
        <v/>
      </c>
      <c r="AO8" s="34">
        <f>IF(K8="","",IF(ISNUMBER(K8),K8,IFERROR(VALUE(SUBSTITUTE(SUBSTITUTE(SUBSTITUTE(ASC(K8&amp;""),"約",""),"件","")," ","")),"")))</f>
        <v/>
      </c>
      <c r="AP8" s="34">
        <f>IF(W8&lt;&gt;"OK","",IF(COUNTIFS($D$5:$D$404,D8,$W$5:$W$404,"OK")&gt;1,"同名あり",""))</f>
        <v/>
      </c>
      <c r="AQ8" s="35">
        <f>IF(L8="","",IF(ISNUMBER(L8),L8,IFERROR(DATEVALUE(SUBSTITUTE(SUBSTITUTE(ASC(L8&amp;""),"-","/"),".","/")&amp;"/01"),"")))</f>
        <v/>
      </c>
      <c r="AR8" s="35">
        <f>IF(M8="","",IF(ISNUMBER(M8),M8,IFERROR(DATEVALUE(SUBSTITUTE(SUBSTITUTE(ASC(M8&amp;""),"-","/"),".","/")&amp;"/01"),"")))</f>
        <v/>
      </c>
      <c r="AS8" s="34">
        <f>IF(OR(W8&lt;&gt;"OK",AQ8=""),"",IF(AQ8&gt;='01_設定'!$C$26,1,0))</f>
        <v/>
      </c>
      <c r="AT8" s="34">
        <f>IF(AND(W8="OK",Y8&lt;&gt;"除外"),COUNTIFS($W$5:W8,"OK",$Y$5:Y8,"&lt;&gt;除外"),"")</f>
        <v/>
      </c>
      <c r="AU8" s="34">
        <f>IF(OR(AT8="",AD8=""),"",AD8+ROW()/1000000000)</f>
        <v/>
      </c>
    </row>
    <row r="9">
      <c r="W9">
        <f>IF(AND(A9="",D9=""),"",IF(ISNUMBER(SEARCH("##END",AH9)),"（終わりの印）",IF(ISNUMBER(SEARCH("##続き",AH9)),"（続きありの印）",IF(AH9="調査ID","（見出し行）",IF(AND(AH9&lt;&gt;"R1",AH9&lt;&gt;"R2"),"×表以外の行（集計されない）",IF(COUNTIF($AI$5:AI9,AI9)&gt;1,"△重複（集計されない）",IF(D9="","△タスク名なし",IF(ISNA(MATCH(AK9,'M1_類型マスタ'!$A$5:$A$19,0)),"△類型が不正",IF(OR(AM9="",AN9=""),"△回数・分が読めない",IF(SUMPRODUCT(--ISNUMBER(--O9:U9))&lt;7,"△採点が足りない",IF(SUMPRODUCT((--O9:U9&gt;2)+(--O9:U9&lt;0))&gt;0,"△採点が範囲外","OK")))))))))))</f>
        <v/>
      </c>
      <c r="X9">
        <f>IF(W9&lt;&gt;"OK","",TRIM(IF(AND(AO9&lt;&gt;"",N(AO9)&lt;=1),"根拠1件 ","")&amp;IF(AP9&lt;&gt;"","同名あり ","")&amp;IF(AND(NOT(ISNUMBER(I9)),I9&lt;&gt;""),"回数を換算 ","")))</f>
        <v/>
      </c>
      <c r="Y9" s="31" t="n"/>
      <c r="Z9" s="32" t="n"/>
      <c r="AA9" s="32" t="n"/>
      <c r="AB9" s="31" t="n"/>
      <c r="AC9">
        <f>IF(W9&lt;&gt;"OK","",IF(AB9&lt;&gt;"",AB9,AE9))</f>
        <v/>
      </c>
      <c r="AD9" s="33">
        <f>IF(W9&lt;&gt;"OK","",IFERROR(IF(Z9&lt;&gt;"",Z9,AM9)*IF(AA9&lt;&gt;"",AA9,AN9)/60,""))</f>
        <v/>
      </c>
      <c r="AE9">
        <f>IF(W9&lt;&gt;"OK","",IF(OR(VALUE(O9)=2,VALUE(P9)=2,VALUE(Q9)=2),"社内残置",IF(AND(VALUE(O9)=0,VALUE(R9)=0,VALUE(T9)=0),"自動化候補",IF(AND(VALUE(P9)=0,VALUE(R9)&lt;=1,VALUE(S9)&lt;=1,VALUE(T9)&lt;=1,VALUE(U9)&lt;=1),"オフショア候補",IF(AND(VALUE(T9)&lt;=1,VALUE(U9)&lt;=1),"ニアショア候補","社内で手順化→再評価")))))</f>
        <v/>
      </c>
      <c r="AF9">
        <f>IF(W9&lt;&gt;"OK","",14-SUMPRODUCT(--O9:U9))</f>
        <v/>
      </c>
      <c r="AG9" s="33">
        <f>IF(W9&lt;&gt;"OK","",AM9*AN9/60)</f>
        <v/>
      </c>
      <c r="AH9" s="34">
        <f>IF(A9="","",UPPER(TRIM(ASC(A9&amp;""))))</f>
        <v/>
      </c>
      <c r="AI9" s="34">
        <f>IF(AH9="","",AH9&amp;"-"&amp;B9)</f>
        <v/>
      </c>
      <c r="AJ9" s="34">
        <f>IF(C9="","",IFERROR(VALUE(ASC(SUBSTITUTE(C9&amp;"","観点",""))),""))</f>
        <v/>
      </c>
      <c r="AK9" s="34">
        <f>IF(E9="","",UPPER(LEFT(TRIM(ASC(E9&amp;"")),3)))</f>
        <v/>
      </c>
      <c r="AL9" s="34">
        <f>IF(I9="","",IFERROR(VALUE(SUBSTITUTE(SUBSTITUTE(SUBSTITUTE(SUBSTITUTE(SUBSTITUTE(SUBSTITUTE(SUBSTITUTE(SUBSTITUTE(SUBSTITUTE(SUBSTITUTE(SUBSTITUTE(SUBSTITUTE(ASC(I9&amp;""),"約",""),"程度",""),"ほど",""),"回",""),"毎",""),"週",""),"月",""),"年",""),"日",""),"に",""),"/","")," ","")),""))</f>
        <v/>
      </c>
      <c r="AM9" s="34">
        <f>IF(I9="","",IF(ISNUMBER(I9),I9,IFERROR(VALUE(ASC(I9&amp;"")),IF(AL9&lt;&gt;"",AL9*IF(ISNUMBER(SEARCH("週",I9)),4.3,IF(ISNUMBER(SEARCH("年",I9)),1/12,IF(ISNUMBER(SEARCH("日",I9)),20,1))),IF(ISNUMBER(SEARCH("日",I9)),20,IF(ISNUMBER(SEARCH("週",I9)),4.3,IF(ISNUMBER(SEARCH("月",I9)),1,"")))))))</f>
        <v/>
      </c>
      <c r="AN9" s="34">
        <f>IF(J9="","",IF(ISNUMBER(J9),J9,IFERROR(VALUE(ASC(J9&amp;"")),IF(ISNUMBER(SEARCH("時間",J9)),IFERROR(VALUE(SUBSTITUTE(SUBSTITUTE(SUBSTITUTE(SUBSTITUTE(SUBSTITUTE(ASC(J9&amp;""),"約",""),"程度",""),"ほど",""),"時間","")," ",""))*60,""),IFERROR(VALUE(SUBSTITUTE(SUBSTITUTE(SUBSTITUTE(SUBSTITUTE(SUBSTITUTE(ASC(J9&amp;""),"約",""),"程度",""),"ほど",""),"分","")," ","")),"")))))</f>
        <v/>
      </c>
      <c r="AO9" s="34">
        <f>IF(K9="","",IF(ISNUMBER(K9),K9,IFERROR(VALUE(SUBSTITUTE(SUBSTITUTE(SUBSTITUTE(ASC(K9&amp;""),"約",""),"件","")," ","")),"")))</f>
        <v/>
      </c>
      <c r="AP9" s="34">
        <f>IF(W9&lt;&gt;"OK","",IF(COUNTIFS($D$5:$D$404,D9,$W$5:$W$404,"OK")&gt;1,"同名あり",""))</f>
        <v/>
      </c>
      <c r="AQ9" s="35">
        <f>IF(L9="","",IF(ISNUMBER(L9),L9,IFERROR(DATEVALUE(SUBSTITUTE(SUBSTITUTE(ASC(L9&amp;""),"-","/"),".","/")&amp;"/01"),"")))</f>
        <v/>
      </c>
      <c r="AR9" s="35">
        <f>IF(M9="","",IF(ISNUMBER(M9),M9,IFERROR(DATEVALUE(SUBSTITUTE(SUBSTITUTE(ASC(M9&amp;""),"-","/"),".","/")&amp;"/01"),"")))</f>
        <v/>
      </c>
      <c r="AS9" s="34">
        <f>IF(OR(W9&lt;&gt;"OK",AQ9=""),"",IF(AQ9&gt;='01_設定'!$C$26,1,0))</f>
        <v/>
      </c>
      <c r="AT9" s="34">
        <f>IF(AND(W9="OK",Y9&lt;&gt;"除外"),COUNTIFS($W$5:W9,"OK",$Y$5:Y9,"&lt;&gt;除外"),"")</f>
        <v/>
      </c>
      <c r="AU9" s="34">
        <f>IF(OR(AT9="",AD9=""),"",AD9+ROW()/1000000000)</f>
        <v/>
      </c>
    </row>
    <row r="10">
      <c r="W10">
        <f>IF(AND(A10="",D10=""),"",IF(ISNUMBER(SEARCH("##END",AH10)),"（終わりの印）",IF(ISNUMBER(SEARCH("##続き",AH10)),"（続きありの印）",IF(AH10="調査ID","（見出し行）",IF(AND(AH10&lt;&gt;"R1",AH10&lt;&gt;"R2"),"×表以外の行（集計されない）",IF(COUNTIF($AI$5:AI10,AI10)&gt;1,"△重複（集計されない）",IF(D10="","△タスク名なし",IF(ISNA(MATCH(AK10,'M1_類型マスタ'!$A$5:$A$19,0)),"△類型が不正",IF(OR(AM10="",AN10=""),"△回数・分が読めない",IF(SUMPRODUCT(--ISNUMBER(--O10:U10))&lt;7,"△採点が足りない",IF(SUMPRODUCT((--O10:U10&gt;2)+(--O10:U10&lt;0))&gt;0,"△採点が範囲外","OK")))))))))))</f>
        <v/>
      </c>
      <c r="X10">
        <f>IF(W10&lt;&gt;"OK","",TRIM(IF(AND(AO10&lt;&gt;"",N(AO10)&lt;=1),"根拠1件 ","")&amp;IF(AP10&lt;&gt;"","同名あり ","")&amp;IF(AND(NOT(ISNUMBER(I10)),I10&lt;&gt;""),"回数を換算 ","")))</f>
        <v/>
      </c>
      <c r="Y10" s="31" t="n"/>
      <c r="Z10" s="32" t="n"/>
      <c r="AA10" s="32" t="n"/>
      <c r="AB10" s="31" t="n"/>
      <c r="AC10">
        <f>IF(W10&lt;&gt;"OK","",IF(AB10&lt;&gt;"",AB10,AE10))</f>
        <v/>
      </c>
      <c r="AD10" s="33">
        <f>IF(W10&lt;&gt;"OK","",IFERROR(IF(Z10&lt;&gt;"",Z10,AM10)*IF(AA10&lt;&gt;"",AA10,AN10)/60,""))</f>
        <v/>
      </c>
      <c r="AE10">
        <f>IF(W10&lt;&gt;"OK","",IF(OR(VALUE(O10)=2,VALUE(P10)=2,VALUE(Q10)=2),"社内残置",IF(AND(VALUE(O10)=0,VALUE(R10)=0,VALUE(T10)=0),"自動化候補",IF(AND(VALUE(P10)=0,VALUE(R10)&lt;=1,VALUE(S10)&lt;=1,VALUE(T10)&lt;=1,VALUE(U10)&lt;=1),"オフショア候補",IF(AND(VALUE(T10)&lt;=1,VALUE(U10)&lt;=1),"ニアショア候補","社内で手順化→再評価")))))</f>
        <v/>
      </c>
      <c r="AF10">
        <f>IF(W10&lt;&gt;"OK","",14-SUMPRODUCT(--O10:U10))</f>
        <v/>
      </c>
      <c r="AG10" s="33">
        <f>IF(W10&lt;&gt;"OK","",AM10*AN10/60)</f>
        <v/>
      </c>
      <c r="AH10" s="34">
        <f>IF(A10="","",UPPER(TRIM(ASC(A10&amp;""))))</f>
        <v/>
      </c>
      <c r="AI10" s="34">
        <f>IF(AH10="","",AH10&amp;"-"&amp;B10)</f>
        <v/>
      </c>
      <c r="AJ10" s="34">
        <f>IF(C10="","",IFERROR(VALUE(ASC(SUBSTITUTE(C10&amp;"","観点",""))),""))</f>
        <v/>
      </c>
      <c r="AK10" s="34">
        <f>IF(E10="","",UPPER(LEFT(TRIM(ASC(E10&amp;"")),3)))</f>
        <v/>
      </c>
      <c r="AL10" s="34">
        <f>IF(I10="","",IFERROR(VALUE(SUBSTITUTE(SUBSTITUTE(SUBSTITUTE(SUBSTITUTE(SUBSTITUTE(SUBSTITUTE(SUBSTITUTE(SUBSTITUTE(SUBSTITUTE(SUBSTITUTE(SUBSTITUTE(SUBSTITUTE(ASC(I10&amp;""),"約",""),"程度",""),"ほど",""),"回",""),"毎",""),"週",""),"月",""),"年",""),"日",""),"に",""),"/","")," ","")),""))</f>
        <v/>
      </c>
      <c r="AM10" s="34">
        <f>IF(I10="","",IF(ISNUMBER(I10),I10,IFERROR(VALUE(ASC(I10&amp;"")),IF(AL10&lt;&gt;"",AL10*IF(ISNUMBER(SEARCH("週",I10)),4.3,IF(ISNUMBER(SEARCH("年",I10)),1/12,IF(ISNUMBER(SEARCH("日",I10)),20,1))),IF(ISNUMBER(SEARCH("日",I10)),20,IF(ISNUMBER(SEARCH("週",I10)),4.3,IF(ISNUMBER(SEARCH("月",I10)),1,"")))))))</f>
        <v/>
      </c>
      <c r="AN10" s="34">
        <f>IF(J10="","",IF(ISNUMBER(J10),J10,IFERROR(VALUE(ASC(J10&amp;"")),IF(ISNUMBER(SEARCH("時間",J10)),IFERROR(VALUE(SUBSTITUTE(SUBSTITUTE(SUBSTITUTE(SUBSTITUTE(SUBSTITUTE(ASC(J10&amp;""),"約",""),"程度",""),"ほど",""),"時間","")," ",""))*60,""),IFERROR(VALUE(SUBSTITUTE(SUBSTITUTE(SUBSTITUTE(SUBSTITUTE(SUBSTITUTE(ASC(J10&amp;""),"約",""),"程度",""),"ほど",""),"分","")," ","")),"")))))</f>
        <v/>
      </c>
      <c r="AO10" s="34">
        <f>IF(K10="","",IF(ISNUMBER(K10),K10,IFERROR(VALUE(SUBSTITUTE(SUBSTITUTE(SUBSTITUTE(ASC(K10&amp;""),"約",""),"件","")," ","")),"")))</f>
        <v/>
      </c>
      <c r="AP10" s="34">
        <f>IF(W10&lt;&gt;"OK","",IF(COUNTIFS($D$5:$D$404,D10,$W$5:$W$404,"OK")&gt;1,"同名あり",""))</f>
        <v/>
      </c>
      <c r="AQ10" s="35">
        <f>IF(L10="","",IF(ISNUMBER(L10),L10,IFERROR(DATEVALUE(SUBSTITUTE(SUBSTITUTE(ASC(L10&amp;""),"-","/"),".","/")&amp;"/01"),"")))</f>
        <v/>
      </c>
      <c r="AR10" s="35">
        <f>IF(M10="","",IF(ISNUMBER(M10),M10,IFERROR(DATEVALUE(SUBSTITUTE(SUBSTITUTE(ASC(M10&amp;""),"-","/"),".","/")&amp;"/01"),"")))</f>
        <v/>
      </c>
      <c r="AS10" s="34">
        <f>IF(OR(W10&lt;&gt;"OK",AQ10=""),"",IF(AQ10&gt;='01_設定'!$C$26,1,0))</f>
        <v/>
      </c>
      <c r="AT10" s="34">
        <f>IF(AND(W10="OK",Y10&lt;&gt;"除外"),COUNTIFS($W$5:W10,"OK",$Y$5:Y10,"&lt;&gt;除外"),"")</f>
        <v/>
      </c>
      <c r="AU10" s="34">
        <f>IF(OR(AT10="",AD10=""),"",AD10+ROW()/1000000000)</f>
        <v/>
      </c>
    </row>
    <row r="11">
      <c r="W11">
        <f>IF(AND(A11="",D11=""),"",IF(ISNUMBER(SEARCH("##END",AH11)),"（終わりの印）",IF(ISNUMBER(SEARCH("##続き",AH11)),"（続きありの印）",IF(AH11="調査ID","（見出し行）",IF(AND(AH11&lt;&gt;"R1",AH11&lt;&gt;"R2"),"×表以外の行（集計されない）",IF(COUNTIF($AI$5:AI11,AI11)&gt;1,"△重複（集計されない）",IF(D11="","△タスク名なし",IF(ISNA(MATCH(AK11,'M1_類型マスタ'!$A$5:$A$19,0)),"△類型が不正",IF(OR(AM11="",AN11=""),"△回数・分が読めない",IF(SUMPRODUCT(--ISNUMBER(--O11:U11))&lt;7,"△採点が足りない",IF(SUMPRODUCT((--O11:U11&gt;2)+(--O11:U11&lt;0))&gt;0,"△採点が範囲外","OK")))))))))))</f>
        <v/>
      </c>
      <c r="X11">
        <f>IF(W11&lt;&gt;"OK","",TRIM(IF(AND(AO11&lt;&gt;"",N(AO11)&lt;=1),"根拠1件 ","")&amp;IF(AP11&lt;&gt;"","同名あり ","")&amp;IF(AND(NOT(ISNUMBER(I11)),I11&lt;&gt;""),"回数を換算 ","")))</f>
        <v/>
      </c>
      <c r="Y11" s="31" t="n"/>
      <c r="Z11" s="32" t="n"/>
      <c r="AA11" s="32" t="n"/>
      <c r="AB11" s="31" t="n"/>
      <c r="AC11">
        <f>IF(W11&lt;&gt;"OK","",IF(AB11&lt;&gt;"",AB11,AE11))</f>
        <v/>
      </c>
      <c r="AD11" s="33">
        <f>IF(W11&lt;&gt;"OK","",IFERROR(IF(Z11&lt;&gt;"",Z11,AM11)*IF(AA11&lt;&gt;"",AA11,AN11)/60,""))</f>
        <v/>
      </c>
      <c r="AE11">
        <f>IF(W11&lt;&gt;"OK","",IF(OR(VALUE(O11)=2,VALUE(P11)=2,VALUE(Q11)=2),"社内残置",IF(AND(VALUE(O11)=0,VALUE(R11)=0,VALUE(T11)=0),"自動化候補",IF(AND(VALUE(P11)=0,VALUE(R11)&lt;=1,VALUE(S11)&lt;=1,VALUE(T11)&lt;=1,VALUE(U11)&lt;=1),"オフショア候補",IF(AND(VALUE(T11)&lt;=1,VALUE(U11)&lt;=1),"ニアショア候補","社内で手順化→再評価")))))</f>
        <v/>
      </c>
      <c r="AF11">
        <f>IF(W11&lt;&gt;"OK","",14-SUMPRODUCT(--O11:U11))</f>
        <v/>
      </c>
      <c r="AG11" s="33">
        <f>IF(W11&lt;&gt;"OK","",AM11*AN11/60)</f>
        <v/>
      </c>
      <c r="AH11" s="34">
        <f>IF(A11="","",UPPER(TRIM(ASC(A11&amp;""))))</f>
        <v/>
      </c>
      <c r="AI11" s="34">
        <f>IF(AH11="","",AH11&amp;"-"&amp;B11)</f>
        <v/>
      </c>
      <c r="AJ11" s="34">
        <f>IF(C11="","",IFERROR(VALUE(ASC(SUBSTITUTE(C11&amp;"","観点",""))),""))</f>
        <v/>
      </c>
      <c r="AK11" s="34">
        <f>IF(E11="","",UPPER(LEFT(TRIM(ASC(E11&amp;"")),3)))</f>
        <v/>
      </c>
      <c r="AL11" s="34">
        <f>IF(I11="","",IFERROR(VALUE(SUBSTITUTE(SUBSTITUTE(SUBSTITUTE(SUBSTITUTE(SUBSTITUTE(SUBSTITUTE(SUBSTITUTE(SUBSTITUTE(SUBSTITUTE(SUBSTITUTE(SUBSTITUTE(SUBSTITUTE(ASC(I11&amp;""),"約",""),"程度",""),"ほど",""),"回",""),"毎",""),"週",""),"月",""),"年",""),"日",""),"に",""),"/","")," ","")),""))</f>
        <v/>
      </c>
      <c r="AM11" s="34">
        <f>IF(I11="","",IF(ISNUMBER(I11),I11,IFERROR(VALUE(ASC(I11&amp;"")),IF(AL11&lt;&gt;"",AL11*IF(ISNUMBER(SEARCH("週",I11)),4.3,IF(ISNUMBER(SEARCH("年",I11)),1/12,IF(ISNUMBER(SEARCH("日",I11)),20,1))),IF(ISNUMBER(SEARCH("日",I11)),20,IF(ISNUMBER(SEARCH("週",I11)),4.3,IF(ISNUMBER(SEARCH("月",I11)),1,"")))))))</f>
        <v/>
      </c>
      <c r="AN11" s="34">
        <f>IF(J11="","",IF(ISNUMBER(J11),J11,IFERROR(VALUE(ASC(J11&amp;"")),IF(ISNUMBER(SEARCH("時間",J11)),IFERROR(VALUE(SUBSTITUTE(SUBSTITUTE(SUBSTITUTE(SUBSTITUTE(SUBSTITUTE(ASC(J11&amp;""),"約",""),"程度",""),"ほど",""),"時間","")," ",""))*60,""),IFERROR(VALUE(SUBSTITUTE(SUBSTITUTE(SUBSTITUTE(SUBSTITUTE(SUBSTITUTE(ASC(J11&amp;""),"約",""),"程度",""),"ほど",""),"分","")," ","")),"")))))</f>
        <v/>
      </c>
      <c r="AO11" s="34">
        <f>IF(K11="","",IF(ISNUMBER(K11),K11,IFERROR(VALUE(SUBSTITUTE(SUBSTITUTE(SUBSTITUTE(ASC(K11&amp;""),"約",""),"件","")," ","")),"")))</f>
        <v/>
      </c>
      <c r="AP11" s="34">
        <f>IF(W11&lt;&gt;"OK","",IF(COUNTIFS($D$5:$D$404,D11,$W$5:$W$404,"OK")&gt;1,"同名あり",""))</f>
        <v/>
      </c>
      <c r="AQ11" s="35">
        <f>IF(L11="","",IF(ISNUMBER(L11),L11,IFERROR(DATEVALUE(SUBSTITUTE(SUBSTITUTE(ASC(L11&amp;""),"-","/"),".","/")&amp;"/01"),"")))</f>
        <v/>
      </c>
      <c r="AR11" s="35">
        <f>IF(M11="","",IF(ISNUMBER(M11),M11,IFERROR(DATEVALUE(SUBSTITUTE(SUBSTITUTE(ASC(M11&amp;""),"-","/"),".","/")&amp;"/01"),"")))</f>
        <v/>
      </c>
      <c r="AS11" s="34">
        <f>IF(OR(W11&lt;&gt;"OK",AQ11=""),"",IF(AQ11&gt;='01_設定'!$C$26,1,0))</f>
        <v/>
      </c>
      <c r="AT11" s="34">
        <f>IF(AND(W11="OK",Y11&lt;&gt;"除外"),COUNTIFS($W$5:W11,"OK",$Y$5:Y11,"&lt;&gt;除外"),"")</f>
        <v/>
      </c>
      <c r="AU11" s="34">
        <f>IF(OR(AT11="",AD11=""),"",AD11+ROW()/1000000000)</f>
        <v/>
      </c>
    </row>
    <row r="12">
      <c r="W12">
        <f>IF(AND(A12="",D12=""),"",IF(ISNUMBER(SEARCH("##END",AH12)),"（終わりの印）",IF(ISNUMBER(SEARCH("##続き",AH12)),"（続きありの印）",IF(AH12="調査ID","（見出し行）",IF(AND(AH12&lt;&gt;"R1",AH12&lt;&gt;"R2"),"×表以外の行（集計されない）",IF(COUNTIF($AI$5:AI12,AI12)&gt;1,"△重複（集計されない）",IF(D12="","△タスク名なし",IF(ISNA(MATCH(AK12,'M1_類型マスタ'!$A$5:$A$19,0)),"△類型が不正",IF(OR(AM12="",AN12=""),"△回数・分が読めない",IF(SUMPRODUCT(--ISNUMBER(--O12:U12))&lt;7,"△採点が足りない",IF(SUMPRODUCT((--O12:U12&gt;2)+(--O12:U12&lt;0))&gt;0,"△採点が範囲外","OK")))))))))))</f>
        <v/>
      </c>
      <c r="X12">
        <f>IF(W12&lt;&gt;"OK","",TRIM(IF(AND(AO12&lt;&gt;"",N(AO12)&lt;=1),"根拠1件 ","")&amp;IF(AP12&lt;&gt;"","同名あり ","")&amp;IF(AND(NOT(ISNUMBER(I12)),I12&lt;&gt;""),"回数を換算 ","")))</f>
        <v/>
      </c>
      <c r="Y12" s="31" t="n"/>
      <c r="Z12" s="32" t="n"/>
      <c r="AA12" s="32" t="n"/>
      <c r="AB12" s="31" t="n"/>
      <c r="AC12">
        <f>IF(W12&lt;&gt;"OK","",IF(AB12&lt;&gt;"",AB12,AE12))</f>
        <v/>
      </c>
      <c r="AD12" s="33">
        <f>IF(W12&lt;&gt;"OK","",IFERROR(IF(Z12&lt;&gt;"",Z12,AM12)*IF(AA12&lt;&gt;"",AA12,AN12)/60,""))</f>
        <v/>
      </c>
      <c r="AE12">
        <f>IF(W12&lt;&gt;"OK","",IF(OR(VALUE(O12)=2,VALUE(P12)=2,VALUE(Q12)=2),"社内残置",IF(AND(VALUE(O12)=0,VALUE(R12)=0,VALUE(T12)=0),"自動化候補",IF(AND(VALUE(P12)=0,VALUE(R12)&lt;=1,VALUE(S12)&lt;=1,VALUE(T12)&lt;=1,VALUE(U12)&lt;=1),"オフショア候補",IF(AND(VALUE(T12)&lt;=1,VALUE(U12)&lt;=1),"ニアショア候補","社内で手順化→再評価")))))</f>
        <v/>
      </c>
      <c r="AF12">
        <f>IF(W12&lt;&gt;"OK","",14-SUMPRODUCT(--O12:U12))</f>
        <v/>
      </c>
      <c r="AG12" s="33">
        <f>IF(W12&lt;&gt;"OK","",AM12*AN12/60)</f>
        <v/>
      </c>
      <c r="AH12" s="34">
        <f>IF(A12="","",UPPER(TRIM(ASC(A12&amp;""))))</f>
        <v/>
      </c>
      <c r="AI12" s="34">
        <f>IF(AH12="","",AH12&amp;"-"&amp;B12)</f>
        <v/>
      </c>
      <c r="AJ12" s="34">
        <f>IF(C12="","",IFERROR(VALUE(ASC(SUBSTITUTE(C12&amp;"","観点",""))),""))</f>
        <v/>
      </c>
      <c r="AK12" s="34">
        <f>IF(E12="","",UPPER(LEFT(TRIM(ASC(E12&amp;"")),3)))</f>
        <v/>
      </c>
      <c r="AL12" s="34">
        <f>IF(I12="","",IFERROR(VALUE(SUBSTITUTE(SUBSTITUTE(SUBSTITUTE(SUBSTITUTE(SUBSTITUTE(SUBSTITUTE(SUBSTITUTE(SUBSTITUTE(SUBSTITUTE(SUBSTITUTE(SUBSTITUTE(SUBSTITUTE(ASC(I12&amp;""),"約",""),"程度",""),"ほど",""),"回",""),"毎",""),"週",""),"月",""),"年",""),"日",""),"に",""),"/","")," ","")),""))</f>
        <v/>
      </c>
      <c r="AM12" s="34">
        <f>IF(I12="","",IF(ISNUMBER(I12),I12,IFERROR(VALUE(ASC(I12&amp;"")),IF(AL12&lt;&gt;"",AL12*IF(ISNUMBER(SEARCH("週",I12)),4.3,IF(ISNUMBER(SEARCH("年",I12)),1/12,IF(ISNUMBER(SEARCH("日",I12)),20,1))),IF(ISNUMBER(SEARCH("日",I12)),20,IF(ISNUMBER(SEARCH("週",I12)),4.3,IF(ISNUMBER(SEARCH("月",I12)),1,"")))))))</f>
        <v/>
      </c>
      <c r="AN12" s="34">
        <f>IF(J12="","",IF(ISNUMBER(J12),J12,IFERROR(VALUE(ASC(J12&amp;"")),IF(ISNUMBER(SEARCH("時間",J12)),IFERROR(VALUE(SUBSTITUTE(SUBSTITUTE(SUBSTITUTE(SUBSTITUTE(SUBSTITUTE(ASC(J12&amp;""),"約",""),"程度",""),"ほど",""),"時間","")," ",""))*60,""),IFERROR(VALUE(SUBSTITUTE(SUBSTITUTE(SUBSTITUTE(SUBSTITUTE(SUBSTITUTE(ASC(J12&amp;""),"約",""),"程度",""),"ほど",""),"分","")," ","")),"")))))</f>
        <v/>
      </c>
      <c r="AO12" s="34">
        <f>IF(K12="","",IF(ISNUMBER(K12),K12,IFERROR(VALUE(SUBSTITUTE(SUBSTITUTE(SUBSTITUTE(ASC(K12&amp;""),"約",""),"件","")," ","")),"")))</f>
        <v/>
      </c>
      <c r="AP12" s="34">
        <f>IF(W12&lt;&gt;"OK","",IF(COUNTIFS($D$5:$D$404,D12,$W$5:$W$404,"OK")&gt;1,"同名あり",""))</f>
        <v/>
      </c>
      <c r="AQ12" s="35">
        <f>IF(L12="","",IF(ISNUMBER(L12),L12,IFERROR(DATEVALUE(SUBSTITUTE(SUBSTITUTE(ASC(L12&amp;""),"-","/"),".","/")&amp;"/01"),"")))</f>
        <v/>
      </c>
      <c r="AR12" s="35">
        <f>IF(M12="","",IF(ISNUMBER(M12),M12,IFERROR(DATEVALUE(SUBSTITUTE(SUBSTITUTE(ASC(M12&amp;""),"-","/"),".","/")&amp;"/01"),"")))</f>
        <v/>
      </c>
      <c r="AS12" s="34">
        <f>IF(OR(W12&lt;&gt;"OK",AQ12=""),"",IF(AQ12&gt;='01_設定'!$C$26,1,0))</f>
        <v/>
      </c>
      <c r="AT12" s="34">
        <f>IF(AND(W12="OK",Y12&lt;&gt;"除外"),COUNTIFS($W$5:W12,"OK",$Y$5:Y12,"&lt;&gt;除外"),"")</f>
        <v/>
      </c>
      <c r="AU12" s="34">
        <f>IF(OR(AT12="",AD12=""),"",AD12+ROW()/1000000000)</f>
        <v/>
      </c>
    </row>
    <row r="13">
      <c r="W13">
        <f>IF(AND(A13="",D13=""),"",IF(ISNUMBER(SEARCH("##END",AH13)),"（終わりの印）",IF(ISNUMBER(SEARCH("##続き",AH13)),"（続きありの印）",IF(AH13="調査ID","（見出し行）",IF(AND(AH13&lt;&gt;"R1",AH13&lt;&gt;"R2"),"×表以外の行（集計されない）",IF(COUNTIF($AI$5:AI13,AI13)&gt;1,"△重複（集計されない）",IF(D13="","△タスク名なし",IF(ISNA(MATCH(AK13,'M1_類型マスタ'!$A$5:$A$19,0)),"△類型が不正",IF(OR(AM13="",AN13=""),"△回数・分が読めない",IF(SUMPRODUCT(--ISNUMBER(--O13:U13))&lt;7,"△採点が足りない",IF(SUMPRODUCT((--O13:U13&gt;2)+(--O13:U13&lt;0))&gt;0,"△採点が範囲外","OK")))))))))))</f>
        <v/>
      </c>
      <c r="X13">
        <f>IF(W13&lt;&gt;"OK","",TRIM(IF(AND(AO13&lt;&gt;"",N(AO13)&lt;=1),"根拠1件 ","")&amp;IF(AP13&lt;&gt;"","同名あり ","")&amp;IF(AND(NOT(ISNUMBER(I13)),I13&lt;&gt;""),"回数を換算 ","")))</f>
        <v/>
      </c>
      <c r="Y13" s="31" t="n"/>
      <c r="Z13" s="32" t="n"/>
      <c r="AA13" s="32" t="n"/>
      <c r="AB13" s="31" t="n"/>
      <c r="AC13">
        <f>IF(W13&lt;&gt;"OK","",IF(AB13&lt;&gt;"",AB13,AE13))</f>
        <v/>
      </c>
      <c r="AD13" s="33">
        <f>IF(W13&lt;&gt;"OK","",IFERROR(IF(Z13&lt;&gt;"",Z13,AM13)*IF(AA13&lt;&gt;"",AA13,AN13)/60,""))</f>
        <v/>
      </c>
      <c r="AE13">
        <f>IF(W13&lt;&gt;"OK","",IF(OR(VALUE(O13)=2,VALUE(P13)=2,VALUE(Q13)=2),"社内残置",IF(AND(VALUE(O13)=0,VALUE(R13)=0,VALUE(T13)=0),"自動化候補",IF(AND(VALUE(P13)=0,VALUE(R13)&lt;=1,VALUE(S13)&lt;=1,VALUE(T13)&lt;=1,VALUE(U13)&lt;=1),"オフショア候補",IF(AND(VALUE(T13)&lt;=1,VALUE(U13)&lt;=1),"ニアショア候補","社内で手順化→再評価")))))</f>
        <v/>
      </c>
      <c r="AF13">
        <f>IF(W13&lt;&gt;"OK","",14-SUMPRODUCT(--O13:U13))</f>
        <v/>
      </c>
      <c r="AG13" s="33">
        <f>IF(W13&lt;&gt;"OK","",AM13*AN13/60)</f>
        <v/>
      </c>
      <c r="AH13" s="34">
        <f>IF(A13="","",UPPER(TRIM(ASC(A13&amp;""))))</f>
        <v/>
      </c>
      <c r="AI13" s="34">
        <f>IF(AH13="","",AH13&amp;"-"&amp;B13)</f>
        <v/>
      </c>
      <c r="AJ13" s="34">
        <f>IF(C13="","",IFERROR(VALUE(ASC(SUBSTITUTE(C13&amp;"","観点",""))),""))</f>
        <v/>
      </c>
      <c r="AK13" s="34">
        <f>IF(E13="","",UPPER(LEFT(TRIM(ASC(E13&amp;"")),3)))</f>
        <v/>
      </c>
      <c r="AL13" s="34">
        <f>IF(I13="","",IFERROR(VALUE(SUBSTITUTE(SUBSTITUTE(SUBSTITUTE(SUBSTITUTE(SUBSTITUTE(SUBSTITUTE(SUBSTITUTE(SUBSTITUTE(SUBSTITUTE(SUBSTITUTE(SUBSTITUTE(SUBSTITUTE(ASC(I13&amp;""),"約",""),"程度",""),"ほど",""),"回",""),"毎",""),"週",""),"月",""),"年",""),"日",""),"に",""),"/","")," ","")),""))</f>
        <v/>
      </c>
      <c r="AM13" s="34">
        <f>IF(I13="","",IF(ISNUMBER(I13),I13,IFERROR(VALUE(ASC(I13&amp;"")),IF(AL13&lt;&gt;"",AL13*IF(ISNUMBER(SEARCH("週",I13)),4.3,IF(ISNUMBER(SEARCH("年",I13)),1/12,IF(ISNUMBER(SEARCH("日",I13)),20,1))),IF(ISNUMBER(SEARCH("日",I13)),20,IF(ISNUMBER(SEARCH("週",I13)),4.3,IF(ISNUMBER(SEARCH("月",I13)),1,"")))))))</f>
        <v/>
      </c>
      <c r="AN13" s="34">
        <f>IF(J13="","",IF(ISNUMBER(J13),J13,IFERROR(VALUE(ASC(J13&amp;"")),IF(ISNUMBER(SEARCH("時間",J13)),IFERROR(VALUE(SUBSTITUTE(SUBSTITUTE(SUBSTITUTE(SUBSTITUTE(SUBSTITUTE(ASC(J13&amp;""),"約",""),"程度",""),"ほど",""),"時間","")," ",""))*60,""),IFERROR(VALUE(SUBSTITUTE(SUBSTITUTE(SUBSTITUTE(SUBSTITUTE(SUBSTITUTE(ASC(J13&amp;""),"約",""),"程度",""),"ほど",""),"分","")," ","")),"")))))</f>
        <v/>
      </c>
      <c r="AO13" s="34">
        <f>IF(K13="","",IF(ISNUMBER(K13),K13,IFERROR(VALUE(SUBSTITUTE(SUBSTITUTE(SUBSTITUTE(ASC(K13&amp;""),"約",""),"件","")," ","")),"")))</f>
        <v/>
      </c>
      <c r="AP13" s="34">
        <f>IF(W13&lt;&gt;"OK","",IF(COUNTIFS($D$5:$D$404,D13,$W$5:$W$404,"OK")&gt;1,"同名あり",""))</f>
        <v/>
      </c>
      <c r="AQ13" s="35">
        <f>IF(L13="","",IF(ISNUMBER(L13),L13,IFERROR(DATEVALUE(SUBSTITUTE(SUBSTITUTE(ASC(L13&amp;""),"-","/"),".","/")&amp;"/01"),"")))</f>
        <v/>
      </c>
      <c r="AR13" s="35">
        <f>IF(M13="","",IF(ISNUMBER(M13),M13,IFERROR(DATEVALUE(SUBSTITUTE(SUBSTITUTE(ASC(M13&amp;""),"-","/"),".","/")&amp;"/01"),"")))</f>
        <v/>
      </c>
      <c r="AS13" s="34">
        <f>IF(OR(W13&lt;&gt;"OK",AQ13=""),"",IF(AQ13&gt;='01_設定'!$C$26,1,0))</f>
        <v/>
      </c>
      <c r="AT13" s="34">
        <f>IF(AND(W13="OK",Y13&lt;&gt;"除外"),COUNTIFS($W$5:W13,"OK",$Y$5:Y13,"&lt;&gt;除外"),"")</f>
        <v/>
      </c>
      <c r="AU13" s="34">
        <f>IF(OR(AT13="",AD13=""),"",AD13+ROW()/1000000000)</f>
        <v/>
      </c>
    </row>
    <row r="14">
      <c r="W14">
        <f>IF(AND(A14="",D14=""),"",IF(ISNUMBER(SEARCH("##END",AH14)),"（終わりの印）",IF(ISNUMBER(SEARCH("##続き",AH14)),"（続きありの印）",IF(AH14="調査ID","（見出し行）",IF(AND(AH14&lt;&gt;"R1",AH14&lt;&gt;"R2"),"×表以外の行（集計されない）",IF(COUNTIF($AI$5:AI14,AI14)&gt;1,"△重複（集計されない）",IF(D14="","△タスク名なし",IF(ISNA(MATCH(AK14,'M1_類型マスタ'!$A$5:$A$19,0)),"△類型が不正",IF(OR(AM14="",AN14=""),"△回数・分が読めない",IF(SUMPRODUCT(--ISNUMBER(--O14:U14))&lt;7,"△採点が足りない",IF(SUMPRODUCT((--O14:U14&gt;2)+(--O14:U14&lt;0))&gt;0,"△採点が範囲外","OK")))))))))))</f>
        <v/>
      </c>
      <c r="X14">
        <f>IF(W14&lt;&gt;"OK","",TRIM(IF(AND(AO14&lt;&gt;"",N(AO14)&lt;=1),"根拠1件 ","")&amp;IF(AP14&lt;&gt;"","同名あり ","")&amp;IF(AND(NOT(ISNUMBER(I14)),I14&lt;&gt;""),"回数を換算 ","")))</f>
        <v/>
      </c>
      <c r="Y14" s="31" t="n"/>
      <c r="Z14" s="32" t="n"/>
      <c r="AA14" s="32" t="n"/>
      <c r="AB14" s="31" t="n"/>
      <c r="AC14">
        <f>IF(W14&lt;&gt;"OK","",IF(AB14&lt;&gt;"",AB14,AE14))</f>
        <v/>
      </c>
      <c r="AD14" s="33">
        <f>IF(W14&lt;&gt;"OK","",IFERROR(IF(Z14&lt;&gt;"",Z14,AM14)*IF(AA14&lt;&gt;"",AA14,AN14)/60,""))</f>
        <v/>
      </c>
      <c r="AE14">
        <f>IF(W14&lt;&gt;"OK","",IF(OR(VALUE(O14)=2,VALUE(P14)=2,VALUE(Q14)=2),"社内残置",IF(AND(VALUE(O14)=0,VALUE(R14)=0,VALUE(T14)=0),"自動化候補",IF(AND(VALUE(P14)=0,VALUE(R14)&lt;=1,VALUE(S14)&lt;=1,VALUE(T14)&lt;=1,VALUE(U14)&lt;=1),"オフショア候補",IF(AND(VALUE(T14)&lt;=1,VALUE(U14)&lt;=1),"ニアショア候補","社内で手順化→再評価")))))</f>
        <v/>
      </c>
      <c r="AF14">
        <f>IF(W14&lt;&gt;"OK","",14-SUMPRODUCT(--O14:U14))</f>
        <v/>
      </c>
      <c r="AG14" s="33">
        <f>IF(W14&lt;&gt;"OK","",AM14*AN14/60)</f>
        <v/>
      </c>
      <c r="AH14" s="34">
        <f>IF(A14="","",UPPER(TRIM(ASC(A14&amp;""))))</f>
        <v/>
      </c>
      <c r="AI14" s="34">
        <f>IF(AH14="","",AH14&amp;"-"&amp;B14)</f>
        <v/>
      </c>
      <c r="AJ14" s="34">
        <f>IF(C14="","",IFERROR(VALUE(ASC(SUBSTITUTE(C14&amp;"","観点",""))),""))</f>
        <v/>
      </c>
      <c r="AK14" s="34">
        <f>IF(E14="","",UPPER(LEFT(TRIM(ASC(E14&amp;"")),3)))</f>
        <v/>
      </c>
      <c r="AL14" s="34">
        <f>IF(I14="","",IFERROR(VALUE(SUBSTITUTE(SUBSTITUTE(SUBSTITUTE(SUBSTITUTE(SUBSTITUTE(SUBSTITUTE(SUBSTITUTE(SUBSTITUTE(SUBSTITUTE(SUBSTITUTE(SUBSTITUTE(SUBSTITUTE(ASC(I14&amp;""),"約",""),"程度",""),"ほど",""),"回",""),"毎",""),"週",""),"月",""),"年",""),"日",""),"に",""),"/","")," ","")),""))</f>
        <v/>
      </c>
      <c r="AM14" s="34">
        <f>IF(I14="","",IF(ISNUMBER(I14),I14,IFERROR(VALUE(ASC(I14&amp;"")),IF(AL14&lt;&gt;"",AL14*IF(ISNUMBER(SEARCH("週",I14)),4.3,IF(ISNUMBER(SEARCH("年",I14)),1/12,IF(ISNUMBER(SEARCH("日",I14)),20,1))),IF(ISNUMBER(SEARCH("日",I14)),20,IF(ISNUMBER(SEARCH("週",I14)),4.3,IF(ISNUMBER(SEARCH("月",I14)),1,"")))))))</f>
        <v/>
      </c>
      <c r="AN14" s="34">
        <f>IF(J14="","",IF(ISNUMBER(J14),J14,IFERROR(VALUE(ASC(J14&amp;"")),IF(ISNUMBER(SEARCH("時間",J14)),IFERROR(VALUE(SUBSTITUTE(SUBSTITUTE(SUBSTITUTE(SUBSTITUTE(SUBSTITUTE(ASC(J14&amp;""),"約",""),"程度",""),"ほど",""),"時間","")," ",""))*60,""),IFERROR(VALUE(SUBSTITUTE(SUBSTITUTE(SUBSTITUTE(SUBSTITUTE(SUBSTITUTE(ASC(J14&amp;""),"約",""),"程度",""),"ほど",""),"分","")," ","")),"")))))</f>
        <v/>
      </c>
      <c r="AO14" s="34">
        <f>IF(K14="","",IF(ISNUMBER(K14),K14,IFERROR(VALUE(SUBSTITUTE(SUBSTITUTE(SUBSTITUTE(ASC(K14&amp;""),"約",""),"件","")," ","")),"")))</f>
        <v/>
      </c>
      <c r="AP14" s="34">
        <f>IF(W14&lt;&gt;"OK","",IF(COUNTIFS($D$5:$D$404,D14,$W$5:$W$404,"OK")&gt;1,"同名あり",""))</f>
        <v/>
      </c>
      <c r="AQ14" s="35">
        <f>IF(L14="","",IF(ISNUMBER(L14),L14,IFERROR(DATEVALUE(SUBSTITUTE(SUBSTITUTE(ASC(L14&amp;""),"-","/"),".","/")&amp;"/01"),"")))</f>
        <v/>
      </c>
      <c r="AR14" s="35">
        <f>IF(M14="","",IF(ISNUMBER(M14),M14,IFERROR(DATEVALUE(SUBSTITUTE(SUBSTITUTE(ASC(M14&amp;""),"-","/"),".","/")&amp;"/01"),"")))</f>
        <v/>
      </c>
      <c r="AS14" s="34">
        <f>IF(OR(W14&lt;&gt;"OK",AQ14=""),"",IF(AQ14&gt;='01_設定'!$C$26,1,0))</f>
        <v/>
      </c>
      <c r="AT14" s="34">
        <f>IF(AND(W14="OK",Y14&lt;&gt;"除外"),COUNTIFS($W$5:W14,"OK",$Y$5:Y14,"&lt;&gt;除外"),"")</f>
        <v/>
      </c>
      <c r="AU14" s="34">
        <f>IF(OR(AT14="",AD14=""),"",AD14+ROW()/1000000000)</f>
        <v/>
      </c>
    </row>
    <row r="15">
      <c r="W15">
        <f>IF(AND(A15="",D15=""),"",IF(ISNUMBER(SEARCH("##END",AH15)),"（終わりの印）",IF(ISNUMBER(SEARCH("##続き",AH15)),"（続きありの印）",IF(AH15="調査ID","（見出し行）",IF(AND(AH15&lt;&gt;"R1",AH15&lt;&gt;"R2"),"×表以外の行（集計されない）",IF(COUNTIF($AI$5:AI15,AI15)&gt;1,"△重複（集計されない）",IF(D15="","△タスク名なし",IF(ISNA(MATCH(AK15,'M1_類型マスタ'!$A$5:$A$19,0)),"△類型が不正",IF(OR(AM15="",AN15=""),"△回数・分が読めない",IF(SUMPRODUCT(--ISNUMBER(--O15:U15))&lt;7,"△採点が足りない",IF(SUMPRODUCT((--O15:U15&gt;2)+(--O15:U15&lt;0))&gt;0,"△採点が範囲外","OK")))))))))))</f>
        <v/>
      </c>
      <c r="X15">
        <f>IF(W15&lt;&gt;"OK","",TRIM(IF(AND(AO15&lt;&gt;"",N(AO15)&lt;=1),"根拠1件 ","")&amp;IF(AP15&lt;&gt;"","同名あり ","")&amp;IF(AND(NOT(ISNUMBER(I15)),I15&lt;&gt;""),"回数を換算 ","")))</f>
        <v/>
      </c>
      <c r="Y15" s="31" t="n"/>
      <c r="Z15" s="32" t="n"/>
      <c r="AA15" s="32" t="n"/>
      <c r="AB15" s="31" t="n"/>
      <c r="AC15">
        <f>IF(W15&lt;&gt;"OK","",IF(AB15&lt;&gt;"",AB15,AE15))</f>
        <v/>
      </c>
      <c r="AD15" s="33">
        <f>IF(W15&lt;&gt;"OK","",IFERROR(IF(Z15&lt;&gt;"",Z15,AM15)*IF(AA15&lt;&gt;"",AA15,AN15)/60,""))</f>
        <v/>
      </c>
      <c r="AE15">
        <f>IF(W15&lt;&gt;"OK","",IF(OR(VALUE(O15)=2,VALUE(P15)=2,VALUE(Q15)=2),"社内残置",IF(AND(VALUE(O15)=0,VALUE(R15)=0,VALUE(T15)=0),"自動化候補",IF(AND(VALUE(P15)=0,VALUE(R15)&lt;=1,VALUE(S15)&lt;=1,VALUE(T15)&lt;=1,VALUE(U15)&lt;=1),"オフショア候補",IF(AND(VALUE(T15)&lt;=1,VALUE(U15)&lt;=1),"ニアショア候補","社内で手順化→再評価")))))</f>
        <v/>
      </c>
      <c r="AF15">
        <f>IF(W15&lt;&gt;"OK","",14-SUMPRODUCT(--O15:U15))</f>
        <v/>
      </c>
      <c r="AG15" s="33">
        <f>IF(W15&lt;&gt;"OK","",AM15*AN15/60)</f>
        <v/>
      </c>
      <c r="AH15" s="34">
        <f>IF(A15="","",UPPER(TRIM(ASC(A15&amp;""))))</f>
        <v/>
      </c>
      <c r="AI15" s="34">
        <f>IF(AH15="","",AH15&amp;"-"&amp;B15)</f>
        <v/>
      </c>
      <c r="AJ15" s="34">
        <f>IF(C15="","",IFERROR(VALUE(ASC(SUBSTITUTE(C15&amp;"","観点",""))),""))</f>
        <v/>
      </c>
      <c r="AK15" s="34">
        <f>IF(E15="","",UPPER(LEFT(TRIM(ASC(E15&amp;"")),3)))</f>
        <v/>
      </c>
      <c r="AL15" s="34">
        <f>IF(I15="","",IFERROR(VALUE(SUBSTITUTE(SUBSTITUTE(SUBSTITUTE(SUBSTITUTE(SUBSTITUTE(SUBSTITUTE(SUBSTITUTE(SUBSTITUTE(SUBSTITUTE(SUBSTITUTE(SUBSTITUTE(SUBSTITUTE(ASC(I15&amp;""),"約",""),"程度",""),"ほど",""),"回",""),"毎",""),"週",""),"月",""),"年",""),"日",""),"に",""),"/","")," ","")),""))</f>
        <v/>
      </c>
      <c r="AM15" s="34">
        <f>IF(I15="","",IF(ISNUMBER(I15),I15,IFERROR(VALUE(ASC(I15&amp;"")),IF(AL15&lt;&gt;"",AL15*IF(ISNUMBER(SEARCH("週",I15)),4.3,IF(ISNUMBER(SEARCH("年",I15)),1/12,IF(ISNUMBER(SEARCH("日",I15)),20,1))),IF(ISNUMBER(SEARCH("日",I15)),20,IF(ISNUMBER(SEARCH("週",I15)),4.3,IF(ISNUMBER(SEARCH("月",I15)),1,"")))))))</f>
        <v/>
      </c>
      <c r="AN15" s="34">
        <f>IF(J15="","",IF(ISNUMBER(J15),J15,IFERROR(VALUE(ASC(J15&amp;"")),IF(ISNUMBER(SEARCH("時間",J15)),IFERROR(VALUE(SUBSTITUTE(SUBSTITUTE(SUBSTITUTE(SUBSTITUTE(SUBSTITUTE(ASC(J15&amp;""),"約",""),"程度",""),"ほど",""),"時間","")," ",""))*60,""),IFERROR(VALUE(SUBSTITUTE(SUBSTITUTE(SUBSTITUTE(SUBSTITUTE(SUBSTITUTE(ASC(J15&amp;""),"約",""),"程度",""),"ほど",""),"分","")," ","")),"")))))</f>
        <v/>
      </c>
      <c r="AO15" s="34">
        <f>IF(K15="","",IF(ISNUMBER(K15),K15,IFERROR(VALUE(SUBSTITUTE(SUBSTITUTE(SUBSTITUTE(ASC(K15&amp;""),"約",""),"件","")," ","")),"")))</f>
        <v/>
      </c>
      <c r="AP15" s="34">
        <f>IF(W15&lt;&gt;"OK","",IF(COUNTIFS($D$5:$D$404,D15,$W$5:$W$404,"OK")&gt;1,"同名あり",""))</f>
        <v/>
      </c>
      <c r="AQ15" s="35">
        <f>IF(L15="","",IF(ISNUMBER(L15),L15,IFERROR(DATEVALUE(SUBSTITUTE(SUBSTITUTE(ASC(L15&amp;""),"-","/"),".","/")&amp;"/01"),"")))</f>
        <v/>
      </c>
      <c r="AR15" s="35">
        <f>IF(M15="","",IF(ISNUMBER(M15),M15,IFERROR(DATEVALUE(SUBSTITUTE(SUBSTITUTE(ASC(M15&amp;""),"-","/"),".","/")&amp;"/01"),"")))</f>
        <v/>
      </c>
      <c r="AS15" s="34">
        <f>IF(OR(W15&lt;&gt;"OK",AQ15=""),"",IF(AQ15&gt;='01_設定'!$C$26,1,0))</f>
        <v/>
      </c>
      <c r="AT15" s="34">
        <f>IF(AND(W15="OK",Y15&lt;&gt;"除外"),COUNTIFS($W$5:W15,"OK",$Y$5:Y15,"&lt;&gt;除外"),"")</f>
        <v/>
      </c>
      <c r="AU15" s="34">
        <f>IF(OR(AT15="",AD15=""),"",AD15+ROW()/1000000000)</f>
        <v/>
      </c>
    </row>
    <row r="16">
      <c r="W16">
        <f>IF(AND(A16="",D16=""),"",IF(ISNUMBER(SEARCH("##END",AH16)),"（終わりの印）",IF(ISNUMBER(SEARCH("##続き",AH16)),"（続きありの印）",IF(AH16="調査ID","（見出し行）",IF(AND(AH16&lt;&gt;"R1",AH16&lt;&gt;"R2"),"×表以外の行（集計されない）",IF(COUNTIF($AI$5:AI16,AI16)&gt;1,"△重複（集計されない）",IF(D16="","△タスク名なし",IF(ISNA(MATCH(AK16,'M1_類型マスタ'!$A$5:$A$19,0)),"△類型が不正",IF(OR(AM16="",AN16=""),"△回数・分が読めない",IF(SUMPRODUCT(--ISNUMBER(--O16:U16))&lt;7,"△採点が足りない",IF(SUMPRODUCT((--O16:U16&gt;2)+(--O16:U16&lt;0))&gt;0,"△採点が範囲外","OK")))))))))))</f>
        <v/>
      </c>
      <c r="X16">
        <f>IF(W16&lt;&gt;"OK","",TRIM(IF(AND(AO16&lt;&gt;"",N(AO16)&lt;=1),"根拠1件 ","")&amp;IF(AP16&lt;&gt;"","同名あり ","")&amp;IF(AND(NOT(ISNUMBER(I16)),I16&lt;&gt;""),"回数を換算 ","")))</f>
        <v/>
      </c>
      <c r="Y16" s="31" t="n"/>
      <c r="Z16" s="32" t="n"/>
      <c r="AA16" s="32" t="n"/>
      <c r="AB16" s="31" t="n"/>
      <c r="AC16">
        <f>IF(W16&lt;&gt;"OK","",IF(AB16&lt;&gt;"",AB16,AE16))</f>
        <v/>
      </c>
      <c r="AD16" s="33">
        <f>IF(W16&lt;&gt;"OK","",IFERROR(IF(Z16&lt;&gt;"",Z16,AM16)*IF(AA16&lt;&gt;"",AA16,AN16)/60,""))</f>
        <v/>
      </c>
      <c r="AE16">
        <f>IF(W16&lt;&gt;"OK","",IF(OR(VALUE(O16)=2,VALUE(P16)=2,VALUE(Q16)=2),"社内残置",IF(AND(VALUE(O16)=0,VALUE(R16)=0,VALUE(T16)=0),"自動化候補",IF(AND(VALUE(P16)=0,VALUE(R16)&lt;=1,VALUE(S16)&lt;=1,VALUE(T16)&lt;=1,VALUE(U16)&lt;=1),"オフショア候補",IF(AND(VALUE(T16)&lt;=1,VALUE(U16)&lt;=1),"ニアショア候補","社内で手順化→再評価")))))</f>
        <v/>
      </c>
      <c r="AF16">
        <f>IF(W16&lt;&gt;"OK","",14-SUMPRODUCT(--O16:U16))</f>
        <v/>
      </c>
      <c r="AG16" s="33">
        <f>IF(W16&lt;&gt;"OK","",AM16*AN16/60)</f>
        <v/>
      </c>
      <c r="AH16" s="34">
        <f>IF(A16="","",UPPER(TRIM(ASC(A16&amp;""))))</f>
        <v/>
      </c>
      <c r="AI16" s="34">
        <f>IF(AH16="","",AH16&amp;"-"&amp;B16)</f>
        <v/>
      </c>
      <c r="AJ16" s="34">
        <f>IF(C16="","",IFERROR(VALUE(ASC(SUBSTITUTE(C16&amp;"","観点",""))),""))</f>
        <v/>
      </c>
      <c r="AK16" s="34">
        <f>IF(E16="","",UPPER(LEFT(TRIM(ASC(E16&amp;"")),3)))</f>
        <v/>
      </c>
      <c r="AL16" s="34">
        <f>IF(I16="","",IFERROR(VALUE(SUBSTITUTE(SUBSTITUTE(SUBSTITUTE(SUBSTITUTE(SUBSTITUTE(SUBSTITUTE(SUBSTITUTE(SUBSTITUTE(SUBSTITUTE(SUBSTITUTE(SUBSTITUTE(SUBSTITUTE(ASC(I16&amp;""),"約",""),"程度",""),"ほど",""),"回",""),"毎",""),"週",""),"月",""),"年",""),"日",""),"に",""),"/","")," ","")),""))</f>
        <v/>
      </c>
      <c r="AM16" s="34">
        <f>IF(I16="","",IF(ISNUMBER(I16),I16,IFERROR(VALUE(ASC(I16&amp;"")),IF(AL16&lt;&gt;"",AL16*IF(ISNUMBER(SEARCH("週",I16)),4.3,IF(ISNUMBER(SEARCH("年",I16)),1/12,IF(ISNUMBER(SEARCH("日",I16)),20,1))),IF(ISNUMBER(SEARCH("日",I16)),20,IF(ISNUMBER(SEARCH("週",I16)),4.3,IF(ISNUMBER(SEARCH("月",I16)),1,"")))))))</f>
        <v/>
      </c>
      <c r="AN16" s="34">
        <f>IF(J16="","",IF(ISNUMBER(J16),J16,IFERROR(VALUE(ASC(J16&amp;"")),IF(ISNUMBER(SEARCH("時間",J16)),IFERROR(VALUE(SUBSTITUTE(SUBSTITUTE(SUBSTITUTE(SUBSTITUTE(SUBSTITUTE(ASC(J16&amp;""),"約",""),"程度",""),"ほど",""),"時間","")," ",""))*60,""),IFERROR(VALUE(SUBSTITUTE(SUBSTITUTE(SUBSTITUTE(SUBSTITUTE(SUBSTITUTE(ASC(J16&amp;""),"約",""),"程度",""),"ほど",""),"分","")," ","")),"")))))</f>
        <v/>
      </c>
      <c r="AO16" s="34">
        <f>IF(K16="","",IF(ISNUMBER(K16),K16,IFERROR(VALUE(SUBSTITUTE(SUBSTITUTE(SUBSTITUTE(ASC(K16&amp;""),"約",""),"件","")," ","")),"")))</f>
        <v/>
      </c>
      <c r="AP16" s="34">
        <f>IF(W16&lt;&gt;"OK","",IF(COUNTIFS($D$5:$D$404,D16,$W$5:$W$404,"OK")&gt;1,"同名あり",""))</f>
        <v/>
      </c>
      <c r="AQ16" s="35">
        <f>IF(L16="","",IF(ISNUMBER(L16),L16,IFERROR(DATEVALUE(SUBSTITUTE(SUBSTITUTE(ASC(L16&amp;""),"-","/"),".","/")&amp;"/01"),"")))</f>
        <v/>
      </c>
      <c r="AR16" s="35">
        <f>IF(M16="","",IF(ISNUMBER(M16),M16,IFERROR(DATEVALUE(SUBSTITUTE(SUBSTITUTE(ASC(M16&amp;""),"-","/"),".","/")&amp;"/01"),"")))</f>
        <v/>
      </c>
      <c r="AS16" s="34">
        <f>IF(OR(W16&lt;&gt;"OK",AQ16=""),"",IF(AQ16&gt;='01_設定'!$C$26,1,0))</f>
        <v/>
      </c>
      <c r="AT16" s="34">
        <f>IF(AND(W16="OK",Y16&lt;&gt;"除外"),COUNTIFS($W$5:W16,"OK",$Y$5:Y16,"&lt;&gt;除外"),"")</f>
        <v/>
      </c>
      <c r="AU16" s="34">
        <f>IF(OR(AT16="",AD16=""),"",AD16+ROW()/1000000000)</f>
        <v/>
      </c>
    </row>
    <row r="17">
      <c r="W17">
        <f>IF(AND(A17="",D17=""),"",IF(ISNUMBER(SEARCH("##END",AH17)),"（終わりの印）",IF(ISNUMBER(SEARCH("##続き",AH17)),"（続きありの印）",IF(AH17="調査ID","（見出し行）",IF(AND(AH17&lt;&gt;"R1",AH17&lt;&gt;"R2"),"×表以外の行（集計されない）",IF(COUNTIF($AI$5:AI17,AI17)&gt;1,"△重複（集計されない）",IF(D17="","△タスク名なし",IF(ISNA(MATCH(AK17,'M1_類型マスタ'!$A$5:$A$19,0)),"△類型が不正",IF(OR(AM17="",AN17=""),"△回数・分が読めない",IF(SUMPRODUCT(--ISNUMBER(--O17:U17))&lt;7,"△採点が足りない",IF(SUMPRODUCT((--O17:U17&gt;2)+(--O17:U17&lt;0))&gt;0,"△採点が範囲外","OK")))))))))))</f>
        <v/>
      </c>
      <c r="X17">
        <f>IF(W17&lt;&gt;"OK","",TRIM(IF(AND(AO17&lt;&gt;"",N(AO17)&lt;=1),"根拠1件 ","")&amp;IF(AP17&lt;&gt;"","同名あり ","")&amp;IF(AND(NOT(ISNUMBER(I17)),I17&lt;&gt;""),"回数を換算 ","")))</f>
        <v/>
      </c>
      <c r="Y17" s="31" t="n"/>
      <c r="Z17" s="32" t="n"/>
      <c r="AA17" s="32" t="n"/>
      <c r="AB17" s="31" t="n"/>
      <c r="AC17">
        <f>IF(W17&lt;&gt;"OK","",IF(AB17&lt;&gt;"",AB17,AE17))</f>
        <v/>
      </c>
      <c r="AD17" s="33">
        <f>IF(W17&lt;&gt;"OK","",IFERROR(IF(Z17&lt;&gt;"",Z17,AM17)*IF(AA17&lt;&gt;"",AA17,AN17)/60,""))</f>
        <v/>
      </c>
      <c r="AE17">
        <f>IF(W17&lt;&gt;"OK","",IF(OR(VALUE(O17)=2,VALUE(P17)=2,VALUE(Q17)=2),"社内残置",IF(AND(VALUE(O17)=0,VALUE(R17)=0,VALUE(T17)=0),"自動化候補",IF(AND(VALUE(P17)=0,VALUE(R17)&lt;=1,VALUE(S17)&lt;=1,VALUE(T17)&lt;=1,VALUE(U17)&lt;=1),"オフショア候補",IF(AND(VALUE(T17)&lt;=1,VALUE(U17)&lt;=1),"ニアショア候補","社内で手順化→再評価")))))</f>
        <v/>
      </c>
      <c r="AF17">
        <f>IF(W17&lt;&gt;"OK","",14-SUMPRODUCT(--O17:U17))</f>
        <v/>
      </c>
      <c r="AG17" s="33">
        <f>IF(W17&lt;&gt;"OK","",AM17*AN17/60)</f>
        <v/>
      </c>
      <c r="AH17" s="34">
        <f>IF(A17="","",UPPER(TRIM(ASC(A17&amp;""))))</f>
        <v/>
      </c>
      <c r="AI17" s="34">
        <f>IF(AH17="","",AH17&amp;"-"&amp;B17)</f>
        <v/>
      </c>
      <c r="AJ17" s="34">
        <f>IF(C17="","",IFERROR(VALUE(ASC(SUBSTITUTE(C17&amp;"","観点",""))),""))</f>
        <v/>
      </c>
      <c r="AK17" s="34">
        <f>IF(E17="","",UPPER(LEFT(TRIM(ASC(E17&amp;"")),3)))</f>
        <v/>
      </c>
      <c r="AL17" s="34">
        <f>IF(I17="","",IFERROR(VALUE(SUBSTITUTE(SUBSTITUTE(SUBSTITUTE(SUBSTITUTE(SUBSTITUTE(SUBSTITUTE(SUBSTITUTE(SUBSTITUTE(SUBSTITUTE(SUBSTITUTE(SUBSTITUTE(SUBSTITUTE(ASC(I17&amp;""),"約",""),"程度",""),"ほど",""),"回",""),"毎",""),"週",""),"月",""),"年",""),"日",""),"に",""),"/","")," ","")),""))</f>
        <v/>
      </c>
      <c r="AM17" s="34">
        <f>IF(I17="","",IF(ISNUMBER(I17),I17,IFERROR(VALUE(ASC(I17&amp;"")),IF(AL17&lt;&gt;"",AL17*IF(ISNUMBER(SEARCH("週",I17)),4.3,IF(ISNUMBER(SEARCH("年",I17)),1/12,IF(ISNUMBER(SEARCH("日",I17)),20,1))),IF(ISNUMBER(SEARCH("日",I17)),20,IF(ISNUMBER(SEARCH("週",I17)),4.3,IF(ISNUMBER(SEARCH("月",I17)),1,"")))))))</f>
        <v/>
      </c>
      <c r="AN17" s="34">
        <f>IF(J17="","",IF(ISNUMBER(J17),J17,IFERROR(VALUE(ASC(J17&amp;"")),IF(ISNUMBER(SEARCH("時間",J17)),IFERROR(VALUE(SUBSTITUTE(SUBSTITUTE(SUBSTITUTE(SUBSTITUTE(SUBSTITUTE(ASC(J17&amp;""),"約",""),"程度",""),"ほど",""),"時間","")," ",""))*60,""),IFERROR(VALUE(SUBSTITUTE(SUBSTITUTE(SUBSTITUTE(SUBSTITUTE(SUBSTITUTE(ASC(J17&amp;""),"約",""),"程度",""),"ほど",""),"分","")," ","")),"")))))</f>
        <v/>
      </c>
      <c r="AO17" s="34">
        <f>IF(K17="","",IF(ISNUMBER(K17),K17,IFERROR(VALUE(SUBSTITUTE(SUBSTITUTE(SUBSTITUTE(ASC(K17&amp;""),"約",""),"件","")," ","")),"")))</f>
        <v/>
      </c>
      <c r="AP17" s="34">
        <f>IF(W17&lt;&gt;"OK","",IF(COUNTIFS($D$5:$D$404,D17,$W$5:$W$404,"OK")&gt;1,"同名あり",""))</f>
        <v/>
      </c>
      <c r="AQ17" s="35">
        <f>IF(L17="","",IF(ISNUMBER(L17),L17,IFERROR(DATEVALUE(SUBSTITUTE(SUBSTITUTE(ASC(L17&amp;""),"-","/"),".","/")&amp;"/01"),"")))</f>
        <v/>
      </c>
      <c r="AR17" s="35">
        <f>IF(M17="","",IF(ISNUMBER(M17),M17,IFERROR(DATEVALUE(SUBSTITUTE(SUBSTITUTE(ASC(M17&amp;""),"-","/"),".","/")&amp;"/01"),"")))</f>
        <v/>
      </c>
      <c r="AS17" s="34">
        <f>IF(OR(W17&lt;&gt;"OK",AQ17=""),"",IF(AQ17&gt;='01_設定'!$C$26,1,0))</f>
        <v/>
      </c>
      <c r="AT17" s="34">
        <f>IF(AND(W17="OK",Y17&lt;&gt;"除外"),COUNTIFS($W$5:W17,"OK",$Y$5:Y17,"&lt;&gt;除外"),"")</f>
        <v/>
      </c>
      <c r="AU17" s="34">
        <f>IF(OR(AT17="",AD17=""),"",AD17+ROW()/1000000000)</f>
        <v/>
      </c>
    </row>
    <row r="18">
      <c r="W18">
        <f>IF(AND(A18="",D18=""),"",IF(ISNUMBER(SEARCH("##END",AH18)),"（終わりの印）",IF(ISNUMBER(SEARCH("##続き",AH18)),"（続きありの印）",IF(AH18="調査ID","（見出し行）",IF(AND(AH18&lt;&gt;"R1",AH18&lt;&gt;"R2"),"×表以外の行（集計されない）",IF(COUNTIF($AI$5:AI18,AI18)&gt;1,"△重複（集計されない）",IF(D18="","△タスク名なし",IF(ISNA(MATCH(AK18,'M1_類型マスタ'!$A$5:$A$19,0)),"△類型が不正",IF(OR(AM18="",AN18=""),"△回数・分が読めない",IF(SUMPRODUCT(--ISNUMBER(--O18:U18))&lt;7,"△採点が足りない",IF(SUMPRODUCT((--O18:U18&gt;2)+(--O18:U18&lt;0))&gt;0,"△採点が範囲外","OK")))))))))))</f>
        <v/>
      </c>
      <c r="X18">
        <f>IF(W18&lt;&gt;"OK","",TRIM(IF(AND(AO18&lt;&gt;"",N(AO18)&lt;=1),"根拠1件 ","")&amp;IF(AP18&lt;&gt;"","同名あり ","")&amp;IF(AND(NOT(ISNUMBER(I18)),I18&lt;&gt;""),"回数を換算 ","")))</f>
        <v/>
      </c>
      <c r="Y18" s="31" t="n"/>
      <c r="Z18" s="32" t="n"/>
      <c r="AA18" s="32" t="n"/>
      <c r="AB18" s="31" t="n"/>
      <c r="AC18">
        <f>IF(W18&lt;&gt;"OK","",IF(AB18&lt;&gt;"",AB18,AE18))</f>
        <v/>
      </c>
      <c r="AD18" s="33">
        <f>IF(W18&lt;&gt;"OK","",IFERROR(IF(Z18&lt;&gt;"",Z18,AM18)*IF(AA18&lt;&gt;"",AA18,AN18)/60,""))</f>
        <v/>
      </c>
      <c r="AE18">
        <f>IF(W18&lt;&gt;"OK","",IF(OR(VALUE(O18)=2,VALUE(P18)=2,VALUE(Q18)=2),"社内残置",IF(AND(VALUE(O18)=0,VALUE(R18)=0,VALUE(T18)=0),"自動化候補",IF(AND(VALUE(P18)=0,VALUE(R18)&lt;=1,VALUE(S18)&lt;=1,VALUE(T18)&lt;=1,VALUE(U18)&lt;=1),"オフショア候補",IF(AND(VALUE(T18)&lt;=1,VALUE(U18)&lt;=1),"ニアショア候補","社内で手順化→再評価")))))</f>
        <v/>
      </c>
      <c r="AF18">
        <f>IF(W18&lt;&gt;"OK","",14-SUMPRODUCT(--O18:U18))</f>
        <v/>
      </c>
      <c r="AG18" s="33">
        <f>IF(W18&lt;&gt;"OK","",AM18*AN18/60)</f>
        <v/>
      </c>
      <c r="AH18" s="34">
        <f>IF(A18="","",UPPER(TRIM(ASC(A18&amp;""))))</f>
        <v/>
      </c>
      <c r="AI18" s="34">
        <f>IF(AH18="","",AH18&amp;"-"&amp;B18)</f>
        <v/>
      </c>
      <c r="AJ18" s="34">
        <f>IF(C18="","",IFERROR(VALUE(ASC(SUBSTITUTE(C18&amp;"","観点",""))),""))</f>
        <v/>
      </c>
      <c r="AK18" s="34">
        <f>IF(E18="","",UPPER(LEFT(TRIM(ASC(E18&amp;"")),3)))</f>
        <v/>
      </c>
      <c r="AL18" s="34">
        <f>IF(I18="","",IFERROR(VALUE(SUBSTITUTE(SUBSTITUTE(SUBSTITUTE(SUBSTITUTE(SUBSTITUTE(SUBSTITUTE(SUBSTITUTE(SUBSTITUTE(SUBSTITUTE(SUBSTITUTE(SUBSTITUTE(SUBSTITUTE(ASC(I18&amp;""),"約",""),"程度",""),"ほど",""),"回",""),"毎",""),"週",""),"月",""),"年",""),"日",""),"に",""),"/","")," ","")),""))</f>
        <v/>
      </c>
      <c r="AM18" s="34">
        <f>IF(I18="","",IF(ISNUMBER(I18),I18,IFERROR(VALUE(ASC(I18&amp;"")),IF(AL18&lt;&gt;"",AL18*IF(ISNUMBER(SEARCH("週",I18)),4.3,IF(ISNUMBER(SEARCH("年",I18)),1/12,IF(ISNUMBER(SEARCH("日",I18)),20,1))),IF(ISNUMBER(SEARCH("日",I18)),20,IF(ISNUMBER(SEARCH("週",I18)),4.3,IF(ISNUMBER(SEARCH("月",I18)),1,"")))))))</f>
        <v/>
      </c>
      <c r="AN18" s="34">
        <f>IF(J18="","",IF(ISNUMBER(J18),J18,IFERROR(VALUE(ASC(J18&amp;"")),IF(ISNUMBER(SEARCH("時間",J18)),IFERROR(VALUE(SUBSTITUTE(SUBSTITUTE(SUBSTITUTE(SUBSTITUTE(SUBSTITUTE(ASC(J18&amp;""),"約",""),"程度",""),"ほど",""),"時間","")," ",""))*60,""),IFERROR(VALUE(SUBSTITUTE(SUBSTITUTE(SUBSTITUTE(SUBSTITUTE(SUBSTITUTE(ASC(J18&amp;""),"約",""),"程度",""),"ほど",""),"分","")," ","")),"")))))</f>
        <v/>
      </c>
      <c r="AO18" s="34">
        <f>IF(K18="","",IF(ISNUMBER(K18),K18,IFERROR(VALUE(SUBSTITUTE(SUBSTITUTE(SUBSTITUTE(ASC(K18&amp;""),"約",""),"件","")," ","")),"")))</f>
        <v/>
      </c>
      <c r="AP18" s="34">
        <f>IF(W18&lt;&gt;"OK","",IF(COUNTIFS($D$5:$D$404,D18,$W$5:$W$404,"OK")&gt;1,"同名あり",""))</f>
        <v/>
      </c>
      <c r="AQ18" s="35">
        <f>IF(L18="","",IF(ISNUMBER(L18),L18,IFERROR(DATEVALUE(SUBSTITUTE(SUBSTITUTE(ASC(L18&amp;""),"-","/"),".","/")&amp;"/01"),"")))</f>
        <v/>
      </c>
      <c r="AR18" s="35">
        <f>IF(M18="","",IF(ISNUMBER(M18),M18,IFERROR(DATEVALUE(SUBSTITUTE(SUBSTITUTE(ASC(M18&amp;""),"-","/"),".","/")&amp;"/01"),"")))</f>
        <v/>
      </c>
      <c r="AS18" s="34">
        <f>IF(OR(W18&lt;&gt;"OK",AQ18=""),"",IF(AQ18&gt;='01_設定'!$C$26,1,0))</f>
        <v/>
      </c>
      <c r="AT18" s="34">
        <f>IF(AND(W18="OK",Y18&lt;&gt;"除外"),COUNTIFS($W$5:W18,"OK",$Y$5:Y18,"&lt;&gt;除外"),"")</f>
        <v/>
      </c>
      <c r="AU18" s="34">
        <f>IF(OR(AT18="",AD18=""),"",AD18+ROW()/1000000000)</f>
        <v/>
      </c>
    </row>
    <row r="19">
      <c r="W19">
        <f>IF(AND(A19="",D19=""),"",IF(ISNUMBER(SEARCH("##END",AH19)),"（終わりの印）",IF(ISNUMBER(SEARCH("##続き",AH19)),"（続きありの印）",IF(AH19="調査ID","（見出し行）",IF(AND(AH19&lt;&gt;"R1",AH19&lt;&gt;"R2"),"×表以外の行（集計されない）",IF(COUNTIF($AI$5:AI19,AI19)&gt;1,"△重複（集計されない）",IF(D19="","△タスク名なし",IF(ISNA(MATCH(AK19,'M1_類型マスタ'!$A$5:$A$19,0)),"△類型が不正",IF(OR(AM19="",AN19=""),"△回数・分が読めない",IF(SUMPRODUCT(--ISNUMBER(--O19:U19))&lt;7,"△採点が足りない",IF(SUMPRODUCT((--O19:U19&gt;2)+(--O19:U19&lt;0))&gt;0,"△採点が範囲外","OK")))))))))))</f>
        <v/>
      </c>
      <c r="X19">
        <f>IF(W19&lt;&gt;"OK","",TRIM(IF(AND(AO19&lt;&gt;"",N(AO19)&lt;=1),"根拠1件 ","")&amp;IF(AP19&lt;&gt;"","同名あり ","")&amp;IF(AND(NOT(ISNUMBER(I19)),I19&lt;&gt;""),"回数を換算 ","")))</f>
        <v/>
      </c>
      <c r="Y19" s="31" t="n"/>
      <c r="Z19" s="32" t="n"/>
      <c r="AA19" s="32" t="n"/>
      <c r="AB19" s="31" t="n"/>
      <c r="AC19">
        <f>IF(W19&lt;&gt;"OK","",IF(AB19&lt;&gt;"",AB19,AE19))</f>
        <v/>
      </c>
      <c r="AD19" s="33">
        <f>IF(W19&lt;&gt;"OK","",IFERROR(IF(Z19&lt;&gt;"",Z19,AM19)*IF(AA19&lt;&gt;"",AA19,AN19)/60,""))</f>
        <v/>
      </c>
      <c r="AE19">
        <f>IF(W19&lt;&gt;"OK","",IF(OR(VALUE(O19)=2,VALUE(P19)=2,VALUE(Q19)=2),"社内残置",IF(AND(VALUE(O19)=0,VALUE(R19)=0,VALUE(T19)=0),"自動化候補",IF(AND(VALUE(P19)=0,VALUE(R19)&lt;=1,VALUE(S19)&lt;=1,VALUE(T19)&lt;=1,VALUE(U19)&lt;=1),"オフショア候補",IF(AND(VALUE(T19)&lt;=1,VALUE(U19)&lt;=1),"ニアショア候補","社内で手順化→再評価")))))</f>
        <v/>
      </c>
      <c r="AF19">
        <f>IF(W19&lt;&gt;"OK","",14-SUMPRODUCT(--O19:U19))</f>
        <v/>
      </c>
      <c r="AG19" s="33">
        <f>IF(W19&lt;&gt;"OK","",AM19*AN19/60)</f>
        <v/>
      </c>
      <c r="AH19" s="34">
        <f>IF(A19="","",UPPER(TRIM(ASC(A19&amp;""))))</f>
        <v/>
      </c>
      <c r="AI19" s="34">
        <f>IF(AH19="","",AH19&amp;"-"&amp;B19)</f>
        <v/>
      </c>
      <c r="AJ19" s="34">
        <f>IF(C19="","",IFERROR(VALUE(ASC(SUBSTITUTE(C19&amp;"","観点",""))),""))</f>
        <v/>
      </c>
      <c r="AK19" s="34">
        <f>IF(E19="","",UPPER(LEFT(TRIM(ASC(E19&amp;"")),3)))</f>
        <v/>
      </c>
      <c r="AL19" s="34">
        <f>IF(I19="","",IFERROR(VALUE(SUBSTITUTE(SUBSTITUTE(SUBSTITUTE(SUBSTITUTE(SUBSTITUTE(SUBSTITUTE(SUBSTITUTE(SUBSTITUTE(SUBSTITUTE(SUBSTITUTE(SUBSTITUTE(SUBSTITUTE(ASC(I19&amp;""),"約",""),"程度",""),"ほど",""),"回",""),"毎",""),"週",""),"月",""),"年",""),"日",""),"に",""),"/","")," ","")),""))</f>
        <v/>
      </c>
      <c r="AM19" s="34">
        <f>IF(I19="","",IF(ISNUMBER(I19),I19,IFERROR(VALUE(ASC(I19&amp;"")),IF(AL19&lt;&gt;"",AL19*IF(ISNUMBER(SEARCH("週",I19)),4.3,IF(ISNUMBER(SEARCH("年",I19)),1/12,IF(ISNUMBER(SEARCH("日",I19)),20,1))),IF(ISNUMBER(SEARCH("日",I19)),20,IF(ISNUMBER(SEARCH("週",I19)),4.3,IF(ISNUMBER(SEARCH("月",I19)),1,"")))))))</f>
        <v/>
      </c>
      <c r="AN19" s="34">
        <f>IF(J19="","",IF(ISNUMBER(J19),J19,IFERROR(VALUE(ASC(J19&amp;"")),IF(ISNUMBER(SEARCH("時間",J19)),IFERROR(VALUE(SUBSTITUTE(SUBSTITUTE(SUBSTITUTE(SUBSTITUTE(SUBSTITUTE(ASC(J19&amp;""),"約",""),"程度",""),"ほど",""),"時間","")," ",""))*60,""),IFERROR(VALUE(SUBSTITUTE(SUBSTITUTE(SUBSTITUTE(SUBSTITUTE(SUBSTITUTE(ASC(J19&amp;""),"約",""),"程度",""),"ほど",""),"分","")," ","")),"")))))</f>
        <v/>
      </c>
      <c r="AO19" s="34">
        <f>IF(K19="","",IF(ISNUMBER(K19),K19,IFERROR(VALUE(SUBSTITUTE(SUBSTITUTE(SUBSTITUTE(ASC(K19&amp;""),"約",""),"件","")," ","")),"")))</f>
        <v/>
      </c>
      <c r="AP19" s="34">
        <f>IF(W19&lt;&gt;"OK","",IF(COUNTIFS($D$5:$D$404,D19,$W$5:$W$404,"OK")&gt;1,"同名あり",""))</f>
        <v/>
      </c>
      <c r="AQ19" s="35">
        <f>IF(L19="","",IF(ISNUMBER(L19),L19,IFERROR(DATEVALUE(SUBSTITUTE(SUBSTITUTE(ASC(L19&amp;""),"-","/"),".","/")&amp;"/01"),"")))</f>
        <v/>
      </c>
      <c r="AR19" s="35">
        <f>IF(M19="","",IF(ISNUMBER(M19),M19,IFERROR(DATEVALUE(SUBSTITUTE(SUBSTITUTE(ASC(M19&amp;""),"-","/"),".","/")&amp;"/01"),"")))</f>
        <v/>
      </c>
      <c r="AS19" s="34">
        <f>IF(OR(W19&lt;&gt;"OK",AQ19=""),"",IF(AQ19&gt;='01_設定'!$C$26,1,0))</f>
        <v/>
      </c>
      <c r="AT19" s="34">
        <f>IF(AND(W19="OK",Y19&lt;&gt;"除外"),COUNTIFS($W$5:W19,"OK",$Y$5:Y19,"&lt;&gt;除外"),"")</f>
        <v/>
      </c>
      <c r="AU19" s="34">
        <f>IF(OR(AT19="",AD19=""),"",AD19+ROW()/1000000000)</f>
        <v/>
      </c>
    </row>
    <row r="20">
      <c r="W20">
        <f>IF(AND(A20="",D20=""),"",IF(ISNUMBER(SEARCH("##END",AH20)),"（終わりの印）",IF(ISNUMBER(SEARCH("##続き",AH20)),"（続きありの印）",IF(AH20="調査ID","（見出し行）",IF(AND(AH20&lt;&gt;"R1",AH20&lt;&gt;"R2"),"×表以外の行（集計されない）",IF(COUNTIF($AI$5:AI20,AI20)&gt;1,"△重複（集計されない）",IF(D20="","△タスク名なし",IF(ISNA(MATCH(AK20,'M1_類型マスタ'!$A$5:$A$19,0)),"△類型が不正",IF(OR(AM20="",AN20=""),"△回数・分が読めない",IF(SUMPRODUCT(--ISNUMBER(--O20:U20))&lt;7,"△採点が足りない",IF(SUMPRODUCT((--O20:U20&gt;2)+(--O20:U20&lt;0))&gt;0,"△採点が範囲外","OK")))))))))))</f>
        <v/>
      </c>
      <c r="X20">
        <f>IF(W20&lt;&gt;"OK","",TRIM(IF(AND(AO20&lt;&gt;"",N(AO20)&lt;=1),"根拠1件 ","")&amp;IF(AP20&lt;&gt;"","同名あり ","")&amp;IF(AND(NOT(ISNUMBER(I20)),I20&lt;&gt;""),"回数を換算 ","")))</f>
        <v/>
      </c>
      <c r="Y20" s="31" t="n"/>
      <c r="Z20" s="32" t="n"/>
      <c r="AA20" s="32" t="n"/>
      <c r="AB20" s="31" t="n"/>
      <c r="AC20">
        <f>IF(W20&lt;&gt;"OK","",IF(AB20&lt;&gt;"",AB20,AE20))</f>
        <v/>
      </c>
      <c r="AD20" s="33">
        <f>IF(W20&lt;&gt;"OK","",IFERROR(IF(Z20&lt;&gt;"",Z20,AM20)*IF(AA20&lt;&gt;"",AA20,AN20)/60,""))</f>
        <v/>
      </c>
      <c r="AE20">
        <f>IF(W20&lt;&gt;"OK","",IF(OR(VALUE(O20)=2,VALUE(P20)=2,VALUE(Q20)=2),"社内残置",IF(AND(VALUE(O20)=0,VALUE(R20)=0,VALUE(T20)=0),"自動化候補",IF(AND(VALUE(P20)=0,VALUE(R20)&lt;=1,VALUE(S20)&lt;=1,VALUE(T20)&lt;=1,VALUE(U20)&lt;=1),"オフショア候補",IF(AND(VALUE(T20)&lt;=1,VALUE(U20)&lt;=1),"ニアショア候補","社内で手順化→再評価")))))</f>
        <v/>
      </c>
      <c r="AF20">
        <f>IF(W20&lt;&gt;"OK","",14-SUMPRODUCT(--O20:U20))</f>
        <v/>
      </c>
      <c r="AG20" s="33">
        <f>IF(W20&lt;&gt;"OK","",AM20*AN20/60)</f>
        <v/>
      </c>
      <c r="AH20" s="34">
        <f>IF(A20="","",UPPER(TRIM(ASC(A20&amp;""))))</f>
        <v/>
      </c>
      <c r="AI20" s="34">
        <f>IF(AH20="","",AH20&amp;"-"&amp;B20)</f>
        <v/>
      </c>
      <c r="AJ20" s="34">
        <f>IF(C20="","",IFERROR(VALUE(ASC(SUBSTITUTE(C20&amp;"","観点",""))),""))</f>
        <v/>
      </c>
      <c r="AK20" s="34">
        <f>IF(E20="","",UPPER(LEFT(TRIM(ASC(E20&amp;"")),3)))</f>
        <v/>
      </c>
      <c r="AL20" s="34">
        <f>IF(I20="","",IFERROR(VALUE(SUBSTITUTE(SUBSTITUTE(SUBSTITUTE(SUBSTITUTE(SUBSTITUTE(SUBSTITUTE(SUBSTITUTE(SUBSTITUTE(SUBSTITUTE(SUBSTITUTE(SUBSTITUTE(SUBSTITUTE(ASC(I20&amp;""),"約",""),"程度",""),"ほど",""),"回",""),"毎",""),"週",""),"月",""),"年",""),"日",""),"に",""),"/","")," ","")),""))</f>
        <v/>
      </c>
      <c r="AM20" s="34">
        <f>IF(I20="","",IF(ISNUMBER(I20),I20,IFERROR(VALUE(ASC(I20&amp;"")),IF(AL20&lt;&gt;"",AL20*IF(ISNUMBER(SEARCH("週",I20)),4.3,IF(ISNUMBER(SEARCH("年",I20)),1/12,IF(ISNUMBER(SEARCH("日",I20)),20,1))),IF(ISNUMBER(SEARCH("日",I20)),20,IF(ISNUMBER(SEARCH("週",I20)),4.3,IF(ISNUMBER(SEARCH("月",I20)),1,"")))))))</f>
        <v/>
      </c>
      <c r="AN20" s="34">
        <f>IF(J20="","",IF(ISNUMBER(J20),J20,IFERROR(VALUE(ASC(J20&amp;"")),IF(ISNUMBER(SEARCH("時間",J20)),IFERROR(VALUE(SUBSTITUTE(SUBSTITUTE(SUBSTITUTE(SUBSTITUTE(SUBSTITUTE(ASC(J20&amp;""),"約",""),"程度",""),"ほど",""),"時間","")," ",""))*60,""),IFERROR(VALUE(SUBSTITUTE(SUBSTITUTE(SUBSTITUTE(SUBSTITUTE(SUBSTITUTE(ASC(J20&amp;""),"約",""),"程度",""),"ほど",""),"分","")," ","")),"")))))</f>
        <v/>
      </c>
      <c r="AO20" s="34">
        <f>IF(K20="","",IF(ISNUMBER(K20),K20,IFERROR(VALUE(SUBSTITUTE(SUBSTITUTE(SUBSTITUTE(ASC(K20&amp;""),"約",""),"件","")," ","")),"")))</f>
        <v/>
      </c>
      <c r="AP20" s="34">
        <f>IF(W20&lt;&gt;"OK","",IF(COUNTIFS($D$5:$D$404,D20,$W$5:$W$404,"OK")&gt;1,"同名あり",""))</f>
        <v/>
      </c>
      <c r="AQ20" s="35">
        <f>IF(L20="","",IF(ISNUMBER(L20),L20,IFERROR(DATEVALUE(SUBSTITUTE(SUBSTITUTE(ASC(L20&amp;""),"-","/"),".","/")&amp;"/01"),"")))</f>
        <v/>
      </c>
      <c r="AR20" s="35">
        <f>IF(M20="","",IF(ISNUMBER(M20),M20,IFERROR(DATEVALUE(SUBSTITUTE(SUBSTITUTE(ASC(M20&amp;""),"-","/"),".","/")&amp;"/01"),"")))</f>
        <v/>
      </c>
      <c r="AS20" s="34">
        <f>IF(OR(W20&lt;&gt;"OK",AQ20=""),"",IF(AQ20&gt;='01_設定'!$C$26,1,0))</f>
        <v/>
      </c>
      <c r="AT20" s="34">
        <f>IF(AND(W20="OK",Y20&lt;&gt;"除外"),COUNTIFS($W$5:W20,"OK",$Y$5:Y20,"&lt;&gt;除外"),"")</f>
        <v/>
      </c>
      <c r="AU20" s="34">
        <f>IF(OR(AT20="",AD20=""),"",AD20+ROW()/1000000000)</f>
        <v/>
      </c>
    </row>
    <row r="21">
      <c r="W21">
        <f>IF(AND(A21="",D21=""),"",IF(ISNUMBER(SEARCH("##END",AH21)),"（終わりの印）",IF(ISNUMBER(SEARCH("##続き",AH21)),"（続きありの印）",IF(AH21="調査ID","（見出し行）",IF(AND(AH21&lt;&gt;"R1",AH21&lt;&gt;"R2"),"×表以外の行（集計されない）",IF(COUNTIF($AI$5:AI21,AI21)&gt;1,"△重複（集計されない）",IF(D21="","△タスク名なし",IF(ISNA(MATCH(AK21,'M1_類型マスタ'!$A$5:$A$19,0)),"△類型が不正",IF(OR(AM21="",AN21=""),"△回数・分が読めない",IF(SUMPRODUCT(--ISNUMBER(--O21:U21))&lt;7,"△採点が足りない",IF(SUMPRODUCT((--O21:U21&gt;2)+(--O21:U21&lt;0))&gt;0,"△採点が範囲外","OK")))))))))))</f>
        <v/>
      </c>
      <c r="X21">
        <f>IF(W21&lt;&gt;"OK","",TRIM(IF(AND(AO21&lt;&gt;"",N(AO21)&lt;=1),"根拠1件 ","")&amp;IF(AP21&lt;&gt;"","同名あり ","")&amp;IF(AND(NOT(ISNUMBER(I21)),I21&lt;&gt;""),"回数を換算 ","")))</f>
        <v/>
      </c>
      <c r="Y21" s="31" t="n"/>
      <c r="Z21" s="32" t="n"/>
      <c r="AA21" s="32" t="n"/>
      <c r="AB21" s="31" t="n"/>
      <c r="AC21">
        <f>IF(W21&lt;&gt;"OK","",IF(AB21&lt;&gt;"",AB21,AE21))</f>
        <v/>
      </c>
      <c r="AD21" s="33">
        <f>IF(W21&lt;&gt;"OK","",IFERROR(IF(Z21&lt;&gt;"",Z21,AM21)*IF(AA21&lt;&gt;"",AA21,AN21)/60,""))</f>
        <v/>
      </c>
      <c r="AE21">
        <f>IF(W21&lt;&gt;"OK","",IF(OR(VALUE(O21)=2,VALUE(P21)=2,VALUE(Q21)=2),"社内残置",IF(AND(VALUE(O21)=0,VALUE(R21)=0,VALUE(T21)=0),"自動化候補",IF(AND(VALUE(P21)=0,VALUE(R21)&lt;=1,VALUE(S21)&lt;=1,VALUE(T21)&lt;=1,VALUE(U21)&lt;=1),"オフショア候補",IF(AND(VALUE(T21)&lt;=1,VALUE(U21)&lt;=1),"ニアショア候補","社内で手順化→再評価")))))</f>
        <v/>
      </c>
      <c r="AF21">
        <f>IF(W21&lt;&gt;"OK","",14-SUMPRODUCT(--O21:U21))</f>
        <v/>
      </c>
      <c r="AG21" s="33">
        <f>IF(W21&lt;&gt;"OK","",AM21*AN21/60)</f>
        <v/>
      </c>
      <c r="AH21" s="34">
        <f>IF(A21="","",UPPER(TRIM(ASC(A21&amp;""))))</f>
        <v/>
      </c>
      <c r="AI21" s="34">
        <f>IF(AH21="","",AH21&amp;"-"&amp;B21)</f>
        <v/>
      </c>
      <c r="AJ21" s="34">
        <f>IF(C21="","",IFERROR(VALUE(ASC(SUBSTITUTE(C21&amp;"","観点",""))),""))</f>
        <v/>
      </c>
      <c r="AK21" s="34">
        <f>IF(E21="","",UPPER(LEFT(TRIM(ASC(E21&amp;"")),3)))</f>
        <v/>
      </c>
      <c r="AL21" s="34">
        <f>IF(I21="","",IFERROR(VALUE(SUBSTITUTE(SUBSTITUTE(SUBSTITUTE(SUBSTITUTE(SUBSTITUTE(SUBSTITUTE(SUBSTITUTE(SUBSTITUTE(SUBSTITUTE(SUBSTITUTE(SUBSTITUTE(SUBSTITUTE(ASC(I21&amp;""),"約",""),"程度",""),"ほど",""),"回",""),"毎",""),"週",""),"月",""),"年",""),"日",""),"に",""),"/","")," ","")),""))</f>
        <v/>
      </c>
      <c r="AM21" s="34">
        <f>IF(I21="","",IF(ISNUMBER(I21),I21,IFERROR(VALUE(ASC(I21&amp;"")),IF(AL21&lt;&gt;"",AL21*IF(ISNUMBER(SEARCH("週",I21)),4.3,IF(ISNUMBER(SEARCH("年",I21)),1/12,IF(ISNUMBER(SEARCH("日",I21)),20,1))),IF(ISNUMBER(SEARCH("日",I21)),20,IF(ISNUMBER(SEARCH("週",I21)),4.3,IF(ISNUMBER(SEARCH("月",I21)),1,"")))))))</f>
        <v/>
      </c>
      <c r="AN21" s="34">
        <f>IF(J21="","",IF(ISNUMBER(J21),J21,IFERROR(VALUE(ASC(J21&amp;"")),IF(ISNUMBER(SEARCH("時間",J21)),IFERROR(VALUE(SUBSTITUTE(SUBSTITUTE(SUBSTITUTE(SUBSTITUTE(SUBSTITUTE(ASC(J21&amp;""),"約",""),"程度",""),"ほど",""),"時間","")," ",""))*60,""),IFERROR(VALUE(SUBSTITUTE(SUBSTITUTE(SUBSTITUTE(SUBSTITUTE(SUBSTITUTE(ASC(J21&amp;""),"約",""),"程度",""),"ほど",""),"分","")," ","")),"")))))</f>
        <v/>
      </c>
      <c r="AO21" s="34">
        <f>IF(K21="","",IF(ISNUMBER(K21),K21,IFERROR(VALUE(SUBSTITUTE(SUBSTITUTE(SUBSTITUTE(ASC(K21&amp;""),"約",""),"件","")," ","")),"")))</f>
        <v/>
      </c>
      <c r="AP21" s="34">
        <f>IF(W21&lt;&gt;"OK","",IF(COUNTIFS($D$5:$D$404,D21,$W$5:$W$404,"OK")&gt;1,"同名あり",""))</f>
        <v/>
      </c>
      <c r="AQ21" s="35">
        <f>IF(L21="","",IF(ISNUMBER(L21),L21,IFERROR(DATEVALUE(SUBSTITUTE(SUBSTITUTE(ASC(L21&amp;""),"-","/"),".","/")&amp;"/01"),"")))</f>
        <v/>
      </c>
      <c r="AR21" s="35">
        <f>IF(M21="","",IF(ISNUMBER(M21),M21,IFERROR(DATEVALUE(SUBSTITUTE(SUBSTITUTE(ASC(M21&amp;""),"-","/"),".","/")&amp;"/01"),"")))</f>
        <v/>
      </c>
      <c r="AS21" s="34">
        <f>IF(OR(W21&lt;&gt;"OK",AQ21=""),"",IF(AQ21&gt;='01_設定'!$C$26,1,0))</f>
        <v/>
      </c>
      <c r="AT21" s="34">
        <f>IF(AND(W21="OK",Y21&lt;&gt;"除外"),COUNTIFS($W$5:W21,"OK",$Y$5:Y21,"&lt;&gt;除外"),"")</f>
        <v/>
      </c>
      <c r="AU21" s="34">
        <f>IF(OR(AT21="",AD21=""),"",AD21+ROW()/1000000000)</f>
        <v/>
      </c>
    </row>
    <row r="22">
      <c r="W22">
        <f>IF(AND(A22="",D22=""),"",IF(ISNUMBER(SEARCH("##END",AH22)),"（終わりの印）",IF(ISNUMBER(SEARCH("##続き",AH22)),"（続きありの印）",IF(AH22="調査ID","（見出し行）",IF(AND(AH22&lt;&gt;"R1",AH22&lt;&gt;"R2"),"×表以外の行（集計されない）",IF(COUNTIF($AI$5:AI22,AI22)&gt;1,"△重複（集計されない）",IF(D22="","△タスク名なし",IF(ISNA(MATCH(AK22,'M1_類型マスタ'!$A$5:$A$19,0)),"△類型が不正",IF(OR(AM22="",AN22=""),"△回数・分が読めない",IF(SUMPRODUCT(--ISNUMBER(--O22:U22))&lt;7,"△採点が足りない",IF(SUMPRODUCT((--O22:U22&gt;2)+(--O22:U22&lt;0))&gt;0,"△採点が範囲外","OK")))))))))))</f>
        <v/>
      </c>
      <c r="X22">
        <f>IF(W22&lt;&gt;"OK","",TRIM(IF(AND(AO22&lt;&gt;"",N(AO22)&lt;=1),"根拠1件 ","")&amp;IF(AP22&lt;&gt;"","同名あり ","")&amp;IF(AND(NOT(ISNUMBER(I22)),I22&lt;&gt;""),"回数を換算 ","")))</f>
        <v/>
      </c>
      <c r="Y22" s="31" t="n"/>
      <c r="Z22" s="32" t="n"/>
      <c r="AA22" s="32" t="n"/>
      <c r="AB22" s="31" t="n"/>
      <c r="AC22">
        <f>IF(W22&lt;&gt;"OK","",IF(AB22&lt;&gt;"",AB22,AE22))</f>
        <v/>
      </c>
      <c r="AD22" s="33">
        <f>IF(W22&lt;&gt;"OK","",IFERROR(IF(Z22&lt;&gt;"",Z22,AM22)*IF(AA22&lt;&gt;"",AA22,AN22)/60,""))</f>
        <v/>
      </c>
      <c r="AE22">
        <f>IF(W22&lt;&gt;"OK","",IF(OR(VALUE(O22)=2,VALUE(P22)=2,VALUE(Q22)=2),"社内残置",IF(AND(VALUE(O22)=0,VALUE(R22)=0,VALUE(T22)=0),"自動化候補",IF(AND(VALUE(P22)=0,VALUE(R22)&lt;=1,VALUE(S22)&lt;=1,VALUE(T22)&lt;=1,VALUE(U22)&lt;=1),"オフショア候補",IF(AND(VALUE(T22)&lt;=1,VALUE(U22)&lt;=1),"ニアショア候補","社内で手順化→再評価")))))</f>
        <v/>
      </c>
      <c r="AF22">
        <f>IF(W22&lt;&gt;"OK","",14-SUMPRODUCT(--O22:U22))</f>
        <v/>
      </c>
      <c r="AG22" s="33">
        <f>IF(W22&lt;&gt;"OK","",AM22*AN22/60)</f>
        <v/>
      </c>
      <c r="AH22" s="34">
        <f>IF(A22="","",UPPER(TRIM(ASC(A22&amp;""))))</f>
        <v/>
      </c>
      <c r="AI22" s="34">
        <f>IF(AH22="","",AH22&amp;"-"&amp;B22)</f>
        <v/>
      </c>
      <c r="AJ22" s="34">
        <f>IF(C22="","",IFERROR(VALUE(ASC(SUBSTITUTE(C22&amp;"","観点",""))),""))</f>
        <v/>
      </c>
      <c r="AK22" s="34">
        <f>IF(E22="","",UPPER(LEFT(TRIM(ASC(E22&amp;"")),3)))</f>
        <v/>
      </c>
      <c r="AL22" s="34">
        <f>IF(I22="","",IFERROR(VALUE(SUBSTITUTE(SUBSTITUTE(SUBSTITUTE(SUBSTITUTE(SUBSTITUTE(SUBSTITUTE(SUBSTITUTE(SUBSTITUTE(SUBSTITUTE(SUBSTITUTE(SUBSTITUTE(SUBSTITUTE(ASC(I22&amp;""),"約",""),"程度",""),"ほど",""),"回",""),"毎",""),"週",""),"月",""),"年",""),"日",""),"に",""),"/","")," ","")),""))</f>
        <v/>
      </c>
      <c r="AM22" s="34">
        <f>IF(I22="","",IF(ISNUMBER(I22),I22,IFERROR(VALUE(ASC(I22&amp;"")),IF(AL22&lt;&gt;"",AL22*IF(ISNUMBER(SEARCH("週",I22)),4.3,IF(ISNUMBER(SEARCH("年",I22)),1/12,IF(ISNUMBER(SEARCH("日",I22)),20,1))),IF(ISNUMBER(SEARCH("日",I22)),20,IF(ISNUMBER(SEARCH("週",I22)),4.3,IF(ISNUMBER(SEARCH("月",I22)),1,"")))))))</f>
        <v/>
      </c>
      <c r="AN22" s="34">
        <f>IF(J22="","",IF(ISNUMBER(J22),J22,IFERROR(VALUE(ASC(J22&amp;"")),IF(ISNUMBER(SEARCH("時間",J22)),IFERROR(VALUE(SUBSTITUTE(SUBSTITUTE(SUBSTITUTE(SUBSTITUTE(SUBSTITUTE(ASC(J22&amp;""),"約",""),"程度",""),"ほど",""),"時間","")," ",""))*60,""),IFERROR(VALUE(SUBSTITUTE(SUBSTITUTE(SUBSTITUTE(SUBSTITUTE(SUBSTITUTE(ASC(J22&amp;""),"約",""),"程度",""),"ほど",""),"分","")," ","")),"")))))</f>
        <v/>
      </c>
      <c r="AO22" s="34">
        <f>IF(K22="","",IF(ISNUMBER(K22),K22,IFERROR(VALUE(SUBSTITUTE(SUBSTITUTE(SUBSTITUTE(ASC(K22&amp;""),"約",""),"件","")," ","")),"")))</f>
        <v/>
      </c>
      <c r="AP22" s="34">
        <f>IF(W22&lt;&gt;"OK","",IF(COUNTIFS($D$5:$D$404,D22,$W$5:$W$404,"OK")&gt;1,"同名あり",""))</f>
        <v/>
      </c>
      <c r="AQ22" s="35">
        <f>IF(L22="","",IF(ISNUMBER(L22),L22,IFERROR(DATEVALUE(SUBSTITUTE(SUBSTITUTE(ASC(L22&amp;""),"-","/"),".","/")&amp;"/01"),"")))</f>
        <v/>
      </c>
      <c r="AR22" s="35">
        <f>IF(M22="","",IF(ISNUMBER(M22),M22,IFERROR(DATEVALUE(SUBSTITUTE(SUBSTITUTE(ASC(M22&amp;""),"-","/"),".","/")&amp;"/01"),"")))</f>
        <v/>
      </c>
      <c r="AS22" s="34">
        <f>IF(OR(W22&lt;&gt;"OK",AQ22=""),"",IF(AQ22&gt;='01_設定'!$C$26,1,0))</f>
        <v/>
      </c>
      <c r="AT22" s="34">
        <f>IF(AND(W22="OK",Y22&lt;&gt;"除外"),COUNTIFS($W$5:W22,"OK",$Y$5:Y22,"&lt;&gt;除外"),"")</f>
        <v/>
      </c>
      <c r="AU22" s="34">
        <f>IF(OR(AT22="",AD22=""),"",AD22+ROW()/1000000000)</f>
        <v/>
      </c>
    </row>
    <row r="23">
      <c r="W23">
        <f>IF(AND(A23="",D23=""),"",IF(ISNUMBER(SEARCH("##END",AH23)),"（終わりの印）",IF(ISNUMBER(SEARCH("##続き",AH23)),"（続きありの印）",IF(AH23="調査ID","（見出し行）",IF(AND(AH23&lt;&gt;"R1",AH23&lt;&gt;"R2"),"×表以外の行（集計されない）",IF(COUNTIF($AI$5:AI23,AI23)&gt;1,"△重複（集計されない）",IF(D23="","△タスク名なし",IF(ISNA(MATCH(AK23,'M1_類型マスタ'!$A$5:$A$19,0)),"△類型が不正",IF(OR(AM23="",AN23=""),"△回数・分が読めない",IF(SUMPRODUCT(--ISNUMBER(--O23:U23))&lt;7,"△採点が足りない",IF(SUMPRODUCT((--O23:U23&gt;2)+(--O23:U23&lt;0))&gt;0,"△採点が範囲外","OK")))))))))))</f>
        <v/>
      </c>
      <c r="X23">
        <f>IF(W23&lt;&gt;"OK","",TRIM(IF(AND(AO23&lt;&gt;"",N(AO23)&lt;=1),"根拠1件 ","")&amp;IF(AP23&lt;&gt;"","同名あり ","")&amp;IF(AND(NOT(ISNUMBER(I23)),I23&lt;&gt;""),"回数を換算 ","")))</f>
        <v/>
      </c>
      <c r="Y23" s="31" t="n"/>
      <c r="Z23" s="32" t="n"/>
      <c r="AA23" s="32" t="n"/>
      <c r="AB23" s="31" t="n"/>
      <c r="AC23">
        <f>IF(W23&lt;&gt;"OK","",IF(AB23&lt;&gt;"",AB23,AE23))</f>
        <v/>
      </c>
      <c r="AD23" s="33">
        <f>IF(W23&lt;&gt;"OK","",IFERROR(IF(Z23&lt;&gt;"",Z23,AM23)*IF(AA23&lt;&gt;"",AA23,AN23)/60,""))</f>
        <v/>
      </c>
      <c r="AE23">
        <f>IF(W23&lt;&gt;"OK","",IF(OR(VALUE(O23)=2,VALUE(P23)=2,VALUE(Q23)=2),"社内残置",IF(AND(VALUE(O23)=0,VALUE(R23)=0,VALUE(T23)=0),"自動化候補",IF(AND(VALUE(P23)=0,VALUE(R23)&lt;=1,VALUE(S23)&lt;=1,VALUE(T23)&lt;=1,VALUE(U23)&lt;=1),"オフショア候補",IF(AND(VALUE(T23)&lt;=1,VALUE(U23)&lt;=1),"ニアショア候補","社内で手順化→再評価")))))</f>
        <v/>
      </c>
      <c r="AF23">
        <f>IF(W23&lt;&gt;"OK","",14-SUMPRODUCT(--O23:U23))</f>
        <v/>
      </c>
      <c r="AG23" s="33">
        <f>IF(W23&lt;&gt;"OK","",AM23*AN23/60)</f>
        <v/>
      </c>
      <c r="AH23" s="34">
        <f>IF(A23="","",UPPER(TRIM(ASC(A23&amp;""))))</f>
        <v/>
      </c>
      <c r="AI23" s="34">
        <f>IF(AH23="","",AH23&amp;"-"&amp;B23)</f>
        <v/>
      </c>
      <c r="AJ23" s="34">
        <f>IF(C23="","",IFERROR(VALUE(ASC(SUBSTITUTE(C23&amp;"","観点",""))),""))</f>
        <v/>
      </c>
      <c r="AK23" s="34">
        <f>IF(E23="","",UPPER(LEFT(TRIM(ASC(E23&amp;"")),3)))</f>
        <v/>
      </c>
      <c r="AL23" s="34">
        <f>IF(I23="","",IFERROR(VALUE(SUBSTITUTE(SUBSTITUTE(SUBSTITUTE(SUBSTITUTE(SUBSTITUTE(SUBSTITUTE(SUBSTITUTE(SUBSTITUTE(SUBSTITUTE(SUBSTITUTE(SUBSTITUTE(SUBSTITUTE(ASC(I23&amp;""),"約",""),"程度",""),"ほど",""),"回",""),"毎",""),"週",""),"月",""),"年",""),"日",""),"に",""),"/","")," ","")),""))</f>
        <v/>
      </c>
      <c r="AM23" s="34">
        <f>IF(I23="","",IF(ISNUMBER(I23),I23,IFERROR(VALUE(ASC(I23&amp;"")),IF(AL23&lt;&gt;"",AL23*IF(ISNUMBER(SEARCH("週",I23)),4.3,IF(ISNUMBER(SEARCH("年",I23)),1/12,IF(ISNUMBER(SEARCH("日",I23)),20,1))),IF(ISNUMBER(SEARCH("日",I23)),20,IF(ISNUMBER(SEARCH("週",I23)),4.3,IF(ISNUMBER(SEARCH("月",I23)),1,"")))))))</f>
        <v/>
      </c>
      <c r="AN23" s="34">
        <f>IF(J23="","",IF(ISNUMBER(J23),J23,IFERROR(VALUE(ASC(J23&amp;"")),IF(ISNUMBER(SEARCH("時間",J23)),IFERROR(VALUE(SUBSTITUTE(SUBSTITUTE(SUBSTITUTE(SUBSTITUTE(SUBSTITUTE(ASC(J23&amp;""),"約",""),"程度",""),"ほど",""),"時間","")," ",""))*60,""),IFERROR(VALUE(SUBSTITUTE(SUBSTITUTE(SUBSTITUTE(SUBSTITUTE(SUBSTITUTE(ASC(J23&amp;""),"約",""),"程度",""),"ほど",""),"分","")," ","")),"")))))</f>
        <v/>
      </c>
      <c r="AO23" s="34">
        <f>IF(K23="","",IF(ISNUMBER(K23),K23,IFERROR(VALUE(SUBSTITUTE(SUBSTITUTE(SUBSTITUTE(ASC(K23&amp;""),"約",""),"件","")," ","")),"")))</f>
        <v/>
      </c>
      <c r="AP23" s="34">
        <f>IF(W23&lt;&gt;"OK","",IF(COUNTIFS($D$5:$D$404,D23,$W$5:$W$404,"OK")&gt;1,"同名あり",""))</f>
        <v/>
      </c>
      <c r="AQ23" s="35">
        <f>IF(L23="","",IF(ISNUMBER(L23),L23,IFERROR(DATEVALUE(SUBSTITUTE(SUBSTITUTE(ASC(L23&amp;""),"-","/"),".","/")&amp;"/01"),"")))</f>
        <v/>
      </c>
      <c r="AR23" s="35">
        <f>IF(M23="","",IF(ISNUMBER(M23),M23,IFERROR(DATEVALUE(SUBSTITUTE(SUBSTITUTE(ASC(M23&amp;""),"-","/"),".","/")&amp;"/01"),"")))</f>
        <v/>
      </c>
      <c r="AS23" s="34">
        <f>IF(OR(W23&lt;&gt;"OK",AQ23=""),"",IF(AQ23&gt;='01_設定'!$C$26,1,0))</f>
        <v/>
      </c>
      <c r="AT23" s="34">
        <f>IF(AND(W23="OK",Y23&lt;&gt;"除外"),COUNTIFS($W$5:W23,"OK",$Y$5:Y23,"&lt;&gt;除外"),"")</f>
        <v/>
      </c>
      <c r="AU23" s="34">
        <f>IF(OR(AT23="",AD23=""),"",AD23+ROW()/1000000000)</f>
        <v/>
      </c>
    </row>
    <row r="24">
      <c r="W24">
        <f>IF(AND(A24="",D24=""),"",IF(ISNUMBER(SEARCH("##END",AH24)),"（終わりの印）",IF(ISNUMBER(SEARCH("##続き",AH24)),"（続きありの印）",IF(AH24="調査ID","（見出し行）",IF(AND(AH24&lt;&gt;"R1",AH24&lt;&gt;"R2"),"×表以外の行（集計されない）",IF(COUNTIF($AI$5:AI24,AI24)&gt;1,"△重複（集計されない）",IF(D24="","△タスク名なし",IF(ISNA(MATCH(AK24,'M1_類型マスタ'!$A$5:$A$19,0)),"△類型が不正",IF(OR(AM24="",AN24=""),"△回数・分が読めない",IF(SUMPRODUCT(--ISNUMBER(--O24:U24))&lt;7,"△採点が足りない",IF(SUMPRODUCT((--O24:U24&gt;2)+(--O24:U24&lt;0))&gt;0,"△採点が範囲外","OK")))))))))))</f>
        <v/>
      </c>
      <c r="X24">
        <f>IF(W24&lt;&gt;"OK","",TRIM(IF(AND(AO24&lt;&gt;"",N(AO24)&lt;=1),"根拠1件 ","")&amp;IF(AP24&lt;&gt;"","同名あり ","")&amp;IF(AND(NOT(ISNUMBER(I24)),I24&lt;&gt;""),"回数を換算 ","")))</f>
        <v/>
      </c>
      <c r="Y24" s="31" t="n"/>
      <c r="Z24" s="32" t="n"/>
      <c r="AA24" s="32" t="n"/>
      <c r="AB24" s="31" t="n"/>
      <c r="AC24">
        <f>IF(W24&lt;&gt;"OK","",IF(AB24&lt;&gt;"",AB24,AE24))</f>
        <v/>
      </c>
      <c r="AD24" s="33">
        <f>IF(W24&lt;&gt;"OK","",IFERROR(IF(Z24&lt;&gt;"",Z24,AM24)*IF(AA24&lt;&gt;"",AA24,AN24)/60,""))</f>
        <v/>
      </c>
      <c r="AE24">
        <f>IF(W24&lt;&gt;"OK","",IF(OR(VALUE(O24)=2,VALUE(P24)=2,VALUE(Q24)=2),"社内残置",IF(AND(VALUE(O24)=0,VALUE(R24)=0,VALUE(T24)=0),"自動化候補",IF(AND(VALUE(P24)=0,VALUE(R24)&lt;=1,VALUE(S24)&lt;=1,VALUE(T24)&lt;=1,VALUE(U24)&lt;=1),"オフショア候補",IF(AND(VALUE(T24)&lt;=1,VALUE(U24)&lt;=1),"ニアショア候補","社内で手順化→再評価")))))</f>
        <v/>
      </c>
      <c r="AF24">
        <f>IF(W24&lt;&gt;"OK","",14-SUMPRODUCT(--O24:U24))</f>
        <v/>
      </c>
      <c r="AG24" s="33">
        <f>IF(W24&lt;&gt;"OK","",AM24*AN24/60)</f>
        <v/>
      </c>
      <c r="AH24" s="34">
        <f>IF(A24="","",UPPER(TRIM(ASC(A24&amp;""))))</f>
        <v/>
      </c>
      <c r="AI24" s="34">
        <f>IF(AH24="","",AH24&amp;"-"&amp;B24)</f>
        <v/>
      </c>
      <c r="AJ24" s="34">
        <f>IF(C24="","",IFERROR(VALUE(ASC(SUBSTITUTE(C24&amp;"","観点",""))),""))</f>
        <v/>
      </c>
      <c r="AK24" s="34">
        <f>IF(E24="","",UPPER(LEFT(TRIM(ASC(E24&amp;"")),3)))</f>
        <v/>
      </c>
      <c r="AL24" s="34">
        <f>IF(I24="","",IFERROR(VALUE(SUBSTITUTE(SUBSTITUTE(SUBSTITUTE(SUBSTITUTE(SUBSTITUTE(SUBSTITUTE(SUBSTITUTE(SUBSTITUTE(SUBSTITUTE(SUBSTITUTE(SUBSTITUTE(SUBSTITUTE(ASC(I24&amp;""),"約",""),"程度",""),"ほど",""),"回",""),"毎",""),"週",""),"月",""),"年",""),"日",""),"に",""),"/","")," ","")),""))</f>
        <v/>
      </c>
      <c r="AM24" s="34">
        <f>IF(I24="","",IF(ISNUMBER(I24),I24,IFERROR(VALUE(ASC(I24&amp;"")),IF(AL24&lt;&gt;"",AL24*IF(ISNUMBER(SEARCH("週",I24)),4.3,IF(ISNUMBER(SEARCH("年",I24)),1/12,IF(ISNUMBER(SEARCH("日",I24)),20,1))),IF(ISNUMBER(SEARCH("日",I24)),20,IF(ISNUMBER(SEARCH("週",I24)),4.3,IF(ISNUMBER(SEARCH("月",I24)),1,"")))))))</f>
        <v/>
      </c>
      <c r="AN24" s="34">
        <f>IF(J24="","",IF(ISNUMBER(J24),J24,IFERROR(VALUE(ASC(J24&amp;"")),IF(ISNUMBER(SEARCH("時間",J24)),IFERROR(VALUE(SUBSTITUTE(SUBSTITUTE(SUBSTITUTE(SUBSTITUTE(SUBSTITUTE(ASC(J24&amp;""),"約",""),"程度",""),"ほど",""),"時間","")," ",""))*60,""),IFERROR(VALUE(SUBSTITUTE(SUBSTITUTE(SUBSTITUTE(SUBSTITUTE(SUBSTITUTE(ASC(J24&amp;""),"約",""),"程度",""),"ほど",""),"分","")," ","")),"")))))</f>
        <v/>
      </c>
      <c r="AO24" s="34">
        <f>IF(K24="","",IF(ISNUMBER(K24),K24,IFERROR(VALUE(SUBSTITUTE(SUBSTITUTE(SUBSTITUTE(ASC(K24&amp;""),"約",""),"件","")," ","")),"")))</f>
        <v/>
      </c>
      <c r="AP24" s="34">
        <f>IF(W24&lt;&gt;"OK","",IF(COUNTIFS($D$5:$D$404,D24,$W$5:$W$404,"OK")&gt;1,"同名あり",""))</f>
        <v/>
      </c>
      <c r="AQ24" s="35">
        <f>IF(L24="","",IF(ISNUMBER(L24),L24,IFERROR(DATEVALUE(SUBSTITUTE(SUBSTITUTE(ASC(L24&amp;""),"-","/"),".","/")&amp;"/01"),"")))</f>
        <v/>
      </c>
      <c r="AR24" s="35">
        <f>IF(M24="","",IF(ISNUMBER(M24),M24,IFERROR(DATEVALUE(SUBSTITUTE(SUBSTITUTE(ASC(M24&amp;""),"-","/"),".","/")&amp;"/01"),"")))</f>
        <v/>
      </c>
      <c r="AS24" s="34">
        <f>IF(OR(W24&lt;&gt;"OK",AQ24=""),"",IF(AQ24&gt;='01_設定'!$C$26,1,0))</f>
        <v/>
      </c>
      <c r="AT24" s="34">
        <f>IF(AND(W24="OK",Y24&lt;&gt;"除外"),COUNTIFS($W$5:W24,"OK",$Y$5:Y24,"&lt;&gt;除外"),"")</f>
        <v/>
      </c>
      <c r="AU24" s="34">
        <f>IF(OR(AT24="",AD24=""),"",AD24+ROW()/1000000000)</f>
        <v/>
      </c>
    </row>
    <row r="25">
      <c r="W25">
        <f>IF(AND(A25="",D25=""),"",IF(ISNUMBER(SEARCH("##END",AH25)),"（終わりの印）",IF(ISNUMBER(SEARCH("##続き",AH25)),"（続きありの印）",IF(AH25="調査ID","（見出し行）",IF(AND(AH25&lt;&gt;"R1",AH25&lt;&gt;"R2"),"×表以外の行（集計されない）",IF(COUNTIF($AI$5:AI25,AI25)&gt;1,"△重複（集計されない）",IF(D25="","△タスク名なし",IF(ISNA(MATCH(AK25,'M1_類型マスタ'!$A$5:$A$19,0)),"△類型が不正",IF(OR(AM25="",AN25=""),"△回数・分が読めない",IF(SUMPRODUCT(--ISNUMBER(--O25:U25))&lt;7,"△採点が足りない",IF(SUMPRODUCT((--O25:U25&gt;2)+(--O25:U25&lt;0))&gt;0,"△採点が範囲外","OK")))))))))))</f>
        <v/>
      </c>
      <c r="X25">
        <f>IF(W25&lt;&gt;"OK","",TRIM(IF(AND(AO25&lt;&gt;"",N(AO25)&lt;=1),"根拠1件 ","")&amp;IF(AP25&lt;&gt;"","同名あり ","")&amp;IF(AND(NOT(ISNUMBER(I25)),I25&lt;&gt;""),"回数を換算 ","")))</f>
        <v/>
      </c>
      <c r="Y25" s="31" t="n"/>
      <c r="Z25" s="32" t="n"/>
      <c r="AA25" s="32" t="n"/>
      <c r="AB25" s="31" t="n"/>
      <c r="AC25">
        <f>IF(W25&lt;&gt;"OK","",IF(AB25&lt;&gt;"",AB25,AE25))</f>
        <v/>
      </c>
      <c r="AD25" s="33">
        <f>IF(W25&lt;&gt;"OK","",IFERROR(IF(Z25&lt;&gt;"",Z25,AM25)*IF(AA25&lt;&gt;"",AA25,AN25)/60,""))</f>
        <v/>
      </c>
      <c r="AE25">
        <f>IF(W25&lt;&gt;"OK","",IF(OR(VALUE(O25)=2,VALUE(P25)=2,VALUE(Q25)=2),"社内残置",IF(AND(VALUE(O25)=0,VALUE(R25)=0,VALUE(T25)=0),"自動化候補",IF(AND(VALUE(P25)=0,VALUE(R25)&lt;=1,VALUE(S25)&lt;=1,VALUE(T25)&lt;=1,VALUE(U25)&lt;=1),"オフショア候補",IF(AND(VALUE(T25)&lt;=1,VALUE(U25)&lt;=1),"ニアショア候補","社内で手順化→再評価")))))</f>
        <v/>
      </c>
      <c r="AF25">
        <f>IF(W25&lt;&gt;"OK","",14-SUMPRODUCT(--O25:U25))</f>
        <v/>
      </c>
      <c r="AG25" s="33">
        <f>IF(W25&lt;&gt;"OK","",AM25*AN25/60)</f>
        <v/>
      </c>
      <c r="AH25" s="34">
        <f>IF(A25="","",UPPER(TRIM(ASC(A25&amp;""))))</f>
        <v/>
      </c>
      <c r="AI25" s="34">
        <f>IF(AH25="","",AH25&amp;"-"&amp;B25)</f>
        <v/>
      </c>
      <c r="AJ25" s="34">
        <f>IF(C25="","",IFERROR(VALUE(ASC(SUBSTITUTE(C25&amp;"","観点",""))),""))</f>
        <v/>
      </c>
      <c r="AK25" s="34">
        <f>IF(E25="","",UPPER(LEFT(TRIM(ASC(E25&amp;"")),3)))</f>
        <v/>
      </c>
      <c r="AL25" s="34">
        <f>IF(I25="","",IFERROR(VALUE(SUBSTITUTE(SUBSTITUTE(SUBSTITUTE(SUBSTITUTE(SUBSTITUTE(SUBSTITUTE(SUBSTITUTE(SUBSTITUTE(SUBSTITUTE(SUBSTITUTE(SUBSTITUTE(SUBSTITUTE(ASC(I25&amp;""),"約",""),"程度",""),"ほど",""),"回",""),"毎",""),"週",""),"月",""),"年",""),"日",""),"に",""),"/","")," ","")),""))</f>
        <v/>
      </c>
      <c r="AM25" s="34">
        <f>IF(I25="","",IF(ISNUMBER(I25),I25,IFERROR(VALUE(ASC(I25&amp;"")),IF(AL25&lt;&gt;"",AL25*IF(ISNUMBER(SEARCH("週",I25)),4.3,IF(ISNUMBER(SEARCH("年",I25)),1/12,IF(ISNUMBER(SEARCH("日",I25)),20,1))),IF(ISNUMBER(SEARCH("日",I25)),20,IF(ISNUMBER(SEARCH("週",I25)),4.3,IF(ISNUMBER(SEARCH("月",I25)),1,"")))))))</f>
        <v/>
      </c>
      <c r="AN25" s="34">
        <f>IF(J25="","",IF(ISNUMBER(J25),J25,IFERROR(VALUE(ASC(J25&amp;"")),IF(ISNUMBER(SEARCH("時間",J25)),IFERROR(VALUE(SUBSTITUTE(SUBSTITUTE(SUBSTITUTE(SUBSTITUTE(SUBSTITUTE(ASC(J25&amp;""),"約",""),"程度",""),"ほど",""),"時間","")," ",""))*60,""),IFERROR(VALUE(SUBSTITUTE(SUBSTITUTE(SUBSTITUTE(SUBSTITUTE(SUBSTITUTE(ASC(J25&amp;""),"約",""),"程度",""),"ほど",""),"分","")," ","")),"")))))</f>
        <v/>
      </c>
      <c r="AO25" s="34">
        <f>IF(K25="","",IF(ISNUMBER(K25),K25,IFERROR(VALUE(SUBSTITUTE(SUBSTITUTE(SUBSTITUTE(ASC(K25&amp;""),"約",""),"件","")," ","")),"")))</f>
        <v/>
      </c>
      <c r="AP25" s="34">
        <f>IF(W25&lt;&gt;"OK","",IF(COUNTIFS($D$5:$D$404,D25,$W$5:$W$404,"OK")&gt;1,"同名あり",""))</f>
        <v/>
      </c>
      <c r="AQ25" s="35">
        <f>IF(L25="","",IF(ISNUMBER(L25),L25,IFERROR(DATEVALUE(SUBSTITUTE(SUBSTITUTE(ASC(L25&amp;""),"-","/"),".","/")&amp;"/01"),"")))</f>
        <v/>
      </c>
      <c r="AR25" s="35">
        <f>IF(M25="","",IF(ISNUMBER(M25),M25,IFERROR(DATEVALUE(SUBSTITUTE(SUBSTITUTE(ASC(M25&amp;""),"-","/"),".","/")&amp;"/01"),"")))</f>
        <v/>
      </c>
      <c r="AS25" s="34">
        <f>IF(OR(W25&lt;&gt;"OK",AQ25=""),"",IF(AQ25&gt;='01_設定'!$C$26,1,0))</f>
        <v/>
      </c>
      <c r="AT25" s="34">
        <f>IF(AND(W25="OK",Y25&lt;&gt;"除外"),COUNTIFS($W$5:W25,"OK",$Y$5:Y25,"&lt;&gt;除外"),"")</f>
        <v/>
      </c>
      <c r="AU25" s="34">
        <f>IF(OR(AT25="",AD25=""),"",AD25+ROW()/1000000000)</f>
        <v/>
      </c>
    </row>
    <row r="26">
      <c r="W26">
        <f>IF(AND(A26="",D26=""),"",IF(ISNUMBER(SEARCH("##END",AH26)),"（終わりの印）",IF(ISNUMBER(SEARCH("##続き",AH26)),"（続きありの印）",IF(AH26="調査ID","（見出し行）",IF(AND(AH26&lt;&gt;"R1",AH26&lt;&gt;"R2"),"×表以外の行（集計されない）",IF(COUNTIF($AI$5:AI26,AI26)&gt;1,"△重複（集計されない）",IF(D26="","△タスク名なし",IF(ISNA(MATCH(AK26,'M1_類型マスタ'!$A$5:$A$19,0)),"△類型が不正",IF(OR(AM26="",AN26=""),"△回数・分が読めない",IF(SUMPRODUCT(--ISNUMBER(--O26:U26))&lt;7,"△採点が足りない",IF(SUMPRODUCT((--O26:U26&gt;2)+(--O26:U26&lt;0))&gt;0,"△採点が範囲外","OK")))))))))))</f>
        <v/>
      </c>
      <c r="X26">
        <f>IF(W26&lt;&gt;"OK","",TRIM(IF(AND(AO26&lt;&gt;"",N(AO26)&lt;=1),"根拠1件 ","")&amp;IF(AP26&lt;&gt;"","同名あり ","")&amp;IF(AND(NOT(ISNUMBER(I26)),I26&lt;&gt;""),"回数を換算 ","")))</f>
        <v/>
      </c>
      <c r="Y26" s="31" t="n"/>
      <c r="Z26" s="32" t="n"/>
      <c r="AA26" s="32" t="n"/>
      <c r="AB26" s="31" t="n"/>
      <c r="AC26">
        <f>IF(W26&lt;&gt;"OK","",IF(AB26&lt;&gt;"",AB26,AE26))</f>
        <v/>
      </c>
      <c r="AD26" s="33">
        <f>IF(W26&lt;&gt;"OK","",IFERROR(IF(Z26&lt;&gt;"",Z26,AM26)*IF(AA26&lt;&gt;"",AA26,AN26)/60,""))</f>
        <v/>
      </c>
      <c r="AE26">
        <f>IF(W26&lt;&gt;"OK","",IF(OR(VALUE(O26)=2,VALUE(P26)=2,VALUE(Q26)=2),"社内残置",IF(AND(VALUE(O26)=0,VALUE(R26)=0,VALUE(T26)=0),"自動化候補",IF(AND(VALUE(P26)=0,VALUE(R26)&lt;=1,VALUE(S26)&lt;=1,VALUE(T26)&lt;=1,VALUE(U26)&lt;=1),"オフショア候補",IF(AND(VALUE(T26)&lt;=1,VALUE(U26)&lt;=1),"ニアショア候補","社内で手順化→再評価")))))</f>
        <v/>
      </c>
      <c r="AF26">
        <f>IF(W26&lt;&gt;"OK","",14-SUMPRODUCT(--O26:U26))</f>
        <v/>
      </c>
      <c r="AG26" s="33">
        <f>IF(W26&lt;&gt;"OK","",AM26*AN26/60)</f>
        <v/>
      </c>
      <c r="AH26" s="34">
        <f>IF(A26="","",UPPER(TRIM(ASC(A26&amp;""))))</f>
        <v/>
      </c>
      <c r="AI26" s="34">
        <f>IF(AH26="","",AH26&amp;"-"&amp;B26)</f>
        <v/>
      </c>
      <c r="AJ26" s="34">
        <f>IF(C26="","",IFERROR(VALUE(ASC(SUBSTITUTE(C26&amp;"","観点",""))),""))</f>
        <v/>
      </c>
      <c r="AK26" s="34">
        <f>IF(E26="","",UPPER(LEFT(TRIM(ASC(E26&amp;"")),3)))</f>
        <v/>
      </c>
      <c r="AL26" s="34">
        <f>IF(I26="","",IFERROR(VALUE(SUBSTITUTE(SUBSTITUTE(SUBSTITUTE(SUBSTITUTE(SUBSTITUTE(SUBSTITUTE(SUBSTITUTE(SUBSTITUTE(SUBSTITUTE(SUBSTITUTE(SUBSTITUTE(SUBSTITUTE(ASC(I26&amp;""),"約",""),"程度",""),"ほど",""),"回",""),"毎",""),"週",""),"月",""),"年",""),"日",""),"に",""),"/","")," ","")),""))</f>
        <v/>
      </c>
      <c r="AM26" s="34">
        <f>IF(I26="","",IF(ISNUMBER(I26),I26,IFERROR(VALUE(ASC(I26&amp;"")),IF(AL26&lt;&gt;"",AL26*IF(ISNUMBER(SEARCH("週",I26)),4.3,IF(ISNUMBER(SEARCH("年",I26)),1/12,IF(ISNUMBER(SEARCH("日",I26)),20,1))),IF(ISNUMBER(SEARCH("日",I26)),20,IF(ISNUMBER(SEARCH("週",I26)),4.3,IF(ISNUMBER(SEARCH("月",I26)),1,"")))))))</f>
        <v/>
      </c>
      <c r="AN26" s="34">
        <f>IF(J26="","",IF(ISNUMBER(J26),J26,IFERROR(VALUE(ASC(J26&amp;"")),IF(ISNUMBER(SEARCH("時間",J26)),IFERROR(VALUE(SUBSTITUTE(SUBSTITUTE(SUBSTITUTE(SUBSTITUTE(SUBSTITUTE(ASC(J26&amp;""),"約",""),"程度",""),"ほど",""),"時間","")," ",""))*60,""),IFERROR(VALUE(SUBSTITUTE(SUBSTITUTE(SUBSTITUTE(SUBSTITUTE(SUBSTITUTE(ASC(J26&amp;""),"約",""),"程度",""),"ほど",""),"分","")," ","")),"")))))</f>
        <v/>
      </c>
      <c r="AO26" s="34">
        <f>IF(K26="","",IF(ISNUMBER(K26),K26,IFERROR(VALUE(SUBSTITUTE(SUBSTITUTE(SUBSTITUTE(ASC(K26&amp;""),"約",""),"件","")," ","")),"")))</f>
        <v/>
      </c>
      <c r="AP26" s="34">
        <f>IF(W26&lt;&gt;"OK","",IF(COUNTIFS($D$5:$D$404,D26,$W$5:$W$404,"OK")&gt;1,"同名あり",""))</f>
        <v/>
      </c>
      <c r="AQ26" s="35">
        <f>IF(L26="","",IF(ISNUMBER(L26),L26,IFERROR(DATEVALUE(SUBSTITUTE(SUBSTITUTE(ASC(L26&amp;""),"-","/"),".","/")&amp;"/01"),"")))</f>
        <v/>
      </c>
      <c r="AR26" s="35">
        <f>IF(M26="","",IF(ISNUMBER(M26),M26,IFERROR(DATEVALUE(SUBSTITUTE(SUBSTITUTE(ASC(M26&amp;""),"-","/"),".","/")&amp;"/01"),"")))</f>
        <v/>
      </c>
      <c r="AS26" s="34">
        <f>IF(OR(W26&lt;&gt;"OK",AQ26=""),"",IF(AQ26&gt;='01_設定'!$C$26,1,0))</f>
        <v/>
      </c>
      <c r="AT26" s="34">
        <f>IF(AND(W26="OK",Y26&lt;&gt;"除外"),COUNTIFS($W$5:W26,"OK",$Y$5:Y26,"&lt;&gt;除外"),"")</f>
        <v/>
      </c>
      <c r="AU26" s="34">
        <f>IF(OR(AT26="",AD26=""),"",AD26+ROW()/1000000000)</f>
        <v/>
      </c>
    </row>
    <row r="27">
      <c r="W27">
        <f>IF(AND(A27="",D27=""),"",IF(ISNUMBER(SEARCH("##END",AH27)),"（終わりの印）",IF(ISNUMBER(SEARCH("##続き",AH27)),"（続きありの印）",IF(AH27="調査ID","（見出し行）",IF(AND(AH27&lt;&gt;"R1",AH27&lt;&gt;"R2"),"×表以外の行（集計されない）",IF(COUNTIF($AI$5:AI27,AI27)&gt;1,"△重複（集計されない）",IF(D27="","△タスク名なし",IF(ISNA(MATCH(AK27,'M1_類型マスタ'!$A$5:$A$19,0)),"△類型が不正",IF(OR(AM27="",AN27=""),"△回数・分が読めない",IF(SUMPRODUCT(--ISNUMBER(--O27:U27))&lt;7,"△採点が足りない",IF(SUMPRODUCT((--O27:U27&gt;2)+(--O27:U27&lt;0))&gt;0,"△採点が範囲外","OK")))))))))))</f>
        <v/>
      </c>
      <c r="X27">
        <f>IF(W27&lt;&gt;"OK","",TRIM(IF(AND(AO27&lt;&gt;"",N(AO27)&lt;=1),"根拠1件 ","")&amp;IF(AP27&lt;&gt;"","同名あり ","")&amp;IF(AND(NOT(ISNUMBER(I27)),I27&lt;&gt;""),"回数を換算 ","")))</f>
        <v/>
      </c>
      <c r="Y27" s="31" t="n"/>
      <c r="Z27" s="32" t="n"/>
      <c r="AA27" s="32" t="n"/>
      <c r="AB27" s="31" t="n"/>
      <c r="AC27">
        <f>IF(W27&lt;&gt;"OK","",IF(AB27&lt;&gt;"",AB27,AE27))</f>
        <v/>
      </c>
      <c r="AD27" s="33">
        <f>IF(W27&lt;&gt;"OK","",IFERROR(IF(Z27&lt;&gt;"",Z27,AM27)*IF(AA27&lt;&gt;"",AA27,AN27)/60,""))</f>
        <v/>
      </c>
      <c r="AE27">
        <f>IF(W27&lt;&gt;"OK","",IF(OR(VALUE(O27)=2,VALUE(P27)=2,VALUE(Q27)=2),"社内残置",IF(AND(VALUE(O27)=0,VALUE(R27)=0,VALUE(T27)=0),"自動化候補",IF(AND(VALUE(P27)=0,VALUE(R27)&lt;=1,VALUE(S27)&lt;=1,VALUE(T27)&lt;=1,VALUE(U27)&lt;=1),"オフショア候補",IF(AND(VALUE(T27)&lt;=1,VALUE(U27)&lt;=1),"ニアショア候補","社内で手順化→再評価")))))</f>
        <v/>
      </c>
      <c r="AF27">
        <f>IF(W27&lt;&gt;"OK","",14-SUMPRODUCT(--O27:U27))</f>
        <v/>
      </c>
      <c r="AG27" s="33">
        <f>IF(W27&lt;&gt;"OK","",AM27*AN27/60)</f>
        <v/>
      </c>
      <c r="AH27" s="34">
        <f>IF(A27="","",UPPER(TRIM(ASC(A27&amp;""))))</f>
        <v/>
      </c>
      <c r="AI27" s="34">
        <f>IF(AH27="","",AH27&amp;"-"&amp;B27)</f>
        <v/>
      </c>
      <c r="AJ27" s="34">
        <f>IF(C27="","",IFERROR(VALUE(ASC(SUBSTITUTE(C27&amp;"","観点",""))),""))</f>
        <v/>
      </c>
      <c r="AK27" s="34">
        <f>IF(E27="","",UPPER(LEFT(TRIM(ASC(E27&amp;"")),3)))</f>
        <v/>
      </c>
      <c r="AL27" s="34">
        <f>IF(I27="","",IFERROR(VALUE(SUBSTITUTE(SUBSTITUTE(SUBSTITUTE(SUBSTITUTE(SUBSTITUTE(SUBSTITUTE(SUBSTITUTE(SUBSTITUTE(SUBSTITUTE(SUBSTITUTE(SUBSTITUTE(SUBSTITUTE(ASC(I27&amp;""),"約",""),"程度",""),"ほど",""),"回",""),"毎",""),"週",""),"月",""),"年",""),"日",""),"に",""),"/","")," ","")),""))</f>
        <v/>
      </c>
      <c r="AM27" s="34">
        <f>IF(I27="","",IF(ISNUMBER(I27),I27,IFERROR(VALUE(ASC(I27&amp;"")),IF(AL27&lt;&gt;"",AL27*IF(ISNUMBER(SEARCH("週",I27)),4.3,IF(ISNUMBER(SEARCH("年",I27)),1/12,IF(ISNUMBER(SEARCH("日",I27)),20,1))),IF(ISNUMBER(SEARCH("日",I27)),20,IF(ISNUMBER(SEARCH("週",I27)),4.3,IF(ISNUMBER(SEARCH("月",I27)),1,"")))))))</f>
        <v/>
      </c>
      <c r="AN27" s="34">
        <f>IF(J27="","",IF(ISNUMBER(J27),J27,IFERROR(VALUE(ASC(J27&amp;"")),IF(ISNUMBER(SEARCH("時間",J27)),IFERROR(VALUE(SUBSTITUTE(SUBSTITUTE(SUBSTITUTE(SUBSTITUTE(SUBSTITUTE(ASC(J27&amp;""),"約",""),"程度",""),"ほど",""),"時間","")," ",""))*60,""),IFERROR(VALUE(SUBSTITUTE(SUBSTITUTE(SUBSTITUTE(SUBSTITUTE(SUBSTITUTE(ASC(J27&amp;""),"約",""),"程度",""),"ほど",""),"分","")," ","")),"")))))</f>
        <v/>
      </c>
      <c r="AO27" s="34">
        <f>IF(K27="","",IF(ISNUMBER(K27),K27,IFERROR(VALUE(SUBSTITUTE(SUBSTITUTE(SUBSTITUTE(ASC(K27&amp;""),"約",""),"件","")," ","")),"")))</f>
        <v/>
      </c>
      <c r="AP27" s="34">
        <f>IF(W27&lt;&gt;"OK","",IF(COUNTIFS($D$5:$D$404,D27,$W$5:$W$404,"OK")&gt;1,"同名あり",""))</f>
        <v/>
      </c>
      <c r="AQ27" s="35">
        <f>IF(L27="","",IF(ISNUMBER(L27),L27,IFERROR(DATEVALUE(SUBSTITUTE(SUBSTITUTE(ASC(L27&amp;""),"-","/"),".","/")&amp;"/01"),"")))</f>
        <v/>
      </c>
      <c r="AR27" s="35">
        <f>IF(M27="","",IF(ISNUMBER(M27),M27,IFERROR(DATEVALUE(SUBSTITUTE(SUBSTITUTE(ASC(M27&amp;""),"-","/"),".","/")&amp;"/01"),"")))</f>
        <v/>
      </c>
      <c r="AS27" s="34">
        <f>IF(OR(W27&lt;&gt;"OK",AQ27=""),"",IF(AQ27&gt;='01_設定'!$C$26,1,0))</f>
        <v/>
      </c>
      <c r="AT27" s="34">
        <f>IF(AND(W27="OK",Y27&lt;&gt;"除外"),COUNTIFS($W$5:W27,"OK",$Y$5:Y27,"&lt;&gt;除外"),"")</f>
        <v/>
      </c>
      <c r="AU27" s="34">
        <f>IF(OR(AT27="",AD27=""),"",AD27+ROW()/1000000000)</f>
        <v/>
      </c>
    </row>
    <row r="28">
      <c r="W28">
        <f>IF(AND(A28="",D28=""),"",IF(ISNUMBER(SEARCH("##END",AH28)),"（終わりの印）",IF(ISNUMBER(SEARCH("##続き",AH28)),"（続きありの印）",IF(AH28="調査ID","（見出し行）",IF(AND(AH28&lt;&gt;"R1",AH28&lt;&gt;"R2"),"×表以外の行（集計されない）",IF(COUNTIF($AI$5:AI28,AI28)&gt;1,"△重複（集計されない）",IF(D28="","△タスク名なし",IF(ISNA(MATCH(AK28,'M1_類型マスタ'!$A$5:$A$19,0)),"△類型が不正",IF(OR(AM28="",AN28=""),"△回数・分が読めない",IF(SUMPRODUCT(--ISNUMBER(--O28:U28))&lt;7,"△採点が足りない",IF(SUMPRODUCT((--O28:U28&gt;2)+(--O28:U28&lt;0))&gt;0,"△採点が範囲外","OK")))))))))))</f>
        <v/>
      </c>
      <c r="X28">
        <f>IF(W28&lt;&gt;"OK","",TRIM(IF(AND(AO28&lt;&gt;"",N(AO28)&lt;=1),"根拠1件 ","")&amp;IF(AP28&lt;&gt;"","同名あり ","")&amp;IF(AND(NOT(ISNUMBER(I28)),I28&lt;&gt;""),"回数を換算 ","")))</f>
        <v/>
      </c>
      <c r="Y28" s="31" t="n"/>
      <c r="Z28" s="32" t="n"/>
      <c r="AA28" s="32" t="n"/>
      <c r="AB28" s="31" t="n"/>
      <c r="AC28">
        <f>IF(W28&lt;&gt;"OK","",IF(AB28&lt;&gt;"",AB28,AE28))</f>
        <v/>
      </c>
      <c r="AD28" s="33">
        <f>IF(W28&lt;&gt;"OK","",IFERROR(IF(Z28&lt;&gt;"",Z28,AM28)*IF(AA28&lt;&gt;"",AA28,AN28)/60,""))</f>
        <v/>
      </c>
      <c r="AE28">
        <f>IF(W28&lt;&gt;"OK","",IF(OR(VALUE(O28)=2,VALUE(P28)=2,VALUE(Q28)=2),"社内残置",IF(AND(VALUE(O28)=0,VALUE(R28)=0,VALUE(T28)=0),"自動化候補",IF(AND(VALUE(P28)=0,VALUE(R28)&lt;=1,VALUE(S28)&lt;=1,VALUE(T28)&lt;=1,VALUE(U28)&lt;=1),"オフショア候補",IF(AND(VALUE(T28)&lt;=1,VALUE(U28)&lt;=1),"ニアショア候補","社内で手順化→再評価")))))</f>
        <v/>
      </c>
      <c r="AF28">
        <f>IF(W28&lt;&gt;"OK","",14-SUMPRODUCT(--O28:U28))</f>
        <v/>
      </c>
      <c r="AG28" s="33">
        <f>IF(W28&lt;&gt;"OK","",AM28*AN28/60)</f>
        <v/>
      </c>
      <c r="AH28" s="34">
        <f>IF(A28="","",UPPER(TRIM(ASC(A28&amp;""))))</f>
        <v/>
      </c>
      <c r="AI28" s="34">
        <f>IF(AH28="","",AH28&amp;"-"&amp;B28)</f>
        <v/>
      </c>
      <c r="AJ28" s="34">
        <f>IF(C28="","",IFERROR(VALUE(ASC(SUBSTITUTE(C28&amp;"","観点",""))),""))</f>
        <v/>
      </c>
      <c r="AK28" s="34">
        <f>IF(E28="","",UPPER(LEFT(TRIM(ASC(E28&amp;"")),3)))</f>
        <v/>
      </c>
      <c r="AL28" s="34">
        <f>IF(I28="","",IFERROR(VALUE(SUBSTITUTE(SUBSTITUTE(SUBSTITUTE(SUBSTITUTE(SUBSTITUTE(SUBSTITUTE(SUBSTITUTE(SUBSTITUTE(SUBSTITUTE(SUBSTITUTE(SUBSTITUTE(SUBSTITUTE(ASC(I28&amp;""),"約",""),"程度",""),"ほど",""),"回",""),"毎",""),"週",""),"月",""),"年",""),"日",""),"に",""),"/","")," ","")),""))</f>
        <v/>
      </c>
      <c r="AM28" s="34">
        <f>IF(I28="","",IF(ISNUMBER(I28),I28,IFERROR(VALUE(ASC(I28&amp;"")),IF(AL28&lt;&gt;"",AL28*IF(ISNUMBER(SEARCH("週",I28)),4.3,IF(ISNUMBER(SEARCH("年",I28)),1/12,IF(ISNUMBER(SEARCH("日",I28)),20,1))),IF(ISNUMBER(SEARCH("日",I28)),20,IF(ISNUMBER(SEARCH("週",I28)),4.3,IF(ISNUMBER(SEARCH("月",I28)),1,"")))))))</f>
        <v/>
      </c>
      <c r="AN28" s="34">
        <f>IF(J28="","",IF(ISNUMBER(J28),J28,IFERROR(VALUE(ASC(J28&amp;"")),IF(ISNUMBER(SEARCH("時間",J28)),IFERROR(VALUE(SUBSTITUTE(SUBSTITUTE(SUBSTITUTE(SUBSTITUTE(SUBSTITUTE(ASC(J28&amp;""),"約",""),"程度",""),"ほど",""),"時間","")," ",""))*60,""),IFERROR(VALUE(SUBSTITUTE(SUBSTITUTE(SUBSTITUTE(SUBSTITUTE(SUBSTITUTE(ASC(J28&amp;""),"約",""),"程度",""),"ほど",""),"分","")," ","")),"")))))</f>
        <v/>
      </c>
      <c r="AO28" s="34">
        <f>IF(K28="","",IF(ISNUMBER(K28),K28,IFERROR(VALUE(SUBSTITUTE(SUBSTITUTE(SUBSTITUTE(ASC(K28&amp;""),"約",""),"件","")," ","")),"")))</f>
        <v/>
      </c>
      <c r="AP28" s="34">
        <f>IF(W28&lt;&gt;"OK","",IF(COUNTIFS($D$5:$D$404,D28,$W$5:$W$404,"OK")&gt;1,"同名あり",""))</f>
        <v/>
      </c>
      <c r="AQ28" s="35">
        <f>IF(L28="","",IF(ISNUMBER(L28),L28,IFERROR(DATEVALUE(SUBSTITUTE(SUBSTITUTE(ASC(L28&amp;""),"-","/"),".","/")&amp;"/01"),"")))</f>
        <v/>
      </c>
      <c r="AR28" s="35">
        <f>IF(M28="","",IF(ISNUMBER(M28),M28,IFERROR(DATEVALUE(SUBSTITUTE(SUBSTITUTE(ASC(M28&amp;""),"-","/"),".","/")&amp;"/01"),"")))</f>
        <v/>
      </c>
      <c r="AS28" s="34">
        <f>IF(OR(W28&lt;&gt;"OK",AQ28=""),"",IF(AQ28&gt;='01_設定'!$C$26,1,0))</f>
        <v/>
      </c>
      <c r="AT28" s="34">
        <f>IF(AND(W28="OK",Y28&lt;&gt;"除外"),COUNTIFS($W$5:W28,"OK",$Y$5:Y28,"&lt;&gt;除外"),"")</f>
        <v/>
      </c>
      <c r="AU28" s="34">
        <f>IF(OR(AT28="",AD28=""),"",AD28+ROW()/1000000000)</f>
        <v/>
      </c>
    </row>
    <row r="29">
      <c r="W29">
        <f>IF(AND(A29="",D29=""),"",IF(ISNUMBER(SEARCH("##END",AH29)),"（終わりの印）",IF(ISNUMBER(SEARCH("##続き",AH29)),"（続きありの印）",IF(AH29="調査ID","（見出し行）",IF(AND(AH29&lt;&gt;"R1",AH29&lt;&gt;"R2"),"×表以外の行（集計されない）",IF(COUNTIF($AI$5:AI29,AI29)&gt;1,"△重複（集計されない）",IF(D29="","△タスク名なし",IF(ISNA(MATCH(AK29,'M1_類型マスタ'!$A$5:$A$19,0)),"△類型が不正",IF(OR(AM29="",AN29=""),"△回数・分が読めない",IF(SUMPRODUCT(--ISNUMBER(--O29:U29))&lt;7,"△採点が足りない",IF(SUMPRODUCT((--O29:U29&gt;2)+(--O29:U29&lt;0))&gt;0,"△採点が範囲外","OK")))))))))))</f>
        <v/>
      </c>
      <c r="X29">
        <f>IF(W29&lt;&gt;"OK","",TRIM(IF(AND(AO29&lt;&gt;"",N(AO29)&lt;=1),"根拠1件 ","")&amp;IF(AP29&lt;&gt;"","同名あり ","")&amp;IF(AND(NOT(ISNUMBER(I29)),I29&lt;&gt;""),"回数を換算 ","")))</f>
        <v/>
      </c>
      <c r="Y29" s="31" t="n"/>
      <c r="Z29" s="32" t="n"/>
      <c r="AA29" s="32" t="n"/>
      <c r="AB29" s="31" t="n"/>
      <c r="AC29">
        <f>IF(W29&lt;&gt;"OK","",IF(AB29&lt;&gt;"",AB29,AE29))</f>
        <v/>
      </c>
      <c r="AD29" s="33">
        <f>IF(W29&lt;&gt;"OK","",IFERROR(IF(Z29&lt;&gt;"",Z29,AM29)*IF(AA29&lt;&gt;"",AA29,AN29)/60,""))</f>
        <v/>
      </c>
      <c r="AE29">
        <f>IF(W29&lt;&gt;"OK","",IF(OR(VALUE(O29)=2,VALUE(P29)=2,VALUE(Q29)=2),"社内残置",IF(AND(VALUE(O29)=0,VALUE(R29)=0,VALUE(T29)=0),"自動化候補",IF(AND(VALUE(P29)=0,VALUE(R29)&lt;=1,VALUE(S29)&lt;=1,VALUE(T29)&lt;=1,VALUE(U29)&lt;=1),"オフショア候補",IF(AND(VALUE(T29)&lt;=1,VALUE(U29)&lt;=1),"ニアショア候補","社内で手順化→再評価")))))</f>
        <v/>
      </c>
      <c r="AF29">
        <f>IF(W29&lt;&gt;"OK","",14-SUMPRODUCT(--O29:U29))</f>
        <v/>
      </c>
      <c r="AG29" s="33">
        <f>IF(W29&lt;&gt;"OK","",AM29*AN29/60)</f>
        <v/>
      </c>
      <c r="AH29" s="34">
        <f>IF(A29="","",UPPER(TRIM(ASC(A29&amp;""))))</f>
        <v/>
      </c>
      <c r="AI29" s="34">
        <f>IF(AH29="","",AH29&amp;"-"&amp;B29)</f>
        <v/>
      </c>
      <c r="AJ29" s="34">
        <f>IF(C29="","",IFERROR(VALUE(ASC(SUBSTITUTE(C29&amp;"","観点",""))),""))</f>
        <v/>
      </c>
      <c r="AK29" s="34">
        <f>IF(E29="","",UPPER(LEFT(TRIM(ASC(E29&amp;"")),3)))</f>
        <v/>
      </c>
      <c r="AL29" s="34">
        <f>IF(I29="","",IFERROR(VALUE(SUBSTITUTE(SUBSTITUTE(SUBSTITUTE(SUBSTITUTE(SUBSTITUTE(SUBSTITUTE(SUBSTITUTE(SUBSTITUTE(SUBSTITUTE(SUBSTITUTE(SUBSTITUTE(SUBSTITUTE(ASC(I29&amp;""),"約",""),"程度",""),"ほど",""),"回",""),"毎",""),"週",""),"月",""),"年",""),"日",""),"に",""),"/","")," ","")),""))</f>
        <v/>
      </c>
      <c r="AM29" s="34">
        <f>IF(I29="","",IF(ISNUMBER(I29),I29,IFERROR(VALUE(ASC(I29&amp;"")),IF(AL29&lt;&gt;"",AL29*IF(ISNUMBER(SEARCH("週",I29)),4.3,IF(ISNUMBER(SEARCH("年",I29)),1/12,IF(ISNUMBER(SEARCH("日",I29)),20,1))),IF(ISNUMBER(SEARCH("日",I29)),20,IF(ISNUMBER(SEARCH("週",I29)),4.3,IF(ISNUMBER(SEARCH("月",I29)),1,"")))))))</f>
        <v/>
      </c>
      <c r="AN29" s="34">
        <f>IF(J29="","",IF(ISNUMBER(J29),J29,IFERROR(VALUE(ASC(J29&amp;"")),IF(ISNUMBER(SEARCH("時間",J29)),IFERROR(VALUE(SUBSTITUTE(SUBSTITUTE(SUBSTITUTE(SUBSTITUTE(SUBSTITUTE(ASC(J29&amp;""),"約",""),"程度",""),"ほど",""),"時間","")," ",""))*60,""),IFERROR(VALUE(SUBSTITUTE(SUBSTITUTE(SUBSTITUTE(SUBSTITUTE(SUBSTITUTE(ASC(J29&amp;""),"約",""),"程度",""),"ほど",""),"分","")," ","")),"")))))</f>
        <v/>
      </c>
      <c r="AO29" s="34">
        <f>IF(K29="","",IF(ISNUMBER(K29),K29,IFERROR(VALUE(SUBSTITUTE(SUBSTITUTE(SUBSTITUTE(ASC(K29&amp;""),"約",""),"件","")," ","")),"")))</f>
        <v/>
      </c>
      <c r="AP29" s="34">
        <f>IF(W29&lt;&gt;"OK","",IF(COUNTIFS($D$5:$D$404,D29,$W$5:$W$404,"OK")&gt;1,"同名あり",""))</f>
        <v/>
      </c>
      <c r="AQ29" s="35">
        <f>IF(L29="","",IF(ISNUMBER(L29),L29,IFERROR(DATEVALUE(SUBSTITUTE(SUBSTITUTE(ASC(L29&amp;""),"-","/"),".","/")&amp;"/01"),"")))</f>
        <v/>
      </c>
      <c r="AR29" s="35">
        <f>IF(M29="","",IF(ISNUMBER(M29),M29,IFERROR(DATEVALUE(SUBSTITUTE(SUBSTITUTE(ASC(M29&amp;""),"-","/"),".","/")&amp;"/01"),"")))</f>
        <v/>
      </c>
      <c r="AS29" s="34">
        <f>IF(OR(W29&lt;&gt;"OK",AQ29=""),"",IF(AQ29&gt;='01_設定'!$C$26,1,0))</f>
        <v/>
      </c>
      <c r="AT29" s="34">
        <f>IF(AND(W29="OK",Y29&lt;&gt;"除外"),COUNTIFS($W$5:W29,"OK",$Y$5:Y29,"&lt;&gt;除外"),"")</f>
        <v/>
      </c>
      <c r="AU29" s="34">
        <f>IF(OR(AT29="",AD29=""),"",AD29+ROW()/1000000000)</f>
        <v/>
      </c>
    </row>
    <row r="30">
      <c r="W30">
        <f>IF(AND(A30="",D30=""),"",IF(ISNUMBER(SEARCH("##END",AH30)),"（終わりの印）",IF(ISNUMBER(SEARCH("##続き",AH30)),"（続きありの印）",IF(AH30="調査ID","（見出し行）",IF(AND(AH30&lt;&gt;"R1",AH30&lt;&gt;"R2"),"×表以外の行（集計されない）",IF(COUNTIF($AI$5:AI30,AI30)&gt;1,"△重複（集計されない）",IF(D30="","△タスク名なし",IF(ISNA(MATCH(AK30,'M1_類型マスタ'!$A$5:$A$19,0)),"△類型が不正",IF(OR(AM30="",AN30=""),"△回数・分が読めない",IF(SUMPRODUCT(--ISNUMBER(--O30:U30))&lt;7,"△採点が足りない",IF(SUMPRODUCT((--O30:U30&gt;2)+(--O30:U30&lt;0))&gt;0,"△採点が範囲外","OK")))))))))))</f>
        <v/>
      </c>
      <c r="X30">
        <f>IF(W30&lt;&gt;"OK","",TRIM(IF(AND(AO30&lt;&gt;"",N(AO30)&lt;=1),"根拠1件 ","")&amp;IF(AP30&lt;&gt;"","同名あり ","")&amp;IF(AND(NOT(ISNUMBER(I30)),I30&lt;&gt;""),"回数を換算 ","")))</f>
        <v/>
      </c>
      <c r="Y30" s="31" t="n"/>
      <c r="Z30" s="32" t="n"/>
      <c r="AA30" s="32" t="n"/>
      <c r="AB30" s="31" t="n"/>
      <c r="AC30">
        <f>IF(W30&lt;&gt;"OK","",IF(AB30&lt;&gt;"",AB30,AE30))</f>
        <v/>
      </c>
      <c r="AD30" s="33">
        <f>IF(W30&lt;&gt;"OK","",IFERROR(IF(Z30&lt;&gt;"",Z30,AM30)*IF(AA30&lt;&gt;"",AA30,AN30)/60,""))</f>
        <v/>
      </c>
      <c r="AE30">
        <f>IF(W30&lt;&gt;"OK","",IF(OR(VALUE(O30)=2,VALUE(P30)=2,VALUE(Q30)=2),"社内残置",IF(AND(VALUE(O30)=0,VALUE(R30)=0,VALUE(T30)=0),"自動化候補",IF(AND(VALUE(P30)=0,VALUE(R30)&lt;=1,VALUE(S30)&lt;=1,VALUE(T30)&lt;=1,VALUE(U30)&lt;=1),"オフショア候補",IF(AND(VALUE(T30)&lt;=1,VALUE(U30)&lt;=1),"ニアショア候補","社内で手順化→再評価")))))</f>
        <v/>
      </c>
      <c r="AF30">
        <f>IF(W30&lt;&gt;"OK","",14-SUMPRODUCT(--O30:U30))</f>
        <v/>
      </c>
      <c r="AG30" s="33">
        <f>IF(W30&lt;&gt;"OK","",AM30*AN30/60)</f>
        <v/>
      </c>
      <c r="AH30" s="34">
        <f>IF(A30="","",UPPER(TRIM(ASC(A30&amp;""))))</f>
        <v/>
      </c>
      <c r="AI30" s="34">
        <f>IF(AH30="","",AH30&amp;"-"&amp;B30)</f>
        <v/>
      </c>
      <c r="AJ30" s="34">
        <f>IF(C30="","",IFERROR(VALUE(ASC(SUBSTITUTE(C30&amp;"","観点",""))),""))</f>
        <v/>
      </c>
      <c r="AK30" s="34">
        <f>IF(E30="","",UPPER(LEFT(TRIM(ASC(E30&amp;"")),3)))</f>
        <v/>
      </c>
      <c r="AL30" s="34">
        <f>IF(I30="","",IFERROR(VALUE(SUBSTITUTE(SUBSTITUTE(SUBSTITUTE(SUBSTITUTE(SUBSTITUTE(SUBSTITUTE(SUBSTITUTE(SUBSTITUTE(SUBSTITUTE(SUBSTITUTE(SUBSTITUTE(SUBSTITUTE(ASC(I30&amp;""),"約",""),"程度",""),"ほど",""),"回",""),"毎",""),"週",""),"月",""),"年",""),"日",""),"に",""),"/","")," ","")),""))</f>
        <v/>
      </c>
      <c r="AM30" s="34">
        <f>IF(I30="","",IF(ISNUMBER(I30),I30,IFERROR(VALUE(ASC(I30&amp;"")),IF(AL30&lt;&gt;"",AL30*IF(ISNUMBER(SEARCH("週",I30)),4.3,IF(ISNUMBER(SEARCH("年",I30)),1/12,IF(ISNUMBER(SEARCH("日",I30)),20,1))),IF(ISNUMBER(SEARCH("日",I30)),20,IF(ISNUMBER(SEARCH("週",I30)),4.3,IF(ISNUMBER(SEARCH("月",I30)),1,"")))))))</f>
        <v/>
      </c>
      <c r="AN30" s="34">
        <f>IF(J30="","",IF(ISNUMBER(J30),J30,IFERROR(VALUE(ASC(J30&amp;"")),IF(ISNUMBER(SEARCH("時間",J30)),IFERROR(VALUE(SUBSTITUTE(SUBSTITUTE(SUBSTITUTE(SUBSTITUTE(SUBSTITUTE(ASC(J30&amp;""),"約",""),"程度",""),"ほど",""),"時間","")," ",""))*60,""),IFERROR(VALUE(SUBSTITUTE(SUBSTITUTE(SUBSTITUTE(SUBSTITUTE(SUBSTITUTE(ASC(J30&amp;""),"約",""),"程度",""),"ほど",""),"分","")," ","")),"")))))</f>
        <v/>
      </c>
      <c r="AO30" s="34">
        <f>IF(K30="","",IF(ISNUMBER(K30),K30,IFERROR(VALUE(SUBSTITUTE(SUBSTITUTE(SUBSTITUTE(ASC(K30&amp;""),"約",""),"件","")," ","")),"")))</f>
        <v/>
      </c>
      <c r="AP30" s="34">
        <f>IF(W30&lt;&gt;"OK","",IF(COUNTIFS($D$5:$D$404,D30,$W$5:$W$404,"OK")&gt;1,"同名あり",""))</f>
        <v/>
      </c>
      <c r="AQ30" s="35">
        <f>IF(L30="","",IF(ISNUMBER(L30),L30,IFERROR(DATEVALUE(SUBSTITUTE(SUBSTITUTE(ASC(L30&amp;""),"-","/"),".","/")&amp;"/01"),"")))</f>
        <v/>
      </c>
      <c r="AR30" s="35">
        <f>IF(M30="","",IF(ISNUMBER(M30),M30,IFERROR(DATEVALUE(SUBSTITUTE(SUBSTITUTE(ASC(M30&amp;""),"-","/"),".","/")&amp;"/01"),"")))</f>
        <v/>
      </c>
      <c r="AS30" s="34">
        <f>IF(OR(W30&lt;&gt;"OK",AQ30=""),"",IF(AQ30&gt;='01_設定'!$C$26,1,0))</f>
        <v/>
      </c>
      <c r="AT30" s="34">
        <f>IF(AND(W30="OK",Y30&lt;&gt;"除外"),COUNTIFS($W$5:W30,"OK",$Y$5:Y30,"&lt;&gt;除外"),"")</f>
        <v/>
      </c>
      <c r="AU30" s="34">
        <f>IF(OR(AT30="",AD30=""),"",AD30+ROW()/1000000000)</f>
        <v/>
      </c>
    </row>
    <row r="31">
      <c r="W31">
        <f>IF(AND(A31="",D31=""),"",IF(ISNUMBER(SEARCH("##END",AH31)),"（終わりの印）",IF(ISNUMBER(SEARCH("##続き",AH31)),"（続きありの印）",IF(AH31="調査ID","（見出し行）",IF(AND(AH31&lt;&gt;"R1",AH31&lt;&gt;"R2"),"×表以外の行（集計されない）",IF(COUNTIF($AI$5:AI31,AI31)&gt;1,"△重複（集計されない）",IF(D31="","△タスク名なし",IF(ISNA(MATCH(AK31,'M1_類型マスタ'!$A$5:$A$19,0)),"△類型が不正",IF(OR(AM31="",AN31=""),"△回数・分が読めない",IF(SUMPRODUCT(--ISNUMBER(--O31:U31))&lt;7,"△採点が足りない",IF(SUMPRODUCT((--O31:U31&gt;2)+(--O31:U31&lt;0))&gt;0,"△採点が範囲外","OK")))))))))))</f>
        <v/>
      </c>
      <c r="X31">
        <f>IF(W31&lt;&gt;"OK","",TRIM(IF(AND(AO31&lt;&gt;"",N(AO31)&lt;=1),"根拠1件 ","")&amp;IF(AP31&lt;&gt;"","同名あり ","")&amp;IF(AND(NOT(ISNUMBER(I31)),I31&lt;&gt;""),"回数を換算 ","")))</f>
        <v/>
      </c>
      <c r="Y31" s="31" t="n"/>
      <c r="Z31" s="32" t="n"/>
      <c r="AA31" s="32" t="n"/>
      <c r="AB31" s="31" t="n"/>
      <c r="AC31">
        <f>IF(W31&lt;&gt;"OK","",IF(AB31&lt;&gt;"",AB31,AE31))</f>
        <v/>
      </c>
      <c r="AD31" s="33">
        <f>IF(W31&lt;&gt;"OK","",IFERROR(IF(Z31&lt;&gt;"",Z31,AM31)*IF(AA31&lt;&gt;"",AA31,AN31)/60,""))</f>
        <v/>
      </c>
      <c r="AE31">
        <f>IF(W31&lt;&gt;"OK","",IF(OR(VALUE(O31)=2,VALUE(P31)=2,VALUE(Q31)=2),"社内残置",IF(AND(VALUE(O31)=0,VALUE(R31)=0,VALUE(T31)=0),"自動化候補",IF(AND(VALUE(P31)=0,VALUE(R31)&lt;=1,VALUE(S31)&lt;=1,VALUE(T31)&lt;=1,VALUE(U31)&lt;=1),"オフショア候補",IF(AND(VALUE(T31)&lt;=1,VALUE(U31)&lt;=1),"ニアショア候補","社内で手順化→再評価")))))</f>
        <v/>
      </c>
      <c r="AF31">
        <f>IF(W31&lt;&gt;"OK","",14-SUMPRODUCT(--O31:U31))</f>
        <v/>
      </c>
      <c r="AG31" s="33">
        <f>IF(W31&lt;&gt;"OK","",AM31*AN31/60)</f>
        <v/>
      </c>
      <c r="AH31" s="34">
        <f>IF(A31="","",UPPER(TRIM(ASC(A31&amp;""))))</f>
        <v/>
      </c>
      <c r="AI31" s="34">
        <f>IF(AH31="","",AH31&amp;"-"&amp;B31)</f>
        <v/>
      </c>
      <c r="AJ31" s="34">
        <f>IF(C31="","",IFERROR(VALUE(ASC(SUBSTITUTE(C31&amp;"","観点",""))),""))</f>
        <v/>
      </c>
      <c r="AK31" s="34">
        <f>IF(E31="","",UPPER(LEFT(TRIM(ASC(E31&amp;"")),3)))</f>
        <v/>
      </c>
      <c r="AL31" s="34">
        <f>IF(I31="","",IFERROR(VALUE(SUBSTITUTE(SUBSTITUTE(SUBSTITUTE(SUBSTITUTE(SUBSTITUTE(SUBSTITUTE(SUBSTITUTE(SUBSTITUTE(SUBSTITUTE(SUBSTITUTE(SUBSTITUTE(SUBSTITUTE(ASC(I31&amp;""),"約",""),"程度",""),"ほど",""),"回",""),"毎",""),"週",""),"月",""),"年",""),"日",""),"に",""),"/","")," ","")),""))</f>
        <v/>
      </c>
      <c r="AM31" s="34">
        <f>IF(I31="","",IF(ISNUMBER(I31),I31,IFERROR(VALUE(ASC(I31&amp;"")),IF(AL31&lt;&gt;"",AL31*IF(ISNUMBER(SEARCH("週",I31)),4.3,IF(ISNUMBER(SEARCH("年",I31)),1/12,IF(ISNUMBER(SEARCH("日",I31)),20,1))),IF(ISNUMBER(SEARCH("日",I31)),20,IF(ISNUMBER(SEARCH("週",I31)),4.3,IF(ISNUMBER(SEARCH("月",I31)),1,"")))))))</f>
        <v/>
      </c>
      <c r="AN31" s="34">
        <f>IF(J31="","",IF(ISNUMBER(J31),J31,IFERROR(VALUE(ASC(J31&amp;"")),IF(ISNUMBER(SEARCH("時間",J31)),IFERROR(VALUE(SUBSTITUTE(SUBSTITUTE(SUBSTITUTE(SUBSTITUTE(SUBSTITUTE(ASC(J31&amp;""),"約",""),"程度",""),"ほど",""),"時間","")," ",""))*60,""),IFERROR(VALUE(SUBSTITUTE(SUBSTITUTE(SUBSTITUTE(SUBSTITUTE(SUBSTITUTE(ASC(J31&amp;""),"約",""),"程度",""),"ほど",""),"分","")," ","")),"")))))</f>
        <v/>
      </c>
      <c r="AO31" s="34">
        <f>IF(K31="","",IF(ISNUMBER(K31),K31,IFERROR(VALUE(SUBSTITUTE(SUBSTITUTE(SUBSTITUTE(ASC(K31&amp;""),"約",""),"件","")," ","")),"")))</f>
        <v/>
      </c>
      <c r="AP31" s="34">
        <f>IF(W31&lt;&gt;"OK","",IF(COUNTIFS($D$5:$D$404,D31,$W$5:$W$404,"OK")&gt;1,"同名あり",""))</f>
        <v/>
      </c>
      <c r="AQ31" s="35">
        <f>IF(L31="","",IF(ISNUMBER(L31),L31,IFERROR(DATEVALUE(SUBSTITUTE(SUBSTITUTE(ASC(L31&amp;""),"-","/"),".","/")&amp;"/01"),"")))</f>
        <v/>
      </c>
      <c r="AR31" s="35">
        <f>IF(M31="","",IF(ISNUMBER(M31),M31,IFERROR(DATEVALUE(SUBSTITUTE(SUBSTITUTE(ASC(M31&amp;""),"-","/"),".","/")&amp;"/01"),"")))</f>
        <v/>
      </c>
      <c r="AS31" s="34">
        <f>IF(OR(W31&lt;&gt;"OK",AQ31=""),"",IF(AQ31&gt;='01_設定'!$C$26,1,0))</f>
        <v/>
      </c>
      <c r="AT31" s="34">
        <f>IF(AND(W31="OK",Y31&lt;&gt;"除外"),COUNTIFS($W$5:W31,"OK",$Y$5:Y31,"&lt;&gt;除外"),"")</f>
        <v/>
      </c>
      <c r="AU31" s="34">
        <f>IF(OR(AT31="",AD31=""),"",AD31+ROW()/1000000000)</f>
        <v/>
      </c>
    </row>
    <row r="32">
      <c r="W32">
        <f>IF(AND(A32="",D32=""),"",IF(ISNUMBER(SEARCH("##END",AH32)),"（終わりの印）",IF(ISNUMBER(SEARCH("##続き",AH32)),"（続きありの印）",IF(AH32="調査ID","（見出し行）",IF(AND(AH32&lt;&gt;"R1",AH32&lt;&gt;"R2"),"×表以外の行（集計されない）",IF(COUNTIF($AI$5:AI32,AI32)&gt;1,"△重複（集計されない）",IF(D32="","△タスク名なし",IF(ISNA(MATCH(AK32,'M1_類型マスタ'!$A$5:$A$19,0)),"△類型が不正",IF(OR(AM32="",AN32=""),"△回数・分が読めない",IF(SUMPRODUCT(--ISNUMBER(--O32:U32))&lt;7,"△採点が足りない",IF(SUMPRODUCT((--O32:U32&gt;2)+(--O32:U32&lt;0))&gt;0,"△採点が範囲外","OK")))))))))))</f>
        <v/>
      </c>
      <c r="X32">
        <f>IF(W32&lt;&gt;"OK","",TRIM(IF(AND(AO32&lt;&gt;"",N(AO32)&lt;=1),"根拠1件 ","")&amp;IF(AP32&lt;&gt;"","同名あり ","")&amp;IF(AND(NOT(ISNUMBER(I32)),I32&lt;&gt;""),"回数を換算 ","")))</f>
        <v/>
      </c>
      <c r="Y32" s="31" t="n"/>
      <c r="Z32" s="32" t="n"/>
      <c r="AA32" s="32" t="n"/>
      <c r="AB32" s="31" t="n"/>
      <c r="AC32">
        <f>IF(W32&lt;&gt;"OK","",IF(AB32&lt;&gt;"",AB32,AE32))</f>
        <v/>
      </c>
      <c r="AD32" s="33">
        <f>IF(W32&lt;&gt;"OK","",IFERROR(IF(Z32&lt;&gt;"",Z32,AM32)*IF(AA32&lt;&gt;"",AA32,AN32)/60,""))</f>
        <v/>
      </c>
      <c r="AE32">
        <f>IF(W32&lt;&gt;"OK","",IF(OR(VALUE(O32)=2,VALUE(P32)=2,VALUE(Q32)=2),"社内残置",IF(AND(VALUE(O32)=0,VALUE(R32)=0,VALUE(T32)=0),"自動化候補",IF(AND(VALUE(P32)=0,VALUE(R32)&lt;=1,VALUE(S32)&lt;=1,VALUE(T32)&lt;=1,VALUE(U32)&lt;=1),"オフショア候補",IF(AND(VALUE(T32)&lt;=1,VALUE(U32)&lt;=1),"ニアショア候補","社内で手順化→再評価")))))</f>
        <v/>
      </c>
      <c r="AF32">
        <f>IF(W32&lt;&gt;"OK","",14-SUMPRODUCT(--O32:U32))</f>
        <v/>
      </c>
      <c r="AG32" s="33">
        <f>IF(W32&lt;&gt;"OK","",AM32*AN32/60)</f>
        <v/>
      </c>
      <c r="AH32" s="34">
        <f>IF(A32="","",UPPER(TRIM(ASC(A32&amp;""))))</f>
        <v/>
      </c>
      <c r="AI32" s="34">
        <f>IF(AH32="","",AH32&amp;"-"&amp;B32)</f>
        <v/>
      </c>
      <c r="AJ32" s="34">
        <f>IF(C32="","",IFERROR(VALUE(ASC(SUBSTITUTE(C32&amp;"","観点",""))),""))</f>
        <v/>
      </c>
      <c r="AK32" s="34">
        <f>IF(E32="","",UPPER(LEFT(TRIM(ASC(E32&amp;"")),3)))</f>
        <v/>
      </c>
      <c r="AL32" s="34">
        <f>IF(I32="","",IFERROR(VALUE(SUBSTITUTE(SUBSTITUTE(SUBSTITUTE(SUBSTITUTE(SUBSTITUTE(SUBSTITUTE(SUBSTITUTE(SUBSTITUTE(SUBSTITUTE(SUBSTITUTE(SUBSTITUTE(SUBSTITUTE(ASC(I32&amp;""),"約",""),"程度",""),"ほど",""),"回",""),"毎",""),"週",""),"月",""),"年",""),"日",""),"に",""),"/","")," ","")),""))</f>
        <v/>
      </c>
      <c r="AM32" s="34">
        <f>IF(I32="","",IF(ISNUMBER(I32),I32,IFERROR(VALUE(ASC(I32&amp;"")),IF(AL32&lt;&gt;"",AL32*IF(ISNUMBER(SEARCH("週",I32)),4.3,IF(ISNUMBER(SEARCH("年",I32)),1/12,IF(ISNUMBER(SEARCH("日",I32)),20,1))),IF(ISNUMBER(SEARCH("日",I32)),20,IF(ISNUMBER(SEARCH("週",I32)),4.3,IF(ISNUMBER(SEARCH("月",I32)),1,"")))))))</f>
        <v/>
      </c>
      <c r="AN32" s="34">
        <f>IF(J32="","",IF(ISNUMBER(J32),J32,IFERROR(VALUE(ASC(J32&amp;"")),IF(ISNUMBER(SEARCH("時間",J32)),IFERROR(VALUE(SUBSTITUTE(SUBSTITUTE(SUBSTITUTE(SUBSTITUTE(SUBSTITUTE(ASC(J32&amp;""),"約",""),"程度",""),"ほど",""),"時間","")," ",""))*60,""),IFERROR(VALUE(SUBSTITUTE(SUBSTITUTE(SUBSTITUTE(SUBSTITUTE(SUBSTITUTE(ASC(J32&amp;""),"約",""),"程度",""),"ほど",""),"分","")," ","")),"")))))</f>
        <v/>
      </c>
      <c r="AO32" s="34">
        <f>IF(K32="","",IF(ISNUMBER(K32),K32,IFERROR(VALUE(SUBSTITUTE(SUBSTITUTE(SUBSTITUTE(ASC(K32&amp;""),"約",""),"件","")," ","")),"")))</f>
        <v/>
      </c>
      <c r="AP32" s="34">
        <f>IF(W32&lt;&gt;"OK","",IF(COUNTIFS($D$5:$D$404,D32,$W$5:$W$404,"OK")&gt;1,"同名あり",""))</f>
        <v/>
      </c>
      <c r="AQ32" s="35">
        <f>IF(L32="","",IF(ISNUMBER(L32),L32,IFERROR(DATEVALUE(SUBSTITUTE(SUBSTITUTE(ASC(L32&amp;""),"-","/"),".","/")&amp;"/01"),"")))</f>
        <v/>
      </c>
      <c r="AR32" s="35">
        <f>IF(M32="","",IF(ISNUMBER(M32),M32,IFERROR(DATEVALUE(SUBSTITUTE(SUBSTITUTE(ASC(M32&amp;""),"-","/"),".","/")&amp;"/01"),"")))</f>
        <v/>
      </c>
      <c r="AS32" s="34">
        <f>IF(OR(W32&lt;&gt;"OK",AQ32=""),"",IF(AQ32&gt;='01_設定'!$C$26,1,0))</f>
        <v/>
      </c>
      <c r="AT32" s="34">
        <f>IF(AND(W32="OK",Y32&lt;&gt;"除外"),COUNTIFS($W$5:W32,"OK",$Y$5:Y32,"&lt;&gt;除外"),"")</f>
        <v/>
      </c>
      <c r="AU32" s="34">
        <f>IF(OR(AT32="",AD32=""),"",AD32+ROW()/1000000000)</f>
        <v/>
      </c>
    </row>
    <row r="33">
      <c r="W33">
        <f>IF(AND(A33="",D33=""),"",IF(ISNUMBER(SEARCH("##END",AH33)),"（終わりの印）",IF(ISNUMBER(SEARCH("##続き",AH33)),"（続きありの印）",IF(AH33="調査ID","（見出し行）",IF(AND(AH33&lt;&gt;"R1",AH33&lt;&gt;"R2"),"×表以外の行（集計されない）",IF(COUNTIF($AI$5:AI33,AI33)&gt;1,"△重複（集計されない）",IF(D33="","△タスク名なし",IF(ISNA(MATCH(AK33,'M1_類型マスタ'!$A$5:$A$19,0)),"△類型が不正",IF(OR(AM33="",AN33=""),"△回数・分が読めない",IF(SUMPRODUCT(--ISNUMBER(--O33:U33))&lt;7,"△採点が足りない",IF(SUMPRODUCT((--O33:U33&gt;2)+(--O33:U33&lt;0))&gt;0,"△採点が範囲外","OK")))))))))))</f>
        <v/>
      </c>
      <c r="X33">
        <f>IF(W33&lt;&gt;"OK","",TRIM(IF(AND(AO33&lt;&gt;"",N(AO33)&lt;=1),"根拠1件 ","")&amp;IF(AP33&lt;&gt;"","同名あり ","")&amp;IF(AND(NOT(ISNUMBER(I33)),I33&lt;&gt;""),"回数を換算 ","")))</f>
        <v/>
      </c>
      <c r="Y33" s="31" t="n"/>
      <c r="Z33" s="32" t="n"/>
      <c r="AA33" s="32" t="n"/>
      <c r="AB33" s="31" t="n"/>
      <c r="AC33">
        <f>IF(W33&lt;&gt;"OK","",IF(AB33&lt;&gt;"",AB33,AE33))</f>
        <v/>
      </c>
      <c r="AD33" s="33">
        <f>IF(W33&lt;&gt;"OK","",IFERROR(IF(Z33&lt;&gt;"",Z33,AM33)*IF(AA33&lt;&gt;"",AA33,AN33)/60,""))</f>
        <v/>
      </c>
      <c r="AE33">
        <f>IF(W33&lt;&gt;"OK","",IF(OR(VALUE(O33)=2,VALUE(P33)=2,VALUE(Q33)=2),"社内残置",IF(AND(VALUE(O33)=0,VALUE(R33)=0,VALUE(T33)=0),"自動化候補",IF(AND(VALUE(P33)=0,VALUE(R33)&lt;=1,VALUE(S33)&lt;=1,VALUE(T33)&lt;=1,VALUE(U33)&lt;=1),"オフショア候補",IF(AND(VALUE(T33)&lt;=1,VALUE(U33)&lt;=1),"ニアショア候補","社内で手順化→再評価")))))</f>
        <v/>
      </c>
      <c r="AF33">
        <f>IF(W33&lt;&gt;"OK","",14-SUMPRODUCT(--O33:U33))</f>
        <v/>
      </c>
      <c r="AG33" s="33">
        <f>IF(W33&lt;&gt;"OK","",AM33*AN33/60)</f>
        <v/>
      </c>
      <c r="AH33" s="34">
        <f>IF(A33="","",UPPER(TRIM(ASC(A33&amp;""))))</f>
        <v/>
      </c>
      <c r="AI33" s="34">
        <f>IF(AH33="","",AH33&amp;"-"&amp;B33)</f>
        <v/>
      </c>
      <c r="AJ33" s="34">
        <f>IF(C33="","",IFERROR(VALUE(ASC(SUBSTITUTE(C33&amp;"","観点",""))),""))</f>
        <v/>
      </c>
      <c r="AK33" s="34">
        <f>IF(E33="","",UPPER(LEFT(TRIM(ASC(E33&amp;"")),3)))</f>
        <v/>
      </c>
      <c r="AL33" s="34">
        <f>IF(I33="","",IFERROR(VALUE(SUBSTITUTE(SUBSTITUTE(SUBSTITUTE(SUBSTITUTE(SUBSTITUTE(SUBSTITUTE(SUBSTITUTE(SUBSTITUTE(SUBSTITUTE(SUBSTITUTE(SUBSTITUTE(SUBSTITUTE(ASC(I33&amp;""),"約",""),"程度",""),"ほど",""),"回",""),"毎",""),"週",""),"月",""),"年",""),"日",""),"に",""),"/","")," ","")),""))</f>
        <v/>
      </c>
      <c r="AM33" s="34">
        <f>IF(I33="","",IF(ISNUMBER(I33),I33,IFERROR(VALUE(ASC(I33&amp;"")),IF(AL33&lt;&gt;"",AL33*IF(ISNUMBER(SEARCH("週",I33)),4.3,IF(ISNUMBER(SEARCH("年",I33)),1/12,IF(ISNUMBER(SEARCH("日",I33)),20,1))),IF(ISNUMBER(SEARCH("日",I33)),20,IF(ISNUMBER(SEARCH("週",I33)),4.3,IF(ISNUMBER(SEARCH("月",I33)),1,"")))))))</f>
        <v/>
      </c>
      <c r="AN33" s="34">
        <f>IF(J33="","",IF(ISNUMBER(J33),J33,IFERROR(VALUE(ASC(J33&amp;"")),IF(ISNUMBER(SEARCH("時間",J33)),IFERROR(VALUE(SUBSTITUTE(SUBSTITUTE(SUBSTITUTE(SUBSTITUTE(SUBSTITUTE(ASC(J33&amp;""),"約",""),"程度",""),"ほど",""),"時間","")," ",""))*60,""),IFERROR(VALUE(SUBSTITUTE(SUBSTITUTE(SUBSTITUTE(SUBSTITUTE(SUBSTITUTE(ASC(J33&amp;""),"約",""),"程度",""),"ほど",""),"分","")," ","")),"")))))</f>
        <v/>
      </c>
      <c r="AO33" s="34">
        <f>IF(K33="","",IF(ISNUMBER(K33),K33,IFERROR(VALUE(SUBSTITUTE(SUBSTITUTE(SUBSTITUTE(ASC(K33&amp;""),"約",""),"件","")," ","")),"")))</f>
        <v/>
      </c>
      <c r="AP33" s="34">
        <f>IF(W33&lt;&gt;"OK","",IF(COUNTIFS($D$5:$D$404,D33,$W$5:$W$404,"OK")&gt;1,"同名あり",""))</f>
        <v/>
      </c>
      <c r="AQ33" s="35">
        <f>IF(L33="","",IF(ISNUMBER(L33),L33,IFERROR(DATEVALUE(SUBSTITUTE(SUBSTITUTE(ASC(L33&amp;""),"-","/"),".","/")&amp;"/01"),"")))</f>
        <v/>
      </c>
      <c r="AR33" s="35">
        <f>IF(M33="","",IF(ISNUMBER(M33),M33,IFERROR(DATEVALUE(SUBSTITUTE(SUBSTITUTE(ASC(M33&amp;""),"-","/"),".","/")&amp;"/01"),"")))</f>
        <v/>
      </c>
      <c r="AS33" s="34">
        <f>IF(OR(W33&lt;&gt;"OK",AQ33=""),"",IF(AQ33&gt;='01_設定'!$C$26,1,0))</f>
        <v/>
      </c>
      <c r="AT33" s="34">
        <f>IF(AND(W33="OK",Y33&lt;&gt;"除外"),COUNTIFS($W$5:W33,"OK",$Y$5:Y33,"&lt;&gt;除外"),"")</f>
        <v/>
      </c>
      <c r="AU33" s="34">
        <f>IF(OR(AT33="",AD33=""),"",AD33+ROW()/1000000000)</f>
        <v/>
      </c>
    </row>
    <row r="34">
      <c r="W34">
        <f>IF(AND(A34="",D34=""),"",IF(ISNUMBER(SEARCH("##END",AH34)),"（終わりの印）",IF(ISNUMBER(SEARCH("##続き",AH34)),"（続きありの印）",IF(AH34="調査ID","（見出し行）",IF(AND(AH34&lt;&gt;"R1",AH34&lt;&gt;"R2"),"×表以外の行（集計されない）",IF(COUNTIF($AI$5:AI34,AI34)&gt;1,"△重複（集計されない）",IF(D34="","△タスク名なし",IF(ISNA(MATCH(AK34,'M1_類型マスタ'!$A$5:$A$19,0)),"△類型が不正",IF(OR(AM34="",AN34=""),"△回数・分が読めない",IF(SUMPRODUCT(--ISNUMBER(--O34:U34))&lt;7,"△採点が足りない",IF(SUMPRODUCT((--O34:U34&gt;2)+(--O34:U34&lt;0))&gt;0,"△採点が範囲外","OK")))))))))))</f>
        <v/>
      </c>
      <c r="X34">
        <f>IF(W34&lt;&gt;"OK","",TRIM(IF(AND(AO34&lt;&gt;"",N(AO34)&lt;=1),"根拠1件 ","")&amp;IF(AP34&lt;&gt;"","同名あり ","")&amp;IF(AND(NOT(ISNUMBER(I34)),I34&lt;&gt;""),"回数を換算 ","")))</f>
        <v/>
      </c>
      <c r="Y34" s="31" t="n"/>
      <c r="Z34" s="32" t="n"/>
      <c r="AA34" s="32" t="n"/>
      <c r="AB34" s="31" t="n"/>
      <c r="AC34">
        <f>IF(W34&lt;&gt;"OK","",IF(AB34&lt;&gt;"",AB34,AE34))</f>
        <v/>
      </c>
      <c r="AD34" s="33">
        <f>IF(W34&lt;&gt;"OK","",IFERROR(IF(Z34&lt;&gt;"",Z34,AM34)*IF(AA34&lt;&gt;"",AA34,AN34)/60,""))</f>
        <v/>
      </c>
      <c r="AE34">
        <f>IF(W34&lt;&gt;"OK","",IF(OR(VALUE(O34)=2,VALUE(P34)=2,VALUE(Q34)=2),"社内残置",IF(AND(VALUE(O34)=0,VALUE(R34)=0,VALUE(T34)=0),"自動化候補",IF(AND(VALUE(P34)=0,VALUE(R34)&lt;=1,VALUE(S34)&lt;=1,VALUE(T34)&lt;=1,VALUE(U34)&lt;=1),"オフショア候補",IF(AND(VALUE(T34)&lt;=1,VALUE(U34)&lt;=1),"ニアショア候補","社内で手順化→再評価")))))</f>
        <v/>
      </c>
      <c r="AF34">
        <f>IF(W34&lt;&gt;"OK","",14-SUMPRODUCT(--O34:U34))</f>
        <v/>
      </c>
      <c r="AG34" s="33">
        <f>IF(W34&lt;&gt;"OK","",AM34*AN34/60)</f>
        <v/>
      </c>
      <c r="AH34" s="34">
        <f>IF(A34="","",UPPER(TRIM(ASC(A34&amp;""))))</f>
        <v/>
      </c>
      <c r="AI34" s="34">
        <f>IF(AH34="","",AH34&amp;"-"&amp;B34)</f>
        <v/>
      </c>
      <c r="AJ34" s="34">
        <f>IF(C34="","",IFERROR(VALUE(ASC(SUBSTITUTE(C34&amp;"","観点",""))),""))</f>
        <v/>
      </c>
      <c r="AK34" s="34">
        <f>IF(E34="","",UPPER(LEFT(TRIM(ASC(E34&amp;"")),3)))</f>
        <v/>
      </c>
      <c r="AL34" s="34">
        <f>IF(I34="","",IFERROR(VALUE(SUBSTITUTE(SUBSTITUTE(SUBSTITUTE(SUBSTITUTE(SUBSTITUTE(SUBSTITUTE(SUBSTITUTE(SUBSTITUTE(SUBSTITUTE(SUBSTITUTE(SUBSTITUTE(SUBSTITUTE(ASC(I34&amp;""),"約",""),"程度",""),"ほど",""),"回",""),"毎",""),"週",""),"月",""),"年",""),"日",""),"に",""),"/","")," ","")),""))</f>
        <v/>
      </c>
      <c r="AM34" s="34">
        <f>IF(I34="","",IF(ISNUMBER(I34),I34,IFERROR(VALUE(ASC(I34&amp;"")),IF(AL34&lt;&gt;"",AL34*IF(ISNUMBER(SEARCH("週",I34)),4.3,IF(ISNUMBER(SEARCH("年",I34)),1/12,IF(ISNUMBER(SEARCH("日",I34)),20,1))),IF(ISNUMBER(SEARCH("日",I34)),20,IF(ISNUMBER(SEARCH("週",I34)),4.3,IF(ISNUMBER(SEARCH("月",I34)),1,"")))))))</f>
        <v/>
      </c>
      <c r="AN34" s="34">
        <f>IF(J34="","",IF(ISNUMBER(J34),J34,IFERROR(VALUE(ASC(J34&amp;"")),IF(ISNUMBER(SEARCH("時間",J34)),IFERROR(VALUE(SUBSTITUTE(SUBSTITUTE(SUBSTITUTE(SUBSTITUTE(SUBSTITUTE(ASC(J34&amp;""),"約",""),"程度",""),"ほど",""),"時間","")," ",""))*60,""),IFERROR(VALUE(SUBSTITUTE(SUBSTITUTE(SUBSTITUTE(SUBSTITUTE(SUBSTITUTE(ASC(J34&amp;""),"約",""),"程度",""),"ほど",""),"分","")," ","")),"")))))</f>
        <v/>
      </c>
      <c r="AO34" s="34">
        <f>IF(K34="","",IF(ISNUMBER(K34),K34,IFERROR(VALUE(SUBSTITUTE(SUBSTITUTE(SUBSTITUTE(ASC(K34&amp;""),"約",""),"件","")," ","")),"")))</f>
        <v/>
      </c>
      <c r="AP34" s="34">
        <f>IF(W34&lt;&gt;"OK","",IF(COUNTIFS($D$5:$D$404,D34,$W$5:$W$404,"OK")&gt;1,"同名あり",""))</f>
        <v/>
      </c>
      <c r="AQ34" s="35">
        <f>IF(L34="","",IF(ISNUMBER(L34),L34,IFERROR(DATEVALUE(SUBSTITUTE(SUBSTITUTE(ASC(L34&amp;""),"-","/"),".","/")&amp;"/01"),"")))</f>
        <v/>
      </c>
      <c r="AR34" s="35">
        <f>IF(M34="","",IF(ISNUMBER(M34),M34,IFERROR(DATEVALUE(SUBSTITUTE(SUBSTITUTE(ASC(M34&amp;""),"-","/"),".","/")&amp;"/01"),"")))</f>
        <v/>
      </c>
      <c r="AS34" s="34">
        <f>IF(OR(W34&lt;&gt;"OK",AQ34=""),"",IF(AQ34&gt;='01_設定'!$C$26,1,0))</f>
        <v/>
      </c>
      <c r="AT34" s="34">
        <f>IF(AND(W34="OK",Y34&lt;&gt;"除外"),COUNTIFS($W$5:W34,"OK",$Y$5:Y34,"&lt;&gt;除外"),"")</f>
        <v/>
      </c>
      <c r="AU34" s="34">
        <f>IF(OR(AT34="",AD34=""),"",AD34+ROW()/1000000000)</f>
        <v/>
      </c>
    </row>
    <row r="35">
      <c r="W35">
        <f>IF(AND(A35="",D35=""),"",IF(ISNUMBER(SEARCH("##END",AH35)),"（終わりの印）",IF(ISNUMBER(SEARCH("##続き",AH35)),"（続きありの印）",IF(AH35="調査ID","（見出し行）",IF(AND(AH35&lt;&gt;"R1",AH35&lt;&gt;"R2"),"×表以外の行（集計されない）",IF(COUNTIF($AI$5:AI35,AI35)&gt;1,"△重複（集計されない）",IF(D35="","△タスク名なし",IF(ISNA(MATCH(AK35,'M1_類型マスタ'!$A$5:$A$19,0)),"△類型が不正",IF(OR(AM35="",AN35=""),"△回数・分が読めない",IF(SUMPRODUCT(--ISNUMBER(--O35:U35))&lt;7,"△採点が足りない",IF(SUMPRODUCT((--O35:U35&gt;2)+(--O35:U35&lt;0))&gt;0,"△採点が範囲外","OK")))))))))))</f>
        <v/>
      </c>
      <c r="X35">
        <f>IF(W35&lt;&gt;"OK","",TRIM(IF(AND(AO35&lt;&gt;"",N(AO35)&lt;=1),"根拠1件 ","")&amp;IF(AP35&lt;&gt;"","同名あり ","")&amp;IF(AND(NOT(ISNUMBER(I35)),I35&lt;&gt;""),"回数を換算 ","")))</f>
        <v/>
      </c>
      <c r="Y35" s="31" t="n"/>
      <c r="Z35" s="32" t="n"/>
      <c r="AA35" s="32" t="n"/>
      <c r="AB35" s="31" t="n"/>
      <c r="AC35">
        <f>IF(W35&lt;&gt;"OK","",IF(AB35&lt;&gt;"",AB35,AE35))</f>
        <v/>
      </c>
      <c r="AD35" s="33">
        <f>IF(W35&lt;&gt;"OK","",IFERROR(IF(Z35&lt;&gt;"",Z35,AM35)*IF(AA35&lt;&gt;"",AA35,AN35)/60,""))</f>
        <v/>
      </c>
      <c r="AE35">
        <f>IF(W35&lt;&gt;"OK","",IF(OR(VALUE(O35)=2,VALUE(P35)=2,VALUE(Q35)=2),"社内残置",IF(AND(VALUE(O35)=0,VALUE(R35)=0,VALUE(T35)=0),"自動化候補",IF(AND(VALUE(P35)=0,VALUE(R35)&lt;=1,VALUE(S35)&lt;=1,VALUE(T35)&lt;=1,VALUE(U35)&lt;=1),"オフショア候補",IF(AND(VALUE(T35)&lt;=1,VALUE(U35)&lt;=1),"ニアショア候補","社内で手順化→再評価")))))</f>
        <v/>
      </c>
      <c r="AF35">
        <f>IF(W35&lt;&gt;"OK","",14-SUMPRODUCT(--O35:U35))</f>
        <v/>
      </c>
      <c r="AG35" s="33">
        <f>IF(W35&lt;&gt;"OK","",AM35*AN35/60)</f>
        <v/>
      </c>
      <c r="AH35" s="34">
        <f>IF(A35="","",UPPER(TRIM(ASC(A35&amp;""))))</f>
        <v/>
      </c>
      <c r="AI35" s="34">
        <f>IF(AH35="","",AH35&amp;"-"&amp;B35)</f>
        <v/>
      </c>
      <c r="AJ35" s="34">
        <f>IF(C35="","",IFERROR(VALUE(ASC(SUBSTITUTE(C35&amp;"","観点",""))),""))</f>
        <v/>
      </c>
      <c r="AK35" s="34">
        <f>IF(E35="","",UPPER(LEFT(TRIM(ASC(E35&amp;"")),3)))</f>
        <v/>
      </c>
      <c r="AL35" s="34">
        <f>IF(I35="","",IFERROR(VALUE(SUBSTITUTE(SUBSTITUTE(SUBSTITUTE(SUBSTITUTE(SUBSTITUTE(SUBSTITUTE(SUBSTITUTE(SUBSTITUTE(SUBSTITUTE(SUBSTITUTE(SUBSTITUTE(SUBSTITUTE(ASC(I35&amp;""),"約",""),"程度",""),"ほど",""),"回",""),"毎",""),"週",""),"月",""),"年",""),"日",""),"に",""),"/","")," ","")),""))</f>
        <v/>
      </c>
      <c r="AM35" s="34">
        <f>IF(I35="","",IF(ISNUMBER(I35),I35,IFERROR(VALUE(ASC(I35&amp;"")),IF(AL35&lt;&gt;"",AL35*IF(ISNUMBER(SEARCH("週",I35)),4.3,IF(ISNUMBER(SEARCH("年",I35)),1/12,IF(ISNUMBER(SEARCH("日",I35)),20,1))),IF(ISNUMBER(SEARCH("日",I35)),20,IF(ISNUMBER(SEARCH("週",I35)),4.3,IF(ISNUMBER(SEARCH("月",I35)),1,"")))))))</f>
        <v/>
      </c>
      <c r="AN35" s="34">
        <f>IF(J35="","",IF(ISNUMBER(J35),J35,IFERROR(VALUE(ASC(J35&amp;"")),IF(ISNUMBER(SEARCH("時間",J35)),IFERROR(VALUE(SUBSTITUTE(SUBSTITUTE(SUBSTITUTE(SUBSTITUTE(SUBSTITUTE(ASC(J35&amp;""),"約",""),"程度",""),"ほど",""),"時間","")," ",""))*60,""),IFERROR(VALUE(SUBSTITUTE(SUBSTITUTE(SUBSTITUTE(SUBSTITUTE(SUBSTITUTE(ASC(J35&amp;""),"約",""),"程度",""),"ほど",""),"分","")," ","")),"")))))</f>
        <v/>
      </c>
      <c r="AO35" s="34">
        <f>IF(K35="","",IF(ISNUMBER(K35),K35,IFERROR(VALUE(SUBSTITUTE(SUBSTITUTE(SUBSTITUTE(ASC(K35&amp;""),"約",""),"件","")," ","")),"")))</f>
        <v/>
      </c>
      <c r="AP35" s="34">
        <f>IF(W35&lt;&gt;"OK","",IF(COUNTIFS($D$5:$D$404,D35,$W$5:$W$404,"OK")&gt;1,"同名あり",""))</f>
        <v/>
      </c>
      <c r="AQ35" s="35">
        <f>IF(L35="","",IF(ISNUMBER(L35),L35,IFERROR(DATEVALUE(SUBSTITUTE(SUBSTITUTE(ASC(L35&amp;""),"-","/"),".","/")&amp;"/01"),"")))</f>
        <v/>
      </c>
      <c r="AR35" s="35">
        <f>IF(M35="","",IF(ISNUMBER(M35),M35,IFERROR(DATEVALUE(SUBSTITUTE(SUBSTITUTE(ASC(M35&amp;""),"-","/"),".","/")&amp;"/01"),"")))</f>
        <v/>
      </c>
      <c r="AS35" s="34">
        <f>IF(OR(W35&lt;&gt;"OK",AQ35=""),"",IF(AQ35&gt;='01_設定'!$C$26,1,0))</f>
        <v/>
      </c>
      <c r="AT35" s="34">
        <f>IF(AND(W35="OK",Y35&lt;&gt;"除外"),COUNTIFS($W$5:W35,"OK",$Y$5:Y35,"&lt;&gt;除外"),"")</f>
        <v/>
      </c>
      <c r="AU35" s="34">
        <f>IF(OR(AT35="",AD35=""),"",AD35+ROW()/1000000000)</f>
        <v/>
      </c>
    </row>
    <row r="36">
      <c r="W36">
        <f>IF(AND(A36="",D36=""),"",IF(ISNUMBER(SEARCH("##END",AH36)),"（終わりの印）",IF(ISNUMBER(SEARCH("##続き",AH36)),"（続きありの印）",IF(AH36="調査ID","（見出し行）",IF(AND(AH36&lt;&gt;"R1",AH36&lt;&gt;"R2"),"×表以外の行（集計されない）",IF(COUNTIF($AI$5:AI36,AI36)&gt;1,"△重複（集計されない）",IF(D36="","△タスク名なし",IF(ISNA(MATCH(AK36,'M1_類型マスタ'!$A$5:$A$19,0)),"△類型が不正",IF(OR(AM36="",AN36=""),"△回数・分が読めない",IF(SUMPRODUCT(--ISNUMBER(--O36:U36))&lt;7,"△採点が足りない",IF(SUMPRODUCT((--O36:U36&gt;2)+(--O36:U36&lt;0))&gt;0,"△採点が範囲外","OK")))))))))))</f>
        <v/>
      </c>
      <c r="X36">
        <f>IF(W36&lt;&gt;"OK","",TRIM(IF(AND(AO36&lt;&gt;"",N(AO36)&lt;=1),"根拠1件 ","")&amp;IF(AP36&lt;&gt;"","同名あり ","")&amp;IF(AND(NOT(ISNUMBER(I36)),I36&lt;&gt;""),"回数を換算 ","")))</f>
        <v/>
      </c>
      <c r="Y36" s="31" t="n"/>
      <c r="Z36" s="32" t="n"/>
      <c r="AA36" s="32" t="n"/>
      <c r="AB36" s="31" t="n"/>
      <c r="AC36">
        <f>IF(W36&lt;&gt;"OK","",IF(AB36&lt;&gt;"",AB36,AE36))</f>
        <v/>
      </c>
      <c r="AD36" s="33">
        <f>IF(W36&lt;&gt;"OK","",IFERROR(IF(Z36&lt;&gt;"",Z36,AM36)*IF(AA36&lt;&gt;"",AA36,AN36)/60,""))</f>
        <v/>
      </c>
      <c r="AE36">
        <f>IF(W36&lt;&gt;"OK","",IF(OR(VALUE(O36)=2,VALUE(P36)=2,VALUE(Q36)=2),"社内残置",IF(AND(VALUE(O36)=0,VALUE(R36)=0,VALUE(T36)=0),"自動化候補",IF(AND(VALUE(P36)=0,VALUE(R36)&lt;=1,VALUE(S36)&lt;=1,VALUE(T36)&lt;=1,VALUE(U36)&lt;=1),"オフショア候補",IF(AND(VALUE(T36)&lt;=1,VALUE(U36)&lt;=1),"ニアショア候補","社内で手順化→再評価")))))</f>
        <v/>
      </c>
      <c r="AF36">
        <f>IF(W36&lt;&gt;"OK","",14-SUMPRODUCT(--O36:U36))</f>
        <v/>
      </c>
      <c r="AG36" s="33">
        <f>IF(W36&lt;&gt;"OK","",AM36*AN36/60)</f>
        <v/>
      </c>
      <c r="AH36" s="34">
        <f>IF(A36="","",UPPER(TRIM(ASC(A36&amp;""))))</f>
        <v/>
      </c>
      <c r="AI36" s="34">
        <f>IF(AH36="","",AH36&amp;"-"&amp;B36)</f>
        <v/>
      </c>
      <c r="AJ36" s="34">
        <f>IF(C36="","",IFERROR(VALUE(ASC(SUBSTITUTE(C36&amp;"","観点",""))),""))</f>
        <v/>
      </c>
      <c r="AK36" s="34">
        <f>IF(E36="","",UPPER(LEFT(TRIM(ASC(E36&amp;"")),3)))</f>
        <v/>
      </c>
      <c r="AL36" s="34">
        <f>IF(I36="","",IFERROR(VALUE(SUBSTITUTE(SUBSTITUTE(SUBSTITUTE(SUBSTITUTE(SUBSTITUTE(SUBSTITUTE(SUBSTITUTE(SUBSTITUTE(SUBSTITUTE(SUBSTITUTE(SUBSTITUTE(SUBSTITUTE(ASC(I36&amp;""),"約",""),"程度",""),"ほど",""),"回",""),"毎",""),"週",""),"月",""),"年",""),"日",""),"に",""),"/","")," ","")),""))</f>
        <v/>
      </c>
      <c r="AM36" s="34">
        <f>IF(I36="","",IF(ISNUMBER(I36),I36,IFERROR(VALUE(ASC(I36&amp;"")),IF(AL36&lt;&gt;"",AL36*IF(ISNUMBER(SEARCH("週",I36)),4.3,IF(ISNUMBER(SEARCH("年",I36)),1/12,IF(ISNUMBER(SEARCH("日",I36)),20,1))),IF(ISNUMBER(SEARCH("日",I36)),20,IF(ISNUMBER(SEARCH("週",I36)),4.3,IF(ISNUMBER(SEARCH("月",I36)),1,"")))))))</f>
        <v/>
      </c>
      <c r="AN36" s="34">
        <f>IF(J36="","",IF(ISNUMBER(J36),J36,IFERROR(VALUE(ASC(J36&amp;"")),IF(ISNUMBER(SEARCH("時間",J36)),IFERROR(VALUE(SUBSTITUTE(SUBSTITUTE(SUBSTITUTE(SUBSTITUTE(SUBSTITUTE(ASC(J36&amp;""),"約",""),"程度",""),"ほど",""),"時間","")," ",""))*60,""),IFERROR(VALUE(SUBSTITUTE(SUBSTITUTE(SUBSTITUTE(SUBSTITUTE(SUBSTITUTE(ASC(J36&amp;""),"約",""),"程度",""),"ほど",""),"分","")," ","")),"")))))</f>
        <v/>
      </c>
      <c r="AO36" s="34">
        <f>IF(K36="","",IF(ISNUMBER(K36),K36,IFERROR(VALUE(SUBSTITUTE(SUBSTITUTE(SUBSTITUTE(ASC(K36&amp;""),"約",""),"件","")," ","")),"")))</f>
        <v/>
      </c>
      <c r="AP36" s="34">
        <f>IF(W36&lt;&gt;"OK","",IF(COUNTIFS($D$5:$D$404,D36,$W$5:$W$404,"OK")&gt;1,"同名あり",""))</f>
        <v/>
      </c>
      <c r="AQ36" s="35">
        <f>IF(L36="","",IF(ISNUMBER(L36),L36,IFERROR(DATEVALUE(SUBSTITUTE(SUBSTITUTE(ASC(L36&amp;""),"-","/"),".","/")&amp;"/01"),"")))</f>
        <v/>
      </c>
      <c r="AR36" s="35">
        <f>IF(M36="","",IF(ISNUMBER(M36),M36,IFERROR(DATEVALUE(SUBSTITUTE(SUBSTITUTE(ASC(M36&amp;""),"-","/"),".","/")&amp;"/01"),"")))</f>
        <v/>
      </c>
      <c r="AS36" s="34">
        <f>IF(OR(W36&lt;&gt;"OK",AQ36=""),"",IF(AQ36&gt;='01_設定'!$C$26,1,0))</f>
        <v/>
      </c>
      <c r="AT36" s="34">
        <f>IF(AND(W36="OK",Y36&lt;&gt;"除外"),COUNTIFS($W$5:W36,"OK",$Y$5:Y36,"&lt;&gt;除外"),"")</f>
        <v/>
      </c>
      <c r="AU36" s="34">
        <f>IF(OR(AT36="",AD36=""),"",AD36+ROW()/1000000000)</f>
        <v/>
      </c>
    </row>
    <row r="37">
      <c r="W37">
        <f>IF(AND(A37="",D37=""),"",IF(ISNUMBER(SEARCH("##END",AH37)),"（終わりの印）",IF(ISNUMBER(SEARCH("##続き",AH37)),"（続きありの印）",IF(AH37="調査ID","（見出し行）",IF(AND(AH37&lt;&gt;"R1",AH37&lt;&gt;"R2"),"×表以外の行（集計されない）",IF(COUNTIF($AI$5:AI37,AI37)&gt;1,"△重複（集計されない）",IF(D37="","△タスク名なし",IF(ISNA(MATCH(AK37,'M1_類型マスタ'!$A$5:$A$19,0)),"△類型が不正",IF(OR(AM37="",AN37=""),"△回数・分が読めない",IF(SUMPRODUCT(--ISNUMBER(--O37:U37))&lt;7,"△採点が足りない",IF(SUMPRODUCT((--O37:U37&gt;2)+(--O37:U37&lt;0))&gt;0,"△採点が範囲外","OK")))))))))))</f>
        <v/>
      </c>
      <c r="X37">
        <f>IF(W37&lt;&gt;"OK","",TRIM(IF(AND(AO37&lt;&gt;"",N(AO37)&lt;=1),"根拠1件 ","")&amp;IF(AP37&lt;&gt;"","同名あり ","")&amp;IF(AND(NOT(ISNUMBER(I37)),I37&lt;&gt;""),"回数を換算 ","")))</f>
        <v/>
      </c>
      <c r="Y37" s="31" t="n"/>
      <c r="Z37" s="32" t="n"/>
      <c r="AA37" s="32" t="n"/>
      <c r="AB37" s="31" t="n"/>
      <c r="AC37">
        <f>IF(W37&lt;&gt;"OK","",IF(AB37&lt;&gt;"",AB37,AE37))</f>
        <v/>
      </c>
      <c r="AD37" s="33">
        <f>IF(W37&lt;&gt;"OK","",IFERROR(IF(Z37&lt;&gt;"",Z37,AM37)*IF(AA37&lt;&gt;"",AA37,AN37)/60,""))</f>
        <v/>
      </c>
      <c r="AE37">
        <f>IF(W37&lt;&gt;"OK","",IF(OR(VALUE(O37)=2,VALUE(P37)=2,VALUE(Q37)=2),"社内残置",IF(AND(VALUE(O37)=0,VALUE(R37)=0,VALUE(T37)=0),"自動化候補",IF(AND(VALUE(P37)=0,VALUE(R37)&lt;=1,VALUE(S37)&lt;=1,VALUE(T37)&lt;=1,VALUE(U37)&lt;=1),"オフショア候補",IF(AND(VALUE(T37)&lt;=1,VALUE(U37)&lt;=1),"ニアショア候補","社内で手順化→再評価")))))</f>
        <v/>
      </c>
      <c r="AF37">
        <f>IF(W37&lt;&gt;"OK","",14-SUMPRODUCT(--O37:U37))</f>
        <v/>
      </c>
      <c r="AG37" s="33">
        <f>IF(W37&lt;&gt;"OK","",AM37*AN37/60)</f>
        <v/>
      </c>
      <c r="AH37" s="34">
        <f>IF(A37="","",UPPER(TRIM(ASC(A37&amp;""))))</f>
        <v/>
      </c>
      <c r="AI37" s="34">
        <f>IF(AH37="","",AH37&amp;"-"&amp;B37)</f>
        <v/>
      </c>
      <c r="AJ37" s="34">
        <f>IF(C37="","",IFERROR(VALUE(ASC(SUBSTITUTE(C37&amp;"","観点",""))),""))</f>
        <v/>
      </c>
      <c r="AK37" s="34">
        <f>IF(E37="","",UPPER(LEFT(TRIM(ASC(E37&amp;"")),3)))</f>
        <v/>
      </c>
      <c r="AL37" s="34">
        <f>IF(I37="","",IFERROR(VALUE(SUBSTITUTE(SUBSTITUTE(SUBSTITUTE(SUBSTITUTE(SUBSTITUTE(SUBSTITUTE(SUBSTITUTE(SUBSTITUTE(SUBSTITUTE(SUBSTITUTE(SUBSTITUTE(SUBSTITUTE(ASC(I37&amp;""),"約",""),"程度",""),"ほど",""),"回",""),"毎",""),"週",""),"月",""),"年",""),"日",""),"に",""),"/","")," ","")),""))</f>
        <v/>
      </c>
      <c r="AM37" s="34">
        <f>IF(I37="","",IF(ISNUMBER(I37),I37,IFERROR(VALUE(ASC(I37&amp;"")),IF(AL37&lt;&gt;"",AL37*IF(ISNUMBER(SEARCH("週",I37)),4.3,IF(ISNUMBER(SEARCH("年",I37)),1/12,IF(ISNUMBER(SEARCH("日",I37)),20,1))),IF(ISNUMBER(SEARCH("日",I37)),20,IF(ISNUMBER(SEARCH("週",I37)),4.3,IF(ISNUMBER(SEARCH("月",I37)),1,"")))))))</f>
        <v/>
      </c>
      <c r="AN37" s="34">
        <f>IF(J37="","",IF(ISNUMBER(J37),J37,IFERROR(VALUE(ASC(J37&amp;"")),IF(ISNUMBER(SEARCH("時間",J37)),IFERROR(VALUE(SUBSTITUTE(SUBSTITUTE(SUBSTITUTE(SUBSTITUTE(SUBSTITUTE(ASC(J37&amp;""),"約",""),"程度",""),"ほど",""),"時間","")," ",""))*60,""),IFERROR(VALUE(SUBSTITUTE(SUBSTITUTE(SUBSTITUTE(SUBSTITUTE(SUBSTITUTE(ASC(J37&amp;""),"約",""),"程度",""),"ほど",""),"分","")," ","")),"")))))</f>
        <v/>
      </c>
      <c r="AO37" s="34">
        <f>IF(K37="","",IF(ISNUMBER(K37),K37,IFERROR(VALUE(SUBSTITUTE(SUBSTITUTE(SUBSTITUTE(ASC(K37&amp;""),"約",""),"件","")," ","")),"")))</f>
        <v/>
      </c>
      <c r="AP37" s="34">
        <f>IF(W37&lt;&gt;"OK","",IF(COUNTIFS($D$5:$D$404,D37,$W$5:$W$404,"OK")&gt;1,"同名あり",""))</f>
        <v/>
      </c>
      <c r="AQ37" s="35">
        <f>IF(L37="","",IF(ISNUMBER(L37),L37,IFERROR(DATEVALUE(SUBSTITUTE(SUBSTITUTE(ASC(L37&amp;""),"-","/"),".","/")&amp;"/01"),"")))</f>
        <v/>
      </c>
      <c r="AR37" s="35">
        <f>IF(M37="","",IF(ISNUMBER(M37),M37,IFERROR(DATEVALUE(SUBSTITUTE(SUBSTITUTE(ASC(M37&amp;""),"-","/"),".","/")&amp;"/01"),"")))</f>
        <v/>
      </c>
      <c r="AS37" s="34">
        <f>IF(OR(W37&lt;&gt;"OK",AQ37=""),"",IF(AQ37&gt;='01_設定'!$C$26,1,0))</f>
        <v/>
      </c>
      <c r="AT37" s="34">
        <f>IF(AND(W37="OK",Y37&lt;&gt;"除外"),COUNTIFS($W$5:W37,"OK",$Y$5:Y37,"&lt;&gt;除外"),"")</f>
        <v/>
      </c>
      <c r="AU37" s="34">
        <f>IF(OR(AT37="",AD37=""),"",AD37+ROW()/1000000000)</f>
        <v/>
      </c>
    </row>
    <row r="38">
      <c r="W38">
        <f>IF(AND(A38="",D38=""),"",IF(ISNUMBER(SEARCH("##END",AH38)),"（終わりの印）",IF(ISNUMBER(SEARCH("##続き",AH38)),"（続きありの印）",IF(AH38="調査ID","（見出し行）",IF(AND(AH38&lt;&gt;"R1",AH38&lt;&gt;"R2"),"×表以外の行（集計されない）",IF(COUNTIF($AI$5:AI38,AI38)&gt;1,"△重複（集計されない）",IF(D38="","△タスク名なし",IF(ISNA(MATCH(AK38,'M1_類型マスタ'!$A$5:$A$19,0)),"△類型が不正",IF(OR(AM38="",AN38=""),"△回数・分が読めない",IF(SUMPRODUCT(--ISNUMBER(--O38:U38))&lt;7,"△採点が足りない",IF(SUMPRODUCT((--O38:U38&gt;2)+(--O38:U38&lt;0))&gt;0,"△採点が範囲外","OK")))))))))))</f>
        <v/>
      </c>
      <c r="X38">
        <f>IF(W38&lt;&gt;"OK","",TRIM(IF(AND(AO38&lt;&gt;"",N(AO38)&lt;=1),"根拠1件 ","")&amp;IF(AP38&lt;&gt;"","同名あり ","")&amp;IF(AND(NOT(ISNUMBER(I38)),I38&lt;&gt;""),"回数を換算 ","")))</f>
        <v/>
      </c>
      <c r="Y38" s="31" t="n"/>
      <c r="Z38" s="32" t="n"/>
      <c r="AA38" s="32" t="n"/>
      <c r="AB38" s="31" t="n"/>
      <c r="AC38">
        <f>IF(W38&lt;&gt;"OK","",IF(AB38&lt;&gt;"",AB38,AE38))</f>
        <v/>
      </c>
      <c r="AD38" s="33">
        <f>IF(W38&lt;&gt;"OK","",IFERROR(IF(Z38&lt;&gt;"",Z38,AM38)*IF(AA38&lt;&gt;"",AA38,AN38)/60,""))</f>
        <v/>
      </c>
      <c r="AE38">
        <f>IF(W38&lt;&gt;"OK","",IF(OR(VALUE(O38)=2,VALUE(P38)=2,VALUE(Q38)=2),"社内残置",IF(AND(VALUE(O38)=0,VALUE(R38)=0,VALUE(T38)=0),"自動化候補",IF(AND(VALUE(P38)=0,VALUE(R38)&lt;=1,VALUE(S38)&lt;=1,VALUE(T38)&lt;=1,VALUE(U38)&lt;=1),"オフショア候補",IF(AND(VALUE(T38)&lt;=1,VALUE(U38)&lt;=1),"ニアショア候補","社内で手順化→再評価")))))</f>
        <v/>
      </c>
      <c r="AF38">
        <f>IF(W38&lt;&gt;"OK","",14-SUMPRODUCT(--O38:U38))</f>
        <v/>
      </c>
      <c r="AG38" s="33">
        <f>IF(W38&lt;&gt;"OK","",AM38*AN38/60)</f>
        <v/>
      </c>
      <c r="AH38" s="34">
        <f>IF(A38="","",UPPER(TRIM(ASC(A38&amp;""))))</f>
        <v/>
      </c>
      <c r="AI38" s="34">
        <f>IF(AH38="","",AH38&amp;"-"&amp;B38)</f>
        <v/>
      </c>
      <c r="AJ38" s="34">
        <f>IF(C38="","",IFERROR(VALUE(ASC(SUBSTITUTE(C38&amp;"","観点",""))),""))</f>
        <v/>
      </c>
      <c r="AK38" s="34">
        <f>IF(E38="","",UPPER(LEFT(TRIM(ASC(E38&amp;"")),3)))</f>
        <v/>
      </c>
      <c r="AL38" s="34">
        <f>IF(I38="","",IFERROR(VALUE(SUBSTITUTE(SUBSTITUTE(SUBSTITUTE(SUBSTITUTE(SUBSTITUTE(SUBSTITUTE(SUBSTITUTE(SUBSTITUTE(SUBSTITUTE(SUBSTITUTE(SUBSTITUTE(SUBSTITUTE(ASC(I38&amp;""),"約",""),"程度",""),"ほど",""),"回",""),"毎",""),"週",""),"月",""),"年",""),"日",""),"に",""),"/","")," ","")),""))</f>
        <v/>
      </c>
      <c r="AM38" s="34">
        <f>IF(I38="","",IF(ISNUMBER(I38),I38,IFERROR(VALUE(ASC(I38&amp;"")),IF(AL38&lt;&gt;"",AL38*IF(ISNUMBER(SEARCH("週",I38)),4.3,IF(ISNUMBER(SEARCH("年",I38)),1/12,IF(ISNUMBER(SEARCH("日",I38)),20,1))),IF(ISNUMBER(SEARCH("日",I38)),20,IF(ISNUMBER(SEARCH("週",I38)),4.3,IF(ISNUMBER(SEARCH("月",I38)),1,"")))))))</f>
        <v/>
      </c>
      <c r="AN38" s="34">
        <f>IF(J38="","",IF(ISNUMBER(J38),J38,IFERROR(VALUE(ASC(J38&amp;"")),IF(ISNUMBER(SEARCH("時間",J38)),IFERROR(VALUE(SUBSTITUTE(SUBSTITUTE(SUBSTITUTE(SUBSTITUTE(SUBSTITUTE(ASC(J38&amp;""),"約",""),"程度",""),"ほど",""),"時間","")," ",""))*60,""),IFERROR(VALUE(SUBSTITUTE(SUBSTITUTE(SUBSTITUTE(SUBSTITUTE(SUBSTITUTE(ASC(J38&amp;""),"約",""),"程度",""),"ほど",""),"分","")," ","")),"")))))</f>
        <v/>
      </c>
      <c r="AO38" s="34">
        <f>IF(K38="","",IF(ISNUMBER(K38),K38,IFERROR(VALUE(SUBSTITUTE(SUBSTITUTE(SUBSTITUTE(ASC(K38&amp;""),"約",""),"件","")," ","")),"")))</f>
        <v/>
      </c>
      <c r="AP38" s="34">
        <f>IF(W38&lt;&gt;"OK","",IF(COUNTIFS($D$5:$D$404,D38,$W$5:$W$404,"OK")&gt;1,"同名あり",""))</f>
        <v/>
      </c>
      <c r="AQ38" s="35">
        <f>IF(L38="","",IF(ISNUMBER(L38),L38,IFERROR(DATEVALUE(SUBSTITUTE(SUBSTITUTE(ASC(L38&amp;""),"-","/"),".","/")&amp;"/01"),"")))</f>
        <v/>
      </c>
      <c r="AR38" s="35">
        <f>IF(M38="","",IF(ISNUMBER(M38),M38,IFERROR(DATEVALUE(SUBSTITUTE(SUBSTITUTE(ASC(M38&amp;""),"-","/"),".","/")&amp;"/01"),"")))</f>
        <v/>
      </c>
      <c r="AS38" s="34">
        <f>IF(OR(W38&lt;&gt;"OK",AQ38=""),"",IF(AQ38&gt;='01_設定'!$C$26,1,0))</f>
        <v/>
      </c>
      <c r="AT38" s="34">
        <f>IF(AND(W38="OK",Y38&lt;&gt;"除外"),COUNTIFS($W$5:W38,"OK",$Y$5:Y38,"&lt;&gt;除外"),"")</f>
        <v/>
      </c>
      <c r="AU38" s="34">
        <f>IF(OR(AT38="",AD38=""),"",AD38+ROW()/1000000000)</f>
        <v/>
      </c>
    </row>
    <row r="39">
      <c r="W39">
        <f>IF(AND(A39="",D39=""),"",IF(ISNUMBER(SEARCH("##END",AH39)),"（終わりの印）",IF(ISNUMBER(SEARCH("##続き",AH39)),"（続きありの印）",IF(AH39="調査ID","（見出し行）",IF(AND(AH39&lt;&gt;"R1",AH39&lt;&gt;"R2"),"×表以外の行（集計されない）",IF(COUNTIF($AI$5:AI39,AI39)&gt;1,"△重複（集計されない）",IF(D39="","△タスク名なし",IF(ISNA(MATCH(AK39,'M1_類型マスタ'!$A$5:$A$19,0)),"△類型が不正",IF(OR(AM39="",AN39=""),"△回数・分が読めない",IF(SUMPRODUCT(--ISNUMBER(--O39:U39))&lt;7,"△採点が足りない",IF(SUMPRODUCT((--O39:U39&gt;2)+(--O39:U39&lt;0))&gt;0,"△採点が範囲外","OK")))))))))))</f>
        <v/>
      </c>
      <c r="X39">
        <f>IF(W39&lt;&gt;"OK","",TRIM(IF(AND(AO39&lt;&gt;"",N(AO39)&lt;=1),"根拠1件 ","")&amp;IF(AP39&lt;&gt;"","同名あり ","")&amp;IF(AND(NOT(ISNUMBER(I39)),I39&lt;&gt;""),"回数を換算 ","")))</f>
        <v/>
      </c>
      <c r="Y39" s="31" t="n"/>
      <c r="Z39" s="32" t="n"/>
      <c r="AA39" s="32" t="n"/>
      <c r="AB39" s="31" t="n"/>
      <c r="AC39">
        <f>IF(W39&lt;&gt;"OK","",IF(AB39&lt;&gt;"",AB39,AE39))</f>
        <v/>
      </c>
      <c r="AD39" s="33">
        <f>IF(W39&lt;&gt;"OK","",IFERROR(IF(Z39&lt;&gt;"",Z39,AM39)*IF(AA39&lt;&gt;"",AA39,AN39)/60,""))</f>
        <v/>
      </c>
      <c r="AE39">
        <f>IF(W39&lt;&gt;"OK","",IF(OR(VALUE(O39)=2,VALUE(P39)=2,VALUE(Q39)=2),"社内残置",IF(AND(VALUE(O39)=0,VALUE(R39)=0,VALUE(T39)=0),"自動化候補",IF(AND(VALUE(P39)=0,VALUE(R39)&lt;=1,VALUE(S39)&lt;=1,VALUE(T39)&lt;=1,VALUE(U39)&lt;=1),"オフショア候補",IF(AND(VALUE(T39)&lt;=1,VALUE(U39)&lt;=1),"ニアショア候補","社内で手順化→再評価")))))</f>
        <v/>
      </c>
      <c r="AF39">
        <f>IF(W39&lt;&gt;"OK","",14-SUMPRODUCT(--O39:U39))</f>
        <v/>
      </c>
      <c r="AG39" s="33">
        <f>IF(W39&lt;&gt;"OK","",AM39*AN39/60)</f>
        <v/>
      </c>
      <c r="AH39" s="34">
        <f>IF(A39="","",UPPER(TRIM(ASC(A39&amp;""))))</f>
        <v/>
      </c>
      <c r="AI39" s="34">
        <f>IF(AH39="","",AH39&amp;"-"&amp;B39)</f>
        <v/>
      </c>
      <c r="AJ39" s="34">
        <f>IF(C39="","",IFERROR(VALUE(ASC(SUBSTITUTE(C39&amp;"","観点",""))),""))</f>
        <v/>
      </c>
      <c r="AK39" s="34">
        <f>IF(E39="","",UPPER(LEFT(TRIM(ASC(E39&amp;"")),3)))</f>
        <v/>
      </c>
      <c r="AL39" s="34">
        <f>IF(I39="","",IFERROR(VALUE(SUBSTITUTE(SUBSTITUTE(SUBSTITUTE(SUBSTITUTE(SUBSTITUTE(SUBSTITUTE(SUBSTITUTE(SUBSTITUTE(SUBSTITUTE(SUBSTITUTE(SUBSTITUTE(SUBSTITUTE(ASC(I39&amp;""),"約",""),"程度",""),"ほど",""),"回",""),"毎",""),"週",""),"月",""),"年",""),"日",""),"に",""),"/","")," ","")),""))</f>
        <v/>
      </c>
      <c r="AM39" s="34">
        <f>IF(I39="","",IF(ISNUMBER(I39),I39,IFERROR(VALUE(ASC(I39&amp;"")),IF(AL39&lt;&gt;"",AL39*IF(ISNUMBER(SEARCH("週",I39)),4.3,IF(ISNUMBER(SEARCH("年",I39)),1/12,IF(ISNUMBER(SEARCH("日",I39)),20,1))),IF(ISNUMBER(SEARCH("日",I39)),20,IF(ISNUMBER(SEARCH("週",I39)),4.3,IF(ISNUMBER(SEARCH("月",I39)),1,"")))))))</f>
        <v/>
      </c>
      <c r="AN39" s="34">
        <f>IF(J39="","",IF(ISNUMBER(J39),J39,IFERROR(VALUE(ASC(J39&amp;"")),IF(ISNUMBER(SEARCH("時間",J39)),IFERROR(VALUE(SUBSTITUTE(SUBSTITUTE(SUBSTITUTE(SUBSTITUTE(SUBSTITUTE(ASC(J39&amp;""),"約",""),"程度",""),"ほど",""),"時間","")," ",""))*60,""),IFERROR(VALUE(SUBSTITUTE(SUBSTITUTE(SUBSTITUTE(SUBSTITUTE(SUBSTITUTE(ASC(J39&amp;""),"約",""),"程度",""),"ほど",""),"分","")," ","")),"")))))</f>
        <v/>
      </c>
      <c r="AO39" s="34">
        <f>IF(K39="","",IF(ISNUMBER(K39),K39,IFERROR(VALUE(SUBSTITUTE(SUBSTITUTE(SUBSTITUTE(ASC(K39&amp;""),"約",""),"件","")," ","")),"")))</f>
        <v/>
      </c>
      <c r="AP39" s="34">
        <f>IF(W39&lt;&gt;"OK","",IF(COUNTIFS($D$5:$D$404,D39,$W$5:$W$404,"OK")&gt;1,"同名あり",""))</f>
        <v/>
      </c>
      <c r="AQ39" s="35">
        <f>IF(L39="","",IF(ISNUMBER(L39),L39,IFERROR(DATEVALUE(SUBSTITUTE(SUBSTITUTE(ASC(L39&amp;""),"-","/"),".","/")&amp;"/01"),"")))</f>
        <v/>
      </c>
      <c r="AR39" s="35">
        <f>IF(M39="","",IF(ISNUMBER(M39),M39,IFERROR(DATEVALUE(SUBSTITUTE(SUBSTITUTE(ASC(M39&amp;""),"-","/"),".","/")&amp;"/01"),"")))</f>
        <v/>
      </c>
      <c r="AS39" s="34">
        <f>IF(OR(W39&lt;&gt;"OK",AQ39=""),"",IF(AQ39&gt;='01_設定'!$C$26,1,0))</f>
        <v/>
      </c>
      <c r="AT39" s="34">
        <f>IF(AND(W39="OK",Y39&lt;&gt;"除外"),COUNTIFS($W$5:W39,"OK",$Y$5:Y39,"&lt;&gt;除外"),"")</f>
        <v/>
      </c>
      <c r="AU39" s="34">
        <f>IF(OR(AT39="",AD39=""),"",AD39+ROW()/1000000000)</f>
        <v/>
      </c>
    </row>
    <row r="40">
      <c r="W40">
        <f>IF(AND(A40="",D40=""),"",IF(ISNUMBER(SEARCH("##END",AH40)),"（終わりの印）",IF(ISNUMBER(SEARCH("##続き",AH40)),"（続きありの印）",IF(AH40="調査ID","（見出し行）",IF(AND(AH40&lt;&gt;"R1",AH40&lt;&gt;"R2"),"×表以外の行（集計されない）",IF(COUNTIF($AI$5:AI40,AI40)&gt;1,"△重複（集計されない）",IF(D40="","△タスク名なし",IF(ISNA(MATCH(AK40,'M1_類型マスタ'!$A$5:$A$19,0)),"△類型が不正",IF(OR(AM40="",AN40=""),"△回数・分が読めない",IF(SUMPRODUCT(--ISNUMBER(--O40:U40))&lt;7,"△採点が足りない",IF(SUMPRODUCT((--O40:U40&gt;2)+(--O40:U40&lt;0))&gt;0,"△採点が範囲外","OK")))))))))))</f>
        <v/>
      </c>
      <c r="X40">
        <f>IF(W40&lt;&gt;"OK","",TRIM(IF(AND(AO40&lt;&gt;"",N(AO40)&lt;=1),"根拠1件 ","")&amp;IF(AP40&lt;&gt;"","同名あり ","")&amp;IF(AND(NOT(ISNUMBER(I40)),I40&lt;&gt;""),"回数を換算 ","")))</f>
        <v/>
      </c>
      <c r="Y40" s="31" t="n"/>
      <c r="Z40" s="32" t="n"/>
      <c r="AA40" s="32" t="n"/>
      <c r="AB40" s="31" t="n"/>
      <c r="AC40">
        <f>IF(W40&lt;&gt;"OK","",IF(AB40&lt;&gt;"",AB40,AE40))</f>
        <v/>
      </c>
      <c r="AD40" s="33">
        <f>IF(W40&lt;&gt;"OK","",IFERROR(IF(Z40&lt;&gt;"",Z40,AM40)*IF(AA40&lt;&gt;"",AA40,AN40)/60,""))</f>
        <v/>
      </c>
      <c r="AE40">
        <f>IF(W40&lt;&gt;"OK","",IF(OR(VALUE(O40)=2,VALUE(P40)=2,VALUE(Q40)=2),"社内残置",IF(AND(VALUE(O40)=0,VALUE(R40)=0,VALUE(T40)=0),"自動化候補",IF(AND(VALUE(P40)=0,VALUE(R40)&lt;=1,VALUE(S40)&lt;=1,VALUE(T40)&lt;=1,VALUE(U40)&lt;=1),"オフショア候補",IF(AND(VALUE(T40)&lt;=1,VALUE(U40)&lt;=1),"ニアショア候補","社内で手順化→再評価")))))</f>
        <v/>
      </c>
      <c r="AF40">
        <f>IF(W40&lt;&gt;"OK","",14-SUMPRODUCT(--O40:U40))</f>
        <v/>
      </c>
      <c r="AG40" s="33">
        <f>IF(W40&lt;&gt;"OK","",AM40*AN40/60)</f>
        <v/>
      </c>
      <c r="AH40" s="34">
        <f>IF(A40="","",UPPER(TRIM(ASC(A40&amp;""))))</f>
        <v/>
      </c>
      <c r="AI40" s="34">
        <f>IF(AH40="","",AH40&amp;"-"&amp;B40)</f>
        <v/>
      </c>
      <c r="AJ40" s="34">
        <f>IF(C40="","",IFERROR(VALUE(ASC(SUBSTITUTE(C40&amp;"","観点",""))),""))</f>
        <v/>
      </c>
      <c r="AK40" s="34">
        <f>IF(E40="","",UPPER(LEFT(TRIM(ASC(E40&amp;"")),3)))</f>
        <v/>
      </c>
      <c r="AL40" s="34">
        <f>IF(I40="","",IFERROR(VALUE(SUBSTITUTE(SUBSTITUTE(SUBSTITUTE(SUBSTITUTE(SUBSTITUTE(SUBSTITUTE(SUBSTITUTE(SUBSTITUTE(SUBSTITUTE(SUBSTITUTE(SUBSTITUTE(SUBSTITUTE(ASC(I40&amp;""),"約",""),"程度",""),"ほど",""),"回",""),"毎",""),"週",""),"月",""),"年",""),"日",""),"に",""),"/","")," ","")),""))</f>
        <v/>
      </c>
      <c r="AM40" s="34">
        <f>IF(I40="","",IF(ISNUMBER(I40),I40,IFERROR(VALUE(ASC(I40&amp;"")),IF(AL40&lt;&gt;"",AL40*IF(ISNUMBER(SEARCH("週",I40)),4.3,IF(ISNUMBER(SEARCH("年",I40)),1/12,IF(ISNUMBER(SEARCH("日",I40)),20,1))),IF(ISNUMBER(SEARCH("日",I40)),20,IF(ISNUMBER(SEARCH("週",I40)),4.3,IF(ISNUMBER(SEARCH("月",I40)),1,"")))))))</f>
        <v/>
      </c>
      <c r="AN40" s="34">
        <f>IF(J40="","",IF(ISNUMBER(J40),J40,IFERROR(VALUE(ASC(J40&amp;"")),IF(ISNUMBER(SEARCH("時間",J40)),IFERROR(VALUE(SUBSTITUTE(SUBSTITUTE(SUBSTITUTE(SUBSTITUTE(SUBSTITUTE(ASC(J40&amp;""),"約",""),"程度",""),"ほど",""),"時間","")," ",""))*60,""),IFERROR(VALUE(SUBSTITUTE(SUBSTITUTE(SUBSTITUTE(SUBSTITUTE(SUBSTITUTE(ASC(J40&amp;""),"約",""),"程度",""),"ほど",""),"分","")," ","")),"")))))</f>
        <v/>
      </c>
      <c r="AO40" s="34">
        <f>IF(K40="","",IF(ISNUMBER(K40),K40,IFERROR(VALUE(SUBSTITUTE(SUBSTITUTE(SUBSTITUTE(ASC(K40&amp;""),"約",""),"件","")," ","")),"")))</f>
        <v/>
      </c>
      <c r="AP40" s="34">
        <f>IF(W40&lt;&gt;"OK","",IF(COUNTIFS($D$5:$D$404,D40,$W$5:$W$404,"OK")&gt;1,"同名あり",""))</f>
        <v/>
      </c>
      <c r="AQ40" s="35">
        <f>IF(L40="","",IF(ISNUMBER(L40),L40,IFERROR(DATEVALUE(SUBSTITUTE(SUBSTITUTE(ASC(L40&amp;""),"-","/"),".","/")&amp;"/01"),"")))</f>
        <v/>
      </c>
      <c r="AR40" s="35">
        <f>IF(M40="","",IF(ISNUMBER(M40),M40,IFERROR(DATEVALUE(SUBSTITUTE(SUBSTITUTE(ASC(M40&amp;""),"-","/"),".","/")&amp;"/01"),"")))</f>
        <v/>
      </c>
      <c r="AS40" s="34">
        <f>IF(OR(W40&lt;&gt;"OK",AQ40=""),"",IF(AQ40&gt;='01_設定'!$C$26,1,0))</f>
        <v/>
      </c>
      <c r="AT40" s="34">
        <f>IF(AND(W40="OK",Y40&lt;&gt;"除外"),COUNTIFS($W$5:W40,"OK",$Y$5:Y40,"&lt;&gt;除外"),"")</f>
        <v/>
      </c>
      <c r="AU40" s="34">
        <f>IF(OR(AT40="",AD40=""),"",AD40+ROW()/1000000000)</f>
        <v/>
      </c>
    </row>
    <row r="41">
      <c r="W41">
        <f>IF(AND(A41="",D41=""),"",IF(ISNUMBER(SEARCH("##END",AH41)),"（終わりの印）",IF(ISNUMBER(SEARCH("##続き",AH41)),"（続きありの印）",IF(AH41="調査ID","（見出し行）",IF(AND(AH41&lt;&gt;"R1",AH41&lt;&gt;"R2"),"×表以外の行（集計されない）",IF(COUNTIF($AI$5:AI41,AI41)&gt;1,"△重複（集計されない）",IF(D41="","△タスク名なし",IF(ISNA(MATCH(AK41,'M1_類型マスタ'!$A$5:$A$19,0)),"△類型が不正",IF(OR(AM41="",AN41=""),"△回数・分が読めない",IF(SUMPRODUCT(--ISNUMBER(--O41:U41))&lt;7,"△採点が足りない",IF(SUMPRODUCT((--O41:U41&gt;2)+(--O41:U41&lt;0))&gt;0,"△採点が範囲外","OK")))))))))))</f>
        <v/>
      </c>
      <c r="X41">
        <f>IF(W41&lt;&gt;"OK","",TRIM(IF(AND(AO41&lt;&gt;"",N(AO41)&lt;=1),"根拠1件 ","")&amp;IF(AP41&lt;&gt;"","同名あり ","")&amp;IF(AND(NOT(ISNUMBER(I41)),I41&lt;&gt;""),"回数を換算 ","")))</f>
        <v/>
      </c>
      <c r="Y41" s="31" t="n"/>
      <c r="Z41" s="32" t="n"/>
      <c r="AA41" s="32" t="n"/>
      <c r="AB41" s="31" t="n"/>
      <c r="AC41">
        <f>IF(W41&lt;&gt;"OK","",IF(AB41&lt;&gt;"",AB41,AE41))</f>
        <v/>
      </c>
      <c r="AD41" s="33">
        <f>IF(W41&lt;&gt;"OK","",IFERROR(IF(Z41&lt;&gt;"",Z41,AM41)*IF(AA41&lt;&gt;"",AA41,AN41)/60,""))</f>
        <v/>
      </c>
      <c r="AE41">
        <f>IF(W41&lt;&gt;"OK","",IF(OR(VALUE(O41)=2,VALUE(P41)=2,VALUE(Q41)=2),"社内残置",IF(AND(VALUE(O41)=0,VALUE(R41)=0,VALUE(T41)=0),"自動化候補",IF(AND(VALUE(P41)=0,VALUE(R41)&lt;=1,VALUE(S41)&lt;=1,VALUE(T41)&lt;=1,VALUE(U41)&lt;=1),"オフショア候補",IF(AND(VALUE(T41)&lt;=1,VALUE(U41)&lt;=1),"ニアショア候補","社内で手順化→再評価")))))</f>
        <v/>
      </c>
      <c r="AF41">
        <f>IF(W41&lt;&gt;"OK","",14-SUMPRODUCT(--O41:U41))</f>
        <v/>
      </c>
      <c r="AG41" s="33">
        <f>IF(W41&lt;&gt;"OK","",AM41*AN41/60)</f>
        <v/>
      </c>
      <c r="AH41" s="34">
        <f>IF(A41="","",UPPER(TRIM(ASC(A41&amp;""))))</f>
        <v/>
      </c>
      <c r="AI41" s="34">
        <f>IF(AH41="","",AH41&amp;"-"&amp;B41)</f>
        <v/>
      </c>
      <c r="AJ41" s="34">
        <f>IF(C41="","",IFERROR(VALUE(ASC(SUBSTITUTE(C41&amp;"","観点",""))),""))</f>
        <v/>
      </c>
      <c r="AK41" s="34">
        <f>IF(E41="","",UPPER(LEFT(TRIM(ASC(E41&amp;"")),3)))</f>
        <v/>
      </c>
      <c r="AL41" s="34">
        <f>IF(I41="","",IFERROR(VALUE(SUBSTITUTE(SUBSTITUTE(SUBSTITUTE(SUBSTITUTE(SUBSTITUTE(SUBSTITUTE(SUBSTITUTE(SUBSTITUTE(SUBSTITUTE(SUBSTITUTE(SUBSTITUTE(SUBSTITUTE(ASC(I41&amp;""),"約",""),"程度",""),"ほど",""),"回",""),"毎",""),"週",""),"月",""),"年",""),"日",""),"に",""),"/","")," ","")),""))</f>
        <v/>
      </c>
      <c r="AM41" s="34">
        <f>IF(I41="","",IF(ISNUMBER(I41),I41,IFERROR(VALUE(ASC(I41&amp;"")),IF(AL41&lt;&gt;"",AL41*IF(ISNUMBER(SEARCH("週",I41)),4.3,IF(ISNUMBER(SEARCH("年",I41)),1/12,IF(ISNUMBER(SEARCH("日",I41)),20,1))),IF(ISNUMBER(SEARCH("日",I41)),20,IF(ISNUMBER(SEARCH("週",I41)),4.3,IF(ISNUMBER(SEARCH("月",I41)),1,"")))))))</f>
        <v/>
      </c>
      <c r="AN41" s="34">
        <f>IF(J41="","",IF(ISNUMBER(J41),J41,IFERROR(VALUE(ASC(J41&amp;"")),IF(ISNUMBER(SEARCH("時間",J41)),IFERROR(VALUE(SUBSTITUTE(SUBSTITUTE(SUBSTITUTE(SUBSTITUTE(SUBSTITUTE(ASC(J41&amp;""),"約",""),"程度",""),"ほど",""),"時間","")," ",""))*60,""),IFERROR(VALUE(SUBSTITUTE(SUBSTITUTE(SUBSTITUTE(SUBSTITUTE(SUBSTITUTE(ASC(J41&amp;""),"約",""),"程度",""),"ほど",""),"分","")," ","")),"")))))</f>
        <v/>
      </c>
      <c r="AO41" s="34">
        <f>IF(K41="","",IF(ISNUMBER(K41),K41,IFERROR(VALUE(SUBSTITUTE(SUBSTITUTE(SUBSTITUTE(ASC(K41&amp;""),"約",""),"件","")," ","")),"")))</f>
        <v/>
      </c>
      <c r="AP41" s="34">
        <f>IF(W41&lt;&gt;"OK","",IF(COUNTIFS($D$5:$D$404,D41,$W$5:$W$404,"OK")&gt;1,"同名あり",""))</f>
        <v/>
      </c>
      <c r="AQ41" s="35">
        <f>IF(L41="","",IF(ISNUMBER(L41),L41,IFERROR(DATEVALUE(SUBSTITUTE(SUBSTITUTE(ASC(L41&amp;""),"-","/"),".","/")&amp;"/01"),"")))</f>
        <v/>
      </c>
      <c r="AR41" s="35">
        <f>IF(M41="","",IF(ISNUMBER(M41),M41,IFERROR(DATEVALUE(SUBSTITUTE(SUBSTITUTE(ASC(M41&amp;""),"-","/"),".","/")&amp;"/01"),"")))</f>
        <v/>
      </c>
      <c r="AS41" s="34">
        <f>IF(OR(W41&lt;&gt;"OK",AQ41=""),"",IF(AQ41&gt;='01_設定'!$C$26,1,0))</f>
        <v/>
      </c>
      <c r="AT41" s="34">
        <f>IF(AND(W41="OK",Y41&lt;&gt;"除外"),COUNTIFS($W$5:W41,"OK",$Y$5:Y41,"&lt;&gt;除外"),"")</f>
        <v/>
      </c>
      <c r="AU41" s="34">
        <f>IF(OR(AT41="",AD41=""),"",AD41+ROW()/1000000000)</f>
        <v/>
      </c>
    </row>
    <row r="42">
      <c r="W42">
        <f>IF(AND(A42="",D42=""),"",IF(ISNUMBER(SEARCH("##END",AH42)),"（終わりの印）",IF(ISNUMBER(SEARCH("##続き",AH42)),"（続きありの印）",IF(AH42="調査ID","（見出し行）",IF(AND(AH42&lt;&gt;"R1",AH42&lt;&gt;"R2"),"×表以外の行（集計されない）",IF(COUNTIF($AI$5:AI42,AI42)&gt;1,"△重複（集計されない）",IF(D42="","△タスク名なし",IF(ISNA(MATCH(AK42,'M1_類型マスタ'!$A$5:$A$19,0)),"△類型が不正",IF(OR(AM42="",AN42=""),"△回数・分が読めない",IF(SUMPRODUCT(--ISNUMBER(--O42:U42))&lt;7,"△採点が足りない",IF(SUMPRODUCT((--O42:U42&gt;2)+(--O42:U42&lt;0))&gt;0,"△採点が範囲外","OK")))))))))))</f>
        <v/>
      </c>
      <c r="X42">
        <f>IF(W42&lt;&gt;"OK","",TRIM(IF(AND(AO42&lt;&gt;"",N(AO42)&lt;=1),"根拠1件 ","")&amp;IF(AP42&lt;&gt;"","同名あり ","")&amp;IF(AND(NOT(ISNUMBER(I42)),I42&lt;&gt;""),"回数を換算 ","")))</f>
        <v/>
      </c>
      <c r="Y42" s="31" t="n"/>
      <c r="Z42" s="32" t="n"/>
      <c r="AA42" s="32" t="n"/>
      <c r="AB42" s="31" t="n"/>
      <c r="AC42">
        <f>IF(W42&lt;&gt;"OK","",IF(AB42&lt;&gt;"",AB42,AE42))</f>
        <v/>
      </c>
      <c r="AD42" s="33">
        <f>IF(W42&lt;&gt;"OK","",IFERROR(IF(Z42&lt;&gt;"",Z42,AM42)*IF(AA42&lt;&gt;"",AA42,AN42)/60,""))</f>
        <v/>
      </c>
      <c r="AE42">
        <f>IF(W42&lt;&gt;"OK","",IF(OR(VALUE(O42)=2,VALUE(P42)=2,VALUE(Q42)=2),"社内残置",IF(AND(VALUE(O42)=0,VALUE(R42)=0,VALUE(T42)=0),"自動化候補",IF(AND(VALUE(P42)=0,VALUE(R42)&lt;=1,VALUE(S42)&lt;=1,VALUE(T42)&lt;=1,VALUE(U42)&lt;=1),"オフショア候補",IF(AND(VALUE(T42)&lt;=1,VALUE(U42)&lt;=1),"ニアショア候補","社内で手順化→再評価")))))</f>
        <v/>
      </c>
      <c r="AF42">
        <f>IF(W42&lt;&gt;"OK","",14-SUMPRODUCT(--O42:U42))</f>
        <v/>
      </c>
      <c r="AG42" s="33">
        <f>IF(W42&lt;&gt;"OK","",AM42*AN42/60)</f>
        <v/>
      </c>
      <c r="AH42" s="34">
        <f>IF(A42="","",UPPER(TRIM(ASC(A42&amp;""))))</f>
        <v/>
      </c>
      <c r="AI42" s="34">
        <f>IF(AH42="","",AH42&amp;"-"&amp;B42)</f>
        <v/>
      </c>
      <c r="AJ42" s="34">
        <f>IF(C42="","",IFERROR(VALUE(ASC(SUBSTITUTE(C42&amp;"","観点",""))),""))</f>
        <v/>
      </c>
      <c r="AK42" s="34">
        <f>IF(E42="","",UPPER(LEFT(TRIM(ASC(E42&amp;"")),3)))</f>
        <v/>
      </c>
      <c r="AL42" s="34">
        <f>IF(I42="","",IFERROR(VALUE(SUBSTITUTE(SUBSTITUTE(SUBSTITUTE(SUBSTITUTE(SUBSTITUTE(SUBSTITUTE(SUBSTITUTE(SUBSTITUTE(SUBSTITUTE(SUBSTITUTE(SUBSTITUTE(SUBSTITUTE(ASC(I42&amp;""),"約",""),"程度",""),"ほど",""),"回",""),"毎",""),"週",""),"月",""),"年",""),"日",""),"に",""),"/","")," ","")),""))</f>
        <v/>
      </c>
      <c r="AM42" s="34">
        <f>IF(I42="","",IF(ISNUMBER(I42),I42,IFERROR(VALUE(ASC(I42&amp;"")),IF(AL42&lt;&gt;"",AL42*IF(ISNUMBER(SEARCH("週",I42)),4.3,IF(ISNUMBER(SEARCH("年",I42)),1/12,IF(ISNUMBER(SEARCH("日",I42)),20,1))),IF(ISNUMBER(SEARCH("日",I42)),20,IF(ISNUMBER(SEARCH("週",I42)),4.3,IF(ISNUMBER(SEARCH("月",I42)),1,"")))))))</f>
        <v/>
      </c>
      <c r="AN42" s="34">
        <f>IF(J42="","",IF(ISNUMBER(J42),J42,IFERROR(VALUE(ASC(J42&amp;"")),IF(ISNUMBER(SEARCH("時間",J42)),IFERROR(VALUE(SUBSTITUTE(SUBSTITUTE(SUBSTITUTE(SUBSTITUTE(SUBSTITUTE(ASC(J42&amp;""),"約",""),"程度",""),"ほど",""),"時間","")," ",""))*60,""),IFERROR(VALUE(SUBSTITUTE(SUBSTITUTE(SUBSTITUTE(SUBSTITUTE(SUBSTITUTE(ASC(J42&amp;""),"約",""),"程度",""),"ほど",""),"分","")," ","")),"")))))</f>
        <v/>
      </c>
      <c r="AO42" s="34">
        <f>IF(K42="","",IF(ISNUMBER(K42),K42,IFERROR(VALUE(SUBSTITUTE(SUBSTITUTE(SUBSTITUTE(ASC(K42&amp;""),"約",""),"件","")," ","")),"")))</f>
        <v/>
      </c>
      <c r="AP42" s="34">
        <f>IF(W42&lt;&gt;"OK","",IF(COUNTIFS($D$5:$D$404,D42,$W$5:$W$404,"OK")&gt;1,"同名あり",""))</f>
        <v/>
      </c>
      <c r="AQ42" s="35">
        <f>IF(L42="","",IF(ISNUMBER(L42),L42,IFERROR(DATEVALUE(SUBSTITUTE(SUBSTITUTE(ASC(L42&amp;""),"-","/"),".","/")&amp;"/01"),"")))</f>
        <v/>
      </c>
      <c r="AR42" s="35">
        <f>IF(M42="","",IF(ISNUMBER(M42),M42,IFERROR(DATEVALUE(SUBSTITUTE(SUBSTITUTE(ASC(M42&amp;""),"-","/"),".","/")&amp;"/01"),"")))</f>
        <v/>
      </c>
      <c r="AS42" s="34">
        <f>IF(OR(W42&lt;&gt;"OK",AQ42=""),"",IF(AQ42&gt;='01_設定'!$C$26,1,0))</f>
        <v/>
      </c>
      <c r="AT42" s="34">
        <f>IF(AND(W42="OK",Y42&lt;&gt;"除外"),COUNTIFS($W$5:W42,"OK",$Y$5:Y42,"&lt;&gt;除外"),"")</f>
        <v/>
      </c>
      <c r="AU42" s="34">
        <f>IF(OR(AT42="",AD42=""),"",AD42+ROW()/1000000000)</f>
        <v/>
      </c>
    </row>
    <row r="43">
      <c r="W43">
        <f>IF(AND(A43="",D43=""),"",IF(ISNUMBER(SEARCH("##END",AH43)),"（終わりの印）",IF(ISNUMBER(SEARCH("##続き",AH43)),"（続きありの印）",IF(AH43="調査ID","（見出し行）",IF(AND(AH43&lt;&gt;"R1",AH43&lt;&gt;"R2"),"×表以外の行（集計されない）",IF(COUNTIF($AI$5:AI43,AI43)&gt;1,"△重複（集計されない）",IF(D43="","△タスク名なし",IF(ISNA(MATCH(AK43,'M1_類型マスタ'!$A$5:$A$19,0)),"△類型が不正",IF(OR(AM43="",AN43=""),"△回数・分が読めない",IF(SUMPRODUCT(--ISNUMBER(--O43:U43))&lt;7,"△採点が足りない",IF(SUMPRODUCT((--O43:U43&gt;2)+(--O43:U43&lt;0))&gt;0,"△採点が範囲外","OK")))))))))))</f>
        <v/>
      </c>
      <c r="X43">
        <f>IF(W43&lt;&gt;"OK","",TRIM(IF(AND(AO43&lt;&gt;"",N(AO43)&lt;=1),"根拠1件 ","")&amp;IF(AP43&lt;&gt;"","同名あり ","")&amp;IF(AND(NOT(ISNUMBER(I43)),I43&lt;&gt;""),"回数を換算 ","")))</f>
        <v/>
      </c>
      <c r="Y43" s="31" t="n"/>
      <c r="Z43" s="32" t="n"/>
      <c r="AA43" s="32" t="n"/>
      <c r="AB43" s="31" t="n"/>
      <c r="AC43">
        <f>IF(W43&lt;&gt;"OK","",IF(AB43&lt;&gt;"",AB43,AE43))</f>
        <v/>
      </c>
      <c r="AD43" s="33">
        <f>IF(W43&lt;&gt;"OK","",IFERROR(IF(Z43&lt;&gt;"",Z43,AM43)*IF(AA43&lt;&gt;"",AA43,AN43)/60,""))</f>
        <v/>
      </c>
      <c r="AE43">
        <f>IF(W43&lt;&gt;"OK","",IF(OR(VALUE(O43)=2,VALUE(P43)=2,VALUE(Q43)=2),"社内残置",IF(AND(VALUE(O43)=0,VALUE(R43)=0,VALUE(T43)=0),"自動化候補",IF(AND(VALUE(P43)=0,VALUE(R43)&lt;=1,VALUE(S43)&lt;=1,VALUE(T43)&lt;=1,VALUE(U43)&lt;=1),"オフショア候補",IF(AND(VALUE(T43)&lt;=1,VALUE(U43)&lt;=1),"ニアショア候補","社内で手順化→再評価")))))</f>
        <v/>
      </c>
      <c r="AF43">
        <f>IF(W43&lt;&gt;"OK","",14-SUMPRODUCT(--O43:U43))</f>
        <v/>
      </c>
      <c r="AG43" s="33">
        <f>IF(W43&lt;&gt;"OK","",AM43*AN43/60)</f>
        <v/>
      </c>
      <c r="AH43" s="34">
        <f>IF(A43="","",UPPER(TRIM(ASC(A43&amp;""))))</f>
        <v/>
      </c>
      <c r="AI43" s="34">
        <f>IF(AH43="","",AH43&amp;"-"&amp;B43)</f>
        <v/>
      </c>
      <c r="AJ43" s="34">
        <f>IF(C43="","",IFERROR(VALUE(ASC(SUBSTITUTE(C43&amp;"","観点",""))),""))</f>
        <v/>
      </c>
      <c r="AK43" s="34">
        <f>IF(E43="","",UPPER(LEFT(TRIM(ASC(E43&amp;"")),3)))</f>
        <v/>
      </c>
      <c r="AL43" s="34">
        <f>IF(I43="","",IFERROR(VALUE(SUBSTITUTE(SUBSTITUTE(SUBSTITUTE(SUBSTITUTE(SUBSTITUTE(SUBSTITUTE(SUBSTITUTE(SUBSTITUTE(SUBSTITUTE(SUBSTITUTE(SUBSTITUTE(SUBSTITUTE(ASC(I43&amp;""),"約",""),"程度",""),"ほど",""),"回",""),"毎",""),"週",""),"月",""),"年",""),"日",""),"に",""),"/","")," ","")),""))</f>
        <v/>
      </c>
      <c r="AM43" s="34">
        <f>IF(I43="","",IF(ISNUMBER(I43),I43,IFERROR(VALUE(ASC(I43&amp;"")),IF(AL43&lt;&gt;"",AL43*IF(ISNUMBER(SEARCH("週",I43)),4.3,IF(ISNUMBER(SEARCH("年",I43)),1/12,IF(ISNUMBER(SEARCH("日",I43)),20,1))),IF(ISNUMBER(SEARCH("日",I43)),20,IF(ISNUMBER(SEARCH("週",I43)),4.3,IF(ISNUMBER(SEARCH("月",I43)),1,"")))))))</f>
        <v/>
      </c>
      <c r="AN43" s="34">
        <f>IF(J43="","",IF(ISNUMBER(J43),J43,IFERROR(VALUE(ASC(J43&amp;"")),IF(ISNUMBER(SEARCH("時間",J43)),IFERROR(VALUE(SUBSTITUTE(SUBSTITUTE(SUBSTITUTE(SUBSTITUTE(SUBSTITUTE(ASC(J43&amp;""),"約",""),"程度",""),"ほど",""),"時間","")," ",""))*60,""),IFERROR(VALUE(SUBSTITUTE(SUBSTITUTE(SUBSTITUTE(SUBSTITUTE(SUBSTITUTE(ASC(J43&amp;""),"約",""),"程度",""),"ほど",""),"分","")," ","")),"")))))</f>
        <v/>
      </c>
      <c r="AO43" s="34">
        <f>IF(K43="","",IF(ISNUMBER(K43),K43,IFERROR(VALUE(SUBSTITUTE(SUBSTITUTE(SUBSTITUTE(ASC(K43&amp;""),"約",""),"件","")," ","")),"")))</f>
        <v/>
      </c>
      <c r="AP43" s="34">
        <f>IF(W43&lt;&gt;"OK","",IF(COUNTIFS($D$5:$D$404,D43,$W$5:$W$404,"OK")&gt;1,"同名あり",""))</f>
        <v/>
      </c>
      <c r="AQ43" s="35">
        <f>IF(L43="","",IF(ISNUMBER(L43),L43,IFERROR(DATEVALUE(SUBSTITUTE(SUBSTITUTE(ASC(L43&amp;""),"-","/"),".","/")&amp;"/01"),"")))</f>
        <v/>
      </c>
      <c r="AR43" s="35">
        <f>IF(M43="","",IF(ISNUMBER(M43),M43,IFERROR(DATEVALUE(SUBSTITUTE(SUBSTITUTE(ASC(M43&amp;""),"-","/"),".","/")&amp;"/01"),"")))</f>
        <v/>
      </c>
      <c r="AS43" s="34">
        <f>IF(OR(W43&lt;&gt;"OK",AQ43=""),"",IF(AQ43&gt;='01_設定'!$C$26,1,0))</f>
        <v/>
      </c>
      <c r="AT43" s="34">
        <f>IF(AND(W43="OK",Y43&lt;&gt;"除外"),COUNTIFS($W$5:W43,"OK",$Y$5:Y43,"&lt;&gt;除外"),"")</f>
        <v/>
      </c>
      <c r="AU43" s="34">
        <f>IF(OR(AT43="",AD43=""),"",AD43+ROW()/1000000000)</f>
        <v/>
      </c>
    </row>
    <row r="44">
      <c r="W44">
        <f>IF(AND(A44="",D44=""),"",IF(ISNUMBER(SEARCH("##END",AH44)),"（終わりの印）",IF(ISNUMBER(SEARCH("##続き",AH44)),"（続きありの印）",IF(AH44="調査ID","（見出し行）",IF(AND(AH44&lt;&gt;"R1",AH44&lt;&gt;"R2"),"×表以外の行（集計されない）",IF(COUNTIF($AI$5:AI44,AI44)&gt;1,"△重複（集計されない）",IF(D44="","△タスク名なし",IF(ISNA(MATCH(AK44,'M1_類型マスタ'!$A$5:$A$19,0)),"△類型が不正",IF(OR(AM44="",AN44=""),"△回数・分が読めない",IF(SUMPRODUCT(--ISNUMBER(--O44:U44))&lt;7,"△採点が足りない",IF(SUMPRODUCT((--O44:U44&gt;2)+(--O44:U44&lt;0))&gt;0,"△採点が範囲外","OK")))))))))))</f>
        <v/>
      </c>
      <c r="X44">
        <f>IF(W44&lt;&gt;"OK","",TRIM(IF(AND(AO44&lt;&gt;"",N(AO44)&lt;=1),"根拠1件 ","")&amp;IF(AP44&lt;&gt;"","同名あり ","")&amp;IF(AND(NOT(ISNUMBER(I44)),I44&lt;&gt;""),"回数を換算 ","")))</f>
        <v/>
      </c>
      <c r="Y44" s="31" t="n"/>
      <c r="Z44" s="32" t="n"/>
      <c r="AA44" s="32" t="n"/>
      <c r="AB44" s="31" t="n"/>
      <c r="AC44">
        <f>IF(W44&lt;&gt;"OK","",IF(AB44&lt;&gt;"",AB44,AE44))</f>
        <v/>
      </c>
      <c r="AD44" s="33">
        <f>IF(W44&lt;&gt;"OK","",IFERROR(IF(Z44&lt;&gt;"",Z44,AM44)*IF(AA44&lt;&gt;"",AA44,AN44)/60,""))</f>
        <v/>
      </c>
      <c r="AE44">
        <f>IF(W44&lt;&gt;"OK","",IF(OR(VALUE(O44)=2,VALUE(P44)=2,VALUE(Q44)=2),"社内残置",IF(AND(VALUE(O44)=0,VALUE(R44)=0,VALUE(T44)=0),"自動化候補",IF(AND(VALUE(P44)=0,VALUE(R44)&lt;=1,VALUE(S44)&lt;=1,VALUE(T44)&lt;=1,VALUE(U44)&lt;=1),"オフショア候補",IF(AND(VALUE(T44)&lt;=1,VALUE(U44)&lt;=1),"ニアショア候補","社内で手順化→再評価")))))</f>
        <v/>
      </c>
      <c r="AF44">
        <f>IF(W44&lt;&gt;"OK","",14-SUMPRODUCT(--O44:U44))</f>
        <v/>
      </c>
      <c r="AG44" s="33">
        <f>IF(W44&lt;&gt;"OK","",AM44*AN44/60)</f>
        <v/>
      </c>
      <c r="AH44" s="34">
        <f>IF(A44="","",UPPER(TRIM(ASC(A44&amp;""))))</f>
        <v/>
      </c>
      <c r="AI44" s="34">
        <f>IF(AH44="","",AH44&amp;"-"&amp;B44)</f>
        <v/>
      </c>
      <c r="AJ44" s="34">
        <f>IF(C44="","",IFERROR(VALUE(ASC(SUBSTITUTE(C44&amp;"","観点",""))),""))</f>
        <v/>
      </c>
      <c r="AK44" s="34">
        <f>IF(E44="","",UPPER(LEFT(TRIM(ASC(E44&amp;"")),3)))</f>
        <v/>
      </c>
      <c r="AL44" s="34">
        <f>IF(I44="","",IFERROR(VALUE(SUBSTITUTE(SUBSTITUTE(SUBSTITUTE(SUBSTITUTE(SUBSTITUTE(SUBSTITUTE(SUBSTITUTE(SUBSTITUTE(SUBSTITUTE(SUBSTITUTE(SUBSTITUTE(SUBSTITUTE(ASC(I44&amp;""),"約",""),"程度",""),"ほど",""),"回",""),"毎",""),"週",""),"月",""),"年",""),"日",""),"に",""),"/","")," ","")),""))</f>
        <v/>
      </c>
      <c r="AM44" s="34">
        <f>IF(I44="","",IF(ISNUMBER(I44),I44,IFERROR(VALUE(ASC(I44&amp;"")),IF(AL44&lt;&gt;"",AL44*IF(ISNUMBER(SEARCH("週",I44)),4.3,IF(ISNUMBER(SEARCH("年",I44)),1/12,IF(ISNUMBER(SEARCH("日",I44)),20,1))),IF(ISNUMBER(SEARCH("日",I44)),20,IF(ISNUMBER(SEARCH("週",I44)),4.3,IF(ISNUMBER(SEARCH("月",I44)),1,"")))))))</f>
        <v/>
      </c>
      <c r="AN44" s="34">
        <f>IF(J44="","",IF(ISNUMBER(J44),J44,IFERROR(VALUE(ASC(J44&amp;"")),IF(ISNUMBER(SEARCH("時間",J44)),IFERROR(VALUE(SUBSTITUTE(SUBSTITUTE(SUBSTITUTE(SUBSTITUTE(SUBSTITUTE(ASC(J44&amp;""),"約",""),"程度",""),"ほど",""),"時間","")," ",""))*60,""),IFERROR(VALUE(SUBSTITUTE(SUBSTITUTE(SUBSTITUTE(SUBSTITUTE(SUBSTITUTE(ASC(J44&amp;""),"約",""),"程度",""),"ほど",""),"分","")," ","")),"")))))</f>
        <v/>
      </c>
      <c r="AO44" s="34">
        <f>IF(K44="","",IF(ISNUMBER(K44),K44,IFERROR(VALUE(SUBSTITUTE(SUBSTITUTE(SUBSTITUTE(ASC(K44&amp;""),"約",""),"件","")," ","")),"")))</f>
        <v/>
      </c>
      <c r="AP44" s="34">
        <f>IF(W44&lt;&gt;"OK","",IF(COUNTIFS($D$5:$D$404,D44,$W$5:$W$404,"OK")&gt;1,"同名あり",""))</f>
        <v/>
      </c>
      <c r="AQ44" s="35">
        <f>IF(L44="","",IF(ISNUMBER(L44),L44,IFERROR(DATEVALUE(SUBSTITUTE(SUBSTITUTE(ASC(L44&amp;""),"-","/"),".","/")&amp;"/01"),"")))</f>
        <v/>
      </c>
      <c r="AR44" s="35">
        <f>IF(M44="","",IF(ISNUMBER(M44),M44,IFERROR(DATEVALUE(SUBSTITUTE(SUBSTITUTE(ASC(M44&amp;""),"-","/"),".","/")&amp;"/01"),"")))</f>
        <v/>
      </c>
      <c r="AS44" s="34">
        <f>IF(OR(W44&lt;&gt;"OK",AQ44=""),"",IF(AQ44&gt;='01_設定'!$C$26,1,0))</f>
        <v/>
      </c>
      <c r="AT44" s="34">
        <f>IF(AND(W44="OK",Y44&lt;&gt;"除外"),COUNTIFS($W$5:W44,"OK",$Y$5:Y44,"&lt;&gt;除外"),"")</f>
        <v/>
      </c>
      <c r="AU44" s="34">
        <f>IF(OR(AT44="",AD44=""),"",AD44+ROW()/1000000000)</f>
        <v/>
      </c>
    </row>
    <row r="45">
      <c r="W45">
        <f>IF(AND(A45="",D45=""),"",IF(ISNUMBER(SEARCH("##END",AH45)),"（終わりの印）",IF(ISNUMBER(SEARCH("##続き",AH45)),"（続きありの印）",IF(AH45="調査ID","（見出し行）",IF(AND(AH45&lt;&gt;"R1",AH45&lt;&gt;"R2"),"×表以外の行（集計されない）",IF(COUNTIF($AI$5:AI45,AI45)&gt;1,"△重複（集計されない）",IF(D45="","△タスク名なし",IF(ISNA(MATCH(AK45,'M1_類型マスタ'!$A$5:$A$19,0)),"△類型が不正",IF(OR(AM45="",AN45=""),"△回数・分が読めない",IF(SUMPRODUCT(--ISNUMBER(--O45:U45))&lt;7,"△採点が足りない",IF(SUMPRODUCT((--O45:U45&gt;2)+(--O45:U45&lt;0))&gt;0,"△採点が範囲外","OK")))))))))))</f>
        <v/>
      </c>
      <c r="X45">
        <f>IF(W45&lt;&gt;"OK","",TRIM(IF(AND(AO45&lt;&gt;"",N(AO45)&lt;=1),"根拠1件 ","")&amp;IF(AP45&lt;&gt;"","同名あり ","")&amp;IF(AND(NOT(ISNUMBER(I45)),I45&lt;&gt;""),"回数を換算 ","")))</f>
        <v/>
      </c>
      <c r="Y45" s="31" t="n"/>
      <c r="Z45" s="32" t="n"/>
      <c r="AA45" s="32" t="n"/>
      <c r="AB45" s="31" t="n"/>
      <c r="AC45">
        <f>IF(W45&lt;&gt;"OK","",IF(AB45&lt;&gt;"",AB45,AE45))</f>
        <v/>
      </c>
      <c r="AD45" s="33">
        <f>IF(W45&lt;&gt;"OK","",IFERROR(IF(Z45&lt;&gt;"",Z45,AM45)*IF(AA45&lt;&gt;"",AA45,AN45)/60,""))</f>
        <v/>
      </c>
      <c r="AE45">
        <f>IF(W45&lt;&gt;"OK","",IF(OR(VALUE(O45)=2,VALUE(P45)=2,VALUE(Q45)=2),"社内残置",IF(AND(VALUE(O45)=0,VALUE(R45)=0,VALUE(T45)=0),"自動化候補",IF(AND(VALUE(P45)=0,VALUE(R45)&lt;=1,VALUE(S45)&lt;=1,VALUE(T45)&lt;=1,VALUE(U45)&lt;=1),"オフショア候補",IF(AND(VALUE(T45)&lt;=1,VALUE(U45)&lt;=1),"ニアショア候補","社内で手順化→再評価")))))</f>
        <v/>
      </c>
      <c r="AF45">
        <f>IF(W45&lt;&gt;"OK","",14-SUMPRODUCT(--O45:U45))</f>
        <v/>
      </c>
      <c r="AG45" s="33">
        <f>IF(W45&lt;&gt;"OK","",AM45*AN45/60)</f>
        <v/>
      </c>
      <c r="AH45" s="34">
        <f>IF(A45="","",UPPER(TRIM(ASC(A45&amp;""))))</f>
        <v/>
      </c>
      <c r="AI45" s="34">
        <f>IF(AH45="","",AH45&amp;"-"&amp;B45)</f>
        <v/>
      </c>
      <c r="AJ45" s="34">
        <f>IF(C45="","",IFERROR(VALUE(ASC(SUBSTITUTE(C45&amp;"","観点",""))),""))</f>
        <v/>
      </c>
      <c r="AK45" s="34">
        <f>IF(E45="","",UPPER(LEFT(TRIM(ASC(E45&amp;"")),3)))</f>
        <v/>
      </c>
      <c r="AL45" s="34">
        <f>IF(I45="","",IFERROR(VALUE(SUBSTITUTE(SUBSTITUTE(SUBSTITUTE(SUBSTITUTE(SUBSTITUTE(SUBSTITUTE(SUBSTITUTE(SUBSTITUTE(SUBSTITUTE(SUBSTITUTE(SUBSTITUTE(SUBSTITUTE(ASC(I45&amp;""),"約",""),"程度",""),"ほど",""),"回",""),"毎",""),"週",""),"月",""),"年",""),"日",""),"に",""),"/","")," ","")),""))</f>
        <v/>
      </c>
      <c r="AM45" s="34">
        <f>IF(I45="","",IF(ISNUMBER(I45),I45,IFERROR(VALUE(ASC(I45&amp;"")),IF(AL45&lt;&gt;"",AL45*IF(ISNUMBER(SEARCH("週",I45)),4.3,IF(ISNUMBER(SEARCH("年",I45)),1/12,IF(ISNUMBER(SEARCH("日",I45)),20,1))),IF(ISNUMBER(SEARCH("日",I45)),20,IF(ISNUMBER(SEARCH("週",I45)),4.3,IF(ISNUMBER(SEARCH("月",I45)),1,"")))))))</f>
        <v/>
      </c>
      <c r="AN45" s="34">
        <f>IF(J45="","",IF(ISNUMBER(J45),J45,IFERROR(VALUE(ASC(J45&amp;"")),IF(ISNUMBER(SEARCH("時間",J45)),IFERROR(VALUE(SUBSTITUTE(SUBSTITUTE(SUBSTITUTE(SUBSTITUTE(SUBSTITUTE(ASC(J45&amp;""),"約",""),"程度",""),"ほど",""),"時間","")," ",""))*60,""),IFERROR(VALUE(SUBSTITUTE(SUBSTITUTE(SUBSTITUTE(SUBSTITUTE(SUBSTITUTE(ASC(J45&amp;""),"約",""),"程度",""),"ほど",""),"分","")," ","")),"")))))</f>
        <v/>
      </c>
      <c r="AO45" s="34">
        <f>IF(K45="","",IF(ISNUMBER(K45),K45,IFERROR(VALUE(SUBSTITUTE(SUBSTITUTE(SUBSTITUTE(ASC(K45&amp;""),"約",""),"件","")," ","")),"")))</f>
        <v/>
      </c>
      <c r="AP45" s="34">
        <f>IF(W45&lt;&gt;"OK","",IF(COUNTIFS($D$5:$D$404,D45,$W$5:$W$404,"OK")&gt;1,"同名あり",""))</f>
        <v/>
      </c>
      <c r="AQ45" s="35">
        <f>IF(L45="","",IF(ISNUMBER(L45),L45,IFERROR(DATEVALUE(SUBSTITUTE(SUBSTITUTE(ASC(L45&amp;""),"-","/"),".","/")&amp;"/01"),"")))</f>
        <v/>
      </c>
      <c r="AR45" s="35">
        <f>IF(M45="","",IF(ISNUMBER(M45),M45,IFERROR(DATEVALUE(SUBSTITUTE(SUBSTITUTE(ASC(M45&amp;""),"-","/"),".","/")&amp;"/01"),"")))</f>
        <v/>
      </c>
      <c r="AS45" s="34">
        <f>IF(OR(W45&lt;&gt;"OK",AQ45=""),"",IF(AQ45&gt;='01_設定'!$C$26,1,0))</f>
        <v/>
      </c>
      <c r="AT45" s="34">
        <f>IF(AND(W45="OK",Y45&lt;&gt;"除外"),COUNTIFS($W$5:W45,"OK",$Y$5:Y45,"&lt;&gt;除外"),"")</f>
        <v/>
      </c>
      <c r="AU45" s="34">
        <f>IF(OR(AT45="",AD45=""),"",AD45+ROW()/1000000000)</f>
        <v/>
      </c>
    </row>
    <row r="46">
      <c r="W46">
        <f>IF(AND(A46="",D46=""),"",IF(ISNUMBER(SEARCH("##END",AH46)),"（終わりの印）",IF(ISNUMBER(SEARCH("##続き",AH46)),"（続きありの印）",IF(AH46="調査ID","（見出し行）",IF(AND(AH46&lt;&gt;"R1",AH46&lt;&gt;"R2"),"×表以外の行（集計されない）",IF(COUNTIF($AI$5:AI46,AI46)&gt;1,"△重複（集計されない）",IF(D46="","△タスク名なし",IF(ISNA(MATCH(AK46,'M1_類型マスタ'!$A$5:$A$19,0)),"△類型が不正",IF(OR(AM46="",AN46=""),"△回数・分が読めない",IF(SUMPRODUCT(--ISNUMBER(--O46:U46))&lt;7,"△採点が足りない",IF(SUMPRODUCT((--O46:U46&gt;2)+(--O46:U46&lt;0))&gt;0,"△採点が範囲外","OK")))))))))))</f>
        <v/>
      </c>
      <c r="X46">
        <f>IF(W46&lt;&gt;"OK","",TRIM(IF(AND(AO46&lt;&gt;"",N(AO46)&lt;=1),"根拠1件 ","")&amp;IF(AP46&lt;&gt;"","同名あり ","")&amp;IF(AND(NOT(ISNUMBER(I46)),I46&lt;&gt;""),"回数を換算 ","")))</f>
        <v/>
      </c>
      <c r="Y46" s="31" t="n"/>
      <c r="Z46" s="32" t="n"/>
      <c r="AA46" s="32" t="n"/>
      <c r="AB46" s="31" t="n"/>
      <c r="AC46">
        <f>IF(W46&lt;&gt;"OK","",IF(AB46&lt;&gt;"",AB46,AE46))</f>
        <v/>
      </c>
      <c r="AD46" s="33">
        <f>IF(W46&lt;&gt;"OK","",IFERROR(IF(Z46&lt;&gt;"",Z46,AM46)*IF(AA46&lt;&gt;"",AA46,AN46)/60,""))</f>
        <v/>
      </c>
      <c r="AE46">
        <f>IF(W46&lt;&gt;"OK","",IF(OR(VALUE(O46)=2,VALUE(P46)=2,VALUE(Q46)=2),"社内残置",IF(AND(VALUE(O46)=0,VALUE(R46)=0,VALUE(T46)=0),"自動化候補",IF(AND(VALUE(P46)=0,VALUE(R46)&lt;=1,VALUE(S46)&lt;=1,VALUE(T46)&lt;=1,VALUE(U46)&lt;=1),"オフショア候補",IF(AND(VALUE(T46)&lt;=1,VALUE(U46)&lt;=1),"ニアショア候補","社内で手順化→再評価")))))</f>
        <v/>
      </c>
      <c r="AF46">
        <f>IF(W46&lt;&gt;"OK","",14-SUMPRODUCT(--O46:U46))</f>
        <v/>
      </c>
      <c r="AG46" s="33">
        <f>IF(W46&lt;&gt;"OK","",AM46*AN46/60)</f>
        <v/>
      </c>
      <c r="AH46" s="34">
        <f>IF(A46="","",UPPER(TRIM(ASC(A46&amp;""))))</f>
        <v/>
      </c>
      <c r="AI46" s="34">
        <f>IF(AH46="","",AH46&amp;"-"&amp;B46)</f>
        <v/>
      </c>
      <c r="AJ46" s="34">
        <f>IF(C46="","",IFERROR(VALUE(ASC(SUBSTITUTE(C46&amp;"","観点",""))),""))</f>
        <v/>
      </c>
      <c r="AK46" s="34">
        <f>IF(E46="","",UPPER(LEFT(TRIM(ASC(E46&amp;"")),3)))</f>
        <v/>
      </c>
      <c r="AL46" s="34">
        <f>IF(I46="","",IFERROR(VALUE(SUBSTITUTE(SUBSTITUTE(SUBSTITUTE(SUBSTITUTE(SUBSTITUTE(SUBSTITUTE(SUBSTITUTE(SUBSTITUTE(SUBSTITUTE(SUBSTITUTE(SUBSTITUTE(SUBSTITUTE(ASC(I46&amp;""),"約",""),"程度",""),"ほど",""),"回",""),"毎",""),"週",""),"月",""),"年",""),"日",""),"に",""),"/","")," ","")),""))</f>
        <v/>
      </c>
      <c r="AM46" s="34">
        <f>IF(I46="","",IF(ISNUMBER(I46),I46,IFERROR(VALUE(ASC(I46&amp;"")),IF(AL46&lt;&gt;"",AL46*IF(ISNUMBER(SEARCH("週",I46)),4.3,IF(ISNUMBER(SEARCH("年",I46)),1/12,IF(ISNUMBER(SEARCH("日",I46)),20,1))),IF(ISNUMBER(SEARCH("日",I46)),20,IF(ISNUMBER(SEARCH("週",I46)),4.3,IF(ISNUMBER(SEARCH("月",I46)),1,"")))))))</f>
        <v/>
      </c>
      <c r="AN46" s="34">
        <f>IF(J46="","",IF(ISNUMBER(J46),J46,IFERROR(VALUE(ASC(J46&amp;"")),IF(ISNUMBER(SEARCH("時間",J46)),IFERROR(VALUE(SUBSTITUTE(SUBSTITUTE(SUBSTITUTE(SUBSTITUTE(SUBSTITUTE(ASC(J46&amp;""),"約",""),"程度",""),"ほど",""),"時間","")," ",""))*60,""),IFERROR(VALUE(SUBSTITUTE(SUBSTITUTE(SUBSTITUTE(SUBSTITUTE(SUBSTITUTE(ASC(J46&amp;""),"約",""),"程度",""),"ほど",""),"分","")," ","")),"")))))</f>
        <v/>
      </c>
      <c r="AO46" s="34">
        <f>IF(K46="","",IF(ISNUMBER(K46),K46,IFERROR(VALUE(SUBSTITUTE(SUBSTITUTE(SUBSTITUTE(ASC(K46&amp;""),"約",""),"件","")," ","")),"")))</f>
        <v/>
      </c>
      <c r="AP46" s="34">
        <f>IF(W46&lt;&gt;"OK","",IF(COUNTIFS($D$5:$D$404,D46,$W$5:$W$404,"OK")&gt;1,"同名あり",""))</f>
        <v/>
      </c>
      <c r="AQ46" s="35">
        <f>IF(L46="","",IF(ISNUMBER(L46),L46,IFERROR(DATEVALUE(SUBSTITUTE(SUBSTITUTE(ASC(L46&amp;""),"-","/"),".","/")&amp;"/01"),"")))</f>
        <v/>
      </c>
      <c r="AR46" s="35">
        <f>IF(M46="","",IF(ISNUMBER(M46),M46,IFERROR(DATEVALUE(SUBSTITUTE(SUBSTITUTE(ASC(M46&amp;""),"-","/"),".","/")&amp;"/01"),"")))</f>
        <v/>
      </c>
      <c r="AS46" s="34">
        <f>IF(OR(W46&lt;&gt;"OK",AQ46=""),"",IF(AQ46&gt;='01_設定'!$C$26,1,0))</f>
        <v/>
      </c>
      <c r="AT46" s="34">
        <f>IF(AND(W46="OK",Y46&lt;&gt;"除外"),COUNTIFS($W$5:W46,"OK",$Y$5:Y46,"&lt;&gt;除外"),"")</f>
        <v/>
      </c>
      <c r="AU46" s="34">
        <f>IF(OR(AT46="",AD46=""),"",AD46+ROW()/1000000000)</f>
        <v/>
      </c>
    </row>
    <row r="47">
      <c r="W47">
        <f>IF(AND(A47="",D47=""),"",IF(ISNUMBER(SEARCH("##END",AH47)),"（終わりの印）",IF(ISNUMBER(SEARCH("##続き",AH47)),"（続きありの印）",IF(AH47="調査ID","（見出し行）",IF(AND(AH47&lt;&gt;"R1",AH47&lt;&gt;"R2"),"×表以外の行（集計されない）",IF(COUNTIF($AI$5:AI47,AI47)&gt;1,"△重複（集計されない）",IF(D47="","△タスク名なし",IF(ISNA(MATCH(AK47,'M1_類型マスタ'!$A$5:$A$19,0)),"△類型が不正",IF(OR(AM47="",AN47=""),"△回数・分が読めない",IF(SUMPRODUCT(--ISNUMBER(--O47:U47))&lt;7,"△採点が足りない",IF(SUMPRODUCT((--O47:U47&gt;2)+(--O47:U47&lt;0))&gt;0,"△採点が範囲外","OK")))))))))))</f>
        <v/>
      </c>
      <c r="X47">
        <f>IF(W47&lt;&gt;"OK","",TRIM(IF(AND(AO47&lt;&gt;"",N(AO47)&lt;=1),"根拠1件 ","")&amp;IF(AP47&lt;&gt;"","同名あり ","")&amp;IF(AND(NOT(ISNUMBER(I47)),I47&lt;&gt;""),"回数を換算 ","")))</f>
        <v/>
      </c>
      <c r="Y47" s="31" t="n"/>
      <c r="Z47" s="32" t="n"/>
      <c r="AA47" s="32" t="n"/>
      <c r="AB47" s="31" t="n"/>
      <c r="AC47">
        <f>IF(W47&lt;&gt;"OK","",IF(AB47&lt;&gt;"",AB47,AE47))</f>
        <v/>
      </c>
      <c r="AD47" s="33">
        <f>IF(W47&lt;&gt;"OK","",IFERROR(IF(Z47&lt;&gt;"",Z47,AM47)*IF(AA47&lt;&gt;"",AA47,AN47)/60,""))</f>
        <v/>
      </c>
      <c r="AE47">
        <f>IF(W47&lt;&gt;"OK","",IF(OR(VALUE(O47)=2,VALUE(P47)=2,VALUE(Q47)=2),"社内残置",IF(AND(VALUE(O47)=0,VALUE(R47)=0,VALUE(T47)=0),"自動化候補",IF(AND(VALUE(P47)=0,VALUE(R47)&lt;=1,VALUE(S47)&lt;=1,VALUE(T47)&lt;=1,VALUE(U47)&lt;=1),"オフショア候補",IF(AND(VALUE(T47)&lt;=1,VALUE(U47)&lt;=1),"ニアショア候補","社内で手順化→再評価")))))</f>
        <v/>
      </c>
      <c r="AF47">
        <f>IF(W47&lt;&gt;"OK","",14-SUMPRODUCT(--O47:U47))</f>
        <v/>
      </c>
      <c r="AG47" s="33">
        <f>IF(W47&lt;&gt;"OK","",AM47*AN47/60)</f>
        <v/>
      </c>
      <c r="AH47" s="34">
        <f>IF(A47="","",UPPER(TRIM(ASC(A47&amp;""))))</f>
        <v/>
      </c>
      <c r="AI47" s="34">
        <f>IF(AH47="","",AH47&amp;"-"&amp;B47)</f>
        <v/>
      </c>
      <c r="AJ47" s="34">
        <f>IF(C47="","",IFERROR(VALUE(ASC(SUBSTITUTE(C47&amp;"","観点",""))),""))</f>
        <v/>
      </c>
      <c r="AK47" s="34">
        <f>IF(E47="","",UPPER(LEFT(TRIM(ASC(E47&amp;"")),3)))</f>
        <v/>
      </c>
      <c r="AL47" s="34">
        <f>IF(I47="","",IFERROR(VALUE(SUBSTITUTE(SUBSTITUTE(SUBSTITUTE(SUBSTITUTE(SUBSTITUTE(SUBSTITUTE(SUBSTITUTE(SUBSTITUTE(SUBSTITUTE(SUBSTITUTE(SUBSTITUTE(SUBSTITUTE(ASC(I47&amp;""),"約",""),"程度",""),"ほど",""),"回",""),"毎",""),"週",""),"月",""),"年",""),"日",""),"に",""),"/","")," ","")),""))</f>
        <v/>
      </c>
      <c r="AM47" s="34">
        <f>IF(I47="","",IF(ISNUMBER(I47),I47,IFERROR(VALUE(ASC(I47&amp;"")),IF(AL47&lt;&gt;"",AL47*IF(ISNUMBER(SEARCH("週",I47)),4.3,IF(ISNUMBER(SEARCH("年",I47)),1/12,IF(ISNUMBER(SEARCH("日",I47)),20,1))),IF(ISNUMBER(SEARCH("日",I47)),20,IF(ISNUMBER(SEARCH("週",I47)),4.3,IF(ISNUMBER(SEARCH("月",I47)),1,"")))))))</f>
        <v/>
      </c>
      <c r="AN47" s="34">
        <f>IF(J47="","",IF(ISNUMBER(J47),J47,IFERROR(VALUE(ASC(J47&amp;"")),IF(ISNUMBER(SEARCH("時間",J47)),IFERROR(VALUE(SUBSTITUTE(SUBSTITUTE(SUBSTITUTE(SUBSTITUTE(SUBSTITUTE(ASC(J47&amp;""),"約",""),"程度",""),"ほど",""),"時間","")," ",""))*60,""),IFERROR(VALUE(SUBSTITUTE(SUBSTITUTE(SUBSTITUTE(SUBSTITUTE(SUBSTITUTE(ASC(J47&amp;""),"約",""),"程度",""),"ほど",""),"分","")," ","")),"")))))</f>
        <v/>
      </c>
      <c r="AO47" s="34">
        <f>IF(K47="","",IF(ISNUMBER(K47),K47,IFERROR(VALUE(SUBSTITUTE(SUBSTITUTE(SUBSTITUTE(ASC(K47&amp;""),"約",""),"件","")," ","")),"")))</f>
        <v/>
      </c>
      <c r="AP47" s="34">
        <f>IF(W47&lt;&gt;"OK","",IF(COUNTIFS($D$5:$D$404,D47,$W$5:$W$404,"OK")&gt;1,"同名あり",""))</f>
        <v/>
      </c>
      <c r="AQ47" s="35">
        <f>IF(L47="","",IF(ISNUMBER(L47),L47,IFERROR(DATEVALUE(SUBSTITUTE(SUBSTITUTE(ASC(L47&amp;""),"-","/"),".","/")&amp;"/01"),"")))</f>
        <v/>
      </c>
      <c r="AR47" s="35">
        <f>IF(M47="","",IF(ISNUMBER(M47),M47,IFERROR(DATEVALUE(SUBSTITUTE(SUBSTITUTE(ASC(M47&amp;""),"-","/"),".","/")&amp;"/01"),"")))</f>
        <v/>
      </c>
      <c r="AS47" s="34">
        <f>IF(OR(W47&lt;&gt;"OK",AQ47=""),"",IF(AQ47&gt;='01_設定'!$C$26,1,0))</f>
        <v/>
      </c>
      <c r="AT47" s="34">
        <f>IF(AND(W47="OK",Y47&lt;&gt;"除外"),COUNTIFS($W$5:W47,"OK",$Y$5:Y47,"&lt;&gt;除外"),"")</f>
        <v/>
      </c>
      <c r="AU47" s="34">
        <f>IF(OR(AT47="",AD47=""),"",AD47+ROW()/1000000000)</f>
        <v/>
      </c>
    </row>
    <row r="48">
      <c r="W48">
        <f>IF(AND(A48="",D48=""),"",IF(ISNUMBER(SEARCH("##END",AH48)),"（終わりの印）",IF(ISNUMBER(SEARCH("##続き",AH48)),"（続きありの印）",IF(AH48="調査ID","（見出し行）",IF(AND(AH48&lt;&gt;"R1",AH48&lt;&gt;"R2"),"×表以外の行（集計されない）",IF(COUNTIF($AI$5:AI48,AI48)&gt;1,"△重複（集計されない）",IF(D48="","△タスク名なし",IF(ISNA(MATCH(AK48,'M1_類型マスタ'!$A$5:$A$19,0)),"△類型が不正",IF(OR(AM48="",AN48=""),"△回数・分が読めない",IF(SUMPRODUCT(--ISNUMBER(--O48:U48))&lt;7,"△採点が足りない",IF(SUMPRODUCT((--O48:U48&gt;2)+(--O48:U48&lt;0))&gt;0,"△採点が範囲外","OK")))))))))))</f>
        <v/>
      </c>
      <c r="X48">
        <f>IF(W48&lt;&gt;"OK","",TRIM(IF(AND(AO48&lt;&gt;"",N(AO48)&lt;=1),"根拠1件 ","")&amp;IF(AP48&lt;&gt;"","同名あり ","")&amp;IF(AND(NOT(ISNUMBER(I48)),I48&lt;&gt;""),"回数を換算 ","")))</f>
        <v/>
      </c>
      <c r="Y48" s="31" t="n"/>
      <c r="Z48" s="32" t="n"/>
      <c r="AA48" s="32" t="n"/>
      <c r="AB48" s="31" t="n"/>
      <c r="AC48">
        <f>IF(W48&lt;&gt;"OK","",IF(AB48&lt;&gt;"",AB48,AE48))</f>
        <v/>
      </c>
      <c r="AD48" s="33">
        <f>IF(W48&lt;&gt;"OK","",IFERROR(IF(Z48&lt;&gt;"",Z48,AM48)*IF(AA48&lt;&gt;"",AA48,AN48)/60,""))</f>
        <v/>
      </c>
      <c r="AE48">
        <f>IF(W48&lt;&gt;"OK","",IF(OR(VALUE(O48)=2,VALUE(P48)=2,VALUE(Q48)=2),"社内残置",IF(AND(VALUE(O48)=0,VALUE(R48)=0,VALUE(T48)=0),"自動化候補",IF(AND(VALUE(P48)=0,VALUE(R48)&lt;=1,VALUE(S48)&lt;=1,VALUE(T48)&lt;=1,VALUE(U48)&lt;=1),"オフショア候補",IF(AND(VALUE(T48)&lt;=1,VALUE(U48)&lt;=1),"ニアショア候補","社内で手順化→再評価")))))</f>
        <v/>
      </c>
      <c r="AF48">
        <f>IF(W48&lt;&gt;"OK","",14-SUMPRODUCT(--O48:U48))</f>
        <v/>
      </c>
      <c r="AG48" s="33">
        <f>IF(W48&lt;&gt;"OK","",AM48*AN48/60)</f>
        <v/>
      </c>
      <c r="AH48" s="34">
        <f>IF(A48="","",UPPER(TRIM(ASC(A48&amp;""))))</f>
        <v/>
      </c>
      <c r="AI48" s="34">
        <f>IF(AH48="","",AH48&amp;"-"&amp;B48)</f>
        <v/>
      </c>
      <c r="AJ48" s="34">
        <f>IF(C48="","",IFERROR(VALUE(ASC(SUBSTITUTE(C48&amp;"","観点",""))),""))</f>
        <v/>
      </c>
      <c r="AK48" s="34">
        <f>IF(E48="","",UPPER(LEFT(TRIM(ASC(E48&amp;"")),3)))</f>
        <v/>
      </c>
      <c r="AL48" s="34">
        <f>IF(I48="","",IFERROR(VALUE(SUBSTITUTE(SUBSTITUTE(SUBSTITUTE(SUBSTITUTE(SUBSTITUTE(SUBSTITUTE(SUBSTITUTE(SUBSTITUTE(SUBSTITUTE(SUBSTITUTE(SUBSTITUTE(SUBSTITUTE(ASC(I48&amp;""),"約",""),"程度",""),"ほど",""),"回",""),"毎",""),"週",""),"月",""),"年",""),"日",""),"に",""),"/","")," ","")),""))</f>
        <v/>
      </c>
      <c r="AM48" s="34">
        <f>IF(I48="","",IF(ISNUMBER(I48),I48,IFERROR(VALUE(ASC(I48&amp;"")),IF(AL48&lt;&gt;"",AL48*IF(ISNUMBER(SEARCH("週",I48)),4.3,IF(ISNUMBER(SEARCH("年",I48)),1/12,IF(ISNUMBER(SEARCH("日",I48)),20,1))),IF(ISNUMBER(SEARCH("日",I48)),20,IF(ISNUMBER(SEARCH("週",I48)),4.3,IF(ISNUMBER(SEARCH("月",I48)),1,"")))))))</f>
        <v/>
      </c>
      <c r="AN48" s="34">
        <f>IF(J48="","",IF(ISNUMBER(J48),J48,IFERROR(VALUE(ASC(J48&amp;"")),IF(ISNUMBER(SEARCH("時間",J48)),IFERROR(VALUE(SUBSTITUTE(SUBSTITUTE(SUBSTITUTE(SUBSTITUTE(SUBSTITUTE(ASC(J48&amp;""),"約",""),"程度",""),"ほど",""),"時間","")," ",""))*60,""),IFERROR(VALUE(SUBSTITUTE(SUBSTITUTE(SUBSTITUTE(SUBSTITUTE(SUBSTITUTE(ASC(J48&amp;""),"約",""),"程度",""),"ほど",""),"分","")," ","")),"")))))</f>
        <v/>
      </c>
      <c r="AO48" s="34">
        <f>IF(K48="","",IF(ISNUMBER(K48),K48,IFERROR(VALUE(SUBSTITUTE(SUBSTITUTE(SUBSTITUTE(ASC(K48&amp;""),"約",""),"件","")," ","")),"")))</f>
        <v/>
      </c>
      <c r="AP48" s="34">
        <f>IF(W48&lt;&gt;"OK","",IF(COUNTIFS($D$5:$D$404,D48,$W$5:$W$404,"OK")&gt;1,"同名あり",""))</f>
        <v/>
      </c>
      <c r="AQ48" s="35">
        <f>IF(L48="","",IF(ISNUMBER(L48),L48,IFERROR(DATEVALUE(SUBSTITUTE(SUBSTITUTE(ASC(L48&amp;""),"-","/"),".","/")&amp;"/01"),"")))</f>
        <v/>
      </c>
      <c r="AR48" s="35">
        <f>IF(M48="","",IF(ISNUMBER(M48),M48,IFERROR(DATEVALUE(SUBSTITUTE(SUBSTITUTE(ASC(M48&amp;""),"-","/"),".","/")&amp;"/01"),"")))</f>
        <v/>
      </c>
      <c r="AS48" s="34">
        <f>IF(OR(W48&lt;&gt;"OK",AQ48=""),"",IF(AQ48&gt;='01_設定'!$C$26,1,0))</f>
        <v/>
      </c>
      <c r="AT48" s="34">
        <f>IF(AND(W48="OK",Y48&lt;&gt;"除外"),COUNTIFS($W$5:W48,"OK",$Y$5:Y48,"&lt;&gt;除外"),"")</f>
        <v/>
      </c>
      <c r="AU48" s="34">
        <f>IF(OR(AT48="",AD48=""),"",AD48+ROW()/1000000000)</f>
        <v/>
      </c>
    </row>
    <row r="49">
      <c r="W49">
        <f>IF(AND(A49="",D49=""),"",IF(ISNUMBER(SEARCH("##END",AH49)),"（終わりの印）",IF(ISNUMBER(SEARCH("##続き",AH49)),"（続きありの印）",IF(AH49="調査ID","（見出し行）",IF(AND(AH49&lt;&gt;"R1",AH49&lt;&gt;"R2"),"×表以外の行（集計されない）",IF(COUNTIF($AI$5:AI49,AI49)&gt;1,"△重複（集計されない）",IF(D49="","△タスク名なし",IF(ISNA(MATCH(AK49,'M1_類型マスタ'!$A$5:$A$19,0)),"△類型が不正",IF(OR(AM49="",AN49=""),"△回数・分が読めない",IF(SUMPRODUCT(--ISNUMBER(--O49:U49))&lt;7,"△採点が足りない",IF(SUMPRODUCT((--O49:U49&gt;2)+(--O49:U49&lt;0))&gt;0,"△採点が範囲外","OK")))))))))))</f>
        <v/>
      </c>
      <c r="X49">
        <f>IF(W49&lt;&gt;"OK","",TRIM(IF(AND(AO49&lt;&gt;"",N(AO49)&lt;=1),"根拠1件 ","")&amp;IF(AP49&lt;&gt;"","同名あり ","")&amp;IF(AND(NOT(ISNUMBER(I49)),I49&lt;&gt;""),"回数を換算 ","")))</f>
        <v/>
      </c>
      <c r="Y49" s="31" t="n"/>
      <c r="Z49" s="32" t="n"/>
      <c r="AA49" s="32" t="n"/>
      <c r="AB49" s="31" t="n"/>
      <c r="AC49">
        <f>IF(W49&lt;&gt;"OK","",IF(AB49&lt;&gt;"",AB49,AE49))</f>
        <v/>
      </c>
      <c r="AD49" s="33">
        <f>IF(W49&lt;&gt;"OK","",IFERROR(IF(Z49&lt;&gt;"",Z49,AM49)*IF(AA49&lt;&gt;"",AA49,AN49)/60,""))</f>
        <v/>
      </c>
      <c r="AE49">
        <f>IF(W49&lt;&gt;"OK","",IF(OR(VALUE(O49)=2,VALUE(P49)=2,VALUE(Q49)=2),"社内残置",IF(AND(VALUE(O49)=0,VALUE(R49)=0,VALUE(T49)=0),"自動化候補",IF(AND(VALUE(P49)=0,VALUE(R49)&lt;=1,VALUE(S49)&lt;=1,VALUE(T49)&lt;=1,VALUE(U49)&lt;=1),"オフショア候補",IF(AND(VALUE(T49)&lt;=1,VALUE(U49)&lt;=1),"ニアショア候補","社内で手順化→再評価")))))</f>
        <v/>
      </c>
      <c r="AF49">
        <f>IF(W49&lt;&gt;"OK","",14-SUMPRODUCT(--O49:U49))</f>
        <v/>
      </c>
      <c r="AG49" s="33">
        <f>IF(W49&lt;&gt;"OK","",AM49*AN49/60)</f>
        <v/>
      </c>
      <c r="AH49" s="34">
        <f>IF(A49="","",UPPER(TRIM(ASC(A49&amp;""))))</f>
        <v/>
      </c>
      <c r="AI49" s="34">
        <f>IF(AH49="","",AH49&amp;"-"&amp;B49)</f>
        <v/>
      </c>
      <c r="AJ49" s="34">
        <f>IF(C49="","",IFERROR(VALUE(ASC(SUBSTITUTE(C49&amp;"","観点",""))),""))</f>
        <v/>
      </c>
      <c r="AK49" s="34">
        <f>IF(E49="","",UPPER(LEFT(TRIM(ASC(E49&amp;"")),3)))</f>
        <v/>
      </c>
      <c r="AL49" s="34">
        <f>IF(I49="","",IFERROR(VALUE(SUBSTITUTE(SUBSTITUTE(SUBSTITUTE(SUBSTITUTE(SUBSTITUTE(SUBSTITUTE(SUBSTITUTE(SUBSTITUTE(SUBSTITUTE(SUBSTITUTE(SUBSTITUTE(SUBSTITUTE(ASC(I49&amp;""),"約",""),"程度",""),"ほど",""),"回",""),"毎",""),"週",""),"月",""),"年",""),"日",""),"に",""),"/","")," ","")),""))</f>
        <v/>
      </c>
      <c r="AM49" s="34">
        <f>IF(I49="","",IF(ISNUMBER(I49),I49,IFERROR(VALUE(ASC(I49&amp;"")),IF(AL49&lt;&gt;"",AL49*IF(ISNUMBER(SEARCH("週",I49)),4.3,IF(ISNUMBER(SEARCH("年",I49)),1/12,IF(ISNUMBER(SEARCH("日",I49)),20,1))),IF(ISNUMBER(SEARCH("日",I49)),20,IF(ISNUMBER(SEARCH("週",I49)),4.3,IF(ISNUMBER(SEARCH("月",I49)),1,"")))))))</f>
        <v/>
      </c>
      <c r="AN49" s="34">
        <f>IF(J49="","",IF(ISNUMBER(J49),J49,IFERROR(VALUE(ASC(J49&amp;"")),IF(ISNUMBER(SEARCH("時間",J49)),IFERROR(VALUE(SUBSTITUTE(SUBSTITUTE(SUBSTITUTE(SUBSTITUTE(SUBSTITUTE(ASC(J49&amp;""),"約",""),"程度",""),"ほど",""),"時間","")," ",""))*60,""),IFERROR(VALUE(SUBSTITUTE(SUBSTITUTE(SUBSTITUTE(SUBSTITUTE(SUBSTITUTE(ASC(J49&amp;""),"約",""),"程度",""),"ほど",""),"分","")," ","")),"")))))</f>
        <v/>
      </c>
      <c r="AO49" s="34">
        <f>IF(K49="","",IF(ISNUMBER(K49),K49,IFERROR(VALUE(SUBSTITUTE(SUBSTITUTE(SUBSTITUTE(ASC(K49&amp;""),"約",""),"件","")," ","")),"")))</f>
        <v/>
      </c>
      <c r="AP49" s="34">
        <f>IF(W49&lt;&gt;"OK","",IF(COUNTIFS($D$5:$D$404,D49,$W$5:$W$404,"OK")&gt;1,"同名あり",""))</f>
        <v/>
      </c>
      <c r="AQ49" s="35">
        <f>IF(L49="","",IF(ISNUMBER(L49),L49,IFERROR(DATEVALUE(SUBSTITUTE(SUBSTITUTE(ASC(L49&amp;""),"-","/"),".","/")&amp;"/01"),"")))</f>
        <v/>
      </c>
      <c r="AR49" s="35">
        <f>IF(M49="","",IF(ISNUMBER(M49),M49,IFERROR(DATEVALUE(SUBSTITUTE(SUBSTITUTE(ASC(M49&amp;""),"-","/"),".","/")&amp;"/01"),"")))</f>
        <v/>
      </c>
      <c r="AS49" s="34">
        <f>IF(OR(W49&lt;&gt;"OK",AQ49=""),"",IF(AQ49&gt;='01_設定'!$C$26,1,0))</f>
        <v/>
      </c>
      <c r="AT49" s="34">
        <f>IF(AND(W49="OK",Y49&lt;&gt;"除外"),COUNTIFS($W$5:W49,"OK",$Y$5:Y49,"&lt;&gt;除外"),"")</f>
        <v/>
      </c>
      <c r="AU49" s="34">
        <f>IF(OR(AT49="",AD49=""),"",AD49+ROW()/1000000000)</f>
        <v/>
      </c>
    </row>
    <row r="50">
      <c r="W50">
        <f>IF(AND(A50="",D50=""),"",IF(ISNUMBER(SEARCH("##END",AH50)),"（終わりの印）",IF(ISNUMBER(SEARCH("##続き",AH50)),"（続きありの印）",IF(AH50="調査ID","（見出し行）",IF(AND(AH50&lt;&gt;"R1",AH50&lt;&gt;"R2"),"×表以外の行（集計されない）",IF(COUNTIF($AI$5:AI50,AI50)&gt;1,"△重複（集計されない）",IF(D50="","△タスク名なし",IF(ISNA(MATCH(AK50,'M1_類型マスタ'!$A$5:$A$19,0)),"△類型が不正",IF(OR(AM50="",AN50=""),"△回数・分が読めない",IF(SUMPRODUCT(--ISNUMBER(--O50:U50))&lt;7,"△採点が足りない",IF(SUMPRODUCT((--O50:U50&gt;2)+(--O50:U50&lt;0))&gt;0,"△採点が範囲外","OK")))))))))))</f>
        <v/>
      </c>
      <c r="X50">
        <f>IF(W50&lt;&gt;"OK","",TRIM(IF(AND(AO50&lt;&gt;"",N(AO50)&lt;=1),"根拠1件 ","")&amp;IF(AP50&lt;&gt;"","同名あり ","")&amp;IF(AND(NOT(ISNUMBER(I50)),I50&lt;&gt;""),"回数を換算 ","")))</f>
        <v/>
      </c>
      <c r="Y50" s="31" t="n"/>
      <c r="Z50" s="32" t="n"/>
      <c r="AA50" s="32" t="n"/>
      <c r="AB50" s="31" t="n"/>
      <c r="AC50">
        <f>IF(W50&lt;&gt;"OK","",IF(AB50&lt;&gt;"",AB50,AE50))</f>
        <v/>
      </c>
      <c r="AD50" s="33">
        <f>IF(W50&lt;&gt;"OK","",IFERROR(IF(Z50&lt;&gt;"",Z50,AM50)*IF(AA50&lt;&gt;"",AA50,AN50)/60,""))</f>
        <v/>
      </c>
      <c r="AE50">
        <f>IF(W50&lt;&gt;"OK","",IF(OR(VALUE(O50)=2,VALUE(P50)=2,VALUE(Q50)=2),"社内残置",IF(AND(VALUE(O50)=0,VALUE(R50)=0,VALUE(T50)=0),"自動化候補",IF(AND(VALUE(P50)=0,VALUE(R50)&lt;=1,VALUE(S50)&lt;=1,VALUE(T50)&lt;=1,VALUE(U50)&lt;=1),"オフショア候補",IF(AND(VALUE(T50)&lt;=1,VALUE(U50)&lt;=1),"ニアショア候補","社内で手順化→再評価")))))</f>
        <v/>
      </c>
      <c r="AF50">
        <f>IF(W50&lt;&gt;"OK","",14-SUMPRODUCT(--O50:U50))</f>
        <v/>
      </c>
      <c r="AG50" s="33">
        <f>IF(W50&lt;&gt;"OK","",AM50*AN50/60)</f>
        <v/>
      </c>
      <c r="AH50" s="34">
        <f>IF(A50="","",UPPER(TRIM(ASC(A50&amp;""))))</f>
        <v/>
      </c>
      <c r="AI50" s="34">
        <f>IF(AH50="","",AH50&amp;"-"&amp;B50)</f>
        <v/>
      </c>
      <c r="AJ50" s="34">
        <f>IF(C50="","",IFERROR(VALUE(ASC(SUBSTITUTE(C50&amp;"","観点",""))),""))</f>
        <v/>
      </c>
      <c r="AK50" s="34">
        <f>IF(E50="","",UPPER(LEFT(TRIM(ASC(E50&amp;"")),3)))</f>
        <v/>
      </c>
      <c r="AL50" s="34">
        <f>IF(I50="","",IFERROR(VALUE(SUBSTITUTE(SUBSTITUTE(SUBSTITUTE(SUBSTITUTE(SUBSTITUTE(SUBSTITUTE(SUBSTITUTE(SUBSTITUTE(SUBSTITUTE(SUBSTITUTE(SUBSTITUTE(SUBSTITUTE(ASC(I50&amp;""),"約",""),"程度",""),"ほど",""),"回",""),"毎",""),"週",""),"月",""),"年",""),"日",""),"に",""),"/","")," ","")),""))</f>
        <v/>
      </c>
      <c r="AM50" s="34">
        <f>IF(I50="","",IF(ISNUMBER(I50),I50,IFERROR(VALUE(ASC(I50&amp;"")),IF(AL50&lt;&gt;"",AL50*IF(ISNUMBER(SEARCH("週",I50)),4.3,IF(ISNUMBER(SEARCH("年",I50)),1/12,IF(ISNUMBER(SEARCH("日",I50)),20,1))),IF(ISNUMBER(SEARCH("日",I50)),20,IF(ISNUMBER(SEARCH("週",I50)),4.3,IF(ISNUMBER(SEARCH("月",I50)),1,"")))))))</f>
        <v/>
      </c>
      <c r="AN50" s="34">
        <f>IF(J50="","",IF(ISNUMBER(J50),J50,IFERROR(VALUE(ASC(J50&amp;"")),IF(ISNUMBER(SEARCH("時間",J50)),IFERROR(VALUE(SUBSTITUTE(SUBSTITUTE(SUBSTITUTE(SUBSTITUTE(SUBSTITUTE(ASC(J50&amp;""),"約",""),"程度",""),"ほど",""),"時間","")," ",""))*60,""),IFERROR(VALUE(SUBSTITUTE(SUBSTITUTE(SUBSTITUTE(SUBSTITUTE(SUBSTITUTE(ASC(J50&amp;""),"約",""),"程度",""),"ほど",""),"分","")," ","")),"")))))</f>
        <v/>
      </c>
      <c r="AO50" s="34">
        <f>IF(K50="","",IF(ISNUMBER(K50),K50,IFERROR(VALUE(SUBSTITUTE(SUBSTITUTE(SUBSTITUTE(ASC(K50&amp;""),"約",""),"件","")," ","")),"")))</f>
        <v/>
      </c>
      <c r="AP50" s="34">
        <f>IF(W50&lt;&gt;"OK","",IF(COUNTIFS($D$5:$D$404,D50,$W$5:$W$404,"OK")&gt;1,"同名あり",""))</f>
        <v/>
      </c>
      <c r="AQ50" s="35">
        <f>IF(L50="","",IF(ISNUMBER(L50),L50,IFERROR(DATEVALUE(SUBSTITUTE(SUBSTITUTE(ASC(L50&amp;""),"-","/"),".","/")&amp;"/01"),"")))</f>
        <v/>
      </c>
      <c r="AR50" s="35">
        <f>IF(M50="","",IF(ISNUMBER(M50),M50,IFERROR(DATEVALUE(SUBSTITUTE(SUBSTITUTE(ASC(M50&amp;""),"-","/"),".","/")&amp;"/01"),"")))</f>
        <v/>
      </c>
      <c r="AS50" s="34">
        <f>IF(OR(W50&lt;&gt;"OK",AQ50=""),"",IF(AQ50&gt;='01_設定'!$C$26,1,0))</f>
        <v/>
      </c>
      <c r="AT50" s="34">
        <f>IF(AND(W50="OK",Y50&lt;&gt;"除外"),COUNTIFS($W$5:W50,"OK",$Y$5:Y50,"&lt;&gt;除外"),"")</f>
        <v/>
      </c>
      <c r="AU50" s="34">
        <f>IF(OR(AT50="",AD50=""),"",AD50+ROW()/1000000000)</f>
        <v/>
      </c>
    </row>
    <row r="51">
      <c r="W51">
        <f>IF(AND(A51="",D51=""),"",IF(ISNUMBER(SEARCH("##END",AH51)),"（終わりの印）",IF(ISNUMBER(SEARCH("##続き",AH51)),"（続きありの印）",IF(AH51="調査ID","（見出し行）",IF(AND(AH51&lt;&gt;"R1",AH51&lt;&gt;"R2"),"×表以外の行（集計されない）",IF(COUNTIF($AI$5:AI51,AI51)&gt;1,"△重複（集計されない）",IF(D51="","△タスク名なし",IF(ISNA(MATCH(AK51,'M1_類型マスタ'!$A$5:$A$19,0)),"△類型が不正",IF(OR(AM51="",AN51=""),"△回数・分が読めない",IF(SUMPRODUCT(--ISNUMBER(--O51:U51))&lt;7,"△採点が足りない",IF(SUMPRODUCT((--O51:U51&gt;2)+(--O51:U51&lt;0))&gt;0,"△採点が範囲外","OK")))))))))))</f>
        <v/>
      </c>
      <c r="X51">
        <f>IF(W51&lt;&gt;"OK","",TRIM(IF(AND(AO51&lt;&gt;"",N(AO51)&lt;=1),"根拠1件 ","")&amp;IF(AP51&lt;&gt;"","同名あり ","")&amp;IF(AND(NOT(ISNUMBER(I51)),I51&lt;&gt;""),"回数を換算 ","")))</f>
        <v/>
      </c>
      <c r="Y51" s="31" t="n"/>
      <c r="Z51" s="32" t="n"/>
      <c r="AA51" s="32" t="n"/>
      <c r="AB51" s="31" t="n"/>
      <c r="AC51">
        <f>IF(W51&lt;&gt;"OK","",IF(AB51&lt;&gt;"",AB51,AE51))</f>
        <v/>
      </c>
      <c r="AD51" s="33">
        <f>IF(W51&lt;&gt;"OK","",IFERROR(IF(Z51&lt;&gt;"",Z51,AM51)*IF(AA51&lt;&gt;"",AA51,AN51)/60,""))</f>
        <v/>
      </c>
      <c r="AE51">
        <f>IF(W51&lt;&gt;"OK","",IF(OR(VALUE(O51)=2,VALUE(P51)=2,VALUE(Q51)=2),"社内残置",IF(AND(VALUE(O51)=0,VALUE(R51)=0,VALUE(T51)=0),"自動化候補",IF(AND(VALUE(P51)=0,VALUE(R51)&lt;=1,VALUE(S51)&lt;=1,VALUE(T51)&lt;=1,VALUE(U51)&lt;=1),"オフショア候補",IF(AND(VALUE(T51)&lt;=1,VALUE(U51)&lt;=1),"ニアショア候補","社内で手順化→再評価")))))</f>
        <v/>
      </c>
      <c r="AF51">
        <f>IF(W51&lt;&gt;"OK","",14-SUMPRODUCT(--O51:U51))</f>
        <v/>
      </c>
      <c r="AG51" s="33">
        <f>IF(W51&lt;&gt;"OK","",AM51*AN51/60)</f>
        <v/>
      </c>
      <c r="AH51" s="34">
        <f>IF(A51="","",UPPER(TRIM(ASC(A51&amp;""))))</f>
        <v/>
      </c>
      <c r="AI51" s="34">
        <f>IF(AH51="","",AH51&amp;"-"&amp;B51)</f>
        <v/>
      </c>
      <c r="AJ51" s="34">
        <f>IF(C51="","",IFERROR(VALUE(ASC(SUBSTITUTE(C51&amp;"","観点",""))),""))</f>
        <v/>
      </c>
      <c r="AK51" s="34">
        <f>IF(E51="","",UPPER(LEFT(TRIM(ASC(E51&amp;"")),3)))</f>
        <v/>
      </c>
      <c r="AL51" s="34">
        <f>IF(I51="","",IFERROR(VALUE(SUBSTITUTE(SUBSTITUTE(SUBSTITUTE(SUBSTITUTE(SUBSTITUTE(SUBSTITUTE(SUBSTITUTE(SUBSTITUTE(SUBSTITUTE(SUBSTITUTE(SUBSTITUTE(SUBSTITUTE(ASC(I51&amp;""),"約",""),"程度",""),"ほど",""),"回",""),"毎",""),"週",""),"月",""),"年",""),"日",""),"に",""),"/","")," ","")),""))</f>
        <v/>
      </c>
      <c r="AM51" s="34">
        <f>IF(I51="","",IF(ISNUMBER(I51),I51,IFERROR(VALUE(ASC(I51&amp;"")),IF(AL51&lt;&gt;"",AL51*IF(ISNUMBER(SEARCH("週",I51)),4.3,IF(ISNUMBER(SEARCH("年",I51)),1/12,IF(ISNUMBER(SEARCH("日",I51)),20,1))),IF(ISNUMBER(SEARCH("日",I51)),20,IF(ISNUMBER(SEARCH("週",I51)),4.3,IF(ISNUMBER(SEARCH("月",I51)),1,"")))))))</f>
        <v/>
      </c>
      <c r="AN51" s="34">
        <f>IF(J51="","",IF(ISNUMBER(J51),J51,IFERROR(VALUE(ASC(J51&amp;"")),IF(ISNUMBER(SEARCH("時間",J51)),IFERROR(VALUE(SUBSTITUTE(SUBSTITUTE(SUBSTITUTE(SUBSTITUTE(SUBSTITUTE(ASC(J51&amp;""),"約",""),"程度",""),"ほど",""),"時間","")," ",""))*60,""),IFERROR(VALUE(SUBSTITUTE(SUBSTITUTE(SUBSTITUTE(SUBSTITUTE(SUBSTITUTE(ASC(J51&amp;""),"約",""),"程度",""),"ほど",""),"分","")," ","")),"")))))</f>
        <v/>
      </c>
      <c r="AO51" s="34">
        <f>IF(K51="","",IF(ISNUMBER(K51),K51,IFERROR(VALUE(SUBSTITUTE(SUBSTITUTE(SUBSTITUTE(ASC(K51&amp;""),"約",""),"件","")," ","")),"")))</f>
        <v/>
      </c>
      <c r="AP51" s="34">
        <f>IF(W51&lt;&gt;"OK","",IF(COUNTIFS($D$5:$D$404,D51,$W$5:$W$404,"OK")&gt;1,"同名あり",""))</f>
        <v/>
      </c>
      <c r="AQ51" s="35">
        <f>IF(L51="","",IF(ISNUMBER(L51),L51,IFERROR(DATEVALUE(SUBSTITUTE(SUBSTITUTE(ASC(L51&amp;""),"-","/"),".","/")&amp;"/01"),"")))</f>
        <v/>
      </c>
      <c r="AR51" s="35">
        <f>IF(M51="","",IF(ISNUMBER(M51),M51,IFERROR(DATEVALUE(SUBSTITUTE(SUBSTITUTE(ASC(M51&amp;""),"-","/"),".","/")&amp;"/01"),"")))</f>
        <v/>
      </c>
      <c r="AS51" s="34">
        <f>IF(OR(W51&lt;&gt;"OK",AQ51=""),"",IF(AQ51&gt;='01_設定'!$C$26,1,0))</f>
        <v/>
      </c>
      <c r="AT51" s="34">
        <f>IF(AND(W51="OK",Y51&lt;&gt;"除外"),COUNTIFS($W$5:W51,"OK",$Y$5:Y51,"&lt;&gt;除外"),"")</f>
        <v/>
      </c>
      <c r="AU51" s="34">
        <f>IF(OR(AT51="",AD51=""),"",AD51+ROW()/1000000000)</f>
        <v/>
      </c>
    </row>
    <row r="52">
      <c r="W52">
        <f>IF(AND(A52="",D52=""),"",IF(ISNUMBER(SEARCH("##END",AH52)),"（終わりの印）",IF(ISNUMBER(SEARCH("##続き",AH52)),"（続きありの印）",IF(AH52="調査ID","（見出し行）",IF(AND(AH52&lt;&gt;"R1",AH52&lt;&gt;"R2"),"×表以外の行（集計されない）",IF(COUNTIF($AI$5:AI52,AI52)&gt;1,"△重複（集計されない）",IF(D52="","△タスク名なし",IF(ISNA(MATCH(AK52,'M1_類型マスタ'!$A$5:$A$19,0)),"△類型が不正",IF(OR(AM52="",AN52=""),"△回数・分が読めない",IF(SUMPRODUCT(--ISNUMBER(--O52:U52))&lt;7,"△採点が足りない",IF(SUMPRODUCT((--O52:U52&gt;2)+(--O52:U52&lt;0))&gt;0,"△採点が範囲外","OK")))))))))))</f>
        <v/>
      </c>
      <c r="X52">
        <f>IF(W52&lt;&gt;"OK","",TRIM(IF(AND(AO52&lt;&gt;"",N(AO52)&lt;=1),"根拠1件 ","")&amp;IF(AP52&lt;&gt;"","同名あり ","")&amp;IF(AND(NOT(ISNUMBER(I52)),I52&lt;&gt;""),"回数を換算 ","")))</f>
        <v/>
      </c>
      <c r="Y52" s="31" t="n"/>
      <c r="Z52" s="32" t="n"/>
      <c r="AA52" s="32" t="n"/>
      <c r="AB52" s="31" t="n"/>
      <c r="AC52">
        <f>IF(W52&lt;&gt;"OK","",IF(AB52&lt;&gt;"",AB52,AE52))</f>
        <v/>
      </c>
      <c r="AD52" s="33">
        <f>IF(W52&lt;&gt;"OK","",IFERROR(IF(Z52&lt;&gt;"",Z52,AM52)*IF(AA52&lt;&gt;"",AA52,AN52)/60,""))</f>
        <v/>
      </c>
      <c r="AE52">
        <f>IF(W52&lt;&gt;"OK","",IF(OR(VALUE(O52)=2,VALUE(P52)=2,VALUE(Q52)=2),"社内残置",IF(AND(VALUE(O52)=0,VALUE(R52)=0,VALUE(T52)=0),"自動化候補",IF(AND(VALUE(P52)=0,VALUE(R52)&lt;=1,VALUE(S52)&lt;=1,VALUE(T52)&lt;=1,VALUE(U52)&lt;=1),"オフショア候補",IF(AND(VALUE(T52)&lt;=1,VALUE(U52)&lt;=1),"ニアショア候補","社内で手順化→再評価")))))</f>
        <v/>
      </c>
      <c r="AF52">
        <f>IF(W52&lt;&gt;"OK","",14-SUMPRODUCT(--O52:U52))</f>
        <v/>
      </c>
      <c r="AG52" s="33">
        <f>IF(W52&lt;&gt;"OK","",AM52*AN52/60)</f>
        <v/>
      </c>
      <c r="AH52" s="34">
        <f>IF(A52="","",UPPER(TRIM(ASC(A52&amp;""))))</f>
        <v/>
      </c>
      <c r="AI52" s="34">
        <f>IF(AH52="","",AH52&amp;"-"&amp;B52)</f>
        <v/>
      </c>
      <c r="AJ52" s="34">
        <f>IF(C52="","",IFERROR(VALUE(ASC(SUBSTITUTE(C52&amp;"","観点",""))),""))</f>
        <v/>
      </c>
      <c r="AK52" s="34">
        <f>IF(E52="","",UPPER(LEFT(TRIM(ASC(E52&amp;"")),3)))</f>
        <v/>
      </c>
      <c r="AL52" s="34">
        <f>IF(I52="","",IFERROR(VALUE(SUBSTITUTE(SUBSTITUTE(SUBSTITUTE(SUBSTITUTE(SUBSTITUTE(SUBSTITUTE(SUBSTITUTE(SUBSTITUTE(SUBSTITUTE(SUBSTITUTE(SUBSTITUTE(SUBSTITUTE(ASC(I52&amp;""),"約",""),"程度",""),"ほど",""),"回",""),"毎",""),"週",""),"月",""),"年",""),"日",""),"に",""),"/","")," ","")),""))</f>
        <v/>
      </c>
      <c r="AM52" s="34">
        <f>IF(I52="","",IF(ISNUMBER(I52),I52,IFERROR(VALUE(ASC(I52&amp;"")),IF(AL52&lt;&gt;"",AL52*IF(ISNUMBER(SEARCH("週",I52)),4.3,IF(ISNUMBER(SEARCH("年",I52)),1/12,IF(ISNUMBER(SEARCH("日",I52)),20,1))),IF(ISNUMBER(SEARCH("日",I52)),20,IF(ISNUMBER(SEARCH("週",I52)),4.3,IF(ISNUMBER(SEARCH("月",I52)),1,"")))))))</f>
        <v/>
      </c>
      <c r="AN52" s="34">
        <f>IF(J52="","",IF(ISNUMBER(J52),J52,IFERROR(VALUE(ASC(J52&amp;"")),IF(ISNUMBER(SEARCH("時間",J52)),IFERROR(VALUE(SUBSTITUTE(SUBSTITUTE(SUBSTITUTE(SUBSTITUTE(SUBSTITUTE(ASC(J52&amp;""),"約",""),"程度",""),"ほど",""),"時間","")," ",""))*60,""),IFERROR(VALUE(SUBSTITUTE(SUBSTITUTE(SUBSTITUTE(SUBSTITUTE(SUBSTITUTE(ASC(J52&amp;""),"約",""),"程度",""),"ほど",""),"分","")," ","")),"")))))</f>
        <v/>
      </c>
      <c r="AO52" s="34">
        <f>IF(K52="","",IF(ISNUMBER(K52),K52,IFERROR(VALUE(SUBSTITUTE(SUBSTITUTE(SUBSTITUTE(ASC(K52&amp;""),"約",""),"件","")," ","")),"")))</f>
        <v/>
      </c>
      <c r="AP52" s="34">
        <f>IF(W52&lt;&gt;"OK","",IF(COUNTIFS($D$5:$D$404,D52,$W$5:$W$404,"OK")&gt;1,"同名あり",""))</f>
        <v/>
      </c>
      <c r="AQ52" s="35">
        <f>IF(L52="","",IF(ISNUMBER(L52),L52,IFERROR(DATEVALUE(SUBSTITUTE(SUBSTITUTE(ASC(L52&amp;""),"-","/"),".","/")&amp;"/01"),"")))</f>
        <v/>
      </c>
      <c r="AR52" s="35">
        <f>IF(M52="","",IF(ISNUMBER(M52),M52,IFERROR(DATEVALUE(SUBSTITUTE(SUBSTITUTE(ASC(M52&amp;""),"-","/"),".","/")&amp;"/01"),"")))</f>
        <v/>
      </c>
      <c r="AS52" s="34">
        <f>IF(OR(W52&lt;&gt;"OK",AQ52=""),"",IF(AQ52&gt;='01_設定'!$C$26,1,0))</f>
        <v/>
      </c>
      <c r="AT52" s="34">
        <f>IF(AND(W52="OK",Y52&lt;&gt;"除外"),COUNTIFS($W$5:W52,"OK",$Y$5:Y52,"&lt;&gt;除外"),"")</f>
        <v/>
      </c>
      <c r="AU52" s="34">
        <f>IF(OR(AT52="",AD52=""),"",AD52+ROW()/1000000000)</f>
        <v/>
      </c>
    </row>
    <row r="53">
      <c r="W53">
        <f>IF(AND(A53="",D53=""),"",IF(ISNUMBER(SEARCH("##END",AH53)),"（終わりの印）",IF(ISNUMBER(SEARCH("##続き",AH53)),"（続きありの印）",IF(AH53="調査ID","（見出し行）",IF(AND(AH53&lt;&gt;"R1",AH53&lt;&gt;"R2"),"×表以外の行（集計されない）",IF(COUNTIF($AI$5:AI53,AI53)&gt;1,"△重複（集計されない）",IF(D53="","△タスク名なし",IF(ISNA(MATCH(AK53,'M1_類型マスタ'!$A$5:$A$19,0)),"△類型が不正",IF(OR(AM53="",AN53=""),"△回数・分が読めない",IF(SUMPRODUCT(--ISNUMBER(--O53:U53))&lt;7,"△採点が足りない",IF(SUMPRODUCT((--O53:U53&gt;2)+(--O53:U53&lt;0))&gt;0,"△採点が範囲外","OK")))))))))))</f>
        <v/>
      </c>
      <c r="X53">
        <f>IF(W53&lt;&gt;"OK","",TRIM(IF(AND(AO53&lt;&gt;"",N(AO53)&lt;=1),"根拠1件 ","")&amp;IF(AP53&lt;&gt;"","同名あり ","")&amp;IF(AND(NOT(ISNUMBER(I53)),I53&lt;&gt;""),"回数を換算 ","")))</f>
        <v/>
      </c>
      <c r="Y53" s="31" t="n"/>
      <c r="Z53" s="32" t="n"/>
      <c r="AA53" s="32" t="n"/>
      <c r="AB53" s="31" t="n"/>
      <c r="AC53">
        <f>IF(W53&lt;&gt;"OK","",IF(AB53&lt;&gt;"",AB53,AE53))</f>
        <v/>
      </c>
      <c r="AD53" s="33">
        <f>IF(W53&lt;&gt;"OK","",IFERROR(IF(Z53&lt;&gt;"",Z53,AM53)*IF(AA53&lt;&gt;"",AA53,AN53)/60,""))</f>
        <v/>
      </c>
      <c r="AE53">
        <f>IF(W53&lt;&gt;"OK","",IF(OR(VALUE(O53)=2,VALUE(P53)=2,VALUE(Q53)=2),"社内残置",IF(AND(VALUE(O53)=0,VALUE(R53)=0,VALUE(T53)=0),"自動化候補",IF(AND(VALUE(P53)=0,VALUE(R53)&lt;=1,VALUE(S53)&lt;=1,VALUE(T53)&lt;=1,VALUE(U53)&lt;=1),"オフショア候補",IF(AND(VALUE(T53)&lt;=1,VALUE(U53)&lt;=1),"ニアショア候補","社内で手順化→再評価")))))</f>
        <v/>
      </c>
      <c r="AF53">
        <f>IF(W53&lt;&gt;"OK","",14-SUMPRODUCT(--O53:U53))</f>
        <v/>
      </c>
      <c r="AG53" s="33">
        <f>IF(W53&lt;&gt;"OK","",AM53*AN53/60)</f>
        <v/>
      </c>
      <c r="AH53" s="34">
        <f>IF(A53="","",UPPER(TRIM(ASC(A53&amp;""))))</f>
        <v/>
      </c>
      <c r="AI53" s="34">
        <f>IF(AH53="","",AH53&amp;"-"&amp;B53)</f>
        <v/>
      </c>
      <c r="AJ53" s="34">
        <f>IF(C53="","",IFERROR(VALUE(ASC(SUBSTITUTE(C53&amp;"","観点",""))),""))</f>
        <v/>
      </c>
      <c r="AK53" s="34">
        <f>IF(E53="","",UPPER(LEFT(TRIM(ASC(E53&amp;"")),3)))</f>
        <v/>
      </c>
      <c r="AL53" s="34">
        <f>IF(I53="","",IFERROR(VALUE(SUBSTITUTE(SUBSTITUTE(SUBSTITUTE(SUBSTITUTE(SUBSTITUTE(SUBSTITUTE(SUBSTITUTE(SUBSTITUTE(SUBSTITUTE(SUBSTITUTE(SUBSTITUTE(SUBSTITUTE(ASC(I53&amp;""),"約",""),"程度",""),"ほど",""),"回",""),"毎",""),"週",""),"月",""),"年",""),"日",""),"に",""),"/","")," ","")),""))</f>
        <v/>
      </c>
      <c r="AM53" s="34">
        <f>IF(I53="","",IF(ISNUMBER(I53),I53,IFERROR(VALUE(ASC(I53&amp;"")),IF(AL53&lt;&gt;"",AL53*IF(ISNUMBER(SEARCH("週",I53)),4.3,IF(ISNUMBER(SEARCH("年",I53)),1/12,IF(ISNUMBER(SEARCH("日",I53)),20,1))),IF(ISNUMBER(SEARCH("日",I53)),20,IF(ISNUMBER(SEARCH("週",I53)),4.3,IF(ISNUMBER(SEARCH("月",I53)),1,"")))))))</f>
        <v/>
      </c>
      <c r="AN53" s="34">
        <f>IF(J53="","",IF(ISNUMBER(J53),J53,IFERROR(VALUE(ASC(J53&amp;"")),IF(ISNUMBER(SEARCH("時間",J53)),IFERROR(VALUE(SUBSTITUTE(SUBSTITUTE(SUBSTITUTE(SUBSTITUTE(SUBSTITUTE(ASC(J53&amp;""),"約",""),"程度",""),"ほど",""),"時間","")," ",""))*60,""),IFERROR(VALUE(SUBSTITUTE(SUBSTITUTE(SUBSTITUTE(SUBSTITUTE(SUBSTITUTE(ASC(J53&amp;""),"約",""),"程度",""),"ほど",""),"分","")," ","")),"")))))</f>
        <v/>
      </c>
      <c r="AO53" s="34">
        <f>IF(K53="","",IF(ISNUMBER(K53),K53,IFERROR(VALUE(SUBSTITUTE(SUBSTITUTE(SUBSTITUTE(ASC(K53&amp;""),"約",""),"件","")," ","")),"")))</f>
        <v/>
      </c>
      <c r="AP53" s="34">
        <f>IF(W53&lt;&gt;"OK","",IF(COUNTIFS($D$5:$D$404,D53,$W$5:$W$404,"OK")&gt;1,"同名あり",""))</f>
        <v/>
      </c>
      <c r="AQ53" s="35">
        <f>IF(L53="","",IF(ISNUMBER(L53),L53,IFERROR(DATEVALUE(SUBSTITUTE(SUBSTITUTE(ASC(L53&amp;""),"-","/"),".","/")&amp;"/01"),"")))</f>
        <v/>
      </c>
      <c r="AR53" s="35">
        <f>IF(M53="","",IF(ISNUMBER(M53),M53,IFERROR(DATEVALUE(SUBSTITUTE(SUBSTITUTE(ASC(M53&amp;""),"-","/"),".","/")&amp;"/01"),"")))</f>
        <v/>
      </c>
      <c r="AS53" s="34">
        <f>IF(OR(W53&lt;&gt;"OK",AQ53=""),"",IF(AQ53&gt;='01_設定'!$C$26,1,0))</f>
        <v/>
      </c>
      <c r="AT53" s="34">
        <f>IF(AND(W53="OK",Y53&lt;&gt;"除外"),COUNTIFS($W$5:W53,"OK",$Y$5:Y53,"&lt;&gt;除外"),"")</f>
        <v/>
      </c>
      <c r="AU53" s="34">
        <f>IF(OR(AT53="",AD53=""),"",AD53+ROW()/1000000000)</f>
        <v/>
      </c>
    </row>
    <row r="54">
      <c r="W54">
        <f>IF(AND(A54="",D54=""),"",IF(ISNUMBER(SEARCH("##END",AH54)),"（終わりの印）",IF(ISNUMBER(SEARCH("##続き",AH54)),"（続きありの印）",IF(AH54="調査ID","（見出し行）",IF(AND(AH54&lt;&gt;"R1",AH54&lt;&gt;"R2"),"×表以外の行（集計されない）",IF(COUNTIF($AI$5:AI54,AI54)&gt;1,"△重複（集計されない）",IF(D54="","△タスク名なし",IF(ISNA(MATCH(AK54,'M1_類型マスタ'!$A$5:$A$19,0)),"△類型が不正",IF(OR(AM54="",AN54=""),"△回数・分が読めない",IF(SUMPRODUCT(--ISNUMBER(--O54:U54))&lt;7,"△採点が足りない",IF(SUMPRODUCT((--O54:U54&gt;2)+(--O54:U54&lt;0))&gt;0,"△採点が範囲外","OK")))))))))))</f>
        <v/>
      </c>
      <c r="X54">
        <f>IF(W54&lt;&gt;"OK","",TRIM(IF(AND(AO54&lt;&gt;"",N(AO54)&lt;=1),"根拠1件 ","")&amp;IF(AP54&lt;&gt;"","同名あり ","")&amp;IF(AND(NOT(ISNUMBER(I54)),I54&lt;&gt;""),"回数を換算 ","")))</f>
        <v/>
      </c>
      <c r="Y54" s="31" t="n"/>
      <c r="Z54" s="32" t="n"/>
      <c r="AA54" s="32" t="n"/>
      <c r="AB54" s="31" t="n"/>
      <c r="AC54">
        <f>IF(W54&lt;&gt;"OK","",IF(AB54&lt;&gt;"",AB54,AE54))</f>
        <v/>
      </c>
      <c r="AD54" s="33">
        <f>IF(W54&lt;&gt;"OK","",IFERROR(IF(Z54&lt;&gt;"",Z54,AM54)*IF(AA54&lt;&gt;"",AA54,AN54)/60,""))</f>
        <v/>
      </c>
      <c r="AE54">
        <f>IF(W54&lt;&gt;"OK","",IF(OR(VALUE(O54)=2,VALUE(P54)=2,VALUE(Q54)=2),"社内残置",IF(AND(VALUE(O54)=0,VALUE(R54)=0,VALUE(T54)=0),"自動化候補",IF(AND(VALUE(P54)=0,VALUE(R54)&lt;=1,VALUE(S54)&lt;=1,VALUE(T54)&lt;=1,VALUE(U54)&lt;=1),"オフショア候補",IF(AND(VALUE(T54)&lt;=1,VALUE(U54)&lt;=1),"ニアショア候補","社内で手順化→再評価")))))</f>
        <v/>
      </c>
      <c r="AF54">
        <f>IF(W54&lt;&gt;"OK","",14-SUMPRODUCT(--O54:U54))</f>
        <v/>
      </c>
      <c r="AG54" s="33">
        <f>IF(W54&lt;&gt;"OK","",AM54*AN54/60)</f>
        <v/>
      </c>
      <c r="AH54" s="34">
        <f>IF(A54="","",UPPER(TRIM(ASC(A54&amp;""))))</f>
        <v/>
      </c>
      <c r="AI54" s="34">
        <f>IF(AH54="","",AH54&amp;"-"&amp;B54)</f>
        <v/>
      </c>
      <c r="AJ54" s="34">
        <f>IF(C54="","",IFERROR(VALUE(ASC(SUBSTITUTE(C54&amp;"","観点",""))),""))</f>
        <v/>
      </c>
      <c r="AK54" s="34">
        <f>IF(E54="","",UPPER(LEFT(TRIM(ASC(E54&amp;"")),3)))</f>
        <v/>
      </c>
      <c r="AL54" s="34">
        <f>IF(I54="","",IFERROR(VALUE(SUBSTITUTE(SUBSTITUTE(SUBSTITUTE(SUBSTITUTE(SUBSTITUTE(SUBSTITUTE(SUBSTITUTE(SUBSTITUTE(SUBSTITUTE(SUBSTITUTE(SUBSTITUTE(SUBSTITUTE(ASC(I54&amp;""),"約",""),"程度",""),"ほど",""),"回",""),"毎",""),"週",""),"月",""),"年",""),"日",""),"に",""),"/","")," ","")),""))</f>
        <v/>
      </c>
      <c r="AM54" s="34">
        <f>IF(I54="","",IF(ISNUMBER(I54),I54,IFERROR(VALUE(ASC(I54&amp;"")),IF(AL54&lt;&gt;"",AL54*IF(ISNUMBER(SEARCH("週",I54)),4.3,IF(ISNUMBER(SEARCH("年",I54)),1/12,IF(ISNUMBER(SEARCH("日",I54)),20,1))),IF(ISNUMBER(SEARCH("日",I54)),20,IF(ISNUMBER(SEARCH("週",I54)),4.3,IF(ISNUMBER(SEARCH("月",I54)),1,"")))))))</f>
        <v/>
      </c>
      <c r="AN54" s="34">
        <f>IF(J54="","",IF(ISNUMBER(J54),J54,IFERROR(VALUE(ASC(J54&amp;"")),IF(ISNUMBER(SEARCH("時間",J54)),IFERROR(VALUE(SUBSTITUTE(SUBSTITUTE(SUBSTITUTE(SUBSTITUTE(SUBSTITUTE(ASC(J54&amp;""),"約",""),"程度",""),"ほど",""),"時間","")," ",""))*60,""),IFERROR(VALUE(SUBSTITUTE(SUBSTITUTE(SUBSTITUTE(SUBSTITUTE(SUBSTITUTE(ASC(J54&amp;""),"約",""),"程度",""),"ほど",""),"分","")," ","")),"")))))</f>
        <v/>
      </c>
      <c r="AO54" s="34">
        <f>IF(K54="","",IF(ISNUMBER(K54),K54,IFERROR(VALUE(SUBSTITUTE(SUBSTITUTE(SUBSTITUTE(ASC(K54&amp;""),"約",""),"件","")," ","")),"")))</f>
        <v/>
      </c>
      <c r="AP54" s="34">
        <f>IF(W54&lt;&gt;"OK","",IF(COUNTIFS($D$5:$D$404,D54,$W$5:$W$404,"OK")&gt;1,"同名あり",""))</f>
        <v/>
      </c>
      <c r="AQ54" s="35">
        <f>IF(L54="","",IF(ISNUMBER(L54),L54,IFERROR(DATEVALUE(SUBSTITUTE(SUBSTITUTE(ASC(L54&amp;""),"-","/"),".","/")&amp;"/01"),"")))</f>
        <v/>
      </c>
      <c r="AR54" s="35">
        <f>IF(M54="","",IF(ISNUMBER(M54),M54,IFERROR(DATEVALUE(SUBSTITUTE(SUBSTITUTE(ASC(M54&amp;""),"-","/"),".","/")&amp;"/01"),"")))</f>
        <v/>
      </c>
      <c r="AS54" s="34">
        <f>IF(OR(W54&lt;&gt;"OK",AQ54=""),"",IF(AQ54&gt;='01_設定'!$C$26,1,0))</f>
        <v/>
      </c>
      <c r="AT54" s="34">
        <f>IF(AND(W54="OK",Y54&lt;&gt;"除外"),COUNTIFS($W$5:W54,"OK",$Y$5:Y54,"&lt;&gt;除外"),"")</f>
        <v/>
      </c>
      <c r="AU54" s="34">
        <f>IF(OR(AT54="",AD54=""),"",AD54+ROW()/1000000000)</f>
        <v/>
      </c>
    </row>
    <row r="55">
      <c r="W55">
        <f>IF(AND(A55="",D55=""),"",IF(ISNUMBER(SEARCH("##END",AH55)),"（終わりの印）",IF(ISNUMBER(SEARCH("##続き",AH55)),"（続きありの印）",IF(AH55="調査ID","（見出し行）",IF(AND(AH55&lt;&gt;"R1",AH55&lt;&gt;"R2"),"×表以外の行（集計されない）",IF(COUNTIF($AI$5:AI55,AI55)&gt;1,"△重複（集計されない）",IF(D55="","△タスク名なし",IF(ISNA(MATCH(AK55,'M1_類型マスタ'!$A$5:$A$19,0)),"△類型が不正",IF(OR(AM55="",AN55=""),"△回数・分が読めない",IF(SUMPRODUCT(--ISNUMBER(--O55:U55))&lt;7,"△採点が足りない",IF(SUMPRODUCT((--O55:U55&gt;2)+(--O55:U55&lt;0))&gt;0,"△採点が範囲外","OK")))))))))))</f>
        <v/>
      </c>
      <c r="X55">
        <f>IF(W55&lt;&gt;"OK","",TRIM(IF(AND(AO55&lt;&gt;"",N(AO55)&lt;=1),"根拠1件 ","")&amp;IF(AP55&lt;&gt;"","同名あり ","")&amp;IF(AND(NOT(ISNUMBER(I55)),I55&lt;&gt;""),"回数を換算 ","")))</f>
        <v/>
      </c>
      <c r="Y55" s="31" t="n"/>
      <c r="Z55" s="32" t="n"/>
      <c r="AA55" s="32" t="n"/>
      <c r="AB55" s="31" t="n"/>
      <c r="AC55">
        <f>IF(W55&lt;&gt;"OK","",IF(AB55&lt;&gt;"",AB55,AE55))</f>
        <v/>
      </c>
      <c r="AD55" s="33">
        <f>IF(W55&lt;&gt;"OK","",IFERROR(IF(Z55&lt;&gt;"",Z55,AM55)*IF(AA55&lt;&gt;"",AA55,AN55)/60,""))</f>
        <v/>
      </c>
      <c r="AE55">
        <f>IF(W55&lt;&gt;"OK","",IF(OR(VALUE(O55)=2,VALUE(P55)=2,VALUE(Q55)=2),"社内残置",IF(AND(VALUE(O55)=0,VALUE(R55)=0,VALUE(T55)=0),"自動化候補",IF(AND(VALUE(P55)=0,VALUE(R55)&lt;=1,VALUE(S55)&lt;=1,VALUE(T55)&lt;=1,VALUE(U55)&lt;=1),"オフショア候補",IF(AND(VALUE(T55)&lt;=1,VALUE(U55)&lt;=1),"ニアショア候補","社内で手順化→再評価")))))</f>
        <v/>
      </c>
      <c r="AF55">
        <f>IF(W55&lt;&gt;"OK","",14-SUMPRODUCT(--O55:U55))</f>
        <v/>
      </c>
      <c r="AG55" s="33">
        <f>IF(W55&lt;&gt;"OK","",AM55*AN55/60)</f>
        <v/>
      </c>
      <c r="AH55" s="34">
        <f>IF(A55="","",UPPER(TRIM(ASC(A55&amp;""))))</f>
        <v/>
      </c>
      <c r="AI55" s="34">
        <f>IF(AH55="","",AH55&amp;"-"&amp;B55)</f>
        <v/>
      </c>
      <c r="AJ55" s="34">
        <f>IF(C55="","",IFERROR(VALUE(ASC(SUBSTITUTE(C55&amp;"","観点",""))),""))</f>
        <v/>
      </c>
      <c r="AK55" s="34">
        <f>IF(E55="","",UPPER(LEFT(TRIM(ASC(E55&amp;"")),3)))</f>
        <v/>
      </c>
      <c r="AL55" s="34">
        <f>IF(I55="","",IFERROR(VALUE(SUBSTITUTE(SUBSTITUTE(SUBSTITUTE(SUBSTITUTE(SUBSTITUTE(SUBSTITUTE(SUBSTITUTE(SUBSTITUTE(SUBSTITUTE(SUBSTITUTE(SUBSTITUTE(SUBSTITUTE(ASC(I55&amp;""),"約",""),"程度",""),"ほど",""),"回",""),"毎",""),"週",""),"月",""),"年",""),"日",""),"に",""),"/","")," ","")),""))</f>
        <v/>
      </c>
      <c r="AM55" s="34">
        <f>IF(I55="","",IF(ISNUMBER(I55),I55,IFERROR(VALUE(ASC(I55&amp;"")),IF(AL55&lt;&gt;"",AL55*IF(ISNUMBER(SEARCH("週",I55)),4.3,IF(ISNUMBER(SEARCH("年",I55)),1/12,IF(ISNUMBER(SEARCH("日",I55)),20,1))),IF(ISNUMBER(SEARCH("日",I55)),20,IF(ISNUMBER(SEARCH("週",I55)),4.3,IF(ISNUMBER(SEARCH("月",I55)),1,"")))))))</f>
        <v/>
      </c>
      <c r="AN55" s="34">
        <f>IF(J55="","",IF(ISNUMBER(J55),J55,IFERROR(VALUE(ASC(J55&amp;"")),IF(ISNUMBER(SEARCH("時間",J55)),IFERROR(VALUE(SUBSTITUTE(SUBSTITUTE(SUBSTITUTE(SUBSTITUTE(SUBSTITUTE(ASC(J55&amp;""),"約",""),"程度",""),"ほど",""),"時間","")," ",""))*60,""),IFERROR(VALUE(SUBSTITUTE(SUBSTITUTE(SUBSTITUTE(SUBSTITUTE(SUBSTITUTE(ASC(J55&amp;""),"約",""),"程度",""),"ほど",""),"分","")," ","")),"")))))</f>
        <v/>
      </c>
      <c r="AO55" s="34">
        <f>IF(K55="","",IF(ISNUMBER(K55),K55,IFERROR(VALUE(SUBSTITUTE(SUBSTITUTE(SUBSTITUTE(ASC(K55&amp;""),"約",""),"件","")," ","")),"")))</f>
        <v/>
      </c>
      <c r="AP55" s="34">
        <f>IF(W55&lt;&gt;"OK","",IF(COUNTIFS($D$5:$D$404,D55,$W$5:$W$404,"OK")&gt;1,"同名あり",""))</f>
        <v/>
      </c>
      <c r="AQ55" s="35">
        <f>IF(L55="","",IF(ISNUMBER(L55),L55,IFERROR(DATEVALUE(SUBSTITUTE(SUBSTITUTE(ASC(L55&amp;""),"-","/"),".","/")&amp;"/01"),"")))</f>
        <v/>
      </c>
      <c r="AR55" s="35">
        <f>IF(M55="","",IF(ISNUMBER(M55),M55,IFERROR(DATEVALUE(SUBSTITUTE(SUBSTITUTE(ASC(M55&amp;""),"-","/"),".","/")&amp;"/01"),"")))</f>
        <v/>
      </c>
      <c r="AS55" s="34">
        <f>IF(OR(W55&lt;&gt;"OK",AQ55=""),"",IF(AQ55&gt;='01_設定'!$C$26,1,0))</f>
        <v/>
      </c>
      <c r="AT55" s="34">
        <f>IF(AND(W55="OK",Y55&lt;&gt;"除外"),COUNTIFS($W$5:W55,"OK",$Y$5:Y55,"&lt;&gt;除外"),"")</f>
        <v/>
      </c>
      <c r="AU55" s="34">
        <f>IF(OR(AT55="",AD55=""),"",AD55+ROW()/1000000000)</f>
        <v/>
      </c>
    </row>
    <row r="56">
      <c r="W56">
        <f>IF(AND(A56="",D56=""),"",IF(ISNUMBER(SEARCH("##END",AH56)),"（終わりの印）",IF(ISNUMBER(SEARCH("##続き",AH56)),"（続きありの印）",IF(AH56="調査ID","（見出し行）",IF(AND(AH56&lt;&gt;"R1",AH56&lt;&gt;"R2"),"×表以外の行（集計されない）",IF(COUNTIF($AI$5:AI56,AI56)&gt;1,"△重複（集計されない）",IF(D56="","△タスク名なし",IF(ISNA(MATCH(AK56,'M1_類型マスタ'!$A$5:$A$19,0)),"△類型が不正",IF(OR(AM56="",AN56=""),"△回数・分が読めない",IF(SUMPRODUCT(--ISNUMBER(--O56:U56))&lt;7,"△採点が足りない",IF(SUMPRODUCT((--O56:U56&gt;2)+(--O56:U56&lt;0))&gt;0,"△採点が範囲外","OK")))))))))))</f>
        <v/>
      </c>
      <c r="X56">
        <f>IF(W56&lt;&gt;"OK","",TRIM(IF(AND(AO56&lt;&gt;"",N(AO56)&lt;=1),"根拠1件 ","")&amp;IF(AP56&lt;&gt;"","同名あり ","")&amp;IF(AND(NOT(ISNUMBER(I56)),I56&lt;&gt;""),"回数を換算 ","")))</f>
        <v/>
      </c>
      <c r="Y56" s="31" t="n"/>
      <c r="Z56" s="32" t="n"/>
      <c r="AA56" s="32" t="n"/>
      <c r="AB56" s="31" t="n"/>
      <c r="AC56">
        <f>IF(W56&lt;&gt;"OK","",IF(AB56&lt;&gt;"",AB56,AE56))</f>
        <v/>
      </c>
      <c r="AD56" s="33">
        <f>IF(W56&lt;&gt;"OK","",IFERROR(IF(Z56&lt;&gt;"",Z56,AM56)*IF(AA56&lt;&gt;"",AA56,AN56)/60,""))</f>
        <v/>
      </c>
      <c r="AE56">
        <f>IF(W56&lt;&gt;"OK","",IF(OR(VALUE(O56)=2,VALUE(P56)=2,VALUE(Q56)=2),"社内残置",IF(AND(VALUE(O56)=0,VALUE(R56)=0,VALUE(T56)=0),"自動化候補",IF(AND(VALUE(P56)=0,VALUE(R56)&lt;=1,VALUE(S56)&lt;=1,VALUE(T56)&lt;=1,VALUE(U56)&lt;=1),"オフショア候補",IF(AND(VALUE(T56)&lt;=1,VALUE(U56)&lt;=1),"ニアショア候補","社内で手順化→再評価")))))</f>
        <v/>
      </c>
      <c r="AF56">
        <f>IF(W56&lt;&gt;"OK","",14-SUMPRODUCT(--O56:U56))</f>
        <v/>
      </c>
      <c r="AG56" s="33">
        <f>IF(W56&lt;&gt;"OK","",AM56*AN56/60)</f>
        <v/>
      </c>
      <c r="AH56" s="34">
        <f>IF(A56="","",UPPER(TRIM(ASC(A56&amp;""))))</f>
        <v/>
      </c>
      <c r="AI56" s="34">
        <f>IF(AH56="","",AH56&amp;"-"&amp;B56)</f>
        <v/>
      </c>
      <c r="AJ56" s="34">
        <f>IF(C56="","",IFERROR(VALUE(ASC(SUBSTITUTE(C56&amp;"","観点",""))),""))</f>
        <v/>
      </c>
      <c r="AK56" s="34">
        <f>IF(E56="","",UPPER(LEFT(TRIM(ASC(E56&amp;"")),3)))</f>
        <v/>
      </c>
      <c r="AL56" s="34">
        <f>IF(I56="","",IFERROR(VALUE(SUBSTITUTE(SUBSTITUTE(SUBSTITUTE(SUBSTITUTE(SUBSTITUTE(SUBSTITUTE(SUBSTITUTE(SUBSTITUTE(SUBSTITUTE(SUBSTITUTE(SUBSTITUTE(SUBSTITUTE(ASC(I56&amp;""),"約",""),"程度",""),"ほど",""),"回",""),"毎",""),"週",""),"月",""),"年",""),"日",""),"に",""),"/","")," ","")),""))</f>
        <v/>
      </c>
      <c r="AM56" s="34">
        <f>IF(I56="","",IF(ISNUMBER(I56),I56,IFERROR(VALUE(ASC(I56&amp;"")),IF(AL56&lt;&gt;"",AL56*IF(ISNUMBER(SEARCH("週",I56)),4.3,IF(ISNUMBER(SEARCH("年",I56)),1/12,IF(ISNUMBER(SEARCH("日",I56)),20,1))),IF(ISNUMBER(SEARCH("日",I56)),20,IF(ISNUMBER(SEARCH("週",I56)),4.3,IF(ISNUMBER(SEARCH("月",I56)),1,"")))))))</f>
        <v/>
      </c>
      <c r="AN56" s="34">
        <f>IF(J56="","",IF(ISNUMBER(J56),J56,IFERROR(VALUE(ASC(J56&amp;"")),IF(ISNUMBER(SEARCH("時間",J56)),IFERROR(VALUE(SUBSTITUTE(SUBSTITUTE(SUBSTITUTE(SUBSTITUTE(SUBSTITUTE(ASC(J56&amp;""),"約",""),"程度",""),"ほど",""),"時間","")," ",""))*60,""),IFERROR(VALUE(SUBSTITUTE(SUBSTITUTE(SUBSTITUTE(SUBSTITUTE(SUBSTITUTE(ASC(J56&amp;""),"約",""),"程度",""),"ほど",""),"分","")," ","")),"")))))</f>
        <v/>
      </c>
      <c r="AO56" s="34">
        <f>IF(K56="","",IF(ISNUMBER(K56),K56,IFERROR(VALUE(SUBSTITUTE(SUBSTITUTE(SUBSTITUTE(ASC(K56&amp;""),"約",""),"件","")," ","")),"")))</f>
        <v/>
      </c>
      <c r="AP56" s="34">
        <f>IF(W56&lt;&gt;"OK","",IF(COUNTIFS($D$5:$D$404,D56,$W$5:$W$404,"OK")&gt;1,"同名あり",""))</f>
        <v/>
      </c>
      <c r="AQ56" s="35">
        <f>IF(L56="","",IF(ISNUMBER(L56),L56,IFERROR(DATEVALUE(SUBSTITUTE(SUBSTITUTE(ASC(L56&amp;""),"-","/"),".","/")&amp;"/01"),"")))</f>
        <v/>
      </c>
      <c r="AR56" s="35">
        <f>IF(M56="","",IF(ISNUMBER(M56),M56,IFERROR(DATEVALUE(SUBSTITUTE(SUBSTITUTE(ASC(M56&amp;""),"-","/"),".","/")&amp;"/01"),"")))</f>
        <v/>
      </c>
      <c r="AS56" s="34">
        <f>IF(OR(W56&lt;&gt;"OK",AQ56=""),"",IF(AQ56&gt;='01_設定'!$C$26,1,0))</f>
        <v/>
      </c>
      <c r="AT56" s="34">
        <f>IF(AND(W56="OK",Y56&lt;&gt;"除外"),COUNTIFS($W$5:W56,"OK",$Y$5:Y56,"&lt;&gt;除外"),"")</f>
        <v/>
      </c>
      <c r="AU56" s="34">
        <f>IF(OR(AT56="",AD56=""),"",AD56+ROW()/1000000000)</f>
        <v/>
      </c>
    </row>
    <row r="57">
      <c r="W57">
        <f>IF(AND(A57="",D57=""),"",IF(ISNUMBER(SEARCH("##END",AH57)),"（終わりの印）",IF(ISNUMBER(SEARCH("##続き",AH57)),"（続きありの印）",IF(AH57="調査ID","（見出し行）",IF(AND(AH57&lt;&gt;"R1",AH57&lt;&gt;"R2"),"×表以外の行（集計されない）",IF(COUNTIF($AI$5:AI57,AI57)&gt;1,"△重複（集計されない）",IF(D57="","△タスク名なし",IF(ISNA(MATCH(AK57,'M1_類型マスタ'!$A$5:$A$19,0)),"△類型が不正",IF(OR(AM57="",AN57=""),"△回数・分が読めない",IF(SUMPRODUCT(--ISNUMBER(--O57:U57))&lt;7,"△採点が足りない",IF(SUMPRODUCT((--O57:U57&gt;2)+(--O57:U57&lt;0))&gt;0,"△採点が範囲外","OK")))))))))))</f>
        <v/>
      </c>
      <c r="X57">
        <f>IF(W57&lt;&gt;"OK","",TRIM(IF(AND(AO57&lt;&gt;"",N(AO57)&lt;=1),"根拠1件 ","")&amp;IF(AP57&lt;&gt;"","同名あり ","")&amp;IF(AND(NOT(ISNUMBER(I57)),I57&lt;&gt;""),"回数を換算 ","")))</f>
        <v/>
      </c>
      <c r="Y57" s="31" t="n"/>
      <c r="Z57" s="32" t="n"/>
      <c r="AA57" s="32" t="n"/>
      <c r="AB57" s="31" t="n"/>
      <c r="AC57">
        <f>IF(W57&lt;&gt;"OK","",IF(AB57&lt;&gt;"",AB57,AE57))</f>
        <v/>
      </c>
      <c r="AD57" s="33">
        <f>IF(W57&lt;&gt;"OK","",IFERROR(IF(Z57&lt;&gt;"",Z57,AM57)*IF(AA57&lt;&gt;"",AA57,AN57)/60,""))</f>
        <v/>
      </c>
      <c r="AE57">
        <f>IF(W57&lt;&gt;"OK","",IF(OR(VALUE(O57)=2,VALUE(P57)=2,VALUE(Q57)=2),"社内残置",IF(AND(VALUE(O57)=0,VALUE(R57)=0,VALUE(T57)=0),"自動化候補",IF(AND(VALUE(P57)=0,VALUE(R57)&lt;=1,VALUE(S57)&lt;=1,VALUE(T57)&lt;=1,VALUE(U57)&lt;=1),"オフショア候補",IF(AND(VALUE(T57)&lt;=1,VALUE(U57)&lt;=1),"ニアショア候補","社内で手順化→再評価")))))</f>
        <v/>
      </c>
      <c r="AF57">
        <f>IF(W57&lt;&gt;"OK","",14-SUMPRODUCT(--O57:U57))</f>
        <v/>
      </c>
      <c r="AG57" s="33">
        <f>IF(W57&lt;&gt;"OK","",AM57*AN57/60)</f>
        <v/>
      </c>
      <c r="AH57" s="34">
        <f>IF(A57="","",UPPER(TRIM(ASC(A57&amp;""))))</f>
        <v/>
      </c>
      <c r="AI57" s="34">
        <f>IF(AH57="","",AH57&amp;"-"&amp;B57)</f>
        <v/>
      </c>
      <c r="AJ57" s="34">
        <f>IF(C57="","",IFERROR(VALUE(ASC(SUBSTITUTE(C57&amp;"","観点",""))),""))</f>
        <v/>
      </c>
      <c r="AK57" s="34">
        <f>IF(E57="","",UPPER(LEFT(TRIM(ASC(E57&amp;"")),3)))</f>
        <v/>
      </c>
      <c r="AL57" s="34">
        <f>IF(I57="","",IFERROR(VALUE(SUBSTITUTE(SUBSTITUTE(SUBSTITUTE(SUBSTITUTE(SUBSTITUTE(SUBSTITUTE(SUBSTITUTE(SUBSTITUTE(SUBSTITUTE(SUBSTITUTE(SUBSTITUTE(SUBSTITUTE(ASC(I57&amp;""),"約",""),"程度",""),"ほど",""),"回",""),"毎",""),"週",""),"月",""),"年",""),"日",""),"に",""),"/","")," ","")),""))</f>
        <v/>
      </c>
      <c r="AM57" s="34">
        <f>IF(I57="","",IF(ISNUMBER(I57),I57,IFERROR(VALUE(ASC(I57&amp;"")),IF(AL57&lt;&gt;"",AL57*IF(ISNUMBER(SEARCH("週",I57)),4.3,IF(ISNUMBER(SEARCH("年",I57)),1/12,IF(ISNUMBER(SEARCH("日",I57)),20,1))),IF(ISNUMBER(SEARCH("日",I57)),20,IF(ISNUMBER(SEARCH("週",I57)),4.3,IF(ISNUMBER(SEARCH("月",I57)),1,"")))))))</f>
        <v/>
      </c>
      <c r="AN57" s="34">
        <f>IF(J57="","",IF(ISNUMBER(J57),J57,IFERROR(VALUE(ASC(J57&amp;"")),IF(ISNUMBER(SEARCH("時間",J57)),IFERROR(VALUE(SUBSTITUTE(SUBSTITUTE(SUBSTITUTE(SUBSTITUTE(SUBSTITUTE(ASC(J57&amp;""),"約",""),"程度",""),"ほど",""),"時間","")," ",""))*60,""),IFERROR(VALUE(SUBSTITUTE(SUBSTITUTE(SUBSTITUTE(SUBSTITUTE(SUBSTITUTE(ASC(J57&amp;""),"約",""),"程度",""),"ほど",""),"分","")," ","")),"")))))</f>
        <v/>
      </c>
      <c r="AO57" s="34">
        <f>IF(K57="","",IF(ISNUMBER(K57),K57,IFERROR(VALUE(SUBSTITUTE(SUBSTITUTE(SUBSTITUTE(ASC(K57&amp;""),"約",""),"件","")," ","")),"")))</f>
        <v/>
      </c>
      <c r="AP57" s="34">
        <f>IF(W57&lt;&gt;"OK","",IF(COUNTIFS($D$5:$D$404,D57,$W$5:$W$404,"OK")&gt;1,"同名あり",""))</f>
        <v/>
      </c>
      <c r="AQ57" s="35">
        <f>IF(L57="","",IF(ISNUMBER(L57),L57,IFERROR(DATEVALUE(SUBSTITUTE(SUBSTITUTE(ASC(L57&amp;""),"-","/"),".","/")&amp;"/01"),"")))</f>
        <v/>
      </c>
      <c r="AR57" s="35">
        <f>IF(M57="","",IF(ISNUMBER(M57),M57,IFERROR(DATEVALUE(SUBSTITUTE(SUBSTITUTE(ASC(M57&amp;""),"-","/"),".","/")&amp;"/01"),"")))</f>
        <v/>
      </c>
      <c r="AS57" s="34">
        <f>IF(OR(W57&lt;&gt;"OK",AQ57=""),"",IF(AQ57&gt;='01_設定'!$C$26,1,0))</f>
        <v/>
      </c>
      <c r="AT57" s="34">
        <f>IF(AND(W57="OK",Y57&lt;&gt;"除外"),COUNTIFS($W$5:W57,"OK",$Y$5:Y57,"&lt;&gt;除外"),"")</f>
        <v/>
      </c>
      <c r="AU57" s="34">
        <f>IF(OR(AT57="",AD57=""),"",AD57+ROW()/1000000000)</f>
        <v/>
      </c>
    </row>
    <row r="58">
      <c r="W58">
        <f>IF(AND(A58="",D58=""),"",IF(ISNUMBER(SEARCH("##END",AH58)),"（終わりの印）",IF(ISNUMBER(SEARCH("##続き",AH58)),"（続きありの印）",IF(AH58="調査ID","（見出し行）",IF(AND(AH58&lt;&gt;"R1",AH58&lt;&gt;"R2"),"×表以外の行（集計されない）",IF(COUNTIF($AI$5:AI58,AI58)&gt;1,"△重複（集計されない）",IF(D58="","△タスク名なし",IF(ISNA(MATCH(AK58,'M1_類型マスタ'!$A$5:$A$19,0)),"△類型が不正",IF(OR(AM58="",AN58=""),"△回数・分が読めない",IF(SUMPRODUCT(--ISNUMBER(--O58:U58))&lt;7,"△採点が足りない",IF(SUMPRODUCT((--O58:U58&gt;2)+(--O58:U58&lt;0))&gt;0,"△採点が範囲外","OK")))))))))))</f>
        <v/>
      </c>
      <c r="X58">
        <f>IF(W58&lt;&gt;"OK","",TRIM(IF(AND(AO58&lt;&gt;"",N(AO58)&lt;=1),"根拠1件 ","")&amp;IF(AP58&lt;&gt;"","同名あり ","")&amp;IF(AND(NOT(ISNUMBER(I58)),I58&lt;&gt;""),"回数を換算 ","")))</f>
        <v/>
      </c>
      <c r="Y58" s="31" t="n"/>
      <c r="Z58" s="32" t="n"/>
      <c r="AA58" s="32" t="n"/>
      <c r="AB58" s="31" t="n"/>
      <c r="AC58">
        <f>IF(W58&lt;&gt;"OK","",IF(AB58&lt;&gt;"",AB58,AE58))</f>
        <v/>
      </c>
      <c r="AD58" s="33">
        <f>IF(W58&lt;&gt;"OK","",IFERROR(IF(Z58&lt;&gt;"",Z58,AM58)*IF(AA58&lt;&gt;"",AA58,AN58)/60,""))</f>
        <v/>
      </c>
      <c r="AE58">
        <f>IF(W58&lt;&gt;"OK","",IF(OR(VALUE(O58)=2,VALUE(P58)=2,VALUE(Q58)=2),"社内残置",IF(AND(VALUE(O58)=0,VALUE(R58)=0,VALUE(T58)=0),"自動化候補",IF(AND(VALUE(P58)=0,VALUE(R58)&lt;=1,VALUE(S58)&lt;=1,VALUE(T58)&lt;=1,VALUE(U58)&lt;=1),"オフショア候補",IF(AND(VALUE(T58)&lt;=1,VALUE(U58)&lt;=1),"ニアショア候補","社内で手順化→再評価")))))</f>
        <v/>
      </c>
      <c r="AF58">
        <f>IF(W58&lt;&gt;"OK","",14-SUMPRODUCT(--O58:U58))</f>
        <v/>
      </c>
      <c r="AG58" s="33">
        <f>IF(W58&lt;&gt;"OK","",AM58*AN58/60)</f>
        <v/>
      </c>
      <c r="AH58" s="34">
        <f>IF(A58="","",UPPER(TRIM(ASC(A58&amp;""))))</f>
        <v/>
      </c>
      <c r="AI58" s="34">
        <f>IF(AH58="","",AH58&amp;"-"&amp;B58)</f>
        <v/>
      </c>
      <c r="AJ58" s="34">
        <f>IF(C58="","",IFERROR(VALUE(ASC(SUBSTITUTE(C58&amp;"","観点",""))),""))</f>
        <v/>
      </c>
      <c r="AK58" s="34">
        <f>IF(E58="","",UPPER(LEFT(TRIM(ASC(E58&amp;"")),3)))</f>
        <v/>
      </c>
      <c r="AL58" s="34">
        <f>IF(I58="","",IFERROR(VALUE(SUBSTITUTE(SUBSTITUTE(SUBSTITUTE(SUBSTITUTE(SUBSTITUTE(SUBSTITUTE(SUBSTITUTE(SUBSTITUTE(SUBSTITUTE(SUBSTITUTE(SUBSTITUTE(SUBSTITUTE(ASC(I58&amp;""),"約",""),"程度",""),"ほど",""),"回",""),"毎",""),"週",""),"月",""),"年",""),"日",""),"に",""),"/","")," ","")),""))</f>
        <v/>
      </c>
      <c r="AM58" s="34">
        <f>IF(I58="","",IF(ISNUMBER(I58),I58,IFERROR(VALUE(ASC(I58&amp;"")),IF(AL58&lt;&gt;"",AL58*IF(ISNUMBER(SEARCH("週",I58)),4.3,IF(ISNUMBER(SEARCH("年",I58)),1/12,IF(ISNUMBER(SEARCH("日",I58)),20,1))),IF(ISNUMBER(SEARCH("日",I58)),20,IF(ISNUMBER(SEARCH("週",I58)),4.3,IF(ISNUMBER(SEARCH("月",I58)),1,"")))))))</f>
        <v/>
      </c>
      <c r="AN58" s="34">
        <f>IF(J58="","",IF(ISNUMBER(J58),J58,IFERROR(VALUE(ASC(J58&amp;"")),IF(ISNUMBER(SEARCH("時間",J58)),IFERROR(VALUE(SUBSTITUTE(SUBSTITUTE(SUBSTITUTE(SUBSTITUTE(SUBSTITUTE(ASC(J58&amp;""),"約",""),"程度",""),"ほど",""),"時間","")," ",""))*60,""),IFERROR(VALUE(SUBSTITUTE(SUBSTITUTE(SUBSTITUTE(SUBSTITUTE(SUBSTITUTE(ASC(J58&amp;""),"約",""),"程度",""),"ほど",""),"分","")," ","")),"")))))</f>
        <v/>
      </c>
      <c r="AO58" s="34">
        <f>IF(K58="","",IF(ISNUMBER(K58),K58,IFERROR(VALUE(SUBSTITUTE(SUBSTITUTE(SUBSTITUTE(ASC(K58&amp;""),"約",""),"件","")," ","")),"")))</f>
        <v/>
      </c>
      <c r="AP58" s="34">
        <f>IF(W58&lt;&gt;"OK","",IF(COUNTIFS($D$5:$D$404,D58,$W$5:$W$404,"OK")&gt;1,"同名あり",""))</f>
        <v/>
      </c>
      <c r="AQ58" s="35">
        <f>IF(L58="","",IF(ISNUMBER(L58),L58,IFERROR(DATEVALUE(SUBSTITUTE(SUBSTITUTE(ASC(L58&amp;""),"-","/"),".","/")&amp;"/01"),"")))</f>
        <v/>
      </c>
      <c r="AR58" s="35">
        <f>IF(M58="","",IF(ISNUMBER(M58),M58,IFERROR(DATEVALUE(SUBSTITUTE(SUBSTITUTE(ASC(M58&amp;""),"-","/"),".","/")&amp;"/01"),"")))</f>
        <v/>
      </c>
      <c r="AS58" s="34">
        <f>IF(OR(W58&lt;&gt;"OK",AQ58=""),"",IF(AQ58&gt;='01_設定'!$C$26,1,0))</f>
        <v/>
      </c>
      <c r="AT58" s="34">
        <f>IF(AND(W58="OK",Y58&lt;&gt;"除外"),COUNTIFS($W$5:W58,"OK",$Y$5:Y58,"&lt;&gt;除外"),"")</f>
        <v/>
      </c>
      <c r="AU58" s="34">
        <f>IF(OR(AT58="",AD58=""),"",AD58+ROW()/1000000000)</f>
        <v/>
      </c>
    </row>
    <row r="59">
      <c r="W59">
        <f>IF(AND(A59="",D59=""),"",IF(ISNUMBER(SEARCH("##END",AH59)),"（終わりの印）",IF(ISNUMBER(SEARCH("##続き",AH59)),"（続きありの印）",IF(AH59="調査ID","（見出し行）",IF(AND(AH59&lt;&gt;"R1",AH59&lt;&gt;"R2"),"×表以外の行（集計されない）",IF(COUNTIF($AI$5:AI59,AI59)&gt;1,"△重複（集計されない）",IF(D59="","△タスク名なし",IF(ISNA(MATCH(AK59,'M1_類型マスタ'!$A$5:$A$19,0)),"△類型が不正",IF(OR(AM59="",AN59=""),"△回数・分が読めない",IF(SUMPRODUCT(--ISNUMBER(--O59:U59))&lt;7,"△採点が足りない",IF(SUMPRODUCT((--O59:U59&gt;2)+(--O59:U59&lt;0))&gt;0,"△採点が範囲外","OK")))))))))))</f>
        <v/>
      </c>
      <c r="X59">
        <f>IF(W59&lt;&gt;"OK","",TRIM(IF(AND(AO59&lt;&gt;"",N(AO59)&lt;=1),"根拠1件 ","")&amp;IF(AP59&lt;&gt;"","同名あり ","")&amp;IF(AND(NOT(ISNUMBER(I59)),I59&lt;&gt;""),"回数を換算 ","")))</f>
        <v/>
      </c>
      <c r="Y59" s="31" t="n"/>
      <c r="Z59" s="32" t="n"/>
      <c r="AA59" s="32" t="n"/>
      <c r="AB59" s="31" t="n"/>
      <c r="AC59">
        <f>IF(W59&lt;&gt;"OK","",IF(AB59&lt;&gt;"",AB59,AE59))</f>
        <v/>
      </c>
      <c r="AD59" s="33">
        <f>IF(W59&lt;&gt;"OK","",IFERROR(IF(Z59&lt;&gt;"",Z59,AM59)*IF(AA59&lt;&gt;"",AA59,AN59)/60,""))</f>
        <v/>
      </c>
      <c r="AE59">
        <f>IF(W59&lt;&gt;"OK","",IF(OR(VALUE(O59)=2,VALUE(P59)=2,VALUE(Q59)=2),"社内残置",IF(AND(VALUE(O59)=0,VALUE(R59)=0,VALUE(T59)=0),"自動化候補",IF(AND(VALUE(P59)=0,VALUE(R59)&lt;=1,VALUE(S59)&lt;=1,VALUE(T59)&lt;=1,VALUE(U59)&lt;=1),"オフショア候補",IF(AND(VALUE(T59)&lt;=1,VALUE(U59)&lt;=1),"ニアショア候補","社内で手順化→再評価")))))</f>
        <v/>
      </c>
      <c r="AF59">
        <f>IF(W59&lt;&gt;"OK","",14-SUMPRODUCT(--O59:U59))</f>
        <v/>
      </c>
      <c r="AG59" s="33">
        <f>IF(W59&lt;&gt;"OK","",AM59*AN59/60)</f>
        <v/>
      </c>
      <c r="AH59" s="34">
        <f>IF(A59="","",UPPER(TRIM(ASC(A59&amp;""))))</f>
        <v/>
      </c>
      <c r="AI59" s="34">
        <f>IF(AH59="","",AH59&amp;"-"&amp;B59)</f>
        <v/>
      </c>
      <c r="AJ59" s="34">
        <f>IF(C59="","",IFERROR(VALUE(ASC(SUBSTITUTE(C59&amp;"","観点",""))),""))</f>
        <v/>
      </c>
      <c r="AK59" s="34">
        <f>IF(E59="","",UPPER(LEFT(TRIM(ASC(E59&amp;"")),3)))</f>
        <v/>
      </c>
      <c r="AL59" s="34">
        <f>IF(I59="","",IFERROR(VALUE(SUBSTITUTE(SUBSTITUTE(SUBSTITUTE(SUBSTITUTE(SUBSTITUTE(SUBSTITUTE(SUBSTITUTE(SUBSTITUTE(SUBSTITUTE(SUBSTITUTE(SUBSTITUTE(SUBSTITUTE(ASC(I59&amp;""),"約",""),"程度",""),"ほど",""),"回",""),"毎",""),"週",""),"月",""),"年",""),"日",""),"に",""),"/","")," ","")),""))</f>
        <v/>
      </c>
      <c r="AM59" s="34">
        <f>IF(I59="","",IF(ISNUMBER(I59),I59,IFERROR(VALUE(ASC(I59&amp;"")),IF(AL59&lt;&gt;"",AL59*IF(ISNUMBER(SEARCH("週",I59)),4.3,IF(ISNUMBER(SEARCH("年",I59)),1/12,IF(ISNUMBER(SEARCH("日",I59)),20,1))),IF(ISNUMBER(SEARCH("日",I59)),20,IF(ISNUMBER(SEARCH("週",I59)),4.3,IF(ISNUMBER(SEARCH("月",I59)),1,"")))))))</f>
        <v/>
      </c>
      <c r="AN59" s="34">
        <f>IF(J59="","",IF(ISNUMBER(J59),J59,IFERROR(VALUE(ASC(J59&amp;"")),IF(ISNUMBER(SEARCH("時間",J59)),IFERROR(VALUE(SUBSTITUTE(SUBSTITUTE(SUBSTITUTE(SUBSTITUTE(SUBSTITUTE(ASC(J59&amp;""),"約",""),"程度",""),"ほど",""),"時間","")," ",""))*60,""),IFERROR(VALUE(SUBSTITUTE(SUBSTITUTE(SUBSTITUTE(SUBSTITUTE(SUBSTITUTE(ASC(J59&amp;""),"約",""),"程度",""),"ほど",""),"分","")," ","")),"")))))</f>
        <v/>
      </c>
      <c r="AO59" s="34">
        <f>IF(K59="","",IF(ISNUMBER(K59),K59,IFERROR(VALUE(SUBSTITUTE(SUBSTITUTE(SUBSTITUTE(ASC(K59&amp;""),"約",""),"件","")," ","")),"")))</f>
        <v/>
      </c>
      <c r="AP59" s="34">
        <f>IF(W59&lt;&gt;"OK","",IF(COUNTIFS($D$5:$D$404,D59,$W$5:$W$404,"OK")&gt;1,"同名あり",""))</f>
        <v/>
      </c>
      <c r="AQ59" s="35">
        <f>IF(L59="","",IF(ISNUMBER(L59),L59,IFERROR(DATEVALUE(SUBSTITUTE(SUBSTITUTE(ASC(L59&amp;""),"-","/"),".","/")&amp;"/01"),"")))</f>
        <v/>
      </c>
      <c r="AR59" s="35">
        <f>IF(M59="","",IF(ISNUMBER(M59),M59,IFERROR(DATEVALUE(SUBSTITUTE(SUBSTITUTE(ASC(M59&amp;""),"-","/"),".","/")&amp;"/01"),"")))</f>
        <v/>
      </c>
      <c r="AS59" s="34">
        <f>IF(OR(W59&lt;&gt;"OK",AQ59=""),"",IF(AQ59&gt;='01_設定'!$C$26,1,0))</f>
        <v/>
      </c>
      <c r="AT59" s="34">
        <f>IF(AND(W59="OK",Y59&lt;&gt;"除外"),COUNTIFS($W$5:W59,"OK",$Y$5:Y59,"&lt;&gt;除外"),"")</f>
        <v/>
      </c>
      <c r="AU59" s="34">
        <f>IF(OR(AT59="",AD59=""),"",AD59+ROW()/1000000000)</f>
        <v/>
      </c>
    </row>
    <row r="60">
      <c r="W60">
        <f>IF(AND(A60="",D60=""),"",IF(ISNUMBER(SEARCH("##END",AH60)),"（終わりの印）",IF(ISNUMBER(SEARCH("##続き",AH60)),"（続きありの印）",IF(AH60="調査ID","（見出し行）",IF(AND(AH60&lt;&gt;"R1",AH60&lt;&gt;"R2"),"×表以外の行（集計されない）",IF(COUNTIF($AI$5:AI60,AI60)&gt;1,"△重複（集計されない）",IF(D60="","△タスク名なし",IF(ISNA(MATCH(AK60,'M1_類型マスタ'!$A$5:$A$19,0)),"△類型が不正",IF(OR(AM60="",AN60=""),"△回数・分が読めない",IF(SUMPRODUCT(--ISNUMBER(--O60:U60))&lt;7,"△採点が足りない",IF(SUMPRODUCT((--O60:U60&gt;2)+(--O60:U60&lt;0))&gt;0,"△採点が範囲外","OK")))))))))))</f>
        <v/>
      </c>
      <c r="X60">
        <f>IF(W60&lt;&gt;"OK","",TRIM(IF(AND(AO60&lt;&gt;"",N(AO60)&lt;=1),"根拠1件 ","")&amp;IF(AP60&lt;&gt;"","同名あり ","")&amp;IF(AND(NOT(ISNUMBER(I60)),I60&lt;&gt;""),"回数を換算 ","")))</f>
        <v/>
      </c>
      <c r="Y60" s="31" t="n"/>
      <c r="Z60" s="32" t="n"/>
      <c r="AA60" s="32" t="n"/>
      <c r="AB60" s="31" t="n"/>
      <c r="AC60">
        <f>IF(W60&lt;&gt;"OK","",IF(AB60&lt;&gt;"",AB60,AE60))</f>
        <v/>
      </c>
      <c r="AD60" s="33">
        <f>IF(W60&lt;&gt;"OK","",IFERROR(IF(Z60&lt;&gt;"",Z60,AM60)*IF(AA60&lt;&gt;"",AA60,AN60)/60,""))</f>
        <v/>
      </c>
      <c r="AE60">
        <f>IF(W60&lt;&gt;"OK","",IF(OR(VALUE(O60)=2,VALUE(P60)=2,VALUE(Q60)=2),"社内残置",IF(AND(VALUE(O60)=0,VALUE(R60)=0,VALUE(T60)=0),"自動化候補",IF(AND(VALUE(P60)=0,VALUE(R60)&lt;=1,VALUE(S60)&lt;=1,VALUE(T60)&lt;=1,VALUE(U60)&lt;=1),"オフショア候補",IF(AND(VALUE(T60)&lt;=1,VALUE(U60)&lt;=1),"ニアショア候補","社内で手順化→再評価")))))</f>
        <v/>
      </c>
      <c r="AF60">
        <f>IF(W60&lt;&gt;"OK","",14-SUMPRODUCT(--O60:U60))</f>
        <v/>
      </c>
      <c r="AG60" s="33">
        <f>IF(W60&lt;&gt;"OK","",AM60*AN60/60)</f>
        <v/>
      </c>
      <c r="AH60" s="34">
        <f>IF(A60="","",UPPER(TRIM(ASC(A60&amp;""))))</f>
        <v/>
      </c>
      <c r="AI60" s="34">
        <f>IF(AH60="","",AH60&amp;"-"&amp;B60)</f>
        <v/>
      </c>
      <c r="AJ60" s="34">
        <f>IF(C60="","",IFERROR(VALUE(ASC(SUBSTITUTE(C60&amp;"","観点",""))),""))</f>
        <v/>
      </c>
      <c r="AK60" s="34">
        <f>IF(E60="","",UPPER(LEFT(TRIM(ASC(E60&amp;"")),3)))</f>
        <v/>
      </c>
      <c r="AL60" s="34">
        <f>IF(I60="","",IFERROR(VALUE(SUBSTITUTE(SUBSTITUTE(SUBSTITUTE(SUBSTITUTE(SUBSTITUTE(SUBSTITUTE(SUBSTITUTE(SUBSTITUTE(SUBSTITUTE(SUBSTITUTE(SUBSTITUTE(SUBSTITUTE(ASC(I60&amp;""),"約",""),"程度",""),"ほど",""),"回",""),"毎",""),"週",""),"月",""),"年",""),"日",""),"に",""),"/","")," ","")),""))</f>
        <v/>
      </c>
      <c r="AM60" s="34">
        <f>IF(I60="","",IF(ISNUMBER(I60),I60,IFERROR(VALUE(ASC(I60&amp;"")),IF(AL60&lt;&gt;"",AL60*IF(ISNUMBER(SEARCH("週",I60)),4.3,IF(ISNUMBER(SEARCH("年",I60)),1/12,IF(ISNUMBER(SEARCH("日",I60)),20,1))),IF(ISNUMBER(SEARCH("日",I60)),20,IF(ISNUMBER(SEARCH("週",I60)),4.3,IF(ISNUMBER(SEARCH("月",I60)),1,"")))))))</f>
        <v/>
      </c>
      <c r="AN60" s="34">
        <f>IF(J60="","",IF(ISNUMBER(J60),J60,IFERROR(VALUE(ASC(J60&amp;"")),IF(ISNUMBER(SEARCH("時間",J60)),IFERROR(VALUE(SUBSTITUTE(SUBSTITUTE(SUBSTITUTE(SUBSTITUTE(SUBSTITUTE(ASC(J60&amp;""),"約",""),"程度",""),"ほど",""),"時間","")," ",""))*60,""),IFERROR(VALUE(SUBSTITUTE(SUBSTITUTE(SUBSTITUTE(SUBSTITUTE(SUBSTITUTE(ASC(J60&amp;""),"約",""),"程度",""),"ほど",""),"分","")," ","")),"")))))</f>
        <v/>
      </c>
      <c r="AO60" s="34">
        <f>IF(K60="","",IF(ISNUMBER(K60),K60,IFERROR(VALUE(SUBSTITUTE(SUBSTITUTE(SUBSTITUTE(ASC(K60&amp;""),"約",""),"件","")," ","")),"")))</f>
        <v/>
      </c>
      <c r="AP60" s="34">
        <f>IF(W60&lt;&gt;"OK","",IF(COUNTIFS($D$5:$D$404,D60,$W$5:$W$404,"OK")&gt;1,"同名あり",""))</f>
        <v/>
      </c>
      <c r="AQ60" s="35">
        <f>IF(L60="","",IF(ISNUMBER(L60),L60,IFERROR(DATEVALUE(SUBSTITUTE(SUBSTITUTE(ASC(L60&amp;""),"-","/"),".","/")&amp;"/01"),"")))</f>
        <v/>
      </c>
      <c r="AR60" s="35">
        <f>IF(M60="","",IF(ISNUMBER(M60),M60,IFERROR(DATEVALUE(SUBSTITUTE(SUBSTITUTE(ASC(M60&amp;""),"-","/"),".","/")&amp;"/01"),"")))</f>
        <v/>
      </c>
      <c r="AS60" s="34">
        <f>IF(OR(W60&lt;&gt;"OK",AQ60=""),"",IF(AQ60&gt;='01_設定'!$C$26,1,0))</f>
        <v/>
      </c>
      <c r="AT60" s="34">
        <f>IF(AND(W60="OK",Y60&lt;&gt;"除外"),COUNTIFS($W$5:W60,"OK",$Y$5:Y60,"&lt;&gt;除外"),"")</f>
        <v/>
      </c>
      <c r="AU60" s="34">
        <f>IF(OR(AT60="",AD60=""),"",AD60+ROW()/1000000000)</f>
        <v/>
      </c>
    </row>
    <row r="61">
      <c r="W61">
        <f>IF(AND(A61="",D61=""),"",IF(ISNUMBER(SEARCH("##END",AH61)),"（終わりの印）",IF(ISNUMBER(SEARCH("##続き",AH61)),"（続きありの印）",IF(AH61="調査ID","（見出し行）",IF(AND(AH61&lt;&gt;"R1",AH61&lt;&gt;"R2"),"×表以外の行（集計されない）",IF(COUNTIF($AI$5:AI61,AI61)&gt;1,"△重複（集計されない）",IF(D61="","△タスク名なし",IF(ISNA(MATCH(AK61,'M1_類型マスタ'!$A$5:$A$19,0)),"△類型が不正",IF(OR(AM61="",AN61=""),"△回数・分が読めない",IF(SUMPRODUCT(--ISNUMBER(--O61:U61))&lt;7,"△採点が足りない",IF(SUMPRODUCT((--O61:U61&gt;2)+(--O61:U61&lt;0))&gt;0,"△採点が範囲外","OK")))))))))))</f>
        <v/>
      </c>
      <c r="X61">
        <f>IF(W61&lt;&gt;"OK","",TRIM(IF(AND(AO61&lt;&gt;"",N(AO61)&lt;=1),"根拠1件 ","")&amp;IF(AP61&lt;&gt;"","同名あり ","")&amp;IF(AND(NOT(ISNUMBER(I61)),I61&lt;&gt;""),"回数を換算 ","")))</f>
        <v/>
      </c>
      <c r="Y61" s="31" t="n"/>
      <c r="Z61" s="32" t="n"/>
      <c r="AA61" s="32" t="n"/>
      <c r="AB61" s="31" t="n"/>
      <c r="AC61">
        <f>IF(W61&lt;&gt;"OK","",IF(AB61&lt;&gt;"",AB61,AE61))</f>
        <v/>
      </c>
      <c r="AD61" s="33">
        <f>IF(W61&lt;&gt;"OK","",IFERROR(IF(Z61&lt;&gt;"",Z61,AM61)*IF(AA61&lt;&gt;"",AA61,AN61)/60,""))</f>
        <v/>
      </c>
      <c r="AE61">
        <f>IF(W61&lt;&gt;"OK","",IF(OR(VALUE(O61)=2,VALUE(P61)=2,VALUE(Q61)=2),"社内残置",IF(AND(VALUE(O61)=0,VALUE(R61)=0,VALUE(T61)=0),"自動化候補",IF(AND(VALUE(P61)=0,VALUE(R61)&lt;=1,VALUE(S61)&lt;=1,VALUE(T61)&lt;=1,VALUE(U61)&lt;=1),"オフショア候補",IF(AND(VALUE(T61)&lt;=1,VALUE(U61)&lt;=1),"ニアショア候補","社内で手順化→再評価")))))</f>
        <v/>
      </c>
      <c r="AF61">
        <f>IF(W61&lt;&gt;"OK","",14-SUMPRODUCT(--O61:U61))</f>
        <v/>
      </c>
      <c r="AG61" s="33">
        <f>IF(W61&lt;&gt;"OK","",AM61*AN61/60)</f>
        <v/>
      </c>
      <c r="AH61" s="34">
        <f>IF(A61="","",UPPER(TRIM(ASC(A61&amp;""))))</f>
        <v/>
      </c>
      <c r="AI61" s="34">
        <f>IF(AH61="","",AH61&amp;"-"&amp;B61)</f>
        <v/>
      </c>
      <c r="AJ61" s="34">
        <f>IF(C61="","",IFERROR(VALUE(ASC(SUBSTITUTE(C61&amp;"","観点",""))),""))</f>
        <v/>
      </c>
      <c r="AK61" s="34">
        <f>IF(E61="","",UPPER(LEFT(TRIM(ASC(E61&amp;"")),3)))</f>
        <v/>
      </c>
      <c r="AL61" s="34">
        <f>IF(I61="","",IFERROR(VALUE(SUBSTITUTE(SUBSTITUTE(SUBSTITUTE(SUBSTITUTE(SUBSTITUTE(SUBSTITUTE(SUBSTITUTE(SUBSTITUTE(SUBSTITUTE(SUBSTITUTE(SUBSTITUTE(SUBSTITUTE(ASC(I61&amp;""),"約",""),"程度",""),"ほど",""),"回",""),"毎",""),"週",""),"月",""),"年",""),"日",""),"に",""),"/","")," ","")),""))</f>
        <v/>
      </c>
      <c r="AM61" s="34">
        <f>IF(I61="","",IF(ISNUMBER(I61),I61,IFERROR(VALUE(ASC(I61&amp;"")),IF(AL61&lt;&gt;"",AL61*IF(ISNUMBER(SEARCH("週",I61)),4.3,IF(ISNUMBER(SEARCH("年",I61)),1/12,IF(ISNUMBER(SEARCH("日",I61)),20,1))),IF(ISNUMBER(SEARCH("日",I61)),20,IF(ISNUMBER(SEARCH("週",I61)),4.3,IF(ISNUMBER(SEARCH("月",I61)),1,"")))))))</f>
        <v/>
      </c>
      <c r="AN61" s="34">
        <f>IF(J61="","",IF(ISNUMBER(J61),J61,IFERROR(VALUE(ASC(J61&amp;"")),IF(ISNUMBER(SEARCH("時間",J61)),IFERROR(VALUE(SUBSTITUTE(SUBSTITUTE(SUBSTITUTE(SUBSTITUTE(SUBSTITUTE(ASC(J61&amp;""),"約",""),"程度",""),"ほど",""),"時間","")," ",""))*60,""),IFERROR(VALUE(SUBSTITUTE(SUBSTITUTE(SUBSTITUTE(SUBSTITUTE(SUBSTITUTE(ASC(J61&amp;""),"約",""),"程度",""),"ほど",""),"分","")," ","")),"")))))</f>
        <v/>
      </c>
      <c r="AO61" s="34">
        <f>IF(K61="","",IF(ISNUMBER(K61),K61,IFERROR(VALUE(SUBSTITUTE(SUBSTITUTE(SUBSTITUTE(ASC(K61&amp;""),"約",""),"件","")," ","")),"")))</f>
        <v/>
      </c>
      <c r="AP61" s="34">
        <f>IF(W61&lt;&gt;"OK","",IF(COUNTIFS($D$5:$D$404,D61,$W$5:$W$404,"OK")&gt;1,"同名あり",""))</f>
        <v/>
      </c>
      <c r="AQ61" s="35">
        <f>IF(L61="","",IF(ISNUMBER(L61),L61,IFERROR(DATEVALUE(SUBSTITUTE(SUBSTITUTE(ASC(L61&amp;""),"-","/"),".","/")&amp;"/01"),"")))</f>
        <v/>
      </c>
      <c r="AR61" s="35">
        <f>IF(M61="","",IF(ISNUMBER(M61),M61,IFERROR(DATEVALUE(SUBSTITUTE(SUBSTITUTE(ASC(M61&amp;""),"-","/"),".","/")&amp;"/01"),"")))</f>
        <v/>
      </c>
      <c r="AS61" s="34">
        <f>IF(OR(W61&lt;&gt;"OK",AQ61=""),"",IF(AQ61&gt;='01_設定'!$C$26,1,0))</f>
        <v/>
      </c>
      <c r="AT61" s="34">
        <f>IF(AND(W61="OK",Y61&lt;&gt;"除外"),COUNTIFS($W$5:W61,"OK",$Y$5:Y61,"&lt;&gt;除外"),"")</f>
        <v/>
      </c>
      <c r="AU61" s="34">
        <f>IF(OR(AT61="",AD61=""),"",AD61+ROW()/1000000000)</f>
        <v/>
      </c>
    </row>
    <row r="62">
      <c r="W62">
        <f>IF(AND(A62="",D62=""),"",IF(ISNUMBER(SEARCH("##END",AH62)),"（終わりの印）",IF(ISNUMBER(SEARCH("##続き",AH62)),"（続きありの印）",IF(AH62="調査ID","（見出し行）",IF(AND(AH62&lt;&gt;"R1",AH62&lt;&gt;"R2"),"×表以外の行（集計されない）",IF(COUNTIF($AI$5:AI62,AI62)&gt;1,"△重複（集計されない）",IF(D62="","△タスク名なし",IF(ISNA(MATCH(AK62,'M1_類型マスタ'!$A$5:$A$19,0)),"△類型が不正",IF(OR(AM62="",AN62=""),"△回数・分が読めない",IF(SUMPRODUCT(--ISNUMBER(--O62:U62))&lt;7,"△採点が足りない",IF(SUMPRODUCT((--O62:U62&gt;2)+(--O62:U62&lt;0))&gt;0,"△採点が範囲外","OK")))))))))))</f>
        <v/>
      </c>
      <c r="X62">
        <f>IF(W62&lt;&gt;"OK","",TRIM(IF(AND(AO62&lt;&gt;"",N(AO62)&lt;=1),"根拠1件 ","")&amp;IF(AP62&lt;&gt;"","同名あり ","")&amp;IF(AND(NOT(ISNUMBER(I62)),I62&lt;&gt;""),"回数を換算 ","")))</f>
        <v/>
      </c>
      <c r="Y62" s="31" t="n"/>
      <c r="Z62" s="32" t="n"/>
      <c r="AA62" s="32" t="n"/>
      <c r="AB62" s="31" t="n"/>
      <c r="AC62">
        <f>IF(W62&lt;&gt;"OK","",IF(AB62&lt;&gt;"",AB62,AE62))</f>
        <v/>
      </c>
      <c r="AD62" s="33">
        <f>IF(W62&lt;&gt;"OK","",IFERROR(IF(Z62&lt;&gt;"",Z62,AM62)*IF(AA62&lt;&gt;"",AA62,AN62)/60,""))</f>
        <v/>
      </c>
      <c r="AE62">
        <f>IF(W62&lt;&gt;"OK","",IF(OR(VALUE(O62)=2,VALUE(P62)=2,VALUE(Q62)=2),"社内残置",IF(AND(VALUE(O62)=0,VALUE(R62)=0,VALUE(T62)=0),"自動化候補",IF(AND(VALUE(P62)=0,VALUE(R62)&lt;=1,VALUE(S62)&lt;=1,VALUE(T62)&lt;=1,VALUE(U62)&lt;=1),"オフショア候補",IF(AND(VALUE(T62)&lt;=1,VALUE(U62)&lt;=1),"ニアショア候補","社内で手順化→再評価")))))</f>
        <v/>
      </c>
      <c r="AF62">
        <f>IF(W62&lt;&gt;"OK","",14-SUMPRODUCT(--O62:U62))</f>
        <v/>
      </c>
      <c r="AG62" s="33">
        <f>IF(W62&lt;&gt;"OK","",AM62*AN62/60)</f>
        <v/>
      </c>
      <c r="AH62" s="34">
        <f>IF(A62="","",UPPER(TRIM(ASC(A62&amp;""))))</f>
        <v/>
      </c>
      <c r="AI62" s="34">
        <f>IF(AH62="","",AH62&amp;"-"&amp;B62)</f>
        <v/>
      </c>
      <c r="AJ62" s="34">
        <f>IF(C62="","",IFERROR(VALUE(ASC(SUBSTITUTE(C62&amp;"","観点",""))),""))</f>
        <v/>
      </c>
      <c r="AK62" s="34">
        <f>IF(E62="","",UPPER(LEFT(TRIM(ASC(E62&amp;"")),3)))</f>
        <v/>
      </c>
      <c r="AL62" s="34">
        <f>IF(I62="","",IFERROR(VALUE(SUBSTITUTE(SUBSTITUTE(SUBSTITUTE(SUBSTITUTE(SUBSTITUTE(SUBSTITUTE(SUBSTITUTE(SUBSTITUTE(SUBSTITUTE(SUBSTITUTE(SUBSTITUTE(SUBSTITUTE(ASC(I62&amp;""),"約",""),"程度",""),"ほど",""),"回",""),"毎",""),"週",""),"月",""),"年",""),"日",""),"に",""),"/","")," ","")),""))</f>
        <v/>
      </c>
      <c r="AM62" s="34">
        <f>IF(I62="","",IF(ISNUMBER(I62),I62,IFERROR(VALUE(ASC(I62&amp;"")),IF(AL62&lt;&gt;"",AL62*IF(ISNUMBER(SEARCH("週",I62)),4.3,IF(ISNUMBER(SEARCH("年",I62)),1/12,IF(ISNUMBER(SEARCH("日",I62)),20,1))),IF(ISNUMBER(SEARCH("日",I62)),20,IF(ISNUMBER(SEARCH("週",I62)),4.3,IF(ISNUMBER(SEARCH("月",I62)),1,"")))))))</f>
        <v/>
      </c>
      <c r="AN62" s="34">
        <f>IF(J62="","",IF(ISNUMBER(J62),J62,IFERROR(VALUE(ASC(J62&amp;"")),IF(ISNUMBER(SEARCH("時間",J62)),IFERROR(VALUE(SUBSTITUTE(SUBSTITUTE(SUBSTITUTE(SUBSTITUTE(SUBSTITUTE(ASC(J62&amp;""),"約",""),"程度",""),"ほど",""),"時間","")," ",""))*60,""),IFERROR(VALUE(SUBSTITUTE(SUBSTITUTE(SUBSTITUTE(SUBSTITUTE(SUBSTITUTE(ASC(J62&amp;""),"約",""),"程度",""),"ほど",""),"分","")," ","")),"")))))</f>
        <v/>
      </c>
      <c r="AO62" s="34">
        <f>IF(K62="","",IF(ISNUMBER(K62),K62,IFERROR(VALUE(SUBSTITUTE(SUBSTITUTE(SUBSTITUTE(ASC(K62&amp;""),"約",""),"件","")," ","")),"")))</f>
        <v/>
      </c>
      <c r="AP62" s="34">
        <f>IF(W62&lt;&gt;"OK","",IF(COUNTIFS($D$5:$D$404,D62,$W$5:$W$404,"OK")&gt;1,"同名あり",""))</f>
        <v/>
      </c>
      <c r="AQ62" s="35">
        <f>IF(L62="","",IF(ISNUMBER(L62),L62,IFERROR(DATEVALUE(SUBSTITUTE(SUBSTITUTE(ASC(L62&amp;""),"-","/"),".","/")&amp;"/01"),"")))</f>
        <v/>
      </c>
      <c r="AR62" s="35">
        <f>IF(M62="","",IF(ISNUMBER(M62),M62,IFERROR(DATEVALUE(SUBSTITUTE(SUBSTITUTE(ASC(M62&amp;""),"-","/"),".","/")&amp;"/01"),"")))</f>
        <v/>
      </c>
      <c r="AS62" s="34">
        <f>IF(OR(W62&lt;&gt;"OK",AQ62=""),"",IF(AQ62&gt;='01_設定'!$C$26,1,0))</f>
        <v/>
      </c>
      <c r="AT62" s="34">
        <f>IF(AND(W62="OK",Y62&lt;&gt;"除外"),COUNTIFS($W$5:W62,"OK",$Y$5:Y62,"&lt;&gt;除外"),"")</f>
        <v/>
      </c>
      <c r="AU62" s="34">
        <f>IF(OR(AT62="",AD62=""),"",AD62+ROW()/1000000000)</f>
        <v/>
      </c>
    </row>
    <row r="63">
      <c r="W63">
        <f>IF(AND(A63="",D63=""),"",IF(ISNUMBER(SEARCH("##END",AH63)),"（終わりの印）",IF(ISNUMBER(SEARCH("##続き",AH63)),"（続きありの印）",IF(AH63="調査ID","（見出し行）",IF(AND(AH63&lt;&gt;"R1",AH63&lt;&gt;"R2"),"×表以外の行（集計されない）",IF(COUNTIF($AI$5:AI63,AI63)&gt;1,"△重複（集計されない）",IF(D63="","△タスク名なし",IF(ISNA(MATCH(AK63,'M1_類型マスタ'!$A$5:$A$19,0)),"△類型が不正",IF(OR(AM63="",AN63=""),"△回数・分が読めない",IF(SUMPRODUCT(--ISNUMBER(--O63:U63))&lt;7,"△採点が足りない",IF(SUMPRODUCT((--O63:U63&gt;2)+(--O63:U63&lt;0))&gt;0,"△採点が範囲外","OK")))))))))))</f>
        <v/>
      </c>
      <c r="X63">
        <f>IF(W63&lt;&gt;"OK","",TRIM(IF(AND(AO63&lt;&gt;"",N(AO63)&lt;=1),"根拠1件 ","")&amp;IF(AP63&lt;&gt;"","同名あり ","")&amp;IF(AND(NOT(ISNUMBER(I63)),I63&lt;&gt;""),"回数を換算 ","")))</f>
        <v/>
      </c>
      <c r="Y63" s="31" t="n"/>
      <c r="Z63" s="32" t="n"/>
      <c r="AA63" s="32" t="n"/>
      <c r="AB63" s="31" t="n"/>
      <c r="AC63">
        <f>IF(W63&lt;&gt;"OK","",IF(AB63&lt;&gt;"",AB63,AE63))</f>
        <v/>
      </c>
      <c r="AD63" s="33">
        <f>IF(W63&lt;&gt;"OK","",IFERROR(IF(Z63&lt;&gt;"",Z63,AM63)*IF(AA63&lt;&gt;"",AA63,AN63)/60,""))</f>
        <v/>
      </c>
      <c r="AE63">
        <f>IF(W63&lt;&gt;"OK","",IF(OR(VALUE(O63)=2,VALUE(P63)=2,VALUE(Q63)=2),"社内残置",IF(AND(VALUE(O63)=0,VALUE(R63)=0,VALUE(T63)=0),"自動化候補",IF(AND(VALUE(P63)=0,VALUE(R63)&lt;=1,VALUE(S63)&lt;=1,VALUE(T63)&lt;=1,VALUE(U63)&lt;=1),"オフショア候補",IF(AND(VALUE(T63)&lt;=1,VALUE(U63)&lt;=1),"ニアショア候補","社内で手順化→再評価")))))</f>
        <v/>
      </c>
      <c r="AF63">
        <f>IF(W63&lt;&gt;"OK","",14-SUMPRODUCT(--O63:U63))</f>
        <v/>
      </c>
      <c r="AG63" s="33">
        <f>IF(W63&lt;&gt;"OK","",AM63*AN63/60)</f>
        <v/>
      </c>
      <c r="AH63" s="34">
        <f>IF(A63="","",UPPER(TRIM(ASC(A63&amp;""))))</f>
        <v/>
      </c>
      <c r="AI63" s="34">
        <f>IF(AH63="","",AH63&amp;"-"&amp;B63)</f>
        <v/>
      </c>
      <c r="AJ63" s="34">
        <f>IF(C63="","",IFERROR(VALUE(ASC(SUBSTITUTE(C63&amp;"","観点",""))),""))</f>
        <v/>
      </c>
      <c r="AK63" s="34">
        <f>IF(E63="","",UPPER(LEFT(TRIM(ASC(E63&amp;"")),3)))</f>
        <v/>
      </c>
      <c r="AL63" s="34">
        <f>IF(I63="","",IFERROR(VALUE(SUBSTITUTE(SUBSTITUTE(SUBSTITUTE(SUBSTITUTE(SUBSTITUTE(SUBSTITUTE(SUBSTITUTE(SUBSTITUTE(SUBSTITUTE(SUBSTITUTE(SUBSTITUTE(SUBSTITUTE(ASC(I63&amp;""),"約",""),"程度",""),"ほど",""),"回",""),"毎",""),"週",""),"月",""),"年",""),"日",""),"に",""),"/","")," ","")),""))</f>
        <v/>
      </c>
      <c r="AM63" s="34">
        <f>IF(I63="","",IF(ISNUMBER(I63),I63,IFERROR(VALUE(ASC(I63&amp;"")),IF(AL63&lt;&gt;"",AL63*IF(ISNUMBER(SEARCH("週",I63)),4.3,IF(ISNUMBER(SEARCH("年",I63)),1/12,IF(ISNUMBER(SEARCH("日",I63)),20,1))),IF(ISNUMBER(SEARCH("日",I63)),20,IF(ISNUMBER(SEARCH("週",I63)),4.3,IF(ISNUMBER(SEARCH("月",I63)),1,"")))))))</f>
        <v/>
      </c>
      <c r="AN63" s="34">
        <f>IF(J63="","",IF(ISNUMBER(J63),J63,IFERROR(VALUE(ASC(J63&amp;"")),IF(ISNUMBER(SEARCH("時間",J63)),IFERROR(VALUE(SUBSTITUTE(SUBSTITUTE(SUBSTITUTE(SUBSTITUTE(SUBSTITUTE(ASC(J63&amp;""),"約",""),"程度",""),"ほど",""),"時間","")," ",""))*60,""),IFERROR(VALUE(SUBSTITUTE(SUBSTITUTE(SUBSTITUTE(SUBSTITUTE(SUBSTITUTE(ASC(J63&amp;""),"約",""),"程度",""),"ほど",""),"分","")," ","")),"")))))</f>
        <v/>
      </c>
      <c r="AO63" s="34">
        <f>IF(K63="","",IF(ISNUMBER(K63),K63,IFERROR(VALUE(SUBSTITUTE(SUBSTITUTE(SUBSTITUTE(ASC(K63&amp;""),"約",""),"件","")," ","")),"")))</f>
        <v/>
      </c>
      <c r="AP63" s="34">
        <f>IF(W63&lt;&gt;"OK","",IF(COUNTIFS($D$5:$D$404,D63,$W$5:$W$404,"OK")&gt;1,"同名あり",""))</f>
        <v/>
      </c>
      <c r="AQ63" s="35">
        <f>IF(L63="","",IF(ISNUMBER(L63),L63,IFERROR(DATEVALUE(SUBSTITUTE(SUBSTITUTE(ASC(L63&amp;""),"-","/"),".","/")&amp;"/01"),"")))</f>
        <v/>
      </c>
      <c r="AR63" s="35">
        <f>IF(M63="","",IF(ISNUMBER(M63),M63,IFERROR(DATEVALUE(SUBSTITUTE(SUBSTITUTE(ASC(M63&amp;""),"-","/"),".","/")&amp;"/01"),"")))</f>
        <v/>
      </c>
      <c r="AS63" s="34">
        <f>IF(OR(W63&lt;&gt;"OK",AQ63=""),"",IF(AQ63&gt;='01_設定'!$C$26,1,0))</f>
        <v/>
      </c>
      <c r="AT63" s="34">
        <f>IF(AND(W63="OK",Y63&lt;&gt;"除外"),COUNTIFS($W$5:W63,"OK",$Y$5:Y63,"&lt;&gt;除外"),"")</f>
        <v/>
      </c>
      <c r="AU63" s="34">
        <f>IF(OR(AT63="",AD63=""),"",AD63+ROW()/1000000000)</f>
        <v/>
      </c>
    </row>
    <row r="64">
      <c r="W64">
        <f>IF(AND(A64="",D64=""),"",IF(ISNUMBER(SEARCH("##END",AH64)),"（終わりの印）",IF(ISNUMBER(SEARCH("##続き",AH64)),"（続きありの印）",IF(AH64="調査ID","（見出し行）",IF(AND(AH64&lt;&gt;"R1",AH64&lt;&gt;"R2"),"×表以外の行（集計されない）",IF(COUNTIF($AI$5:AI64,AI64)&gt;1,"△重複（集計されない）",IF(D64="","△タスク名なし",IF(ISNA(MATCH(AK64,'M1_類型マスタ'!$A$5:$A$19,0)),"△類型が不正",IF(OR(AM64="",AN64=""),"△回数・分が読めない",IF(SUMPRODUCT(--ISNUMBER(--O64:U64))&lt;7,"△採点が足りない",IF(SUMPRODUCT((--O64:U64&gt;2)+(--O64:U64&lt;0))&gt;0,"△採点が範囲外","OK")))))))))))</f>
        <v/>
      </c>
      <c r="X64">
        <f>IF(W64&lt;&gt;"OK","",TRIM(IF(AND(AO64&lt;&gt;"",N(AO64)&lt;=1),"根拠1件 ","")&amp;IF(AP64&lt;&gt;"","同名あり ","")&amp;IF(AND(NOT(ISNUMBER(I64)),I64&lt;&gt;""),"回数を換算 ","")))</f>
        <v/>
      </c>
      <c r="Y64" s="31" t="n"/>
      <c r="Z64" s="32" t="n"/>
      <c r="AA64" s="32" t="n"/>
      <c r="AB64" s="31" t="n"/>
      <c r="AC64">
        <f>IF(W64&lt;&gt;"OK","",IF(AB64&lt;&gt;"",AB64,AE64))</f>
        <v/>
      </c>
      <c r="AD64" s="33">
        <f>IF(W64&lt;&gt;"OK","",IFERROR(IF(Z64&lt;&gt;"",Z64,AM64)*IF(AA64&lt;&gt;"",AA64,AN64)/60,""))</f>
        <v/>
      </c>
      <c r="AE64">
        <f>IF(W64&lt;&gt;"OK","",IF(OR(VALUE(O64)=2,VALUE(P64)=2,VALUE(Q64)=2),"社内残置",IF(AND(VALUE(O64)=0,VALUE(R64)=0,VALUE(T64)=0),"自動化候補",IF(AND(VALUE(P64)=0,VALUE(R64)&lt;=1,VALUE(S64)&lt;=1,VALUE(T64)&lt;=1,VALUE(U64)&lt;=1),"オフショア候補",IF(AND(VALUE(T64)&lt;=1,VALUE(U64)&lt;=1),"ニアショア候補","社内で手順化→再評価")))))</f>
        <v/>
      </c>
      <c r="AF64">
        <f>IF(W64&lt;&gt;"OK","",14-SUMPRODUCT(--O64:U64))</f>
        <v/>
      </c>
      <c r="AG64" s="33">
        <f>IF(W64&lt;&gt;"OK","",AM64*AN64/60)</f>
        <v/>
      </c>
      <c r="AH64" s="34">
        <f>IF(A64="","",UPPER(TRIM(ASC(A64&amp;""))))</f>
        <v/>
      </c>
      <c r="AI64" s="34">
        <f>IF(AH64="","",AH64&amp;"-"&amp;B64)</f>
        <v/>
      </c>
      <c r="AJ64" s="34">
        <f>IF(C64="","",IFERROR(VALUE(ASC(SUBSTITUTE(C64&amp;"","観点",""))),""))</f>
        <v/>
      </c>
      <c r="AK64" s="34">
        <f>IF(E64="","",UPPER(LEFT(TRIM(ASC(E64&amp;"")),3)))</f>
        <v/>
      </c>
      <c r="AL64" s="34">
        <f>IF(I64="","",IFERROR(VALUE(SUBSTITUTE(SUBSTITUTE(SUBSTITUTE(SUBSTITUTE(SUBSTITUTE(SUBSTITUTE(SUBSTITUTE(SUBSTITUTE(SUBSTITUTE(SUBSTITUTE(SUBSTITUTE(SUBSTITUTE(ASC(I64&amp;""),"約",""),"程度",""),"ほど",""),"回",""),"毎",""),"週",""),"月",""),"年",""),"日",""),"に",""),"/","")," ","")),""))</f>
        <v/>
      </c>
      <c r="AM64" s="34">
        <f>IF(I64="","",IF(ISNUMBER(I64),I64,IFERROR(VALUE(ASC(I64&amp;"")),IF(AL64&lt;&gt;"",AL64*IF(ISNUMBER(SEARCH("週",I64)),4.3,IF(ISNUMBER(SEARCH("年",I64)),1/12,IF(ISNUMBER(SEARCH("日",I64)),20,1))),IF(ISNUMBER(SEARCH("日",I64)),20,IF(ISNUMBER(SEARCH("週",I64)),4.3,IF(ISNUMBER(SEARCH("月",I64)),1,"")))))))</f>
        <v/>
      </c>
      <c r="AN64" s="34">
        <f>IF(J64="","",IF(ISNUMBER(J64),J64,IFERROR(VALUE(ASC(J64&amp;"")),IF(ISNUMBER(SEARCH("時間",J64)),IFERROR(VALUE(SUBSTITUTE(SUBSTITUTE(SUBSTITUTE(SUBSTITUTE(SUBSTITUTE(ASC(J64&amp;""),"約",""),"程度",""),"ほど",""),"時間","")," ",""))*60,""),IFERROR(VALUE(SUBSTITUTE(SUBSTITUTE(SUBSTITUTE(SUBSTITUTE(SUBSTITUTE(ASC(J64&amp;""),"約",""),"程度",""),"ほど",""),"分","")," ","")),"")))))</f>
        <v/>
      </c>
      <c r="AO64" s="34">
        <f>IF(K64="","",IF(ISNUMBER(K64),K64,IFERROR(VALUE(SUBSTITUTE(SUBSTITUTE(SUBSTITUTE(ASC(K64&amp;""),"約",""),"件","")," ","")),"")))</f>
        <v/>
      </c>
      <c r="AP64" s="34">
        <f>IF(W64&lt;&gt;"OK","",IF(COUNTIFS($D$5:$D$404,D64,$W$5:$W$404,"OK")&gt;1,"同名あり",""))</f>
        <v/>
      </c>
      <c r="AQ64" s="35">
        <f>IF(L64="","",IF(ISNUMBER(L64),L64,IFERROR(DATEVALUE(SUBSTITUTE(SUBSTITUTE(ASC(L64&amp;""),"-","/"),".","/")&amp;"/01"),"")))</f>
        <v/>
      </c>
      <c r="AR64" s="35">
        <f>IF(M64="","",IF(ISNUMBER(M64),M64,IFERROR(DATEVALUE(SUBSTITUTE(SUBSTITUTE(ASC(M64&amp;""),"-","/"),".","/")&amp;"/01"),"")))</f>
        <v/>
      </c>
      <c r="AS64" s="34">
        <f>IF(OR(W64&lt;&gt;"OK",AQ64=""),"",IF(AQ64&gt;='01_設定'!$C$26,1,0))</f>
        <v/>
      </c>
      <c r="AT64" s="34">
        <f>IF(AND(W64="OK",Y64&lt;&gt;"除外"),COUNTIFS($W$5:W64,"OK",$Y$5:Y64,"&lt;&gt;除外"),"")</f>
        <v/>
      </c>
      <c r="AU64" s="34">
        <f>IF(OR(AT64="",AD64=""),"",AD64+ROW()/1000000000)</f>
        <v/>
      </c>
    </row>
    <row r="65">
      <c r="W65">
        <f>IF(AND(A65="",D65=""),"",IF(ISNUMBER(SEARCH("##END",AH65)),"（終わりの印）",IF(ISNUMBER(SEARCH("##続き",AH65)),"（続きありの印）",IF(AH65="調査ID","（見出し行）",IF(AND(AH65&lt;&gt;"R1",AH65&lt;&gt;"R2"),"×表以外の行（集計されない）",IF(COUNTIF($AI$5:AI65,AI65)&gt;1,"△重複（集計されない）",IF(D65="","△タスク名なし",IF(ISNA(MATCH(AK65,'M1_類型マスタ'!$A$5:$A$19,0)),"△類型が不正",IF(OR(AM65="",AN65=""),"△回数・分が読めない",IF(SUMPRODUCT(--ISNUMBER(--O65:U65))&lt;7,"△採点が足りない",IF(SUMPRODUCT((--O65:U65&gt;2)+(--O65:U65&lt;0))&gt;0,"△採点が範囲外","OK")))))))))))</f>
        <v/>
      </c>
      <c r="X65">
        <f>IF(W65&lt;&gt;"OK","",TRIM(IF(AND(AO65&lt;&gt;"",N(AO65)&lt;=1),"根拠1件 ","")&amp;IF(AP65&lt;&gt;"","同名あり ","")&amp;IF(AND(NOT(ISNUMBER(I65)),I65&lt;&gt;""),"回数を換算 ","")))</f>
        <v/>
      </c>
      <c r="Y65" s="31" t="n"/>
      <c r="Z65" s="32" t="n"/>
      <c r="AA65" s="32" t="n"/>
      <c r="AB65" s="31" t="n"/>
      <c r="AC65">
        <f>IF(W65&lt;&gt;"OK","",IF(AB65&lt;&gt;"",AB65,AE65))</f>
        <v/>
      </c>
      <c r="AD65" s="33">
        <f>IF(W65&lt;&gt;"OK","",IFERROR(IF(Z65&lt;&gt;"",Z65,AM65)*IF(AA65&lt;&gt;"",AA65,AN65)/60,""))</f>
        <v/>
      </c>
      <c r="AE65">
        <f>IF(W65&lt;&gt;"OK","",IF(OR(VALUE(O65)=2,VALUE(P65)=2,VALUE(Q65)=2),"社内残置",IF(AND(VALUE(O65)=0,VALUE(R65)=0,VALUE(T65)=0),"自動化候補",IF(AND(VALUE(P65)=0,VALUE(R65)&lt;=1,VALUE(S65)&lt;=1,VALUE(T65)&lt;=1,VALUE(U65)&lt;=1),"オフショア候補",IF(AND(VALUE(T65)&lt;=1,VALUE(U65)&lt;=1),"ニアショア候補","社内で手順化→再評価")))))</f>
        <v/>
      </c>
      <c r="AF65">
        <f>IF(W65&lt;&gt;"OK","",14-SUMPRODUCT(--O65:U65))</f>
        <v/>
      </c>
      <c r="AG65" s="33">
        <f>IF(W65&lt;&gt;"OK","",AM65*AN65/60)</f>
        <v/>
      </c>
      <c r="AH65" s="34">
        <f>IF(A65="","",UPPER(TRIM(ASC(A65&amp;""))))</f>
        <v/>
      </c>
      <c r="AI65" s="34">
        <f>IF(AH65="","",AH65&amp;"-"&amp;B65)</f>
        <v/>
      </c>
      <c r="AJ65" s="34">
        <f>IF(C65="","",IFERROR(VALUE(ASC(SUBSTITUTE(C65&amp;"","観点",""))),""))</f>
        <v/>
      </c>
      <c r="AK65" s="34">
        <f>IF(E65="","",UPPER(LEFT(TRIM(ASC(E65&amp;"")),3)))</f>
        <v/>
      </c>
      <c r="AL65" s="34">
        <f>IF(I65="","",IFERROR(VALUE(SUBSTITUTE(SUBSTITUTE(SUBSTITUTE(SUBSTITUTE(SUBSTITUTE(SUBSTITUTE(SUBSTITUTE(SUBSTITUTE(SUBSTITUTE(SUBSTITUTE(SUBSTITUTE(SUBSTITUTE(ASC(I65&amp;""),"約",""),"程度",""),"ほど",""),"回",""),"毎",""),"週",""),"月",""),"年",""),"日",""),"に",""),"/","")," ","")),""))</f>
        <v/>
      </c>
      <c r="AM65" s="34">
        <f>IF(I65="","",IF(ISNUMBER(I65),I65,IFERROR(VALUE(ASC(I65&amp;"")),IF(AL65&lt;&gt;"",AL65*IF(ISNUMBER(SEARCH("週",I65)),4.3,IF(ISNUMBER(SEARCH("年",I65)),1/12,IF(ISNUMBER(SEARCH("日",I65)),20,1))),IF(ISNUMBER(SEARCH("日",I65)),20,IF(ISNUMBER(SEARCH("週",I65)),4.3,IF(ISNUMBER(SEARCH("月",I65)),1,"")))))))</f>
        <v/>
      </c>
      <c r="AN65" s="34">
        <f>IF(J65="","",IF(ISNUMBER(J65),J65,IFERROR(VALUE(ASC(J65&amp;"")),IF(ISNUMBER(SEARCH("時間",J65)),IFERROR(VALUE(SUBSTITUTE(SUBSTITUTE(SUBSTITUTE(SUBSTITUTE(SUBSTITUTE(ASC(J65&amp;""),"約",""),"程度",""),"ほど",""),"時間","")," ",""))*60,""),IFERROR(VALUE(SUBSTITUTE(SUBSTITUTE(SUBSTITUTE(SUBSTITUTE(SUBSTITUTE(ASC(J65&amp;""),"約",""),"程度",""),"ほど",""),"分","")," ","")),"")))))</f>
        <v/>
      </c>
      <c r="AO65" s="34">
        <f>IF(K65="","",IF(ISNUMBER(K65),K65,IFERROR(VALUE(SUBSTITUTE(SUBSTITUTE(SUBSTITUTE(ASC(K65&amp;""),"約",""),"件","")," ","")),"")))</f>
        <v/>
      </c>
      <c r="AP65" s="34">
        <f>IF(W65&lt;&gt;"OK","",IF(COUNTIFS($D$5:$D$404,D65,$W$5:$W$404,"OK")&gt;1,"同名あり",""))</f>
        <v/>
      </c>
      <c r="AQ65" s="35">
        <f>IF(L65="","",IF(ISNUMBER(L65),L65,IFERROR(DATEVALUE(SUBSTITUTE(SUBSTITUTE(ASC(L65&amp;""),"-","/"),".","/")&amp;"/01"),"")))</f>
        <v/>
      </c>
      <c r="AR65" s="35">
        <f>IF(M65="","",IF(ISNUMBER(M65),M65,IFERROR(DATEVALUE(SUBSTITUTE(SUBSTITUTE(ASC(M65&amp;""),"-","/"),".","/")&amp;"/01"),"")))</f>
        <v/>
      </c>
      <c r="AS65" s="34">
        <f>IF(OR(W65&lt;&gt;"OK",AQ65=""),"",IF(AQ65&gt;='01_設定'!$C$26,1,0))</f>
        <v/>
      </c>
      <c r="AT65" s="34">
        <f>IF(AND(W65="OK",Y65&lt;&gt;"除外"),COUNTIFS($W$5:W65,"OK",$Y$5:Y65,"&lt;&gt;除外"),"")</f>
        <v/>
      </c>
      <c r="AU65" s="34">
        <f>IF(OR(AT65="",AD65=""),"",AD65+ROW()/1000000000)</f>
        <v/>
      </c>
    </row>
    <row r="66">
      <c r="W66">
        <f>IF(AND(A66="",D66=""),"",IF(ISNUMBER(SEARCH("##END",AH66)),"（終わりの印）",IF(ISNUMBER(SEARCH("##続き",AH66)),"（続きありの印）",IF(AH66="調査ID","（見出し行）",IF(AND(AH66&lt;&gt;"R1",AH66&lt;&gt;"R2"),"×表以外の行（集計されない）",IF(COUNTIF($AI$5:AI66,AI66)&gt;1,"△重複（集計されない）",IF(D66="","△タスク名なし",IF(ISNA(MATCH(AK66,'M1_類型マスタ'!$A$5:$A$19,0)),"△類型が不正",IF(OR(AM66="",AN66=""),"△回数・分が読めない",IF(SUMPRODUCT(--ISNUMBER(--O66:U66))&lt;7,"△採点が足りない",IF(SUMPRODUCT((--O66:U66&gt;2)+(--O66:U66&lt;0))&gt;0,"△採点が範囲外","OK")))))))))))</f>
        <v/>
      </c>
      <c r="X66">
        <f>IF(W66&lt;&gt;"OK","",TRIM(IF(AND(AO66&lt;&gt;"",N(AO66)&lt;=1),"根拠1件 ","")&amp;IF(AP66&lt;&gt;"","同名あり ","")&amp;IF(AND(NOT(ISNUMBER(I66)),I66&lt;&gt;""),"回数を換算 ","")))</f>
        <v/>
      </c>
      <c r="Y66" s="31" t="n"/>
      <c r="Z66" s="32" t="n"/>
      <c r="AA66" s="32" t="n"/>
      <c r="AB66" s="31" t="n"/>
      <c r="AC66">
        <f>IF(W66&lt;&gt;"OK","",IF(AB66&lt;&gt;"",AB66,AE66))</f>
        <v/>
      </c>
      <c r="AD66" s="33">
        <f>IF(W66&lt;&gt;"OK","",IFERROR(IF(Z66&lt;&gt;"",Z66,AM66)*IF(AA66&lt;&gt;"",AA66,AN66)/60,""))</f>
        <v/>
      </c>
      <c r="AE66">
        <f>IF(W66&lt;&gt;"OK","",IF(OR(VALUE(O66)=2,VALUE(P66)=2,VALUE(Q66)=2),"社内残置",IF(AND(VALUE(O66)=0,VALUE(R66)=0,VALUE(T66)=0),"自動化候補",IF(AND(VALUE(P66)=0,VALUE(R66)&lt;=1,VALUE(S66)&lt;=1,VALUE(T66)&lt;=1,VALUE(U66)&lt;=1),"オフショア候補",IF(AND(VALUE(T66)&lt;=1,VALUE(U66)&lt;=1),"ニアショア候補","社内で手順化→再評価")))))</f>
        <v/>
      </c>
      <c r="AF66">
        <f>IF(W66&lt;&gt;"OK","",14-SUMPRODUCT(--O66:U66))</f>
        <v/>
      </c>
      <c r="AG66" s="33">
        <f>IF(W66&lt;&gt;"OK","",AM66*AN66/60)</f>
        <v/>
      </c>
      <c r="AH66" s="34">
        <f>IF(A66="","",UPPER(TRIM(ASC(A66&amp;""))))</f>
        <v/>
      </c>
      <c r="AI66" s="34">
        <f>IF(AH66="","",AH66&amp;"-"&amp;B66)</f>
        <v/>
      </c>
      <c r="AJ66" s="34">
        <f>IF(C66="","",IFERROR(VALUE(ASC(SUBSTITUTE(C66&amp;"","観点",""))),""))</f>
        <v/>
      </c>
      <c r="AK66" s="34">
        <f>IF(E66="","",UPPER(LEFT(TRIM(ASC(E66&amp;"")),3)))</f>
        <v/>
      </c>
      <c r="AL66" s="34">
        <f>IF(I66="","",IFERROR(VALUE(SUBSTITUTE(SUBSTITUTE(SUBSTITUTE(SUBSTITUTE(SUBSTITUTE(SUBSTITUTE(SUBSTITUTE(SUBSTITUTE(SUBSTITUTE(SUBSTITUTE(SUBSTITUTE(SUBSTITUTE(ASC(I66&amp;""),"約",""),"程度",""),"ほど",""),"回",""),"毎",""),"週",""),"月",""),"年",""),"日",""),"に",""),"/","")," ","")),""))</f>
        <v/>
      </c>
      <c r="AM66" s="34">
        <f>IF(I66="","",IF(ISNUMBER(I66),I66,IFERROR(VALUE(ASC(I66&amp;"")),IF(AL66&lt;&gt;"",AL66*IF(ISNUMBER(SEARCH("週",I66)),4.3,IF(ISNUMBER(SEARCH("年",I66)),1/12,IF(ISNUMBER(SEARCH("日",I66)),20,1))),IF(ISNUMBER(SEARCH("日",I66)),20,IF(ISNUMBER(SEARCH("週",I66)),4.3,IF(ISNUMBER(SEARCH("月",I66)),1,"")))))))</f>
        <v/>
      </c>
      <c r="AN66" s="34">
        <f>IF(J66="","",IF(ISNUMBER(J66),J66,IFERROR(VALUE(ASC(J66&amp;"")),IF(ISNUMBER(SEARCH("時間",J66)),IFERROR(VALUE(SUBSTITUTE(SUBSTITUTE(SUBSTITUTE(SUBSTITUTE(SUBSTITUTE(ASC(J66&amp;""),"約",""),"程度",""),"ほど",""),"時間","")," ",""))*60,""),IFERROR(VALUE(SUBSTITUTE(SUBSTITUTE(SUBSTITUTE(SUBSTITUTE(SUBSTITUTE(ASC(J66&amp;""),"約",""),"程度",""),"ほど",""),"分","")," ","")),"")))))</f>
        <v/>
      </c>
      <c r="AO66" s="34">
        <f>IF(K66="","",IF(ISNUMBER(K66),K66,IFERROR(VALUE(SUBSTITUTE(SUBSTITUTE(SUBSTITUTE(ASC(K66&amp;""),"約",""),"件","")," ","")),"")))</f>
        <v/>
      </c>
      <c r="AP66" s="34">
        <f>IF(W66&lt;&gt;"OK","",IF(COUNTIFS($D$5:$D$404,D66,$W$5:$W$404,"OK")&gt;1,"同名あり",""))</f>
        <v/>
      </c>
      <c r="AQ66" s="35">
        <f>IF(L66="","",IF(ISNUMBER(L66),L66,IFERROR(DATEVALUE(SUBSTITUTE(SUBSTITUTE(ASC(L66&amp;""),"-","/"),".","/")&amp;"/01"),"")))</f>
        <v/>
      </c>
      <c r="AR66" s="35">
        <f>IF(M66="","",IF(ISNUMBER(M66),M66,IFERROR(DATEVALUE(SUBSTITUTE(SUBSTITUTE(ASC(M66&amp;""),"-","/"),".","/")&amp;"/01"),"")))</f>
        <v/>
      </c>
      <c r="AS66" s="34">
        <f>IF(OR(W66&lt;&gt;"OK",AQ66=""),"",IF(AQ66&gt;='01_設定'!$C$26,1,0))</f>
        <v/>
      </c>
      <c r="AT66" s="34">
        <f>IF(AND(W66="OK",Y66&lt;&gt;"除外"),COUNTIFS($W$5:W66,"OK",$Y$5:Y66,"&lt;&gt;除外"),"")</f>
        <v/>
      </c>
      <c r="AU66" s="34">
        <f>IF(OR(AT66="",AD66=""),"",AD66+ROW()/1000000000)</f>
        <v/>
      </c>
    </row>
    <row r="67">
      <c r="W67">
        <f>IF(AND(A67="",D67=""),"",IF(ISNUMBER(SEARCH("##END",AH67)),"（終わりの印）",IF(ISNUMBER(SEARCH("##続き",AH67)),"（続きありの印）",IF(AH67="調査ID","（見出し行）",IF(AND(AH67&lt;&gt;"R1",AH67&lt;&gt;"R2"),"×表以外の行（集計されない）",IF(COUNTIF($AI$5:AI67,AI67)&gt;1,"△重複（集計されない）",IF(D67="","△タスク名なし",IF(ISNA(MATCH(AK67,'M1_類型マスタ'!$A$5:$A$19,0)),"△類型が不正",IF(OR(AM67="",AN67=""),"△回数・分が読めない",IF(SUMPRODUCT(--ISNUMBER(--O67:U67))&lt;7,"△採点が足りない",IF(SUMPRODUCT((--O67:U67&gt;2)+(--O67:U67&lt;0))&gt;0,"△採点が範囲外","OK")))))))))))</f>
        <v/>
      </c>
      <c r="X67">
        <f>IF(W67&lt;&gt;"OK","",TRIM(IF(AND(AO67&lt;&gt;"",N(AO67)&lt;=1),"根拠1件 ","")&amp;IF(AP67&lt;&gt;"","同名あり ","")&amp;IF(AND(NOT(ISNUMBER(I67)),I67&lt;&gt;""),"回数を換算 ","")))</f>
        <v/>
      </c>
      <c r="Y67" s="31" t="n"/>
      <c r="Z67" s="32" t="n"/>
      <c r="AA67" s="32" t="n"/>
      <c r="AB67" s="31" t="n"/>
      <c r="AC67">
        <f>IF(W67&lt;&gt;"OK","",IF(AB67&lt;&gt;"",AB67,AE67))</f>
        <v/>
      </c>
      <c r="AD67" s="33">
        <f>IF(W67&lt;&gt;"OK","",IFERROR(IF(Z67&lt;&gt;"",Z67,AM67)*IF(AA67&lt;&gt;"",AA67,AN67)/60,""))</f>
        <v/>
      </c>
      <c r="AE67">
        <f>IF(W67&lt;&gt;"OK","",IF(OR(VALUE(O67)=2,VALUE(P67)=2,VALUE(Q67)=2),"社内残置",IF(AND(VALUE(O67)=0,VALUE(R67)=0,VALUE(T67)=0),"自動化候補",IF(AND(VALUE(P67)=0,VALUE(R67)&lt;=1,VALUE(S67)&lt;=1,VALUE(T67)&lt;=1,VALUE(U67)&lt;=1),"オフショア候補",IF(AND(VALUE(T67)&lt;=1,VALUE(U67)&lt;=1),"ニアショア候補","社内で手順化→再評価")))))</f>
        <v/>
      </c>
      <c r="AF67">
        <f>IF(W67&lt;&gt;"OK","",14-SUMPRODUCT(--O67:U67))</f>
        <v/>
      </c>
      <c r="AG67" s="33">
        <f>IF(W67&lt;&gt;"OK","",AM67*AN67/60)</f>
        <v/>
      </c>
      <c r="AH67" s="34">
        <f>IF(A67="","",UPPER(TRIM(ASC(A67&amp;""))))</f>
        <v/>
      </c>
      <c r="AI67" s="34">
        <f>IF(AH67="","",AH67&amp;"-"&amp;B67)</f>
        <v/>
      </c>
      <c r="AJ67" s="34">
        <f>IF(C67="","",IFERROR(VALUE(ASC(SUBSTITUTE(C67&amp;"","観点",""))),""))</f>
        <v/>
      </c>
      <c r="AK67" s="34">
        <f>IF(E67="","",UPPER(LEFT(TRIM(ASC(E67&amp;"")),3)))</f>
        <v/>
      </c>
      <c r="AL67" s="34">
        <f>IF(I67="","",IFERROR(VALUE(SUBSTITUTE(SUBSTITUTE(SUBSTITUTE(SUBSTITUTE(SUBSTITUTE(SUBSTITUTE(SUBSTITUTE(SUBSTITUTE(SUBSTITUTE(SUBSTITUTE(SUBSTITUTE(SUBSTITUTE(ASC(I67&amp;""),"約",""),"程度",""),"ほど",""),"回",""),"毎",""),"週",""),"月",""),"年",""),"日",""),"に",""),"/","")," ","")),""))</f>
        <v/>
      </c>
      <c r="AM67" s="34">
        <f>IF(I67="","",IF(ISNUMBER(I67),I67,IFERROR(VALUE(ASC(I67&amp;"")),IF(AL67&lt;&gt;"",AL67*IF(ISNUMBER(SEARCH("週",I67)),4.3,IF(ISNUMBER(SEARCH("年",I67)),1/12,IF(ISNUMBER(SEARCH("日",I67)),20,1))),IF(ISNUMBER(SEARCH("日",I67)),20,IF(ISNUMBER(SEARCH("週",I67)),4.3,IF(ISNUMBER(SEARCH("月",I67)),1,"")))))))</f>
        <v/>
      </c>
      <c r="AN67" s="34">
        <f>IF(J67="","",IF(ISNUMBER(J67),J67,IFERROR(VALUE(ASC(J67&amp;"")),IF(ISNUMBER(SEARCH("時間",J67)),IFERROR(VALUE(SUBSTITUTE(SUBSTITUTE(SUBSTITUTE(SUBSTITUTE(SUBSTITUTE(ASC(J67&amp;""),"約",""),"程度",""),"ほど",""),"時間","")," ",""))*60,""),IFERROR(VALUE(SUBSTITUTE(SUBSTITUTE(SUBSTITUTE(SUBSTITUTE(SUBSTITUTE(ASC(J67&amp;""),"約",""),"程度",""),"ほど",""),"分","")," ","")),"")))))</f>
        <v/>
      </c>
      <c r="AO67" s="34">
        <f>IF(K67="","",IF(ISNUMBER(K67),K67,IFERROR(VALUE(SUBSTITUTE(SUBSTITUTE(SUBSTITUTE(ASC(K67&amp;""),"約",""),"件","")," ","")),"")))</f>
        <v/>
      </c>
      <c r="AP67" s="34">
        <f>IF(W67&lt;&gt;"OK","",IF(COUNTIFS($D$5:$D$404,D67,$W$5:$W$404,"OK")&gt;1,"同名あり",""))</f>
        <v/>
      </c>
      <c r="AQ67" s="35">
        <f>IF(L67="","",IF(ISNUMBER(L67),L67,IFERROR(DATEVALUE(SUBSTITUTE(SUBSTITUTE(ASC(L67&amp;""),"-","/"),".","/")&amp;"/01"),"")))</f>
        <v/>
      </c>
      <c r="AR67" s="35">
        <f>IF(M67="","",IF(ISNUMBER(M67),M67,IFERROR(DATEVALUE(SUBSTITUTE(SUBSTITUTE(ASC(M67&amp;""),"-","/"),".","/")&amp;"/01"),"")))</f>
        <v/>
      </c>
      <c r="AS67" s="34">
        <f>IF(OR(W67&lt;&gt;"OK",AQ67=""),"",IF(AQ67&gt;='01_設定'!$C$26,1,0))</f>
        <v/>
      </c>
      <c r="AT67" s="34">
        <f>IF(AND(W67="OK",Y67&lt;&gt;"除外"),COUNTIFS($W$5:W67,"OK",$Y$5:Y67,"&lt;&gt;除外"),"")</f>
        <v/>
      </c>
      <c r="AU67" s="34">
        <f>IF(OR(AT67="",AD67=""),"",AD67+ROW()/1000000000)</f>
        <v/>
      </c>
    </row>
    <row r="68">
      <c r="W68">
        <f>IF(AND(A68="",D68=""),"",IF(ISNUMBER(SEARCH("##END",AH68)),"（終わりの印）",IF(ISNUMBER(SEARCH("##続き",AH68)),"（続きありの印）",IF(AH68="調査ID","（見出し行）",IF(AND(AH68&lt;&gt;"R1",AH68&lt;&gt;"R2"),"×表以外の行（集計されない）",IF(COUNTIF($AI$5:AI68,AI68)&gt;1,"△重複（集計されない）",IF(D68="","△タスク名なし",IF(ISNA(MATCH(AK68,'M1_類型マスタ'!$A$5:$A$19,0)),"△類型が不正",IF(OR(AM68="",AN68=""),"△回数・分が読めない",IF(SUMPRODUCT(--ISNUMBER(--O68:U68))&lt;7,"△採点が足りない",IF(SUMPRODUCT((--O68:U68&gt;2)+(--O68:U68&lt;0))&gt;0,"△採点が範囲外","OK")))))))))))</f>
        <v/>
      </c>
      <c r="X68">
        <f>IF(W68&lt;&gt;"OK","",TRIM(IF(AND(AO68&lt;&gt;"",N(AO68)&lt;=1),"根拠1件 ","")&amp;IF(AP68&lt;&gt;"","同名あり ","")&amp;IF(AND(NOT(ISNUMBER(I68)),I68&lt;&gt;""),"回数を換算 ","")))</f>
        <v/>
      </c>
      <c r="Y68" s="31" t="n"/>
      <c r="Z68" s="32" t="n"/>
      <c r="AA68" s="32" t="n"/>
      <c r="AB68" s="31" t="n"/>
      <c r="AC68">
        <f>IF(W68&lt;&gt;"OK","",IF(AB68&lt;&gt;"",AB68,AE68))</f>
        <v/>
      </c>
      <c r="AD68" s="33">
        <f>IF(W68&lt;&gt;"OK","",IFERROR(IF(Z68&lt;&gt;"",Z68,AM68)*IF(AA68&lt;&gt;"",AA68,AN68)/60,""))</f>
        <v/>
      </c>
      <c r="AE68">
        <f>IF(W68&lt;&gt;"OK","",IF(OR(VALUE(O68)=2,VALUE(P68)=2,VALUE(Q68)=2),"社内残置",IF(AND(VALUE(O68)=0,VALUE(R68)=0,VALUE(T68)=0),"自動化候補",IF(AND(VALUE(P68)=0,VALUE(R68)&lt;=1,VALUE(S68)&lt;=1,VALUE(T68)&lt;=1,VALUE(U68)&lt;=1),"オフショア候補",IF(AND(VALUE(T68)&lt;=1,VALUE(U68)&lt;=1),"ニアショア候補","社内で手順化→再評価")))))</f>
        <v/>
      </c>
      <c r="AF68">
        <f>IF(W68&lt;&gt;"OK","",14-SUMPRODUCT(--O68:U68))</f>
        <v/>
      </c>
      <c r="AG68" s="33">
        <f>IF(W68&lt;&gt;"OK","",AM68*AN68/60)</f>
        <v/>
      </c>
      <c r="AH68" s="34">
        <f>IF(A68="","",UPPER(TRIM(ASC(A68&amp;""))))</f>
        <v/>
      </c>
      <c r="AI68" s="34">
        <f>IF(AH68="","",AH68&amp;"-"&amp;B68)</f>
        <v/>
      </c>
      <c r="AJ68" s="34">
        <f>IF(C68="","",IFERROR(VALUE(ASC(SUBSTITUTE(C68&amp;"","観点",""))),""))</f>
        <v/>
      </c>
      <c r="AK68" s="34">
        <f>IF(E68="","",UPPER(LEFT(TRIM(ASC(E68&amp;"")),3)))</f>
        <v/>
      </c>
      <c r="AL68" s="34">
        <f>IF(I68="","",IFERROR(VALUE(SUBSTITUTE(SUBSTITUTE(SUBSTITUTE(SUBSTITUTE(SUBSTITUTE(SUBSTITUTE(SUBSTITUTE(SUBSTITUTE(SUBSTITUTE(SUBSTITUTE(SUBSTITUTE(SUBSTITUTE(ASC(I68&amp;""),"約",""),"程度",""),"ほど",""),"回",""),"毎",""),"週",""),"月",""),"年",""),"日",""),"に",""),"/","")," ","")),""))</f>
        <v/>
      </c>
      <c r="AM68" s="34">
        <f>IF(I68="","",IF(ISNUMBER(I68),I68,IFERROR(VALUE(ASC(I68&amp;"")),IF(AL68&lt;&gt;"",AL68*IF(ISNUMBER(SEARCH("週",I68)),4.3,IF(ISNUMBER(SEARCH("年",I68)),1/12,IF(ISNUMBER(SEARCH("日",I68)),20,1))),IF(ISNUMBER(SEARCH("日",I68)),20,IF(ISNUMBER(SEARCH("週",I68)),4.3,IF(ISNUMBER(SEARCH("月",I68)),1,"")))))))</f>
        <v/>
      </c>
      <c r="AN68" s="34">
        <f>IF(J68="","",IF(ISNUMBER(J68),J68,IFERROR(VALUE(ASC(J68&amp;"")),IF(ISNUMBER(SEARCH("時間",J68)),IFERROR(VALUE(SUBSTITUTE(SUBSTITUTE(SUBSTITUTE(SUBSTITUTE(SUBSTITUTE(ASC(J68&amp;""),"約",""),"程度",""),"ほど",""),"時間","")," ",""))*60,""),IFERROR(VALUE(SUBSTITUTE(SUBSTITUTE(SUBSTITUTE(SUBSTITUTE(SUBSTITUTE(ASC(J68&amp;""),"約",""),"程度",""),"ほど",""),"分","")," ","")),"")))))</f>
        <v/>
      </c>
      <c r="AO68" s="34">
        <f>IF(K68="","",IF(ISNUMBER(K68),K68,IFERROR(VALUE(SUBSTITUTE(SUBSTITUTE(SUBSTITUTE(ASC(K68&amp;""),"約",""),"件","")," ","")),"")))</f>
        <v/>
      </c>
      <c r="AP68" s="34">
        <f>IF(W68&lt;&gt;"OK","",IF(COUNTIFS($D$5:$D$404,D68,$W$5:$W$404,"OK")&gt;1,"同名あり",""))</f>
        <v/>
      </c>
      <c r="AQ68" s="35">
        <f>IF(L68="","",IF(ISNUMBER(L68),L68,IFERROR(DATEVALUE(SUBSTITUTE(SUBSTITUTE(ASC(L68&amp;""),"-","/"),".","/")&amp;"/01"),"")))</f>
        <v/>
      </c>
      <c r="AR68" s="35">
        <f>IF(M68="","",IF(ISNUMBER(M68),M68,IFERROR(DATEVALUE(SUBSTITUTE(SUBSTITUTE(ASC(M68&amp;""),"-","/"),".","/")&amp;"/01"),"")))</f>
        <v/>
      </c>
      <c r="AS68" s="34">
        <f>IF(OR(W68&lt;&gt;"OK",AQ68=""),"",IF(AQ68&gt;='01_設定'!$C$26,1,0))</f>
        <v/>
      </c>
      <c r="AT68" s="34">
        <f>IF(AND(W68="OK",Y68&lt;&gt;"除外"),COUNTIFS($W$5:W68,"OK",$Y$5:Y68,"&lt;&gt;除外"),"")</f>
        <v/>
      </c>
      <c r="AU68" s="34">
        <f>IF(OR(AT68="",AD68=""),"",AD68+ROW()/1000000000)</f>
        <v/>
      </c>
    </row>
    <row r="69">
      <c r="W69">
        <f>IF(AND(A69="",D69=""),"",IF(ISNUMBER(SEARCH("##END",AH69)),"（終わりの印）",IF(ISNUMBER(SEARCH("##続き",AH69)),"（続きありの印）",IF(AH69="調査ID","（見出し行）",IF(AND(AH69&lt;&gt;"R1",AH69&lt;&gt;"R2"),"×表以外の行（集計されない）",IF(COUNTIF($AI$5:AI69,AI69)&gt;1,"△重複（集計されない）",IF(D69="","△タスク名なし",IF(ISNA(MATCH(AK69,'M1_類型マスタ'!$A$5:$A$19,0)),"△類型が不正",IF(OR(AM69="",AN69=""),"△回数・分が読めない",IF(SUMPRODUCT(--ISNUMBER(--O69:U69))&lt;7,"△採点が足りない",IF(SUMPRODUCT((--O69:U69&gt;2)+(--O69:U69&lt;0))&gt;0,"△採点が範囲外","OK")))))))))))</f>
        <v/>
      </c>
      <c r="X69">
        <f>IF(W69&lt;&gt;"OK","",TRIM(IF(AND(AO69&lt;&gt;"",N(AO69)&lt;=1),"根拠1件 ","")&amp;IF(AP69&lt;&gt;"","同名あり ","")&amp;IF(AND(NOT(ISNUMBER(I69)),I69&lt;&gt;""),"回数を換算 ","")))</f>
        <v/>
      </c>
      <c r="Y69" s="31" t="n"/>
      <c r="Z69" s="32" t="n"/>
      <c r="AA69" s="32" t="n"/>
      <c r="AB69" s="31" t="n"/>
      <c r="AC69">
        <f>IF(W69&lt;&gt;"OK","",IF(AB69&lt;&gt;"",AB69,AE69))</f>
        <v/>
      </c>
      <c r="AD69" s="33">
        <f>IF(W69&lt;&gt;"OK","",IFERROR(IF(Z69&lt;&gt;"",Z69,AM69)*IF(AA69&lt;&gt;"",AA69,AN69)/60,""))</f>
        <v/>
      </c>
      <c r="AE69">
        <f>IF(W69&lt;&gt;"OK","",IF(OR(VALUE(O69)=2,VALUE(P69)=2,VALUE(Q69)=2),"社内残置",IF(AND(VALUE(O69)=0,VALUE(R69)=0,VALUE(T69)=0),"自動化候補",IF(AND(VALUE(P69)=0,VALUE(R69)&lt;=1,VALUE(S69)&lt;=1,VALUE(T69)&lt;=1,VALUE(U69)&lt;=1),"オフショア候補",IF(AND(VALUE(T69)&lt;=1,VALUE(U69)&lt;=1),"ニアショア候補","社内で手順化→再評価")))))</f>
        <v/>
      </c>
      <c r="AF69">
        <f>IF(W69&lt;&gt;"OK","",14-SUMPRODUCT(--O69:U69))</f>
        <v/>
      </c>
      <c r="AG69" s="33">
        <f>IF(W69&lt;&gt;"OK","",AM69*AN69/60)</f>
        <v/>
      </c>
      <c r="AH69" s="34">
        <f>IF(A69="","",UPPER(TRIM(ASC(A69&amp;""))))</f>
        <v/>
      </c>
      <c r="AI69" s="34">
        <f>IF(AH69="","",AH69&amp;"-"&amp;B69)</f>
        <v/>
      </c>
      <c r="AJ69" s="34">
        <f>IF(C69="","",IFERROR(VALUE(ASC(SUBSTITUTE(C69&amp;"","観点",""))),""))</f>
        <v/>
      </c>
      <c r="AK69" s="34">
        <f>IF(E69="","",UPPER(LEFT(TRIM(ASC(E69&amp;"")),3)))</f>
        <v/>
      </c>
      <c r="AL69" s="34">
        <f>IF(I69="","",IFERROR(VALUE(SUBSTITUTE(SUBSTITUTE(SUBSTITUTE(SUBSTITUTE(SUBSTITUTE(SUBSTITUTE(SUBSTITUTE(SUBSTITUTE(SUBSTITUTE(SUBSTITUTE(SUBSTITUTE(SUBSTITUTE(ASC(I69&amp;""),"約",""),"程度",""),"ほど",""),"回",""),"毎",""),"週",""),"月",""),"年",""),"日",""),"に",""),"/","")," ","")),""))</f>
        <v/>
      </c>
      <c r="AM69" s="34">
        <f>IF(I69="","",IF(ISNUMBER(I69),I69,IFERROR(VALUE(ASC(I69&amp;"")),IF(AL69&lt;&gt;"",AL69*IF(ISNUMBER(SEARCH("週",I69)),4.3,IF(ISNUMBER(SEARCH("年",I69)),1/12,IF(ISNUMBER(SEARCH("日",I69)),20,1))),IF(ISNUMBER(SEARCH("日",I69)),20,IF(ISNUMBER(SEARCH("週",I69)),4.3,IF(ISNUMBER(SEARCH("月",I69)),1,"")))))))</f>
        <v/>
      </c>
      <c r="AN69" s="34">
        <f>IF(J69="","",IF(ISNUMBER(J69),J69,IFERROR(VALUE(ASC(J69&amp;"")),IF(ISNUMBER(SEARCH("時間",J69)),IFERROR(VALUE(SUBSTITUTE(SUBSTITUTE(SUBSTITUTE(SUBSTITUTE(SUBSTITUTE(ASC(J69&amp;""),"約",""),"程度",""),"ほど",""),"時間","")," ",""))*60,""),IFERROR(VALUE(SUBSTITUTE(SUBSTITUTE(SUBSTITUTE(SUBSTITUTE(SUBSTITUTE(ASC(J69&amp;""),"約",""),"程度",""),"ほど",""),"分","")," ","")),"")))))</f>
        <v/>
      </c>
      <c r="AO69" s="34">
        <f>IF(K69="","",IF(ISNUMBER(K69),K69,IFERROR(VALUE(SUBSTITUTE(SUBSTITUTE(SUBSTITUTE(ASC(K69&amp;""),"約",""),"件","")," ","")),"")))</f>
        <v/>
      </c>
      <c r="AP69" s="34">
        <f>IF(W69&lt;&gt;"OK","",IF(COUNTIFS($D$5:$D$404,D69,$W$5:$W$404,"OK")&gt;1,"同名あり",""))</f>
        <v/>
      </c>
      <c r="AQ69" s="35">
        <f>IF(L69="","",IF(ISNUMBER(L69),L69,IFERROR(DATEVALUE(SUBSTITUTE(SUBSTITUTE(ASC(L69&amp;""),"-","/"),".","/")&amp;"/01"),"")))</f>
        <v/>
      </c>
      <c r="AR69" s="35">
        <f>IF(M69="","",IF(ISNUMBER(M69),M69,IFERROR(DATEVALUE(SUBSTITUTE(SUBSTITUTE(ASC(M69&amp;""),"-","/"),".","/")&amp;"/01"),"")))</f>
        <v/>
      </c>
      <c r="AS69" s="34">
        <f>IF(OR(W69&lt;&gt;"OK",AQ69=""),"",IF(AQ69&gt;='01_設定'!$C$26,1,0))</f>
        <v/>
      </c>
      <c r="AT69" s="34">
        <f>IF(AND(W69="OK",Y69&lt;&gt;"除外"),COUNTIFS($W$5:W69,"OK",$Y$5:Y69,"&lt;&gt;除外"),"")</f>
        <v/>
      </c>
      <c r="AU69" s="34">
        <f>IF(OR(AT69="",AD69=""),"",AD69+ROW()/1000000000)</f>
        <v/>
      </c>
    </row>
    <row r="70">
      <c r="W70">
        <f>IF(AND(A70="",D70=""),"",IF(ISNUMBER(SEARCH("##END",AH70)),"（終わりの印）",IF(ISNUMBER(SEARCH("##続き",AH70)),"（続きありの印）",IF(AH70="調査ID","（見出し行）",IF(AND(AH70&lt;&gt;"R1",AH70&lt;&gt;"R2"),"×表以外の行（集計されない）",IF(COUNTIF($AI$5:AI70,AI70)&gt;1,"△重複（集計されない）",IF(D70="","△タスク名なし",IF(ISNA(MATCH(AK70,'M1_類型マスタ'!$A$5:$A$19,0)),"△類型が不正",IF(OR(AM70="",AN70=""),"△回数・分が読めない",IF(SUMPRODUCT(--ISNUMBER(--O70:U70))&lt;7,"△採点が足りない",IF(SUMPRODUCT((--O70:U70&gt;2)+(--O70:U70&lt;0))&gt;0,"△採点が範囲外","OK")))))))))))</f>
        <v/>
      </c>
      <c r="X70">
        <f>IF(W70&lt;&gt;"OK","",TRIM(IF(AND(AO70&lt;&gt;"",N(AO70)&lt;=1),"根拠1件 ","")&amp;IF(AP70&lt;&gt;"","同名あり ","")&amp;IF(AND(NOT(ISNUMBER(I70)),I70&lt;&gt;""),"回数を換算 ","")))</f>
        <v/>
      </c>
      <c r="Y70" s="31" t="n"/>
      <c r="Z70" s="32" t="n"/>
      <c r="AA70" s="32" t="n"/>
      <c r="AB70" s="31" t="n"/>
      <c r="AC70">
        <f>IF(W70&lt;&gt;"OK","",IF(AB70&lt;&gt;"",AB70,AE70))</f>
        <v/>
      </c>
      <c r="AD70" s="33">
        <f>IF(W70&lt;&gt;"OK","",IFERROR(IF(Z70&lt;&gt;"",Z70,AM70)*IF(AA70&lt;&gt;"",AA70,AN70)/60,""))</f>
        <v/>
      </c>
      <c r="AE70">
        <f>IF(W70&lt;&gt;"OK","",IF(OR(VALUE(O70)=2,VALUE(P70)=2,VALUE(Q70)=2),"社内残置",IF(AND(VALUE(O70)=0,VALUE(R70)=0,VALUE(T70)=0),"自動化候補",IF(AND(VALUE(P70)=0,VALUE(R70)&lt;=1,VALUE(S70)&lt;=1,VALUE(T70)&lt;=1,VALUE(U70)&lt;=1),"オフショア候補",IF(AND(VALUE(T70)&lt;=1,VALUE(U70)&lt;=1),"ニアショア候補","社内で手順化→再評価")))))</f>
        <v/>
      </c>
      <c r="AF70">
        <f>IF(W70&lt;&gt;"OK","",14-SUMPRODUCT(--O70:U70))</f>
        <v/>
      </c>
      <c r="AG70" s="33">
        <f>IF(W70&lt;&gt;"OK","",AM70*AN70/60)</f>
        <v/>
      </c>
      <c r="AH70" s="34">
        <f>IF(A70="","",UPPER(TRIM(ASC(A70&amp;""))))</f>
        <v/>
      </c>
      <c r="AI70" s="34">
        <f>IF(AH70="","",AH70&amp;"-"&amp;B70)</f>
        <v/>
      </c>
      <c r="AJ70" s="34">
        <f>IF(C70="","",IFERROR(VALUE(ASC(SUBSTITUTE(C70&amp;"","観点",""))),""))</f>
        <v/>
      </c>
      <c r="AK70" s="34">
        <f>IF(E70="","",UPPER(LEFT(TRIM(ASC(E70&amp;"")),3)))</f>
        <v/>
      </c>
      <c r="AL70" s="34">
        <f>IF(I70="","",IFERROR(VALUE(SUBSTITUTE(SUBSTITUTE(SUBSTITUTE(SUBSTITUTE(SUBSTITUTE(SUBSTITUTE(SUBSTITUTE(SUBSTITUTE(SUBSTITUTE(SUBSTITUTE(SUBSTITUTE(SUBSTITUTE(ASC(I70&amp;""),"約",""),"程度",""),"ほど",""),"回",""),"毎",""),"週",""),"月",""),"年",""),"日",""),"に",""),"/","")," ","")),""))</f>
        <v/>
      </c>
      <c r="AM70" s="34">
        <f>IF(I70="","",IF(ISNUMBER(I70),I70,IFERROR(VALUE(ASC(I70&amp;"")),IF(AL70&lt;&gt;"",AL70*IF(ISNUMBER(SEARCH("週",I70)),4.3,IF(ISNUMBER(SEARCH("年",I70)),1/12,IF(ISNUMBER(SEARCH("日",I70)),20,1))),IF(ISNUMBER(SEARCH("日",I70)),20,IF(ISNUMBER(SEARCH("週",I70)),4.3,IF(ISNUMBER(SEARCH("月",I70)),1,"")))))))</f>
        <v/>
      </c>
      <c r="AN70" s="34">
        <f>IF(J70="","",IF(ISNUMBER(J70),J70,IFERROR(VALUE(ASC(J70&amp;"")),IF(ISNUMBER(SEARCH("時間",J70)),IFERROR(VALUE(SUBSTITUTE(SUBSTITUTE(SUBSTITUTE(SUBSTITUTE(SUBSTITUTE(ASC(J70&amp;""),"約",""),"程度",""),"ほど",""),"時間","")," ",""))*60,""),IFERROR(VALUE(SUBSTITUTE(SUBSTITUTE(SUBSTITUTE(SUBSTITUTE(SUBSTITUTE(ASC(J70&amp;""),"約",""),"程度",""),"ほど",""),"分","")," ","")),"")))))</f>
        <v/>
      </c>
      <c r="AO70" s="34">
        <f>IF(K70="","",IF(ISNUMBER(K70),K70,IFERROR(VALUE(SUBSTITUTE(SUBSTITUTE(SUBSTITUTE(ASC(K70&amp;""),"約",""),"件","")," ","")),"")))</f>
        <v/>
      </c>
      <c r="AP70" s="34">
        <f>IF(W70&lt;&gt;"OK","",IF(COUNTIFS($D$5:$D$404,D70,$W$5:$W$404,"OK")&gt;1,"同名あり",""))</f>
        <v/>
      </c>
      <c r="AQ70" s="35">
        <f>IF(L70="","",IF(ISNUMBER(L70),L70,IFERROR(DATEVALUE(SUBSTITUTE(SUBSTITUTE(ASC(L70&amp;""),"-","/"),".","/")&amp;"/01"),"")))</f>
        <v/>
      </c>
      <c r="AR70" s="35">
        <f>IF(M70="","",IF(ISNUMBER(M70),M70,IFERROR(DATEVALUE(SUBSTITUTE(SUBSTITUTE(ASC(M70&amp;""),"-","/"),".","/")&amp;"/01"),"")))</f>
        <v/>
      </c>
      <c r="AS70" s="34">
        <f>IF(OR(W70&lt;&gt;"OK",AQ70=""),"",IF(AQ70&gt;='01_設定'!$C$26,1,0))</f>
        <v/>
      </c>
      <c r="AT70" s="34">
        <f>IF(AND(W70="OK",Y70&lt;&gt;"除外"),COUNTIFS($W$5:W70,"OK",$Y$5:Y70,"&lt;&gt;除外"),"")</f>
        <v/>
      </c>
      <c r="AU70" s="34">
        <f>IF(OR(AT70="",AD70=""),"",AD70+ROW()/1000000000)</f>
        <v/>
      </c>
    </row>
    <row r="71">
      <c r="W71">
        <f>IF(AND(A71="",D71=""),"",IF(ISNUMBER(SEARCH("##END",AH71)),"（終わりの印）",IF(ISNUMBER(SEARCH("##続き",AH71)),"（続きありの印）",IF(AH71="調査ID","（見出し行）",IF(AND(AH71&lt;&gt;"R1",AH71&lt;&gt;"R2"),"×表以外の行（集計されない）",IF(COUNTIF($AI$5:AI71,AI71)&gt;1,"△重複（集計されない）",IF(D71="","△タスク名なし",IF(ISNA(MATCH(AK71,'M1_類型マスタ'!$A$5:$A$19,0)),"△類型が不正",IF(OR(AM71="",AN71=""),"△回数・分が読めない",IF(SUMPRODUCT(--ISNUMBER(--O71:U71))&lt;7,"△採点が足りない",IF(SUMPRODUCT((--O71:U71&gt;2)+(--O71:U71&lt;0))&gt;0,"△採点が範囲外","OK")))))))))))</f>
        <v/>
      </c>
      <c r="X71">
        <f>IF(W71&lt;&gt;"OK","",TRIM(IF(AND(AO71&lt;&gt;"",N(AO71)&lt;=1),"根拠1件 ","")&amp;IF(AP71&lt;&gt;"","同名あり ","")&amp;IF(AND(NOT(ISNUMBER(I71)),I71&lt;&gt;""),"回数を換算 ","")))</f>
        <v/>
      </c>
      <c r="Y71" s="31" t="n"/>
      <c r="Z71" s="32" t="n"/>
      <c r="AA71" s="32" t="n"/>
      <c r="AB71" s="31" t="n"/>
      <c r="AC71">
        <f>IF(W71&lt;&gt;"OK","",IF(AB71&lt;&gt;"",AB71,AE71))</f>
        <v/>
      </c>
      <c r="AD71" s="33">
        <f>IF(W71&lt;&gt;"OK","",IFERROR(IF(Z71&lt;&gt;"",Z71,AM71)*IF(AA71&lt;&gt;"",AA71,AN71)/60,""))</f>
        <v/>
      </c>
      <c r="AE71">
        <f>IF(W71&lt;&gt;"OK","",IF(OR(VALUE(O71)=2,VALUE(P71)=2,VALUE(Q71)=2),"社内残置",IF(AND(VALUE(O71)=0,VALUE(R71)=0,VALUE(T71)=0),"自動化候補",IF(AND(VALUE(P71)=0,VALUE(R71)&lt;=1,VALUE(S71)&lt;=1,VALUE(T71)&lt;=1,VALUE(U71)&lt;=1),"オフショア候補",IF(AND(VALUE(T71)&lt;=1,VALUE(U71)&lt;=1),"ニアショア候補","社内で手順化→再評価")))))</f>
        <v/>
      </c>
      <c r="AF71">
        <f>IF(W71&lt;&gt;"OK","",14-SUMPRODUCT(--O71:U71))</f>
        <v/>
      </c>
      <c r="AG71" s="33">
        <f>IF(W71&lt;&gt;"OK","",AM71*AN71/60)</f>
        <v/>
      </c>
      <c r="AH71" s="34">
        <f>IF(A71="","",UPPER(TRIM(ASC(A71&amp;""))))</f>
        <v/>
      </c>
      <c r="AI71" s="34">
        <f>IF(AH71="","",AH71&amp;"-"&amp;B71)</f>
        <v/>
      </c>
      <c r="AJ71" s="34">
        <f>IF(C71="","",IFERROR(VALUE(ASC(SUBSTITUTE(C71&amp;"","観点",""))),""))</f>
        <v/>
      </c>
      <c r="AK71" s="34">
        <f>IF(E71="","",UPPER(LEFT(TRIM(ASC(E71&amp;"")),3)))</f>
        <v/>
      </c>
      <c r="AL71" s="34">
        <f>IF(I71="","",IFERROR(VALUE(SUBSTITUTE(SUBSTITUTE(SUBSTITUTE(SUBSTITUTE(SUBSTITUTE(SUBSTITUTE(SUBSTITUTE(SUBSTITUTE(SUBSTITUTE(SUBSTITUTE(SUBSTITUTE(SUBSTITUTE(ASC(I71&amp;""),"約",""),"程度",""),"ほど",""),"回",""),"毎",""),"週",""),"月",""),"年",""),"日",""),"に",""),"/","")," ","")),""))</f>
        <v/>
      </c>
      <c r="AM71" s="34">
        <f>IF(I71="","",IF(ISNUMBER(I71),I71,IFERROR(VALUE(ASC(I71&amp;"")),IF(AL71&lt;&gt;"",AL71*IF(ISNUMBER(SEARCH("週",I71)),4.3,IF(ISNUMBER(SEARCH("年",I71)),1/12,IF(ISNUMBER(SEARCH("日",I71)),20,1))),IF(ISNUMBER(SEARCH("日",I71)),20,IF(ISNUMBER(SEARCH("週",I71)),4.3,IF(ISNUMBER(SEARCH("月",I71)),1,"")))))))</f>
        <v/>
      </c>
      <c r="AN71" s="34">
        <f>IF(J71="","",IF(ISNUMBER(J71),J71,IFERROR(VALUE(ASC(J71&amp;"")),IF(ISNUMBER(SEARCH("時間",J71)),IFERROR(VALUE(SUBSTITUTE(SUBSTITUTE(SUBSTITUTE(SUBSTITUTE(SUBSTITUTE(ASC(J71&amp;""),"約",""),"程度",""),"ほど",""),"時間","")," ",""))*60,""),IFERROR(VALUE(SUBSTITUTE(SUBSTITUTE(SUBSTITUTE(SUBSTITUTE(SUBSTITUTE(ASC(J71&amp;""),"約",""),"程度",""),"ほど",""),"分","")," ","")),"")))))</f>
        <v/>
      </c>
      <c r="AO71" s="34">
        <f>IF(K71="","",IF(ISNUMBER(K71),K71,IFERROR(VALUE(SUBSTITUTE(SUBSTITUTE(SUBSTITUTE(ASC(K71&amp;""),"約",""),"件","")," ","")),"")))</f>
        <v/>
      </c>
      <c r="AP71" s="34">
        <f>IF(W71&lt;&gt;"OK","",IF(COUNTIFS($D$5:$D$404,D71,$W$5:$W$404,"OK")&gt;1,"同名あり",""))</f>
        <v/>
      </c>
      <c r="AQ71" s="35">
        <f>IF(L71="","",IF(ISNUMBER(L71),L71,IFERROR(DATEVALUE(SUBSTITUTE(SUBSTITUTE(ASC(L71&amp;""),"-","/"),".","/")&amp;"/01"),"")))</f>
        <v/>
      </c>
      <c r="AR71" s="35">
        <f>IF(M71="","",IF(ISNUMBER(M71),M71,IFERROR(DATEVALUE(SUBSTITUTE(SUBSTITUTE(ASC(M71&amp;""),"-","/"),".","/")&amp;"/01"),"")))</f>
        <v/>
      </c>
      <c r="AS71" s="34">
        <f>IF(OR(W71&lt;&gt;"OK",AQ71=""),"",IF(AQ71&gt;='01_設定'!$C$26,1,0))</f>
        <v/>
      </c>
      <c r="AT71" s="34">
        <f>IF(AND(W71="OK",Y71&lt;&gt;"除外"),COUNTIFS($W$5:W71,"OK",$Y$5:Y71,"&lt;&gt;除外"),"")</f>
        <v/>
      </c>
      <c r="AU71" s="34">
        <f>IF(OR(AT71="",AD71=""),"",AD71+ROW()/1000000000)</f>
        <v/>
      </c>
    </row>
    <row r="72">
      <c r="W72">
        <f>IF(AND(A72="",D72=""),"",IF(ISNUMBER(SEARCH("##END",AH72)),"（終わりの印）",IF(ISNUMBER(SEARCH("##続き",AH72)),"（続きありの印）",IF(AH72="調査ID","（見出し行）",IF(AND(AH72&lt;&gt;"R1",AH72&lt;&gt;"R2"),"×表以外の行（集計されない）",IF(COUNTIF($AI$5:AI72,AI72)&gt;1,"△重複（集計されない）",IF(D72="","△タスク名なし",IF(ISNA(MATCH(AK72,'M1_類型マスタ'!$A$5:$A$19,0)),"△類型が不正",IF(OR(AM72="",AN72=""),"△回数・分が読めない",IF(SUMPRODUCT(--ISNUMBER(--O72:U72))&lt;7,"△採点が足りない",IF(SUMPRODUCT((--O72:U72&gt;2)+(--O72:U72&lt;0))&gt;0,"△採点が範囲外","OK")))))))))))</f>
        <v/>
      </c>
      <c r="X72">
        <f>IF(W72&lt;&gt;"OK","",TRIM(IF(AND(AO72&lt;&gt;"",N(AO72)&lt;=1),"根拠1件 ","")&amp;IF(AP72&lt;&gt;"","同名あり ","")&amp;IF(AND(NOT(ISNUMBER(I72)),I72&lt;&gt;""),"回数を換算 ","")))</f>
        <v/>
      </c>
      <c r="Y72" s="31" t="n"/>
      <c r="Z72" s="32" t="n"/>
      <c r="AA72" s="32" t="n"/>
      <c r="AB72" s="31" t="n"/>
      <c r="AC72">
        <f>IF(W72&lt;&gt;"OK","",IF(AB72&lt;&gt;"",AB72,AE72))</f>
        <v/>
      </c>
      <c r="AD72" s="33">
        <f>IF(W72&lt;&gt;"OK","",IFERROR(IF(Z72&lt;&gt;"",Z72,AM72)*IF(AA72&lt;&gt;"",AA72,AN72)/60,""))</f>
        <v/>
      </c>
      <c r="AE72">
        <f>IF(W72&lt;&gt;"OK","",IF(OR(VALUE(O72)=2,VALUE(P72)=2,VALUE(Q72)=2),"社内残置",IF(AND(VALUE(O72)=0,VALUE(R72)=0,VALUE(T72)=0),"自動化候補",IF(AND(VALUE(P72)=0,VALUE(R72)&lt;=1,VALUE(S72)&lt;=1,VALUE(T72)&lt;=1,VALUE(U72)&lt;=1),"オフショア候補",IF(AND(VALUE(T72)&lt;=1,VALUE(U72)&lt;=1),"ニアショア候補","社内で手順化→再評価")))))</f>
        <v/>
      </c>
      <c r="AF72">
        <f>IF(W72&lt;&gt;"OK","",14-SUMPRODUCT(--O72:U72))</f>
        <v/>
      </c>
      <c r="AG72" s="33">
        <f>IF(W72&lt;&gt;"OK","",AM72*AN72/60)</f>
        <v/>
      </c>
      <c r="AH72" s="34">
        <f>IF(A72="","",UPPER(TRIM(ASC(A72&amp;""))))</f>
        <v/>
      </c>
      <c r="AI72" s="34">
        <f>IF(AH72="","",AH72&amp;"-"&amp;B72)</f>
        <v/>
      </c>
      <c r="AJ72" s="34">
        <f>IF(C72="","",IFERROR(VALUE(ASC(SUBSTITUTE(C72&amp;"","観点",""))),""))</f>
        <v/>
      </c>
      <c r="AK72" s="34">
        <f>IF(E72="","",UPPER(LEFT(TRIM(ASC(E72&amp;"")),3)))</f>
        <v/>
      </c>
      <c r="AL72" s="34">
        <f>IF(I72="","",IFERROR(VALUE(SUBSTITUTE(SUBSTITUTE(SUBSTITUTE(SUBSTITUTE(SUBSTITUTE(SUBSTITUTE(SUBSTITUTE(SUBSTITUTE(SUBSTITUTE(SUBSTITUTE(SUBSTITUTE(SUBSTITUTE(ASC(I72&amp;""),"約",""),"程度",""),"ほど",""),"回",""),"毎",""),"週",""),"月",""),"年",""),"日",""),"に",""),"/","")," ","")),""))</f>
        <v/>
      </c>
      <c r="AM72" s="34">
        <f>IF(I72="","",IF(ISNUMBER(I72),I72,IFERROR(VALUE(ASC(I72&amp;"")),IF(AL72&lt;&gt;"",AL72*IF(ISNUMBER(SEARCH("週",I72)),4.3,IF(ISNUMBER(SEARCH("年",I72)),1/12,IF(ISNUMBER(SEARCH("日",I72)),20,1))),IF(ISNUMBER(SEARCH("日",I72)),20,IF(ISNUMBER(SEARCH("週",I72)),4.3,IF(ISNUMBER(SEARCH("月",I72)),1,"")))))))</f>
        <v/>
      </c>
      <c r="AN72" s="34">
        <f>IF(J72="","",IF(ISNUMBER(J72),J72,IFERROR(VALUE(ASC(J72&amp;"")),IF(ISNUMBER(SEARCH("時間",J72)),IFERROR(VALUE(SUBSTITUTE(SUBSTITUTE(SUBSTITUTE(SUBSTITUTE(SUBSTITUTE(ASC(J72&amp;""),"約",""),"程度",""),"ほど",""),"時間","")," ",""))*60,""),IFERROR(VALUE(SUBSTITUTE(SUBSTITUTE(SUBSTITUTE(SUBSTITUTE(SUBSTITUTE(ASC(J72&amp;""),"約",""),"程度",""),"ほど",""),"分","")," ","")),"")))))</f>
        <v/>
      </c>
      <c r="AO72" s="34">
        <f>IF(K72="","",IF(ISNUMBER(K72),K72,IFERROR(VALUE(SUBSTITUTE(SUBSTITUTE(SUBSTITUTE(ASC(K72&amp;""),"約",""),"件","")," ","")),"")))</f>
        <v/>
      </c>
      <c r="AP72" s="34">
        <f>IF(W72&lt;&gt;"OK","",IF(COUNTIFS($D$5:$D$404,D72,$W$5:$W$404,"OK")&gt;1,"同名あり",""))</f>
        <v/>
      </c>
      <c r="AQ72" s="35">
        <f>IF(L72="","",IF(ISNUMBER(L72),L72,IFERROR(DATEVALUE(SUBSTITUTE(SUBSTITUTE(ASC(L72&amp;""),"-","/"),".","/")&amp;"/01"),"")))</f>
        <v/>
      </c>
      <c r="AR72" s="35">
        <f>IF(M72="","",IF(ISNUMBER(M72),M72,IFERROR(DATEVALUE(SUBSTITUTE(SUBSTITUTE(ASC(M72&amp;""),"-","/"),".","/")&amp;"/01"),"")))</f>
        <v/>
      </c>
      <c r="AS72" s="34">
        <f>IF(OR(W72&lt;&gt;"OK",AQ72=""),"",IF(AQ72&gt;='01_設定'!$C$26,1,0))</f>
        <v/>
      </c>
      <c r="AT72" s="34">
        <f>IF(AND(W72="OK",Y72&lt;&gt;"除外"),COUNTIFS($W$5:W72,"OK",$Y$5:Y72,"&lt;&gt;除外"),"")</f>
        <v/>
      </c>
      <c r="AU72" s="34">
        <f>IF(OR(AT72="",AD72=""),"",AD72+ROW()/1000000000)</f>
        <v/>
      </c>
    </row>
    <row r="73">
      <c r="W73">
        <f>IF(AND(A73="",D73=""),"",IF(ISNUMBER(SEARCH("##END",AH73)),"（終わりの印）",IF(ISNUMBER(SEARCH("##続き",AH73)),"（続きありの印）",IF(AH73="調査ID","（見出し行）",IF(AND(AH73&lt;&gt;"R1",AH73&lt;&gt;"R2"),"×表以外の行（集計されない）",IF(COUNTIF($AI$5:AI73,AI73)&gt;1,"△重複（集計されない）",IF(D73="","△タスク名なし",IF(ISNA(MATCH(AK73,'M1_類型マスタ'!$A$5:$A$19,0)),"△類型が不正",IF(OR(AM73="",AN73=""),"△回数・分が読めない",IF(SUMPRODUCT(--ISNUMBER(--O73:U73))&lt;7,"△採点が足りない",IF(SUMPRODUCT((--O73:U73&gt;2)+(--O73:U73&lt;0))&gt;0,"△採点が範囲外","OK")))))))))))</f>
        <v/>
      </c>
      <c r="X73">
        <f>IF(W73&lt;&gt;"OK","",TRIM(IF(AND(AO73&lt;&gt;"",N(AO73)&lt;=1),"根拠1件 ","")&amp;IF(AP73&lt;&gt;"","同名あり ","")&amp;IF(AND(NOT(ISNUMBER(I73)),I73&lt;&gt;""),"回数を換算 ","")))</f>
        <v/>
      </c>
      <c r="Y73" s="31" t="n"/>
      <c r="Z73" s="32" t="n"/>
      <c r="AA73" s="32" t="n"/>
      <c r="AB73" s="31" t="n"/>
      <c r="AC73">
        <f>IF(W73&lt;&gt;"OK","",IF(AB73&lt;&gt;"",AB73,AE73))</f>
        <v/>
      </c>
      <c r="AD73" s="33">
        <f>IF(W73&lt;&gt;"OK","",IFERROR(IF(Z73&lt;&gt;"",Z73,AM73)*IF(AA73&lt;&gt;"",AA73,AN73)/60,""))</f>
        <v/>
      </c>
      <c r="AE73">
        <f>IF(W73&lt;&gt;"OK","",IF(OR(VALUE(O73)=2,VALUE(P73)=2,VALUE(Q73)=2),"社内残置",IF(AND(VALUE(O73)=0,VALUE(R73)=0,VALUE(T73)=0),"自動化候補",IF(AND(VALUE(P73)=0,VALUE(R73)&lt;=1,VALUE(S73)&lt;=1,VALUE(T73)&lt;=1,VALUE(U73)&lt;=1),"オフショア候補",IF(AND(VALUE(T73)&lt;=1,VALUE(U73)&lt;=1),"ニアショア候補","社内で手順化→再評価")))))</f>
        <v/>
      </c>
      <c r="AF73">
        <f>IF(W73&lt;&gt;"OK","",14-SUMPRODUCT(--O73:U73))</f>
        <v/>
      </c>
      <c r="AG73" s="33">
        <f>IF(W73&lt;&gt;"OK","",AM73*AN73/60)</f>
        <v/>
      </c>
      <c r="AH73" s="34">
        <f>IF(A73="","",UPPER(TRIM(ASC(A73&amp;""))))</f>
        <v/>
      </c>
      <c r="AI73" s="34">
        <f>IF(AH73="","",AH73&amp;"-"&amp;B73)</f>
        <v/>
      </c>
      <c r="AJ73" s="34">
        <f>IF(C73="","",IFERROR(VALUE(ASC(SUBSTITUTE(C73&amp;"","観点",""))),""))</f>
        <v/>
      </c>
      <c r="AK73" s="34">
        <f>IF(E73="","",UPPER(LEFT(TRIM(ASC(E73&amp;"")),3)))</f>
        <v/>
      </c>
      <c r="AL73" s="34">
        <f>IF(I73="","",IFERROR(VALUE(SUBSTITUTE(SUBSTITUTE(SUBSTITUTE(SUBSTITUTE(SUBSTITUTE(SUBSTITUTE(SUBSTITUTE(SUBSTITUTE(SUBSTITUTE(SUBSTITUTE(SUBSTITUTE(SUBSTITUTE(ASC(I73&amp;""),"約",""),"程度",""),"ほど",""),"回",""),"毎",""),"週",""),"月",""),"年",""),"日",""),"に",""),"/","")," ","")),""))</f>
        <v/>
      </c>
      <c r="AM73" s="34">
        <f>IF(I73="","",IF(ISNUMBER(I73),I73,IFERROR(VALUE(ASC(I73&amp;"")),IF(AL73&lt;&gt;"",AL73*IF(ISNUMBER(SEARCH("週",I73)),4.3,IF(ISNUMBER(SEARCH("年",I73)),1/12,IF(ISNUMBER(SEARCH("日",I73)),20,1))),IF(ISNUMBER(SEARCH("日",I73)),20,IF(ISNUMBER(SEARCH("週",I73)),4.3,IF(ISNUMBER(SEARCH("月",I73)),1,"")))))))</f>
        <v/>
      </c>
      <c r="AN73" s="34">
        <f>IF(J73="","",IF(ISNUMBER(J73),J73,IFERROR(VALUE(ASC(J73&amp;"")),IF(ISNUMBER(SEARCH("時間",J73)),IFERROR(VALUE(SUBSTITUTE(SUBSTITUTE(SUBSTITUTE(SUBSTITUTE(SUBSTITUTE(ASC(J73&amp;""),"約",""),"程度",""),"ほど",""),"時間","")," ",""))*60,""),IFERROR(VALUE(SUBSTITUTE(SUBSTITUTE(SUBSTITUTE(SUBSTITUTE(SUBSTITUTE(ASC(J73&amp;""),"約",""),"程度",""),"ほど",""),"分","")," ","")),"")))))</f>
        <v/>
      </c>
      <c r="AO73" s="34">
        <f>IF(K73="","",IF(ISNUMBER(K73),K73,IFERROR(VALUE(SUBSTITUTE(SUBSTITUTE(SUBSTITUTE(ASC(K73&amp;""),"約",""),"件","")," ","")),"")))</f>
        <v/>
      </c>
      <c r="AP73" s="34">
        <f>IF(W73&lt;&gt;"OK","",IF(COUNTIFS($D$5:$D$404,D73,$W$5:$W$404,"OK")&gt;1,"同名あり",""))</f>
        <v/>
      </c>
      <c r="AQ73" s="35">
        <f>IF(L73="","",IF(ISNUMBER(L73),L73,IFERROR(DATEVALUE(SUBSTITUTE(SUBSTITUTE(ASC(L73&amp;""),"-","/"),".","/")&amp;"/01"),"")))</f>
        <v/>
      </c>
      <c r="AR73" s="35">
        <f>IF(M73="","",IF(ISNUMBER(M73),M73,IFERROR(DATEVALUE(SUBSTITUTE(SUBSTITUTE(ASC(M73&amp;""),"-","/"),".","/")&amp;"/01"),"")))</f>
        <v/>
      </c>
      <c r="AS73" s="34">
        <f>IF(OR(W73&lt;&gt;"OK",AQ73=""),"",IF(AQ73&gt;='01_設定'!$C$26,1,0))</f>
        <v/>
      </c>
      <c r="AT73" s="34">
        <f>IF(AND(W73="OK",Y73&lt;&gt;"除外"),COUNTIFS($W$5:W73,"OK",$Y$5:Y73,"&lt;&gt;除外"),"")</f>
        <v/>
      </c>
      <c r="AU73" s="34">
        <f>IF(OR(AT73="",AD73=""),"",AD73+ROW()/1000000000)</f>
        <v/>
      </c>
    </row>
    <row r="74">
      <c r="W74">
        <f>IF(AND(A74="",D74=""),"",IF(ISNUMBER(SEARCH("##END",AH74)),"（終わりの印）",IF(ISNUMBER(SEARCH("##続き",AH74)),"（続きありの印）",IF(AH74="調査ID","（見出し行）",IF(AND(AH74&lt;&gt;"R1",AH74&lt;&gt;"R2"),"×表以外の行（集計されない）",IF(COUNTIF($AI$5:AI74,AI74)&gt;1,"△重複（集計されない）",IF(D74="","△タスク名なし",IF(ISNA(MATCH(AK74,'M1_類型マスタ'!$A$5:$A$19,0)),"△類型が不正",IF(OR(AM74="",AN74=""),"△回数・分が読めない",IF(SUMPRODUCT(--ISNUMBER(--O74:U74))&lt;7,"△採点が足りない",IF(SUMPRODUCT((--O74:U74&gt;2)+(--O74:U74&lt;0))&gt;0,"△採点が範囲外","OK")))))))))))</f>
        <v/>
      </c>
      <c r="X74">
        <f>IF(W74&lt;&gt;"OK","",TRIM(IF(AND(AO74&lt;&gt;"",N(AO74)&lt;=1),"根拠1件 ","")&amp;IF(AP74&lt;&gt;"","同名あり ","")&amp;IF(AND(NOT(ISNUMBER(I74)),I74&lt;&gt;""),"回数を換算 ","")))</f>
        <v/>
      </c>
      <c r="Y74" s="31" t="n"/>
      <c r="Z74" s="32" t="n"/>
      <c r="AA74" s="32" t="n"/>
      <c r="AB74" s="31" t="n"/>
      <c r="AC74">
        <f>IF(W74&lt;&gt;"OK","",IF(AB74&lt;&gt;"",AB74,AE74))</f>
        <v/>
      </c>
      <c r="AD74" s="33">
        <f>IF(W74&lt;&gt;"OK","",IFERROR(IF(Z74&lt;&gt;"",Z74,AM74)*IF(AA74&lt;&gt;"",AA74,AN74)/60,""))</f>
        <v/>
      </c>
      <c r="AE74">
        <f>IF(W74&lt;&gt;"OK","",IF(OR(VALUE(O74)=2,VALUE(P74)=2,VALUE(Q74)=2),"社内残置",IF(AND(VALUE(O74)=0,VALUE(R74)=0,VALUE(T74)=0),"自動化候補",IF(AND(VALUE(P74)=0,VALUE(R74)&lt;=1,VALUE(S74)&lt;=1,VALUE(T74)&lt;=1,VALUE(U74)&lt;=1),"オフショア候補",IF(AND(VALUE(T74)&lt;=1,VALUE(U74)&lt;=1),"ニアショア候補","社内で手順化→再評価")))))</f>
        <v/>
      </c>
      <c r="AF74">
        <f>IF(W74&lt;&gt;"OK","",14-SUMPRODUCT(--O74:U74))</f>
        <v/>
      </c>
      <c r="AG74" s="33">
        <f>IF(W74&lt;&gt;"OK","",AM74*AN74/60)</f>
        <v/>
      </c>
      <c r="AH74" s="34">
        <f>IF(A74="","",UPPER(TRIM(ASC(A74&amp;""))))</f>
        <v/>
      </c>
      <c r="AI74" s="34">
        <f>IF(AH74="","",AH74&amp;"-"&amp;B74)</f>
        <v/>
      </c>
      <c r="AJ74" s="34">
        <f>IF(C74="","",IFERROR(VALUE(ASC(SUBSTITUTE(C74&amp;"","観点",""))),""))</f>
        <v/>
      </c>
      <c r="AK74" s="34">
        <f>IF(E74="","",UPPER(LEFT(TRIM(ASC(E74&amp;"")),3)))</f>
        <v/>
      </c>
      <c r="AL74" s="34">
        <f>IF(I74="","",IFERROR(VALUE(SUBSTITUTE(SUBSTITUTE(SUBSTITUTE(SUBSTITUTE(SUBSTITUTE(SUBSTITUTE(SUBSTITUTE(SUBSTITUTE(SUBSTITUTE(SUBSTITUTE(SUBSTITUTE(SUBSTITUTE(ASC(I74&amp;""),"約",""),"程度",""),"ほど",""),"回",""),"毎",""),"週",""),"月",""),"年",""),"日",""),"に",""),"/","")," ","")),""))</f>
        <v/>
      </c>
      <c r="AM74" s="34">
        <f>IF(I74="","",IF(ISNUMBER(I74),I74,IFERROR(VALUE(ASC(I74&amp;"")),IF(AL74&lt;&gt;"",AL74*IF(ISNUMBER(SEARCH("週",I74)),4.3,IF(ISNUMBER(SEARCH("年",I74)),1/12,IF(ISNUMBER(SEARCH("日",I74)),20,1))),IF(ISNUMBER(SEARCH("日",I74)),20,IF(ISNUMBER(SEARCH("週",I74)),4.3,IF(ISNUMBER(SEARCH("月",I74)),1,"")))))))</f>
        <v/>
      </c>
      <c r="AN74" s="34">
        <f>IF(J74="","",IF(ISNUMBER(J74),J74,IFERROR(VALUE(ASC(J74&amp;"")),IF(ISNUMBER(SEARCH("時間",J74)),IFERROR(VALUE(SUBSTITUTE(SUBSTITUTE(SUBSTITUTE(SUBSTITUTE(SUBSTITUTE(ASC(J74&amp;""),"約",""),"程度",""),"ほど",""),"時間","")," ",""))*60,""),IFERROR(VALUE(SUBSTITUTE(SUBSTITUTE(SUBSTITUTE(SUBSTITUTE(SUBSTITUTE(ASC(J74&amp;""),"約",""),"程度",""),"ほど",""),"分","")," ","")),"")))))</f>
        <v/>
      </c>
      <c r="AO74" s="34">
        <f>IF(K74="","",IF(ISNUMBER(K74),K74,IFERROR(VALUE(SUBSTITUTE(SUBSTITUTE(SUBSTITUTE(ASC(K74&amp;""),"約",""),"件","")," ","")),"")))</f>
        <v/>
      </c>
      <c r="AP74" s="34">
        <f>IF(W74&lt;&gt;"OK","",IF(COUNTIFS($D$5:$D$404,D74,$W$5:$W$404,"OK")&gt;1,"同名あり",""))</f>
        <v/>
      </c>
      <c r="AQ74" s="35">
        <f>IF(L74="","",IF(ISNUMBER(L74),L74,IFERROR(DATEVALUE(SUBSTITUTE(SUBSTITUTE(ASC(L74&amp;""),"-","/"),".","/")&amp;"/01"),"")))</f>
        <v/>
      </c>
      <c r="AR74" s="35">
        <f>IF(M74="","",IF(ISNUMBER(M74),M74,IFERROR(DATEVALUE(SUBSTITUTE(SUBSTITUTE(ASC(M74&amp;""),"-","/"),".","/")&amp;"/01"),"")))</f>
        <v/>
      </c>
      <c r="AS74" s="34">
        <f>IF(OR(W74&lt;&gt;"OK",AQ74=""),"",IF(AQ74&gt;='01_設定'!$C$26,1,0))</f>
        <v/>
      </c>
      <c r="AT74" s="34">
        <f>IF(AND(W74="OK",Y74&lt;&gt;"除外"),COUNTIFS($W$5:W74,"OK",$Y$5:Y74,"&lt;&gt;除外"),"")</f>
        <v/>
      </c>
      <c r="AU74" s="34">
        <f>IF(OR(AT74="",AD74=""),"",AD74+ROW()/1000000000)</f>
        <v/>
      </c>
    </row>
    <row r="75">
      <c r="W75">
        <f>IF(AND(A75="",D75=""),"",IF(ISNUMBER(SEARCH("##END",AH75)),"（終わりの印）",IF(ISNUMBER(SEARCH("##続き",AH75)),"（続きありの印）",IF(AH75="調査ID","（見出し行）",IF(AND(AH75&lt;&gt;"R1",AH75&lt;&gt;"R2"),"×表以外の行（集計されない）",IF(COUNTIF($AI$5:AI75,AI75)&gt;1,"△重複（集計されない）",IF(D75="","△タスク名なし",IF(ISNA(MATCH(AK75,'M1_類型マスタ'!$A$5:$A$19,0)),"△類型が不正",IF(OR(AM75="",AN75=""),"△回数・分が読めない",IF(SUMPRODUCT(--ISNUMBER(--O75:U75))&lt;7,"△採点が足りない",IF(SUMPRODUCT((--O75:U75&gt;2)+(--O75:U75&lt;0))&gt;0,"△採点が範囲外","OK")))))))))))</f>
        <v/>
      </c>
      <c r="X75">
        <f>IF(W75&lt;&gt;"OK","",TRIM(IF(AND(AO75&lt;&gt;"",N(AO75)&lt;=1),"根拠1件 ","")&amp;IF(AP75&lt;&gt;"","同名あり ","")&amp;IF(AND(NOT(ISNUMBER(I75)),I75&lt;&gt;""),"回数を換算 ","")))</f>
        <v/>
      </c>
      <c r="Y75" s="31" t="n"/>
      <c r="Z75" s="32" t="n"/>
      <c r="AA75" s="32" t="n"/>
      <c r="AB75" s="31" t="n"/>
      <c r="AC75">
        <f>IF(W75&lt;&gt;"OK","",IF(AB75&lt;&gt;"",AB75,AE75))</f>
        <v/>
      </c>
      <c r="AD75" s="33">
        <f>IF(W75&lt;&gt;"OK","",IFERROR(IF(Z75&lt;&gt;"",Z75,AM75)*IF(AA75&lt;&gt;"",AA75,AN75)/60,""))</f>
        <v/>
      </c>
      <c r="AE75">
        <f>IF(W75&lt;&gt;"OK","",IF(OR(VALUE(O75)=2,VALUE(P75)=2,VALUE(Q75)=2),"社内残置",IF(AND(VALUE(O75)=0,VALUE(R75)=0,VALUE(T75)=0),"自動化候補",IF(AND(VALUE(P75)=0,VALUE(R75)&lt;=1,VALUE(S75)&lt;=1,VALUE(T75)&lt;=1,VALUE(U75)&lt;=1),"オフショア候補",IF(AND(VALUE(T75)&lt;=1,VALUE(U75)&lt;=1),"ニアショア候補","社内で手順化→再評価")))))</f>
        <v/>
      </c>
      <c r="AF75">
        <f>IF(W75&lt;&gt;"OK","",14-SUMPRODUCT(--O75:U75))</f>
        <v/>
      </c>
      <c r="AG75" s="33">
        <f>IF(W75&lt;&gt;"OK","",AM75*AN75/60)</f>
        <v/>
      </c>
      <c r="AH75" s="34">
        <f>IF(A75="","",UPPER(TRIM(ASC(A75&amp;""))))</f>
        <v/>
      </c>
      <c r="AI75" s="34">
        <f>IF(AH75="","",AH75&amp;"-"&amp;B75)</f>
        <v/>
      </c>
      <c r="AJ75" s="34">
        <f>IF(C75="","",IFERROR(VALUE(ASC(SUBSTITUTE(C75&amp;"","観点",""))),""))</f>
        <v/>
      </c>
      <c r="AK75" s="34">
        <f>IF(E75="","",UPPER(LEFT(TRIM(ASC(E75&amp;"")),3)))</f>
        <v/>
      </c>
      <c r="AL75" s="34">
        <f>IF(I75="","",IFERROR(VALUE(SUBSTITUTE(SUBSTITUTE(SUBSTITUTE(SUBSTITUTE(SUBSTITUTE(SUBSTITUTE(SUBSTITUTE(SUBSTITUTE(SUBSTITUTE(SUBSTITUTE(SUBSTITUTE(SUBSTITUTE(ASC(I75&amp;""),"約",""),"程度",""),"ほど",""),"回",""),"毎",""),"週",""),"月",""),"年",""),"日",""),"に",""),"/","")," ","")),""))</f>
        <v/>
      </c>
      <c r="AM75" s="34">
        <f>IF(I75="","",IF(ISNUMBER(I75),I75,IFERROR(VALUE(ASC(I75&amp;"")),IF(AL75&lt;&gt;"",AL75*IF(ISNUMBER(SEARCH("週",I75)),4.3,IF(ISNUMBER(SEARCH("年",I75)),1/12,IF(ISNUMBER(SEARCH("日",I75)),20,1))),IF(ISNUMBER(SEARCH("日",I75)),20,IF(ISNUMBER(SEARCH("週",I75)),4.3,IF(ISNUMBER(SEARCH("月",I75)),1,"")))))))</f>
        <v/>
      </c>
      <c r="AN75" s="34">
        <f>IF(J75="","",IF(ISNUMBER(J75),J75,IFERROR(VALUE(ASC(J75&amp;"")),IF(ISNUMBER(SEARCH("時間",J75)),IFERROR(VALUE(SUBSTITUTE(SUBSTITUTE(SUBSTITUTE(SUBSTITUTE(SUBSTITUTE(ASC(J75&amp;""),"約",""),"程度",""),"ほど",""),"時間","")," ",""))*60,""),IFERROR(VALUE(SUBSTITUTE(SUBSTITUTE(SUBSTITUTE(SUBSTITUTE(SUBSTITUTE(ASC(J75&amp;""),"約",""),"程度",""),"ほど",""),"分","")," ","")),"")))))</f>
        <v/>
      </c>
      <c r="AO75" s="34">
        <f>IF(K75="","",IF(ISNUMBER(K75),K75,IFERROR(VALUE(SUBSTITUTE(SUBSTITUTE(SUBSTITUTE(ASC(K75&amp;""),"約",""),"件","")," ","")),"")))</f>
        <v/>
      </c>
      <c r="AP75" s="34">
        <f>IF(W75&lt;&gt;"OK","",IF(COUNTIFS($D$5:$D$404,D75,$W$5:$W$404,"OK")&gt;1,"同名あり",""))</f>
        <v/>
      </c>
      <c r="AQ75" s="35">
        <f>IF(L75="","",IF(ISNUMBER(L75),L75,IFERROR(DATEVALUE(SUBSTITUTE(SUBSTITUTE(ASC(L75&amp;""),"-","/"),".","/")&amp;"/01"),"")))</f>
        <v/>
      </c>
      <c r="AR75" s="35">
        <f>IF(M75="","",IF(ISNUMBER(M75),M75,IFERROR(DATEVALUE(SUBSTITUTE(SUBSTITUTE(ASC(M75&amp;""),"-","/"),".","/")&amp;"/01"),"")))</f>
        <v/>
      </c>
      <c r="AS75" s="34">
        <f>IF(OR(W75&lt;&gt;"OK",AQ75=""),"",IF(AQ75&gt;='01_設定'!$C$26,1,0))</f>
        <v/>
      </c>
      <c r="AT75" s="34">
        <f>IF(AND(W75="OK",Y75&lt;&gt;"除外"),COUNTIFS($W$5:W75,"OK",$Y$5:Y75,"&lt;&gt;除外"),"")</f>
        <v/>
      </c>
      <c r="AU75" s="34">
        <f>IF(OR(AT75="",AD75=""),"",AD75+ROW()/1000000000)</f>
        <v/>
      </c>
    </row>
    <row r="76">
      <c r="W76">
        <f>IF(AND(A76="",D76=""),"",IF(ISNUMBER(SEARCH("##END",AH76)),"（終わりの印）",IF(ISNUMBER(SEARCH("##続き",AH76)),"（続きありの印）",IF(AH76="調査ID","（見出し行）",IF(AND(AH76&lt;&gt;"R1",AH76&lt;&gt;"R2"),"×表以外の行（集計されない）",IF(COUNTIF($AI$5:AI76,AI76)&gt;1,"△重複（集計されない）",IF(D76="","△タスク名なし",IF(ISNA(MATCH(AK76,'M1_類型マスタ'!$A$5:$A$19,0)),"△類型が不正",IF(OR(AM76="",AN76=""),"△回数・分が読めない",IF(SUMPRODUCT(--ISNUMBER(--O76:U76))&lt;7,"△採点が足りない",IF(SUMPRODUCT((--O76:U76&gt;2)+(--O76:U76&lt;0))&gt;0,"△採点が範囲外","OK")))))))))))</f>
        <v/>
      </c>
      <c r="X76">
        <f>IF(W76&lt;&gt;"OK","",TRIM(IF(AND(AO76&lt;&gt;"",N(AO76)&lt;=1),"根拠1件 ","")&amp;IF(AP76&lt;&gt;"","同名あり ","")&amp;IF(AND(NOT(ISNUMBER(I76)),I76&lt;&gt;""),"回数を換算 ","")))</f>
        <v/>
      </c>
      <c r="Y76" s="31" t="n"/>
      <c r="Z76" s="32" t="n"/>
      <c r="AA76" s="32" t="n"/>
      <c r="AB76" s="31" t="n"/>
      <c r="AC76">
        <f>IF(W76&lt;&gt;"OK","",IF(AB76&lt;&gt;"",AB76,AE76))</f>
        <v/>
      </c>
      <c r="AD76" s="33">
        <f>IF(W76&lt;&gt;"OK","",IFERROR(IF(Z76&lt;&gt;"",Z76,AM76)*IF(AA76&lt;&gt;"",AA76,AN76)/60,""))</f>
        <v/>
      </c>
      <c r="AE76">
        <f>IF(W76&lt;&gt;"OK","",IF(OR(VALUE(O76)=2,VALUE(P76)=2,VALUE(Q76)=2),"社内残置",IF(AND(VALUE(O76)=0,VALUE(R76)=0,VALUE(T76)=0),"自動化候補",IF(AND(VALUE(P76)=0,VALUE(R76)&lt;=1,VALUE(S76)&lt;=1,VALUE(T76)&lt;=1,VALUE(U76)&lt;=1),"オフショア候補",IF(AND(VALUE(T76)&lt;=1,VALUE(U76)&lt;=1),"ニアショア候補","社内で手順化→再評価")))))</f>
        <v/>
      </c>
      <c r="AF76">
        <f>IF(W76&lt;&gt;"OK","",14-SUMPRODUCT(--O76:U76))</f>
        <v/>
      </c>
      <c r="AG76" s="33">
        <f>IF(W76&lt;&gt;"OK","",AM76*AN76/60)</f>
        <v/>
      </c>
      <c r="AH76" s="34">
        <f>IF(A76="","",UPPER(TRIM(ASC(A76&amp;""))))</f>
        <v/>
      </c>
      <c r="AI76" s="34">
        <f>IF(AH76="","",AH76&amp;"-"&amp;B76)</f>
        <v/>
      </c>
      <c r="AJ76" s="34">
        <f>IF(C76="","",IFERROR(VALUE(ASC(SUBSTITUTE(C76&amp;"","観点",""))),""))</f>
        <v/>
      </c>
      <c r="AK76" s="34">
        <f>IF(E76="","",UPPER(LEFT(TRIM(ASC(E76&amp;"")),3)))</f>
        <v/>
      </c>
      <c r="AL76" s="34">
        <f>IF(I76="","",IFERROR(VALUE(SUBSTITUTE(SUBSTITUTE(SUBSTITUTE(SUBSTITUTE(SUBSTITUTE(SUBSTITUTE(SUBSTITUTE(SUBSTITUTE(SUBSTITUTE(SUBSTITUTE(SUBSTITUTE(SUBSTITUTE(ASC(I76&amp;""),"約",""),"程度",""),"ほど",""),"回",""),"毎",""),"週",""),"月",""),"年",""),"日",""),"に",""),"/","")," ","")),""))</f>
        <v/>
      </c>
      <c r="AM76" s="34">
        <f>IF(I76="","",IF(ISNUMBER(I76),I76,IFERROR(VALUE(ASC(I76&amp;"")),IF(AL76&lt;&gt;"",AL76*IF(ISNUMBER(SEARCH("週",I76)),4.3,IF(ISNUMBER(SEARCH("年",I76)),1/12,IF(ISNUMBER(SEARCH("日",I76)),20,1))),IF(ISNUMBER(SEARCH("日",I76)),20,IF(ISNUMBER(SEARCH("週",I76)),4.3,IF(ISNUMBER(SEARCH("月",I76)),1,"")))))))</f>
        <v/>
      </c>
      <c r="AN76" s="34">
        <f>IF(J76="","",IF(ISNUMBER(J76),J76,IFERROR(VALUE(ASC(J76&amp;"")),IF(ISNUMBER(SEARCH("時間",J76)),IFERROR(VALUE(SUBSTITUTE(SUBSTITUTE(SUBSTITUTE(SUBSTITUTE(SUBSTITUTE(ASC(J76&amp;""),"約",""),"程度",""),"ほど",""),"時間","")," ",""))*60,""),IFERROR(VALUE(SUBSTITUTE(SUBSTITUTE(SUBSTITUTE(SUBSTITUTE(SUBSTITUTE(ASC(J76&amp;""),"約",""),"程度",""),"ほど",""),"分","")," ","")),"")))))</f>
        <v/>
      </c>
      <c r="AO76" s="34">
        <f>IF(K76="","",IF(ISNUMBER(K76),K76,IFERROR(VALUE(SUBSTITUTE(SUBSTITUTE(SUBSTITUTE(ASC(K76&amp;""),"約",""),"件","")," ","")),"")))</f>
        <v/>
      </c>
      <c r="AP76" s="34">
        <f>IF(W76&lt;&gt;"OK","",IF(COUNTIFS($D$5:$D$404,D76,$W$5:$W$404,"OK")&gt;1,"同名あり",""))</f>
        <v/>
      </c>
      <c r="AQ76" s="35">
        <f>IF(L76="","",IF(ISNUMBER(L76),L76,IFERROR(DATEVALUE(SUBSTITUTE(SUBSTITUTE(ASC(L76&amp;""),"-","/"),".","/")&amp;"/01"),"")))</f>
        <v/>
      </c>
      <c r="AR76" s="35">
        <f>IF(M76="","",IF(ISNUMBER(M76),M76,IFERROR(DATEVALUE(SUBSTITUTE(SUBSTITUTE(ASC(M76&amp;""),"-","/"),".","/")&amp;"/01"),"")))</f>
        <v/>
      </c>
      <c r="AS76" s="34">
        <f>IF(OR(W76&lt;&gt;"OK",AQ76=""),"",IF(AQ76&gt;='01_設定'!$C$26,1,0))</f>
        <v/>
      </c>
      <c r="AT76" s="34">
        <f>IF(AND(W76="OK",Y76&lt;&gt;"除外"),COUNTIFS($W$5:W76,"OK",$Y$5:Y76,"&lt;&gt;除外"),"")</f>
        <v/>
      </c>
      <c r="AU76" s="34">
        <f>IF(OR(AT76="",AD76=""),"",AD76+ROW()/1000000000)</f>
        <v/>
      </c>
    </row>
    <row r="77">
      <c r="W77">
        <f>IF(AND(A77="",D77=""),"",IF(ISNUMBER(SEARCH("##END",AH77)),"（終わりの印）",IF(ISNUMBER(SEARCH("##続き",AH77)),"（続きありの印）",IF(AH77="調査ID","（見出し行）",IF(AND(AH77&lt;&gt;"R1",AH77&lt;&gt;"R2"),"×表以外の行（集計されない）",IF(COUNTIF($AI$5:AI77,AI77)&gt;1,"△重複（集計されない）",IF(D77="","△タスク名なし",IF(ISNA(MATCH(AK77,'M1_類型マスタ'!$A$5:$A$19,0)),"△類型が不正",IF(OR(AM77="",AN77=""),"△回数・分が読めない",IF(SUMPRODUCT(--ISNUMBER(--O77:U77))&lt;7,"△採点が足りない",IF(SUMPRODUCT((--O77:U77&gt;2)+(--O77:U77&lt;0))&gt;0,"△採点が範囲外","OK")))))))))))</f>
        <v/>
      </c>
      <c r="X77">
        <f>IF(W77&lt;&gt;"OK","",TRIM(IF(AND(AO77&lt;&gt;"",N(AO77)&lt;=1),"根拠1件 ","")&amp;IF(AP77&lt;&gt;"","同名あり ","")&amp;IF(AND(NOT(ISNUMBER(I77)),I77&lt;&gt;""),"回数を換算 ","")))</f>
        <v/>
      </c>
      <c r="Y77" s="31" t="n"/>
      <c r="Z77" s="32" t="n"/>
      <c r="AA77" s="32" t="n"/>
      <c r="AB77" s="31" t="n"/>
      <c r="AC77">
        <f>IF(W77&lt;&gt;"OK","",IF(AB77&lt;&gt;"",AB77,AE77))</f>
        <v/>
      </c>
      <c r="AD77" s="33">
        <f>IF(W77&lt;&gt;"OK","",IFERROR(IF(Z77&lt;&gt;"",Z77,AM77)*IF(AA77&lt;&gt;"",AA77,AN77)/60,""))</f>
        <v/>
      </c>
      <c r="AE77">
        <f>IF(W77&lt;&gt;"OK","",IF(OR(VALUE(O77)=2,VALUE(P77)=2,VALUE(Q77)=2),"社内残置",IF(AND(VALUE(O77)=0,VALUE(R77)=0,VALUE(T77)=0),"自動化候補",IF(AND(VALUE(P77)=0,VALUE(R77)&lt;=1,VALUE(S77)&lt;=1,VALUE(T77)&lt;=1,VALUE(U77)&lt;=1),"オフショア候補",IF(AND(VALUE(T77)&lt;=1,VALUE(U77)&lt;=1),"ニアショア候補","社内で手順化→再評価")))))</f>
        <v/>
      </c>
      <c r="AF77">
        <f>IF(W77&lt;&gt;"OK","",14-SUMPRODUCT(--O77:U77))</f>
        <v/>
      </c>
      <c r="AG77" s="33">
        <f>IF(W77&lt;&gt;"OK","",AM77*AN77/60)</f>
        <v/>
      </c>
      <c r="AH77" s="34">
        <f>IF(A77="","",UPPER(TRIM(ASC(A77&amp;""))))</f>
        <v/>
      </c>
      <c r="AI77" s="34">
        <f>IF(AH77="","",AH77&amp;"-"&amp;B77)</f>
        <v/>
      </c>
      <c r="AJ77" s="34">
        <f>IF(C77="","",IFERROR(VALUE(ASC(SUBSTITUTE(C77&amp;"","観点",""))),""))</f>
        <v/>
      </c>
      <c r="AK77" s="34">
        <f>IF(E77="","",UPPER(LEFT(TRIM(ASC(E77&amp;"")),3)))</f>
        <v/>
      </c>
      <c r="AL77" s="34">
        <f>IF(I77="","",IFERROR(VALUE(SUBSTITUTE(SUBSTITUTE(SUBSTITUTE(SUBSTITUTE(SUBSTITUTE(SUBSTITUTE(SUBSTITUTE(SUBSTITUTE(SUBSTITUTE(SUBSTITUTE(SUBSTITUTE(SUBSTITUTE(ASC(I77&amp;""),"約",""),"程度",""),"ほど",""),"回",""),"毎",""),"週",""),"月",""),"年",""),"日",""),"に",""),"/","")," ","")),""))</f>
        <v/>
      </c>
      <c r="AM77" s="34">
        <f>IF(I77="","",IF(ISNUMBER(I77),I77,IFERROR(VALUE(ASC(I77&amp;"")),IF(AL77&lt;&gt;"",AL77*IF(ISNUMBER(SEARCH("週",I77)),4.3,IF(ISNUMBER(SEARCH("年",I77)),1/12,IF(ISNUMBER(SEARCH("日",I77)),20,1))),IF(ISNUMBER(SEARCH("日",I77)),20,IF(ISNUMBER(SEARCH("週",I77)),4.3,IF(ISNUMBER(SEARCH("月",I77)),1,"")))))))</f>
        <v/>
      </c>
      <c r="AN77" s="34">
        <f>IF(J77="","",IF(ISNUMBER(J77),J77,IFERROR(VALUE(ASC(J77&amp;"")),IF(ISNUMBER(SEARCH("時間",J77)),IFERROR(VALUE(SUBSTITUTE(SUBSTITUTE(SUBSTITUTE(SUBSTITUTE(SUBSTITUTE(ASC(J77&amp;""),"約",""),"程度",""),"ほど",""),"時間","")," ",""))*60,""),IFERROR(VALUE(SUBSTITUTE(SUBSTITUTE(SUBSTITUTE(SUBSTITUTE(SUBSTITUTE(ASC(J77&amp;""),"約",""),"程度",""),"ほど",""),"分","")," ","")),"")))))</f>
        <v/>
      </c>
      <c r="AO77" s="34">
        <f>IF(K77="","",IF(ISNUMBER(K77),K77,IFERROR(VALUE(SUBSTITUTE(SUBSTITUTE(SUBSTITUTE(ASC(K77&amp;""),"約",""),"件","")," ","")),"")))</f>
        <v/>
      </c>
      <c r="AP77" s="34">
        <f>IF(W77&lt;&gt;"OK","",IF(COUNTIFS($D$5:$D$404,D77,$W$5:$W$404,"OK")&gt;1,"同名あり",""))</f>
        <v/>
      </c>
      <c r="AQ77" s="35">
        <f>IF(L77="","",IF(ISNUMBER(L77),L77,IFERROR(DATEVALUE(SUBSTITUTE(SUBSTITUTE(ASC(L77&amp;""),"-","/"),".","/")&amp;"/01"),"")))</f>
        <v/>
      </c>
      <c r="AR77" s="35">
        <f>IF(M77="","",IF(ISNUMBER(M77),M77,IFERROR(DATEVALUE(SUBSTITUTE(SUBSTITUTE(ASC(M77&amp;""),"-","/"),".","/")&amp;"/01"),"")))</f>
        <v/>
      </c>
      <c r="AS77" s="34">
        <f>IF(OR(W77&lt;&gt;"OK",AQ77=""),"",IF(AQ77&gt;='01_設定'!$C$26,1,0))</f>
        <v/>
      </c>
      <c r="AT77" s="34">
        <f>IF(AND(W77="OK",Y77&lt;&gt;"除外"),COUNTIFS($W$5:W77,"OK",$Y$5:Y77,"&lt;&gt;除外"),"")</f>
        <v/>
      </c>
      <c r="AU77" s="34">
        <f>IF(OR(AT77="",AD77=""),"",AD77+ROW()/1000000000)</f>
        <v/>
      </c>
    </row>
    <row r="78">
      <c r="W78">
        <f>IF(AND(A78="",D78=""),"",IF(ISNUMBER(SEARCH("##END",AH78)),"（終わりの印）",IF(ISNUMBER(SEARCH("##続き",AH78)),"（続きありの印）",IF(AH78="調査ID","（見出し行）",IF(AND(AH78&lt;&gt;"R1",AH78&lt;&gt;"R2"),"×表以外の行（集計されない）",IF(COUNTIF($AI$5:AI78,AI78)&gt;1,"△重複（集計されない）",IF(D78="","△タスク名なし",IF(ISNA(MATCH(AK78,'M1_類型マスタ'!$A$5:$A$19,0)),"△類型が不正",IF(OR(AM78="",AN78=""),"△回数・分が読めない",IF(SUMPRODUCT(--ISNUMBER(--O78:U78))&lt;7,"△採点が足りない",IF(SUMPRODUCT((--O78:U78&gt;2)+(--O78:U78&lt;0))&gt;0,"△採点が範囲外","OK")))))))))))</f>
        <v/>
      </c>
      <c r="X78">
        <f>IF(W78&lt;&gt;"OK","",TRIM(IF(AND(AO78&lt;&gt;"",N(AO78)&lt;=1),"根拠1件 ","")&amp;IF(AP78&lt;&gt;"","同名あり ","")&amp;IF(AND(NOT(ISNUMBER(I78)),I78&lt;&gt;""),"回数を換算 ","")))</f>
        <v/>
      </c>
      <c r="Y78" s="31" t="n"/>
      <c r="Z78" s="32" t="n"/>
      <c r="AA78" s="32" t="n"/>
      <c r="AB78" s="31" t="n"/>
      <c r="AC78">
        <f>IF(W78&lt;&gt;"OK","",IF(AB78&lt;&gt;"",AB78,AE78))</f>
        <v/>
      </c>
      <c r="AD78" s="33">
        <f>IF(W78&lt;&gt;"OK","",IFERROR(IF(Z78&lt;&gt;"",Z78,AM78)*IF(AA78&lt;&gt;"",AA78,AN78)/60,""))</f>
        <v/>
      </c>
      <c r="AE78">
        <f>IF(W78&lt;&gt;"OK","",IF(OR(VALUE(O78)=2,VALUE(P78)=2,VALUE(Q78)=2),"社内残置",IF(AND(VALUE(O78)=0,VALUE(R78)=0,VALUE(T78)=0),"自動化候補",IF(AND(VALUE(P78)=0,VALUE(R78)&lt;=1,VALUE(S78)&lt;=1,VALUE(T78)&lt;=1,VALUE(U78)&lt;=1),"オフショア候補",IF(AND(VALUE(T78)&lt;=1,VALUE(U78)&lt;=1),"ニアショア候補","社内で手順化→再評価")))))</f>
        <v/>
      </c>
      <c r="AF78">
        <f>IF(W78&lt;&gt;"OK","",14-SUMPRODUCT(--O78:U78))</f>
        <v/>
      </c>
      <c r="AG78" s="33">
        <f>IF(W78&lt;&gt;"OK","",AM78*AN78/60)</f>
        <v/>
      </c>
      <c r="AH78" s="34">
        <f>IF(A78="","",UPPER(TRIM(ASC(A78&amp;""))))</f>
        <v/>
      </c>
      <c r="AI78" s="34">
        <f>IF(AH78="","",AH78&amp;"-"&amp;B78)</f>
        <v/>
      </c>
      <c r="AJ78" s="34">
        <f>IF(C78="","",IFERROR(VALUE(ASC(SUBSTITUTE(C78&amp;"","観点",""))),""))</f>
        <v/>
      </c>
      <c r="AK78" s="34">
        <f>IF(E78="","",UPPER(LEFT(TRIM(ASC(E78&amp;"")),3)))</f>
        <v/>
      </c>
      <c r="AL78" s="34">
        <f>IF(I78="","",IFERROR(VALUE(SUBSTITUTE(SUBSTITUTE(SUBSTITUTE(SUBSTITUTE(SUBSTITUTE(SUBSTITUTE(SUBSTITUTE(SUBSTITUTE(SUBSTITUTE(SUBSTITUTE(SUBSTITUTE(SUBSTITUTE(ASC(I78&amp;""),"約",""),"程度",""),"ほど",""),"回",""),"毎",""),"週",""),"月",""),"年",""),"日",""),"に",""),"/","")," ","")),""))</f>
        <v/>
      </c>
      <c r="AM78" s="34">
        <f>IF(I78="","",IF(ISNUMBER(I78),I78,IFERROR(VALUE(ASC(I78&amp;"")),IF(AL78&lt;&gt;"",AL78*IF(ISNUMBER(SEARCH("週",I78)),4.3,IF(ISNUMBER(SEARCH("年",I78)),1/12,IF(ISNUMBER(SEARCH("日",I78)),20,1))),IF(ISNUMBER(SEARCH("日",I78)),20,IF(ISNUMBER(SEARCH("週",I78)),4.3,IF(ISNUMBER(SEARCH("月",I78)),1,"")))))))</f>
        <v/>
      </c>
      <c r="AN78" s="34">
        <f>IF(J78="","",IF(ISNUMBER(J78),J78,IFERROR(VALUE(ASC(J78&amp;"")),IF(ISNUMBER(SEARCH("時間",J78)),IFERROR(VALUE(SUBSTITUTE(SUBSTITUTE(SUBSTITUTE(SUBSTITUTE(SUBSTITUTE(ASC(J78&amp;""),"約",""),"程度",""),"ほど",""),"時間","")," ",""))*60,""),IFERROR(VALUE(SUBSTITUTE(SUBSTITUTE(SUBSTITUTE(SUBSTITUTE(SUBSTITUTE(ASC(J78&amp;""),"約",""),"程度",""),"ほど",""),"分","")," ","")),"")))))</f>
        <v/>
      </c>
      <c r="AO78" s="34">
        <f>IF(K78="","",IF(ISNUMBER(K78),K78,IFERROR(VALUE(SUBSTITUTE(SUBSTITUTE(SUBSTITUTE(ASC(K78&amp;""),"約",""),"件","")," ","")),"")))</f>
        <v/>
      </c>
      <c r="AP78" s="34">
        <f>IF(W78&lt;&gt;"OK","",IF(COUNTIFS($D$5:$D$404,D78,$W$5:$W$404,"OK")&gt;1,"同名あり",""))</f>
        <v/>
      </c>
      <c r="AQ78" s="35">
        <f>IF(L78="","",IF(ISNUMBER(L78),L78,IFERROR(DATEVALUE(SUBSTITUTE(SUBSTITUTE(ASC(L78&amp;""),"-","/"),".","/")&amp;"/01"),"")))</f>
        <v/>
      </c>
      <c r="AR78" s="35">
        <f>IF(M78="","",IF(ISNUMBER(M78),M78,IFERROR(DATEVALUE(SUBSTITUTE(SUBSTITUTE(ASC(M78&amp;""),"-","/"),".","/")&amp;"/01"),"")))</f>
        <v/>
      </c>
      <c r="AS78" s="34">
        <f>IF(OR(W78&lt;&gt;"OK",AQ78=""),"",IF(AQ78&gt;='01_設定'!$C$26,1,0))</f>
        <v/>
      </c>
      <c r="AT78" s="34">
        <f>IF(AND(W78="OK",Y78&lt;&gt;"除外"),COUNTIFS($W$5:W78,"OK",$Y$5:Y78,"&lt;&gt;除外"),"")</f>
        <v/>
      </c>
      <c r="AU78" s="34">
        <f>IF(OR(AT78="",AD78=""),"",AD78+ROW()/1000000000)</f>
        <v/>
      </c>
    </row>
    <row r="79">
      <c r="W79">
        <f>IF(AND(A79="",D79=""),"",IF(ISNUMBER(SEARCH("##END",AH79)),"（終わりの印）",IF(ISNUMBER(SEARCH("##続き",AH79)),"（続きありの印）",IF(AH79="調査ID","（見出し行）",IF(AND(AH79&lt;&gt;"R1",AH79&lt;&gt;"R2"),"×表以外の行（集計されない）",IF(COUNTIF($AI$5:AI79,AI79)&gt;1,"△重複（集計されない）",IF(D79="","△タスク名なし",IF(ISNA(MATCH(AK79,'M1_類型マスタ'!$A$5:$A$19,0)),"△類型が不正",IF(OR(AM79="",AN79=""),"△回数・分が読めない",IF(SUMPRODUCT(--ISNUMBER(--O79:U79))&lt;7,"△採点が足りない",IF(SUMPRODUCT((--O79:U79&gt;2)+(--O79:U79&lt;0))&gt;0,"△採点が範囲外","OK")))))))))))</f>
        <v/>
      </c>
      <c r="X79">
        <f>IF(W79&lt;&gt;"OK","",TRIM(IF(AND(AO79&lt;&gt;"",N(AO79)&lt;=1),"根拠1件 ","")&amp;IF(AP79&lt;&gt;"","同名あり ","")&amp;IF(AND(NOT(ISNUMBER(I79)),I79&lt;&gt;""),"回数を換算 ","")))</f>
        <v/>
      </c>
      <c r="Y79" s="31" t="n"/>
      <c r="Z79" s="32" t="n"/>
      <c r="AA79" s="32" t="n"/>
      <c r="AB79" s="31" t="n"/>
      <c r="AC79">
        <f>IF(W79&lt;&gt;"OK","",IF(AB79&lt;&gt;"",AB79,AE79))</f>
        <v/>
      </c>
      <c r="AD79" s="33">
        <f>IF(W79&lt;&gt;"OK","",IFERROR(IF(Z79&lt;&gt;"",Z79,AM79)*IF(AA79&lt;&gt;"",AA79,AN79)/60,""))</f>
        <v/>
      </c>
      <c r="AE79">
        <f>IF(W79&lt;&gt;"OK","",IF(OR(VALUE(O79)=2,VALUE(P79)=2,VALUE(Q79)=2),"社内残置",IF(AND(VALUE(O79)=0,VALUE(R79)=0,VALUE(T79)=0),"自動化候補",IF(AND(VALUE(P79)=0,VALUE(R79)&lt;=1,VALUE(S79)&lt;=1,VALUE(T79)&lt;=1,VALUE(U79)&lt;=1),"オフショア候補",IF(AND(VALUE(T79)&lt;=1,VALUE(U79)&lt;=1),"ニアショア候補","社内で手順化→再評価")))))</f>
        <v/>
      </c>
      <c r="AF79">
        <f>IF(W79&lt;&gt;"OK","",14-SUMPRODUCT(--O79:U79))</f>
        <v/>
      </c>
      <c r="AG79" s="33">
        <f>IF(W79&lt;&gt;"OK","",AM79*AN79/60)</f>
        <v/>
      </c>
      <c r="AH79" s="34">
        <f>IF(A79="","",UPPER(TRIM(ASC(A79&amp;""))))</f>
        <v/>
      </c>
      <c r="AI79" s="34">
        <f>IF(AH79="","",AH79&amp;"-"&amp;B79)</f>
        <v/>
      </c>
      <c r="AJ79" s="34">
        <f>IF(C79="","",IFERROR(VALUE(ASC(SUBSTITUTE(C79&amp;"","観点",""))),""))</f>
        <v/>
      </c>
      <c r="AK79" s="34">
        <f>IF(E79="","",UPPER(LEFT(TRIM(ASC(E79&amp;"")),3)))</f>
        <v/>
      </c>
      <c r="AL79" s="34">
        <f>IF(I79="","",IFERROR(VALUE(SUBSTITUTE(SUBSTITUTE(SUBSTITUTE(SUBSTITUTE(SUBSTITUTE(SUBSTITUTE(SUBSTITUTE(SUBSTITUTE(SUBSTITUTE(SUBSTITUTE(SUBSTITUTE(SUBSTITUTE(ASC(I79&amp;""),"約",""),"程度",""),"ほど",""),"回",""),"毎",""),"週",""),"月",""),"年",""),"日",""),"に",""),"/","")," ","")),""))</f>
        <v/>
      </c>
      <c r="AM79" s="34">
        <f>IF(I79="","",IF(ISNUMBER(I79),I79,IFERROR(VALUE(ASC(I79&amp;"")),IF(AL79&lt;&gt;"",AL79*IF(ISNUMBER(SEARCH("週",I79)),4.3,IF(ISNUMBER(SEARCH("年",I79)),1/12,IF(ISNUMBER(SEARCH("日",I79)),20,1))),IF(ISNUMBER(SEARCH("日",I79)),20,IF(ISNUMBER(SEARCH("週",I79)),4.3,IF(ISNUMBER(SEARCH("月",I79)),1,"")))))))</f>
        <v/>
      </c>
      <c r="AN79" s="34">
        <f>IF(J79="","",IF(ISNUMBER(J79),J79,IFERROR(VALUE(ASC(J79&amp;"")),IF(ISNUMBER(SEARCH("時間",J79)),IFERROR(VALUE(SUBSTITUTE(SUBSTITUTE(SUBSTITUTE(SUBSTITUTE(SUBSTITUTE(ASC(J79&amp;""),"約",""),"程度",""),"ほど",""),"時間","")," ",""))*60,""),IFERROR(VALUE(SUBSTITUTE(SUBSTITUTE(SUBSTITUTE(SUBSTITUTE(SUBSTITUTE(ASC(J79&amp;""),"約",""),"程度",""),"ほど",""),"分","")," ","")),"")))))</f>
        <v/>
      </c>
      <c r="AO79" s="34">
        <f>IF(K79="","",IF(ISNUMBER(K79),K79,IFERROR(VALUE(SUBSTITUTE(SUBSTITUTE(SUBSTITUTE(ASC(K79&amp;""),"約",""),"件","")," ","")),"")))</f>
        <v/>
      </c>
      <c r="AP79" s="34">
        <f>IF(W79&lt;&gt;"OK","",IF(COUNTIFS($D$5:$D$404,D79,$W$5:$W$404,"OK")&gt;1,"同名あり",""))</f>
        <v/>
      </c>
      <c r="AQ79" s="35">
        <f>IF(L79="","",IF(ISNUMBER(L79),L79,IFERROR(DATEVALUE(SUBSTITUTE(SUBSTITUTE(ASC(L79&amp;""),"-","/"),".","/")&amp;"/01"),"")))</f>
        <v/>
      </c>
      <c r="AR79" s="35">
        <f>IF(M79="","",IF(ISNUMBER(M79),M79,IFERROR(DATEVALUE(SUBSTITUTE(SUBSTITUTE(ASC(M79&amp;""),"-","/"),".","/")&amp;"/01"),"")))</f>
        <v/>
      </c>
      <c r="AS79" s="34">
        <f>IF(OR(W79&lt;&gt;"OK",AQ79=""),"",IF(AQ79&gt;='01_設定'!$C$26,1,0))</f>
        <v/>
      </c>
      <c r="AT79" s="34">
        <f>IF(AND(W79="OK",Y79&lt;&gt;"除外"),COUNTIFS($W$5:W79,"OK",$Y$5:Y79,"&lt;&gt;除外"),"")</f>
        <v/>
      </c>
      <c r="AU79" s="34">
        <f>IF(OR(AT79="",AD79=""),"",AD79+ROW()/1000000000)</f>
        <v/>
      </c>
    </row>
    <row r="80">
      <c r="W80">
        <f>IF(AND(A80="",D80=""),"",IF(ISNUMBER(SEARCH("##END",AH80)),"（終わりの印）",IF(ISNUMBER(SEARCH("##続き",AH80)),"（続きありの印）",IF(AH80="調査ID","（見出し行）",IF(AND(AH80&lt;&gt;"R1",AH80&lt;&gt;"R2"),"×表以外の行（集計されない）",IF(COUNTIF($AI$5:AI80,AI80)&gt;1,"△重複（集計されない）",IF(D80="","△タスク名なし",IF(ISNA(MATCH(AK80,'M1_類型マスタ'!$A$5:$A$19,0)),"△類型が不正",IF(OR(AM80="",AN80=""),"△回数・分が読めない",IF(SUMPRODUCT(--ISNUMBER(--O80:U80))&lt;7,"△採点が足りない",IF(SUMPRODUCT((--O80:U80&gt;2)+(--O80:U80&lt;0))&gt;0,"△採点が範囲外","OK")))))))))))</f>
        <v/>
      </c>
      <c r="X80">
        <f>IF(W80&lt;&gt;"OK","",TRIM(IF(AND(AO80&lt;&gt;"",N(AO80)&lt;=1),"根拠1件 ","")&amp;IF(AP80&lt;&gt;"","同名あり ","")&amp;IF(AND(NOT(ISNUMBER(I80)),I80&lt;&gt;""),"回数を換算 ","")))</f>
        <v/>
      </c>
      <c r="Y80" s="31" t="n"/>
      <c r="Z80" s="32" t="n"/>
      <c r="AA80" s="32" t="n"/>
      <c r="AB80" s="31" t="n"/>
      <c r="AC80">
        <f>IF(W80&lt;&gt;"OK","",IF(AB80&lt;&gt;"",AB80,AE80))</f>
        <v/>
      </c>
      <c r="AD80" s="33">
        <f>IF(W80&lt;&gt;"OK","",IFERROR(IF(Z80&lt;&gt;"",Z80,AM80)*IF(AA80&lt;&gt;"",AA80,AN80)/60,""))</f>
        <v/>
      </c>
      <c r="AE80">
        <f>IF(W80&lt;&gt;"OK","",IF(OR(VALUE(O80)=2,VALUE(P80)=2,VALUE(Q80)=2),"社内残置",IF(AND(VALUE(O80)=0,VALUE(R80)=0,VALUE(T80)=0),"自動化候補",IF(AND(VALUE(P80)=0,VALUE(R80)&lt;=1,VALUE(S80)&lt;=1,VALUE(T80)&lt;=1,VALUE(U80)&lt;=1),"オフショア候補",IF(AND(VALUE(T80)&lt;=1,VALUE(U80)&lt;=1),"ニアショア候補","社内で手順化→再評価")))))</f>
        <v/>
      </c>
      <c r="AF80">
        <f>IF(W80&lt;&gt;"OK","",14-SUMPRODUCT(--O80:U80))</f>
        <v/>
      </c>
      <c r="AG80" s="33">
        <f>IF(W80&lt;&gt;"OK","",AM80*AN80/60)</f>
        <v/>
      </c>
      <c r="AH80" s="34">
        <f>IF(A80="","",UPPER(TRIM(ASC(A80&amp;""))))</f>
        <v/>
      </c>
      <c r="AI80" s="34">
        <f>IF(AH80="","",AH80&amp;"-"&amp;B80)</f>
        <v/>
      </c>
      <c r="AJ80" s="34">
        <f>IF(C80="","",IFERROR(VALUE(ASC(SUBSTITUTE(C80&amp;"","観点",""))),""))</f>
        <v/>
      </c>
      <c r="AK80" s="34">
        <f>IF(E80="","",UPPER(LEFT(TRIM(ASC(E80&amp;"")),3)))</f>
        <v/>
      </c>
      <c r="AL80" s="34">
        <f>IF(I80="","",IFERROR(VALUE(SUBSTITUTE(SUBSTITUTE(SUBSTITUTE(SUBSTITUTE(SUBSTITUTE(SUBSTITUTE(SUBSTITUTE(SUBSTITUTE(SUBSTITUTE(SUBSTITUTE(SUBSTITUTE(SUBSTITUTE(ASC(I80&amp;""),"約",""),"程度",""),"ほど",""),"回",""),"毎",""),"週",""),"月",""),"年",""),"日",""),"に",""),"/","")," ","")),""))</f>
        <v/>
      </c>
      <c r="AM80" s="34">
        <f>IF(I80="","",IF(ISNUMBER(I80),I80,IFERROR(VALUE(ASC(I80&amp;"")),IF(AL80&lt;&gt;"",AL80*IF(ISNUMBER(SEARCH("週",I80)),4.3,IF(ISNUMBER(SEARCH("年",I80)),1/12,IF(ISNUMBER(SEARCH("日",I80)),20,1))),IF(ISNUMBER(SEARCH("日",I80)),20,IF(ISNUMBER(SEARCH("週",I80)),4.3,IF(ISNUMBER(SEARCH("月",I80)),1,"")))))))</f>
        <v/>
      </c>
      <c r="AN80" s="34">
        <f>IF(J80="","",IF(ISNUMBER(J80),J80,IFERROR(VALUE(ASC(J80&amp;"")),IF(ISNUMBER(SEARCH("時間",J80)),IFERROR(VALUE(SUBSTITUTE(SUBSTITUTE(SUBSTITUTE(SUBSTITUTE(SUBSTITUTE(ASC(J80&amp;""),"約",""),"程度",""),"ほど",""),"時間","")," ",""))*60,""),IFERROR(VALUE(SUBSTITUTE(SUBSTITUTE(SUBSTITUTE(SUBSTITUTE(SUBSTITUTE(ASC(J80&amp;""),"約",""),"程度",""),"ほど",""),"分","")," ","")),"")))))</f>
        <v/>
      </c>
      <c r="AO80" s="34">
        <f>IF(K80="","",IF(ISNUMBER(K80),K80,IFERROR(VALUE(SUBSTITUTE(SUBSTITUTE(SUBSTITUTE(ASC(K80&amp;""),"約",""),"件","")," ","")),"")))</f>
        <v/>
      </c>
      <c r="AP80" s="34">
        <f>IF(W80&lt;&gt;"OK","",IF(COUNTIFS($D$5:$D$404,D80,$W$5:$W$404,"OK")&gt;1,"同名あり",""))</f>
        <v/>
      </c>
      <c r="AQ80" s="35">
        <f>IF(L80="","",IF(ISNUMBER(L80),L80,IFERROR(DATEVALUE(SUBSTITUTE(SUBSTITUTE(ASC(L80&amp;""),"-","/"),".","/")&amp;"/01"),"")))</f>
        <v/>
      </c>
      <c r="AR80" s="35">
        <f>IF(M80="","",IF(ISNUMBER(M80),M80,IFERROR(DATEVALUE(SUBSTITUTE(SUBSTITUTE(ASC(M80&amp;""),"-","/"),".","/")&amp;"/01"),"")))</f>
        <v/>
      </c>
      <c r="AS80" s="34">
        <f>IF(OR(W80&lt;&gt;"OK",AQ80=""),"",IF(AQ80&gt;='01_設定'!$C$26,1,0))</f>
        <v/>
      </c>
      <c r="AT80" s="34">
        <f>IF(AND(W80="OK",Y80&lt;&gt;"除外"),COUNTIFS($W$5:W80,"OK",$Y$5:Y80,"&lt;&gt;除外"),"")</f>
        <v/>
      </c>
      <c r="AU80" s="34">
        <f>IF(OR(AT80="",AD80=""),"",AD80+ROW()/1000000000)</f>
        <v/>
      </c>
    </row>
    <row r="81">
      <c r="W81">
        <f>IF(AND(A81="",D81=""),"",IF(ISNUMBER(SEARCH("##END",AH81)),"（終わりの印）",IF(ISNUMBER(SEARCH("##続き",AH81)),"（続きありの印）",IF(AH81="調査ID","（見出し行）",IF(AND(AH81&lt;&gt;"R1",AH81&lt;&gt;"R2"),"×表以外の行（集計されない）",IF(COUNTIF($AI$5:AI81,AI81)&gt;1,"△重複（集計されない）",IF(D81="","△タスク名なし",IF(ISNA(MATCH(AK81,'M1_類型マスタ'!$A$5:$A$19,0)),"△類型が不正",IF(OR(AM81="",AN81=""),"△回数・分が読めない",IF(SUMPRODUCT(--ISNUMBER(--O81:U81))&lt;7,"△採点が足りない",IF(SUMPRODUCT((--O81:U81&gt;2)+(--O81:U81&lt;0))&gt;0,"△採点が範囲外","OK")))))))))))</f>
        <v/>
      </c>
      <c r="X81">
        <f>IF(W81&lt;&gt;"OK","",TRIM(IF(AND(AO81&lt;&gt;"",N(AO81)&lt;=1),"根拠1件 ","")&amp;IF(AP81&lt;&gt;"","同名あり ","")&amp;IF(AND(NOT(ISNUMBER(I81)),I81&lt;&gt;""),"回数を換算 ","")))</f>
        <v/>
      </c>
      <c r="Y81" s="31" t="n"/>
      <c r="Z81" s="32" t="n"/>
      <c r="AA81" s="32" t="n"/>
      <c r="AB81" s="31" t="n"/>
      <c r="AC81">
        <f>IF(W81&lt;&gt;"OK","",IF(AB81&lt;&gt;"",AB81,AE81))</f>
        <v/>
      </c>
      <c r="AD81" s="33">
        <f>IF(W81&lt;&gt;"OK","",IFERROR(IF(Z81&lt;&gt;"",Z81,AM81)*IF(AA81&lt;&gt;"",AA81,AN81)/60,""))</f>
        <v/>
      </c>
      <c r="AE81">
        <f>IF(W81&lt;&gt;"OK","",IF(OR(VALUE(O81)=2,VALUE(P81)=2,VALUE(Q81)=2),"社内残置",IF(AND(VALUE(O81)=0,VALUE(R81)=0,VALUE(T81)=0),"自動化候補",IF(AND(VALUE(P81)=0,VALUE(R81)&lt;=1,VALUE(S81)&lt;=1,VALUE(T81)&lt;=1,VALUE(U81)&lt;=1),"オフショア候補",IF(AND(VALUE(T81)&lt;=1,VALUE(U81)&lt;=1),"ニアショア候補","社内で手順化→再評価")))))</f>
        <v/>
      </c>
      <c r="AF81">
        <f>IF(W81&lt;&gt;"OK","",14-SUMPRODUCT(--O81:U81))</f>
        <v/>
      </c>
      <c r="AG81" s="33">
        <f>IF(W81&lt;&gt;"OK","",AM81*AN81/60)</f>
        <v/>
      </c>
      <c r="AH81" s="34">
        <f>IF(A81="","",UPPER(TRIM(ASC(A81&amp;""))))</f>
        <v/>
      </c>
      <c r="AI81" s="34">
        <f>IF(AH81="","",AH81&amp;"-"&amp;B81)</f>
        <v/>
      </c>
      <c r="AJ81" s="34">
        <f>IF(C81="","",IFERROR(VALUE(ASC(SUBSTITUTE(C81&amp;"","観点",""))),""))</f>
        <v/>
      </c>
      <c r="AK81" s="34">
        <f>IF(E81="","",UPPER(LEFT(TRIM(ASC(E81&amp;"")),3)))</f>
        <v/>
      </c>
      <c r="AL81" s="34">
        <f>IF(I81="","",IFERROR(VALUE(SUBSTITUTE(SUBSTITUTE(SUBSTITUTE(SUBSTITUTE(SUBSTITUTE(SUBSTITUTE(SUBSTITUTE(SUBSTITUTE(SUBSTITUTE(SUBSTITUTE(SUBSTITUTE(SUBSTITUTE(ASC(I81&amp;""),"約",""),"程度",""),"ほど",""),"回",""),"毎",""),"週",""),"月",""),"年",""),"日",""),"に",""),"/","")," ","")),""))</f>
        <v/>
      </c>
      <c r="AM81" s="34">
        <f>IF(I81="","",IF(ISNUMBER(I81),I81,IFERROR(VALUE(ASC(I81&amp;"")),IF(AL81&lt;&gt;"",AL81*IF(ISNUMBER(SEARCH("週",I81)),4.3,IF(ISNUMBER(SEARCH("年",I81)),1/12,IF(ISNUMBER(SEARCH("日",I81)),20,1))),IF(ISNUMBER(SEARCH("日",I81)),20,IF(ISNUMBER(SEARCH("週",I81)),4.3,IF(ISNUMBER(SEARCH("月",I81)),1,"")))))))</f>
        <v/>
      </c>
      <c r="AN81" s="34">
        <f>IF(J81="","",IF(ISNUMBER(J81),J81,IFERROR(VALUE(ASC(J81&amp;"")),IF(ISNUMBER(SEARCH("時間",J81)),IFERROR(VALUE(SUBSTITUTE(SUBSTITUTE(SUBSTITUTE(SUBSTITUTE(SUBSTITUTE(ASC(J81&amp;""),"約",""),"程度",""),"ほど",""),"時間","")," ",""))*60,""),IFERROR(VALUE(SUBSTITUTE(SUBSTITUTE(SUBSTITUTE(SUBSTITUTE(SUBSTITUTE(ASC(J81&amp;""),"約",""),"程度",""),"ほど",""),"分","")," ","")),"")))))</f>
        <v/>
      </c>
      <c r="AO81" s="34">
        <f>IF(K81="","",IF(ISNUMBER(K81),K81,IFERROR(VALUE(SUBSTITUTE(SUBSTITUTE(SUBSTITUTE(ASC(K81&amp;""),"約",""),"件","")," ","")),"")))</f>
        <v/>
      </c>
      <c r="AP81" s="34">
        <f>IF(W81&lt;&gt;"OK","",IF(COUNTIFS($D$5:$D$404,D81,$W$5:$W$404,"OK")&gt;1,"同名あり",""))</f>
        <v/>
      </c>
      <c r="AQ81" s="35">
        <f>IF(L81="","",IF(ISNUMBER(L81),L81,IFERROR(DATEVALUE(SUBSTITUTE(SUBSTITUTE(ASC(L81&amp;""),"-","/"),".","/")&amp;"/01"),"")))</f>
        <v/>
      </c>
      <c r="AR81" s="35">
        <f>IF(M81="","",IF(ISNUMBER(M81),M81,IFERROR(DATEVALUE(SUBSTITUTE(SUBSTITUTE(ASC(M81&amp;""),"-","/"),".","/")&amp;"/01"),"")))</f>
        <v/>
      </c>
      <c r="AS81" s="34">
        <f>IF(OR(W81&lt;&gt;"OK",AQ81=""),"",IF(AQ81&gt;='01_設定'!$C$26,1,0))</f>
        <v/>
      </c>
      <c r="AT81" s="34">
        <f>IF(AND(W81="OK",Y81&lt;&gt;"除外"),COUNTIFS($W$5:W81,"OK",$Y$5:Y81,"&lt;&gt;除外"),"")</f>
        <v/>
      </c>
      <c r="AU81" s="34">
        <f>IF(OR(AT81="",AD81=""),"",AD81+ROW()/1000000000)</f>
        <v/>
      </c>
    </row>
    <row r="82">
      <c r="W82">
        <f>IF(AND(A82="",D82=""),"",IF(ISNUMBER(SEARCH("##END",AH82)),"（終わりの印）",IF(ISNUMBER(SEARCH("##続き",AH82)),"（続きありの印）",IF(AH82="調査ID","（見出し行）",IF(AND(AH82&lt;&gt;"R1",AH82&lt;&gt;"R2"),"×表以外の行（集計されない）",IF(COUNTIF($AI$5:AI82,AI82)&gt;1,"△重複（集計されない）",IF(D82="","△タスク名なし",IF(ISNA(MATCH(AK82,'M1_類型マスタ'!$A$5:$A$19,0)),"△類型が不正",IF(OR(AM82="",AN82=""),"△回数・分が読めない",IF(SUMPRODUCT(--ISNUMBER(--O82:U82))&lt;7,"△採点が足りない",IF(SUMPRODUCT((--O82:U82&gt;2)+(--O82:U82&lt;0))&gt;0,"△採点が範囲外","OK")))))))))))</f>
        <v/>
      </c>
      <c r="X82">
        <f>IF(W82&lt;&gt;"OK","",TRIM(IF(AND(AO82&lt;&gt;"",N(AO82)&lt;=1),"根拠1件 ","")&amp;IF(AP82&lt;&gt;"","同名あり ","")&amp;IF(AND(NOT(ISNUMBER(I82)),I82&lt;&gt;""),"回数を換算 ","")))</f>
        <v/>
      </c>
      <c r="Y82" s="31" t="n"/>
      <c r="Z82" s="32" t="n"/>
      <c r="AA82" s="32" t="n"/>
      <c r="AB82" s="31" t="n"/>
      <c r="AC82">
        <f>IF(W82&lt;&gt;"OK","",IF(AB82&lt;&gt;"",AB82,AE82))</f>
        <v/>
      </c>
      <c r="AD82" s="33">
        <f>IF(W82&lt;&gt;"OK","",IFERROR(IF(Z82&lt;&gt;"",Z82,AM82)*IF(AA82&lt;&gt;"",AA82,AN82)/60,""))</f>
        <v/>
      </c>
      <c r="AE82">
        <f>IF(W82&lt;&gt;"OK","",IF(OR(VALUE(O82)=2,VALUE(P82)=2,VALUE(Q82)=2),"社内残置",IF(AND(VALUE(O82)=0,VALUE(R82)=0,VALUE(T82)=0),"自動化候補",IF(AND(VALUE(P82)=0,VALUE(R82)&lt;=1,VALUE(S82)&lt;=1,VALUE(T82)&lt;=1,VALUE(U82)&lt;=1),"オフショア候補",IF(AND(VALUE(T82)&lt;=1,VALUE(U82)&lt;=1),"ニアショア候補","社内で手順化→再評価")))))</f>
        <v/>
      </c>
      <c r="AF82">
        <f>IF(W82&lt;&gt;"OK","",14-SUMPRODUCT(--O82:U82))</f>
        <v/>
      </c>
      <c r="AG82" s="33">
        <f>IF(W82&lt;&gt;"OK","",AM82*AN82/60)</f>
        <v/>
      </c>
      <c r="AH82" s="34">
        <f>IF(A82="","",UPPER(TRIM(ASC(A82&amp;""))))</f>
        <v/>
      </c>
      <c r="AI82" s="34">
        <f>IF(AH82="","",AH82&amp;"-"&amp;B82)</f>
        <v/>
      </c>
      <c r="AJ82" s="34">
        <f>IF(C82="","",IFERROR(VALUE(ASC(SUBSTITUTE(C82&amp;"","観点",""))),""))</f>
        <v/>
      </c>
      <c r="AK82" s="34">
        <f>IF(E82="","",UPPER(LEFT(TRIM(ASC(E82&amp;"")),3)))</f>
        <v/>
      </c>
      <c r="AL82" s="34">
        <f>IF(I82="","",IFERROR(VALUE(SUBSTITUTE(SUBSTITUTE(SUBSTITUTE(SUBSTITUTE(SUBSTITUTE(SUBSTITUTE(SUBSTITUTE(SUBSTITUTE(SUBSTITUTE(SUBSTITUTE(SUBSTITUTE(SUBSTITUTE(ASC(I82&amp;""),"約",""),"程度",""),"ほど",""),"回",""),"毎",""),"週",""),"月",""),"年",""),"日",""),"に",""),"/","")," ","")),""))</f>
        <v/>
      </c>
      <c r="AM82" s="34">
        <f>IF(I82="","",IF(ISNUMBER(I82),I82,IFERROR(VALUE(ASC(I82&amp;"")),IF(AL82&lt;&gt;"",AL82*IF(ISNUMBER(SEARCH("週",I82)),4.3,IF(ISNUMBER(SEARCH("年",I82)),1/12,IF(ISNUMBER(SEARCH("日",I82)),20,1))),IF(ISNUMBER(SEARCH("日",I82)),20,IF(ISNUMBER(SEARCH("週",I82)),4.3,IF(ISNUMBER(SEARCH("月",I82)),1,"")))))))</f>
        <v/>
      </c>
      <c r="AN82" s="34">
        <f>IF(J82="","",IF(ISNUMBER(J82),J82,IFERROR(VALUE(ASC(J82&amp;"")),IF(ISNUMBER(SEARCH("時間",J82)),IFERROR(VALUE(SUBSTITUTE(SUBSTITUTE(SUBSTITUTE(SUBSTITUTE(SUBSTITUTE(ASC(J82&amp;""),"約",""),"程度",""),"ほど",""),"時間","")," ",""))*60,""),IFERROR(VALUE(SUBSTITUTE(SUBSTITUTE(SUBSTITUTE(SUBSTITUTE(SUBSTITUTE(ASC(J82&amp;""),"約",""),"程度",""),"ほど",""),"分","")," ","")),"")))))</f>
        <v/>
      </c>
      <c r="AO82" s="34">
        <f>IF(K82="","",IF(ISNUMBER(K82),K82,IFERROR(VALUE(SUBSTITUTE(SUBSTITUTE(SUBSTITUTE(ASC(K82&amp;""),"約",""),"件","")," ","")),"")))</f>
        <v/>
      </c>
      <c r="AP82" s="34">
        <f>IF(W82&lt;&gt;"OK","",IF(COUNTIFS($D$5:$D$404,D82,$W$5:$W$404,"OK")&gt;1,"同名あり",""))</f>
        <v/>
      </c>
      <c r="AQ82" s="35">
        <f>IF(L82="","",IF(ISNUMBER(L82),L82,IFERROR(DATEVALUE(SUBSTITUTE(SUBSTITUTE(ASC(L82&amp;""),"-","/"),".","/")&amp;"/01"),"")))</f>
        <v/>
      </c>
      <c r="AR82" s="35">
        <f>IF(M82="","",IF(ISNUMBER(M82),M82,IFERROR(DATEVALUE(SUBSTITUTE(SUBSTITUTE(ASC(M82&amp;""),"-","/"),".","/")&amp;"/01"),"")))</f>
        <v/>
      </c>
      <c r="AS82" s="34">
        <f>IF(OR(W82&lt;&gt;"OK",AQ82=""),"",IF(AQ82&gt;='01_設定'!$C$26,1,0))</f>
        <v/>
      </c>
      <c r="AT82" s="34">
        <f>IF(AND(W82="OK",Y82&lt;&gt;"除外"),COUNTIFS($W$5:W82,"OK",$Y$5:Y82,"&lt;&gt;除外"),"")</f>
        <v/>
      </c>
      <c r="AU82" s="34">
        <f>IF(OR(AT82="",AD82=""),"",AD82+ROW()/1000000000)</f>
        <v/>
      </c>
    </row>
    <row r="83">
      <c r="W83">
        <f>IF(AND(A83="",D83=""),"",IF(ISNUMBER(SEARCH("##END",AH83)),"（終わりの印）",IF(ISNUMBER(SEARCH("##続き",AH83)),"（続きありの印）",IF(AH83="調査ID","（見出し行）",IF(AND(AH83&lt;&gt;"R1",AH83&lt;&gt;"R2"),"×表以外の行（集計されない）",IF(COUNTIF($AI$5:AI83,AI83)&gt;1,"△重複（集計されない）",IF(D83="","△タスク名なし",IF(ISNA(MATCH(AK83,'M1_類型マスタ'!$A$5:$A$19,0)),"△類型が不正",IF(OR(AM83="",AN83=""),"△回数・分が読めない",IF(SUMPRODUCT(--ISNUMBER(--O83:U83))&lt;7,"△採点が足りない",IF(SUMPRODUCT((--O83:U83&gt;2)+(--O83:U83&lt;0))&gt;0,"△採点が範囲外","OK")))))))))))</f>
        <v/>
      </c>
      <c r="X83">
        <f>IF(W83&lt;&gt;"OK","",TRIM(IF(AND(AO83&lt;&gt;"",N(AO83)&lt;=1),"根拠1件 ","")&amp;IF(AP83&lt;&gt;"","同名あり ","")&amp;IF(AND(NOT(ISNUMBER(I83)),I83&lt;&gt;""),"回数を換算 ","")))</f>
        <v/>
      </c>
      <c r="Y83" s="31" t="n"/>
      <c r="Z83" s="32" t="n"/>
      <c r="AA83" s="32" t="n"/>
      <c r="AB83" s="31" t="n"/>
      <c r="AC83">
        <f>IF(W83&lt;&gt;"OK","",IF(AB83&lt;&gt;"",AB83,AE83))</f>
        <v/>
      </c>
      <c r="AD83" s="33">
        <f>IF(W83&lt;&gt;"OK","",IFERROR(IF(Z83&lt;&gt;"",Z83,AM83)*IF(AA83&lt;&gt;"",AA83,AN83)/60,""))</f>
        <v/>
      </c>
      <c r="AE83">
        <f>IF(W83&lt;&gt;"OK","",IF(OR(VALUE(O83)=2,VALUE(P83)=2,VALUE(Q83)=2),"社内残置",IF(AND(VALUE(O83)=0,VALUE(R83)=0,VALUE(T83)=0),"自動化候補",IF(AND(VALUE(P83)=0,VALUE(R83)&lt;=1,VALUE(S83)&lt;=1,VALUE(T83)&lt;=1,VALUE(U83)&lt;=1),"オフショア候補",IF(AND(VALUE(T83)&lt;=1,VALUE(U83)&lt;=1),"ニアショア候補","社内で手順化→再評価")))))</f>
        <v/>
      </c>
      <c r="AF83">
        <f>IF(W83&lt;&gt;"OK","",14-SUMPRODUCT(--O83:U83))</f>
        <v/>
      </c>
      <c r="AG83" s="33">
        <f>IF(W83&lt;&gt;"OK","",AM83*AN83/60)</f>
        <v/>
      </c>
      <c r="AH83" s="34">
        <f>IF(A83="","",UPPER(TRIM(ASC(A83&amp;""))))</f>
        <v/>
      </c>
      <c r="AI83" s="34">
        <f>IF(AH83="","",AH83&amp;"-"&amp;B83)</f>
        <v/>
      </c>
      <c r="AJ83" s="34">
        <f>IF(C83="","",IFERROR(VALUE(ASC(SUBSTITUTE(C83&amp;"","観点",""))),""))</f>
        <v/>
      </c>
      <c r="AK83" s="34">
        <f>IF(E83="","",UPPER(LEFT(TRIM(ASC(E83&amp;"")),3)))</f>
        <v/>
      </c>
      <c r="AL83" s="34">
        <f>IF(I83="","",IFERROR(VALUE(SUBSTITUTE(SUBSTITUTE(SUBSTITUTE(SUBSTITUTE(SUBSTITUTE(SUBSTITUTE(SUBSTITUTE(SUBSTITUTE(SUBSTITUTE(SUBSTITUTE(SUBSTITUTE(SUBSTITUTE(ASC(I83&amp;""),"約",""),"程度",""),"ほど",""),"回",""),"毎",""),"週",""),"月",""),"年",""),"日",""),"に",""),"/","")," ","")),""))</f>
        <v/>
      </c>
      <c r="AM83" s="34">
        <f>IF(I83="","",IF(ISNUMBER(I83),I83,IFERROR(VALUE(ASC(I83&amp;"")),IF(AL83&lt;&gt;"",AL83*IF(ISNUMBER(SEARCH("週",I83)),4.3,IF(ISNUMBER(SEARCH("年",I83)),1/12,IF(ISNUMBER(SEARCH("日",I83)),20,1))),IF(ISNUMBER(SEARCH("日",I83)),20,IF(ISNUMBER(SEARCH("週",I83)),4.3,IF(ISNUMBER(SEARCH("月",I83)),1,"")))))))</f>
        <v/>
      </c>
      <c r="AN83" s="34">
        <f>IF(J83="","",IF(ISNUMBER(J83),J83,IFERROR(VALUE(ASC(J83&amp;"")),IF(ISNUMBER(SEARCH("時間",J83)),IFERROR(VALUE(SUBSTITUTE(SUBSTITUTE(SUBSTITUTE(SUBSTITUTE(SUBSTITUTE(ASC(J83&amp;""),"約",""),"程度",""),"ほど",""),"時間","")," ",""))*60,""),IFERROR(VALUE(SUBSTITUTE(SUBSTITUTE(SUBSTITUTE(SUBSTITUTE(SUBSTITUTE(ASC(J83&amp;""),"約",""),"程度",""),"ほど",""),"分","")," ","")),"")))))</f>
        <v/>
      </c>
      <c r="AO83" s="34">
        <f>IF(K83="","",IF(ISNUMBER(K83),K83,IFERROR(VALUE(SUBSTITUTE(SUBSTITUTE(SUBSTITUTE(ASC(K83&amp;""),"約",""),"件","")," ","")),"")))</f>
        <v/>
      </c>
      <c r="AP83" s="34">
        <f>IF(W83&lt;&gt;"OK","",IF(COUNTIFS($D$5:$D$404,D83,$W$5:$W$404,"OK")&gt;1,"同名あり",""))</f>
        <v/>
      </c>
      <c r="AQ83" s="35">
        <f>IF(L83="","",IF(ISNUMBER(L83),L83,IFERROR(DATEVALUE(SUBSTITUTE(SUBSTITUTE(ASC(L83&amp;""),"-","/"),".","/")&amp;"/01"),"")))</f>
        <v/>
      </c>
      <c r="AR83" s="35">
        <f>IF(M83="","",IF(ISNUMBER(M83),M83,IFERROR(DATEVALUE(SUBSTITUTE(SUBSTITUTE(ASC(M83&amp;""),"-","/"),".","/")&amp;"/01"),"")))</f>
        <v/>
      </c>
      <c r="AS83" s="34">
        <f>IF(OR(W83&lt;&gt;"OK",AQ83=""),"",IF(AQ83&gt;='01_設定'!$C$26,1,0))</f>
        <v/>
      </c>
      <c r="AT83" s="34">
        <f>IF(AND(W83="OK",Y83&lt;&gt;"除外"),COUNTIFS($W$5:W83,"OK",$Y$5:Y83,"&lt;&gt;除外"),"")</f>
        <v/>
      </c>
      <c r="AU83" s="34">
        <f>IF(OR(AT83="",AD83=""),"",AD83+ROW()/1000000000)</f>
        <v/>
      </c>
    </row>
    <row r="84">
      <c r="W84">
        <f>IF(AND(A84="",D84=""),"",IF(ISNUMBER(SEARCH("##END",AH84)),"（終わりの印）",IF(ISNUMBER(SEARCH("##続き",AH84)),"（続きありの印）",IF(AH84="調査ID","（見出し行）",IF(AND(AH84&lt;&gt;"R1",AH84&lt;&gt;"R2"),"×表以外の行（集計されない）",IF(COUNTIF($AI$5:AI84,AI84)&gt;1,"△重複（集計されない）",IF(D84="","△タスク名なし",IF(ISNA(MATCH(AK84,'M1_類型マスタ'!$A$5:$A$19,0)),"△類型が不正",IF(OR(AM84="",AN84=""),"△回数・分が読めない",IF(SUMPRODUCT(--ISNUMBER(--O84:U84))&lt;7,"△採点が足りない",IF(SUMPRODUCT((--O84:U84&gt;2)+(--O84:U84&lt;0))&gt;0,"△採点が範囲外","OK")))))))))))</f>
        <v/>
      </c>
      <c r="X84">
        <f>IF(W84&lt;&gt;"OK","",TRIM(IF(AND(AO84&lt;&gt;"",N(AO84)&lt;=1),"根拠1件 ","")&amp;IF(AP84&lt;&gt;"","同名あり ","")&amp;IF(AND(NOT(ISNUMBER(I84)),I84&lt;&gt;""),"回数を換算 ","")))</f>
        <v/>
      </c>
      <c r="Y84" s="31" t="n"/>
      <c r="Z84" s="32" t="n"/>
      <c r="AA84" s="32" t="n"/>
      <c r="AB84" s="31" t="n"/>
      <c r="AC84">
        <f>IF(W84&lt;&gt;"OK","",IF(AB84&lt;&gt;"",AB84,AE84))</f>
        <v/>
      </c>
      <c r="AD84" s="33">
        <f>IF(W84&lt;&gt;"OK","",IFERROR(IF(Z84&lt;&gt;"",Z84,AM84)*IF(AA84&lt;&gt;"",AA84,AN84)/60,""))</f>
        <v/>
      </c>
      <c r="AE84">
        <f>IF(W84&lt;&gt;"OK","",IF(OR(VALUE(O84)=2,VALUE(P84)=2,VALUE(Q84)=2),"社内残置",IF(AND(VALUE(O84)=0,VALUE(R84)=0,VALUE(T84)=0),"自動化候補",IF(AND(VALUE(P84)=0,VALUE(R84)&lt;=1,VALUE(S84)&lt;=1,VALUE(T84)&lt;=1,VALUE(U84)&lt;=1),"オフショア候補",IF(AND(VALUE(T84)&lt;=1,VALUE(U84)&lt;=1),"ニアショア候補","社内で手順化→再評価")))))</f>
        <v/>
      </c>
      <c r="AF84">
        <f>IF(W84&lt;&gt;"OK","",14-SUMPRODUCT(--O84:U84))</f>
        <v/>
      </c>
      <c r="AG84" s="33">
        <f>IF(W84&lt;&gt;"OK","",AM84*AN84/60)</f>
        <v/>
      </c>
      <c r="AH84" s="34">
        <f>IF(A84="","",UPPER(TRIM(ASC(A84&amp;""))))</f>
        <v/>
      </c>
      <c r="AI84" s="34">
        <f>IF(AH84="","",AH84&amp;"-"&amp;B84)</f>
        <v/>
      </c>
      <c r="AJ84" s="34">
        <f>IF(C84="","",IFERROR(VALUE(ASC(SUBSTITUTE(C84&amp;"","観点",""))),""))</f>
        <v/>
      </c>
      <c r="AK84" s="34">
        <f>IF(E84="","",UPPER(LEFT(TRIM(ASC(E84&amp;"")),3)))</f>
        <v/>
      </c>
      <c r="AL84" s="34">
        <f>IF(I84="","",IFERROR(VALUE(SUBSTITUTE(SUBSTITUTE(SUBSTITUTE(SUBSTITUTE(SUBSTITUTE(SUBSTITUTE(SUBSTITUTE(SUBSTITUTE(SUBSTITUTE(SUBSTITUTE(SUBSTITUTE(SUBSTITUTE(ASC(I84&amp;""),"約",""),"程度",""),"ほど",""),"回",""),"毎",""),"週",""),"月",""),"年",""),"日",""),"に",""),"/","")," ","")),""))</f>
        <v/>
      </c>
      <c r="AM84" s="34">
        <f>IF(I84="","",IF(ISNUMBER(I84),I84,IFERROR(VALUE(ASC(I84&amp;"")),IF(AL84&lt;&gt;"",AL84*IF(ISNUMBER(SEARCH("週",I84)),4.3,IF(ISNUMBER(SEARCH("年",I84)),1/12,IF(ISNUMBER(SEARCH("日",I84)),20,1))),IF(ISNUMBER(SEARCH("日",I84)),20,IF(ISNUMBER(SEARCH("週",I84)),4.3,IF(ISNUMBER(SEARCH("月",I84)),1,"")))))))</f>
        <v/>
      </c>
      <c r="AN84" s="34">
        <f>IF(J84="","",IF(ISNUMBER(J84),J84,IFERROR(VALUE(ASC(J84&amp;"")),IF(ISNUMBER(SEARCH("時間",J84)),IFERROR(VALUE(SUBSTITUTE(SUBSTITUTE(SUBSTITUTE(SUBSTITUTE(SUBSTITUTE(ASC(J84&amp;""),"約",""),"程度",""),"ほど",""),"時間","")," ",""))*60,""),IFERROR(VALUE(SUBSTITUTE(SUBSTITUTE(SUBSTITUTE(SUBSTITUTE(SUBSTITUTE(ASC(J84&amp;""),"約",""),"程度",""),"ほど",""),"分","")," ","")),"")))))</f>
        <v/>
      </c>
      <c r="AO84" s="34">
        <f>IF(K84="","",IF(ISNUMBER(K84),K84,IFERROR(VALUE(SUBSTITUTE(SUBSTITUTE(SUBSTITUTE(ASC(K84&amp;""),"約",""),"件","")," ","")),"")))</f>
        <v/>
      </c>
      <c r="AP84" s="34">
        <f>IF(W84&lt;&gt;"OK","",IF(COUNTIFS($D$5:$D$404,D84,$W$5:$W$404,"OK")&gt;1,"同名あり",""))</f>
        <v/>
      </c>
      <c r="AQ84" s="35">
        <f>IF(L84="","",IF(ISNUMBER(L84),L84,IFERROR(DATEVALUE(SUBSTITUTE(SUBSTITUTE(ASC(L84&amp;""),"-","/"),".","/")&amp;"/01"),"")))</f>
        <v/>
      </c>
      <c r="AR84" s="35">
        <f>IF(M84="","",IF(ISNUMBER(M84),M84,IFERROR(DATEVALUE(SUBSTITUTE(SUBSTITUTE(ASC(M84&amp;""),"-","/"),".","/")&amp;"/01"),"")))</f>
        <v/>
      </c>
      <c r="AS84" s="34">
        <f>IF(OR(W84&lt;&gt;"OK",AQ84=""),"",IF(AQ84&gt;='01_設定'!$C$26,1,0))</f>
        <v/>
      </c>
      <c r="AT84" s="34">
        <f>IF(AND(W84="OK",Y84&lt;&gt;"除外"),COUNTIFS($W$5:W84,"OK",$Y$5:Y84,"&lt;&gt;除外"),"")</f>
        <v/>
      </c>
      <c r="AU84" s="34">
        <f>IF(OR(AT84="",AD84=""),"",AD84+ROW()/1000000000)</f>
        <v/>
      </c>
    </row>
    <row r="85">
      <c r="W85">
        <f>IF(AND(A85="",D85=""),"",IF(ISNUMBER(SEARCH("##END",AH85)),"（終わりの印）",IF(ISNUMBER(SEARCH("##続き",AH85)),"（続きありの印）",IF(AH85="調査ID","（見出し行）",IF(AND(AH85&lt;&gt;"R1",AH85&lt;&gt;"R2"),"×表以外の行（集計されない）",IF(COUNTIF($AI$5:AI85,AI85)&gt;1,"△重複（集計されない）",IF(D85="","△タスク名なし",IF(ISNA(MATCH(AK85,'M1_類型マスタ'!$A$5:$A$19,0)),"△類型が不正",IF(OR(AM85="",AN85=""),"△回数・分が読めない",IF(SUMPRODUCT(--ISNUMBER(--O85:U85))&lt;7,"△採点が足りない",IF(SUMPRODUCT((--O85:U85&gt;2)+(--O85:U85&lt;0))&gt;0,"△採点が範囲外","OK")))))))))))</f>
        <v/>
      </c>
      <c r="X85">
        <f>IF(W85&lt;&gt;"OK","",TRIM(IF(AND(AO85&lt;&gt;"",N(AO85)&lt;=1),"根拠1件 ","")&amp;IF(AP85&lt;&gt;"","同名あり ","")&amp;IF(AND(NOT(ISNUMBER(I85)),I85&lt;&gt;""),"回数を換算 ","")))</f>
        <v/>
      </c>
      <c r="Y85" s="31" t="n"/>
      <c r="Z85" s="32" t="n"/>
      <c r="AA85" s="32" t="n"/>
      <c r="AB85" s="31" t="n"/>
      <c r="AC85">
        <f>IF(W85&lt;&gt;"OK","",IF(AB85&lt;&gt;"",AB85,AE85))</f>
        <v/>
      </c>
      <c r="AD85" s="33">
        <f>IF(W85&lt;&gt;"OK","",IFERROR(IF(Z85&lt;&gt;"",Z85,AM85)*IF(AA85&lt;&gt;"",AA85,AN85)/60,""))</f>
        <v/>
      </c>
      <c r="AE85">
        <f>IF(W85&lt;&gt;"OK","",IF(OR(VALUE(O85)=2,VALUE(P85)=2,VALUE(Q85)=2),"社内残置",IF(AND(VALUE(O85)=0,VALUE(R85)=0,VALUE(T85)=0),"自動化候補",IF(AND(VALUE(P85)=0,VALUE(R85)&lt;=1,VALUE(S85)&lt;=1,VALUE(T85)&lt;=1,VALUE(U85)&lt;=1),"オフショア候補",IF(AND(VALUE(T85)&lt;=1,VALUE(U85)&lt;=1),"ニアショア候補","社内で手順化→再評価")))))</f>
        <v/>
      </c>
      <c r="AF85">
        <f>IF(W85&lt;&gt;"OK","",14-SUMPRODUCT(--O85:U85))</f>
        <v/>
      </c>
      <c r="AG85" s="33">
        <f>IF(W85&lt;&gt;"OK","",AM85*AN85/60)</f>
        <v/>
      </c>
      <c r="AH85" s="34">
        <f>IF(A85="","",UPPER(TRIM(ASC(A85&amp;""))))</f>
        <v/>
      </c>
      <c r="AI85" s="34">
        <f>IF(AH85="","",AH85&amp;"-"&amp;B85)</f>
        <v/>
      </c>
      <c r="AJ85" s="34">
        <f>IF(C85="","",IFERROR(VALUE(ASC(SUBSTITUTE(C85&amp;"","観点",""))),""))</f>
        <v/>
      </c>
      <c r="AK85" s="34">
        <f>IF(E85="","",UPPER(LEFT(TRIM(ASC(E85&amp;"")),3)))</f>
        <v/>
      </c>
      <c r="AL85" s="34">
        <f>IF(I85="","",IFERROR(VALUE(SUBSTITUTE(SUBSTITUTE(SUBSTITUTE(SUBSTITUTE(SUBSTITUTE(SUBSTITUTE(SUBSTITUTE(SUBSTITUTE(SUBSTITUTE(SUBSTITUTE(SUBSTITUTE(SUBSTITUTE(ASC(I85&amp;""),"約",""),"程度",""),"ほど",""),"回",""),"毎",""),"週",""),"月",""),"年",""),"日",""),"に",""),"/","")," ","")),""))</f>
        <v/>
      </c>
      <c r="AM85" s="34">
        <f>IF(I85="","",IF(ISNUMBER(I85),I85,IFERROR(VALUE(ASC(I85&amp;"")),IF(AL85&lt;&gt;"",AL85*IF(ISNUMBER(SEARCH("週",I85)),4.3,IF(ISNUMBER(SEARCH("年",I85)),1/12,IF(ISNUMBER(SEARCH("日",I85)),20,1))),IF(ISNUMBER(SEARCH("日",I85)),20,IF(ISNUMBER(SEARCH("週",I85)),4.3,IF(ISNUMBER(SEARCH("月",I85)),1,"")))))))</f>
        <v/>
      </c>
      <c r="AN85" s="34">
        <f>IF(J85="","",IF(ISNUMBER(J85),J85,IFERROR(VALUE(ASC(J85&amp;"")),IF(ISNUMBER(SEARCH("時間",J85)),IFERROR(VALUE(SUBSTITUTE(SUBSTITUTE(SUBSTITUTE(SUBSTITUTE(SUBSTITUTE(ASC(J85&amp;""),"約",""),"程度",""),"ほど",""),"時間","")," ",""))*60,""),IFERROR(VALUE(SUBSTITUTE(SUBSTITUTE(SUBSTITUTE(SUBSTITUTE(SUBSTITUTE(ASC(J85&amp;""),"約",""),"程度",""),"ほど",""),"分","")," ","")),"")))))</f>
        <v/>
      </c>
      <c r="AO85" s="34">
        <f>IF(K85="","",IF(ISNUMBER(K85),K85,IFERROR(VALUE(SUBSTITUTE(SUBSTITUTE(SUBSTITUTE(ASC(K85&amp;""),"約",""),"件","")," ","")),"")))</f>
        <v/>
      </c>
      <c r="AP85" s="34">
        <f>IF(W85&lt;&gt;"OK","",IF(COUNTIFS($D$5:$D$404,D85,$W$5:$W$404,"OK")&gt;1,"同名あり",""))</f>
        <v/>
      </c>
      <c r="AQ85" s="35">
        <f>IF(L85="","",IF(ISNUMBER(L85),L85,IFERROR(DATEVALUE(SUBSTITUTE(SUBSTITUTE(ASC(L85&amp;""),"-","/"),".","/")&amp;"/01"),"")))</f>
        <v/>
      </c>
      <c r="AR85" s="35">
        <f>IF(M85="","",IF(ISNUMBER(M85),M85,IFERROR(DATEVALUE(SUBSTITUTE(SUBSTITUTE(ASC(M85&amp;""),"-","/"),".","/")&amp;"/01"),"")))</f>
        <v/>
      </c>
      <c r="AS85" s="34">
        <f>IF(OR(W85&lt;&gt;"OK",AQ85=""),"",IF(AQ85&gt;='01_設定'!$C$26,1,0))</f>
        <v/>
      </c>
      <c r="AT85" s="34">
        <f>IF(AND(W85="OK",Y85&lt;&gt;"除外"),COUNTIFS($W$5:W85,"OK",$Y$5:Y85,"&lt;&gt;除外"),"")</f>
        <v/>
      </c>
      <c r="AU85" s="34">
        <f>IF(OR(AT85="",AD85=""),"",AD85+ROW()/1000000000)</f>
        <v/>
      </c>
    </row>
    <row r="86">
      <c r="W86">
        <f>IF(AND(A86="",D86=""),"",IF(ISNUMBER(SEARCH("##END",AH86)),"（終わりの印）",IF(ISNUMBER(SEARCH("##続き",AH86)),"（続きありの印）",IF(AH86="調査ID","（見出し行）",IF(AND(AH86&lt;&gt;"R1",AH86&lt;&gt;"R2"),"×表以外の行（集計されない）",IF(COUNTIF($AI$5:AI86,AI86)&gt;1,"△重複（集計されない）",IF(D86="","△タスク名なし",IF(ISNA(MATCH(AK86,'M1_類型マスタ'!$A$5:$A$19,0)),"△類型が不正",IF(OR(AM86="",AN86=""),"△回数・分が読めない",IF(SUMPRODUCT(--ISNUMBER(--O86:U86))&lt;7,"△採点が足りない",IF(SUMPRODUCT((--O86:U86&gt;2)+(--O86:U86&lt;0))&gt;0,"△採点が範囲外","OK")))))))))))</f>
        <v/>
      </c>
      <c r="X86">
        <f>IF(W86&lt;&gt;"OK","",TRIM(IF(AND(AO86&lt;&gt;"",N(AO86)&lt;=1),"根拠1件 ","")&amp;IF(AP86&lt;&gt;"","同名あり ","")&amp;IF(AND(NOT(ISNUMBER(I86)),I86&lt;&gt;""),"回数を換算 ","")))</f>
        <v/>
      </c>
      <c r="Y86" s="31" t="n"/>
      <c r="Z86" s="32" t="n"/>
      <c r="AA86" s="32" t="n"/>
      <c r="AB86" s="31" t="n"/>
      <c r="AC86">
        <f>IF(W86&lt;&gt;"OK","",IF(AB86&lt;&gt;"",AB86,AE86))</f>
        <v/>
      </c>
      <c r="AD86" s="33">
        <f>IF(W86&lt;&gt;"OK","",IFERROR(IF(Z86&lt;&gt;"",Z86,AM86)*IF(AA86&lt;&gt;"",AA86,AN86)/60,""))</f>
        <v/>
      </c>
      <c r="AE86">
        <f>IF(W86&lt;&gt;"OK","",IF(OR(VALUE(O86)=2,VALUE(P86)=2,VALUE(Q86)=2),"社内残置",IF(AND(VALUE(O86)=0,VALUE(R86)=0,VALUE(T86)=0),"自動化候補",IF(AND(VALUE(P86)=0,VALUE(R86)&lt;=1,VALUE(S86)&lt;=1,VALUE(T86)&lt;=1,VALUE(U86)&lt;=1),"オフショア候補",IF(AND(VALUE(T86)&lt;=1,VALUE(U86)&lt;=1),"ニアショア候補","社内で手順化→再評価")))))</f>
        <v/>
      </c>
      <c r="AF86">
        <f>IF(W86&lt;&gt;"OK","",14-SUMPRODUCT(--O86:U86))</f>
        <v/>
      </c>
      <c r="AG86" s="33">
        <f>IF(W86&lt;&gt;"OK","",AM86*AN86/60)</f>
        <v/>
      </c>
      <c r="AH86" s="34">
        <f>IF(A86="","",UPPER(TRIM(ASC(A86&amp;""))))</f>
        <v/>
      </c>
      <c r="AI86" s="34">
        <f>IF(AH86="","",AH86&amp;"-"&amp;B86)</f>
        <v/>
      </c>
      <c r="AJ86" s="34">
        <f>IF(C86="","",IFERROR(VALUE(ASC(SUBSTITUTE(C86&amp;"","観点",""))),""))</f>
        <v/>
      </c>
      <c r="AK86" s="34">
        <f>IF(E86="","",UPPER(LEFT(TRIM(ASC(E86&amp;"")),3)))</f>
        <v/>
      </c>
      <c r="AL86" s="34">
        <f>IF(I86="","",IFERROR(VALUE(SUBSTITUTE(SUBSTITUTE(SUBSTITUTE(SUBSTITUTE(SUBSTITUTE(SUBSTITUTE(SUBSTITUTE(SUBSTITUTE(SUBSTITUTE(SUBSTITUTE(SUBSTITUTE(SUBSTITUTE(ASC(I86&amp;""),"約",""),"程度",""),"ほど",""),"回",""),"毎",""),"週",""),"月",""),"年",""),"日",""),"に",""),"/","")," ","")),""))</f>
        <v/>
      </c>
      <c r="AM86" s="34">
        <f>IF(I86="","",IF(ISNUMBER(I86),I86,IFERROR(VALUE(ASC(I86&amp;"")),IF(AL86&lt;&gt;"",AL86*IF(ISNUMBER(SEARCH("週",I86)),4.3,IF(ISNUMBER(SEARCH("年",I86)),1/12,IF(ISNUMBER(SEARCH("日",I86)),20,1))),IF(ISNUMBER(SEARCH("日",I86)),20,IF(ISNUMBER(SEARCH("週",I86)),4.3,IF(ISNUMBER(SEARCH("月",I86)),1,"")))))))</f>
        <v/>
      </c>
      <c r="AN86" s="34">
        <f>IF(J86="","",IF(ISNUMBER(J86),J86,IFERROR(VALUE(ASC(J86&amp;"")),IF(ISNUMBER(SEARCH("時間",J86)),IFERROR(VALUE(SUBSTITUTE(SUBSTITUTE(SUBSTITUTE(SUBSTITUTE(SUBSTITUTE(ASC(J86&amp;""),"約",""),"程度",""),"ほど",""),"時間","")," ",""))*60,""),IFERROR(VALUE(SUBSTITUTE(SUBSTITUTE(SUBSTITUTE(SUBSTITUTE(SUBSTITUTE(ASC(J86&amp;""),"約",""),"程度",""),"ほど",""),"分","")," ","")),"")))))</f>
        <v/>
      </c>
      <c r="AO86" s="34">
        <f>IF(K86="","",IF(ISNUMBER(K86),K86,IFERROR(VALUE(SUBSTITUTE(SUBSTITUTE(SUBSTITUTE(ASC(K86&amp;""),"約",""),"件","")," ","")),"")))</f>
        <v/>
      </c>
      <c r="AP86" s="34">
        <f>IF(W86&lt;&gt;"OK","",IF(COUNTIFS($D$5:$D$404,D86,$W$5:$W$404,"OK")&gt;1,"同名あり",""))</f>
        <v/>
      </c>
      <c r="AQ86" s="35">
        <f>IF(L86="","",IF(ISNUMBER(L86),L86,IFERROR(DATEVALUE(SUBSTITUTE(SUBSTITUTE(ASC(L86&amp;""),"-","/"),".","/")&amp;"/01"),"")))</f>
        <v/>
      </c>
      <c r="AR86" s="35">
        <f>IF(M86="","",IF(ISNUMBER(M86),M86,IFERROR(DATEVALUE(SUBSTITUTE(SUBSTITUTE(ASC(M86&amp;""),"-","/"),".","/")&amp;"/01"),"")))</f>
        <v/>
      </c>
      <c r="AS86" s="34">
        <f>IF(OR(W86&lt;&gt;"OK",AQ86=""),"",IF(AQ86&gt;='01_設定'!$C$26,1,0))</f>
        <v/>
      </c>
      <c r="AT86" s="34">
        <f>IF(AND(W86="OK",Y86&lt;&gt;"除外"),COUNTIFS($W$5:W86,"OK",$Y$5:Y86,"&lt;&gt;除外"),"")</f>
        <v/>
      </c>
      <c r="AU86" s="34">
        <f>IF(OR(AT86="",AD86=""),"",AD86+ROW()/1000000000)</f>
        <v/>
      </c>
    </row>
    <row r="87">
      <c r="W87">
        <f>IF(AND(A87="",D87=""),"",IF(ISNUMBER(SEARCH("##END",AH87)),"（終わりの印）",IF(ISNUMBER(SEARCH("##続き",AH87)),"（続きありの印）",IF(AH87="調査ID","（見出し行）",IF(AND(AH87&lt;&gt;"R1",AH87&lt;&gt;"R2"),"×表以外の行（集計されない）",IF(COUNTIF($AI$5:AI87,AI87)&gt;1,"△重複（集計されない）",IF(D87="","△タスク名なし",IF(ISNA(MATCH(AK87,'M1_類型マスタ'!$A$5:$A$19,0)),"△類型が不正",IF(OR(AM87="",AN87=""),"△回数・分が読めない",IF(SUMPRODUCT(--ISNUMBER(--O87:U87))&lt;7,"△採点が足りない",IF(SUMPRODUCT((--O87:U87&gt;2)+(--O87:U87&lt;0))&gt;0,"△採点が範囲外","OK")))))))))))</f>
        <v/>
      </c>
      <c r="X87">
        <f>IF(W87&lt;&gt;"OK","",TRIM(IF(AND(AO87&lt;&gt;"",N(AO87)&lt;=1),"根拠1件 ","")&amp;IF(AP87&lt;&gt;"","同名あり ","")&amp;IF(AND(NOT(ISNUMBER(I87)),I87&lt;&gt;""),"回数を換算 ","")))</f>
        <v/>
      </c>
      <c r="Y87" s="31" t="n"/>
      <c r="Z87" s="32" t="n"/>
      <c r="AA87" s="32" t="n"/>
      <c r="AB87" s="31" t="n"/>
      <c r="AC87">
        <f>IF(W87&lt;&gt;"OK","",IF(AB87&lt;&gt;"",AB87,AE87))</f>
        <v/>
      </c>
      <c r="AD87" s="33">
        <f>IF(W87&lt;&gt;"OK","",IFERROR(IF(Z87&lt;&gt;"",Z87,AM87)*IF(AA87&lt;&gt;"",AA87,AN87)/60,""))</f>
        <v/>
      </c>
      <c r="AE87">
        <f>IF(W87&lt;&gt;"OK","",IF(OR(VALUE(O87)=2,VALUE(P87)=2,VALUE(Q87)=2),"社内残置",IF(AND(VALUE(O87)=0,VALUE(R87)=0,VALUE(T87)=0),"自動化候補",IF(AND(VALUE(P87)=0,VALUE(R87)&lt;=1,VALUE(S87)&lt;=1,VALUE(T87)&lt;=1,VALUE(U87)&lt;=1),"オフショア候補",IF(AND(VALUE(T87)&lt;=1,VALUE(U87)&lt;=1),"ニアショア候補","社内で手順化→再評価")))))</f>
        <v/>
      </c>
      <c r="AF87">
        <f>IF(W87&lt;&gt;"OK","",14-SUMPRODUCT(--O87:U87))</f>
        <v/>
      </c>
      <c r="AG87" s="33">
        <f>IF(W87&lt;&gt;"OK","",AM87*AN87/60)</f>
        <v/>
      </c>
      <c r="AH87" s="34">
        <f>IF(A87="","",UPPER(TRIM(ASC(A87&amp;""))))</f>
        <v/>
      </c>
      <c r="AI87" s="34">
        <f>IF(AH87="","",AH87&amp;"-"&amp;B87)</f>
        <v/>
      </c>
      <c r="AJ87" s="34">
        <f>IF(C87="","",IFERROR(VALUE(ASC(SUBSTITUTE(C87&amp;"","観点",""))),""))</f>
        <v/>
      </c>
      <c r="AK87" s="34">
        <f>IF(E87="","",UPPER(LEFT(TRIM(ASC(E87&amp;"")),3)))</f>
        <v/>
      </c>
      <c r="AL87" s="34">
        <f>IF(I87="","",IFERROR(VALUE(SUBSTITUTE(SUBSTITUTE(SUBSTITUTE(SUBSTITUTE(SUBSTITUTE(SUBSTITUTE(SUBSTITUTE(SUBSTITUTE(SUBSTITUTE(SUBSTITUTE(SUBSTITUTE(SUBSTITUTE(ASC(I87&amp;""),"約",""),"程度",""),"ほど",""),"回",""),"毎",""),"週",""),"月",""),"年",""),"日",""),"に",""),"/","")," ","")),""))</f>
        <v/>
      </c>
      <c r="AM87" s="34">
        <f>IF(I87="","",IF(ISNUMBER(I87),I87,IFERROR(VALUE(ASC(I87&amp;"")),IF(AL87&lt;&gt;"",AL87*IF(ISNUMBER(SEARCH("週",I87)),4.3,IF(ISNUMBER(SEARCH("年",I87)),1/12,IF(ISNUMBER(SEARCH("日",I87)),20,1))),IF(ISNUMBER(SEARCH("日",I87)),20,IF(ISNUMBER(SEARCH("週",I87)),4.3,IF(ISNUMBER(SEARCH("月",I87)),1,"")))))))</f>
        <v/>
      </c>
      <c r="AN87" s="34">
        <f>IF(J87="","",IF(ISNUMBER(J87),J87,IFERROR(VALUE(ASC(J87&amp;"")),IF(ISNUMBER(SEARCH("時間",J87)),IFERROR(VALUE(SUBSTITUTE(SUBSTITUTE(SUBSTITUTE(SUBSTITUTE(SUBSTITUTE(ASC(J87&amp;""),"約",""),"程度",""),"ほど",""),"時間","")," ",""))*60,""),IFERROR(VALUE(SUBSTITUTE(SUBSTITUTE(SUBSTITUTE(SUBSTITUTE(SUBSTITUTE(ASC(J87&amp;""),"約",""),"程度",""),"ほど",""),"分","")," ","")),"")))))</f>
        <v/>
      </c>
      <c r="AO87" s="34">
        <f>IF(K87="","",IF(ISNUMBER(K87),K87,IFERROR(VALUE(SUBSTITUTE(SUBSTITUTE(SUBSTITUTE(ASC(K87&amp;""),"約",""),"件","")," ","")),"")))</f>
        <v/>
      </c>
      <c r="AP87" s="34">
        <f>IF(W87&lt;&gt;"OK","",IF(COUNTIFS($D$5:$D$404,D87,$W$5:$W$404,"OK")&gt;1,"同名あり",""))</f>
        <v/>
      </c>
      <c r="AQ87" s="35">
        <f>IF(L87="","",IF(ISNUMBER(L87),L87,IFERROR(DATEVALUE(SUBSTITUTE(SUBSTITUTE(ASC(L87&amp;""),"-","/"),".","/")&amp;"/01"),"")))</f>
        <v/>
      </c>
      <c r="AR87" s="35">
        <f>IF(M87="","",IF(ISNUMBER(M87),M87,IFERROR(DATEVALUE(SUBSTITUTE(SUBSTITUTE(ASC(M87&amp;""),"-","/"),".","/")&amp;"/01"),"")))</f>
        <v/>
      </c>
      <c r="AS87" s="34">
        <f>IF(OR(W87&lt;&gt;"OK",AQ87=""),"",IF(AQ87&gt;='01_設定'!$C$26,1,0))</f>
        <v/>
      </c>
      <c r="AT87" s="34">
        <f>IF(AND(W87="OK",Y87&lt;&gt;"除外"),COUNTIFS($W$5:W87,"OK",$Y$5:Y87,"&lt;&gt;除外"),"")</f>
        <v/>
      </c>
      <c r="AU87" s="34">
        <f>IF(OR(AT87="",AD87=""),"",AD87+ROW()/1000000000)</f>
        <v/>
      </c>
    </row>
    <row r="88">
      <c r="W88">
        <f>IF(AND(A88="",D88=""),"",IF(ISNUMBER(SEARCH("##END",AH88)),"（終わりの印）",IF(ISNUMBER(SEARCH("##続き",AH88)),"（続きありの印）",IF(AH88="調査ID","（見出し行）",IF(AND(AH88&lt;&gt;"R1",AH88&lt;&gt;"R2"),"×表以外の行（集計されない）",IF(COUNTIF($AI$5:AI88,AI88)&gt;1,"△重複（集計されない）",IF(D88="","△タスク名なし",IF(ISNA(MATCH(AK88,'M1_類型マスタ'!$A$5:$A$19,0)),"△類型が不正",IF(OR(AM88="",AN88=""),"△回数・分が読めない",IF(SUMPRODUCT(--ISNUMBER(--O88:U88))&lt;7,"△採点が足りない",IF(SUMPRODUCT((--O88:U88&gt;2)+(--O88:U88&lt;0))&gt;0,"△採点が範囲外","OK")))))))))))</f>
        <v/>
      </c>
      <c r="X88">
        <f>IF(W88&lt;&gt;"OK","",TRIM(IF(AND(AO88&lt;&gt;"",N(AO88)&lt;=1),"根拠1件 ","")&amp;IF(AP88&lt;&gt;"","同名あり ","")&amp;IF(AND(NOT(ISNUMBER(I88)),I88&lt;&gt;""),"回数を換算 ","")))</f>
        <v/>
      </c>
      <c r="Y88" s="31" t="n"/>
      <c r="Z88" s="32" t="n"/>
      <c r="AA88" s="32" t="n"/>
      <c r="AB88" s="31" t="n"/>
      <c r="AC88">
        <f>IF(W88&lt;&gt;"OK","",IF(AB88&lt;&gt;"",AB88,AE88))</f>
        <v/>
      </c>
      <c r="AD88" s="33">
        <f>IF(W88&lt;&gt;"OK","",IFERROR(IF(Z88&lt;&gt;"",Z88,AM88)*IF(AA88&lt;&gt;"",AA88,AN88)/60,""))</f>
        <v/>
      </c>
      <c r="AE88">
        <f>IF(W88&lt;&gt;"OK","",IF(OR(VALUE(O88)=2,VALUE(P88)=2,VALUE(Q88)=2),"社内残置",IF(AND(VALUE(O88)=0,VALUE(R88)=0,VALUE(T88)=0),"自動化候補",IF(AND(VALUE(P88)=0,VALUE(R88)&lt;=1,VALUE(S88)&lt;=1,VALUE(T88)&lt;=1,VALUE(U88)&lt;=1),"オフショア候補",IF(AND(VALUE(T88)&lt;=1,VALUE(U88)&lt;=1),"ニアショア候補","社内で手順化→再評価")))))</f>
        <v/>
      </c>
      <c r="AF88">
        <f>IF(W88&lt;&gt;"OK","",14-SUMPRODUCT(--O88:U88))</f>
        <v/>
      </c>
      <c r="AG88" s="33">
        <f>IF(W88&lt;&gt;"OK","",AM88*AN88/60)</f>
        <v/>
      </c>
      <c r="AH88" s="34">
        <f>IF(A88="","",UPPER(TRIM(ASC(A88&amp;""))))</f>
        <v/>
      </c>
      <c r="AI88" s="34">
        <f>IF(AH88="","",AH88&amp;"-"&amp;B88)</f>
        <v/>
      </c>
      <c r="AJ88" s="34">
        <f>IF(C88="","",IFERROR(VALUE(ASC(SUBSTITUTE(C88&amp;"","観点",""))),""))</f>
        <v/>
      </c>
      <c r="AK88" s="34">
        <f>IF(E88="","",UPPER(LEFT(TRIM(ASC(E88&amp;"")),3)))</f>
        <v/>
      </c>
      <c r="AL88" s="34">
        <f>IF(I88="","",IFERROR(VALUE(SUBSTITUTE(SUBSTITUTE(SUBSTITUTE(SUBSTITUTE(SUBSTITUTE(SUBSTITUTE(SUBSTITUTE(SUBSTITUTE(SUBSTITUTE(SUBSTITUTE(SUBSTITUTE(SUBSTITUTE(ASC(I88&amp;""),"約",""),"程度",""),"ほど",""),"回",""),"毎",""),"週",""),"月",""),"年",""),"日",""),"に",""),"/","")," ","")),""))</f>
        <v/>
      </c>
      <c r="AM88" s="34">
        <f>IF(I88="","",IF(ISNUMBER(I88),I88,IFERROR(VALUE(ASC(I88&amp;"")),IF(AL88&lt;&gt;"",AL88*IF(ISNUMBER(SEARCH("週",I88)),4.3,IF(ISNUMBER(SEARCH("年",I88)),1/12,IF(ISNUMBER(SEARCH("日",I88)),20,1))),IF(ISNUMBER(SEARCH("日",I88)),20,IF(ISNUMBER(SEARCH("週",I88)),4.3,IF(ISNUMBER(SEARCH("月",I88)),1,"")))))))</f>
        <v/>
      </c>
      <c r="AN88" s="34">
        <f>IF(J88="","",IF(ISNUMBER(J88),J88,IFERROR(VALUE(ASC(J88&amp;"")),IF(ISNUMBER(SEARCH("時間",J88)),IFERROR(VALUE(SUBSTITUTE(SUBSTITUTE(SUBSTITUTE(SUBSTITUTE(SUBSTITUTE(ASC(J88&amp;""),"約",""),"程度",""),"ほど",""),"時間","")," ",""))*60,""),IFERROR(VALUE(SUBSTITUTE(SUBSTITUTE(SUBSTITUTE(SUBSTITUTE(SUBSTITUTE(ASC(J88&amp;""),"約",""),"程度",""),"ほど",""),"分","")," ","")),"")))))</f>
        <v/>
      </c>
      <c r="AO88" s="34">
        <f>IF(K88="","",IF(ISNUMBER(K88),K88,IFERROR(VALUE(SUBSTITUTE(SUBSTITUTE(SUBSTITUTE(ASC(K88&amp;""),"約",""),"件","")," ","")),"")))</f>
        <v/>
      </c>
      <c r="AP88" s="34">
        <f>IF(W88&lt;&gt;"OK","",IF(COUNTIFS($D$5:$D$404,D88,$W$5:$W$404,"OK")&gt;1,"同名あり",""))</f>
        <v/>
      </c>
      <c r="AQ88" s="35">
        <f>IF(L88="","",IF(ISNUMBER(L88),L88,IFERROR(DATEVALUE(SUBSTITUTE(SUBSTITUTE(ASC(L88&amp;""),"-","/"),".","/")&amp;"/01"),"")))</f>
        <v/>
      </c>
      <c r="AR88" s="35">
        <f>IF(M88="","",IF(ISNUMBER(M88),M88,IFERROR(DATEVALUE(SUBSTITUTE(SUBSTITUTE(ASC(M88&amp;""),"-","/"),".","/")&amp;"/01"),"")))</f>
        <v/>
      </c>
      <c r="AS88" s="34">
        <f>IF(OR(W88&lt;&gt;"OK",AQ88=""),"",IF(AQ88&gt;='01_設定'!$C$26,1,0))</f>
        <v/>
      </c>
      <c r="AT88" s="34">
        <f>IF(AND(W88="OK",Y88&lt;&gt;"除外"),COUNTIFS($W$5:W88,"OK",$Y$5:Y88,"&lt;&gt;除外"),"")</f>
        <v/>
      </c>
      <c r="AU88" s="34">
        <f>IF(OR(AT88="",AD88=""),"",AD88+ROW()/1000000000)</f>
        <v/>
      </c>
    </row>
    <row r="89">
      <c r="W89">
        <f>IF(AND(A89="",D89=""),"",IF(ISNUMBER(SEARCH("##END",AH89)),"（終わりの印）",IF(ISNUMBER(SEARCH("##続き",AH89)),"（続きありの印）",IF(AH89="調査ID","（見出し行）",IF(AND(AH89&lt;&gt;"R1",AH89&lt;&gt;"R2"),"×表以外の行（集計されない）",IF(COUNTIF($AI$5:AI89,AI89)&gt;1,"△重複（集計されない）",IF(D89="","△タスク名なし",IF(ISNA(MATCH(AK89,'M1_類型マスタ'!$A$5:$A$19,0)),"△類型が不正",IF(OR(AM89="",AN89=""),"△回数・分が読めない",IF(SUMPRODUCT(--ISNUMBER(--O89:U89))&lt;7,"△採点が足りない",IF(SUMPRODUCT((--O89:U89&gt;2)+(--O89:U89&lt;0))&gt;0,"△採点が範囲外","OK")))))))))))</f>
        <v/>
      </c>
      <c r="X89">
        <f>IF(W89&lt;&gt;"OK","",TRIM(IF(AND(AO89&lt;&gt;"",N(AO89)&lt;=1),"根拠1件 ","")&amp;IF(AP89&lt;&gt;"","同名あり ","")&amp;IF(AND(NOT(ISNUMBER(I89)),I89&lt;&gt;""),"回数を換算 ","")))</f>
        <v/>
      </c>
      <c r="Y89" s="31" t="n"/>
      <c r="Z89" s="32" t="n"/>
      <c r="AA89" s="32" t="n"/>
      <c r="AB89" s="31" t="n"/>
      <c r="AC89">
        <f>IF(W89&lt;&gt;"OK","",IF(AB89&lt;&gt;"",AB89,AE89))</f>
        <v/>
      </c>
      <c r="AD89" s="33">
        <f>IF(W89&lt;&gt;"OK","",IFERROR(IF(Z89&lt;&gt;"",Z89,AM89)*IF(AA89&lt;&gt;"",AA89,AN89)/60,""))</f>
        <v/>
      </c>
      <c r="AE89">
        <f>IF(W89&lt;&gt;"OK","",IF(OR(VALUE(O89)=2,VALUE(P89)=2,VALUE(Q89)=2),"社内残置",IF(AND(VALUE(O89)=0,VALUE(R89)=0,VALUE(T89)=0),"自動化候補",IF(AND(VALUE(P89)=0,VALUE(R89)&lt;=1,VALUE(S89)&lt;=1,VALUE(T89)&lt;=1,VALUE(U89)&lt;=1),"オフショア候補",IF(AND(VALUE(T89)&lt;=1,VALUE(U89)&lt;=1),"ニアショア候補","社内で手順化→再評価")))))</f>
        <v/>
      </c>
      <c r="AF89">
        <f>IF(W89&lt;&gt;"OK","",14-SUMPRODUCT(--O89:U89))</f>
        <v/>
      </c>
      <c r="AG89" s="33">
        <f>IF(W89&lt;&gt;"OK","",AM89*AN89/60)</f>
        <v/>
      </c>
      <c r="AH89" s="34">
        <f>IF(A89="","",UPPER(TRIM(ASC(A89&amp;""))))</f>
        <v/>
      </c>
      <c r="AI89" s="34">
        <f>IF(AH89="","",AH89&amp;"-"&amp;B89)</f>
        <v/>
      </c>
      <c r="AJ89" s="34">
        <f>IF(C89="","",IFERROR(VALUE(ASC(SUBSTITUTE(C89&amp;"","観点",""))),""))</f>
        <v/>
      </c>
      <c r="AK89" s="34">
        <f>IF(E89="","",UPPER(LEFT(TRIM(ASC(E89&amp;"")),3)))</f>
        <v/>
      </c>
      <c r="AL89" s="34">
        <f>IF(I89="","",IFERROR(VALUE(SUBSTITUTE(SUBSTITUTE(SUBSTITUTE(SUBSTITUTE(SUBSTITUTE(SUBSTITUTE(SUBSTITUTE(SUBSTITUTE(SUBSTITUTE(SUBSTITUTE(SUBSTITUTE(SUBSTITUTE(ASC(I89&amp;""),"約",""),"程度",""),"ほど",""),"回",""),"毎",""),"週",""),"月",""),"年",""),"日",""),"に",""),"/","")," ","")),""))</f>
        <v/>
      </c>
      <c r="AM89" s="34">
        <f>IF(I89="","",IF(ISNUMBER(I89),I89,IFERROR(VALUE(ASC(I89&amp;"")),IF(AL89&lt;&gt;"",AL89*IF(ISNUMBER(SEARCH("週",I89)),4.3,IF(ISNUMBER(SEARCH("年",I89)),1/12,IF(ISNUMBER(SEARCH("日",I89)),20,1))),IF(ISNUMBER(SEARCH("日",I89)),20,IF(ISNUMBER(SEARCH("週",I89)),4.3,IF(ISNUMBER(SEARCH("月",I89)),1,"")))))))</f>
        <v/>
      </c>
      <c r="AN89" s="34">
        <f>IF(J89="","",IF(ISNUMBER(J89),J89,IFERROR(VALUE(ASC(J89&amp;"")),IF(ISNUMBER(SEARCH("時間",J89)),IFERROR(VALUE(SUBSTITUTE(SUBSTITUTE(SUBSTITUTE(SUBSTITUTE(SUBSTITUTE(ASC(J89&amp;""),"約",""),"程度",""),"ほど",""),"時間","")," ",""))*60,""),IFERROR(VALUE(SUBSTITUTE(SUBSTITUTE(SUBSTITUTE(SUBSTITUTE(SUBSTITUTE(ASC(J89&amp;""),"約",""),"程度",""),"ほど",""),"分","")," ","")),"")))))</f>
        <v/>
      </c>
      <c r="AO89" s="34">
        <f>IF(K89="","",IF(ISNUMBER(K89),K89,IFERROR(VALUE(SUBSTITUTE(SUBSTITUTE(SUBSTITUTE(ASC(K89&amp;""),"約",""),"件","")," ","")),"")))</f>
        <v/>
      </c>
      <c r="AP89" s="34">
        <f>IF(W89&lt;&gt;"OK","",IF(COUNTIFS($D$5:$D$404,D89,$W$5:$W$404,"OK")&gt;1,"同名あり",""))</f>
        <v/>
      </c>
      <c r="AQ89" s="35">
        <f>IF(L89="","",IF(ISNUMBER(L89),L89,IFERROR(DATEVALUE(SUBSTITUTE(SUBSTITUTE(ASC(L89&amp;""),"-","/"),".","/")&amp;"/01"),"")))</f>
        <v/>
      </c>
      <c r="AR89" s="35">
        <f>IF(M89="","",IF(ISNUMBER(M89),M89,IFERROR(DATEVALUE(SUBSTITUTE(SUBSTITUTE(ASC(M89&amp;""),"-","/"),".","/")&amp;"/01"),"")))</f>
        <v/>
      </c>
      <c r="AS89" s="34">
        <f>IF(OR(W89&lt;&gt;"OK",AQ89=""),"",IF(AQ89&gt;='01_設定'!$C$26,1,0))</f>
        <v/>
      </c>
      <c r="AT89" s="34">
        <f>IF(AND(W89="OK",Y89&lt;&gt;"除外"),COUNTIFS($W$5:W89,"OK",$Y$5:Y89,"&lt;&gt;除外"),"")</f>
        <v/>
      </c>
      <c r="AU89" s="34">
        <f>IF(OR(AT89="",AD89=""),"",AD89+ROW()/1000000000)</f>
        <v/>
      </c>
    </row>
    <row r="90">
      <c r="W90">
        <f>IF(AND(A90="",D90=""),"",IF(ISNUMBER(SEARCH("##END",AH90)),"（終わりの印）",IF(ISNUMBER(SEARCH("##続き",AH90)),"（続きありの印）",IF(AH90="調査ID","（見出し行）",IF(AND(AH90&lt;&gt;"R1",AH90&lt;&gt;"R2"),"×表以外の行（集計されない）",IF(COUNTIF($AI$5:AI90,AI90)&gt;1,"△重複（集計されない）",IF(D90="","△タスク名なし",IF(ISNA(MATCH(AK90,'M1_類型マスタ'!$A$5:$A$19,0)),"△類型が不正",IF(OR(AM90="",AN90=""),"△回数・分が読めない",IF(SUMPRODUCT(--ISNUMBER(--O90:U90))&lt;7,"△採点が足りない",IF(SUMPRODUCT((--O90:U90&gt;2)+(--O90:U90&lt;0))&gt;0,"△採点が範囲外","OK")))))))))))</f>
        <v/>
      </c>
      <c r="X90">
        <f>IF(W90&lt;&gt;"OK","",TRIM(IF(AND(AO90&lt;&gt;"",N(AO90)&lt;=1),"根拠1件 ","")&amp;IF(AP90&lt;&gt;"","同名あり ","")&amp;IF(AND(NOT(ISNUMBER(I90)),I90&lt;&gt;""),"回数を換算 ","")))</f>
        <v/>
      </c>
      <c r="Y90" s="31" t="n"/>
      <c r="Z90" s="32" t="n"/>
      <c r="AA90" s="32" t="n"/>
      <c r="AB90" s="31" t="n"/>
      <c r="AC90">
        <f>IF(W90&lt;&gt;"OK","",IF(AB90&lt;&gt;"",AB90,AE90))</f>
        <v/>
      </c>
      <c r="AD90" s="33">
        <f>IF(W90&lt;&gt;"OK","",IFERROR(IF(Z90&lt;&gt;"",Z90,AM90)*IF(AA90&lt;&gt;"",AA90,AN90)/60,""))</f>
        <v/>
      </c>
      <c r="AE90">
        <f>IF(W90&lt;&gt;"OK","",IF(OR(VALUE(O90)=2,VALUE(P90)=2,VALUE(Q90)=2),"社内残置",IF(AND(VALUE(O90)=0,VALUE(R90)=0,VALUE(T90)=0),"自動化候補",IF(AND(VALUE(P90)=0,VALUE(R90)&lt;=1,VALUE(S90)&lt;=1,VALUE(T90)&lt;=1,VALUE(U90)&lt;=1),"オフショア候補",IF(AND(VALUE(T90)&lt;=1,VALUE(U90)&lt;=1),"ニアショア候補","社内で手順化→再評価")))))</f>
        <v/>
      </c>
      <c r="AF90">
        <f>IF(W90&lt;&gt;"OK","",14-SUMPRODUCT(--O90:U90))</f>
        <v/>
      </c>
      <c r="AG90" s="33">
        <f>IF(W90&lt;&gt;"OK","",AM90*AN90/60)</f>
        <v/>
      </c>
      <c r="AH90" s="34">
        <f>IF(A90="","",UPPER(TRIM(ASC(A90&amp;""))))</f>
        <v/>
      </c>
      <c r="AI90" s="34">
        <f>IF(AH90="","",AH90&amp;"-"&amp;B90)</f>
        <v/>
      </c>
      <c r="AJ90" s="34">
        <f>IF(C90="","",IFERROR(VALUE(ASC(SUBSTITUTE(C90&amp;"","観点",""))),""))</f>
        <v/>
      </c>
      <c r="AK90" s="34">
        <f>IF(E90="","",UPPER(LEFT(TRIM(ASC(E90&amp;"")),3)))</f>
        <v/>
      </c>
      <c r="AL90" s="34">
        <f>IF(I90="","",IFERROR(VALUE(SUBSTITUTE(SUBSTITUTE(SUBSTITUTE(SUBSTITUTE(SUBSTITUTE(SUBSTITUTE(SUBSTITUTE(SUBSTITUTE(SUBSTITUTE(SUBSTITUTE(SUBSTITUTE(SUBSTITUTE(ASC(I90&amp;""),"約",""),"程度",""),"ほど",""),"回",""),"毎",""),"週",""),"月",""),"年",""),"日",""),"に",""),"/","")," ","")),""))</f>
        <v/>
      </c>
      <c r="AM90" s="34">
        <f>IF(I90="","",IF(ISNUMBER(I90),I90,IFERROR(VALUE(ASC(I90&amp;"")),IF(AL90&lt;&gt;"",AL90*IF(ISNUMBER(SEARCH("週",I90)),4.3,IF(ISNUMBER(SEARCH("年",I90)),1/12,IF(ISNUMBER(SEARCH("日",I90)),20,1))),IF(ISNUMBER(SEARCH("日",I90)),20,IF(ISNUMBER(SEARCH("週",I90)),4.3,IF(ISNUMBER(SEARCH("月",I90)),1,"")))))))</f>
        <v/>
      </c>
      <c r="AN90" s="34">
        <f>IF(J90="","",IF(ISNUMBER(J90),J90,IFERROR(VALUE(ASC(J90&amp;"")),IF(ISNUMBER(SEARCH("時間",J90)),IFERROR(VALUE(SUBSTITUTE(SUBSTITUTE(SUBSTITUTE(SUBSTITUTE(SUBSTITUTE(ASC(J90&amp;""),"約",""),"程度",""),"ほど",""),"時間","")," ",""))*60,""),IFERROR(VALUE(SUBSTITUTE(SUBSTITUTE(SUBSTITUTE(SUBSTITUTE(SUBSTITUTE(ASC(J90&amp;""),"約",""),"程度",""),"ほど",""),"分","")," ","")),"")))))</f>
        <v/>
      </c>
      <c r="AO90" s="34">
        <f>IF(K90="","",IF(ISNUMBER(K90),K90,IFERROR(VALUE(SUBSTITUTE(SUBSTITUTE(SUBSTITUTE(ASC(K90&amp;""),"約",""),"件","")," ","")),"")))</f>
        <v/>
      </c>
      <c r="AP90" s="34">
        <f>IF(W90&lt;&gt;"OK","",IF(COUNTIFS($D$5:$D$404,D90,$W$5:$W$404,"OK")&gt;1,"同名あり",""))</f>
        <v/>
      </c>
      <c r="AQ90" s="35">
        <f>IF(L90="","",IF(ISNUMBER(L90),L90,IFERROR(DATEVALUE(SUBSTITUTE(SUBSTITUTE(ASC(L90&amp;""),"-","/"),".","/")&amp;"/01"),"")))</f>
        <v/>
      </c>
      <c r="AR90" s="35">
        <f>IF(M90="","",IF(ISNUMBER(M90),M90,IFERROR(DATEVALUE(SUBSTITUTE(SUBSTITUTE(ASC(M90&amp;""),"-","/"),".","/")&amp;"/01"),"")))</f>
        <v/>
      </c>
      <c r="AS90" s="34">
        <f>IF(OR(W90&lt;&gt;"OK",AQ90=""),"",IF(AQ90&gt;='01_設定'!$C$26,1,0))</f>
        <v/>
      </c>
      <c r="AT90" s="34">
        <f>IF(AND(W90="OK",Y90&lt;&gt;"除外"),COUNTIFS($W$5:W90,"OK",$Y$5:Y90,"&lt;&gt;除外"),"")</f>
        <v/>
      </c>
      <c r="AU90" s="34">
        <f>IF(OR(AT90="",AD90=""),"",AD90+ROW()/1000000000)</f>
        <v/>
      </c>
    </row>
    <row r="91">
      <c r="W91">
        <f>IF(AND(A91="",D91=""),"",IF(ISNUMBER(SEARCH("##END",AH91)),"（終わりの印）",IF(ISNUMBER(SEARCH("##続き",AH91)),"（続きありの印）",IF(AH91="調査ID","（見出し行）",IF(AND(AH91&lt;&gt;"R1",AH91&lt;&gt;"R2"),"×表以外の行（集計されない）",IF(COUNTIF($AI$5:AI91,AI91)&gt;1,"△重複（集計されない）",IF(D91="","△タスク名なし",IF(ISNA(MATCH(AK91,'M1_類型マスタ'!$A$5:$A$19,0)),"△類型が不正",IF(OR(AM91="",AN91=""),"△回数・分が読めない",IF(SUMPRODUCT(--ISNUMBER(--O91:U91))&lt;7,"△採点が足りない",IF(SUMPRODUCT((--O91:U91&gt;2)+(--O91:U91&lt;0))&gt;0,"△採点が範囲外","OK")))))))))))</f>
        <v/>
      </c>
      <c r="X91">
        <f>IF(W91&lt;&gt;"OK","",TRIM(IF(AND(AO91&lt;&gt;"",N(AO91)&lt;=1),"根拠1件 ","")&amp;IF(AP91&lt;&gt;"","同名あり ","")&amp;IF(AND(NOT(ISNUMBER(I91)),I91&lt;&gt;""),"回数を換算 ","")))</f>
        <v/>
      </c>
      <c r="Y91" s="31" t="n"/>
      <c r="Z91" s="32" t="n"/>
      <c r="AA91" s="32" t="n"/>
      <c r="AB91" s="31" t="n"/>
      <c r="AC91">
        <f>IF(W91&lt;&gt;"OK","",IF(AB91&lt;&gt;"",AB91,AE91))</f>
        <v/>
      </c>
      <c r="AD91" s="33">
        <f>IF(W91&lt;&gt;"OK","",IFERROR(IF(Z91&lt;&gt;"",Z91,AM91)*IF(AA91&lt;&gt;"",AA91,AN91)/60,""))</f>
        <v/>
      </c>
      <c r="AE91">
        <f>IF(W91&lt;&gt;"OK","",IF(OR(VALUE(O91)=2,VALUE(P91)=2,VALUE(Q91)=2),"社内残置",IF(AND(VALUE(O91)=0,VALUE(R91)=0,VALUE(T91)=0),"自動化候補",IF(AND(VALUE(P91)=0,VALUE(R91)&lt;=1,VALUE(S91)&lt;=1,VALUE(T91)&lt;=1,VALUE(U91)&lt;=1),"オフショア候補",IF(AND(VALUE(T91)&lt;=1,VALUE(U91)&lt;=1),"ニアショア候補","社内で手順化→再評価")))))</f>
        <v/>
      </c>
      <c r="AF91">
        <f>IF(W91&lt;&gt;"OK","",14-SUMPRODUCT(--O91:U91))</f>
        <v/>
      </c>
      <c r="AG91" s="33">
        <f>IF(W91&lt;&gt;"OK","",AM91*AN91/60)</f>
        <v/>
      </c>
      <c r="AH91" s="34">
        <f>IF(A91="","",UPPER(TRIM(ASC(A91&amp;""))))</f>
        <v/>
      </c>
      <c r="AI91" s="34">
        <f>IF(AH91="","",AH91&amp;"-"&amp;B91)</f>
        <v/>
      </c>
      <c r="AJ91" s="34">
        <f>IF(C91="","",IFERROR(VALUE(ASC(SUBSTITUTE(C91&amp;"","観点",""))),""))</f>
        <v/>
      </c>
      <c r="AK91" s="34">
        <f>IF(E91="","",UPPER(LEFT(TRIM(ASC(E91&amp;"")),3)))</f>
        <v/>
      </c>
      <c r="AL91" s="34">
        <f>IF(I91="","",IFERROR(VALUE(SUBSTITUTE(SUBSTITUTE(SUBSTITUTE(SUBSTITUTE(SUBSTITUTE(SUBSTITUTE(SUBSTITUTE(SUBSTITUTE(SUBSTITUTE(SUBSTITUTE(SUBSTITUTE(SUBSTITUTE(ASC(I91&amp;""),"約",""),"程度",""),"ほど",""),"回",""),"毎",""),"週",""),"月",""),"年",""),"日",""),"に",""),"/","")," ","")),""))</f>
        <v/>
      </c>
      <c r="AM91" s="34">
        <f>IF(I91="","",IF(ISNUMBER(I91),I91,IFERROR(VALUE(ASC(I91&amp;"")),IF(AL91&lt;&gt;"",AL91*IF(ISNUMBER(SEARCH("週",I91)),4.3,IF(ISNUMBER(SEARCH("年",I91)),1/12,IF(ISNUMBER(SEARCH("日",I91)),20,1))),IF(ISNUMBER(SEARCH("日",I91)),20,IF(ISNUMBER(SEARCH("週",I91)),4.3,IF(ISNUMBER(SEARCH("月",I91)),1,"")))))))</f>
        <v/>
      </c>
      <c r="AN91" s="34">
        <f>IF(J91="","",IF(ISNUMBER(J91),J91,IFERROR(VALUE(ASC(J91&amp;"")),IF(ISNUMBER(SEARCH("時間",J91)),IFERROR(VALUE(SUBSTITUTE(SUBSTITUTE(SUBSTITUTE(SUBSTITUTE(SUBSTITUTE(ASC(J91&amp;""),"約",""),"程度",""),"ほど",""),"時間","")," ",""))*60,""),IFERROR(VALUE(SUBSTITUTE(SUBSTITUTE(SUBSTITUTE(SUBSTITUTE(SUBSTITUTE(ASC(J91&amp;""),"約",""),"程度",""),"ほど",""),"分","")," ","")),"")))))</f>
        <v/>
      </c>
      <c r="AO91" s="34">
        <f>IF(K91="","",IF(ISNUMBER(K91),K91,IFERROR(VALUE(SUBSTITUTE(SUBSTITUTE(SUBSTITUTE(ASC(K91&amp;""),"約",""),"件","")," ","")),"")))</f>
        <v/>
      </c>
      <c r="AP91" s="34">
        <f>IF(W91&lt;&gt;"OK","",IF(COUNTIFS($D$5:$D$404,D91,$W$5:$W$404,"OK")&gt;1,"同名あり",""))</f>
        <v/>
      </c>
      <c r="AQ91" s="35">
        <f>IF(L91="","",IF(ISNUMBER(L91),L91,IFERROR(DATEVALUE(SUBSTITUTE(SUBSTITUTE(ASC(L91&amp;""),"-","/"),".","/")&amp;"/01"),"")))</f>
        <v/>
      </c>
      <c r="AR91" s="35">
        <f>IF(M91="","",IF(ISNUMBER(M91),M91,IFERROR(DATEVALUE(SUBSTITUTE(SUBSTITUTE(ASC(M91&amp;""),"-","/"),".","/")&amp;"/01"),"")))</f>
        <v/>
      </c>
      <c r="AS91" s="34">
        <f>IF(OR(W91&lt;&gt;"OK",AQ91=""),"",IF(AQ91&gt;='01_設定'!$C$26,1,0))</f>
        <v/>
      </c>
      <c r="AT91" s="34">
        <f>IF(AND(W91="OK",Y91&lt;&gt;"除外"),COUNTIFS($W$5:W91,"OK",$Y$5:Y91,"&lt;&gt;除外"),"")</f>
        <v/>
      </c>
      <c r="AU91" s="34">
        <f>IF(OR(AT91="",AD91=""),"",AD91+ROW()/1000000000)</f>
        <v/>
      </c>
    </row>
    <row r="92">
      <c r="W92">
        <f>IF(AND(A92="",D92=""),"",IF(ISNUMBER(SEARCH("##END",AH92)),"（終わりの印）",IF(ISNUMBER(SEARCH("##続き",AH92)),"（続きありの印）",IF(AH92="調査ID","（見出し行）",IF(AND(AH92&lt;&gt;"R1",AH92&lt;&gt;"R2"),"×表以外の行（集計されない）",IF(COUNTIF($AI$5:AI92,AI92)&gt;1,"△重複（集計されない）",IF(D92="","△タスク名なし",IF(ISNA(MATCH(AK92,'M1_類型マスタ'!$A$5:$A$19,0)),"△類型が不正",IF(OR(AM92="",AN92=""),"△回数・分が読めない",IF(SUMPRODUCT(--ISNUMBER(--O92:U92))&lt;7,"△採点が足りない",IF(SUMPRODUCT((--O92:U92&gt;2)+(--O92:U92&lt;0))&gt;0,"△採点が範囲外","OK")))))))))))</f>
        <v/>
      </c>
      <c r="X92">
        <f>IF(W92&lt;&gt;"OK","",TRIM(IF(AND(AO92&lt;&gt;"",N(AO92)&lt;=1),"根拠1件 ","")&amp;IF(AP92&lt;&gt;"","同名あり ","")&amp;IF(AND(NOT(ISNUMBER(I92)),I92&lt;&gt;""),"回数を換算 ","")))</f>
        <v/>
      </c>
      <c r="Y92" s="31" t="n"/>
      <c r="Z92" s="32" t="n"/>
      <c r="AA92" s="32" t="n"/>
      <c r="AB92" s="31" t="n"/>
      <c r="AC92">
        <f>IF(W92&lt;&gt;"OK","",IF(AB92&lt;&gt;"",AB92,AE92))</f>
        <v/>
      </c>
      <c r="AD92" s="33">
        <f>IF(W92&lt;&gt;"OK","",IFERROR(IF(Z92&lt;&gt;"",Z92,AM92)*IF(AA92&lt;&gt;"",AA92,AN92)/60,""))</f>
        <v/>
      </c>
      <c r="AE92">
        <f>IF(W92&lt;&gt;"OK","",IF(OR(VALUE(O92)=2,VALUE(P92)=2,VALUE(Q92)=2),"社内残置",IF(AND(VALUE(O92)=0,VALUE(R92)=0,VALUE(T92)=0),"自動化候補",IF(AND(VALUE(P92)=0,VALUE(R92)&lt;=1,VALUE(S92)&lt;=1,VALUE(T92)&lt;=1,VALUE(U92)&lt;=1),"オフショア候補",IF(AND(VALUE(T92)&lt;=1,VALUE(U92)&lt;=1),"ニアショア候補","社内で手順化→再評価")))))</f>
        <v/>
      </c>
      <c r="AF92">
        <f>IF(W92&lt;&gt;"OK","",14-SUMPRODUCT(--O92:U92))</f>
        <v/>
      </c>
      <c r="AG92" s="33">
        <f>IF(W92&lt;&gt;"OK","",AM92*AN92/60)</f>
        <v/>
      </c>
      <c r="AH92" s="34">
        <f>IF(A92="","",UPPER(TRIM(ASC(A92&amp;""))))</f>
        <v/>
      </c>
      <c r="AI92" s="34">
        <f>IF(AH92="","",AH92&amp;"-"&amp;B92)</f>
        <v/>
      </c>
      <c r="AJ92" s="34">
        <f>IF(C92="","",IFERROR(VALUE(ASC(SUBSTITUTE(C92&amp;"","観点",""))),""))</f>
        <v/>
      </c>
      <c r="AK92" s="34">
        <f>IF(E92="","",UPPER(LEFT(TRIM(ASC(E92&amp;"")),3)))</f>
        <v/>
      </c>
      <c r="AL92" s="34">
        <f>IF(I92="","",IFERROR(VALUE(SUBSTITUTE(SUBSTITUTE(SUBSTITUTE(SUBSTITUTE(SUBSTITUTE(SUBSTITUTE(SUBSTITUTE(SUBSTITUTE(SUBSTITUTE(SUBSTITUTE(SUBSTITUTE(SUBSTITUTE(ASC(I92&amp;""),"約",""),"程度",""),"ほど",""),"回",""),"毎",""),"週",""),"月",""),"年",""),"日",""),"に",""),"/","")," ","")),""))</f>
        <v/>
      </c>
      <c r="AM92" s="34">
        <f>IF(I92="","",IF(ISNUMBER(I92),I92,IFERROR(VALUE(ASC(I92&amp;"")),IF(AL92&lt;&gt;"",AL92*IF(ISNUMBER(SEARCH("週",I92)),4.3,IF(ISNUMBER(SEARCH("年",I92)),1/12,IF(ISNUMBER(SEARCH("日",I92)),20,1))),IF(ISNUMBER(SEARCH("日",I92)),20,IF(ISNUMBER(SEARCH("週",I92)),4.3,IF(ISNUMBER(SEARCH("月",I92)),1,"")))))))</f>
        <v/>
      </c>
      <c r="AN92" s="34">
        <f>IF(J92="","",IF(ISNUMBER(J92),J92,IFERROR(VALUE(ASC(J92&amp;"")),IF(ISNUMBER(SEARCH("時間",J92)),IFERROR(VALUE(SUBSTITUTE(SUBSTITUTE(SUBSTITUTE(SUBSTITUTE(SUBSTITUTE(ASC(J92&amp;""),"約",""),"程度",""),"ほど",""),"時間","")," ",""))*60,""),IFERROR(VALUE(SUBSTITUTE(SUBSTITUTE(SUBSTITUTE(SUBSTITUTE(SUBSTITUTE(ASC(J92&amp;""),"約",""),"程度",""),"ほど",""),"分","")," ","")),"")))))</f>
        <v/>
      </c>
      <c r="AO92" s="34">
        <f>IF(K92="","",IF(ISNUMBER(K92),K92,IFERROR(VALUE(SUBSTITUTE(SUBSTITUTE(SUBSTITUTE(ASC(K92&amp;""),"約",""),"件","")," ","")),"")))</f>
        <v/>
      </c>
      <c r="AP92" s="34">
        <f>IF(W92&lt;&gt;"OK","",IF(COUNTIFS($D$5:$D$404,D92,$W$5:$W$404,"OK")&gt;1,"同名あり",""))</f>
        <v/>
      </c>
      <c r="AQ92" s="35">
        <f>IF(L92="","",IF(ISNUMBER(L92),L92,IFERROR(DATEVALUE(SUBSTITUTE(SUBSTITUTE(ASC(L92&amp;""),"-","/"),".","/")&amp;"/01"),"")))</f>
        <v/>
      </c>
      <c r="AR92" s="35">
        <f>IF(M92="","",IF(ISNUMBER(M92),M92,IFERROR(DATEVALUE(SUBSTITUTE(SUBSTITUTE(ASC(M92&amp;""),"-","/"),".","/")&amp;"/01"),"")))</f>
        <v/>
      </c>
      <c r="AS92" s="34">
        <f>IF(OR(W92&lt;&gt;"OK",AQ92=""),"",IF(AQ92&gt;='01_設定'!$C$26,1,0))</f>
        <v/>
      </c>
      <c r="AT92" s="34">
        <f>IF(AND(W92="OK",Y92&lt;&gt;"除外"),COUNTIFS($W$5:W92,"OK",$Y$5:Y92,"&lt;&gt;除外"),"")</f>
        <v/>
      </c>
      <c r="AU92" s="34">
        <f>IF(OR(AT92="",AD92=""),"",AD92+ROW()/1000000000)</f>
        <v/>
      </c>
    </row>
    <row r="93">
      <c r="W93">
        <f>IF(AND(A93="",D93=""),"",IF(ISNUMBER(SEARCH("##END",AH93)),"（終わりの印）",IF(ISNUMBER(SEARCH("##続き",AH93)),"（続きありの印）",IF(AH93="調査ID","（見出し行）",IF(AND(AH93&lt;&gt;"R1",AH93&lt;&gt;"R2"),"×表以外の行（集計されない）",IF(COUNTIF($AI$5:AI93,AI93)&gt;1,"△重複（集計されない）",IF(D93="","△タスク名なし",IF(ISNA(MATCH(AK93,'M1_類型マスタ'!$A$5:$A$19,0)),"△類型が不正",IF(OR(AM93="",AN93=""),"△回数・分が読めない",IF(SUMPRODUCT(--ISNUMBER(--O93:U93))&lt;7,"△採点が足りない",IF(SUMPRODUCT((--O93:U93&gt;2)+(--O93:U93&lt;0))&gt;0,"△採点が範囲外","OK")))))))))))</f>
        <v/>
      </c>
      <c r="X93">
        <f>IF(W93&lt;&gt;"OK","",TRIM(IF(AND(AO93&lt;&gt;"",N(AO93)&lt;=1),"根拠1件 ","")&amp;IF(AP93&lt;&gt;"","同名あり ","")&amp;IF(AND(NOT(ISNUMBER(I93)),I93&lt;&gt;""),"回数を換算 ","")))</f>
        <v/>
      </c>
      <c r="Y93" s="31" t="n"/>
      <c r="Z93" s="32" t="n"/>
      <c r="AA93" s="32" t="n"/>
      <c r="AB93" s="31" t="n"/>
      <c r="AC93">
        <f>IF(W93&lt;&gt;"OK","",IF(AB93&lt;&gt;"",AB93,AE93))</f>
        <v/>
      </c>
      <c r="AD93" s="33">
        <f>IF(W93&lt;&gt;"OK","",IFERROR(IF(Z93&lt;&gt;"",Z93,AM93)*IF(AA93&lt;&gt;"",AA93,AN93)/60,""))</f>
        <v/>
      </c>
      <c r="AE93">
        <f>IF(W93&lt;&gt;"OK","",IF(OR(VALUE(O93)=2,VALUE(P93)=2,VALUE(Q93)=2),"社内残置",IF(AND(VALUE(O93)=0,VALUE(R93)=0,VALUE(T93)=0),"自動化候補",IF(AND(VALUE(P93)=0,VALUE(R93)&lt;=1,VALUE(S93)&lt;=1,VALUE(T93)&lt;=1,VALUE(U93)&lt;=1),"オフショア候補",IF(AND(VALUE(T93)&lt;=1,VALUE(U93)&lt;=1),"ニアショア候補","社内で手順化→再評価")))))</f>
        <v/>
      </c>
      <c r="AF93">
        <f>IF(W93&lt;&gt;"OK","",14-SUMPRODUCT(--O93:U93))</f>
        <v/>
      </c>
      <c r="AG93" s="33">
        <f>IF(W93&lt;&gt;"OK","",AM93*AN93/60)</f>
        <v/>
      </c>
      <c r="AH93" s="34">
        <f>IF(A93="","",UPPER(TRIM(ASC(A93&amp;""))))</f>
        <v/>
      </c>
      <c r="AI93" s="34">
        <f>IF(AH93="","",AH93&amp;"-"&amp;B93)</f>
        <v/>
      </c>
      <c r="AJ93" s="34">
        <f>IF(C93="","",IFERROR(VALUE(ASC(SUBSTITUTE(C93&amp;"","観点",""))),""))</f>
        <v/>
      </c>
      <c r="AK93" s="34">
        <f>IF(E93="","",UPPER(LEFT(TRIM(ASC(E93&amp;"")),3)))</f>
        <v/>
      </c>
      <c r="AL93" s="34">
        <f>IF(I93="","",IFERROR(VALUE(SUBSTITUTE(SUBSTITUTE(SUBSTITUTE(SUBSTITUTE(SUBSTITUTE(SUBSTITUTE(SUBSTITUTE(SUBSTITUTE(SUBSTITUTE(SUBSTITUTE(SUBSTITUTE(SUBSTITUTE(ASC(I93&amp;""),"約",""),"程度",""),"ほど",""),"回",""),"毎",""),"週",""),"月",""),"年",""),"日",""),"に",""),"/","")," ","")),""))</f>
        <v/>
      </c>
      <c r="AM93" s="34">
        <f>IF(I93="","",IF(ISNUMBER(I93),I93,IFERROR(VALUE(ASC(I93&amp;"")),IF(AL93&lt;&gt;"",AL93*IF(ISNUMBER(SEARCH("週",I93)),4.3,IF(ISNUMBER(SEARCH("年",I93)),1/12,IF(ISNUMBER(SEARCH("日",I93)),20,1))),IF(ISNUMBER(SEARCH("日",I93)),20,IF(ISNUMBER(SEARCH("週",I93)),4.3,IF(ISNUMBER(SEARCH("月",I93)),1,"")))))))</f>
        <v/>
      </c>
      <c r="AN93" s="34">
        <f>IF(J93="","",IF(ISNUMBER(J93),J93,IFERROR(VALUE(ASC(J93&amp;"")),IF(ISNUMBER(SEARCH("時間",J93)),IFERROR(VALUE(SUBSTITUTE(SUBSTITUTE(SUBSTITUTE(SUBSTITUTE(SUBSTITUTE(ASC(J93&amp;""),"約",""),"程度",""),"ほど",""),"時間","")," ",""))*60,""),IFERROR(VALUE(SUBSTITUTE(SUBSTITUTE(SUBSTITUTE(SUBSTITUTE(SUBSTITUTE(ASC(J93&amp;""),"約",""),"程度",""),"ほど",""),"分","")," ","")),"")))))</f>
        <v/>
      </c>
      <c r="AO93" s="34">
        <f>IF(K93="","",IF(ISNUMBER(K93),K93,IFERROR(VALUE(SUBSTITUTE(SUBSTITUTE(SUBSTITUTE(ASC(K93&amp;""),"約",""),"件","")," ","")),"")))</f>
        <v/>
      </c>
      <c r="AP93" s="34">
        <f>IF(W93&lt;&gt;"OK","",IF(COUNTIFS($D$5:$D$404,D93,$W$5:$W$404,"OK")&gt;1,"同名あり",""))</f>
        <v/>
      </c>
      <c r="AQ93" s="35">
        <f>IF(L93="","",IF(ISNUMBER(L93),L93,IFERROR(DATEVALUE(SUBSTITUTE(SUBSTITUTE(ASC(L93&amp;""),"-","/"),".","/")&amp;"/01"),"")))</f>
        <v/>
      </c>
      <c r="AR93" s="35">
        <f>IF(M93="","",IF(ISNUMBER(M93),M93,IFERROR(DATEVALUE(SUBSTITUTE(SUBSTITUTE(ASC(M93&amp;""),"-","/"),".","/")&amp;"/01"),"")))</f>
        <v/>
      </c>
      <c r="AS93" s="34">
        <f>IF(OR(W93&lt;&gt;"OK",AQ93=""),"",IF(AQ93&gt;='01_設定'!$C$26,1,0))</f>
        <v/>
      </c>
      <c r="AT93" s="34">
        <f>IF(AND(W93="OK",Y93&lt;&gt;"除外"),COUNTIFS($W$5:W93,"OK",$Y$5:Y93,"&lt;&gt;除外"),"")</f>
        <v/>
      </c>
      <c r="AU93" s="34">
        <f>IF(OR(AT93="",AD93=""),"",AD93+ROW()/1000000000)</f>
        <v/>
      </c>
    </row>
    <row r="94">
      <c r="W94">
        <f>IF(AND(A94="",D94=""),"",IF(ISNUMBER(SEARCH("##END",AH94)),"（終わりの印）",IF(ISNUMBER(SEARCH("##続き",AH94)),"（続きありの印）",IF(AH94="調査ID","（見出し行）",IF(AND(AH94&lt;&gt;"R1",AH94&lt;&gt;"R2"),"×表以外の行（集計されない）",IF(COUNTIF($AI$5:AI94,AI94)&gt;1,"△重複（集計されない）",IF(D94="","△タスク名なし",IF(ISNA(MATCH(AK94,'M1_類型マスタ'!$A$5:$A$19,0)),"△類型が不正",IF(OR(AM94="",AN94=""),"△回数・分が読めない",IF(SUMPRODUCT(--ISNUMBER(--O94:U94))&lt;7,"△採点が足りない",IF(SUMPRODUCT((--O94:U94&gt;2)+(--O94:U94&lt;0))&gt;0,"△採点が範囲外","OK")))))))))))</f>
        <v/>
      </c>
      <c r="X94">
        <f>IF(W94&lt;&gt;"OK","",TRIM(IF(AND(AO94&lt;&gt;"",N(AO94)&lt;=1),"根拠1件 ","")&amp;IF(AP94&lt;&gt;"","同名あり ","")&amp;IF(AND(NOT(ISNUMBER(I94)),I94&lt;&gt;""),"回数を換算 ","")))</f>
        <v/>
      </c>
      <c r="Y94" s="31" t="n"/>
      <c r="Z94" s="32" t="n"/>
      <c r="AA94" s="32" t="n"/>
      <c r="AB94" s="31" t="n"/>
      <c r="AC94">
        <f>IF(W94&lt;&gt;"OK","",IF(AB94&lt;&gt;"",AB94,AE94))</f>
        <v/>
      </c>
      <c r="AD94" s="33">
        <f>IF(W94&lt;&gt;"OK","",IFERROR(IF(Z94&lt;&gt;"",Z94,AM94)*IF(AA94&lt;&gt;"",AA94,AN94)/60,""))</f>
        <v/>
      </c>
      <c r="AE94">
        <f>IF(W94&lt;&gt;"OK","",IF(OR(VALUE(O94)=2,VALUE(P94)=2,VALUE(Q94)=2),"社内残置",IF(AND(VALUE(O94)=0,VALUE(R94)=0,VALUE(T94)=0),"自動化候補",IF(AND(VALUE(P94)=0,VALUE(R94)&lt;=1,VALUE(S94)&lt;=1,VALUE(T94)&lt;=1,VALUE(U94)&lt;=1),"オフショア候補",IF(AND(VALUE(T94)&lt;=1,VALUE(U94)&lt;=1),"ニアショア候補","社内で手順化→再評価")))))</f>
        <v/>
      </c>
      <c r="AF94">
        <f>IF(W94&lt;&gt;"OK","",14-SUMPRODUCT(--O94:U94))</f>
        <v/>
      </c>
      <c r="AG94" s="33">
        <f>IF(W94&lt;&gt;"OK","",AM94*AN94/60)</f>
        <v/>
      </c>
      <c r="AH94" s="34">
        <f>IF(A94="","",UPPER(TRIM(ASC(A94&amp;""))))</f>
        <v/>
      </c>
      <c r="AI94" s="34">
        <f>IF(AH94="","",AH94&amp;"-"&amp;B94)</f>
        <v/>
      </c>
      <c r="AJ94" s="34">
        <f>IF(C94="","",IFERROR(VALUE(ASC(SUBSTITUTE(C94&amp;"","観点",""))),""))</f>
        <v/>
      </c>
      <c r="AK94" s="34">
        <f>IF(E94="","",UPPER(LEFT(TRIM(ASC(E94&amp;"")),3)))</f>
        <v/>
      </c>
      <c r="AL94" s="34">
        <f>IF(I94="","",IFERROR(VALUE(SUBSTITUTE(SUBSTITUTE(SUBSTITUTE(SUBSTITUTE(SUBSTITUTE(SUBSTITUTE(SUBSTITUTE(SUBSTITUTE(SUBSTITUTE(SUBSTITUTE(SUBSTITUTE(SUBSTITUTE(ASC(I94&amp;""),"約",""),"程度",""),"ほど",""),"回",""),"毎",""),"週",""),"月",""),"年",""),"日",""),"に",""),"/","")," ","")),""))</f>
        <v/>
      </c>
      <c r="AM94" s="34">
        <f>IF(I94="","",IF(ISNUMBER(I94),I94,IFERROR(VALUE(ASC(I94&amp;"")),IF(AL94&lt;&gt;"",AL94*IF(ISNUMBER(SEARCH("週",I94)),4.3,IF(ISNUMBER(SEARCH("年",I94)),1/12,IF(ISNUMBER(SEARCH("日",I94)),20,1))),IF(ISNUMBER(SEARCH("日",I94)),20,IF(ISNUMBER(SEARCH("週",I94)),4.3,IF(ISNUMBER(SEARCH("月",I94)),1,"")))))))</f>
        <v/>
      </c>
      <c r="AN94" s="34">
        <f>IF(J94="","",IF(ISNUMBER(J94),J94,IFERROR(VALUE(ASC(J94&amp;"")),IF(ISNUMBER(SEARCH("時間",J94)),IFERROR(VALUE(SUBSTITUTE(SUBSTITUTE(SUBSTITUTE(SUBSTITUTE(SUBSTITUTE(ASC(J94&amp;""),"約",""),"程度",""),"ほど",""),"時間","")," ",""))*60,""),IFERROR(VALUE(SUBSTITUTE(SUBSTITUTE(SUBSTITUTE(SUBSTITUTE(SUBSTITUTE(ASC(J94&amp;""),"約",""),"程度",""),"ほど",""),"分","")," ","")),"")))))</f>
        <v/>
      </c>
      <c r="AO94" s="34">
        <f>IF(K94="","",IF(ISNUMBER(K94),K94,IFERROR(VALUE(SUBSTITUTE(SUBSTITUTE(SUBSTITUTE(ASC(K94&amp;""),"約",""),"件","")," ","")),"")))</f>
        <v/>
      </c>
      <c r="AP94" s="34">
        <f>IF(W94&lt;&gt;"OK","",IF(COUNTIFS($D$5:$D$404,D94,$W$5:$W$404,"OK")&gt;1,"同名あり",""))</f>
        <v/>
      </c>
      <c r="AQ94" s="35">
        <f>IF(L94="","",IF(ISNUMBER(L94),L94,IFERROR(DATEVALUE(SUBSTITUTE(SUBSTITUTE(ASC(L94&amp;""),"-","/"),".","/")&amp;"/01"),"")))</f>
        <v/>
      </c>
      <c r="AR94" s="35">
        <f>IF(M94="","",IF(ISNUMBER(M94),M94,IFERROR(DATEVALUE(SUBSTITUTE(SUBSTITUTE(ASC(M94&amp;""),"-","/"),".","/")&amp;"/01"),"")))</f>
        <v/>
      </c>
      <c r="AS94" s="34">
        <f>IF(OR(W94&lt;&gt;"OK",AQ94=""),"",IF(AQ94&gt;='01_設定'!$C$26,1,0))</f>
        <v/>
      </c>
      <c r="AT94" s="34">
        <f>IF(AND(W94="OK",Y94&lt;&gt;"除外"),COUNTIFS($W$5:W94,"OK",$Y$5:Y94,"&lt;&gt;除外"),"")</f>
        <v/>
      </c>
      <c r="AU94" s="34">
        <f>IF(OR(AT94="",AD94=""),"",AD94+ROW()/1000000000)</f>
        <v/>
      </c>
    </row>
    <row r="95">
      <c r="W95">
        <f>IF(AND(A95="",D95=""),"",IF(ISNUMBER(SEARCH("##END",AH95)),"（終わりの印）",IF(ISNUMBER(SEARCH("##続き",AH95)),"（続きありの印）",IF(AH95="調査ID","（見出し行）",IF(AND(AH95&lt;&gt;"R1",AH95&lt;&gt;"R2"),"×表以外の行（集計されない）",IF(COUNTIF($AI$5:AI95,AI95)&gt;1,"△重複（集計されない）",IF(D95="","△タスク名なし",IF(ISNA(MATCH(AK95,'M1_類型マスタ'!$A$5:$A$19,0)),"△類型が不正",IF(OR(AM95="",AN95=""),"△回数・分が読めない",IF(SUMPRODUCT(--ISNUMBER(--O95:U95))&lt;7,"△採点が足りない",IF(SUMPRODUCT((--O95:U95&gt;2)+(--O95:U95&lt;0))&gt;0,"△採点が範囲外","OK")))))))))))</f>
        <v/>
      </c>
      <c r="X95">
        <f>IF(W95&lt;&gt;"OK","",TRIM(IF(AND(AO95&lt;&gt;"",N(AO95)&lt;=1),"根拠1件 ","")&amp;IF(AP95&lt;&gt;"","同名あり ","")&amp;IF(AND(NOT(ISNUMBER(I95)),I95&lt;&gt;""),"回数を換算 ","")))</f>
        <v/>
      </c>
      <c r="Y95" s="31" t="n"/>
      <c r="Z95" s="32" t="n"/>
      <c r="AA95" s="32" t="n"/>
      <c r="AB95" s="31" t="n"/>
      <c r="AC95">
        <f>IF(W95&lt;&gt;"OK","",IF(AB95&lt;&gt;"",AB95,AE95))</f>
        <v/>
      </c>
      <c r="AD95" s="33">
        <f>IF(W95&lt;&gt;"OK","",IFERROR(IF(Z95&lt;&gt;"",Z95,AM95)*IF(AA95&lt;&gt;"",AA95,AN95)/60,""))</f>
        <v/>
      </c>
      <c r="AE95">
        <f>IF(W95&lt;&gt;"OK","",IF(OR(VALUE(O95)=2,VALUE(P95)=2,VALUE(Q95)=2),"社内残置",IF(AND(VALUE(O95)=0,VALUE(R95)=0,VALUE(T95)=0),"自動化候補",IF(AND(VALUE(P95)=0,VALUE(R95)&lt;=1,VALUE(S95)&lt;=1,VALUE(T95)&lt;=1,VALUE(U95)&lt;=1),"オフショア候補",IF(AND(VALUE(T95)&lt;=1,VALUE(U95)&lt;=1),"ニアショア候補","社内で手順化→再評価")))))</f>
        <v/>
      </c>
      <c r="AF95">
        <f>IF(W95&lt;&gt;"OK","",14-SUMPRODUCT(--O95:U95))</f>
        <v/>
      </c>
      <c r="AG95" s="33">
        <f>IF(W95&lt;&gt;"OK","",AM95*AN95/60)</f>
        <v/>
      </c>
      <c r="AH95" s="34">
        <f>IF(A95="","",UPPER(TRIM(ASC(A95&amp;""))))</f>
        <v/>
      </c>
      <c r="AI95" s="34">
        <f>IF(AH95="","",AH95&amp;"-"&amp;B95)</f>
        <v/>
      </c>
      <c r="AJ95" s="34">
        <f>IF(C95="","",IFERROR(VALUE(ASC(SUBSTITUTE(C95&amp;"","観点",""))),""))</f>
        <v/>
      </c>
      <c r="AK95" s="34">
        <f>IF(E95="","",UPPER(LEFT(TRIM(ASC(E95&amp;"")),3)))</f>
        <v/>
      </c>
      <c r="AL95" s="34">
        <f>IF(I95="","",IFERROR(VALUE(SUBSTITUTE(SUBSTITUTE(SUBSTITUTE(SUBSTITUTE(SUBSTITUTE(SUBSTITUTE(SUBSTITUTE(SUBSTITUTE(SUBSTITUTE(SUBSTITUTE(SUBSTITUTE(SUBSTITUTE(ASC(I95&amp;""),"約",""),"程度",""),"ほど",""),"回",""),"毎",""),"週",""),"月",""),"年",""),"日",""),"に",""),"/","")," ","")),""))</f>
        <v/>
      </c>
      <c r="AM95" s="34">
        <f>IF(I95="","",IF(ISNUMBER(I95),I95,IFERROR(VALUE(ASC(I95&amp;"")),IF(AL95&lt;&gt;"",AL95*IF(ISNUMBER(SEARCH("週",I95)),4.3,IF(ISNUMBER(SEARCH("年",I95)),1/12,IF(ISNUMBER(SEARCH("日",I95)),20,1))),IF(ISNUMBER(SEARCH("日",I95)),20,IF(ISNUMBER(SEARCH("週",I95)),4.3,IF(ISNUMBER(SEARCH("月",I95)),1,"")))))))</f>
        <v/>
      </c>
      <c r="AN95" s="34">
        <f>IF(J95="","",IF(ISNUMBER(J95),J95,IFERROR(VALUE(ASC(J95&amp;"")),IF(ISNUMBER(SEARCH("時間",J95)),IFERROR(VALUE(SUBSTITUTE(SUBSTITUTE(SUBSTITUTE(SUBSTITUTE(SUBSTITUTE(ASC(J95&amp;""),"約",""),"程度",""),"ほど",""),"時間","")," ",""))*60,""),IFERROR(VALUE(SUBSTITUTE(SUBSTITUTE(SUBSTITUTE(SUBSTITUTE(SUBSTITUTE(ASC(J95&amp;""),"約",""),"程度",""),"ほど",""),"分","")," ","")),"")))))</f>
        <v/>
      </c>
      <c r="AO95" s="34">
        <f>IF(K95="","",IF(ISNUMBER(K95),K95,IFERROR(VALUE(SUBSTITUTE(SUBSTITUTE(SUBSTITUTE(ASC(K95&amp;""),"約",""),"件","")," ","")),"")))</f>
        <v/>
      </c>
      <c r="AP95" s="34">
        <f>IF(W95&lt;&gt;"OK","",IF(COUNTIFS($D$5:$D$404,D95,$W$5:$W$404,"OK")&gt;1,"同名あり",""))</f>
        <v/>
      </c>
      <c r="AQ95" s="35">
        <f>IF(L95="","",IF(ISNUMBER(L95),L95,IFERROR(DATEVALUE(SUBSTITUTE(SUBSTITUTE(ASC(L95&amp;""),"-","/"),".","/")&amp;"/01"),"")))</f>
        <v/>
      </c>
      <c r="AR95" s="35">
        <f>IF(M95="","",IF(ISNUMBER(M95),M95,IFERROR(DATEVALUE(SUBSTITUTE(SUBSTITUTE(ASC(M95&amp;""),"-","/"),".","/")&amp;"/01"),"")))</f>
        <v/>
      </c>
      <c r="AS95" s="34">
        <f>IF(OR(W95&lt;&gt;"OK",AQ95=""),"",IF(AQ95&gt;='01_設定'!$C$26,1,0))</f>
        <v/>
      </c>
      <c r="AT95" s="34">
        <f>IF(AND(W95="OK",Y95&lt;&gt;"除外"),COUNTIFS($W$5:W95,"OK",$Y$5:Y95,"&lt;&gt;除外"),"")</f>
        <v/>
      </c>
      <c r="AU95" s="34">
        <f>IF(OR(AT95="",AD95=""),"",AD95+ROW()/1000000000)</f>
        <v/>
      </c>
    </row>
    <row r="96">
      <c r="W96">
        <f>IF(AND(A96="",D96=""),"",IF(ISNUMBER(SEARCH("##END",AH96)),"（終わりの印）",IF(ISNUMBER(SEARCH("##続き",AH96)),"（続きありの印）",IF(AH96="調査ID","（見出し行）",IF(AND(AH96&lt;&gt;"R1",AH96&lt;&gt;"R2"),"×表以外の行（集計されない）",IF(COUNTIF($AI$5:AI96,AI96)&gt;1,"△重複（集計されない）",IF(D96="","△タスク名なし",IF(ISNA(MATCH(AK96,'M1_類型マスタ'!$A$5:$A$19,0)),"△類型が不正",IF(OR(AM96="",AN96=""),"△回数・分が読めない",IF(SUMPRODUCT(--ISNUMBER(--O96:U96))&lt;7,"△採点が足りない",IF(SUMPRODUCT((--O96:U96&gt;2)+(--O96:U96&lt;0))&gt;0,"△採点が範囲外","OK")))))))))))</f>
        <v/>
      </c>
      <c r="X96">
        <f>IF(W96&lt;&gt;"OK","",TRIM(IF(AND(AO96&lt;&gt;"",N(AO96)&lt;=1),"根拠1件 ","")&amp;IF(AP96&lt;&gt;"","同名あり ","")&amp;IF(AND(NOT(ISNUMBER(I96)),I96&lt;&gt;""),"回数を換算 ","")))</f>
        <v/>
      </c>
      <c r="Y96" s="31" t="n"/>
      <c r="Z96" s="32" t="n"/>
      <c r="AA96" s="32" t="n"/>
      <c r="AB96" s="31" t="n"/>
      <c r="AC96">
        <f>IF(W96&lt;&gt;"OK","",IF(AB96&lt;&gt;"",AB96,AE96))</f>
        <v/>
      </c>
      <c r="AD96" s="33">
        <f>IF(W96&lt;&gt;"OK","",IFERROR(IF(Z96&lt;&gt;"",Z96,AM96)*IF(AA96&lt;&gt;"",AA96,AN96)/60,""))</f>
        <v/>
      </c>
      <c r="AE96">
        <f>IF(W96&lt;&gt;"OK","",IF(OR(VALUE(O96)=2,VALUE(P96)=2,VALUE(Q96)=2),"社内残置",IF(AND(VALUE(O96)=0,VALUE(R96)=0,VALUE(T96)=0),"自動化候補",IF(AND(VALUE(P96)=0,VALUE(R96)&lt;=1,VALUE(S96)&lt;=1,VALUE(T96)&lt;=1,VALUE(U96)&lt;=1),"オフショア候補",IF(AND(VALUE(T96)&lt;=1,VALUE(U96)&lt;=1),"ニアショア候補","社内で手順化→再評価")))))</f>
        <v/>
      </c>
      <c r="AF96">
        <f>IF(W96&lt;&gt;"OK","",14-SUMPRODUCT(--O96:U96))</f>
        <v/>
      </c>
      <c r="AG96" s="33">
        <f>IF(W96&lt;&gt;"OK","",AM96*AN96/60)</f>
        <v/>
      </c>
      <c r="AH96" s="34">
        <f>IF(A96="","",UPPER(TRIM(ASC(A96&amp;""))))</f>
        <v/>
      </c>
      <c r="AI96" s="34">
        <f>IF(AH96="","",AH96&amp;"-"&amp;B96)</f>
        <v/>
      </c>
      <c r="AJ96" s="34">
        <f>IF(C96="","",IFERROR(VALUE(ASC(SUBSTITUTE(C96&amp;"","観点",""))),""))</f>
        <v/>
      </c>
      <c r="AK96" s="34">
        <f>IF(E96="","",UPPER(LEFT(TRIM(ASC(E96&amp;"")),3)))</f>
        <v/>
      </c>
      <c r="AL96" s="34">
        <f>IF(I96="","",IFERROR(VALUE(SUBSTITUTE(SUBSTITUTE(SUBSTITUTE(SUBSTITUTE(SUBSTITUTE(SUBSTITUTE(SUBSTITUTE(SUBSTITUTE(SUBSTITUTE(SUBSTITUTE(SUBSTITUTE(SUBSTITUTE(ASC(I96&amp;""),"約",""),"程度",""),"ほど",""),"回",""),"毎",""),"週",""),"月",""),"年",""),"日",""),"に",""),"/","")," ","")),""))</f>
        <v/>
      </c>
      <c r="AM96" s="34">
        <f>IF(I96="","",IF(ISNUMBER(I96),I96,IFERROR(VALUE(ASC(I96&amp;"")),IF(AL96&lt;&gt;"",AL96*IF(ISNUMBER(SEARCH("週",I96)),4.3,IF(ISNUMBER(SEARCH("年",I96)),1/12,IF(ISNUMBER(SEARCH("日",I96)),20,1))),IF(ISNUMBER(SEARCH("日",I96)),20,IF(ISNUMBER(SEARCH("週",I96)),4.3,IF(ISNUMBER(SEARCH("月",I96)),1,"")))))))</f>
        <v/>
      </c>
      <c r="AN96" s="34">
        <f>IF(J96="","",IF(ISNUMBER(J96),J96,IFERROR(VALUE(ASC(J96&amp;"")),IF(ISNUMBER(SEARCH("時間",J96)),IFERROR(VALUE(SUBSTITUTE(SUBSTITUTE(SUBSTITUTE(SUBSTITUTE(SUBSTITUTE(ASC(J96&amp;""),"約",""),"程度",""),"ほど",""),"時間","")," ",""))*60,""),IFERROR(VALUE(SUBSTITUTE(SUBSTITUTE(SUBSTITUTE(SUBSTITUTE(SUBSTITUTE(ASC(J96&amp;""),"約",""),"程度",""),"ほど",""),"分","")," ","")),"")))))</f>
        <v/>
      </c>
      <c r="AO96" s="34">
        <f>IF(K96="","",IF(ISNUMBER(K96),K96,IFERROR(VALUE(SUBSTITUTE(SUBSTITUTE(SUBSTITUTE(ASC(K96&amp;""),"約",""),"件","")," ","")),"")))</f>
        <v/>
      </c>
      <c r="AP96" s="34">
        <f>IF(W96&lt;&gt;"OK","",IF(COUNTIFS($D$5:$D$404,D96,$W$5:$W$404,"OK")&gt;1,"同名あり",""))</f>
        <v/>
      </c>
      <c r="AQ96" s="35">
        <f>IF(L96="","",IF(ISNUMBER(L96),L96,IFERROR(DATEVALUE(SUBSTITUTE(SUBSTITUTE(ASC(L96&amp;""),"-","/"),".","/")&amp;"/01"),"")))</f>
        <v/>
      </c>
      <c r="AR96" s="35">
        <f>IF(M96="","",IF(ISNUMBER(M96),M96,IFERROR(DATEVALUE(SUBSTITUTE(SUBSTITUTE(ASC(M96&amp;""),"-","/"),".","/")&amp;"/01"),"")))</f>
        <v/>
      </c>
      <c r="AS96" s="34">
        <f>IF(OR(W96&lt;&gt;"OK",AQ96=""),"",IF(AQ96&gt;='01_設定'!$C$26,1,0))</f>
        <v/>
      </c>
      <c r="AT96" s="34">
        <f>IF(AND(W96="OK",Y96&lt;&gt;"除外"),COUNTIFS($W$5:W96,"OK",$Y$5:Y96,"&lt;&gt;除外"),"")</f>
        <v/>
      </c>
      <c r="AU96" s="34">
        <f>IF(OR(AT96="",AD96=""),"",AD96+ROW()/1000000000)</f>
        <v/>
      </c>
    </row>
    <row r="97">
      <c r="W97">
        <f>IF(AND(A97="",D97=""),"",IF(ISNUMBER(SEARCH("##END",AH97)),"（終わりの印）",IF(ISNUMBER(SEARCH("##続き",AH97)),"（続きありの印）",IF(AH97="調査ID","（見出し行）",IF(AND(AH97&lt;&gt;"R1",AH97&lt;&gt;"R2"),"×表以外の行（集計されない）",IF(COUNTIF($AI$5:AI97,AI97)&gt;1,"△重複（集計されない）",IF(D97="","△タスク名なし",IF(ISNA(MATCH(AK97,'M1_類型マスタ'!$A$5:$A$19,0)),"△類型が不正",IF(OR(AM97="",AN97=""),"△回数・分が読めない",IF(SUMPRODUCT(--ISNUMBER(--O97:U97))&lt;7,"△採点が足りない",IF(SUMPRODUCT((--O97:U97&gt;2)+(--O97:U97&lt;0))&gt;0,"△採点が範囲外","OK")))))))))))</f>
        <v/>
      </c>
      <c r="X97">
        <f>IF(W97&lt;&gt;"OK","",TRIM(IF(AND(AO97&lt;&gt;"",N(AO97)&lt;=1),"根拠1件 ","")&amp;IF(AP97&lt;&gt;"","同名あり ","")&amp;IF(AND(NOT(ISNUMBER(I97)),I97&lt;&gt;""),"回数を換算 ","")))</f>
        <v/>
      </c>
      <c r="Y97" s="31" t="n"/>
      <c r="Z97" s="32" t="n"/>
      <c r="AA97" s="32" t="n"/>
      <c r="AB97" s="31" t="n"/>
      <c r="AC97">
        <f>IF(W97&lt;&gt;"OK","",IF(AB97&lt;&gt;"",AB97,AE97))</f>
        <v/>
      </c>
      <c r="AD97" s="33">
        <f>IF(W97&lt;&gt;"OK","",IFERROR(IF(Z97&lt;&gt;"",Z97,AM97)*IF(AA97&lt;&gt;"",AA97,AN97)/60,""))</f>
        <v/>
      </c>
      <c r="AE97">
        <f>IF(W97&lt;&gt;"OK","",IF(OR(VALUE(O97)=2,VALUE(P97)=2,VALUE(Q97)=2),"社内残置",IF(AND(VALUE(O97)=0,VALUE(R97)=0,VALUE(T97)=0),"自動化候補",IF(AND(VALUE(P97)=0,VALUE(R97)&lt;=1,VALUE(S97)&lt;=1,VALUE(T97)&lt;=1,VALUE(U97)&lt;=1),"オフショア候補",IF(AND(VALUE(T97)&lt;=1,VALUE(U97)&lt;=1),"ニアショア候補","社内で手順化→再評価")))))</f>
        <v/>
      </c>
      <c r="AF97">
        <f>IF(W97&lt;&gt;"OK","",14-SUMPRODUCT(--O97:U97))</f>
        <v/>
      </c>
      <c r="AG97" s="33">
        <f>IF(W97&lt;&gt;"OK","",AM97*AN97/60)</f>
        <v/>
      </c>
      <c r="AH97" s="34">
        <f>IF(A97="","",UPPER(TRIM(ASC(A97&amp;""))))</f>
        <v/>
      </c>
      <c r="AI97" s="34">
        <f>IF(AH97="","",AH97&amp;"-"&amp;B97)</f>
        <v/>
      </c>
      <c r="AJ97" s="34">
        <f>IF(C97="","",IFERROR(VALUE(ASC(SUBSTITUTE(C97&amp;"","観点",""))),""))</f>
        <v/>
      </c>
      <c r="AK97" s="34">
        <f>IF(E97="","",UPPER(LEFT(TRIM(ASC(E97&amp;"")),3)))</f>
        <v/>
      </c>
      <c r="AL97" s="34">
        <f>IF(I97="","",IFERROR(VALUE(SUBSTITUTE(SUBSTITUTE(SUBSTITUTE(SUBSTITUTE(SUBSTITUTE(SUBSTITUTE(SUBSTITUTE(SUBSTITUTE(SUBSTITUTE(SUBSTITUTE(SUBSTITUTE(SUBSTITUTE(ASC(I97&amp;""),"約",""),"程度",""),"ほど",""),"回",""),"毎",""),"週",""),"月",""),"年",""),"日",""),"に",""),"/","")," ","")),""))</f>
        <v/>
      </c>
      <c r="AM97" s="34">
        <f>IF(I97="","",IF(ISNUMBER(I97),I97,IFERROR(VALUE(ASC(I97&amp;"")),IF(AL97&lt;&gt;"",AL97*IF(ISNUMBER(SEARCH("週",I97)),4.3,IF(ISNUMBER(SEARCH("年",I97)),1/12,IF(ISNUMBER(SEARCH("日",I97)),20,1))),IF(ISNUMBER(SEARCH("日",I97)),20,IF(ISNUMBER(SEARCH("週",I97)),4.3,IF(ISNUMBER(SEARCH("月",I97)),1,"")))))))</f>
        <v/>
      </c>
      <c r="AN97" s="34">
        <f>IF(J97="","",IF(ISNUMBER(J97),J97,IFERROR(VALUE(ASC(J97&amp;"")),IF(ISNUMBER(SEARCH("時間",J97)),IFERROR(VALUE(SUBSTITUTE(SUBSTITUTE(SUBSTITUTE(SUBSTITUTE(SUBSTITUTE(ASC(J97&amp;""),"約",""),"程度",""),"ほど",""),"時間","")," ",""))*60,""),IFERROR(VALUE(SUBSTITUTE(SUBSTITUTE(SUBSTITUTE(SUBSTITUTE(SUBSTITUTE(ASC(J97&amp;""),"約",""),"程度",""),"ほど",""),"分","")," ","")),"")))))</f>
        <v/>
      </c>
      <c r="AO97" s="34">
        <f>IF(K97="","",IF(ISNUMBER(K97),K97,IFERROR(VALUE(SUBSTITUTE(SUBSTITUTE(SUBSTITUTE(ASC(K97&amp;""),"約",""),"件","")," ","")),"")))</f>
        <v/>
      </c>
      <c r="AP97" s="34">
        <f>IF(W97&lt;&gt;"OK","",IF(COUNTIFS($D$5:$D$404,D97,$W$5:$W$404,"OK")&gt;1,"同名あり",""))</f>
        <v/>
      </c>
      <c r="AQ97" s="35">
        <f>IF(L97="","",IF(ISNUMBER(L97),L97,IFERROR(DATEVALUE(SUBSTITUTE(SUBSTITUTE(ASC(L97&amp;""),"-","/"),".","/")&amp;"/01"),"")))</f>
        <v/>
      </c>
      <c r="AR97" s="35">
        <f>IF(M97="","",IF(ISNUMBER(M97),M97,IFERROR(DATEVALUE(SUBSTITUTE(SUBSTITUTE(ASC(M97&amp;""),"-","/"),".","/")&amp;"/01"),"")))</f>
        <v/>
      </c>
      <c r="AS97" s="34">
        <f>IF(OR(W97&lt;&gt;"OK",AQ97=""),"",IF(AQ97&gt;='01_設定'!$C$26,1,0))</f>
        <v/>
      </c>
      <c r="AT97" s="34">
        <f>IF(AND(W97="OK",Y97&lt;&gt;"除外"),COUNTIFS($W$5:W97,"OK",$Y$5:Y97,"&lt;&gt;除外"),"")</f>
        <v/>
      </c>
      <c r="AU97" s="34">
        <f>IF(OR(AT97="",AD97=""),"",AD97+ROW()/1000000000)</f>
        <v/>
      </c>
    </row>
    <row r="98">
      <c r="W98">
        <f>IF(AND(A98="",D98=""),"",IF(ISNUMBER(SEARCH("##END",AH98)),"（終わりの印）",IF(ISNUMBER(SEARCH("##続き",AH98)),"（続きありの印）",IF(AH98="調査ID","（見出し行）",IF(AND(AH98&lt;&gt;"R1",AH98&lt;&gt;"R2"),"×表以外の行（集計されない）",IF(COUNTIF($AI$5:AI98,AI98)&gt;1,"△重複（集計されない）",IF(D98="","△タスク名なし",IF(ISNA(MATCH(AK98,'M1_類型マスタ'!$A$5:$A$19,0)),"△類型が不正",IF(OR(AM98="",AN98=""),"△回数・分が読めない",IF(SUMPRODUCT(--ISNUMBER(--O98:U98))&lt;7,"△採点が足りない",IF(SUMPRODUCT((--O98:U98&gt;2)+(--O98:U98&lt;0))&gt;0,"△採点が範囲外","OK")))))))))))</f>
        <v/>
      </c>
      <c r="X98">
        <f>IF(W98&lt;&gt;"OK","",TRIM(IF(AND(AO98&lt;&gt;"",N(AO98)&lt;=1),"根拠1件 ","")&amp;IF(AP98&lt;&gt;"","同名あり ","")&amp;IF(AND(NOT(ISNUMBER(I98)),I98&lt;&gt;""),"回数を換算 ","")))</f>
        <v/>
      </c>
      <c r="Y98" s="31" t="n"/>
      <c r="Z98" s="32" t="n"/>
      <c r="AA98" s="32" t="n"/>
      <c r="AB98" s="31" t="n"/>
      <c r="AC98">
        <f>IF(W98&lt;&gt;"OK","",IF(AB98&lt;&gt;"",AB98,AE98))</f>
        <v/>
      </c>
      <c r="AD98" s="33">
        <f>IF(W98&lt;&gt;"OK","",IFERROR(IF(Z98&lt;&gt;"",Z98,AM98)*IF(AA98&lt;&gt;"",AA98,AN98)/60,""))</f>
        <v/>
      </c>
      <c r="AE98">
        <f>IF(W98&lt;&gt;"OK","",IF(OR(VALUE(O98)=2,VALUE(P98)=2,VALUE(Q98)=2),"社内残置",IF(AND(VALUE(O98)=0,VALUE(R98)=0,VALUE(T98)=0),"自動化候補",IF(AND(VALUE(P98)=0,VALUE(R98)&lt;=1,VALUE(S98)&lt;=1,VALUE(T98)&lt;=1,VALUE(U98)&lt;=1),"オフショア候補",IF(AND(VALUE(T98)&lt;=1,VALUE(U98)&lt;=1),"ニアショア候補","社内で手順化→再評価")))))</f>
        <v/>
      </c>
      <c r="AF98">
        <f>IF(W98&lt;&gt;"OK","",14-SUMPRODUCT(--O98:U98))</f>
        <v/>
      </c>
      <c r="AG98" s="33">
        <f>IF(W98&lt;&gt;"OK","",AM98*AN98/60)</f>
        <v/>
      </c>
      <c r="AH98" s="34">
        <f>IF(A98="","",UPPER(TRIM(ASC(A98&amp;""))))</f>
        <v/>
      </c>
      <c r="AI98" s="34">
        <f>IF(AH98="","",AH98&amp;"-"&amp;B98)</f>
        <v/>
      </c>
      <c r="AJ98" s="34">
        <f>IF(C98="","",IFERROR(VALUE(ASC(SUBSTITUTE(C98&amp;"","観点",""))),""))</f>
        <v/>
      </c>
      <c r="AK98" s="34">
        <f>IF(E98="","",UPPER(LEFT(TRIM(ASC(E98&amp;"")),3)))</f>
        <v/>
      </c>
      <c r="AL98" s="34">
        <f>IF(I98="","",IFERROR(VALUE(SUBSTITUTE(SUBSTITUTE(SUBSTITUTE(SUBSTITUTE(SUBSTITUTE(SUBSTITUTE(SUBSTITUTE(SUBSTITUTE(SUBSTITUTE(SUBSTITUTE(SUBSTITUTE(SUBSTITUTE(ASC(I98&amp;""),"約",""),"程度",""),"ほど",""),"回",""),"毎",""),"週",""),"月",""),"年",""),"日",""),"に",""),"/","")," ","")),""))</f>
        <v/>
      </c>
      <c r="AM98" s="34">
        <f>IF(I98="","",IF(ISNUMBER(I98),I98,IFERROR(VALUE(ASC(I98&amp;"")),IF(AL98&lt;&gt;"",AL98*IF(ISNUMBER(SEARCH("週",I98)),4.3,IF(ISNUMBER(SEARCH("年",I98)),1/12,IF(ISNUMBER(SEARCH("日",I98)),20,1))),IF(ISNUMBER(SEARCH("日",I98)),20,IF(ISNUMBER(SEARCH("週",I98)),4.3,IF(ISNUMBER(SEARCH("月",I98)),1,"")))))))</f>
        <v/>
      </c>
      <c r="AN98" s="34">
        <f>IF(J98="","",IF(ISNUMBER(J98),J98,IFERROR(VALUE(ASC(J98&amp;"")),IF(ISNUMBER(SEARCH("時間",J98)),IFERROR(VALUE(SUBSTITUTE(SUBSTITUTE(SUBSTITUTE(SUBSTITUTE(SUBSTITUTE(ASC(J98&amp;""),"約",""),"程度",""),"ほど",""),"時間","")," ",""))*60,""),IFERROR(VALUE(SUBSTITUTE(SUBSTITUTE(SUBSTITUTE(SUBSTITUTE(SUBSTITUTE(ASC(J98&amp;""),"約",""),"程度",""),"ほど",""),"分","")," ","")),"")))))</f>
        <v/>
      </c>
      <c r="AO98" s="34">
        <f>IF(K98="","",IF(ISNUMBER(K98),K98,IFERROR(VALUE(SUBSTITUTE(SUBSTITUTE(SUBSTITUTE(ASC(K98&amp;""),"約",""),"件","")," ","")),"")))</f>
        <v/>
      </c>
      <c r="AP98" s="34">
        <f>IF(W98&lt;&gt;"OK","",IF(COUNTIFS($D$5:$D$404,D98,$W$5:$W$404,"OK")&gt;1,"同名あり",""))</f>
        <v/>
      </c>
      <c r="AQ98" s="35">
        <f>IF(L98="","",IF(ISNUMBER(L98),L98,IFERROR(DATEVALUE(SUBSTITUTE(SUBSTITUTE(ASC(L98&amp;""),"-","/"),".","/")&amp;"/01"),"")))</f>
        <v/>
      </c>
      <c r="AR98" s="35">
        <f>IF(M98="","",IF(ISNUMBER(M98),M98,IFERROR(DATEVALUE(SUBSTITUTE(SUBSTITUTE(ASC(M98&amp;""),"-","/"),".","/")&amp;"/01"),"")))</f>
        <v/>
      </c>
      <c r="AS98" s="34">
        <f>IF(OR(W98&lt;&gt;"OK",AQ98=""),"",IF(AQ98&gt;='01_設定'!$C$26,1,0))</f>
        <v/>
      </c>
      <c r="AT98" s="34">
        <f>IF(AND(W98="OK",Y98&lt;&gt;"除外"),COUNTIFS($W$5:W98,"OK",$Y$5:Y98,"&lt;&gt;除外"),"")</f>
        <v/>
      </c>
      <c r="AU98" s="34">
        <f>IF(OR(AT98="",AD98=""),"",AD98+ROW()/1000000000)</f>
        <v/>
      </c>
    </row>
    <row r="99">
      <c r="W99">
        <f>IF(AND(A99="",D99=""),"",IF(ISNUMBER(SEARCH("##END",AH99)),"（終わりの印）",IF(ISNUMBER(SEARCH("##続き",AH99)),"（続きありの印）",IF(AH99="調査ID","（見出し行）",IF(AND(AH99&lt;&gt;"R1",AH99&lt;&gt;"R2"),"×表以外の行（集計されない）",IF(COUNTIF($AI$5:AI99,AI99)&gt;1,"△重複（集計されない）",IF(D99="","△タスク名なし",IF(ISNA(MATCH(AK99,'M1_類型マスタ'!$A$5:$A$19,0)),"△類型が不正",IF(OR(AM99="",AN99=""),"△回数・分が読めない",IF(SUMPRODUCT(--ISNUMBER(--O99:U99))&lt;7,"△採点が足りない",IF(SUMPRODUCT((--O99:U99&gt;2)+(--O99:U99&lt;0))&gt;0,"△採点が範囲外","OK")))))))))))</f>
        <v/>
      </c>
      <c r="X99">
        <f>IF(W99&lt;&gt;"OK","",TRIM(IF(AND(AO99&lt;&gt;"",N(AO99)&lt;=1),"根拠1件 ","")&amp;IF(AP99&lt;&gt;"","同名あり ","")&amp;IF(AND(NOT(ISNUMBER(I99)),I99&lt;&gt;""),"回数を換算 ","")))</f>
        <v/>
      </c>
      <c r="Y99" s="31" t="n"/>
      <c r="Z99" s="32" t="n"/>
      <c r="AA99" s="32" t="n"/>
      <c r="AB99" s="31" t="n"/>
      <c r="AC99">
        <f>IF(W99&lt;&gt;"OK","",IF(AB99&lt;&gt;"",AB99,AE99))</f>
        <v/>
      </c>
      <c r="AD99" s="33">
        <f>IF(W99&lt;&gt;"OK","",IFERROR(IF(Z99&lt;&gt;"",Z99,AM99)*IF(AA99&lt;&gt;"",AA99,AN99)/60,""))</f>
        <v/>
      </c>
      <c r="AE99">
        <f>IF(W99&lt;&gt;"OK","",IF(OR(VALUE(O99)=2,VALUE(P99)=2,VALUE(Q99)=2),"社内残置",IF(AND(VALUE(O99)=0,VALUE(R99)=0,VALUE(T99)=0),"自動化候補",IF(AND(VALUE(P99)=0,VALUE(R99)&lt;=1,VALUE(S99)&lt;=1,VALUE(T99)&lt;=1,VALUE(U99)&lt;=1),"オフショア候補",IF(AND(VALUE(T99)&lt;=1,VALUE(U99)&lt;=1),"ニアショア候補","社内で手順化→再評価")))))</f>
        <v/>
      </c>
      <c r="AF99">
        <f>IF(W99&lt;&gt;"OK","",14-SUMPRODUCT(--O99:U99))</f>
        <v/>
      </c>
      <c r="AG99" s="33">
        <f>IF(W99&lt;&gt;"OK","",AM99*AN99/60)</f>
        <v/>
      </c>
      <c r="AH99" s="34">
        <f>IF(A99="","",UPPER(TRIM(ASC(A99&amp;""))))</f>
        <v/>
      </c>
      <c r="AI99" s="34">
        <f>IF(AH99="","",AH99&amp;"-"&amp;B99)</f>
        <v/>
      </c>
      <c r="AJ99" s="34">
        <f>IF(C99="","",IFERROR(VALUE(ASC(SUBSTITUTE(C99&amp;"","観点",""))),""))</f>
        <v/>
      </c>
      <c r="AK99" s="34">
        <f>IF(E99="","",UPPER(LEFT(TRIM(ASC(E99&amp;"")),3)))</f>
        <v/>
      </c>
      <c r="AL99" s="34">
        <f>IF(I99="","",IFERROR(VALUE(SUBSTITUTE(SUBSTITUTE(SUBSTITUTE(SUBSTITUTE(SUBSTITUTE(SUBSTITUTE(SUBSTITUTE(SUBSTITUTE(SUBSTITUTE(SUBSTITUTE(SUBSTITUTE(SUBSTITUTE(ASC(I99&amp;""),"約",""),"程度",""),"ほど",""),"回",""),"毎",""),"週",""),"月",""),"年",""),"日",""),"に",""),"/","")," ","")),""))</f>
        <v/>
      </c>
      <c r="AM99" s="34">
        <f>IF(I99="","",IF(ISNUMBER(I99),I99,IFERROR(VALUE(ASC(I99&amp;"")),IF(AL99&lt;&gt;"",AL99*IF(ISNUMBER(SEARCH("週",I99)),4.3,IF(ISNUMBER(SEARCH("年",I99)),1/12,IF(ISNUMBER(SEARCH("日",I99)),20,1))),IF(ISNUMBER(SEARCH("日",I99)),20,IF(ISNUMBER(SEARCH("週",I99)),4.3,IF(ISNUMBER(SEARCH("月",I99)),1,"")))))))</f>
        <v/>
      </c>
      <c r="AN99" s="34">
        <f>IF(J99="","",IF(ISNUMBER(J99),J99,IFERROR(VALUE(ASC(J99&amp;"")),IF(ISNUMBER(SEARCH("時間",J99)),IFERROR(VALUE(SUBSTITUTE(SUBSTITUTE(SUBSTITUTE(SUBSTITUTE(SUBSTITUTE(ASC(J99&amp;""),"約",""),"程度",""),"ほど",""),"時間","")," ",""))*60,""),IFERROR(VALUE(SUBSTITUTE(SUBSTITUTE(SUBSTITUTE(SUBSTITUTE(SUBSTITUTE(ASC(J99&amp;""),"約",""),"程度",""),"ほど",""),"分","")," ","")),"")))))</f>
        <v/>
      </c>
      <c r="AO99" s="34">
        <f>IF(K99="","",IF(ISNUMBER(K99),K99,IFERROR(VALUE(SUBSTITUTE(SUBSTITUTE(SUBSTITUTE(ASC(K99&amp;""),"約",""),"件","")," ","")),"")))</f>
        <v/>
      </c>
      <c r="AP99" s="34">
        <f>IF(W99&lt;&gt;"OK","",IF(COUNTIFS($D$5:$D$404,D99,$W$5:$W$404,"OK")&gt;1,"同名あり",""))</f>
        <v/>
      </c>
      <c r="AQ99" s="35">
        <f>IF(L99="","",IF(ISNUMBER(L99),L99,IFERROR(DATEVALUE(SUBSTITUTE(SUBSTITUTE(ASC(L99&amp;""),"-","/"),".","/")&amp;"/01"),"")))</f>
        <v/>
      </c>
      <c r="AR99" s="35">
        <f>IF(M99="","",IF(ISNUMBER(M99),M99,IFERROR(DATEVALUE(SUBSTITUTE(SUBSTITUTE(ASC(M99&amp;""),"-","/"),".","/")&amp;"/01"),"")))</f>
        <v/>
      </c>
      <c r="AS99" s="34">
        <f>IF(OR(W99&lt;&gt;"OK",AQ99=""),"",IF(AQ99&gt;='01_設定'!$C$26,1,0))</f>
        <v/>
      </c>
      <c r="AT99" s="34">
        <f>IF(AND(W99="OK",Y99&lt;&gt;"除外"),COUNTIFS($W$5:W99,"OK",$Y$5:Y99,"&lt;&gt;除外"),"")</f>
        <v/>
      </c>
      <c r="AU99" s="34">
        <f>IF(OR(AT99="",AD99=""),"",AD99+ROW()/1000000000)</f>
        <v/>
      </c>
    </row>
    <row r="100">
      <c r="W100">
        <f>IF(AND(A100="",D100=""),"",IF(ISNUMBER(SEARCH("##END",AH100)),"（終わりの印）",IF(ISNUMBER(SEARCH("##続き",AH100)),"（続きありの印）",IF(AH100="調査ID","（見出し行）",IF(AND(AH100&lt;&gt;"R1",AH100&lt;&gt;"R2"),"×表以外の行（集計されない）",IF(COUNTIF($AI$5:AI100,AI100)&gt;1,"△重複（集計されない）",IF(D100="","△タスク名なし",IF(ISNA(MATCH(AK100,'M1_類型マスタ'!$A$5:$A$19,0)),"△類型が不正",IF(OR(AM100="",AN100=""),"△回数・分が読めない",IF(SUMPRODUCT(--ISNUMBER(--O100:U100))&lt;7,"△採点が足りない",IF(SUMPRODUCT((--O100:U100&gt;2)+(--O100:U100&lt;0))&gt;0,"△採点が範囲外","OK")))))))))))</f>
        <v/>
      </c>
      <c r="X100">
        <f>IF(W100&lt;&gt;"OK","",TRIM(IF(AND(AO100&lt;&gt;"",N(AO100)&lt;=1),"根拠1件 ","")&amp;IF(AP100&lt;&gt;"","同名あり ","")&amp;IF(AND(NOT(ISNUMBER(I100)),I100&lt;&gt;""),"回数を換算 ","")))</f>
        <v/>
      </c>
      <c r="Y100" s="31" t="n"/>
      <c r="Z100" s="32" t="n"/>
      <c r="AA100" s="32" t="n"/>
      <c r="AB100" s="31" t="n"/>
      <c r="AC100">
        <f>IF(W100&lt;&gt;"OK","",IF(AB100&lt;&gt;"",AB100,AE100))</f>
        <v/>
      </c>
      <c r="AD100" s="33">
        <f>IF(W100&lt;&gt;"OK","",IFERROR(IF(Z100&lt;&gt;"",Z100,AM100)*IF(AA100&lt;&gt;"",AA100,AN100)/60,""))</f>
        <v/>
      </c>
      <c r="AE100">
        <f>IF(W100&lt;&gt;"OK","",IF(OR(VALUE(O100)=2,VALUE(P100)=2,VALUE(Q100)=2),"社内残置",IF(AND(VALUE(O100)=0,VALUE(R100)=0,VALUE(T100)=0),"自動化候補",IF(AND(VALUE(P100)=0,VALUE(R100)&lt;=1,VALUE(S100)&lt;=1,VALUE(T100)&lt;=1,VALUE(U100)&lt;=1),"オフショア候補",IF(AND(VALUE(T100)&lt;=1,VALUE(U100)&lt;=1),"ニアショア候補","社内で手順化→再評価")))))</f>
        <v/>
      </c>
      <c r="AF100">
        <f>IF(W100&lt;&gt;"OK","",14-SUMPRODUCT(--O100:U100))</f>
        <v/>
      </c>
      <c r="AG100" s="33">
        <f>IF(W100&lt;&gt;"OK","",AM100*AN100/60)</f>
        <v/>
      </c>
      <c r="AH100" s="34">
        <f>IF(A100="","",UPPER(TRIM(ASC(A100&amp;""))))</f>
        <v/>
      </c>
      <c r="AI100" s="34">
        <f>IF(AH100="","",AH100&amp;"-"&amp;B100)</f>
        <v/>
      </c>
      <c r="AJ100" s="34">
        <f>IF(C100="","",IFERROR(VALUE(ASC(SUBSTITUTE(C100&amp;"","観点",""))),""))</f>
        <v/>
      </c>
      <c r="AK100" s="34">
        <f>IF(E100="","",UPPER(LEFT(TRIM(ASC(E100&amp;"")),3)))</f>
        <v/>
      </c>
      <c r="AL100" s="34">
        <f>IF(I100="","",IFERROR(VALUE(SUBSTITUTE(SUBSTITUTE(SUBSTITUTE(SUBSTITUTE(SUBSTITUTE(SUBSTITUTE(SUBSTITUTE(SUBSTITUTE(SUBSTITUTE(SUBSTITUTE(SUBSTITUTE(SUBSTITUTE(ASC(I100&amp;""),"約",""),"程度",""),"ほど",""),"回",""),"毎",""),"週",""),"月",""),"年",""),"日",""),"に",""),"/","")," ","")),""))</f>
        <v/>
      </c>
      <c r="AM100" s="34">
        <f>IF(I100="","",IF(ISNUMBER(I100),I100,IFERROR(VALUE(ASC(I100&amp;"")),IF(AL100&lt;&gt;"",AL100*IF(ISNUMBER(SEARCH("週",I100)),4.3,IF(ISNUMBER(SEARCH("年",I100)),1/12,IF(ISNUMBER(SEARCH("日",I100)),20,1))),IF(ISNUMBER(SEARCH("日",I100)),20,IF(ISNUMBER(SEARCH("週",I100)),4.3,IF(ISNUMBER(SEARCH("月",I100)),1,"")))))))</f>
        <v/>
      </c>
      <c r="AN100" s="34">
        <f>IF(J100="","",IF(ISNUMBER(J100),J100,IFERROR(VALUE(ASC(J100&amp;"")),IF(ISNUMBER(SEARCH("時間",J100)),IFERROR(VALUE(SUBSTITUTE(SUBSTITUTE(SUBSTITUTE(SUBSTITUTE(SUBSTITUTE(ASC(J100&amp;""),"約",""),"程度",""),"ほど",""),"時間","")," ",""))*60,""),IFERROR(VALUE(SUBSTITUTE(SUBSTITUTE(SUBSTITUTE(SUBSTITUTE(SUBSTITUTE(ASC(J100&amp;""),"約",""),"程度",""),"ほど",""),"分","")," ","")),"")))))</f>
        <v/>
      </c>
      <c r="AO100" s="34">
        <f>IF(K100="","",IF(ISNUMBER(K100),K100,IFERROR(VALUE(SUBSTITUTE(SUBSTITUTE(SUBSTITUTE(ASC(K100&amp;""),"約",""),"件","")," ","")),"")))</f>
        <v/>
      </c>
      <c r="AP100" s="34">
        <f>IF(W100&lt;&gt;"OK","",IF(COUNTIFS($D$5:$D$404,D100,$W$5:$W$404,"OK")&gt;1,"同名あり",""))</f>
        <v/>
      </c>
      <c r="AQ100" s="35">
        <f>IF(L100="","",IF(ISNUMBER(L100),L100,IFERROR(DATEVALUE(SUBSTITUTE(SUBSTITUTE(ASC(L100&amp;""),"-","/"),".","/")&amp;"/01"),"")))</f>
        <v/>
      </c>
      <c r="AR100" s="35">
        <f>IF(M100="","",IF(ISNUMBER(M100),M100,IFERROR(DATEVALUE(SUBSTITUTE(SUBSTITUTE(ASC(M100&amp;""),"-","/"),".","/")&amp;"/01"),"")))</f>
        <v/>
      </c>
      <c r="AS100" s="34">
        <f>IF(OR(W100&lt;&gt;"OK",AQ100=""),"",IF(AQ100&gt;='01_設定'!$C$26,1,0))</f>
        <v/>
      </c>
      <c r="AT100" s="34">
        <f>IF(AND(W100="OK",Y100&lt;&gt;"除外"),COUNTIFS($W$5:W100,"OK",$Y$5:Y100,"&lt;&gt;除外"),"")</f>
        <v/>
      </c>
      <c r="AU100" s="34">
        <f>IF(OR(AT100="",AD100=""),"",AD100+ROW()/1000000000)</f>
        <v/>
      </c>
    </row>
    <row r="101">
      <c r="W101">
        <f>IF(AND(A101="",D101=""),"",IF(ISNUMBER(SEARCH("##END",AH101)),"（終わりの印）",IF(ISNUMBER(SEARCH("##続き",AH101)),"（続きありの印）",IF(AH101="調査ID","（見出し行）",IF(AND(AH101&lt;&gt;"R1",AH101&lt;&gt;"R2"),"×表以外の行（集計されない）",IF(COUNTIF($AI$5:AI101,AI101)&gt;1,"△重複（集計されない）",IF(D101="","△タスク名なし",IF(ISNA(MATCH(AK101,'M1_類型マスタ'!$A$5:$A$19,0)),"△類型が不正",IF(OR(AM101="",AN101=""),"△回数・分が読めない",IF(SUMPRODUCT(--ISNUMBER(--O101:U101))&lt;7,"△採点が足りない",IF(SUMPRODUCT((--O101:U101&gt;2)+(--O101:U101&lt;0))&gt;0,"△採点が範囲外","OK")))))))))))</f>
        <v/>
      </c>
      <c r="X101">
        <f>IF(W101&lt;&gt;"OK","",TRIM(IF(AND(AO101&lt;&gt;"",N(AO101)&lt;=1),"根拠1件 ","")&amp;IF(AP101&lt;&gt;"","同名あり ","")&amp;IF(AND(NOT(ISNUMBER(I101)),I101&lt;&gt;""),"回数を換算 ","")))</f>
        <v/>
      </c>
      <c r="Y101" s="31" t="n"/>
      <c r="Z101" s="32" t="n"/>
      <c r="AA101" s="32" t="n"/>
      <c r="AB101" s="31" t="n"/>
      <c r="AC101">
        <f>IF(W101&lt;&gt;"OK","",IF(AB101&lt;&gt;"",AB101,AE101))</f>
        <v/>
      </c>
      <c r="AD101" s="33">
        <f>IF(W101&lt;&gt;"OK","",IFERROR(IF(Z101&lt;&gt;"",Z101,AM101)*IF(AA101&lt;&gt;"",AA101,AN101)/60,""))</f>
        <v/>
      </c>
      <c r="AE101">
        <f>IF(W101&lt;&gt;"OK","",IF(OR(VALUE(O101)=2,VALUE(P101)=2,VALUE(Q101)=2),"社内残置",IF(AND(VALUE(O101)=0,VALUE(R101)=0,VALUE(T101)=0),"自動化候補",IF(AND(VALUE(P101)=0,VALUE(R101)&lt;=1,VALUE(S101)&lt;=1,VALUE(T101)&lt;=1,VALUE(U101)&lt;=1),"オフショア候補",IF(AND(VALUE(T101)&lt;=1,VALUE(U101)&lt;=1),"ニアショア候補","社内で手順化→再評価")))))</f>
        <v/>
      </c>
      <c r="AF101">
        <f>IF(W101&lt;&gt;"OK","",14-SUMPRODUCT(--O101:U101))</f>
        <v/>
      </c>
      <c r="AG101" s="33">
        <f>IF(W101&lt;&gt;"OK","",AM101*AN101/60)</f>
        <v/>
      </c>
      <c r="AH101" s="34">
        <f>IF(A101="","",UPPER(TRIM(ASC(A101&amp;""))))</f>
        <v/>
      </c>
      <c r="AI101" s="34">
        <f>IF(AH101="","",AH101&amp;"-"&amp;B101)</f>
        <v/>
      </c>
      <c r="AJ101" s="34">
        <f>IF(C101="","",IFERROR(VALUE(ASC(SUBSTITUTE(C101&amp;"","観点",""))),""))</f>
        <v/>
      </c>
      <c r="AK101" s="34">
        <f>IF(E101="","",UPPER(LEFT(TRIM(ASC(E101&amp;"")),3)))</f>
        <v/>
      </c>
      <c r="AL101" s="34">
        <f>IF(I101="","",IFERROR(VALUE(SUBSTITUTE(SUBSTITUTE(SUBSTITUTE(SUBSTITUTE(SUBSTITUTE(SUBSTITUTE(SUBSTITUTE(SUBSTITUTE(SUBSTITUTE(SUBSTITUTE(SUBSTITUTE(SUBSTITUTE(ASC(I101&amp;""),"約",""),"程度",""),"ほど",""),"回",""),"毎",""),"週",""),"月",""),"年",""),"日",""),"に",""),"/","")," ","")),""))</f>
        <v/>
      </c>
      <c r="AM101" s="34">
        <f>IF(I101="","",IF(ISNUMBER(I101),I101,IFERROR(VALUE(ASC(I101&amp;"")),IF(AL101&lt;&gt;"",AL101*IF(ISNUMBER(SEARCH("週",I101)),4.3,IF(ISNUMBER(SEARCH("年",I101)),1/12,IF(ISNUMBER(SEARCH("日",I101)),20,1))),IF(ISNUMBER(SEARCH("日",I101)),20,IF(ISNUMBER(SEARCH("週",I101)),4.3,IF(ISNUMBER(SEARCH("月",I101)),1,"")))))))</f>
        <v/>
      </c>
      <c r="AN101" s="34">
        <f>IF(J101="","",IF(ISNUMBER(J101),J101,IFERROR(VALUE(ASC(J101&amp;"")),IF(ISNUMBER(SEARCH("時間",J101)),IFERROR(VALUE(SUBSTITUTE(SUBSTITUTE(SUBSTITUTE(SUBSTITUTE(SUBSTITUTE(ASC(J101&amp;""),"約",""),"程度",""),"ほど",""),"時間","")," ",""))*60,""),IFERROR(VALUE(SUBSTITUTE(SUBSTITUTE(SUBSTITUTE(SUBSTITUTE(SUBSTITUTE(ASC(J101&amp;""),"約",""),"程度",""),"ほど",""),"分","")," ","")),"")))))</f>
        <v/>
      </c>
      <c r="AO101" s="34">
        <f>IF(K101="","",IF(ISNUMBER(K101),K101,IFERROR(VALUE(SUBSTITUTE(SUBSTITUTE(SUBSTITUTE(ASC(K101&amp;""),"約",""),"件","")," ","")),"")))</f>
        <v/>
      </c>
      <c r="AP101" s="34">
        <f>IF(W101&lt;&gt;"OK","",IF(COUNTIFS($D$5:$D$404,D101,$W$5:$W$404,"OK")&gt;1,"同名あり",""))</f>
        <v/>
      </c>
      <c r="AQ101" s="35">
        <f>IF(L101="","",IF(ISNUMBER(L101),L101,IFERROR(DATEVALUE(SUBSTITUTE(SUBSTITUTE(ASC(L101&amp;""),"-","/"),".","/")&amp;"/01"),"")))</f>
        <v/>
      </c>
      <c r="AR101" s="35">
        <f>IF(M101="","",IF(ISNUMBER(M101),M101,IFERROR(DATEVALUE(SUBSTITUTE(SUBSTITUTE(ASC(M101&amp;""),"-","/"),".","/")&amp;"/01"),"")))</f>
        <v/>
      </c>
      <c r="AS101" s="34">
        <f>IF(OR(W101&lt;&gt;"OK",AQ101=""),"",IF(AQ101&gt;='01_設定'!$C$26,1,0))</f>
        <v/>
      </c>
      <c r="AT101" s="34">
        <f>IF(AND(W101="OK",Y101&lt;&gt;"除外"),COUNTIFS($W$5:W101,"OK",$Y$5:Y101,"&lt;&gt;除外"),"")</f>
        <v/>
      </c>
      <c r="AU101" s="34">
        <f>IF(OR(AT101="",AD101=""),"",AD101+ROW()/1000000000)</f>
        <v/>
      </c>
    </row>
    <row r="102">
      <c r="W102">
        <f>IF(AND(A102="",D102=""),"",IF(ISNUMBER(SEARCH("##END",AH102)),"（終わりの印）",IF(ISNUMBER(SEARCH("##続き",AH102)),"（続きありの印）",IF(AH102="調査ID","（見出し行）",IF(AND(AH102&lt;&gt;"R1",AH102&lt;&gt;"R2"),"×表以外の行（集計されない）",IF(COUNTIF($AI$5:AI102,AI102)&gt;1,"△重複（集計されない）",IF(D102="","△タスク名なし",IF(ISNA(MATCH(AK102,'M1_類型マスタ'!$A$5:$A$19,0)),"△類型が不正",IF(OR(AM102="",AN102=""),"△回数・分が読めない",IF(SUMPRODUCT(--ISNUMBER(--O102:U102))&lt;7,"△採点が足りない",IF(SUMPRODUCT((--O102:U102&gt;2)+(--O102:U102&lt;0))&gt;0,"△採点が範囲外","OK")))))))))))</f>
        <v/>
      </c>
      <c r="X102">
        <f>IF(W102&lt;&gt;"OK","",TRIM(IF(AND(AO102&lt;&gt;"",N(AO102)&lt;=1),"根拠1件 ","")&amp;IF(AP102&lt;&gt;"","同名あり ","")&amp;IF(AND(NOT(ISNUMBER(I102)),I102&lt;&gt;""),"回数を換算 ","")))</f>
        <v/>
      </c>
      <c r="Y102" s="31" t="n"/>
      <c r="Z102" s="32" t="n"/>
      <c r="AA102" s="32" t="n"/>
      <c r="AB102" s="31" t="n"/>
      <c r="AC102">
        <f>IF(W102&lt;&gt;"OK","",IF(AB102&lt;&gt;"",AB102,AE102))</f>
        <v/>
      </c>
      <c r="AD102" s="33">
        <f>IF(W102&lt;&gt;"OK","",IFERROR(IF(Z102&lt;&gt;"",Z102,AM102)*IF(AA102&lt;&gt;"",AA102,AN102)/60,""))</f>
        <v/>
      </c>
      <c r="AE102">
        <f>IF(W102&lt;&gt;"OK","",IF(OR(VALUE(O102)=2,VALUE(P102)=2,VALUE(Q102)=2),"社内残置",IF(AND(VALUE(O102)=0,VALUE(R102)=0,VALUE(T102)=0),"自動化候補",IF(AND(VALUE(P102)=0,VALUE(R102)&lt;=1,VALUE(S102)&lt;=1,VALUE(T102)&lt;=1,VALUE(U102)&lt;=1),"オフショア候補",IF(AND(VALUE(T102)&lt;=1,VALUE(U102)&lt;=1),"ニアショア候補","社内で手順化→再評価")))))</f>
        <v/>
      </c>
      <c r="AF102">
        <f>IF(W102&lt;&gt;"OK","",14-SUMPRODUCT(--O102:U102))</f>
        <v/>
      </c>
      <c r="AG102" s="33">
        <f>IF(W102&lt;&gt;"OK","",AM102*AN102/60)</f>
        <v/>
      </c>
      <c r="AH102" s="34">
        <f>IF(A102="","",UPPER(TRIM(ASC(A102&amp;""))))</f>
        <v/>
      </c>
      <c r="AI102" s="34">
        <f>IF(AH102="","",AH102&amp;"-"&amp;B102)</f>
        <v/>
      </c>
      <c r="AJ102" s="34">
        <f>IF(C102="","",IFERROR(VALUE(ASC(SUBSTITUTE(C102&amp;"","観点",""))),""))</f>
        <v/>
      </c>
      <c r="AK102" s="34">
        <f>IF(E102="","",UPPER(LEFT(TRIM(ASC(E102&amp;"")),3)))</f>
        <v/>
      </c>
      <c r="AL102" s="34">
        <f>IF(I102="","",IFERROR(VALUE(SUBSTITUTE(SUBSTITUTE(SUBSTITUTE(SUBSTITUTE(SUBSTITUTE(SUBSTITUTE(SUBSTITUTE(SUBSTITUTE(SUBSTITUTE(SUBSTITUTE(SUBSTITUTE(SUBSTITUTE(ASC(I102&amp;""),"約",""),"程度",""),"ほど",""),"回",""),"毎",""),"週",""),"月",""),"年",""),"日",""),"に",""),"/","")," ","")),""))</f>
        <v/>
      </c>
      <c r="AM102" s="34">
        <f>IF(I102="","",IF(ISNUMBER(I102),I102,IFERROR(VALUE(ASC(I102&amp;"")),IF(AL102&lt;&gt;"",AL102*IF(ISNUMBER(SEARCH("週",I102)),4.3,IF(ISNUMBER(SEARCH("年",I102)),1/12,IF(ISNUMBER(SEARCH("日",I102)),20,1))),IF(ISNUMBER(SEARCH("日",I102)),20,IF(ISNUMBER(SEARCH("週",I102)),4.3,IF(ISNUMBER(SEARCH("月",I102)),1,"")))))))</f>
        <v/>
      </c>
      <c r="AN102" s="34">
        <f>IF(J102="","",IF(ISNUMBER(J102),J102,IFERROR(VALUE(ASC(J102&amp;"")),IF(ISNUMBER(SEARCH("時間",J102)),IFERROR(VALUE(SUBSTITUTE(SUBSTITUTE(SUBSTITUTE(SUBSTITUTE(SUBSTITUTE(ASC(J102&amp;""),"約",""),"程度",""),"ほど",""),"時間","")," ",""))*60,""),IFERROR(VALUE(SUBSTITUTE(SUBSTITUTE(SUBSTITUTE(SUBSTITUTE(SUBSTITUTE(ASC(J102&amp;""),"約",""),"程度",""),"ほど",""),"分","")," ","")),"")))))</f>
        <v/>
      </c>
      <c r="AO102" s="34">
        <f>IF(K102="","",IF(ISNUMBER(K102),K102,IFERROR(VALUE(SUBSTITUTE(SUBSTITUTE(SUBSTITUTE(ASC(K102&amp;""),"約",""),"件","")," ","")),"")))</f>
        <v/>
      </c>
      <c r="AP102" s="34">
        <f>IF(W102&lt;&gt;"OK","",IF(COUNTIFS($D$5:$D$404,D102,$W$5:$W$404,"OK")&gt;1,"同名あり",""))</f>
        <v/>
      </c>
      <c r="AQ102" s="35">
        <f>IF(L102="","",IF(ISNUMBER(L102),L102,IFERROR(DATEVALUE(SUBSTITUTE(SUBSTITUTE(ASC(L102&amp;""),"-","/"),".","/")&amp;"/01"),"")))</f>
        <v/>
      </c>
      <c r="AR102" s="35">
        <f>IF(M102="","",IF(ISNUMBER(M102),M102,IFERROR(DATEVALUE(SUBSTITUTE(SUBSTITUTE(ASC(M102&amp;""),"-","/"),".","/")&amp;"/01"),"")))</f>
        <v/>
      </c>
      <c r="AS102" s="34">
        <f>IF(OR(W102&lt;&gt;"OK",AQ102=""),"",IF(AQ102&gt;='01_設定'!$C$26,1,0))</f>
        <v/>
      </c>
      <c r="AT102" s="34">
        <f>IF(AND(W102="OK",Y102&lt;&gt;"除外"),COUNTIFS($W$5:W102,"OK",$Y$5:Y102,"&lt;&gt;除外"),"")</f>
        <v/>
      </c>
      <c r="AU102" s="34">
        <f>IF(OR(AT102="",AD102=""),"",AD102+ROW()/1000000000)</f>
        <v/>
      </c>
    </row>
    <row r="103">
      <c r="W103">
        <f>IF(AND(A103="",D103=""),"",IF(ISNUMBER(SEARCH("##END",AH103)),"（終わりの印）",IF(ISNUMBER(SEARCH("##続き",AH103)),"（続きありの印）",IF(AH103="調査ID","（見出し行）",IF(AND(AH103&lt;&gt;"R1",AH103&lt;&gt;"R2"),"×表以外の行（集計されない）",IF(COUNTIF($AI$5:AI103,AI103)&gt;1,"△重複（集計されない）",IF(D103="","△タスク名なし",IF(ISNA(MATCH(AK103,'M1_類型マスタ'!$A$5:$A$19,0)),"△類型が不正",IF(OR(AM103="",AN103=""),"△回数・分が読めない",IF(SUMPRODUCT(--ISNUMBER(--O103:U103))&lt;7,"△採点が足りない",IF(SUMPRODUCT((--O103:U103&gt;2)+(--O103:U103&lt;0))&gt;0,"△採点が範囲外","OK")))))))))))</f>
        <v/>
      </c>
      <c r="X103">
        <f>IF(W103&lt;&gt;"OK","",TRIM(IF(AND(AO103&lt;&gt;"",N(AO103)&lt;=1),"根拠1件 ","")&amp;IF(AP103&lt;&gt;"","同名あり ","")&amp;IF(AND(NOT(ISNUMBER(I103)),I103&lt;&gt;""),"回数を換算 ","")))</f>
        <v/>
      </c>
      <c r="Y103" s="31" t="n"/>
      <c r="Z103" s="32" t="n"/>
      <c r="AA103" s="32" t="n"/>
      <c r="AB103" s="31" t="n"/>
      <c r="AC103">
        <f>IF(W103&lt;&gt;"OK","",IF(AB103&lt;&gt;"",AB103,AE103))</f>
        <v/>
      </c>
      <c r="AD103" s="33">
        <f>IF(W103&lt;&gt;"OK","",IFERROR(IF(Z103&lt;&gt;"",Z103,AM103)*IF(AA103&lt;&gt;"",AA103,AN103)/60,""))</f>
        <v/>
      </c>
      <c r="AE103">
        <f>IF(W103&lt;&gt;"OK","",IF(OR(VALUE(O103)=2,VALUE(P103)=2,VALUE(Q103)=2),"社内残置",IF(AND(VALUE(O103)=0,VALUE(R103)=0,VALUE(T103)=0),"自動化候補",IF(AND(VALUE(P103)=0,VALUE(R103)&lt;=1,VALUE(S103)&lt;=1,VALUE(T103)&lt;=1,VALUE(U103)&lt;=1),"オフショア候補",IF(AND(VALUE(T103)&lt;=1,VALUE(U103)&lt;=1),"ニアショア候補","社内で手順化→再評価")))))</f>
        <v/>
      </c>
      <c r="AF103">
        <f>IF(W103&lt;&gt;"OK","",14-SUMPRODUCT(--O103:U103))</f>
        <v/>
      </c>
      <c r="AG103" s="33">
        <f>IF(W103&lt;&gt;"OK","",AM103*AN103/60)</f>
        <v/>
      </c>
      <c r="AH103" s="34">
        <f>IF(A103="","",UPPER(TRIM(ASC(A103&amp;""))))</f>
        <v/>
      </c>
      <c r="AI103" s="34">
        <f>IF(AH103="","",AH103&amp;"-"&amp;B103)</f>
        <v/>
      </c>
      <c r="AJ103" s="34">
        <f>IF(C103="","",IFERROR(VALUE(ASC(SUBSTITUTE(C103&amp;"","観点",""))),""))</f>
        <v/>
      </c>
      <c r="AK103" s="34">
        <f>IF(E103="","",UPPER(LEFT(TRIM(ASC(E103&amp;"")),3)))</f>
        <v/>
      </c>
      <c r="AL103" s="34">
        <f>IF(I103="","",IFERROR(VALUE(SUBSTITUTE(SUBSTITUTE(SUBSTITUTE(SUBSTITUTE(SUBSTITUTE(SUBSTITUTE(SUBSTITUTE(SUBSTITUTE(SUBSTITUTE(SUBSTITUTE(SUBSTITUTE(SUBSTITUTE(ASC(I103&amp;""),"約",""),"程度",""),"ほど",""),"回",""),"毎",""),"週",""),"月",""),"年",""),"日",""),"に",""),"/","")," ","")),""))</f>
        <v/>
      </c>
      <c r="AM103" s="34">
        <f>IF(I103="","",IF(ISNUMBER(I103),I103,IFERROR(VALUE(ASC(I103&amp;"")),IF(AL103&lt;&gt;"",AL103*IF(ISNUMBER(SEARCH("週",I103)),4.3,IF(ISNUMBER(SEARCH("年",I103)),1/12,IF(ISNUMBER(SEARCH("日",I103)),20,1))),IF(ISNUMBER(SEARCH("日",I103)),20,IF(ISNUMBER(SEARCH("週",I103)),4.3,IF(ISNUMBER(SEARCH("月",I103)),1,"")))))))</f>
        <v/>
      </c>
      <c r="AN103" s="34">
        <f>IF(J103="","",IF(ISNUMBER(J103),J103,IFERROR(VALUE(ASC(J103&amp;"")),IF(ISNUMBER(SEARCH("時間",J103)),IFERROR(VALUE(SUBSTITUTE(SUBSTITUTE(SUBSTITUTE(SUBSTITUTE(SUBSTITUTE(ASC(J103&amp;""),"約",""),"程度",""),"ほど",""),"時間","")," ",""))*60,""),IFERROR(VALUE(SUBSTITUTE(SUBSTITUTE(SUBSTITUTE(SUBSTITUTE(SUBSTITUTE(ASC(J103&amp;""),"約",""),"程度",""),"ほど",""),"分","")," ","")),"")))))</f>
        <v/>
      </c>
      <c r="AO103" s="34">
        <f>IF(K103="","",IF(ISNUMBER(K103),K103,IFERROR(VALUE(SUBSTITUTE(SUBSTITUTE(SUBSTITUTE(ASC(K103&amp;""),"約",""),"件","")," ","")),"")))</f>
        <v/>
      </c>
      <c r="AP103" s="34">
        <f>IF(W103&lt;&gt;"OK","",IF(COUNTIFS($D$5:$D$404,D103,$W$5:$W$404,"OK")&gt;1,"同名あり",""))</f>
        <v/>
      </c>
      <c r="AQ103" s="35">
        <f>IF(L103="","",IF(ISNUMBER(L103),L103,IFERROR(DATEVALUE(SUBSTITUTE(SUBSTITUTE(ASC(L103&amp;""),"-","/"),".","/")&amp;"/01"),"")))</f>
        <v/>
      </c>
      <c r="AR103" s="35">
        <f>IF(M103="","",IF(ISNUMBER(M103),M103,IFERROR(DATEVALUE(SUBSTITUTE(SUBSTITUTE(ASC(M103&amp;""),"-","/"),".","/")&amp;"/01"),"")))</f>
        <v/>
      </c>
      <c r="AS103" s="34">
        <f>IF(OR(W103&lt;&gt;"OK",AQ103=""),"",IF(AQ103&gt;='01_設定'!$C$26,1,0))</f>
        <v/>
      </c>
      <c r="AT103" s="34">
        <f>IF(AND(W103="OK",Y103&lt;&gt;"除外"),COUNTIFS($W$5:W103,"OK",$Y$5:Y103,"&lt;&gt;除外"),"")</f>
        <v/>
      </c>
      <c r="AU103" s="34">
        <f>IF(OR(AT103="",AD103=""),"",AD103+ROW()/1000000000)</f>
        <v/>
      </c>
    </row>
    <row r="104">
      <c r="W104">
        <f>IF(AND(A104="",D104=""),"",IF(ISNUMBER(SEARCH("##END",AH104)),"（終わりの印）",IF(ISNUMBER(SEARCH("##続き",AH104)),"（続きありの印）",IF(AH104="調査ID","（見出し行）",IF(AND(AH104&lt;&gt;"R1",AH104&lt;&gt;"R2"),"×表以外の行（集計されない）",IF(COUNTIF($AI$5:AI104,AI104)&gt;1,"△重複（集計されない）",IF(D104="","△タスク名なし",IF(ISNA(MATCH(AK104,'M1_類型マスタ'!$A$5:$A$19,0)),"△類型が不正",IF(OR(AM104="",AN104=""),"△回数・分が読めない",IF(SUMPRODUCT(--ISNUMBER(--O104:U104))&lt;7,"△採点が足りない",IF(SUMPRODUCT((--O104:U104&gt;2)+(--O104:U104&lt;0))&gt;0,"△採点が範囲外","OK")))))))))))</f>
        <v/>
      </c>
      <c r="X104">
        <f>IF(W104&lt;&gt;"OK","",TRIM(IF(AND(AO104&lt;&gt;"",N(AO104)&lt;=1),"根拠1件 ","")&amp;IF(AP104&lt;&gt;"","同名あり ","")&amp;IF(AND(NOT(ISNUMBER(I104)),I104&lt;&gt;""),"回数を換算 ","")))</f>
        <v/>
      </c>
      <c r="Y104" s="31" t="n"/>
      <c r="Z104" s="32" t="n"/>
      <c r="AA104" s="32" t="n"/>
      <c r="AB104" s="31" t="n"/>
      <c r="AC104">
        <f>IF(W104&lt;&gt;"OK","",IF(AB104&lt;&gt;"",AB104,AE104))</f>
        <v/>
      </c>
      <c r="AD104" s="33">
        <f>IF(W104&lt;&gt;"OK","",IFERROR(IF(Z104&lt;&gt;"",Z104,AM104)*IF(AA104&lt;&gt;"",AA104,AN104)/60,""))</f>
        <v/>
      </c>
      <c r="AE104">
        <f>IF(W104&lt;&gt;"OK","",IF(OR(VALUE(O104)=2,VALUE(P104)=2,VALUE(Q104)=2),"社内残置",IF(AND(VALUE(O104)=0,VALUE(R104)=0,VALUE(T104)=0),"自動化候補",IF(AND(VALUE(P104)=0,VALUE(R104)&lt;=1,VALUE(S104)&lt;=1,VALUE(T104)&lt;=1,VALUE(U104)&lt;=1),"オフショア候補",IF(AND(VALUE(T104)&lt;=1,VALUE(U104)&lt;=1),"ニアショア候補","社内で手順化→再評価")))))</f>
        <v/>
      </c>
      <c r="AF104">
        <f>IF(W104&lt;&gt;"OK","",14-SUMPRODUCT(--O104:U104))</f>
        <v/>
      </c>
      <c r="AG104" s="33">
        <f>IF(W104&lt;&gt;"OK","",AM104*AN104/60)</f>
        <v/>
      </c>
      <c r="AH104" s="34">
        <f>IF(A104="","",UPPER(TRIM(ASC(A104&amp;""))))</f>
        <v/>
      </c>
      <c r="AI104" s="34">
        <f>IF(AH104="","",AH104&amp;"-"&amp;B104)</f>
        <v/>
      </c>
      <c r="AJ104" s="34">
        <f>IF(C104="","",IFERROR(VALUE(ASC(SUBSTITUTE(C104&amp;"","観点",""))),""))</f>
        <v/>
      </c>
      <c r="AK104" s="34">
        <f>IF(E104="","",UPPER(LEFT(TRIM(ASC(E104&amp;"")),3)))</f>
        <v/>
      </c>
      <c r="AL104" s="34">
        <f>IF(I104="","",IFERROR(VALUE(SUBSTITUTE(SUBSTITUTE(SUBSTITUTE(SUBSTITUTE(SUBSTITUTE(SUBSTITUTE(SUBSTITUTE(SUBSTITUTE(SUBSTITUTE(SUBSTITUTE(SUBSTITUTE(SUBSTITUTE(ASC(I104&amp;""),"約",""),"程度",""),"ほど",""),"回",""),"毎",""),"週",""),"月",""),"年",""),"日",""),"に",""),"/","")," ","")),""))</f>
        <v/>
      </c>
      <c r="AM104" s="34">
        <f>IF(I104="","",IF(ISNUMBER(I104),I104,IFERROR(VALUE(ASC(I104&amp;"")),IF(AL104&lt;&gt;"",AL104*IF(ISNUMBER(SEARCH("週",I104)),4.3,IF(ISNUMBER(SEARCH("年",I104)),1/12,IF(ISNUMBER(SEARCH("日",I104)),20,1))),IF(ISNUMBER(SEARCH("日",I104)),20,IF(ISNUMBER(SEARCH("週",I104)),4.3,IF(ISNUMBER(SEARCH("月",I104)),1,"")))))))</f>
        <v/>
      </c>
      <c r="AN104" s="34">
        <f>IF(J104="","",IF(ISNUMBER(J104),J104,IFERROR(VALUE(ASC(J104&amp;"")),IF(ISNUMBER(SEARCH("時間",J104)),IFERROR(VALUE(SUBSTITUTE(SUBSTITUTE(SUBSTITUTE(SUBSTITUTE(SUBSTITUTE(ASC(J104&amp;""),"約",""),"程度",""),"ほど",""),"時間","")," ",""))*60,""),IFERROR(VALUE(SUBSTITUTE(SUBSTITUTE(SUBSTITUTE(SUBSTITUTE(SUBSTITUTE(ASC(J104&amp;""),"約",""),"程度",""),"ほど",""),"分","")," ","")),"")))))</f>
        <v/>
      </c>
      <c r="AO104" s="34">
        <f>IF(K104="","",IF(ISNUMBER(K104),K104,IFERROR(VALUE(SUBSTITUTE(SUBSTITUTE(SUBSTITUTE(ASC(K104&amp;""),"約",""),"件","")," ","")),"")))</f>
        <v/>
      </c>
      <c r="AP104" s="34">
        <f>IF(W104&lt;&gt;"OK","",IF(COUNTIFS($D$5:$D$404,D104,$W$5:$W$404,"OK")&gt;1,"同名あり",""))</f>
        <v/>
      </c>
      <c r="AQ104" s="35">
        <f>IF(L104="","",IF(ISNUMBER(L104),L104,IFERROR(DATEVALUE(SUBSTITUTE(SUBSTITUTE(ASC(L104&amp;""),"-","/"),".","/")&amp;"/01"),"")))</f>
        <v/>
      </c>
      <c r="AR104" s="35">
        <f>IF(M104="","",IF(ISNUMBER(M104),M104,IFERROR(DATEVALUE(SUBSTITUTE(SUBSTITUTE(ASC(M104&amp;""),"-","/"),".","/")&amp;"/01"),"")))</f>
        <v/>
      </c>
      <c r="AS104" s="34">
        <f>IF(OR(W104&lt;&gt;"OK",AQ104=""),"",IF(AQ104&gt;='01_設定'!$C$26,1,0))</f>
        <v/>
      </c>
      <c r="AT104" s="34">
        <f>IF(AND(W104="OK",Y104&lt;&gt;"除外"),COUNTIFS($W$5:W104,"OK",$Y$5:Y104,"&lt;&gt;除外"),"")</f>
        <v/>
      </c>
      <c r="AU104" s="34">
        <f>IF(OR(AT104="",AD104=""),"",AD104+ROW()/1000000000)</f>
        <v/>
      </c>
    </row>
    <row r="105">
      <c r="W105">
        <f>IF(AND(A105="",D105=""),"",IF(ISNUMBER(SEARCH("##END",AH105)),"（終わりの印）",IF(ISNUMBER(SEARCH("##続き",AH105)),"（続きありの印）",IF(AH105="調査ID","（見出し行）",IF(AND(AH105&lt;&gt;"R1",AH105&lt;&gt;"R2"),"×表以外の行（集計されない）",IF(COUNTIF($AI$5:AI105,AI105)&gt;1,"△重複（集計されない）",IF(D105="","△タスク名なし",IF(ISNA(MATCH(AK105,'M1_類型マスタ'!$A$5:$A$19,0)),"△類型が不正",IF(OR(AM105="",AN105=""),"△回数・分が読めない",IF(SUMPRODUCT(--ISNUMBER(--O105:U105))&lt;7,"△採点が足りない",IF(SUMPRODUCT((--O105:U105&gt;2)+(--O105:U105&lt;0))&gt;0,"△採点が範囲外","OK")))))))))))</f>
        <v/>
      </c>
      <c r="X105">
        <f>IF(W105&lt;&gt;"OK","",TRIM(IF(AND(AO105&lt;&gt;"",N(AO105)&lt;=1),"根拠1件 ","")&amp;IF(AP105&lt;&gt;"","同名あり ","")&amp;IF(AND(NOT(ISNUMBER(I105)),I105&lt;&gt;""),"回数を換算 ","")))</f>
        <v/>
      </c>
      <c r="Y105" s="31" t="n"/>
      <c r="Z105" s="32" t="n"/>
      <c r="AA105" s="32" t="n"/>
      <c r="AB105" s="31" t="n"/>
      <c r="AC105">
        <f>IF(W105&lt;&gt;"OK","",IF(AB105&lt;&gt;"",AB105,AE105))</f>
        <v/>
      </c>
      <c r="AD105" s="33">
        <f>IF(W105&lt;&gt;"OK","",IFERROR(IF(Z105&lt;&gt;"",Z105,AM105)*IF(AA105&lt;&gt;"",AA105,AN105)/60,""))</f>
        <v/>
      </c>
      <c r="AE105">
        <f>IF(W105&lt;&gt;"OK","",IF(OR(VALUE(O105)=2,VALUE(P105)=2,VALUE(Q105)=2),"社内残置",IF(AND(VALUE(O105)=0,VALUE(R105)=0,VALUE(T105)=0),"自動化候補",IF(AND(VALUE(P105)=0,VALUE(R105)&lt;=1,VALUE(S105)&lt;=1,VALUE(T105)&lt;=1,VALUE(U105)&lt;=1),"オフショア候補",IF(AND(VALUE(T105)&lt;=1,VALUE(U105)&lt;=1),"ニアショア候補","社内で手順化→再評価")))))</f>
        <v/>
      </c>
      <c r="AF105">
        <f>IF(W105&lt;&gt;"OK","",14-SUMPRODUCT(--O105:U105))</f>
        <v/>
      </c>
      <c r="AG105" s="33">
        <f>IF(W105&lt;&gt;"OK","",AM105*AN105/60)</f>
        <v/>
      </c>
      <c r="AH105" s="34">
        <f>IF(A105="","",UPPER(TRIM(ASC(A105&amp;""))))</f>
        <v/>
      </c>
      <c r="AI105" s="34">
        <f>IF(AH105="","",AH105&amp;"-"&amp;B105)</f>
        <v/>
      </c>
      <c r="AJ105" s="34">
        <f>IF(C105="","",IFERROR(VALUE(ASC(SUBSTITUTE(C105&amp;"","観点",""))),""))</f>
        <v/>
      </c>
      <c r="AK105" s="34">
        <f>IF(E105="","",UPPER(LEFT(TRIM(ASC(E105&amp;"")),3)))</f>
        <v/>
      </c>
      <c r="AL105" s="34">
        <f>IF(I105="","",IFERROR(VALUE(SUBSTITUTE(SUBSTITUTE(SUBSTITUTE(SUBSTITUTE(SUBSTITUTE(SUBSTITUTE(SUBSTITUTE(SUBSTITUTE(SUBSTITUTE(SUBSTITUTE(SUBSTITUTE(SUBSTITUTE(ASC(I105&amp;""),"約",""),"程度",""),"ほど",""),"回",""),"毎",""),"週",""),"月",""),"年",""),"日",""),"に",""),"/","")," ","")),""))</f>
        <v/>
      </c>
      <c r="AM105" s="34">
        <f>IF(I105="","",IF(ISNUMBER(I105),I105,IFERROR(VALUE(ASC(I105&amp;"")),IF(AL105&lt;&gt;"",AL105*IF(ISNUMBER(SEARCH("週",I105)),4.3,IF(ISNUMBER(SEARCH("年",I105)),1/12,IF(ISNUMBER(SEARCH("日",I105)),20,1))),IF(ISNUMBER(SEARCH("日",I105)),20,IF(ISNUMBER(SEARCH("週",I105)),4.3,IF(ISNUMBER(SEARCH("月",I105)),1,"")))))))</f>
        <v/>
      </c>
      <c r="AN105" s="34">
        <f>IF(J105="","",IF(ISNUMBER(J105),J105,IFERROR(VALUE(ASC(J105&amp;"")),IF(ISNUMBER(SEARCH("時間",J105)),IFERROR(VALUE(SUBSTITUTE(SUBSTITUTE(SUBSTITUTE(SUBSTITUTE(SUBSTITUTE(ASC(J105&amp;""),"約",""),"程度",""),"ほど",""),"時間","")," ",""))*60,""),IFERROR(VALUE(SUBSTITUTE(SUBSTITUTE(SUBSTITUTE(SUBSTITUTE(SUBSTITUTE(ASC(J105&amp;""),"約",""),"程度",""),"ほど",""),"分","")," ","")),"")))))</f>
        <v/>
      </c>
      <c r="AO105" s="34">
        <f>IF(K105="","",IF(ISNUMBER(K105),K105,IFERROR(VALUE(SUBSTITUTE(SUBSTITUTE(SUBSTITUTE(ASC(K105&amp;""),"約",""),"件","")," ","")),"")))</f>
        <v/>
      </c>
      <c r="AP105" s="34">
        <f>IF(W105&lt;&gt;"OK","",IF(COUNTIFS($D$5:$D$404,D105,$W$5:$W$404,"OK")&gt;1,"同名あり",""))</f>
        <v/>
      </c>
      <c r="AQ105" s="35">
        <f>IF(L105="","",IF(ISNUMBER(L105),L105,IFERROR(DATEVALUE(SUBSTITUTE(SUBSTITUTE(ASC(L105&amp;""),"-","/"),".","/")&amp;"/01"),"")))</f>
        <v/>
      </c>
      <c r="AR105" s="35">
        <f>IF(M105="","",IF(ISNUMBER(M105),M105,IFERROR(DATEVALUE(SUBSTITUTE(SUBSTITUTE(ASC(M105&amp;""),"-","/"),".","/")&amp;"/01"),"")))</f>
        <v/>
      </c>
      <c r="AS105" s="34">
        <f>IF(OR(W105&lt;&gt;"OK",AQ105=""),"",IF(AQ105&gt;='01_設定'!$C$26,1,0))</f>
        <v/>
      </c>
      <c r="AT105" s="34">
        <f>IF(AND(W105="OK",Y105&lt;&gt;"除外"),COUNTIFS($W$5:W105,"OK",$Y$5:Y105,"&lt;&gt;除外"),"")</f>
        <v/>
      </c>
      <c r="AU105" s="34">
        <f>IF(OR(AT105="",AD105=""),"",AD105+ROW()/1000000000)</f>
        <v/>
      </c>
    </row>
    <row r="106">
      <c r="W106">
        <f>IF(AND(A106="",D106=""),"",IF(ISNUMBER(SEARCH("##END",AH106)),"（終わりの印）",IF(ISNUMBER(SEARCH("##続き",AH106)),"（続きありの印）",IF(AH106="調査ID","（見出し行）",IF(AND(AH106&lt;&gt;"R1",AH106&lt;&gt;"R2"),"×表以外の行（集計されない）",IF(COUNTIF($AI$5:AI106,AI106)&gt;1,"△重複（集計されない）",IF(D106="","△タスク名なし",IF(ISNA(MATCH(AK106,'M1_類型マスタ'!$A$5:$A$19,0)),"△類型が不正",IF(OR(AM106="",AN106=""),"△回数・分が読めない",IF(SUMPRODUCT(--ISNUMBER(--O106:U106))&lt;7,"△採点が足りない",IF(SUMPRODUCT((--O106:U106&gt;2)+(--O106:U106&lt;0))&gt;0,"△採点が範囲外","OK")))))))))))</f>
        <v/>
      </c>
      <c r="X106">
        <f>IF(W106&lt;&gt;"OK","",TRIM(IF(AND(AO106&lt;&gt;"",N(AO106)&lt;=1),"根拠1件 ","")&amp;IF(AP106&lt;&gt;"","同名あり ","")&amp;IF(AND(NOT(ISNUMBER(I106)),I106&lt;&gt;""),"回数を換算 ","")))</f>
        <v/>
      </c>
      <c r="Y106" s="31" t="n"/>
      <c r="Z106" s="32" t="n"/>
      <c r="AA106" s="32" t="n"/>
      <c r="AB106" s="31" t="n"/>
      <c r="AC106">
        <f>IF(W106&lt;&gt;"OK","",IF(AB106&lt;&gt;"",AB106,AE106))</f>
        <v/>
      </c>
      <c r="AD106" s="33">
        <f>IF(W106&lt;&gt;"OK","",IFERROR(IF(Z106&lt;&gt;"",Z106,AM106)*IF(AA106&lt;&gt;"",AA106,AN106)/60,""))</f>
        <v/>
      </c>
      <c r="AE106">
        <f>IF(W106&lt;&gt;"OK","",IF(OR(VALUE(O106)=2,VALUE(P106)=2,VALUE(Q106)=2),"社内残置",IF(AND(VALUE(O106)=0,VALUE(R106)=0,VALUE(T106)=0),"自動化候補",IF(AND(VALUE(P106)=0,VALUE(R106)&lt;=1,VALUE(S106)&lt;=1,VALUE(T106)&lt;=1,VALUE(U106)&lt;=1),"オフショア候補",IF(AND(VALUE(T106)&lt;=1,VALUE(U106)&lt;=1),"ニアショア候補","社内で手順化→再評価")))))</f>
        <v/>
      </c>
      <c r="AF106">
        <f>IF(W106&lt;&gt;"OK","",14-SUMPRODUCT(--O106:U106))</f>
        <v/>
      </c>
      <c r="AG106" s="33">
        <f>IF(W106&lt;&gt;"OK","",AM106*AN106/60)</f>
        <v/>
      </c>
      <c r="AH106" s="34">
        <f>IF(A106="","",UPPER(TRIM(ASC(A106&amp;""))))</f>
        <v/>
      </c>
      <c r="AI106" s="34">
        <f>IF(AH106="","",AH106&amp;"-"&amp;B106)</f>
        <v/>
      </c>
      <c r="AJ106" s="34">
        <f>IF(C106="","",IFERROR(VALUE(ASC(SUBSTITUTE(C106&amp;"","観点",""))),""))</f>
        <v/>
      </c>
      <c r="AK106" s="34">
        <f>IF(E106="","",UPPER(LEFT(TRIM(ASC(E106&amp;"")),3)))</f>
        <v/>
      </c>
      <c r="AL106" s="34">
        <f>IF(I106="","",IFERROR(VALUE(SUBSTITUTE(SUBSTITUTE(SUBSTITUTE(SUBSTITUTE(SUBSTITUTE(SUBSTITUTE(SUBSTITUTE(SUBSTITUTE(SUBSTITUTE(SUBSTITUTE(SUBSTITUTE(SUBSTITUTE(ASC(I106&amp;""),"約",""),"程度",""),"ほど",""),"回",""),"毎",""),"週",""),"月",""),"年",""),"日",""),"に",""),"/","")," ","")),""))</f>
        <v/>
      </c>
      <c r="AM106" s="34">
        <f>IF(I106="","",IF(ISNUMBER(I106),I106,IFERROR(VALUE(ASC(I106&amp;"")),IF(AL106&lt;&gt;"",AL106*IF(ISNUMBER(SEARCH("週",I106)),4.3,IF(ISNUMBER(SEARCH("年",I106)),1/12,IF(ISNUMBER(SEARCH("日",I106)),20,1))),IF(ISNUMBER(SEARCH("日",I106)),20,IF(ISNUMBER(SEARCH("週",I106)),4.3,IF(ISNUMBER(SEARCH("月",I106)),1,"")))))))</f>
        <v/>
      </c>
      <c r="AN106" s="34">
        <f>IF(J106="","",IF(ISNUMBER(J106),J106,IFERROR(VALUE(ASC(J106&amp;"")),IF(ISNUMBER(SEARCH("時間",J106)),IFERROR(VALUE(SUBSTITUTE(SUBSTITUTE(SUBSTITUTE(SUBSTITUTE(SUBSTITUTE(ASC(J106&amp;""),"約",""),"程度",""),"ほど",""),"時間","")," ",""))*60,""),IFERROR(VALUE(SUBSTITUTE(SUBSTITUTE(SUBSTITUTE(SUBSTITUTE(SUBSTITUTE(ASC(J106&amp;""),"約",""),"程度",""),"ほど",""),"分","")," ","")),"")))))</f>
        <v/>
      </c>
      <c r="AO106" s="34">
        <f>IF(K106="","",IF(ISNUMBER(K106),K106,IFERROR(VALUE(SUBSTITUTE(SUBSTITUTE(SUBSTITUTE(ASC(K106&amp;""),"約",""),"件","")," ","")),"")))</f>
        <v/>
      </c>
      <c r="AP106" s="34">
        <f>IF(W106&lt;&gt;"OK","",IF(COUNTIFS($D$5:$D$404,D106,$W$5:$W$404,"OK")&gt;1,"同名あり",""))</f>
        <v/>
      </c>
      <c r="AQ106" s="35">
        <f>IF(L106="","",IF(ISNUMBER(L106),L106,IFERROR(DATEVALUE(SUBSTITUTE(SUBSTITUTE(ASC(L106&amp;""),"-","/"),".","/")&amp;"/01"),"")))</f>
        <v/>
      </c>
      <c r="AR106" s="35">
        <f>IF(M106="","",IF(ISNUMBER(M106),M106,IFERROR(DATEVALUE(SUBSTITUTE(SUBSTITUTE(ASC(M106&amp;""),"-","/"),".","/")&amp;"/01"),"")))</f>
        <v/>
      </c>
      <c r="AS106" s="34">
        <f>IF(OR(W106&lt;&gt;"OK",AQ106=""),"",IF(AQ106&gt;='01_設定'!$C$26,1,0))</f>
        <v/>
      </c>
      <c r="AT106" s="34">
        <f>IF(AND(W106="OK",Y106&lt;&gt;"除外"),COUNTIFS($W$5:W106,"OK",$Y$5:Y106,"&lt;&gt;除外"),"")</f>
        <v/>
      </c>
      <c r="AU106" s="34">
        <f>IF(OR(AT106="",AD106=""),"",AD106+ROW()/1000000000)</f>
        <v/>
      </c>
    </row>
    <row r="107">
      <c r="W107">
        <f>IF(AND(A107="",D107=""),"",IF(ISNUMBER(SEARCH("##END",AH107)),"（終わりの印）",IF(ISNUMBER(SEARCH("##続き",AH107)),"（続きありの印）",IF(AH107="調査ID","（見出し行）",IF(AND(AH107&lt;&gt;"R1",AH107&lt;&gt;"R2"),"×表以外の行（集計されない）",IF(COUNTIF($AI$5:AI107,AI107)&gt;1,"△重複（集計されない）",IF(D107="","△タスク名なし",IF(ISNA(MATCH(AK107,'M1_類型マスタ'!$A$5:$A$19,0)),"△類型が不正",IF(OR(AM107="",AN107=""),"△回数・分が読めない",IF(SUMPRODUCT(--ISNUMBER(--O107:U107))&lt;7,"△採点が足りない",IF(SUMPRODUCT((--O107:U107&gt;2)+(--O107:U107&lt;0))&gt;0,"△採点が範囲外","OK")))))))))))</f>
        <v/>
      </c>
      <c r="X107">
        <f>IF(W107&lt;&gt;"OK","",TRIM(IF(AND(AO107&lt;&gt;"",N(AO107)&lt;=1),"根拠1件 ","")&amp;IF(AP107&lt;&gt;"","同名あり ","")&amp;IF(AND(NOT(ISNUMBER(I107)),I107&lt;&gt;""),"回数を換算 ","")))</f>
        <v/>
      </c>
      <c r="Y107" s="31" t="n"/>
      <c r="Z107" s="32" t="n"/>
      <c r="AA107" s="32" t="n"/>
      <c r="AB107" s="31" t="n"/>
      <c r="AC107">
        <f>IF(W107&lt;&gt;"OK","",IF(AB107&lt;&gt;"",AB107,AE107))</f>
        <v/>
      </c>
      <c r="AD107" s="33">
        <f>IF(W107&lt;&gt;"OK","",IFERROR(IF(Z107&lt;&gt;"",Z107,AM107)*IF(AA107&lt;&gt;"",AA107,AN107)/60,""))</f>
        <v/>
      </c>
      <c r="AE107">
        <f>IF(W107&lt;&gt;"OK","",IF(OR(VALUE(O107)=2,VALUE(P107)=2,VALUE(Q107)=2),"社内残置",IF(AND(VALUE(O107)=0,VALUE(R107)=0,VALUE(T107)=0),"自動化候補",IF(AND(VALUE(P107)=0,VALUE(R107)&lt;=1,VALUE(S107)&lt;=1,VALUE(T107)&lt;=1,VALUE(U107)&lt;=1),"オフショア候補",IF(AND(VALUE(T107)&lt;=1,VALUE(U107)&lt;=1),"ニアショア候補","社内で手順化→再評価")))))</f>
        <v/>
      </c>
      <c r="AF107">
        <f>IF(W107&lt;&gt;"OK","",14-SUMPRODUCT(--O107:U107))</f>
        <v/>
      </c>
      <c r="AG107" s="33">
        <f>IF(W107&lt;&gt;"OK","",AM107*AN107/60)</f>
        <v/>
      </c>
      <c r="AH107" s="34">
        <f>IF(A107="","",UPPER(TRIM(ASC(A107&amp;""))))</f>
        <v/>
      </c>
      <c r="AI107" s="34">
        <f>IF(AH107="","",AH107&amp;"-"&amp;B107)</f>
        <v/>
      </c>
      <c r="AJ107" s="34">
        <f>IF(C107="","",IFERROR(VALUE(ASC(SUBSTITUTE(C107&amp;"","観点",""))),""))</f>
        <v/>
      </c>
      <c r="AK107" s="34">
        <f>IF(E107="","",UPPER(LEFT(TRIM(ASC(E107&amp;"")),3)))</f>
        <v/>
      </c>
      <c r="AL107" s="34">
        <f>IF(I107="","",IFERROR(VALUE(SUBSTITUTE(SUBSTITUTE(SUBSTITUTE(SUBSTITUTE(SUBSTITUTE(SUBSTITUTE(SUBSTITUTE(SUBSTITUTE(SUBSTITUTE(SUBSTITUTE(SUBSTITUTE(SUBSTITUTE(ASC(I107&amp;""),"約",""),"程度",""),"ほど",""),"回",""),"毎",""),"週",""),"月",""),"年",""),"日",""),"に",""),"/","")," ","")),""))</f>
        <v/>
      </c>
      <c r="AM107" s="34">
        <f>IF(I107="","",IF(ISNUMBER(I107),I107,IFERROR(VALUE(ASC(I107&amp;"")),IF(AL107&lt;&gt;"",AL107*IF(ISNUMBER(SEARCH("週",I107)),4.3,IF(ISNUMBER(SEARCH("年",I107)),1/12,IF(ISNUMBER(SEARCH("日",I107)),20,1))),IF(ISNUMBER(SEARCH("日",I107)),20,IF(ISNUMBER(SEARCH("週",I107)),4.3,IF(ISNUMBER(SEARCH("月",I107)),1,"")))))))</f>
        <v/>
      </c>
      <c r="AN107" s="34">
        <f>IF(J107="","",IF(ISNUMBER(J107),J107,IFERROR(VALUE(ASC(J107&amp;"")),IF(ISNUMBER(SEARCH("時間",J107)),IFERROR(VALUE(SUBSTITUTE(SUBSTITUTE(SUBSTITUTE(SUBSTITUTE(SUBSTITUTE(ASC(J107&amp;""),"約",""),"程度",""),"ほど",""),"時間","")," ",""))*60,""),IFERROR(VALUE(SUBSTITUTE(SUBSTITUTE(SUBSTITUTE(SUBSTITUTE(SUBSTITUTE(ASC(J107&amp;""),"約",""),"程度",""),"ほど",""),"分","")," ","")),"")))))</f>
        <v/>
      </c>
      <c r="AO107" s="34">
        <f>IF(K107="","",IF(ISNUMBER(K107),K107,IFERROR(VALUE(SUBSTITUTE(SUBSTITUTE(SUBSTITUTE(ASC(K107&amp;""),"約",""),"件","")," ","")),"")))</f>
        <v/>
      </c>
      <c r="AP107" s="34">
        <f>IF(W107&lt;&gt;"OK","",IF(COUNTIFS($D$5:$D$404,D107,$W$5:$W$404,"OK")&gt;1,"同名あり",""))</f>
        <v/>
      </c>
      <c r="AQ107" s="35">
        <f>IF(L107="","",IF(ISNUMBER(L107),L107,IFERROR(DATEVALUE(SUBSTITUTE(SUBSTITUTE(ASC(L107&amp;""),"-","/"),".","/")&amp;"/01"),"")))</f>
        <v/>
      </c>
      <c r="AR107" s="35">
        <f>IF(M107="","",IF(ISNUMBER(M107),M107,IFERROR(DATEVALUE(SUBSTITUTE(SUBSTITUTE(ASC(M107&amp;""),"-","/"),".","/")&amp;"/01"),"")))</f>
        <v/>
      </c>
      <c r="AS107" s="34">
        <f>IF(OR(W107&lt;&gt;"OK",AQ107=""),"",IF(AQ107&gt;='01_設定'!$C$26,1,0))</f>
        <v/>
      </c>
      <c r="AT107" s="34">
        <f>IF(AND(W107="OK",Y107&lt;&gt;"除外"),COUNTIFS($W$5:W107,"OK",$Y$5:Y107,"&lt;&gt;除外"),"")</f>
        <v/>
      </c>
      <c r="AU107" s="34">
        <f>IF(OR(AT107="",AD107=""),"",AD107+ROW()/1000000000)</f>
        <v/>
      </c>
    </row>
    <row r="108">
      <c r="W108">
        <f>IF(AND(A108="",D108=""),"",IF(ISNUMBER(SEARCH("##END",AH108)),"（終わりの印）",IF(ISNUMBER(SEARCH("##続き",AH108)),"（続きありの印）",IF(AH108="調査ID","（見出し行）",IF(AND(AH108&lt;&gt;"R1",AH108&lt;&gt;"R2"),"×表以外の行（集計されない）",IF(COUNTIF($AI$5:AI108,AI108)&gt;1,"△重複（集計されない）",IF(D108="","△タスク名なし",IF(ISNA(MATCH(AK108,'M1_類型マスタ'!$A$5:$A$19,0)),"△類型が不正",IF(OR(AM108="",AN108=""),"△回数・分が読めない",IF(SUMPRODUCT(--ISNUMBER(--O108:U108))&lt;7,"△採点が足りない",IF(SUMPRODUCT((--O108:U108&gt;2)+(--O108:U108&lt;0))&gt;0,"△採点が範囲外","OK")))))))))))</f>
        <v/>
      </c>
      <c r="X108">
        <f>IF(W108&lt;&gt;"OK","",TRIM(IF(AND(AO108&lt;&gt;"",N(AO108)&lt;=1),"根拠1件 ","")&amp;IF(AP108&lt;&gt;"","同名あり ","")&amp;IF(AND(NOT(ISNUMBER(I108)),I108&lt;&gt;""),"回数を換算 ","")))</f>
        <v/>
      </c>
      <c r="Y108" s="31" t="n"/>
      <c r="Z108" s="32" t="n"/>
      <c r="AA108" s="32" t="n"/>
      <c r="AB108" s="31" t="n"/>
      <c r="AC108">
        <f>IF(W108&lt;&gt;"OK","",IF(AB108&lt;&gt;"",AB108,AE108))</f>
        <v/>
      </c>
      <c r="AD108" s="33">
        <f>IF(W108&lt;&gt;"OK","",IFERROR(IF(Z108&lt;&gt;"",Z108,AM108)*IF(AA108&lt;&gt;"",AA108,AN108)/60,""))</f>
        <v/>
      </c>
      <c r="AE108">
        <f>IF(W108&lt;&gt;"OK","",IF(OR(VALUE(O108)=2,VALUE(P108)=2,VALUE(Q108)=2),"社内残置",IF(AND(VALUE(O108)=0,VALUE(R108)=0,VALUE(T108)=0),"自動化候補",IF(AND(VALUE(P108)=0,VALUE(R108)&lt;=1,VALUE(S108)&lt;=1,VALUE(T108)&lt;=1,VALUE(U108)&lt;=1),"オフショア候補",IF(AND(VALUE(T108)&lt;=1,VALUE(U108)&lt;=1),"ニアショア候補","社内で手順化→再評価")))))</f>
        <v/>
      </c>
      <c r="AF108">
        <f>IF(W108&lt;&gt;"OK","",14-SUMPRODUCT(--O108:U108))</f>
        <v/>
      </c>
      <c r="AG108" s="33">
        <f>IF(W108&lt;&gt;"OK","",AM108*AN108/60)</f>
        <v/>
      </c>
      <c r="AH108" s="34">
        <f>IF(A108="","",UPPER(TRIM(ASC(A108&amp;""))))</f>
        <v/>
      </c>
      <c r="AI108" s="34">
        <f>IF(AH108="","",AH108&amp;"-"&amp;B108)</f>
        <v/>
      </c>
      <c r="AJ108" s="34">
        <f>IF(C108="","",IFERROR(VALUE(ASC(SUBSTITUTE(C108&amp;"","観点",""))),""))</f>
        <v/>
      </c>
      <c r="AK108" s="34">
        <f>IF(E108="","",UPPER(LEFT(TRIM(ASC(E108&amp;"")),3)))</f>
        <v/>
      </c>
      <c r="AL108" s="34">
        <f>IF(I108="","",IFERROR(VALUE(SUBSTITUTE(SUBSTITUTE(SUBSTITUTE(SUBSTITUTE(SUBSTITUTE(SUBSTITUTE(SUBSTITUTE(SUBSTITUTE(SUBSTITUTE(SUBSTITUTE(SUBSTITUTE(SUBSTITUTE(ASC(I108&amp;""),"約",""),"程度",""),"ほど",""),"回",""),"毎",""),"週",""),"月",""),"年",""),"日",""),"に",""),"/","")," ","")),""))</f>
        <v/>
      </c>
      <c r="AM108" s="34">
        <f>IF(I108="","",IF(ISNUMBER(I108),I108,IFERROR(VALUE(ASC(I108&amp;"")),IF(AL108&lt;&gt;"",AL108*IF(ISNUMBER(SEARCH("週",I108)),4.3,IF(ISNUMBER(SEARCH("年",I108)),1/12,IF(ISNUMBER(SEARCH("日",I108)),20,1))),IF(ISNUMBER(SEARCH("日",I108)),20,IF(ISNUMBER(SEARCH("週",I108)),4.3,IF(ISNUMBER(SEARCH("月",I108)),1,"")))))))</f>
        <v/>
      </c>
      <c r="AN108" s="34">
        <f>IF(J108="","",IF(ISNUMBER(J108),J108,IFERROR(VALUE(ASC(J108&amp;"")),IF(ISNUMBER(SEARCH("時間",J108)),IFERROR(VALUE(SUBSTITUTE(SUBSTITUTE(SUBSTITUTE(SUBSTITUTE(SUBSTITUTE(ASC(J108&amp;""),"約",""),"程度",""),"ほど",""),"時間","")," ",""))*60,""),IFERROR(VALUE(SUBSTITUTE(SUBSTITUTE(SUBSTITUTE(SUBSTITUTE(SUBSTITUTE(ASC(J108&amp;""),"約",""),"程度",""),"ほど",""),"分","")," ","")),"")))))</f>
        <v/>
      </c>
      <c r="AO108" s="34">
        <f>IF(K108="","",IF(ISNUMBER(K108),K108,IFERROR(VALUE(SUBSTITUTE(SUBSTITUTE(SUBSTITUTE(ASC(K108&amp;""),"約",""),"件","")," ","")),"")))</f>
        <v/>
      </c>
      <c r="AP108" s="34">
        <f>IF(W108&lt;&gt;"OK","",IF(COUNTIFS($D$5:$D$404,D108,$W$5:$W$404,"OK")&gt;1,"同名あり",""))</f>
        <v/>
      </c>
      <c r="AQ108" s="35">
        <f>IF(L108="","",IF(ISNUMBER(L108),L108,IFERROR(DATEVALUE(SUBSTITUTE(SUBSTITUTE(ASC(L108&amp;""),"-","/"),".","/")&amp;"/01"),"")))</f>
        <v/>
      </c>
      <c r="AR108" s="35">
        <f>IF(M108="","",IF(ISNUMBER(M108),M108,IFERROR(DATEVALUE(SUBSTITUTE(SUBSTITUTE(ASC(M108&amp;""),"-","/"),".","/")&amp;"/01"),"")))</f>
        <v/>
      </c>
      <c r="AS108" s="34">
        <f>IF(OR(W108&lt;&gt;"OK",AQ108=""),"",IF(AQ108&gt;='01_設定'!$C$26,1,0))</f>
        <v/>
      </c>
      <c r="AT108" s="34">
        <f>IF(AND(W108="OK",Y108&lt;&gt;"除外"),COUNTIFS($W$5:W108,"OK",$Y$5:Y108,"&lt;&gt;除外"),"")</f>
        <v/>
      </c>
      <c r="AU108" s="34">
        <f>IF(OR(AT108="",AD108=""),"",AD108+ROW()/1000000000)</f>
        <v/>
      </c>
    </row>
    <row r="109">
      <c r="W109">
        <f>IF(AND(A109="",D109=""),"",IF(ISNUMBER(SEARCH("##END",AH109)),"（終わりの印）",IF(ISNUMBER(SEARCH("##続き",AH109)),"（続きありの印）",IF(AH109="調査ID","（見出し行）",IF(AND(AH109&lt;&gt;"R1",AH109&lt;&gt;"R2"),"×表以外の行（集計されない）",IF(COUNTIF($AI$5:AI109,AI109)&gt;1,"△重複（集計されない）",IF(D109="","△タスク名なし",IF(ISNA(MATCH(AK109,'M1_類型マスタ'!$A$5:$A$19,0)),"△類型が不正",IF(OR(AM109="",AN109=""),"△回数・分が読めない",IF(SUMPRODUCT(--ISNUMBER(--O109:U109))&lt;7,"△採点が足りない",IF(SUMPRODUCT((--O109:U109&gt;2)+(--O109:U109&lt;0))&gt;0,"△採点が範囲外","OK")))))))))))</f>
        <v/>
      </c>
      <c r="X109">
        <f>IF(W109&lt;&gt;"OK","",TRIM(IF(AND(AO109&lt;&gt;"",N(AO109)&lt;=1),"根拠1件 ","")&amp;IF(AP109&lt;&gt;"","同名あり ","")&amp;IF(AND(NOT(ISNUMBER(I109)),I109&lt;&gt;""),"回数を換算 ","")))</f>
        <v/>
      </c>
      <c r="Y109" s="31" t="n"/>
      <c r="Z109" s="32" t="n"/>
      <c r="AA109" s="32" t="n"/>
      <c r="AB109" s="31" t="n"/>
      <c r="AC109">
        <f>IF(W109&lt;&gt;"OK","",IF(AB109&lt;&gt;"",AB109,AE109))</f>
        <v/>
      </c>
      <c r="AD109" s="33">
        <f>IF(W109&lt;&gt;"OK","",IFERROR(IF(Z109&lt;&gt;"",Z109,AM109)*IF(AA109&lt;&gt;"",AA109,AN109)/60,""))</f>
        <v/>
      </c>
      <c r="AE109">
        <f>IF(W109&lt;&gt;"OK","",IF(OR(VALUE(O109)=2,VALUE(P109)=2,VALUE(Q109)=2),"社内残置",IF(AND(VALUE(O109)=0,VALUE(R109)=0,VALUE(T109)=0),"自動化候補",IF(AND(VALUE(P109)=0,VALUE(R109)&lt;=1,VALUE(S109)&lt;=1,VALUE(T109)&lt;=1,VALUE(U109)&lt;=1),"オフショア候補",IF(AND(VALUE(T109)&lt;=1,VALUE(U109)&lt;=1),"ニアショア候補","社内で手順化→再評価")))))</f>
        <v/>
      </c>
      <c r="AF109">
        <f>IF(W109&lt;&gt;"OK","",14-SUMPRODUCT(--O109:U109))</f>
        <v/>
      </c>
      <c r="AG109" s="33">
        <f>IF(W109&lt;&gt;"OK","",AM109*AN109/60)</f>
        <v/>
      </c>
      <c r="AH109" s="34">
        <f>IF(A109="","",UPPER(TRIM(ASC(A109&amp;""))))</f>
        <v/>
      </c>
      <c r="AI109" s="34">
        <f>IF(AH109="","",AH109&amp;"-"&amp;B109)</f>
        <v/>
      </c>
      <c r="AJ109" s="34">
        <f>IF(C109="","",IFERROR(VALUE(ASC(SUBSTITUTE(C109&amp;"","観点",""))),""))</f>
        <v/>
      </c>
      <c r="AK109" s="34">
        <f>IF(E109="","",UPPER(LEFT(TRIM(ASC(E109&amp;"")),3)))</f>
        <v/>
      </c>
      <c r="AL109" s="34">
        <f>IF(I109="","",IFERROR(VALUE(SUBSTITUTE(SUBSTITUTE(SUBSTITUTE(SUBSTITUTE(SUBSTITUTE(SUBSTITUTE(SUBSTITUTE(SUBSTITUTE(SUBSTITUTE(SUBSTITUTE(SUBSTITUTE(SUBSTITUTE(ASC(I109&amp;""),"約",""),"程度",""),"ほど",""),"回",""),"毎",""),"週",""),"月",""),"年",""),"日",""),"に",""),"/","")," ","")),""))</f>
        <v/>
      </c>
      <c r="AM109" s="34">
        <f>IF(I109="","",IF(ISNUMBER(I109),I109,IFERROR(VALUE(ASC(I109&amp;"")),IF(AL109&lt;&gt;"",AL109*IF(ISNUMBER(SEARCH("週",I109)),4.3,IF(ISNUMBER(SEARCH("年",I109)),1/12,IF(ISNUMBER(SEARCH("日",I109)),20,1))),IF(ISNUMBER(SEARCH("日",I109)),20,IF(ISNUMBER(SEARCH("週",I109)),4.3,IF(ISNUMBER(SEARCH("月",I109)),1,"")))))))</f>
        <v/>
      </c>
      <c r="AN109" s="34">
        <f>IF(J109="","",IF(ISNUMBER(J109),J109,IFERROR(VALUE(ASC(J109&amp;"")),IF(ISNUMBER(SEARCH("時間",J109)),IFERROR(VALUE(SUBSTITUTE(SUBSTITUTE(SUBSTITUTE(SUBSTITUTE(SUBSTITUTE(ASC(J109&amp;""),"約",""),"程度",""),"ほど",""),"時間","")," ",""))*60,""),IFERROR(VALUE(SUBSTITUTE(SUBSTITUTE(SUBSTITUTE(SUBSTITUTE(SUBSTITUTE(ASC(J109&amp;""),"約",""),"程度",""),"ほど",""),"分","")," ","")),"")))))</f>
        <v/>
      </c>
      <c r="AO109" s="34">
        <f>IF(K109="","",IF(ISNUMBER(K109),K109,IFERROR(VALUE(SUBSTITUTE(SUBSTITUTE(SUBSTITUTE(ASC(K109&amp;""),"約",""),"件","")," ","")),"")))</f>
        <v/>
      </c>
      <c r="AP109" s="34">
        <f>IF(W109&lt;&gt;"OK","",IF(COUNTIFS($D$5:$D$404,D109,$W$5:$W$404,"OK")&gt;1,"同名あり",""))</f>
        <v/>
      </c>
      <c r="AQ109" s="35">
        <f>IF(L109="","",IF(ISNUMBER(L109),L109,IFERROR(DATEVALUE(SUBSTITUTE(SUBSTITUTE(ASC(L109&amp;""),"-","/"),".","/")&amp;"/01"),"")))</f>
        <v/>
      </c>
      <c r="AR109" s="35">
        <f>IF(M109="","",IF(ISNUMBER(M109),M109,IFERROR(DATEVALUE(SUBSTITUTE(SUBSTITUTE(ASC(M109&amp;""),"-","/"),".","/")&amp;"/01"),"")))</f>
        <v/>
      </c>
      <c r="AS109" s="34">
        <f>IF(OR(W109&lt;&gt;"OK",AQ109=""),"",IF(AQ109&gt;='01_設定'!$C$26,1,0))</f>
        <v/>
      </c>
      <c r="AT109" s="34">
        <f>IF(AND(W109="OK",Y109&lt;&gt;"除外"),COUNTIFS($W$5:W109,"OK",$Y$5:Y109,"&lt;&gt;除外"),"")</f>
        <v/>
      </c>
      <c r="AU109" s="34">
        <f>IF(OR(AT109="",AD109=""),"",AD109+ROW()/1000000000)</f>
        <v/>
      </c>
    </row>
    <row r="110">
      <c r="W110">
        <f>IF(AND(A110="",D110=""),"",IF(ISNUMBER(SEARCH("##END",AH110)),"（終わりの印）",IF(ISNUMBER(SEARCH("##続き",AH110)),"（続きありの印）",IF(AH110="調査ID","（見出し行）",IF(AND(AH110&lt;&gt;"R1",AH110&lt;&gt;"R2"),"×表以外の行（集計されない）",IF(COUNTIF($AI$5:AI110,AI110)&gt;1,"△重複（集計されない）",IF(D110="","△タスク名なし",IF(ISNA(MATCH(AK110,'M1_類型マスタ'!$A$5:$A$19,0)),"△類型が不正",IF(OR(AM110="",AN110=""),"△回数・分が読めない",IF(SUMPRODUCT(--ISNUMBER(--O110:U110))&lt;7,"△採点が足りない",IF(SUMPRODUCT((--O110:U110&gt;2)+(--O110:U110&lt;0))&gt;0,"△採点が範囲外","OK")))))))))))</f>
        <v/>
      </c>
      <c r="X110">
        <f>IF(W110&lt;&gt;"OK","",TRIM(IF(AND(AO110&lt;&gt;"",N(AO110)&lt;=1),"根拠1件 ","")&amp;IF(AP110&lt;&gt;"","同名あり ","")&amp;IF(AND(NOT(ISNUMBER(I110)),I110&lt;&gt;""),"回数を換算 ","")))</f>
        <v/>
      </c>
      <c r="Y110" s="31" t="n"/>
      <c r="Z110" s="32" t="n"/>
      <c r="AA110" s="32" t="n"/>
      <c r="AB110" s="31" t="n"/>
      <c r="AC110">
        <f>IF(W110&lt;&gt;"OK","",IF(AB110&lt;&gt;"",AB110,AE110))</f>
        <v/>
      </c>
      <c r="AD110" s="33">
        <f>IF(W110&lt;&gt;"OK","",IFERROR(IF(Z110&lt;&gt;"",Z110,AM110)*IF(AA110&lt;&gt;"",AA110,AN110)/60,""))</f>
        <v/>
      </c>
      <c r="AE110">
        <f>IF(W110&lt;&gt;"OK","",IF(OR(VALUE(O110)=2,VALUE(P110)=2,VALUE(Q110)=2),"社内残置",IF(AND(VALUE(O110)=0,VALUE(R110)=0,VALUE(T110)=0),"自動化候補",IF(AND(VALUE(P110)=0,VALUE(R110)&lt;=1,VALUE(S110)&lt;=1,VALUE(T110)&lt;=1,VALUE(U110)&lt;=1),"オフショア候補",IF(AND(VALUE(T110)&lt;=1,VALUE(U110)&lt;=1),"ニアショア候補","社内で手順化→再評価")))))</f>
        <v/>
      </c>
      <c r="AF110">
        <f>IF(W110&lt;&gt;"OK","",14-SUMPRODUCT(--O110:U110))</f>
        <v/>
      </c>
      <c r="AG110" s="33">
        <f>IF(W110&lt;&gt;"OK","",AM110*AN110/60)</f>
        <v/>
      </c>
      <c r="AH110" s="34">
        <f>IF(A110="","",UPPER(TRIM(ASC(A110&amp;""))))</f>
        <v/>
      </c>
      <c r="AI110" s="34">
        <f>IF(AH110="","",AH110&amp;"-"&amp;B110)</f>
        <v/>
      </c>
      <c r="AJ110" s="34">
        <f>IF(C110="","",IFERROR(VALUE(ASC(SUBSTITUTE(C110&amp;"","観点",""))),""))</f>
        <v/>
      </c>
      <c r="AK110" s="34">
        <f>IF(E110="","",UPPER(LEFT(TRIM(ASC(E110&amp;"")),3)))</f>
        <v/>
      </c>
      <c r="AL110" s="34">
        <f>IF(I110="","",IFERROR(VALUE(SUBSTITUTE(SUBSTITUTE(SUBSTITUTE(SUBSTITUTE(SUBSTITUTE(SUBSTITUTE(SUBSTITUTE(SUBSTITUTE(SUBSTITUTE(SUBSTITUTE(SUBSTITUTE(SUBSTITUTE(ASC(I110&amp;""),"約",""),"程度",""),"ほど",""),"回",""),"毎",""),"週",""),"月",""),"年",""),"日",""),"に",""),"/","")," ","")),""))</f>
        <v/>
      </c>
      <c r="AM110" s="34">
        <f>IF(I110="","",IF(ISNUMBER(I110),I110,IFERROR(VALUE(ASC(I110&amp;"")),IF(AL110&lt;&gt;"",AL110*IF(ISNUMBER(SEARCH("週",I110)),4.3,IF(ISNUMBER(SEARCH("年",I110)),1/12,IF(ISNUMBER(SEARCH("日",I110)),20,1))),IF(ISNUMBER(SEARCH("日",I110)),20,IF(ISNUMBER(SEARCH("週",I110)),4.3,IF(ISNUMBER(SEARCH("月",I110)),1,"")))))))</f>
        <v/>
      </c>
      <c r="AN110" s="34">
        <f>IF(J110="","",IF(ISNUMBER(J110),J110,IFERROR(VALUE(ASC(J110&amp;"")),IF(ISNUMBER(SEARCH("時間",J110)),IFERROR(VALUE(SUBSTITUTE(SUBSTITUTE(SUBSTITUTE(SUBSTITUTE(SUBSTITUTE(ASC(J110&amp;""),"約",""),"程度",""),"ほど",""),"時間","")," ",""))*60,""),IFERROR(VALUE(SUBSTITUTE(SUBSTITUTE(SUBSTITUTE(SUBSTITUTE(SUBSTITUTE(ASC(J110&amp;""),"約",""),"程度",""),"ほど",""),"分","")," ","")),"")))))</f>
        <v/>
      </c>
      <c r="AO110" s="34">
        <f>IF(K110="","",IF(ISNUMBER(K110),K110,IFERROR(VALUE(SUBSTITUTE(SUBSTITUTE(SUBSTITUTE(ASC(K110&amp;""),"約",""),"件","")," ","")),"")))</f>
        <v/>
      </c>
      <c r="AP110" s="34">
        <f>IF(W110&lt;&gt;"OK","",IF(COUNTIFS($D$5:$D$404,D110,$W$5:$W$404,"OK")&gt;1,"同名あり",""))</f>
        <v/>
      </c>
      <c r="AQ110" s="35">
        <f>IF(L110="","",IF(ISNUMBER(L110),L110,IFERROR(DATEVALUE(SUBSTITUTE(SUBSTITUTE(ASC(L110&amp;""),"-","/"),".","/")&amp;"/01"),"")))</f>
        <v/>
      </c>
      <c r="AR110" s="35">
        <f>IF(M110="","",IF(ISNUMBER(M110),M110,IFERROR(DATEVALUE(SUBSTITUTE(SUBSTITUTE(ASC(M110&amp;""),"-","/"),".","/")&amp;"/01"),"")))</f>
        <v/>
      </c>
      <c r="AS110" s="34">
        <f>IF(OR(W110&lt;&gt;"OK",AQ110=""),"",IF(AQ110&gt;='01_設定'!$C$26,1,0))</f>
        <v/>
      </c>
      <c r="AT110" s="34">
        <f>IF(AND(W110="OK",Y110&lt;&gt;"除外"),COUNTIFS($W$5:W110,"OK",$Y$5:Y110,"&lt;&gt;除外"),"")</f>
        <v/>
      </c>
      <c r="AU110" s="34">
        <f>IF(OR(AT110="",AD110=""),"",AD110+ROW()/1000000000)</f>
        <v/>
      </c>
    </row>
    <row r="111">
      <c r="W111">
        <f>IF(AND(A111="",D111=""),"",IF(ISNUMBER(SEARCH("##END",AH111)),"（終わりの印）",IF(ISNUMBER(SEARCH("##続き",AH111)),"（続きありの印）",IF(AH111="調査ID","（見出し行）",IF(AND(AH111&lt;&gt;"R1",AH111&lt;&gt;"R2"),"×表以外の行（集計されない）",IF(COUNTIF($AI$5:AI111,AI111)&gt;1,"△重複（集計されない）",IF(D111="","△タスク名なし",IF(ISNA(MATCH(AK111,'M1_類型マスタ'!$A$5:$A$19,0)),"△類型が不正",IF(OR(AM111="",AN111=""),"△回数・分が読めない",IF(SUMPRODUCT(--ISNUMBER(--O111:U111))&lt;7,"△採点が足りない",IF(SUMPRODUCT((--O111:U111&gt;2)+(--O111:U111&lt;0))&gt;0,"△採点が範囲外","OK")))))))))))</f>
        <v/>
      </c>
      <c r="X111">
        <f>IF(W111&lt;&gt;"OK","",TRIM(IF(AND(AO111&lt;&gt;"",N(AO111)&lt;=1),"根拠1件 ","")&amp;IF(AP111&lt;&gt;"","同名あり ","")&amp;IF(AND(NOT(ISNUMBER(I111)),I111&lt;&gt;""),"回数を換算 ","")))</f>
        <v/>
      </c>
      <c r="Y111" s="31" t="n"/>
      <c r="Z111" s="32" t="n"/>
      <c r="AA111" s="32" t="n"/>
      <c r="AB111" s="31" t="n"/>
      <c r="AC111">
        <f>IF(W111&lt;&gt;"OK","",IF(AB111&lt;&gt;"",AB111,AE111))</f>
        <v/>
      </c>
      <c r="AD111" s="33">
        <f>IF(W111&lt;&gt;"OK","",IFERROR(IF(Z111&lt;&gt;"",Z111,AM111)*IF(AA111&lt;&gt;"",AA111,AN111)/60,""))</f>
        <v/>
      </c>
      <c r="AE111">
        <f>IF(W111&lt;&gt;"OK","",IF(OR(VALUE(O111)=2,VALUE(P111)=2,VALUE(Q111)=2),"社内残置",IF(AND(VALUE(O111)=0,VALUE(R111)=0,VALUE(T111)=0),"自動化候補",IF(AND(VALUE(P111)=0,VALUE(R111)&lt;=1,VALUE(S111)&lt;=1,VALUE(T111)&lt;=1,VALUE(U111)&lt;=1),"オフショア候補",IF(AND(VALUE(T111)&lt;=1,VALUE(U111)&lt;=1),"ニアショア候補","社内で手順化→再評価")))))</f>
        <v/>
      </c>
      <c r="AF111">
        <f>IF(W111&lt;&gt;"OK","",14-SUMPRODUCT(--O111:U111))</f>
        <v/>
      </c>
      <c r="AG111" s="33">
        <f>IF(W111&lt;&gt;"OK","",AM111*AN111/60)</f>
        <v/>
      </c>
      <c r="AH111" s="34">
        <f>IF(A111="","",UPPER(TRIM(ASC(A111&amp;""))))</f>
        <v/>
      </c>
      <c r="AI111" s="34">
        <f>IF(AH111="","",AH111&amp;"-"&amp;B111)</f>
        <v/>
      </c>
      <c r="AJ111" s="34">
        <f>IF(C111="","",IFERROR(VALUE(ASC(SUBSTITUTE(C111&amp;"","観点",""))),""))</f>
        <v/>
      </c>
      <c r="AK111" s="34">
        <f>IF(E111="","",UPPER(LEFT(TRIM(ASC(E111&amp;"")),3)))</f>
        <v/>
      </c>
      <c r="AL111" s="34">
        <f>IF(I111="","",IFERROR(VALUE(SUBSTITUTE(SUBSTITUTE(SUBSTITUTE(SUBSTITUTE(SUBSTITUTE(SUBSTITUTE(SUBSTITUTE(SUBSTITUTE(SUBSTITUTE(SUBSTITUTE(SUBSTITUTE(SUBSTITUTE(ASC(I111&amp;""),"約",""),"程度",""),"ほど",""),"回",""),"毎",""),"週",""),"月",""),"年",""),"日",""),"に",""),"/","")," ","")),""))</f>
        <v/>
      </c>
      <c r="AM111" s="34">
        <f>IF(I111="","",IF(ISNUMBER(I111),I111,IFERROR(VALUE(ASC(I111&amp;"")),IF(AL111&lt;&gt;"",AL111*IF(ISNUMBER(SEARCH("週",I111)),4.3,IF(ISNUMBER(SEARCH("年",I111)),1/12,IF(ISNUMBER(SEARCH("日",I111)),20,1))),IF(ISNUMBER(SEARCH("日",I111)),20,IF(ISNUMBER(SEARCH("週",I111)),4.3,IF(ISNUMBER(SEARCH("月",I111)),1,"")))))))</f>
        <v/>
      </c>
      <c r="AN111" s="34">
        <f>IF(J111="","",IF(ISNUMBER(J111),J111,IFERROR(VALUE(ASC(J111&amp;"")),IF(ISNUMBER(SEARCH("時間",J111)),IFERROR(VALUE(SUBSTITUTE(SUBSTITUTE(SUBSTITUTE(SUBSTITUTE(SUBSTITUTE(ASC(J111&amp;""),"約",""),"程度",""),"ほど",""),"時間","")," ",""))*60,""),IFERROR(VALUE(SUBSTITUTE(SUBSTITUTE(SUBSTITUTE(SUBSTITUTE(SUBSTITUTE(ASC(J111&amp;""),"約",""),"程度",""),"ほど",""),"分","")," ","")),"")))))</f>
        <v/>
      </c>
      <c r="AO111" s="34">
        <f>IF(K111="","",IF(ISNUMBER(K111),K111,IFERROR(VALUE(SUBSTITUTE(SUBSTITUTE(SUBSTITUTE(ASC(K111&amp;""),"約",""),"件","")," ","")),"")))</f>
        <v/>
      </c>
      <c r="AP111" s="34">
        <f>IF(W111&lt;&gt;"OK","",IF(COUNTIFS($D$5:$D$404,D111,$W$5:$W$404,"OK")&gt;1,"同名あり",""))</f>
        <v/>
      </c>
      <c r="AQ111" s="35">
        <f>IF(L111="","",IF(ISNUMBER(L111),L111,IFERROR(DATEVALUE(SUBSTITUTE(SUBSTITUTE(ASC(L111&amp;""),"-","/"),".","/")&amp;"/01"),"")))</f>
        <v/>
      </c>
      <c r="AR111" s="35">
        <f>IF(M111="","",IF(ISNUMBER(M111),M111,IFERROR(DATEVALUE(SUBSTITUTE(SUBSTITUTE(ASC(M111&amp;""),"-","/"),".","/")&amp;"/01"),"")))</f>
        <v/>
      </c>
      <c r="AS111" s="34">
        <f>IF(OR(W111&lt;&gt;"OK",AQ111=""),"",IF(AQ111&gt;='01_設定'!$C$26,1,0))</f>
        <v/>
      </c>
      <c r="AT111" s="34">
        <f>IF(AND(W111="OK",Y111&lt;&gt;"除外"),COUNTIFS($W$5:W111,"OK",$Y$5:Y111,"&lt;&gt;除外"),"")</f>
        <v/>
      </c>
      <c r="AU111" s="34">
        <f>IF(OR(AT111="",AD111=""),"",AD111+ROW()/1000000000)</f>
        <v/>
      </c>
    </row>
    <row r="112">
      <c r="W112">
        <f>IF(AND(A112="",D112=""),"",IF(ISNUMBER(SEARCH("##END",AH112)),"（終わりの印）",IF(ISNUMBER(SEARCH("##続き",AH112)),"（続きありの印）",IF(AH112="調査ID","（見出し行）",IF(AND(AH112&lt;&gt;"R1",AH112&lt;&gt;"R2"),"×表以外の行（集計されない）",IF(COUNTIF($AI$5:AI112,AI112)&gt;1,"△重複（集計されない）",IF(D112="","△タスク名なし",IF(ISNA(MATCH(AK112,'M1_類型マスタ'!$A$5:$A$19,0)),"△類型が不正",IF(OR(AM112="",AN112=""),"△回数・分が読めない",IF(SUMPRODUCT(--ISNUMBER(--O112:U112))&lt;7,"△採点が足りない",IF(SUMPRODUCT((--O112:U112&gt;2)+(--O112:U112&lt;0))&gt;0,"△採点が範囲外","OK")))))))))))</f>
        <v/>
      </c>
      <c r="X112">
        <f>IF(W112&lt;&gt;"OK","",TRIM(IF(AND(AO112&lt;&gt;"",N(AO112)&lt;=1),"根拠1件 ","")&amp;IF(AP112&lt;&gt;"","同名あり ","")&amp;IF(AND(NOT(ISNUMBER(I112)),I112&lt;&gt;""),"回数を換算 ","")))</f>
        <v/>
      </c>
      <c r="Y112" s="31" t="n"/>
      <c r="Z112" s="32" t="n"/>
      <c r="AA112" s="32" t="n"/>
      <c r="AB112" s="31" t="n"/>
      <c r="AC112">
        <f>IF(W112&lt;&gt;"OK","",IF(AB112&lt;&gt;"",AB112,AE112))</f>
        <v/>
      </c>
      <c r="AD112" s="33">
        <f>IF(W112&lt;&gt;"OK","",IFERROR(IF(Z112&lt;&gt;"",Z112,AM112)*IF(AA112&lt;&gt;"",AA112,AN112)/60,""))</f>
        <v/>
      </c>
      <c r="AE112">
        <f>IF(W112&lt;&gt;"OK","",IF(OR(VALUE(O112)=2,VALUE(P112)=2,VALUE(Q112)=2),"社内残置",IF(AND(VALUE(O112)=0,VALUE(R112)=0,VALUE(T112)=0),"自動化候補",IF(AND(VALUE(P112)=0,VALUE(R112)&lt;=1,VALUE(S112)&lt;=1,VALUE(T112)&lt;=1,VALUE(U112)&lt;=1),"オフショア候補",IF(AND(VALUE(T112)&lt;=1,VALUE(U112)&lt;=1),"ニアショア候補","社内で手順化→再評価")))))</f>
        <v/>
      </c>
      <c r="AF112">
        <f>IF(W112&lt;&gt;"OK","",14-SUMPRODUCT(--O112:U112))</f>
        <v/>
      </c>
      <c r="AG112" s="33">
        <f>IF(W112&lt;&gt;"OK","",AM112*AN112/60)</f>
        <v/>
      </c>
      <c r="AH112" s="34">
        <f>IF(A112="","",UPPER(TRIM(ASC(A112&amp;""))))</f>
        <v/>
      </c>
      <c r="AI112" s="34">
        <f>IF(AH112="","",AH112&amp;"-"&amp;B112)</f>
        <v/>
      </c>
      <c r="AJ112" s="34">
        <f>IF(C112="","",IFERROR(VALUE(ASC(SUBSTITUTE(C112&amp;"","観点",""))),""))</f>
        <v/>
      </c>
      <c r="AK112" s="34">
        <f>IF(E112="","",UPPER(LEFT(TRIM(ASC(E112&amp;"")),3)))</f>
        <v/>
      </c>
      <c r="AL112" s="34">
        <f>IF(I112="","",IFERROR(VALUE(SUBSTITUTE(SUBSTITUTE(SUBSTITUTE(SUBSTITUTE(SUBSTITUTE(SUBSTITUTE(SUBSTITUTE(SUBSTITUTE(SUBSTITUTE(SUBSTITUTE(SUBSTITUTE(SUBSTITUTE(ASC(I112&amp;""),"約",""),"程度",""),"ほど",""),"回",""),"毎",""),"週",""),"月",""),"年",""),"日",""),"に",""),"/","")," ","")),""))</f>
        <v/>
      </c>
      <c r="AM112" s="34">
        <f>IF(I112="","",IF(ISNUMBER(I112),I112,IFERROR(VALUE(ASC(I112&amp;"")),IF(AL112&lt;&gt;"",AL112*IF(ISNUMBER(SEARCH("週",I112)),4.3,IF(ISNUMBER(SEARCH("年",I112)),1/12,IF(ISNUMBER(SEARCH("日",I112)),20,1))),IF(ISNUMBER(SEARCH("日",I112)),20,IF(ISNUMBER(SEARCH("週",I112)),4.3,IF(ISNUMBER(SEARCH("月",I112)),1,"")))))))</f>
        <v/>
      </c>
      <c r="AN112" s="34">
        <f>IF(J112="","",IF(ISNUMBER(J112),J112,IFERROR(VALUE(ASC(J112&amp;"")),IF(ISNUMBER(SEARCH("時間",J112)),IFERROR(VALUE(SUBSTITUTE(SUBSTITUTE(SUBSTITUTE(SUBSTITUTE(SUBSTITUTE(ASC(J112&amp;""),"約",""),"程度",""),"ほど",""),"時間","")," ",""))*60,""),IFERROR(VALUE(SUBSTITUTE(SUBSTITUTE(SUBSTITUTE(SUBSTITUTE(SUBSTITUTE(ASC(J112&amp;""),"約",""),"程度",""),"ほど",""),"分","")," ","")),"")))))</f>
        <v/>
      </c>
      <c r="AO112" s="34">
        <f>IF(K112="","",IF(ISNUMBER(K112),K112,IFERROR(VALUE(SUBSTITUTE(SUBSTITUTE(SUBSTITUTE(ASC(K112&amp;""),"約",""),"件","")," ","")),"")))</f>
        <v/>
      </c>
      <c r="AP112" s="34">
        <f>IF(W112&lt;&gt;"OK","",IF(COUNTIFS($D$5:$D$404,D112,$W$5:$W$404,"OK")&gt;1,"同名あり",""))</f>
        <v/>
      </c>
      <c r="AQ112" s="35">
        <f>IF(L112="","",IF(ISNUMBER(L112),L112,IFERROR(DATEVALUE(SUBSTITUTE(SUBSTITUTE(ASC(L112&amp;""),"-","/"),".","/")&amp;"/01"),"")))</f>
        <v/>
      </c>
      <c r="AR112" s="35">
        <f>IF(M112="","",IF(ISNUMBER(M112),M112,IFERROR(DATEVALUE(SUBSTITUTE(SUBSTITUTE(ASC(M112&amp;""),"-","/"),".","/")&amp;"/01"),"")))</f>
        <v/>
      </c>
      <c r="AS112" s="34">
        <f>IF(OR(W112&lt;&gt;"OK",AQ112=""),"",IF(AQ112&gt;='01_設定'!$C$26,1,0))</f>
        <v/>
      </c>
      <c r="AT112" s="34">
        <f>IF(AND(W112="OK",Y112&lt;&gt;"除外"),COUNTIFS($W$5:W112,"OK",$Y$5:Y112,"&lt;&gt;除外"),"")</f>
        <v/>
      </c>
      <c r="AU112" s="34">
        <f>IF(OR(AT112="",AD112=""),"",AD112+ROW()/1000000000)</f>
        <v/>
      </c>
    </row>
    <row r="113">
      <c r="W113">
        <f>IF(AND(A113="",D113=""),"",IF(ISNUMBER(SEARCH("##END",AH113)),"（終わりの印）",IF(ISNUMBER(SEARCH("##続き",AH113)),"（続きありの印）",IF(AH113="調査ID","（見出し行）",IF(AND(AH113&lt;&gt;"R1",AH113&lt;&gt;"R2"),"×表以外の行（集計されない）",IF(COUNTIF($AI$5:AI113,AI113)&gt;1,"△重複（集計されない）",IF(D113="","△タスク名なし",IF(ISNA(MATCH(AK113,'M1_類型マスタ'!$A$5:$A$19,0)),"△類型が不正",IF(OR(AM113="",AN113=""),"△回数・分が読めない",IF(SUMPRODUCT(--ISNUMBER(--O113:U113))&lt;7,"△採点が足りない",IF(SUMPRODUCT((--O113:U113&gt;2)+(--O113:U113&lt;0))&gt;0,"△採点が範囲外","OK")))))))))))</f>
        <v/>
      </c>
      <c r="X113">
        <f>IF(W113&lt;&gt;"OK","",TRIM(IF(AND(AO113&lt;&gt;"",N(AO113)&lt;=1),"根拠1件 ","")&amp;IF(AP113&lt;&gt;"","同名あり ","")&amp;IF(AND(NOT(ISNUMBER(I113)),I113&lt;&gt;""),"回数を換算 ","")))</f>
        <v/>
      </c>
      <c r="Y113" s="31" t="n"/>
      <c r="Z113" s="32" t="n"/>
      <c r="AA113" s="32" t="n"/>
      <c r="AB113" s="31" t="n"/>
      <c r="AC113">
        <f>IF(W113&lt;&gt;"OK","",IF(AB113&lt;&gt;"",AB113,AE113))</f>
        <v/>
      </c>
      <c r="AD113" s="33">
        <f>IF(W113&lt;&gt;"OK","",IFERROR(IF(Z113&lt;&gt;"",Z113,AM113)*IF(AA113&lt;&gt;"",AA113,AN113)/60,""))</f>
        <v/>
      </c>
      <c r="AE113">
        <f>IF(W113&lt;&gt;"OK","",IF(OR(VALUE(O113)=2,VALUE(P113)=2,VALUE(Q113)=2),"社内残置",IF(AND(VALUE(O113)=0,VALUE(R113)=0,VALUE(T113)=0),"自動化候補",IF(AND(VALUE(P113)=0,VALUE(R113)&lt;=1,VALUE(S113)&lt;=1,VALUE(T113)&lt;=1,VALUE(U113)&lt;=1),"オフショア候補",IF(AND(VALUE(T113)&lt;=1,VALUE(U113)&lt;=1),"ニアショア候補","社内で手順化→再評価")))))</f>
        <v/>
      </c>
      <c r="AF113">
        <f>IF(W113&lt;&gt;"OK","",14-SUMPRODUCT(--O113:U113))</f>
        <v/>
      </c>
      <c r="AG113" s="33">
        <f>IF(W113&lt;&gt;"OK","",AM113*AN113/60)</f>
        <v/>
      </c>
      <c r="AH113" s="34">
        <f>IF(A113="","",UPPER(TRIM(ASC(A113&amp;""))))</f>
        <v/>
      </c>
      <c r="AI113" s="34">
        <f>IF(AH113="","",AH113&amp;"-"&amp;B113)</f>
        <v/>
      </c>
      <c r="AJ113" s="34">
        <f>IF(C113="","",IFERROR(VALUE(ASC(SUBSTITUTE(C113&amp;"","観点",""))),""))</f>
        <v/>
      </c>
      <c r="AK113" s="34">
        <f>IF(E113="","",UPPER(LEFT(TRIM(ASC(E113&amp;"")),3)))</f>
        <v/>
      </c>
      <c r="AL113" s="34">
        <f>IF(I113="","",IFERROR(VALUE(SUBSTITUTE(SUBSTITUTE(SUBSTITUTE(SUBSTITUTE(SUBSTITUTE(SUBSTITUTE(SUBSTITUTE(SUBSTITUTE(SUBSTITUTE(SUBSTITUTE(SUBSTITUTE(SUBSTITUTE(ASC(I113&amp;""),"約",""),"程度",""),"ほど",""),"回",""),"毎",""),"週",""),"月",""),"年",""),"日",""),"に",""),"/","")," ","")),""))</f>
        <v/>
      </c>
      <c r="AM113" s="34">
        <f>IF(I113="","",IF(ISNUMBER(I113),I113,IFERROR(VALUE(ASC(I113&amp;"")),IF(AL113&lt;&gt;"",AL113*IF(ISNUMBER(SEARCH("週",I113)),4.3,IF(ISNUMBER(SEARCH("年",I113)),1/12,IF(ISNUMBER(SEARCH("日",I113)),20,1))),IF(ISNUMBER(SEARCH("日",I113)),20,IF(ISNUMBER(SEARCH("週",I113)),4.3,IF(ISNUMBER(SEARCH("月",I113)),1,"")))))))</f>
        <v/>
      </c>
      <c r="AN113" s="34">
        <f>IF(J113="","",IF(ISNUMBER(J113),J113,IFERROR(VALUE(ASC(J113&amp;"")),IF(ISNUMBER(SEARCH("時間",J113)),IFERROR(VALUE(SUBSTITUTE(SUBSTITUTE(SUBSTITUTE(SUBSTITUTE(SUBSTITUTE(ASC(J113&amp;""),"約",""),"程度",""),"ほど",""),"時間","")," ",""))*60,""),IFERROR(VALUE(SUBSTITUTE(SUBSTITUTE(SUBSTITUTE(SUBSTITUTE(SUBSTITUTE(ASC(J113&amp;""),"約",""),"程度",""),"ほど",""),"分","")," ","")),"")))))</f>
        <v/>
      </c>
      <c r="AO113" s="34">
        <f>IF(K113="","",IF(ISNUMBER(K113),K113,IFERROR(VALUE(SUBSTITUTE(SUBSTITUTE(SUBSTITUTE(ASC(K113&amp;""),"約",""),"件","")," ","")),"")))</f>
        <v/>
      </c>
      <c r="AP113" s="34">
        <f>IF(W113&lt;&gt;"OK","",IF(COUNTIFS($D$5:$D$404,D113,$W$5:$W$404,"OK")&gt;1,"同名あり",""))</f>
        <v/>
      </c>
      <c r="AQ113" s="35">
        <f>IF(L113="","",IF(ISNUMBER(L113),L113,IFERROR(DATEVALUE(SUBSTITUTE(SUBSTITUTE(ASC(L113&amp;""),"-","/"),".","/")&amp;"/01"),"")))</f>
        <v/>
      </c>
      <c r="AR113" s="35">
        <f>IF(M113="","",IF(ISNUMBER(M113),M113,IFERROR(DATEVALUE(SUBSTITUTE(SUBSTITUTE(ASC(M113&amp;""),"-","/"),".","/")&amp;"/01"),"")))</f>
        <v/>
      </c>
      <c r="AS113" s="34">
        <f>IF(OR(W113&lt;&gt;"OK",AQ113=""),"",IF(AQ113&gt;='01_設定'!$C$26,1,0))</f>
        <v/>
      </c>
      <c r="AT113" s="34">
        <f>IF(AND(W113="OK",Y113&lt;&gt;"除外"),COUNTIFS($W$5:W113,"OK",$Y$5:Y113,"&lt;&gt;除外"),"")</f>
        <v/>
      </c>
      <c r="AU113" s="34">
        <f>IF(OR(AT113="",AD113=""),"",AD113+ROW()/1000000000)</f>
        <v/>
      </c>
    </row>
    <row r="114">
      <c r="W114">
        <f>IF(AND(A114="",D114=""),"",IF(ISNUMBER(SEARCH("##END",AH114)),"（終わりの印）",IF(ISNUMBER(SEARCH("##続き",AH114)),"（続きありの印）",IF(AH114="調査ID","（見出し行）",IF(AND(AH114&lt;&gt;"R1",AH114&lt;&gt;"R2"),"×表以外の行（集計されない）",IF(COUNTIF($AI$5:AI114,AI114)&gt;1,"△重複（集計されない）",IF(D114="","△タスク名なし",IF(ISNA(MATCH(AK114,'M1_類型マスタ'!$A$5:$A$19,0)),"△類型が不正",IF(OR(AM114="",AN114=""),"△回数・分が読めない",IF(SUMPRODUCT(--ISNUMBER(--O114:U114))&lt;7,"△採点が足りない",IF(SUMPRODUCT((--O114:U114&gt;2)+(--O114:U114&lt;0))&gt;0,"△採点が範囲外","OK")))))))))))</f>
        <v/>
      </c>
      <c r="X114">
        <f>IF(W114&lt;&gt;"OK","",TRIM(IF(AND(AO114&lt;&gt;"",N(AO114)&lt;=1),"根拠1件 ","")&amp;IF(AP114&lt;&gt;"","同名あり ","")&amp;IF(AND(NOT(ISNUMBER(I114)),I114&lt;&gt;""),"回数を換算 ","")))</f>
        <v/>
      </c>
      <c r="Y114" s="31" t="n"/>
      <c r="Z114" s="32" t="n"/>
      <c r="AA114" s="32" t="n"/>
      <c r="AB114" s="31" t="n"/>
      <c r="AC114">
        <f>IF(W114&lt;&gt;"OK","",IF(AB114&lt;&gt;"",AB114,AE114))</f>
        <v/>
      </c>
      <c r="AD114" s="33">
        <f>IF(W114&lt;&gt;"OK","",IFERROR(IF(Z114&lt;&gt;"",Z114,AM114)*IF(AA114&lt;&gt;"",AA114,AN114)/60,""))</f>
        <v/>
      </c>
      <c r="AE114">
        <f>IF(W114&lt;&gt;"OK","",IF(OR(VALUE(O114)=2,VALUE(P114)=2,VALUE(Q114)=2),"社内残置",IF(AND(VALUE(O114)=0,VALUE(R114)=0,VALUE(T114)=0),"自動化候補",IF(AND(VALUE(P114)=0,VALUE(R114)&lt;=1,VALUE(S114)&lt;=1,VALUE(T114)&lt;=1,VALUE(U114)&lt;=1),"オフショア候補",IF(AND(VALUE(T114)&lt;=1,VALUE(U114)&lt;=1),"ニアショア候補","社内で手順化→再評価")))))</f>
        <v/>
      </c>
      <c r="AF114">
        <f>IF(W114&lt;&gt;"OK","",14-SUMPRODUCT(--O114:U114))</f>
        <v/>
      </c>
      <c r="AG114" s="33">
        <f>IF(W114&lt;&gt;"OK","",AM114*AN114/60)</f>
        <v/>
      </c>
      <c r="AH114" s="34">
        <f>IF(A114="","",UPPER(TRIM(ASC(A114&amp;""))))</f>
        <v/>
      </c>
      <c r="AI114" s="34">
        <f>IF(AH114="","",AH114&amp;"-"&amp;B114)</f>
        <v/>
      </c>
      <c r="AJ114" s="34">
        <f>IF(C114="","",IFERROR(VALUE(ASC(SUBSTITUTE(C114&amp;"","観点",""))),""))</f>
        <v/>
      </c>
      <c r="AK114" s="34">
        <f>IF(E114="","",UPPER(LEFT(TRIM(ASC(E114&amp;"")),3)))</f>
        <v/>
      </c>
      <c r="AL114" s="34">
        <f>IF(I114="","",IFERROR(VALUE(SUBSTITUTE(SUBSTITUTE(SUBSTITUTE(SUBSTITUTE(SUBSTITUTE(SUBSTITUTE(SUBSTITUTE(SUBSTITUTE(SUBSTITUTE(SUBSTITUTE(SUBSTITUTE(SUBSTITUTE(ASC(I114&amp;""),"約",""),"程度",""),"ほど",""),"回",""),"毎",""),"週",""),"月",""),"年",""),"日",""),"に",""),"/","")," ","")),""))</f>
        <v/>
      </c>
      <c r="AM114" s="34">
        <f>IF(I114="","",IF(ISNUMBER(I114),I114,IFERROR(VALUE(ASC(I114&amp;"")),IF(AL114&lt;&gt;"",AL114*IF(ISNUMBER(SEARCH("週",I114)),4.3,IF(ISNUMBER(SEARCH("年",I114)),1/12,IF(ISNUMBER(SEARCH("日",I114)),20,1))),IF(ISNUMBER(SEARCH("日",I114)),20,IF(ISNUMBER(SEARCH("週",I114)),4.3,IF(ISNUMBER(SEARCH("月",I114)),1,"")))))))</f>
        <v/>
      </c>
      <c r="AN114" s="34">
        <f>IF(J114="","",IF(ISNUMBER(J114),J114,IFERROR(VALUE(ASC(J114&amp;"")),IF(ISNUMBER(SEARCH("時間",J114)),IFERROR(VALUE(SUBSTITUTE(SUBSTITUTE(SUBSTITUTE(SUBSTITUTE(SUBSTITUTE(ASC(J114&amp;""),"約",""),"程度",""),"ほど",""),"時間","")," ",""))*60,""),IFERROR(VALUE(SUBSTITUTE(SUBSTITUTE(SUBSTITUTE(SUBSTITUTE(SUBSTITUTE(ASC(J114&amp;""),"約",""),"程度",""),"ほど",""),"分","")," ","")),"")))))</f>
        <v/>
      </c>
      <c r="AO114" s="34">
        <f>IF(K114="","",IF(ISNUMBER(K114),K114,IFERROR(VALUE(SUBSTITUTE(SUBSTITUTE(SUBSTITUTE(ASC(K114&amp;""),"約",""),"件","")," ","")),"")))</f>
        <v/>
      </c>
      <c r="AP114" s="34">
        <f>IF(W114&lt;&gt;"OK","",IF(COUNTIFS($D$5:$D$404,D114,$W$5:$W$404,"OK")&gt;1,"同名あり",""))</f>
        <v/>
      </c>
      <c r="AQ114" s="35">
        <f>IF(L114="","",IF(ISNUMBER(L114),L114,IFERROR(DATEVALUE(SUBSTITUTE(SUBSTITUTE(ASC(L114&amp;""),"-","/"),".","/")&amp;"/01"),"")))</f>
        <v/>
      </c>
      <c r="AR114" s="35">
        <f>IF(M114="","",IF(ISNUMBER(M114),M114,IFERROR(DATEVALUE(SUBSTITUTE(SUBSTITUTE(ASC(M114&amp;""),"-","/"),".","/")&amp;"/01"),"")))</f>
        <v/>
      </c>
      <c r="AS114" s="34">
        <f>IF(OR(W114&lt;&gt;"OK",AQ114=""),"",IF(AQ114&gt;='01_設定'!$C$26,1,0))</f>
        <v/>
      </c>
      <c r="AT114" s="34">
        <f>IF(AND(W114="OK",Y114&lt;&gt;"除外"),COUNTIFS($W$5:W114,"OK",$Y$5:Y114,"&lt;&gt;除外"),"")</f>
        <v/>
      </c>
      <c r="AU114" s="34">
        <f>IF(OR(AT114="",AD114=""),"",AD114+ROW()/1000000000)</f>
        <v/>
      </c>
    </row>
    <row r="115">
      <c r="W115">
        <f>IF(AND(A115="",D115=""),"",IF(ISNUMBER(SEARCH("##END",AH115)),"（終わりの印）",IF(ISNUMBER(SEARCH("##続き",AH115)),"（続きありの印）",IF(AH115="調査ID","（見出し行）",IF(AND(AH115&lt;&gt;"R1",AH115&lt;&gt;"R2"),"×表以外の行（集計されない）",IF(COUNTIF($AI$5:AI115,AI115)&gt;1,"△重複（集計されない）",IF(D115="","△タスク名なし",IF(ISNA(MATCH(AK115,'M1_類型マスタ'!$A$5:$A$19,0)),"△類型が不正",IF(OR(AM115="",AN115=""),"△回数・分が読めない",IF(SUMPRODUCT(--ISNUMBER(--O115:U115))&lt;7,"△採点が足りない",IF(SUMPRODUCT((--O115:U115&gt;2)+(--O115:U115&lt;0))&gt;0,"△採点が範囲外","OK")))))))))))</f>
        <v/>
      </c>
      <c r="X115">
        <f>IF(W115&lt;&gt;"OK","",TRIM(IF(AND(AO115&lt;&gt;"",N(AO115)&lt;=1),"根拠1件 ","")&amp;IF(AP115&lt;&gt;"","同名あり ","")&amp;IF(AND(NOT(ISNUMBER(I115)),I115&lt;&gt;""),"回数を換算 ","")))</f>
        <v/>
      </c>
      <c r="Y115" s="31" t="n"/>
      <c r="Z115" s="32" t="n"/>
      <c r="AA115" s="32" t="n"/>
      <c r="AB115" s="31" t="n"/>
      <c r="AC115">
        <f>IF(W115&lt;&gt;"OK","",IF(AB115&lt;&gt;"",AB115,AE115))</f>
        <v/>
      </c>
      <c r="AD115" s="33">
        <f>IF(W115&lt;&gt;"OK","",IFERROR(IF(Z115&lt;&gt;"",Z115,AM115)*IF(AA115&lt;&gt;"",AA115,AN115)/60,""))</f>
        <v/>
      </c>
      <c r="AE115">
        <f>IF(W115&lt;&gt;"OK","",IF(OR(VALUE(O115)=2,VALUE(P115)=2,VALUE(Q115)=2),"社内残置",IF(AND(VALUE(O115)=0,VALUE(R115)=0,VALUE(T115)=0),"自動化候補",IF(AND(VALUE(P115)=0,VALUE(R115)&lt;=1,VALUE(S115)&lt;=1,VALUE(T115)&lt;=1,VALUE(U115)&lt;=1),"オフショア候補",IF(AND(VALUE(T115)&lt;=1,VALUE(U115)&lt;=1),"ニアショア候補","社内で手順化→再評価")))))</f>
        <v/>
      </c>
      <c r="AF115">
        <f>IF(W115&lt;&gt;"OK","",14-SUMPRODUCT(--O115:U115))</f>
        <v/>
      </c>
      <c r="AG115" s="33">
        <f>IF(W115&lt;&gt;"OK","",AM115*AN115/60)</f>
        <v/>
      </c>
      <c r="AH115" s="34">
        <f>IF(A115="","",UPPER(TRIM(ASC(A115&amp;""))))</f>
        <v/>
      </c>
      <c r="AI115" s="34">
        <f>IF(AH115="","",AH115&amp;"-"&amp;B115)</f>
        <v/>
      </c>
      <c r="AJ115" s="34">
        <f>IF(C115="","",IFERROR(VALUE(ASC(SUBSTITUTE(C115&amp;"","観点",""))),""))</f>
        <v/>
      </c>
      <c r="AK115" s="34">
        <f>IF(E115="","",UPPER(LEFT(TRIM(ASC(E115&amp;"")),3)))</f>
        <v/>
      </c>
      <c r="AL115" s="34">
        <f>IF(I115="","",IFERROR(VALUE(SUBSTITUTE(SUBSTITUTE(SUBSTITUTE(SUBSTITUTE(SUBSTITUTE(SUBSTITUTE(SUBSTITUTE(SUBSTITUTE(SUBSTITUTE(SUBSTITUTE(SUBSTITUTE(SUBSTITUTE(ASC(I115&amp;""),"約",""),"程度",""),"ほど",""),"回",""),"毎",""),"週",""),"月",""),"年",""),"日",""),"に",""),"/","")," ","")),""))</f>
        <v/>
      </c>
      <c r="AM115" s="34">
        <f>IF(I115="","",IF(ISNUMBER(I115),I115,IFERROR(VALUE(ASC(I115&amp;"")),IF(AL115&lt;&gt;"",AL115*IF(ISNUMBER(SEARCH("週",I115)),4.3,IF(ISNUMBER(SEARCH("年",I115)),1/12,IF(ISNUMBER(SEARCH("日",I115)),20,1))),IF(ISNUMBER(SEARCH("日",I115)),20,IF(ISNUMBER(SEARCH("週",I115)),4.3,IF(ISNUMBER(SEARCH("月",I115)),1,"")))))))</f>
        <v/>
      </c>
      <c r="AN115" s="34">
        <f>IF(J115="","",IF(ISNUMBER(J115),J115,IFERROR(VALUE(ASC(J115&amp;"")),IF(ISNUMBER(SEARCH("時間",J115)),IFERROR(VALUE(SUBSTITUTE(SUBSTITUTE(SUBSTITUTE(SUBSTITUTE(SUBSTITUTE(ASC(J115&amp;""),"約",""),"程度",""),"ほど",""),"時間","")," ",""))*60,""),IFERROR(VALUE(SUBSTITUTE(SUBSTITUTE(SUBSTITUTE(SUBSTITUTE(SUBSTITUTE(ASC(J115&amp;""),"約",""),"程度",""),"ほど",""),"分","")," ","")),"")))))</f>
        <v/>
      </c>
      <c r="AO115" s="34">
        <f>IF(K115="","",IF(ISNUMBER(K115),K115,IFERROR(VALUE(SUBSTITUTE(SUBSTITUTE(SUBSTITUTE(ASC(K115&amp;""),"約",""),"件","")," ","")),"")))</f>
        <v/>
      </c>
      <c r="AP115" s="34">
        <f>IF(W115&lt;&gt;"OK","",IF(COUNTIFS($D$5:$D$404,D115,$W$5:$W$404,"OK")&gt;1,"同名あり",""))</f>
        <v/>
      </c>
      <c r="AQ115" s="35">
        <f>IF(L115="","",IF(ISNUMBER(L115),L115,IFERROR(DATEVALUE(SUBSTITUTE(SUBSTITUTE(ASC(L115&amp;""),"-","/"),".","/")&amp;"/01"),"")))</f>
        <v/>
      </c>
      <c r="AR115" s="35">
        <f>IF(M115="","",IF(ISNUMBER(M115),M115,IFERROR(DATEVALUE(SUBSTITUTE(SUBSTITUTE(ASC(M115&amp;""),"-","/"),".","/")&amp;"/01"),"")))</f>
        <v/>
      </c>
      <c r="AS115" s="34">
        <f>IF(OR(W115&lt;&gt;"OK",AQ115=""),"",IF(AQ115&gt;='01_設定'!$C$26,1,0))</f>
        <v/>
      </c>
      <c r="AT115" s="34">
        <f>IF(AND(W115="OK",Y115&lt;&gt;"除外"),COUNTIFS($W$5:W115,"OK",$Y$5:Y115,"&lt;&gt;除外"),"")</f>
        <v/>
      </c>
      <c r="AU115" s="34">
        <f>IF(OR(AT115="",AD115=""),"",AD115+ROW()/1000000000)</f>
        <v/>
      </c>
    </row>
    <row r="116">
      <c r="W116">
        <f>IF(AND(A116="",D116=""),"",IF(ISNUMBER(SEARCH("##END",AH116)),"（終わりの印）",IF(ISNUMBER(SEARCH("##続き",AH116)),"（続きありの印）",IF(AH116="調査ID","（見出し行）",IF(AND(AH116&lt;&gt;"R1",AH116&lt;&gt;"R2"),"×表以外の行（集計されない）",IF(COUNTIF($AI$5:AI116,AI116)&gt;1,"△重複（集計されない）",IF(D116="","△タスク名なし",IF(ISNA(MATCH(AK116,'M1_類型マスタ'!$A$5:$A$19,0)),"△類型が不正",IF(OR(AM116="",AN116=""),"△回数・分が読めない",IF(SUMPRODUCT(--ISNUMBER(--O116:U116))&lt;7,"△採点が足りない",IF(SUMPRODUCT((--O116:U116&gt;2)+(--O116:U116&lt;0))&gt;0,"△採点が範囲外","OK")))))))))))</f>
        <v/>
      </c>
      <c r="X116">
        <f>IF(W116&lt;&gt;"OK","",TRIM(IF(AND(AO116&lt;&gt;"",N(AO116)&lt;=1),"根拠1件 ","")&amp;IF(AP116&lt;&gt;"","同名あり ","")&amp;IF(AND(NOT(ISNUMBER(I116)),I116&lt;&gt;""),"回数を換算 ","")))</f>
        <v/>
      </c>
      <c r="Y116" s="31" t="n"/>
      <c r="Z116" s="32" t="n"/>
      <c r="AA116" s="32" t="n"/>
      <c r="AB116" s="31" t="n"/>
      <c r="AC116">
        <f>IF(W116&lt;&gt;"OK","",IF(AB116&lt;&gt;"",AB116,AE116))</f>
        <v/>
      </c>
      <c r="AD116" s="33">
        <f>IF(W116&lt;&gt;"OK","",IFERROR(IF(Z116&lt;&gt;"",Z116,AM116)*IF(AA116&lt;&gt;"",AA116,AN116)/60,""))</f>
        <v/>
      </c>
      <c r="AE116">
        <f>IF(W116&lt;&gt;"OK","",IF(OR(VALUE(O116)=2,VALUE(P116)=2,VALUE(Q116)=2),"社内残置",IF(AND(VALUE(O116)=0,VALUE(R116)=0,VALUE(T116)=0),"自動化候補",IF(AND(VALUE(P116)=0,VALUE(R116)&lt;=1,VALUE(S116)&lt;=1,VALUE(T116)&lt;=1,VALUE(U116)&lt;=1),"オフショア候補",IF(AND(VALUE(T116)&lt;=1,VALUE(U116)&lt;=1),"ニアショア候補","社内で手順化→再評価")))))</f>
        <v/>
      </c>
      <c r="AF116">
        <f>IF(W116&lt;&gt;"OK","",14-SUMPRODUCT(--O116:U116))</f>
        <v/>
      </c>
      <c r="AG116" s="33">
        <f>IF(W116&lt;&gt;"OK","",AM116*AN116/60)</f>
        <v/>
      </c>
      <c r="AH116" s="34">
        <f>IF(A116="","",UPPER(TRIM(ASC(A116&amp;""))))</f>
        <v/>
      </c>
      <c r="AI116" s="34">
        <f>IF(AH116="","",AH116&amp;"-"&amp;B116)</f>
        <v/>
      </c>
      <c r="AJ116" s="34">
        <f>IF(C116="","",IFERROR(VALUE(ASC(SUBSTITUTE(C116&amp;"","観点",""))),""))</f>
        <v/>
      </c>
      <c r="AK116" s="34">
        <f>IF(E116="","",UPPER(LEFT(TRIM(ASC(E116&amp;"")),3)))</f>
        <v/>
      </c>
      <c r="AL116" s="34">
        <f>IF(I116="","",IFERROR(VALUE(SUBSTITUTE(SUBSTITUTE(SUBSTITUTE(SUBSTITUTE(SUBSTITUTE(SUBSTITUTE(SUBSTITUTE(SUBSTITUTE(SUBSTITUTE(SUBSTITUTE(SUBSTITUTE(SUBSTITUTE(ASC(I116&amp;""),"約",""),"程度",""),"ほど",""),"回",""),"毎",""),"週",""),"月",""),"年",""),"日",""),"に",""),"/","")," ","")),""))</f>
        <v/>
      </c>
      <c r="AM116" s="34">
        <f>IF(I116="","",IF(ISNUMBER(I116),I116,IFERROR(VALUE(ASC(I116&amp;"")),IF(AL116&lt;&gt;"",AL116*IF(ISNUMBER(SEARCH("週",I116)),4.3,IF(ISNUMBER(SEARCH("年",I116)),1/12,IF(ISNUMBER(SEARCH("日",I116)),20,1))),IF(ISNUMBER(SEARCH("日",I116)),20,IF(ISNUMBER(SEARCH("週",I116)),4.3,IF(ISNUMBER(SEARCH("月",I116)),1,"")))))))</f>
        <v/>
      </c>
      <c r="AN116" s="34">
        <f>IF(J116="","",IF(ISNUMBER(J116),J116,IFERROR(VALUE(ASC(J116&amp;"")),IF(ISNUMBER(SEARCH("時間",J116)),IFERROR(VALUE(SUBSTITUTE(SUBSTITUTE(SUBSTITUTE(SUBSTITUTE(SUBSTITUTE(ASC(J116&amp;""),"約",""),"程度",""),"ほど",""),"時間","")," ",""))*60,""),IFERROR(VALUE(SUBSTITUTE(SUBSTITUTE(SUBSTITUTE(SUBSTITUTE(SUBSTITUTE(ASC(J116&amp;""),"約",""),"程度",""),"ほど",""),"分","")," ","")),"")))))</f>
        <v/>
      </c>
      <c r="AO116" s="34">
        <f>IF(K116="","",IF(ISNUMBER(K116),K116,IFERROR(VALUE(SUBSTITUTE(SUBSTITUTE(SUBSTITUTE(ASC(K116&amp;""),"約",""),"件","")," ","")),"")))</f>
        <v/>
      </c>
      <c r="AP116" s="34">
        <f>IF(W116&lt;&gt;"OK","",IF(COUNTIFS($D$5:$D$404,D116,$W$5:$W$404,"OK")&gt;1,"同名あり",""))</f>
        <v/>
      </c>
      <c r="AQ116" s="35">
        <f>IF(L116="","",IF(ISNUMBER(L116),L116,IFERROR(DATEVALUE(SUBSTITUTE(SUBSTITUTE(ASC(L116&amp;""),"-","/"),".","/")&amp;"/01"),"")))</f>
        <v/>
      </c>
      <c r="AR116" s="35">
        <f>IF(M116="","",IF(ISNUMBER(M116),M116,IFERROR(DATEVALUE(SUBSTITUTE(SUBSTITUTE(ASC(M116&amp;""),"-","/"),".","/")&amp;"/01"),"")))</f>
        <v/>
      </c>
      <c r="AS116" s="34">
        <f>IF(OR(W116&lt;&gt;"OK",AQ116=""),"",IF(AQ116&gt;='01_設定'!$C$26,1,0))</f>
        <v/>
      </c>
      <c r="AT116" s="34">
        <f>IF(AND(W116="OK",Y116&lt;&gt;"除外"),COUNTIFS($W$5:W116,"OK",$Y$5:Y116,"&lt;&gt;除外"),"")</f>
        <v/>
      </c>
      <c r="AU116" s="34">
        <f>IF(OR(AT116="",AD116=""),"",AD116+ROW()/1000000000)</f>
        <v/>
      </c>
    </row>
    <row r="117">
      <c r="W117">
        <f>IF(AND(A117="",D117=""),"",IF(ISNUMBER(SEARCH("##END",AH117)),"（終わりの印）",IF(ISNUMBER(SEARCH("##続き",AH117)),"（続きありの印）",IF(AH117="調査ID","（見出し行）",IF(AND(AH117&lt;&gt;"R1",AH117&lt;&gt;"R2"),"×表以外の行（集計されない）",IF(COUNTIF($AI$5:AI117,AI117)&gt;1,"△重複（集計されない）",IF(D117="","△タスク名なし",IF(ISNA(MATCH(AK117,'M1_類型マスタ'!$A$5:$A$19,0)),"△類型が不正",IF(OR(AM117="",AN117=""),"△回数・分が読めない",IF(SUMPRODUCT(--ISNUMBER(--O117:U117))&lt;7,"△採点が足りない",IF(SUMPRODUCT((--O117:U117&gt;2)+(--O117:U117&lt;0))&gt;0,"△採点が範囲外","OK")))))))))))</f>
        <v/>
      </c>
      <c r="X117">
        <f>IF(W117&lt;&gt;"OK","",TRIM(IF(AND(AO117&lt;&gt;"",N(AO117)&lt;=1),"根拠1件 ","")&amp;IF(AP117&lt;&gt;"","同名あり ","")&amp;IF(AND(NOT(ISNUMBER(I117)),I117&lt;&gt;""),"回数を換算 ","")))</f>
        <v/>
      </c>
      <c r="Y117" s="31" t="n"/>
      <c r="Z117" s="32" t="n"/>
      <c r="AA117" s="32" t="n"/>
      <c r="AB117" s="31" t="n"/>
      <c r="AC117">
        <f>IF(W117&lt;&gt;"OK","",IF(AB117&lt;&gt;"",AB117,AE117))</f>
        <v/>
      </c>
      <c r="AD117" s="33">
        <f>IF(W117&lt;&gt;"OK","",IFERROR(IF(Z117&lt;&gt;"",Z117,AM117)*IF(AA117&lt;&gt;"",AA117,AN117)/60,""))</f>
        <v/>
      </c>
      <c r="AE117">
        <f>IF(W117&lt;&gt;"OK","",IF(OR(VALUE(O117)=2,VALUE(P117)=2,VALUE(Q117)=2),"社内残置",IF(AND(VALUE(O117)=0,VALUE(R117)=0,VALUE(T117)=0),"自動化候補",IF(AND(VALUE(P117)=0,VALUE(R117)&lt;=1,VALUE(S117)&lt;=1,VALUE(T117)&lt;=1,VALUE(U117)&lt;=1),"オフショア候補",IF(AND(VALUE(T117)&lt;=1,VALUE(U117)&lt;=1),"ニアショア候補","社内で手順化→再評価")))))</f>
        <v/>
      </c>
      <c r="AF117">
        <f>IF(W117&lt;&gt;"OK","",14-SUMPRODUCT(--O117:U117))</f>
        <v/>
      </c>
      <c r="AG117" s="33">
        <f>IF(W117&lt;&gt;"OK","",AM117*AN117/60)</f>
        <v/>
      </c>
      <c r="AH117" s="34">
        <f>IF(A117="","",UPPER(TRIM(ASC(A117&amp;""))))</f>
        <v/>
      </c>
      <c r="AI117" s="34">
        <f>IF(AH117="","",AH117&amp;"-"&amp;B117)</f>
        <v/>
      </c>
      <c r="AJ117" s="34">
        <f>IF(C117="","",IFERROR(VALUE(ASC(SUBSTITUTE(C117&amp;"","観点",""))),""))</f>
        <v/>
      </c>
      <c r="AK117" s="34">
        <f>IF(E117="","",UPPER(LEFT(TRIM(ASC(E117&amp;"")),3)))</f>
        <v/>
      </c>
      <c r="AL117" s="34">
        <f>IF(I117="","",IFERROR(VALUE(SUBSTITUTE(SUBSTITUTE(SUBSTITUTE(SUBSTITUTE(SUBSTITUTE(SUBSTITUTE(SUBSTITUTE(SUBSTITUTE(SUBSTITUTE(SUBSTITUTE(SUBSTITUTE(SUBSTITUTE(ASC(I117&amp;""),"約",""),"程度",""),"ほど",""),"回",""),"毎",""),"週",""),"月",""),"年",""),"日",""),"に",""),"/","")," ","")),""))</f>
        <v/>
      </c>
      <c r="AM117" s="34">
        <f>IF(I117="","",IF(ISNUMBER(I117),I117,IFERROR(VALUE(ASC(I117&amp;"")),IF(AL117&lt;&gt;"",AL117*IF(ISNUMBER(SEARCH("週",I117)),4.3,IF(ISNUMBER(SEARCH("年",I117)),1/12,IF(ISNUMBER(SEARCH("日",I117)),20,1))),IF(ISNUMBER(SEARCH("日",I117)),20,IF(ISNUMBER(SEARCH("週",I117)),4.3,IF(ISNUMBER(SEARCH("月",I117)),1,"")))))))</f>
        <v/>
      </c>
      <c r="AN117" s="34">
        <f>IF(J117="","",IF(ISNUMBER(J117),J117,IFERROR(VALUE(ASC(J117&amp;"")),IF(ISNUMBER(SEARCH("時間",J117)),IFERROR(VALUE(SUBSTITUTE(SUBSTITUTE(SUBSTITUTE(SUBSTITUTE(SUBSTITUTE(ASC(J117&amp;""),"約",""),"程度",""),"ほど",""),"時間","")," ",""))*60,""),IFERROR(VALUE(SUBSTITUTE(SUBSTITUTE(SUBSTITUTE(SUBSTITUTE(SUBSTITUTE(ASC(J117&amp;""),"約",""),"程度",""),"ほど",""),"分","")," ","")),"")))))</f>
        <v/>
      </c>
      <c r="AO117" s="34">
        <f>IF(K117="","",IF(ISNUMBER(K117),K117,IFERROR(VALUE(SUBSTITUTE(SUBSTITUTE(SUBSTITUTE(ASC(K117&amp;""),"約",""),"件","")," ","")),"")))</f>
        <v/>
      </c>
      <c r="AP117" s="34">
        <f>IF(W117&lt;&gt;"OK","",IF(COUNTIFS($D$5:$D$404,D117,$W$5:$W$404,"OK")&gt;1,"同名あり",""))</f>
        <v/>
      </c>
      <c r="AQ117" s="35">
        <f>IF(L117="","",IF(ISNUMBER(L117),L117,IFERROR(DATEVALUE(SUBSTITUTE(SUBSTITUTE(ASC(L117&amp;""),"-","/"),".","/")&amp;"/01"),"")))</f>
        <v/>
      </c>
      <c r="AR117" s="35">
        <f>IF(M117="","",IF(ISNUMBER(M117),M117,IFERROR(DATEVALUE(SUBSTITUTE(SUBSTITUTE(ASC(M117&amp;""),"-","/"),".","/")&amp;"/01"),"")))</f>
        <v/>
      </c>
      <c r="AS117" s="34">
        <f>IF(OR(W117&lt;&gt;"OK",AQ117=""),"",IF(AQ117&gt;='01_設定'!$C$26,1,0))</f>
        <v/>
      </c>
      <c r="AT117" s="34">
        <f>IF(AND(W117="OK",Y117&lt;&gt;"除外"),COUNTIFS($W$5:W117,"OK",$Y$5:Y117,"&lt;&gt;除外"),"")</f>
        <v/>
      </c>
      <c r="AU117" s="34">
        <f>IF(OR(AT117="",AD117=""),"",AD117+ROW()/1000000000)</f>
        <v/>
      </c>
    </row>
    <row r="118">
      <c r="W118">
        <f>IF(AND(A118="",D118=""),"",IF(ISNUMBER(SEARCH("##END",AH118)),"（終わりの印）",IF(ISNUMBER(SEARCH("##続き",AH118)),"（続きありの印）",IF(AH118="調査ID","（見出し行）",IF(AND(AH118&lt;&gt;"R1",AH118&lt;&gt;"R2"),"×表以外の行（集計されない）",IF(COUNTIF($AI$5:AI118,AI118)&gt;1,"△重複（集計されない）",IF(D118="","△タスク名なし",IF(ISNA(MATCH(AK118,'M1_類型マスタ'!$A$5:$A$19,0)),"△類型が不正",IF(OR(AM118="",AN118=""),"△回数・分が読めない",IF(SUMPRODUCT(--ISNUMBER(--O118:U118))&lt;7,"△採点が足りない",IF(SUMPRODUCT((--O118:U118&gt;2)+(--O118:U118&lt;0))&gt;0,"△採点が範囲外","OK")))))))))))</f>
        <v/>
      </c>
      <c r="X118">
        <f>IF(W118&lt;&gt;"OK","",TRIM(IF(AND(AO118&lt;&gt;"",N(AO118)&lt;=1),"根拠1件 ","")&amp;IF(AP118&lt;&gt;"","同名あり ","")&amp;IF(AND(NOT(ISNUMBER(I118)),I118&lt;&gt;""),"回数を換算 ","")))</f>
        <v/>
      </c>
      <c r="Y118" s="31" t="n"/>
      <c r="Z118" s="32" t="n"/>
      <c r="AA118" s="32" t="n"/>
      <c r="AB118" s="31" t="n"/>
      <c r="AC118">
        <f>IF(W118&lt;&gt;"OK","",IF(AB118&lt;&gt;"",AB118,AE118))</f>
        <v/>
      </c>
      <c r="AD118" s="33">
        <f>IF(W118&lt;&gt;"OK","",IFERROR(IF(Z118&lt;&gt;"",Z118,AM118)*IF(AA118&lt;&gt;"",AA118,AN118)/60,""))</f>
        <v/>
      </c>
      <c r="AE118">
        <f>IF(W118&lt;&gt;"OK","",IF(OR(VALUE(O118)=2,VALUE(P118)=2,VALUE(Q118)=2),"社内残置",IF(AND(VALUE(O118)=0,VALUE(R118)=0,VALUE(T118)=0),"自動化候補",IF(AND(VALUE(P118)=0,VALUE(R118)&lt;=1,VALUE(S118)&lt;=1,VALUE(T118)&lt;=1,VALUE(U118)&lt;=1),"オフショア候補",IF(AND(VALUE(T118)&lt;=1,VALUE(U118)&lt;=1),"ニアショア候補","社内で手順化→再評価")))))</f>
        <v/>
      </c>
      <c r="AF118">
        <f>IF(W118&lt;&gt;"OK","",14-SUMPRODUCT(--O118:U118))</f>
        <v/>
      </c>
      <c r="AG118" s="33">
        <f>IF(W118&lt;&gt;"OK","",AM118*AN118/60)</f>
        <v/>
      </c>
      <c r="AH118" s="34">
        <f>IF(A118="","",UPPER(TRIM(ASC(A118&amp;""))))</f>
        <v/>
      </c>
      <c r="AI118" s="34">
        <f>IF(AH118="","",AH118&amp;"-"&amp;B118)</f>
        <v/>
      </c>
      <c r="AJ118" s="34">
        <f>IF(C118="","",IFERROR(VALUE(ASC(SUBSTITUTE(C118&amp;"","観点",""))),""))</f>
        <v/>
      </c>
      <c r="AK118" s="34">
        <f>IF(E118="","",UPPER(LEFT(TRIM(ASC(E118&amp;"")),3)))</f>
        <v/>
      </c>
      <c r="AL118" s="34">
        <f>IF(I118="","",IFERROR(VALUE(SUBSTITUTE(SUBSTITUTE(SUBSTITUTE(SUBSTITUTE(SUBSTITUTE(SUBSTITUTE(SUBSTITUTE(SUBSTITUTE(SUBSTITUTE(SUBSTITUTE(SUBSTITUTE(SUBSTITUTE(ASC(I118&amp;""),"約",""),"程度",""),"ほど",""),"回",""),"毎",""),"週",""),"月",""),"年",""),"日",""),"に",""),"/","")," ","")),""))</f>
        <v/>
      </c>
      <c r="AM118" s="34">
        <f>IF(I118="","",IF(ISNUMBER(I118),I118,IFERROR(VALUE(ASC(I118&amp;"")),IF(AL118&lt;&gt;"",AL118*IF(ISNUMBER(SEARCH("週",I118)),4.3,IF(ISNUMBER(SEARCH("年",I118)),1/12,IF(ISNUMBER(SEARCH("日",I118)),20,1))),IF(ISNUMBER(SEARCH("日",I118)),20,IF(ISNUMBER(SEARCH("週",I118)),4.3,IF(ISNUMBER(SEARCH("月",I118)),1,"")))))))</f>
        <v/>
      </c>
      <c r="AN118" s="34">
        <f>IF(J118="","",IF(ISNUMBER(J118),J118,IFERROR(VALUE(ASC(J118&amp;"")),IF(ISNUMBER(SEARCH("時間",J118)),IFERROR(VALUE(SUBSTITUTE(SUBSTITUTE(SUBSTITUTE(SUBSTITUTE(SUBSTITUTE(ASC(J118&amp;""),"約",""),"程度",""),"ほど",""),"時間","")," ",""))*60,""),IFERROR(VALUE(SUBSTITUTE(SUBSTITUTE(SUBSTITUTE(SUBSTITUTE(SUBSTITUTE(ASC(J118&amp;""),"約",""),"程度",""),"ほど",""),"分","")," ","")),"")))))</f>
        <v/>
      </c>
      <c r="AO118" s="34">
        <f>IF(K118="","",IF(ISNUMBER(K118),K118,IFERROR(VALUE(SUBSTITUTE(SUBSTITUTE(SUBSTITUTE(ASC(K118&amp;""),"約",""),"件","")," ","")),"")))</f>
        <v/>
      </c>
      <c r="AP118" s="34">
        <f>IF(W118&lt;&gt;"OK","",IF(COUNTIFS($D$5:$D$404,D118,$W$5:$W$404,"OK")&gt;1,"同名あり",""))</f>
        <v/>
      </c>
      <c r="AQ118" s="35">
        <f>IF(L118="","",IF(ISNUMBER(L118),L118,IFERROR(DATEVALUE(SUBSTITUTE(SUBSTITUTE(ASC(L118&amp;""),"-","/"),".","/")&amp;"/01"),"")))</f>
        <v/>
      </c>
      <c r="AR118" s="35">
        <f>IF(M118="","",IF(ISNUMBER(M118),M118,IFERROR(DATEVALUE(SUBSTITUTE(SUBSTITUTE(ASC(M118&amp;""),"-","/"),".","/")&amp;"/01"),"")))</f>
        <v/>
      </c>
      <c r="AS118" s="34">
        <f>IF(OR(W118&lt;&gt;"OK",AQ118=""),"",IF(AQ118&gt;='01_設定'!$C$26,1,0))</f>
        <v/>
      </c>
      <c r="AT118" s="34">
        <f>IF(AND(W118="OK",Y118&lt;&gt;"除外"),COUNTIFS($W$5:W118,"OK",$Y$5:Y118,"&lt;&gt;除外"),"")</f>
        <v/>
      </c>
      <c r="AU118" s="34">
        <f>IF(OR(AT118="",AD118=""),"",AD118+ROW()/1000000000)</f>
        <v/>
      </c>
    </row>
    <row r="119">
      <c r="W119">
        <f>IF(AND(A119="",D119=""),"",IF(ISNUMBER(SEARCH("##END",AH119)),"（終わりの印）",IF(ISNUMBER(SEARCH("##続き",AH119)),"（続きありの印）",IF(AH119="調査ID","（見出し行）",IF(AND(AH119&lt;&gt;"R1",AH119&lt;&gt;"R2"),"×表以外の行（集計されない）",IF(COUNTIF($AI$5:AI119,AI119)&gt;1,"△重複（集計されない）",IF(D119="","△タスク名なし",IF(ISNA(MATCH(AK119,'M1_類型マスタ'!$A$5:$A$19,0)),"△類型が不正",IF(OR(AM119="",AN119=""),"△回数・分が読めない",IF(SUMPRODUCT(--ISNUMBER(--O119:U119))&lt;7,"△採点が足りない",IF(SUMPRODUCT((--O119:U119&gt;2)+(--O119:U119&lt;0))&gt;0,"△採点が範囲外","OK")))))))))))</f>
        <v/>
      </c>
      <c r="X119">
        <f>IF(W119&lt;&gt;"OK","",TRIM(IF(AND(AO119&lt;&gt;"",N(AO119)&lt;=1),"根拠1件 ","")&amp;IF(AP119&lt;&gt;"","同名あり ","")&amp;IF(AND(NOT(ISNUMBER(I119)),I119&lt;&gt;""),"回数を換算 ","")))</f>
        <v/>
      </c>
      <c r="Y119" s="31" t="n"/>
      <c r="Z119" s="32" t="n"/>
      <c r="AA119" s="32" t="n"/>
      <c r="AB119" s="31" t="n"/>
      <c r="AC119">
        <f>IF(W119&lt;&gt;"OK","",IF(AB119&lt;&gt;"",AB119,AE119))</f>
        <v/>
      </c>
      <c r="AD119" s="33">
        <f>IF(W119&lt;&gt;"OK","",IFERROR(IF(Z119&lt;&gt;"",Z119,AM119)*IF(AA119&lt;&gt;"",AA119,AN119)/60,""))</f>
        <v/>
      </c>
      <c r="AE119">
        <f>IF(W119&lt;&gt;"OK","",IF(OR(VALUE(O119)=2,VALUE(P119)=2,VALUE(Q119)=2),"社内残置",IF(AND(VALUE(O119)=0,VALUE(R119)=0,VALUE(T119)=0),"自動化候補",IF(AND(VALUE(P119)=0,VALUE(R119)&lt;=1,VALUE(S119)&lt;=1,VALUE(T119)&lt;=1,VALUE(U119)&lt;=1),"オフショア候補",IF(AND(VALUE(T119)&lt;=1,VALUE(U119)&lt;=1),"ニアショア候補","社内で手順化→再評価")))))</f>
        <v/>
      </c>
      <c r="AF119">
        <f>IF(W119&lt;&gt;"OK","",14-SUMPRODUCT(--O119:U119))</f>
        <v/>
      </c>
      <c r="AG119" s="33">
        <f>IF(W119&lt;&gt;"OK","",AM119*AN119/60)</f>
        <v/>
      </c>
      <c r="AH119" s="34">
        <f>IF(A119="","",UPPER(TRIM(ASC(A119&amp;""))))</f>
        <v/>
      </c>
      <c r="AI119" s="34">
        <f>IF(AH119="","",AH119&amp;"-"&amp;B119)</f>
        <v/>
      </c>
      <c r="AJ119" s="34">
        <f>IF(C119="","",IFERROR(VALUE(ASC(SUBSTITUTE(C119&amp;"","観点",""))),""))</f>
        <v/>
      </c>
      <c r="AK119" s="34">
        <f>IF(E119="","",UPPER(LEFT(TRIM(ASC(E119&amp;"")),3)))</f>
        <v/>
      </c>
      <c r="AL119" s="34">
        <f>IF(I119="","",IFERROR(VALUE(SUBSTITUTE(SUBSTITUTE(SUBSTITUTE(SUBSTITUTE(SUBSTITUTE(SUBSTITUTE(SUBSTITUTE(SUBSTITUTE(SUBSTITUTE(SUBSTITUTE(SUBSTITUTE(SUBSTITUTE(ASC(I119&amp;""),"約",""),"程度",""),"ほど",""),"回",""),"毎",""),"週",""),"月",""),"年",""),"日",""),"に",""),"/","")," ","")),""))</f>
        <v/>
      </c>
      <c r="AM119" s="34">
        <f>IF(I119="","",IF(ISNUMBER(I119),I119,IFERROR(VALUE(ASC(I119&amp;"")),IF(AL119&lt;&gt;"",AL119*IF(ISNUMBER(SEARCH("週",I119)),4.3,IF(ISNUMBER(SEARCH("年",I119)),1/12,IF(ISNUMBER(SEARCH("日",I119)),20,1))),IF(ISNUMBER(SEARCH("日",I119)),20,IF(ISNUMBER(SEARCH("週",I119)),4.3,IF(ISNUMBER(SEARCH("月",I119)),1,"")))))))</f>
        <v/>
      </c>
      <c r="AN119" s="34">
        <f>IF(J119="","",IF(ISNUMBER(J119),J119,IFERROR(VALUE(ASC(J119&amp;"")),IF(ISNUMBER(SEARCH("時間",J119)),IFERROR(VALUE(SUBSTITUTE(SUBSTITUTE(SUBSTITUTE(SUBSTITUTE(SUBSTITUTE(ASC(J119&amp;""),"約",""),"程度",""),"ほど",""),"時間","")," ",""))*60,""),IFERROR(VALUE(SUBSTITUTE(SUBSTITUTE(SUBSTITUTE(SUBSTITUTE(SUBSTITUTE(ASC(J119&amp;""),"約",""),"程度",""),"ほど",""),"分","")," ","")),"")))))</f>
        <v/>
      </c>
      <c r="AO119" s="34">
        <f>IF(K119="","",IF(ISNUMBER(K119),K119,IFERROR(VALUE(SUBSTITUTE(SUBSTITUTE(SUBSTITUTE(ASC(K119&amp;""),"約",""),"件","")," ","")),"")))</f>
        <v/>
      </c>
      <c r="AP119" s="34">
        <f>IF(W119&lt;&gt;"OK","",IF(COUNTIFS($D$5:$D$404,D119,$W$5:$W$404,"OK")&gt;1,"同名あり",""))</f>
        <v/>
      </c>
      <c r="AQ119" s="35">
        <f>IF(L119="","",IF(ISNUMBER(L119),L119,IFERROR(DATEVALUE(SUBSTITUTE(SUBSTITUTE(ASC(L119&amp;""),"-","/"),".","/")&amp;"/01"),"")))</f>
        <v/>
      </c>
      <c r="AR119" s="35">
        <f>IF(M119="","",IF(ISNUMBER(M119),M119,IFERROR(DATEVALUE(SUBSTITUTE(SUBSTITUTE(ASC(M119&amp;""),"-","/"),".","/")&amp;"/01"),"")))</f>
        <v/>
      </c>
      <c r="AS119" s="34">
        <f>IF(OR(W119&lt;&gt;"OK",AQ119=""),"",IF(AQ119&gt;='01_設定'!$C$26,1,0))</f>
        <v/>
      </c>
      <c r="AT119" s="34">
        <f>IF(AND(W119="OK",Y119&lt;&gt;"除外"),COUNTIFS($W$5:W119,"OK",$Y$5:Y119,"&lt;&gt;除外"),"")</f>
        <v/>
      </c>
      <c r="AU119" s="34">
        <f>IF(OR(AT119="",AD119=""),"",AD119+ROW()/1000000000)</f>
        <v/>
      </c>
    </row>
    <row r="120">
      <c r="W120">
        <f>IF(AND(A120="",D120=""),"",IF(ISNUMBER(SEARCH("##END",AH120)),"（終わりの印）",IF(ISNUMBER(SEARCH("##続き",AH120)),"（続きありの印）",IF(AH120="調査ID","（見出し行）",IF(AND(AH120&lt;&gt;"R1",AH120&lt;&gt;"R2"),"×表以外の行（集計されない）",IF(COUNTIF($AI$5:AI120,AI120)&gt;1,"△重複（集計されない）",IF(D120="","△タスク名なし",IF(ISNA(MATCH(AK120,'M1_類型マスタ'!$A$5:$A$19,0)),"△類型が不正",IF(OR(AM120="",AN120=""),"△回数・分が読めない",IF(SUMPRODUCT(--ISNUMBER(--O120:U120))&lt;7,"△採点が足りない",IF(SUMPRODUCT((--O120:U120&gt;2)+(--O120:U120&lt;0))&gt;0,"△採点が範囲外","OK")))))))))))</f>
        <v/>
      </c>
      <c r="X120">
        <f>IF(W120&lt;&gt;"OK","",TRIM(IF(AND(AO120&lt;&gt;"",N(AO120)&lt;=1),"根拠1件 ","")&amp;IF(AP120&lt;&gt;"","同名あり ","")&amp;IF(AND(NOT(ISNUMBER(I120)),I120&lt;&gt;""),"回数を換算 ","")))</f>
        <v/>
      </c>
      <c r="Y120" s="31" t="n"/>
      <c r="Z120" s="32" t="n"/>
      <c r="AA120" s="32" t="n"/>
      <c r="AB120" s="31" t="n"/>
      <c r="AC120">
        <f>IF(W120&lt;&gt;"OK","",IF(AB120&lt;&gt;"",AB120,AE120))</f>
        <v/>
      </c>
      <c r="AD120" s="33">
        <f>IF(W120&lt;&gt;"OK","",IFERROR(IF(Z120&lt;&gt;"",Z120,AM120)*IF(AA120&lt;&gt;"",AA120,AN120)/60,""))</f>
        <v/>
      </c>
      <c r="AE120">
        <f>IF(W120&lt;&gt;"OK","",IF(OR(VALUE(O120)=2,VALUE(P120)=2,VALUE(Q120)=2),"社内残置",IF(AND(VALUE(O120)=0,VALUE(R120)=0,VALUE(T120)=0),"自動化候補",IF(AND(VALUE(P120)=0,VALUE(R120)&lt;=1,VALUE(S120)&lt;=1,VALUE(T120)&lt;=1,VALUE(U120)&lt;=1),"オフショア候補",IF(AND(VALUE(T120)&lt;=1,VALUE(U120)&lt;=1),"ニアショア候補","社内で手順化→再評価")))))</f>
        <v/>
      </c>
      <c r="AF120">
        <f>IF(W120&lt;&gt;"OK","",14-SUMPRODUCT(--O120:U120))</f>
        <v/>
      </c>
      <c r="AG120" s="33">
        <f>IF(W120&lt;&gt;"OK","",AM120*AN120/60)</f>
        <v/>
      </c>
      <c r="AH120" s="34">
        <f>IF(A120="","",UPPER(TRIM(ASC(A120&amp;""))))</f>
        <v/>
      </c>
      <c r="AI120" s="34">
        <f>IF(AH120="","",AH120&amp;"-"&amp;B120)</f>
        <v/>
      </c>
      <c r="AJ120" s="34">
        <f>IF(C120="","",IFERROR(VALUE(ASC(SUBSTITUTE(C120&amp;"","観点",""))),""))</f>
        <v/>
      </c>
      <c r="AK120" s="34">
        <f>IF(E120="","",UPPER(LEFT(TRIM(ASC(E120&amp;"")),3)))</f>
        <v/>
      </c>
      <c r="AL120" s="34">
        <f>IF(I120="","",IFERROR(VALUE(SUBSTITUTE(SUBSTITUTE(SUBSTITUTE(SUBSTITUTE(SUBSTITUTE(SUBSTITUTE(SUBSTITUTE(SUBSTITUTE(SUBSTITUTE(SUBSTITUTE(SUBSTITUTE(SUBSTITUTE(ASC(I120&amp;""),"約",""),"程度",""),"ほど",""),"回",""),"毎",""),"週",""),"月",""),"年",""),"日",""),"に",""),"/","")," ","")),""))</f>
        <v/>
      </c>
      <c r="AM120" s="34">
        <f>IF(I120="","",IF(ISNUMBER(I120),I120,IFERROR(VALUE(ASC(I120&amp;"")),IF(AL120&lt;&gt;"",AL120*IF(ISNUMBER(SEARCH("週",I120)),4.3,IF(ISNUMBER(SEARCH("年",I120)),1/12,IF(ISNUMBER(SEARCH("日",I120)),20,1))),IF(ISNUMBER(SEARCH("日",I120)),20,IF(ISNUMBER(SEARCH("週",I120)),4.3,IF(ISNUMBER(SEARCH("月",I120)),1,"")))))))</f>
        <v/>
      </c>
      <c r="AN120" s="34">
        <f>IF(J120="","",IF(ISNUMBER(J120),J120,IFERROR(VALUE(ASC(J120&amp;"")),IF(ISNUMBER(SEARCH("時間",J120)),IFERROR(VALUE(SUBSTITUTE(SUBSTITUTE(SUBSTITUTE(SUBSTITUTE(SUBSTITUTE(ASC(J120&amp;""),"約",""),"程度",""),"ほど",""),"時間","")," ",""))*60,""),IFERROR(VALUE(SUBSTITUTE(SUBSTITUTE(SUBSTITUTE(SUBSTITUTE(SUBSTITUTE(ASC(J120&amp;""),"約",""),"程度",""),"ほど",""),"分","")," ","")),"")))))</f>
        <v/>
      </c>
      <c r="AO120" s="34">
        <f>IF(K120="","",IF(ISNUMBER(K120),K120,IFERROR(VALUE(SUBSTITUTE(SUBSTITUTE(SUBSTITUTE(ASC(K120&amp;""),"約",""),"件","")," ","")),"")))</f>
        <v/>
      </c>
      <c r="AP120" s="34">
        <f>IF(W120&lt;&gt;"OK","",IF(COUNTIFS($D$5:$D$404,D120,$W$5:$W$404,"OK")&gt;1,"同名あり",""))</f>
        <v/>
      </c>
      <c r="AQ120" s="35">
        <f>IF(L120="","",IF(ISNUMBER(L120),L120,IFERROR(DATEVALUE(SUBSTITUTE(SUBSTITUTE(ASC(L120&amp;""),"-","/"),".","/")&amp;"/01"),"")))</f>
        <v/>
      </c>
      <c r="AR120" s="35">
        <f>IF(M120="","",IF(ISNUMBER(M120),M120,IFERROR(DATEVALUE(SUBSTITUTE(SUBSTITUTE(ASC(M120&amp;""),"-","/"),".","/")&amp;"/01"),"")))</f>
        <v/>
      </c>
      <c r="AS120" s="34">
        <f>IF(OR(W120&lt;&gt;"OK",AQ120=""),"",IF(AQ120&gt;='01_設定'!$C$26,1,0))</f>
        <v/>
      </c>
      <c r="AT120" s="34">
        <f>IF(AND(W120="OK",Y120&lt;&gt;"除外"),COUNTIFS($W$5:W120,"OK",$Y$5:Y120,"&lt;&gt;除外"),"")</f>
        <v/>
      </c>
      <c r="AU120" s="34">
        <f>IF(OR(AT120="",AD120=""),"",AD120+ROW()/1000000000)</f>
        <v/>
      </c>
    </row>
    <row r="121">
      <c r="W121">
        <f>IF(AND(A121="",D121=""),"",IF(ISNUMBER(SEARCH("##END",AH121)),"（終わりの印）",IF(ISNUMBER(SEARCH("##続き",AH121)),"（続きありの印）",IF(AH121="調査ID","（見出し行）",IF(AND(AH121&lt;&gt;"R1",AH121&lt;&gt;"R2"),"×表以外の行（集計されない）",IF(COUNTIF($AI$5:AI121,AI121)&gt;1,"△重複（集計されない）",IF(D121="","△タスク名なし",IF(ISNA(MATCH(AK121,'M1_類型マスタ'!$A$5:$A$19,0)),"△類型が不正",IF(OR(AM121="",AN121=""),"△回数・分が読めない",IF(SUMPRODUCT(--ISNUMBER(--O121:U121))&lt;7,"△採点が足りない",IF(SUMPRODUCT((--O121:U121&gt;2)+(--O121:U121&lt;0))&gt;0,"△採点が範囲外","OK")))))))))))</f>
        <v/>
      </c>
      <c r="X121">
        <f>IF(W121&lt;&gt;"OK","",TRIM(IF(AND(AO121&lt;&gt;"",N(AO121)&lt;=1),"根拠1件 ","")&amp;IF(AP121&lt;&gt;"","同名あり ","")&amp;IF(AND(NOT(ISNUMBER(I121)),I121&lt;&gt;""),"回数を換算 ","")))</f>
        <v/>
      </c>
      <c r="Y121" s="31" t="n"/>
      <c r="Z121" s="32" t="n"/>
      <c r="AA121" s="32" t="n"/>
      <c r="AB121" s="31" t="n"/>
      <c r="AC121">
        <f>IF(W121&lt;&gt;"OK","",IF(AB121&lt;&gt;"",AB121,AE121))</f>
        <v/>
      </c>
      <c r="AD121" s="33">
        <f>IF(W121&lt;&gt;"OK","",IFERROR(IF(Z121&lt;&gt;"",Z121,AM121)*IF(AA121&lt;&gt;"",AA121,AN121)/60,""))</f>
        <v/>
      </c>
      <c r="AE121">
        <f>IF(W121&lt;&gt;"OK","",IF(OR(VALUE(O121)=2,VALUE(P121)=2,VALUE(Q121)=2),"社内残置",IF(AND(VALUE(O121)=0,VALUE(R121)=0,VALUE(T121)=0),"自動化候補",IF(AND(VALUE(P121)=0,VALUE(R121)&lt;=1,VALUE(S121)&lt;=1,VALUE(T121)&lt;=1,VALUE(U121)&lt;=1),"オフショア候補",IF(AND(VALUE(T121)&lt;=1,VALUE(U121)&lt;=1),"ニアショア候補","社内で手順化→再評価")))))</f>
        <v/>
      </c>
      <c r="AF121">
        <f>IF(W121&lt;&gt;"OK","",14-SUMPRODUCT(--O121:U121))</f>
        <v/>
      </c>
      <c r="AG121" s="33">
        <f>IF(W121&lt;&gt;"OK","",AM121*AN121/60)</f>
        <v/>
      </c>
      <c r="AH121" s="34">
        <f>IF(A121="","",UPPER(TRIM(ASC(A121&amp;""))))</f>
        <v/>
      </c>
      <c r="AI121" s="34">
        <f>IF(AH121="","",AH121&amp;"-"&amp;B121)</f>
        <v/>
      </c>
      <c r="AJ121" s="34">
        <f>IF(C121="","",IFERROR(VALUE(ASC(SUBSTITUTE(C121&amp;"","観点",""))),""))</f>
        <v/>
      </c>
      <c r="AK121" s="34">
        <f>IF(E121="","",UPPER(LEFT(TRIM(ASC(E121&amp;"")),3)))</f>
        <v/>
      </c>
      <c r="AL121" s="34">
        <f>IF(I121="","",IFERROR(VALUE(SUBSTITUTE(SUBSTITUTE(SUBSTITUTE(SUBSTITUTE(SUBSTITUTE(SUBSTITUTE(SUBSTITUTE(SUBSTITUTE(SUBSTITUTE(SUBSTITUTE(SUBSTITUTE(SUBSTITUTE(ASC(I121&amp;""),"約",""),"程度",""),"ほど",""),"回",""),"毎",""),"週",""),"月",""),"年",""),"日",""),"に",""),"/","")," ","")),""))</f>
        <v/>
      </c>
      <c r="AM121" s="34">
        <f>IF(I121="","",IF(ISNUMBER(I121),I121,IFERROR(VALUE(ASC(I121&amp;"")),IF(AL121&lt;&gt;"",AL121*IF(ISNUMBER(SEARCH("週",I121)),4.3,IF(ISNUMBER(SEARCH("年",I121)),1/12,IF(ISNUMBER(SEARCH("日",I121)),20,1))),IF(ISNUMBER(SEARCH("日",I121)),20,IF(ISNUMBER(SEARCH("週",I121)),4.3,IF(ISNUMBER(SEARCH("月",I121)),1,"")))))))</f>
        <v/>
      </c>
      <c r="AN121" s="34">
        <f>IF(J121="","",IF(ISNUMBER(J121),J121,IFERROR(VALUE(ASC(J121&amp;"")),IF(ISNUMBER(SEARCH("時間",J121)),IFERROR(VALUE(SUBSTITUTE(SUBSTITUTE(SUBSTITUTE(SUBSTITUTE(SUBSTITUTE(ASC(J121&amp;""),"約",""),"程度",""),"ほど",""),"時間","")," ",""))*60,""),IFERROR(VALUE(SUBSTITUTE(SUBSTITUTE(SUBSTITUTE(SUBSTITUTE(SUBSTITUTE(ASC(J121&amp;""),"約",""),"程度",""),"ほど",""),"分","")," ","")),"")))))</f>
        <v/>
      </c>
      <c r="AO121" s="34">
        <f>IF(K121="","",IF(ISNUMBER(K121),K121,IFERROR(VALUE(SUBSTITUTE(SUBSTITUTE(SUBSTITUTE(ASC(K121&amp;""),"約",""),"件","")," ","")),"")))</f>
        <v/>
      </c>
      <c r="AP121" s="34">
        <f>IF(W121&lt;&gt;"OK","",IF(COUNTIFS($D$5:$D$404,D121,$W$5:$W$404,"OK")&gt;1,"同名あり",""))</f>
        <v/>
      </c>
      <c r="AQ121" s="35">
        <f>IF(L121="","",IF(ISNUMBER(L121),L121,IFERROR(DATEVALUE(SUBSTITUTE(SUBSTITUTE(ASC(L121&amp;""),"-","/"),".","/")&amp;"/01"),"")))</f>
        <v/>
      </c>
      <c r="AR121" s="35">
        <f>IF(M121="","",IF(ISNUMBER(M121),M121,IFERROR(DATEVALUE(SUBSTITUTE(SUBSTITUTE(ASC(M121&amp;""),"-","/"),".","/")&amp;"/01"),"")))</f>
        <v/>
      </c>
      <c r="AS121" s="34">
        <f>IF(OR(W121&lt;&gt;"OK",AQ121=""),"",IF(AQ121&gt;='01_設定'!$C$26,1,0))</f>
        <v/>
      </c>
      <c r="AT121" s="34">
        <f>IF(AND(W121="OK",Y121&lt;&gt;"除外"),COUNTIFS($W$5:W121,"OK",$Y$5:Y121,"&lt;&gt;除外"),"")</f>
        <v/>
      </c>
      <c r="AU121" s="34">
        <f>IF(OR(AT121="",AD121=""),"",AD121+ROW()/1000000000)</f>
        <v/>
      </c>
    </row>
    <row r="122">
      <c r="W122">
        <f>IF(AND(A122="",D122=""),"",IF(ISNUMBER(SEARCH("##END",AH122)),"（終わりの印）",IF(ISNUMBER(SEARCH("##続き",AH122)),"（続きありの印）",IF(AH122="調査ID","（見出し行）",IF(AND(AH122&lt;&gt;"R1",AH122&lt;&gt;"R2"),"×表以外の行（集計されない）",IF(COUNTIF($AI$5:AI122,AI122)&gt;1,"△重複（集計されない）",IF(D122="","△タスク名なし",IF(ISNA(MATCH(AK122,'M1_類型マスタ'!$A$5:$A$19,0)),"△類型が不正",IF(OR(AM122="",AN122=""),"△回数・分が読めない",IF(SUMPRODUCT(--ISNUMBER(--O122:U122))&lt;7,"△採点が足りない",IF(SUMPRODUCT((--O122:U122&gt;2)+(--O122:U122&lt;0))&gt;0,"△採点が範囲外","OK")))))))))))</f>
        <v/>
      </c>
      <c r="X122">
        <f>IF(W122&lt;&gt;"OK","",TRIM(IF(AND(AO122&lt;&gt;"",N(AO122)&lt;=1),"根拠1件 ","")&amp;IF(AP122&lt;&gt;"","同名あり ","")&amp;IF(AND(NOT(ISNUMBER(I122)),I122&lt;&gt;""),"回数を換算 ","")))</f>
        <v/>
      </c>
      <c r="Y122" s="31" t="n"/>
      <c r="Z122" s="32" t="n"/>
      <c r="AA122" s="32" t="n"/>
      <c r="AB122" s="31" t="n"/>
      <c r="AC122">
        <f>IF(W122&lt;&gt;"OK","",IF(AB122&lt;&gt;"",AB122,AE122))</f>
        <v/>
      </c>
      <c r="AD122" s="33">
        <f>IF(W122&lt;&gt;"OK","",IFERROR(IF(Z122&lt;&gt;"",Z122,AM122)*IF(AA122&lt;&gt;"",AA122,AN122)/60,""))</f>
        <v/>
      </c>
      <c r="AE122">
        <f>IF(W122&lt;&gt;"OK","",IF(OR(VALUE(O122)=2,VALUE(P122)=2,VALUE(Q122)=2),"社内残置",IF(AND(VALUE(O122)=0,VALUE(R122)=0,VALUE(T122)=0),"自動化候補",IF(AND(VALUE(P122)=0,VALUE(R122)&lt;=1,VALUE(S122)&lt;=1,VALUE(T122)&lt;=1,VALUE(U122)&lt;=1),"オフショア候補",IF(AND(VALUE(T122)&lt;=1,VALUE(U122)&lt;=1),"ニアショア候補","社内で手順化→再評価")))))</f>
        <v/>
      </c>
      <c r="AF122">
        <f>IF(W122&lt;&gt;"OK","",14-SUMPRODUCT(--O122:U122))</f>
        <v/>
      </c>
      <c r="AG122" s="33">
        <f>IF(W122&lt;&gt;"OK","",AM122*AN122/60)</f>
        <v/>
      </c>
      <c r="AH122" s="34">
        <f>IF(A122="","",UPPER(TRIM(ASC(A122&amp;""))))</f>
        <v/>
      </c>
      <c r="AI122" s="34">
        <f>IF(AH122="","",AH122&amp;"-"&amp;B122)</f>
        <v/>
      </c>
      <c r="AJ122" s="34">
        <f>IF(C122="","",IFERROR(VALUE(ASC(SUBSTITUTE(C122&amp;"","観点",""))),""))</f>
        <v/>
      </c>
      <c r="AK122" s="34">
        <f>IF(E122="","",UPPER(LEFT(TRIM(ASC(E122&amp;"")),3)))</f>
        <v/>
      </c>
      <c r="AL122" s="34">
        <f>IF(I122="","",IFERROR(VALUE(SUBSTITUTE(SUBSTITUTE(SUBSTITUTE(SUBSTITUTE(SUBSTITUTE(SUBSTITUTE(SUBSTITUTE(SUBSTITUTE(SUBSTITUTE(SUBSTITUTE(SUBSTITUTE(SUBSTITUTE(ASC(I122&amp;""),"約",""),"程度",""),"ほど",""),"回",""),"毎",""),"週",""),"月",""),"年",""),"日",""),"に",""),"/","")," ","")),""))</f>
        <v/>
      </c>
      <c r="AM122" s="34">
        <f>IF(I122="","",IF(ISNUMBER(I122),I122,IFERROR(VALUE(ASC(I122&amp;"")),IF(AL122&lt;&gt;"",AL122*IF(ISNUMBER(SEARCH("週",I122)),4.3,IF(ISNUMBER(SEARCH("年",I122)),1/12,IF(ISNUMBER(SEARCH("日",I122)),20,1))),IF(ISNUMBER(SEARCH("日",I122)),20,IF(ISNUMBER(SEARCH("週",I122)),4.3,IF(ISNUMBER(SEARCH("月",I122)),1,"")))))))</f>
        <v/>
      </c>
      <c r="AN122" s="34">
        <f>IF(J122="","",IF(ISNUMBER(J122),J122,IFERROR(VALUE(ASC(J122&amp;"")),IF(ISNUMBER(SEARCH("時間",J122)),IFERROR(VALUE(SUBSTITUTE(SUBSTITUTE(SUBSTITUTE(SUBSTITUTE(SUBSTITUTE(ASC(J122&amp;""),"約",""),"程度",""),"ほど",""),"時間","")," ",""))*60,""),IFERROR(VALUE(SUBSTITUTE(SUBSTITUTE(SUBSTITUTE(SUBSTITUTE(SUBSTITUTE(ASC(J122&amp;""),"約",""),"程度",""),"ほど",""),"分","")," ","")),"")))))</f>
        <v/>
      </c>
      <c r="AO122" s="34">
        <f>IF(K122="","",IF(ISNUMBER(K122),K122,IFERROR(VALUE(SUBSTITUTE(SUBSTITUTE(SUBSTITUTE(ASC(K122&amp;""),"約",""),"件","")," ","")),"")))</f>
        <v/>
      </c>
      <c r="AP122" s="34">
        <f>IF(W122&lt;&gt;"OK","",IF(COUNTIFS($D$5:$D$404,D122,$W$5:$W$404,"OK")&gt;1,"同名あり",""))</f>
        <v/>
      </c>
      <c r="AQ122" s="35">
        <f>IF(L122="","",IF(ISNUMBER(L122),L122,IFERROR(DATEVALUE(SUBSTITUTE(SUBSTITUTE(ASC(L122&amp;""),"-","/"),".","/")&amp;"/01"),"")))</f>
        <v/>
      </c>
      <c r="AR122" s="35">
        <f>IF(M122="","",IF(ISNUMBER(M122),M122,IFERROR(DATEVALUE(SUBSTITUTE(SUBSTITUTE(ASC(M122&amp;""),"-","/"),".","/")&amp;"/01"),"")))</f>
        <v/>
      </c>
      <c r="AS122" s="34">
        <f>IF(OR(W122&lt;&gt;"OK",AQ122=""),"",IF(AQ122&gt;='01_設定'!$C$26,1,0))</f>
        <v/>
      </c>
      <c r="AT122" s="34">
        <f>IF(AND(W122="OK",Y122&lt;&gt;"除外"),COUNTIFS($W$5:W122,"OK",$Y$5:Y122,"&lt;&gt;除外"),"")</f>
        <v/>
      </c>
      <c r="AU122" s="34">
        <f>IF(OR(AT122="",AD122=""),"",AD122+ROW()/1000000000)</f>
        <v/>
      </c>
    </row>
    <row r="123">
      <c r="W123">
        <f>IF(AND(A123="",D123=""),"",IF(ISNUMBER(SEARCH("##END",AH123)),"（終わりの印）",IF(ISNUMBER(SEARCH("##続き",AH123)),"（続きありの印）",IF(AH123="調査ID","（見出し行）",IF(AND(AH123&lt;&gt;"R1",AH123&lt;&gt;"R2"),"×表以外の行（集計されない）",IF(COUNTIF($AI$5:AI123,AI123)&gt;1,"△重複（集計されない）",IF(D123="","△タスク名なし",IF(ISNA(MATCH(AK123,'M1_類型マスタ'!$A$5:$A$19,0)),"△類型が不正",IF(OR(AM123="",AN123=""),"△回数・分が読めない",IF(SUMPRODUCT(--ISNUMBER(--O123:U123))&lt;7,"△採点が足りない",IF(SUMPRODUCT((--O123:U123&gt;2)+(--O123:U123&lt;0))&gt;0,"△採点が範囲外","OK")))))))))))</f>
        <v/>
      </c>
      <c r="X123">
        <f>IF(W123&lt;&gt;"OK","",TRIM(IF(AND(AO123&lt;&gt;"",N(AO123)&lt;=1),"根拠1件 ","")&amp;IF(AP123&lt;&gt;"","同名あり ","")&amp;IF(AND(NOT(ISNUMBER(I123)),I123&lt;&gt;""),"回数を換算 ","")))</f>
        <v/>
      </c>
      <c r="Y123" s="31" t="n"/>
      <c r="Z123" s="32" t="n"/>
      <c r="AA123" s="32" t="n"/>
      <c r="AB123" s="31" t="n"/>
      <c r="AC123">
        <f>IF(W123&lt;&gt;"OK","",IF(AB123&lt;&gt;"",AB123,AE123))</f>
        <v/>
      </c>
      <c r="AD123" s="33">
        <f>IF(W123&lt;&gt;"OK","",IFERROR(IF(Z123&lt;&gt;"",Z123,AM123)*IF(AA123&lt;&gt;"",AA123,AN123)/60,""))</f>
        <v/>
      </c>
      <c r="AE123">
        <f>IF(W123&lt;&gt;"OK","",IF(OR(VALUE(O123)=2,VALUE(P123)=2,VALUE(Q123)=2),"社内残置",IF(AND(VALUE(O123)=0,VALUE(R123)=0,VALUE(T123)=0),"自動化候補",IF(AND(VALUE(P123)=0,VALUE(R123)&lt;=1,VALUE(S123)&lt;=1,VALUE(T123)&lt;=1,VALUE(U123)&lt;=1),"オフショア候補",IF(AND(VALUE(T123)&lt;=1,VALUE(U123)&lt;=1),"ニアショア候補","社内で手順化→再評価")))))</f>
        <v/>
      </c>
      <c r="AF123">
        <f>IF(W123&lt;&gt;"OK","",14-SUMPRODUCT(--O123:U123))</f>
        <v/>
      </c>
      <c r="AG123" s="33">
        <f>IF(W123&lt;&gt;"OK","",AM123*AN123/60)</f>
        <v/>
      </c>
      <c r="AH123" s="34">
        <f>IF(A123="","",UPPER(TRIM(ASC(A123&amp;""))))</f>
        <v/>
      </c>
      <c r="AI123" s="34">
        <f>IF(AH123="","",AH123&amp;"-"&amp;B123)</f>
        <v/>
      </c>
      <c r="AJ123" s="34">
        <f>IF(C123="","",IFERROR(VALUE(ASC(SUBSTITUTE(C123&amp;"","観点",""))),""))</f>
        <v/>
      </c>
      <c r="AK123" s="34">
        <f>IF(E123="","",UPPER(LEFT(TRIM(ASC(E123&amp;"")),3)))</f>
        <v/>
      </c>
      <c r="AL123" s="34">
        <f>IF(I123="","",IFERROR(VALUE(SUBSTITUTE(SUBSTITUTE(SUBSTITUTE(SUBSTITUTE(SUBSTITUTE(SUBSTITUTE(SUBSTITUTE(SUBSTITUTE(SUBSTITUTE(SUBSTITUTE(SUBSTITUTE(SUBSTITUTE(ASC(I123&amp;""),"約",""),"程度",""),"ほど",""),"回",""),"毎",""),"週",""),"月",""),"年",""),"日",""),"に",""),"/","")," ","")),""))</f>
        <v/>
      </c>
      <c r="AM123" s="34">
        <f>IF(I123="","",IF(ISNUMBER(I123),I123,IFERROR(VALUE(ASC(I123&amp;"")),IF(AL123&lt;&gt;"",AL123*IF(ISNUMBER(SEARCH("週",I123)),4.3,IF(ISNUMBER(SEARCH("年",I123)),1/12,IF(ISNUMBER(SEARCH("日",I123)),20,1))),IF(ISNUMBER(SEARCH("日",I123)),20,IF(ISNUMBER(SEARCH("週",I123)),4.3,IF(ISNUMBER(SEARCH("月",I123)),1,"")))))))</f>
        <v/>
      </c>
      <c r="AN123" s="34">
        <f>IF(J123="","",IF(ISNUMBER(J123),J123,IFERROR(VALUE(ASC(J123&amp;"")),IF(ISNUMBER(SEARCH("時間",J123)),IFERROR(VALUE(SUBSTITUTE(SUBSTITUTE(SUBSTITUTE(SUBSTITUTE(SUBSTITUTE(ASC(J123&amp;""),"約",""),"程度",""),"ほど",""),"時間","")," ",""))*60,""),IFERROR(VALUE(SUBSTITUTE(SUBSTITUTE(SUBSTITUTE(SUBSTITUTE(SUBSTITUTE(ASC(J123&amp;""),"約",""),"程度",""),"ほど",""),"分","")," ","")),"")))))</f>
        <v/>
      </c>
      <c r="AO123" s="34">
        <f>IF(K123="","",IF(ISNUMBER(K123),K123,IFERROR(VALUE(SUBSTITUTE(SUBSTITUTE(SUBSTITUTE(ASC(K123&amp;""),"約",""),"件","")," ","")),"")))</f>
        <v/>
      </c>
      <c r="AP123" s="34">
        <f>IF(W123&lt;&gt;"OK","",IF(COUNTIFS($D$5:$D$404,D123,$W$5:$W$404,"OK")&gt;1,"同名あり",""))</f>
        <v/>
      </c>
      <c r="AQ123" s="35">
        <f>IF(L123="","",IF(ISNUMBER(L123),L123,IFERROR(DATEVALUE(SUBSTITUTE(SUBSTITUTE(ASC(L123&amp;""),"-","/"),".","/")&amp;"/01"),"")))</f>
        <v/>
      </c>
      <c r="AR123" s="35">
        <f>IF(M123="","",IF(ISNUMBER(M123),M123,IFERROR(DATEVALUE(SUBSTITUTE(SUBSTITUTE(ASC(M123&amp;""),"-","/"),".","/")&amp;"/01"),"")))</f>
        <v/>
      </c>
      <c r="AS123" s="34">
        <f>IF(OR(W123&lt;&gt;"OK",AQ123=""),"",IF(AQ123&gt;='01_設定'!$C$26,1,0))</f>
        <v/>
      </c>
      <c r="AT123" s="34">
        <f>IF(AND(W123="OK",Y123&lt;&gt;"除外"),COUNTIFS($W$5:W123,"OK",$Y$5:Y123,"&lt;&gt;除外"),"")</f>
        <v/>
      </c>
      <c r="AU123" s="34">
        <f>IF(OR(AT123="",AD123=""),"",AD123+ROW()/1000000000)</f>
        <v/>
      </c>
    </row>
    <row r="124">
      <c r="W124">
        <f>IF(AND(A124="",D124=""),"",IF(ISNUMBER(SEARCH("##END",AH124)),"（終わりの印）",IF(ISNUMBER(SEARCH("##続き",AH124)),"（続きありの印）",IF(AH124="調査ID","（見出し行）",IF(AND(AH124&lt;&gt;"R1",AH124&lt;&gt;"R2"),"×表以外の行（集計されない）",IF(COUNTIF($AI$5:AI124,AI124)&gt;1,"△重複（集計されない）",IF(D124="","△タスク名なし",IF(ISNA(MATCH(AK124,'M1_類型マスタ'!$A$5:$A$19,0)),"△類型が不正",IF(OR(AM124="",AN124=""),"△回数・分が読めない",IF(SUMPRODUCT(--ISNUMBER(--O124:U124))&lt;7,"△採点が足りない",IF(SUMPRODUCT((--O124:U124&gt;2)+(--O124:U124&lt;0))&gt;0,"△採点が範囲外","OK")))))))))))</f>
        <v/>
      </c>
      <c r="X124">
        <f>IF(W124&lt;&gt;"OK","",TRIM(IF(AND(AO124&lt;&gt;"",N(AO124)&lt;=1),"根拠1件 ","")&amp;IF(AP124&lt;&gt;"","同名あり ","")&amp;IF(AND(NOT(ISNUMBER(I124)),I124&lt;&gt;""),"回数を換算 ","")))</f>
        <v/>
      </c>
      <c r="Y124" s="31" t="n"/>
      <c r="Z124" s="32" t="n"/>
      <c r="AA124" s="32" t="n"/>
      <c r="AB124" s="31" t="n"/>
      <c r="AC124">
        <f>IF(W124&lt;&gt;"OK","",IF(AB124&lt;&gt;"",AB124,AE124))</f>
        <v/>
      </c>
      <c r="AD124" s="33">
        <f>IF(W124&lt;&gt;"OK","",IFERROR(IF(Z124&lt;&gt;"",Z124,AM124)*IF(AA124&lt;&gt;"",AA124,AN124)/60,""))</f>
        <v/>
      </c>
      <c r="AE124">
        <f>IF(W124&lt;&gt;"OK","",IF(OR(VALUE(O124)=2,VALUE(P124)=2,VALUE(Q124)=2),"社内残置",IF(AND(VALUE(O124)=0,VALUE(R124)=0,VALUE(T124)=0),"自動化候補",IF(AND(VALUE(P124)=0,VALUE(R124)&lt;=1,VALUE(S124)&lt;=1,VALUE(T124)&lt;=1,VALUE(U124)&lt;=1),"オフショア候補",IF(AND(VALUE(T124)&lt;=1,VALUE(U124)&lt;=1),"ニアショア候補","社内で手順化→再評価")))))</f>
        <v/>
      </c>
      <c r="AF124">
        <f>IF(W124&lt;&gt;"OK","",14-SUMPRODUCT(--O124:U124))</f>
        <v/>
      </c>
      <c r="AG124" s="33">
        <f>IF(W124&lt;&gt;"OK","",AM124*AN124/60)</f>
        <v/>
      </c>
      <c r="AH124" s="34">
        <f>IF(A124="","",UPPER(TRIM(ASC(A124&amp;""))))</f>
        <v/>
      </c>
      <c r="AI124" s="34">
        <f>IF(AH124="","",AH124&amp;"-"&amp;B124)</f>
        <v/>
      </c>
      <c r="AJ124" s="34">
        <f>IF(C124="","",IFERROR(VALUE(ASC(SUBSTITUTE(C124&amp;"","観点",""))),""))</f>
        <v/>
      </c>
      <c r="AK124" s="34">
        <f>IF(E124="","",UPPER(LEFT(TRIM(ASC(E124&amp;"")),3)))</f>
        <v/>
      </c>
      <c r="AL124" s="34">
        <f>IF(I124="","",IFERROR(VALUE(SUBSTITUTE(SUBSTITUTE(SUBSTITUTE(SUBSTITUTE(SUBSTITUTE(SUBSTITUTE(SUBSTITUTE(SUBSTITUTE(SUBSTITUTE(SUBSTITUTE(SUBSTITUTE(SUBSTITUTE(ASC(I124&amp;""),"約",""),"程度",""),"ほど",""),"回",""),"毎",""),"週",""),"月",""),"年",""),"日",""),"に",""),"/","")," ","")),""))</f>
        <v/>
      </c>
      <c r="AM124" s="34">
        <f>IF(I124="","",IF(ISNUMBER(I124),I124,IFERROR(VALUE(ASC(I124&amp;"")),IF(AL124&lt;&gt;"",AL124*IF(ISNUMBER(SEARCH("週",I124)),4.3,IF(ISNUMBER(SEARCH("年",I124)),1/12,IF(ISNUMBER(SEARCH("日",I124)),20,1))),IF(ISNUMBER(SEARCH("日",I124)),20,IF(ISNUMBER(SEARCH("週",I124)),4.3,IF(ISNUMBER(SEARCH("月",I124)),1,"")))))))</f>
        <v/>
      </c>
      <c r="AN124" s="34">
        <f>IF(J124="","",IF(ISNUMBER(J124),J124,IFERROR(VALUE(ASC(J124&amp;"")),IF(ISNUMBER(SEARCH("時間",J124)),IFERROR(VALUE(SUBSTITUTE(SUBSTITUTE(SUBSTITUTE(SUBSTITUTE(SUBSTITUTE(ASC(J124&amp;""),"約",""),"程度",""),"ほど",""),"時間","")," ",""))*60,""),IFERROR(VALUE(SUBSTITUTE(SUBSTITUTE(SUBSTITUTE(SUBSTITUTE(SUBSTITUTE(ASC(J124&amp;""),"約",""),"程度",""),"ほど",""),"分","")," ","")),"")))))</f>
        <v/>
      </c>
      <c r="AO124" s="34">
        <f>IF(K124="","",IF(ISNUMBER(K124),K124,IFERROR(VALUE(SUBSTITUTE(SUBSTITUTE(SUBSTITUTE(ASC(K124&amp;""),"約",""),"件","")," ","")),"")))</f>
        <v/>
      </c>
      <c r="AP124" s="34">
        <f>IF(W124&lt;&gt;"OK","",IF(COUNTIFS($D$5:$D$404,D124,$W$5:$W$404,"OK")&gt;1,"同名あり",""))</f>
        <v/>
      </c>
      <c r="AQ124" s="35">
        <f>IF(L124="","",IF(ISNUMBER(L124),L124,IFERROR(DATEVALUE(SUBSTITUTE(SUBSTITUTE(ASC(L124&amp;""),"-","/"),".","/")&amp;"/01"),"")))</f>
        <v/>
      </c>
      <c r="AR124" s="35">
        <f>IF(M124="","",IF(ISNUMBER(M124),M124,IFERROR(DATEVALUE(SUBSTITUTE(SUBSTITUTE(ASC(M124&amp;""),"-","/"),".","/")&amp;"/01"),"")))</f>
        <v/>
      </c>
      <c r="AS124" s="34">
        <f>IF(OR(W124&lt;&gt;"OK",AQ124=""),"",IF(AQ124&gt;='01_設定'!$C$26,1,0))</f>
        <v/>
      </c>
      <c r="AT124" s="34">
        <f>IF(AND(W124="OK",Y124&lt;&gt;"除外"),COUNTIFS($W$5:W124,"OK",$Y$5:Y124,"&lt;&gt;除外"),"")</f>
        <v/>
      </c>
      <c r="AU124" s="34">
        <f>IF(OR(AT124="",AD124=""),"",AD124+ROW()/1000000000)</f>
        <v/>
      </c>
    </row>
    <row r="125">
      <c r="W125">
        <f>IF(AND(A125="",D125=""),"",IF(ISNUMBER(SEARCH("##END",AH125)),"（終わりの印）",IF(ISNUMBER(SEARCH("##続き",AH125)),"（続きありの印）",IF(AH125="調査ID","（見出し行）",IF(AND(AH125&lt;&gt;"R1",AH125&lt;&gt;"R2"),"×表以外の行（集計されない）",IF(COUNTIF($AI$5:AI125,AI125)&gt;1,"△重複（集計されない）",IF(D125="","△タスク名なし",IF(ISNA(MATCH(AK125,'M1_類型マスタ'!$A$5:$A$19,0)),"△類型が不正",IF(OR(AM125="",AN125=""),"△回数・分が読めない",IF(SUMPRODUCT(--ISNUMBER(--O125:U125))&lt;7,"△採点が足りない",IF(SUMPRODUCT((--O125:U125&gt;2)+(--O125:U125&lt;0))&gt;0,"△採点が範囲外","OK")))))))))))</f>
        <v/>
      </c>
      <c r="X125">
        <f>IF(W125&lt;&gt;"OK","",TRIM(IF(AND(AO125&lt;&gt;"",N(AO125)&lt;=1),"根拠1件 ","")&amp;IF(AP125&lt;&gt;"","同名あり ","")&amp;IF(AND(NOT(ISNUMBER(I125)),I125&lt;&gt;""),"回数を換算 ","")))</f>
        <v/>
      </c>
      <c r="Y125" s="31" t="n"/>
      <c r="Z125" s="32" t="n"/>
      <c r="AA125" s="32" t="n"/>
      <c r="AB125" s="31" t="n"/>
      <c r="AC125">
        <f>IF(W125&lt;&gt;"OK","",IF(AB125&lt;&gt;"",AB125,AE125))</f>
        <v/>
      </c>
      <c r="AD125" s="33">
        <f>IF(W125&lt;&gt;"OK","",IFERROR(IF(Z125&lt;&gt;"",Z125,AM125)*IF(AA125&lt;&gt;"",AA125,AN125)/60,""))</f>
        <v/>
      </c>
      <c r="AE125">
        <f>IF(W125&lt;&gt;"OK","",IF(OR(VALUE(O125)=2,VALUE(P125)=2,VALUE(Q125)=2),"社内残置",IF(AND(VALUE(O125)=0,VALUE(R125)=0,VALUE(T125)=0),"自動化候補",IF(AND(VALUE(P125)=0,VALUE(R125)&lt;=1,VALUE(S125)&lt;=1,VALUE(T125)&lt;=1,VALUE(U125)&lt;=1),"オフショア候補",IF(AND(VALUE(T125)&lt;=1,VALUE(U125)&lt;=1),"ニアショア候補","社内で手順化→再評価")))))</f>
        <v/>
      </c>
      <c r="AF125">
        <f>IF(W125&lt;&gt;"OK","",14-SUMPRODUCT(--O125:U125))</f>
        <v/>
      </c>
      <c r="AG125" s="33">
        <f>IF(W125&lt;&gt;"OK","",AM125*AN125/60)</f>
        <v/>
      </c>
      <c r="AH125" s="34">
        <f>IF(A125="","",UPPER(TRIM(ASC(A125&amp;""))))</f>
        <v/>
      </c>
      <c r="AI125" s="34">
        <f>IF(AH125="","",AH125&amp;"-"&amp;B125)</f>
        <v/>
      </c>
      <c r="AJ125" s="34">
        <f>IF(C125="","",IFERROR(VALUE(ASC(SUBSTITUTE(C125&amp;"","観点",""))),""))</f>
        <v/>
      </c>
      <c r="AK125" s="34">
        <f>IF(E125="","",UPPER(LEFT(TRIM(ASC(E125&amp;"")),3)))</f>
        <v/>
      </c>
      <c r="AL125" s="34">
        <f>IF(I125="","",IFERROR(VALUE(SUBSTITUTE(SUBSTITUTE(SUBSTITUTE(SUBSTITUTE(SUBSTITUTE(SUBSTITUTE(SUBSTITUTE(SUBSTITUTE(SUBSTITUTE(SUBSTITUTE(SUBSTITUTE(SUBSTITUTE(ASC(I125&amp;""),"約",""),"程度",""),"ほど",""),"回",""),"毎",""),"週",""),"月",""),"年",""),"日",""),"に",""),"/","")," ","")),""))</f>
        <v/>
      </c>
      <c r="AM125" s="34">
        <f>IF(I125="","",IF(ISNUMBER(I125),I125,IFERROR(VALUE(ASC(I125&amp;"")),IF(AL125&lt;&gt;"",AL125*IF(ISNUMBER(SEARCH("週",I125)),4.3,IF(ISNUMBER(SEARCH("年",I125)),1/12,IF(ISNUMBER(SEARCH("日",I125)),20,1))),IF(ISNUMBER(SEARCH("日",I125)),20,IF(ISNUMBER(SEARCH("週",I125)),4.3,IF(ISNUMBER(SEARCH("月",I125)),1,"")))))))</f>
        <v/>
      </c>
      <c r="AN125" s="34">
        <f>IF(J125="","",IF(ISNUMBER(J125),J125,IFERROR(VALUE(ASC(J125&amp;"")),IF(ISNUMBER(SEARCH("時間",J125)),IFERROR(VALUE(SUBSTITUTE(SUBSTITUTE(SUBSTITUTE(SUBSTITUTE(SUBSTITUTE(ASC(J125&amp;""),"約",""),"程度",""),"ほど",""),"時間","")," ",""))*60,""),IFERROR(VALUE(SUBSTITUTE(SUBSTITUTE(SUBSTITUTE(SUBSTITUTE(SUBSTITUTE(ASC(J125&amp;""),"約",""),"程度",""),"ほど",""),"分","")," ","")),"")))))</f>
        <v/>
      </c>
      <c r="AO125" s="34">
        <f>IF(K125="","",IF(ISNUMBER(K125),K125,IFERROR(VALUE(SUBSTITUTE(SUBSTITUTE(SUBSTITUTE(ASC(K125&amp;""),"約",""),"件","")," ","")),"")))</f>
        <v/>
      </c>
      <c r="AP125" s="34">
        <f>IF(W125&lt;&gt;"OK","",IF(COUNTIFS($D$5:$D$404,D125,$W$5:$W$404,"OK")&gt;1,"同名あり",""))</f>
        <v/>
      </c>
      <c r="AQ125" s="35">
        <f>IF(L125="","",IF(ISNUMBER(L125),L125,IFERROR(DATEVALUE(SUBSTITUTE(SUBSTITUTE(ASC(L125&amp;""),"-","/"),".","/")&amp;"/01"),"")))</f>
        <v/>
      </c>
      <c r="AR125" s="35">
        <f>IF(M125="","",IF(ISNUMBER(M125),M125,IFERROR(DATEVALUE(SUBSTITUTE(SUBSTITUTE(ASC(M125&amp;""),"-","/"),".","/")&amp;"/01"),"")))</f>
        <v/>
      </c>
      <c r="AS125" s="34">
        <f>IF(OR(W125&lt;&gt;"OK",AQ125=""),"",IF(AQ125&gt;='01_設定'!$C$26,1,0))</f>
        <v/>
      </c>
      <c r="AT125" s="34">
        <f>IF(AND(W125="OK",Y125&lt;&gt;"除外"),COUNTIFS($W$5:W125,"OK",$Y$5:Y125,"&lt;&gt;除外"),"")</f>
        <v/>
      </c>
      <c r="AU125" s="34">
        <f>IF(OR(AT125="",AD125=""),"",AD125+ROW()/1000000000)</f>
        <v/>
      </c>
    </row>
    <row r="126">
      <c r="W126">
        <f>IF(AND(A126="",D126=""),"",IF(ISNUMBER(SEARCH("##END",AH126)),"（終わりの印）",IF(ISNUMBER(SEARCH("##続き",AH126)),"（続きありの印）",IF(AH126="調査ID","（見出し行）",IF(AND(AH126&lt;&gt;"R1",AH126&lt;&gt;"R2"),"×表以外の行（集計されない）",IF(COUNTIF($AI$5:AI126,AI126)&gt;1,"△重複（集計されない）",IF(D126="","△タスク名なし",IF(ISNA(MATCH(AK126,'M1_類型マスタ'!$A$5:$A$19,0)),"△類型が不正",IF(OR(AM126="",AN126=""),"△回数・分が読めない",IF(SUMPRODUCT(--ISNUMBER(--O126:U126))&lt;7,"△採点が足りない",IF(SUMPRODUCT((--O126:U126&gt;2)+(--O126:U126&lt;0))&gt;0,"△採点が範囲外","OK")))))))))))</f>
        <v/>
      </c>
      <c r="X126">
        <f>IF(W126&lt;&gt;"OK","",TRIM(IF(AND(AO126&lt;&gt;"",N(AO126)&lt;=1),"根拠1件 ","")&amp;IF(AP126&lt;&gt;"","同名あり ","")&amp;IF(AND(NOT(ISNUMBER(I126)),I126&lt;&gt;""),"回数を換算 ","")))</f>
        <v/>
      </c>
      <c r="Y126" s="31" t="n"/>
      <c r="Z126" s="32" t="n"/>
      <c r="AA126" s="32" t="n"/>
      <c r="AB126" s="31" t="n"/>
      <c r="AC126">
        <f>IF(W126&lt;&gt;"OK","",IF(AB126&lt;&gt;"",AB126,AE126))</f>
        <v/>
      </c>
      <c r="AD126" s="33">
        <f>IF(W126&lt;&gt;"OK","",IFERROR(IF(Z126&lt;&gt;"",Z126,AM126)*IF(AA126&lt;&gt;"",AA126,AN126)/60,""))</f>
        <v/>
      </c>
      <c r="AE126">
        <f>IF(W126&lt;&gt;"OK","",IF(OR(VALUE(O126)=2,VALUE(P126)=2,VALUE(Q126)=2),"社内残置",IF(AND(VALUE(O126)=0,VALUE(R126)=0,VALUE(T126)=0),"自動化候補",IF(AND(VALUE(P126)=0,VALUE(R126)&lt;=1,VALUE(S126)&lt;=1,VALUE(T126)&lt;=1,VALUE(U126)&lt;=1),"オフショア候補",IF(AND(VALUE(T126)&lt;=1,VALUE(U126)&lt;=1),"ニアショア候補","社内で手順化→再評価")))))</f>
        <v/>
      </c>
      <c r="AF126">
        <f>IF(W126&lt;&gt;"OK","",14-SUMPRODUCT(--O126:U126))</f>
        <v/>
      </c>
      <c r="AG126" s="33">
        <f>IF(W126&lt;&gt;"OK","",AM126*AN126/60)</f>
        <v/>
      </c>
      <c r="AH126" s="34">
        <f>IF(A126="","",UPPER(TRIM(ASC(A126&amp;""))))</f>
        <v/>
      </c>
      <c r="AI126" s="34">
        <f>IF(AH126="","",AH126&amp;"-"&amp;B126)</f>
        <v/>
      </c>
      <c r="AJ126" s="34">
        <f>IF(C126="","",IFERROR(VALUE(ASC(SUBSTITUTE(C126&amp;"","観点",""))),""))</f>
        <v/>
      </c>
      <c r="AK126" s="34">
        <f>IF(E126="","",UPPER(LEFT(TRIM(ASC(E126&amp;"")),3)))</f>
        <v/>
      </c>
      <c r="AL126" s="34">
        <f>IF(I126="","",IFERROR(VALUE(SUBSTITUTE(SUBSTITUTE(SUBSTITUTE(SUBSTITUTE(SUBSTITUTE(SUBSTITUTE(SUBSTITUTE(SUBSTITUTE(SUBSTITUTE(SUBSTITUTE(SUBSTITUTE(SUBSTITUTE(ASC(I126&amp;""),"約",""),"程度",""),"ほど",""),"回",""),"毎",""),"週",""),"月",""),"年",""),"日",""),"に",""),"/","")," ","")),""))</f>
        <v/>
      </c>
      <c r="AM126" s="34">
        <f>IF(I126="","",IF(ISNUMBER(I126),I126,IFERROR(VALUE(ASC(I126&amp;"")),IF(AL126&lt;&gt;"",AL126*IF(ISNUMBER(SEARCH("週",I126)),4.3,IF(ISNUMBER(SEARCH("年",I126)),1/12,IF(ISNUMBER(SEARCH("日",I126)),20,1))),IF(ISNUMBER(SEARCH("日",I126)),20,IF(ISNUMBER(SEARCH("週",I126)),4.3,IF(ISNUMBER(SEARCH("月",I126)),1,"")))))))</f>
        <v/>
      </c>
      <c r="AN126" s="34">
        <f>IF(J126="","",IF(ISNUMBER(J126),J126,IFERROR(VALUE(ASC(J126&amp;"")),IF(ISNUMBER(SEARCH("時間",J126)),IFERROR(VALUE(SUBSTITUTE(SUBSTITUTE(SUBSTITUTE(SUBSTITUTE(SUBSTITUTE(ASC(J126&amp;""),"約",""),"程度",""),"ほど",""),"時間","")," ",""))*60,""),IFERROR(VALUE(SUBSTITUTE(SUBSTITUTE(SUBSTITUTE(SUBSTITUTE(SUBSTITUTE(ASC(J126&amp;""),"約",""),"程度",""),"ほど",""),"分","")," ","")),"")))))</f>
        <v/>
      </c>
      <c r="AO126" s="34">
        <f>IF(K126="","",IF(ISNUMBER(K126),K126,IFERROR(VALUE(SUBSTITUTE(SUBSTITUTE(SUBSTITUTE(ASC(K126&amp;""),"約",""),"件","")," ","")),"")))</f>
        <v/>
      </c>
      <c r="AP126" s="34">
        <f>IF(W126&lt;&gt;"OK","",IF(COUNTIFS($D$5:$D$404,D126,$W$5:$W$404,"OK")&gt;1,"同名あり",""))</f>
        <v/>
      </c>
      <c r="AQ126" s="35">
        <f>IF(L126="","",IF(ISNUMBER(L126),L126,IFERROR(DATEVALUE(SUBSTITUTE(SUBSTITUTE(ASC(L126&amp;""),"-","/"),".","/")&amp;"/01"),"")))</f>
        <v/>
      </c>
      <c r="AR126" s="35">
        <f>IF(M126="","",IF(ISNUMBER(M126),M126,IFERROR(DATEVALUE(SUBSTITUTE(SUBSTITUTE(ASC(M126&amp;""),"-","/"),".","/")&amp;"/01"),"")))</f>
        <v/>
      </c>
      <c r="AS126" s="34">
        <f>IF(OR(W126&lt;&gt;"OK",AQ126=""),"",IF(AQ126&gt;='01_設定'!$C$26,1,0))</f>
        <v/>
      </c>
      <c r="AT126" s="34">
        <f>IF(AND(W126="OK",Y126&lt;&gt;"除外"),COUNTIFS($W$5:W126,"OK",$Y$5:Y126,"&lt;&gt;除外"),"")</f>
        <v/>
      </c>
      <c r="AU126" s="34">
        <f>IF(OR(AT126="",AD126=""),"",AD126+ROW()/1000000000)</f>
        <v/>
      </c>
    </row>
    <row r="127">
      <c r="W127">
        <f>IF(AND(A127="",D127=""),"",IF(ISNUMBER(SEARCH("##END",AH127)),"（終わりの印）",IF(ISNUMBER(SEARCH("##続き",AH127)),"（続きありの印）",IF(AH127="調査ID","（見出し行）",IF(AND(AH127&lt;&gt;"R1",AH127&lt;&gt;"R2"),"×表以外の行（集計されない）",IF(COUNTIF($AI$5:AI127,AI127)&gt;1,"△重複（集計されない）",IF(D127="","△タスク名なし",IF(ISNA(MATCH(AK127,'M1_類型マスタ'!$A$5:$A$19,0)),"△類型が不正",IF(OR(AM127="",AN127=""),"△回数・分が読めない",IF(SUMPRODUCT(--ISNUMBER(--O127:U127))&lt;7,"△採点が足りない",IF(SUMPRODUCT((--O127:U127&gt;2)+(--O127:U127&lt;0))&gt;0,"△採点が範囲外","OK")))))))))))</f>
        <v/>
      </c>
      <c r="X127">
        <f>IF(W127&lt;&gt;"OK","",TRIM(IF(AND(AO127&lt;&gt;"",N(AO127)&lt;=1),"根拠1件 ","")&amp;IF(AP127&lt;&gt;"","同名あり ","")&amp;IF(AND(NOT(ISNUMBER(I127)),I127&lt;&gt;""),"回数を換算 ","")))</f>
        <v/>
      </c>
      <c r="Y127" s="31" t="n"/>
      <c r="Z127" s="32" t="n"/>
      <c r="AA127" s="32" t="n"/>
      <c r="AB127" s="31" t="n"/>
      <c r="AC127">
        <f>IF(W127&lt;&gt;"OK","",IF(AB127&lt;&gt;"",AB127,AE127))</f>
        <v/>
      </c>
      <c r="AD127" s="33">
        <f>IF(W127&lt;&gt;"OK","",IFERROR(IF(Z127&lt;&gt;"",Z127,AM127)*IF(AA127&lt;&gt;"",AA127,AN127)/60,""))</f>
        <v/>
      </c>
      <c r="AE127">
        <f>IF(W127&lt;&gt;"OK","",IF(OR(VALUE(O127)=2,VALUE(P127)=2,VALUE(Q127)=2),"社内残置",IF(AND(VALUE(O127)=0,VALUE(R127)=0,VALUE(T127)=0),"自動化候補",IF(AND(VALUE(P127)=0,VALUE(R127)&lt;=1,VALUE(S127)&lt;=1,VALUE(T127)&lt;=1,VALUE(U127)&lt;=1),"オフショア候補",IF(AND(VALUE(T127)&lt;=1,VALUE(U127)&lt;=1),"ニアショア候補","社内で手順化→再評価")))))</f>
        <v/>
      </c>
      <c r="AF127">
        <f>IF(W127&lt;&gt;"OK","",14-SUMPRODUCT(--O127:U127))</f>
        <v/>
      </c>
      <c r="AG127" s="33">
        <f>IF(W127&lt;&gt;"OK","",AM127*AN127/60)</f>
        <v/>
      </c>
      <c r="AH127" s="34">
        <f>IF(A127="","",UPPER(TRIM(ASC(A127&amp;""))))</f>
        <v/>
      </c>
      <c r="AI127" s="34">
        <f>IF(AH127="","",AH127&amp;"-"&amp;B127)</f>
        <v/>
      </c>
      <c r="AJ127" s="34">
        <f>IF(C127="","",IFERROR(VALUE(ASC(SUBSTITUTE(C127&amp;"","観点",""))),""))</f>
        <v/>
      </c>
      <c r="AK127" s="34">
        <f>IF(E127="","",UPPER(LEFT(TRIM(ASC(E127&amp;"")),3)))</f>
        <v/>
      </c>
      <c r="AL127" s="34">
        <f>IF(I127="","",IFERROR(VALUE(SUBSTITUTE(SUBSTITUTE(SUBSTITUTE(SUBSTITUTE(SUBSTITUTE(SUBSTITUTE(SUBSTITUTE(SUBSTITUTE(SUBSTITUTE(SUBSTITUTE(SUBSTITUTE(SUBSTITUTE(ASC(I127&amp;""),"約",""),"程度",""),"ほど",""),"回",""),"毎",""),"週",""),"月",""),"年",""),"日",""),"に",""),"/","")," ","")),""))</f>
        <v/>
      </c>
      <c r="AM127" s="34">
        <f>IF(I127="","",IF(ISNUMBER(I127),I127,IFERROR(VALUE(ASC(I127&amp;"")),IF(AL127&lt;&gt;"",AL127*IF(ISNUMBER(SEARCH("週",I127)),4.3,IF(ISNUMBER(SEARCH("年",I127)),1/12,IF(ISNUMBER(SEARCH("日",I127)),20,1))),IF(ISNUMBER(SEARCH("日",I127)),20,IF(ISNUMBER(SEARCH("週",I127)),4.3,IF(ISNUMBER(SEARCH("月",I127)),1,"")))))))</f>
        <v/>
      </c>
      <c r="AN127" s="34">
        <f>IF(J127="","",IF(ISNUMBER(J127),J127,IFERROR(VALUE(ASC(J127&amp;"")),IF(ISNUMBER(SEARCH("時間",J127)),IFERROR(VALUE(SUBSTITUTE(SUBSTITUTE(SUBSTITUTE(SUBSTITUTE(SUBSTITUTE(ASC(J127&amp;""),"約",""),"程度",""),"ほど",""),"時間","")," ",""))*60,""),IFERROR(VALUE(SUBSTITUTE(SUBSTITUTE(SUBSTITUTE(SUBSTITUTE(SUBSTITUTE(ASC(J127&amp;""),"約",""),"程度",""),"ほど",""),"分","")," ","")),"")))))</f>
        <v/>
      </c>
      <c r="AO127" s="34">
        <f>IF(K127="","",IF(ISNUMBER(K127),K127,IFERROR(VALUE(SUBSTITUTE(SUBSTITUTE(SUBSTITUTE(ASC(K127&amp;""),"約",""),"件","")," ","")),"")))</f>
        <v/>
      </c>
      <c r="AP127" s="34">
        <f>IF(W127&lt;&gt;"OK","",IF(COUNTIFS($D$5:$D$404,D127,$W$5:$W$404,"OK")&gt;1,"同名あり",""))</f>
        <v/>
      </c>
      <c r="AQ127" s="35">
        <f>IF(L127="","",IF(ISNUMBER(L127),L127,IFERROR(DATEVALUE(SUBSTITUTE(SUBSTITUTE(ASC(L127&amp;""),"-","/"),".","/")&amp;"/01"),"")))</f>
        <v/>
      </c>
      <c r="AR127" s="35">
        <f>IF(M127="","",IF(ISNUMBER(M127),M127,IFERROR(DATEVALUE(SUBSTITUTE(SUBSTITUTE(ASC(M127&amp;""),"-","/"),".","/")&amp;"/01"),"")))</f>
        <v/>
      </c>
      <c r="AS127" s="34">
        <f>IF(OR(W127&lt;&gt;"OK",AQ127=""),"",IF(AQ127&gt;='01_設定'!$C$26,1,0))</f>
        <v/>
      </c>
      <c r="AT127" s="34">
        <f>IF(AND(W127="OK",Y127&lt;&gt;"除外"),COUNTIFS($W$5:W127,"OK",$Y$5:Y127,"&lt;&gt;除外"),"")</f>
        <v/>
      </c>
      <c r="AU127" s="34">
        <f>IF(OR(AT127="",AD127=""),"",AD127+ROW()/1000000000)</f>
        <v/>
      </c>
    </row>
    <row r="128">
      <c r="W128">
        <f>IF(AND(A128="",D128=""),"",IF(ISNUMBER(SEARCH("##END",AH128)),"（終わりの印）",IF(ISNUMBER(SEARCH("##続き",AH128)),"（続きありの印）",IF(AH128="調査ID","（見出し行）",IF(AND(AH128&lt;&gt;"R1",AH128&lt;&gt;"R2"),"×表以外の行（集計されない）",IF(COUNTIF($AI$5:AI128,AI128)&gt;1,"△重複（集計されない）",IF(D128="","△タスク名なし",IF(ISNA(MATCH(AK128,'M1_類型マスタ'!$A$5:$A$19,0)),"△類型が不正",IF(OR(AM128="",AN128=""),"△回数・分が読めない",IF(SUMPRODUCT(--ISNUMBER(--O128:U128))&lt;7,"△採点が足りない",IF(SUMPRODUCT((--O128:U128&gt;2)+(--O128:U128&lt;0))&gt;0,"△採点が範囲外","OK")))))))))))</f>
        <v/>
      </c>
      <c r="X128">
        <f>IF(W128&lt;&gt;"OK","",TRIM(IF(AND(AO128&lt;&gt;"",N(AO128)&lt;=1),"根拠1件 ","")&amp;IF(AP128&lt;&gt;"","同名あり ","")&amp;IF(AND(NOT(ISNUMBER(I128)),I128&lt;&gt;""),"回数を換算 ","")))</f>
        <v/>
      </c>
      <c r="Y128" s="31" t="n"/>
      <c r="Z128" s="32" t="n"/>
      <c r="AA128" s="32" t="n"/>
      <c r="AB128" s="31" t="n"/>
      <c r="AC128">
        <f>IF(W128&lt;&gt;"OK","",IF(AB128&lt;&gt;"",AB128,AE128))</f>
        <v/>
      </c>
      <c r="AD128" s="33">
        <f>IF(W128&lt;&gt;"OK","",IFERROR(IF(Z128&lt;&gt;"",Z128,AM128)*IF(AA128&lt;&gt;"",AA128,AN128)/60,""))</f>
        <v/>
      </c>
      <c r="AE128">
        <f>IF(W128&lt;&gt;"OK","",IF(OR(VALUE(O128)=2,VALUE(P128)=2,VALUE(Q128)=2),"社内残置",IF(AND(VALUE(O128)=0,VALUE(R128)=0,VALUE(T128)=0),"自動化候補",IF(AND(VALUE(P128)=0,VALUE(R128)&lt;=1,VALUE(S128)&lt;=1,VALUE(T128)&lt;=1,VALUE(U128)&lt;=1),"オフショア候補",IF(AND(VALUE(T128)&lt;=1,VALUE(U128)&lt;=1),"ニアショア候補","社内で手順化→再評価")))))</f>
        <v/>
      </c>
      <c r="AF128">
        <f>IF(W128&lt;&gt;"OK","",14-SUMPRODUCT(--O128:U128))</f>
        <v/>
      </c>
      <c r="AG128" s="33">
        <f>IF(W128&lt;&gt;"OK","",AM128*AN128/60)</f>
        <v/>
      </c>
      <c r="AH128" s="34">
        <f>IF(A128="","",UPPER(TRIM(ASC(A128&amp;""))))</f>
        <v/>
      </c>
      <c r="AI128" s="34">
        <f>IF(AH128="","",AH128&amp;"-"&amp;B128)</f>
        <v/>
      </c>
      <c r="AJ128" s="34">
        <f>IF(C128="","",IFERROR(VALUE(ASC(SUBSTITUTE(C128&amp;"","観点",""))),""))</f>
        <v/>
      </c>
      <c r="AK128" s="34">
        <f>IF(E128="","",UPPER(LEFT(TRIM(ASC(E128&amp;"")),3)))</f>
        <v/>
      </c>
      <c r="AL128" s="34">
        <f>IF(I128="","",IFERROR(VALUE(SUBSTITUTE(SUBSTITUTE(SUBSTITUTE(SUBSTITUTE(SUBSTITUTE(SUBSTITUTE(SUBSTITUTE(SUBSTITUTE(SUBSTITUTE(SUBSTITUTE(SUBSTITUTE(SUBSTITUTE(ASC(I128&amp;""),"約",""),"程度",""),"ほど",""),"回",""),"毎",""),"週",""),"月",""),"年",""),"日",""),"に",""),"/","")," ","")),""))</f>
        <v/>
      </c>
      <c r="AM128" s="34">
        <f>IF(I128="","",IF(ISNUMBER(I128),I128,IFERROR(VALUE(ASC(I128&amp;"")),IF(AL128&lt;&gt;"",AL128*IF(ISNUMBER(SEARCH("週",I128)),4.3,IF(ISNUMBER(SEARCH("年",I128)),1/12,IF(ISNUMBER(SEARCH("日",I128)),20,1))),IF(ISNUMBER(SEARCH("日",I128)),20,IF(ISNUMBER(SEARCH("週",I128)),4.3,IF(ISNUMBER(SEARCH("月",I128)),1,"")))))))</f>
        <v/>
      </c>
      <c r="AN128" s="34">
        <f>IF(J128="","",IF(ISNUMBER(J128),J128,IFERROR(VALUE(ASC(J128&amp;"")),IF(ISNUMBER(SEARCH("時間",J128)),IFERROR(VALUE(SUBSTITUTE(SUBSTITUTE(SUBSTITUTE(SUBSTITUTE(SUBSTITUTE(ASC(J128&amp;""),"約",""),"程度",""),"ほど",""),"時間","")," ",""))*60,""),IFERROR(VALUE(SUBSTITUTE(SUBSTITUTE(SUBSTITUTE(SUBSTITUTE(SUBSTITUTE(ASC(J128&amp;""),"約",""),"程度",""),"ほど",""),"分","")," ","")),"")))))</f>
        <v/>
      </c>
      <c r="AO128" s="34">
        <f>IF(K128="","",IF(ISNUMBER(K128),K128,IFERROR(VALUE(SUBSTITUTE(SUBSTITUTE(SUBSTITUTE(ASC(K128&amp;""),"約",""),"件","")," ","")),"")))</f>
        <v/>
      </c>
      <c r="AP128" s="34">
        <f>IF(W128&lt;&gt;"OK","",IF(COUNTIFS($D$5:$D$404,D128,$W$5:$W$404,"OK")&gt;1,"同名あり",""))</f>
        <v/>
      </c>
      <c r="AQ128" s="35">
        <f>IF(L128="","",IF(ISNUMBER(L128),L128,IFERROR(DATEVALUE(SUBSTITUTE(SUBSTITUTE(ASC(L128&amp;""),"-","/"),".","/")&amp;"/01"),"")))</f>
        <v/>
      </c>
      <c r="AR128" s="35">
        <f>IF(M128="","",IF(ISNUMBER(M128),M128,IFERROR(DATEVALUE(SUBSTITUTE(SUBSTITUTE(ASC(M128&amp;""),"-","/"),".","/")&amp;"/01"),"")))</f>
        <v/>
      </c>
      <c r="AS128" s="34">
        <f>IF(OR(W128&lt;&gt;"OK",AQ128=""),"",IF(AQ128&gt;='01_設定'!$C$26,1,0))</f>
        <v/>
      </c>
      <c r="AT128" s="34">
        <f>IF(AND(W128="OK",Y128&lt;&gt;"除外"),COUNTIFS($W$5:W128,"OK",$Y$5:Y128,"&lt;&gt;除外"),"")</f>
        <v/>
      </c>
      <c r="AU128" s="34">
        <f>IF(OR(AT128="",AD128=""),"",AD128+ROW()/1000000000)</f>
        <v/>
      </c>
    </row>
    <row r="129">
      <c r="W129">
        <f>IF(AND(A129="",D129=""),"",IF(ISNUMBER(SEARCH("##END",AH129)),"（終わりの印）",IF(ISNUMBER(SEARCH("##続き",AH129)),"（続きありの印）",IF(AH129="調査ID","（見出し行）",IF(AND(AH129&lt;&gt;"R1",AH129&lt;&gt;"R2"),"×表以外の行（集計されない）",IF(COUNTIF($AI$5:AI129,AI129)&gt;1,"△重複（集計されない）",IF(D129="","△タスク名なし",IF(ISNA(MATCH(AK129,'M1_類型マスタ'!$A$5:$A$19,0)),"△類型が不正",IF(OR(AM129="",AN129=""),"△回数・分が読めない",IF(SUMPRODUCT(--ISNUMBER(--O129:U129))&lt;7,"△採点が足りない",IF(SUMPRODUCT((--O129:U129&gt;2)+(--O129:U129&lt;0))&gt;0,"△採点が範囲外","OK")))))))))))</f>
        <v/>
      </c>
      <c r="X129">
        <f>IF(W129&lt;&gt;"OK","",TRIM(IF(AND(AO129&lt;&gt;"",N(AO129)&lt;=1),"根拠1件 ","")&amp;IF(AP129&lt;&gt;"","同名あり ","")&amp;IF(AND(NOT(ISNUMBER(I129)),I129&lt;&gt;""),"回数を換算 ","")))</f>
        <v/>
      </c>
      <c r="Y129" s="31" t="n"/>
      <c r="Z129" s="32" t="n"/>
      <c r="AA129" s="32" t="n"/>
      <c r="AB129" s="31" t="n"/>
      <c r="AC129">
        <f>IF(W129&lt;&gt;"OK","",IF(AB129&lt;&gt;"",AB129,AE129))</f>
        <v/>
      </c>
      <c r="AD129" s="33">
        <f>IF(W129&lt;&gt;"OK","",IFERROR(IF(Z129&lt;&gt;"",Z129,AM129)*IF(AA129&lt;&gt;"",AA129,AN129)/60,""))</f>
        <v/>
      </c>
      <c r="AE129">
        <f>IF(W129&lt;&gt;"OK","",IF(OR(VALUE(O129)=2,VALUE(P129)=2,VALUE(Q129)=2),"社内残置",IF(AND(VALUE(O129)=0,VALUE(R129)=0,VALUE(T129)=0),"自動化候補",IF(AND(VALUE(P129)=0,VALUE(R129)&lt;=1,VALUE(S129)&lt;=1,VALUE(T129)&lt;=1,VALUE(U129)&lt;=1),"オフショア候補",IF(AND(VALUE(T129)&lt;=1,VALUE(U129)&lt;=1),"ニアショア候補","社内で手順化→再評価")))))</f>
        <v/>
      </c>
      <c r="AF129">
        <f>IF(W129&lt;&gt;"OK","",14-SUMPRODUCT(--O129:U129))</f>
        <v/>
      </c>
      <c r="AG129" s="33">
        <f>IF(W129&lt;&gt;"OK","",AM129*AN129/60)</f>
        <v/>
      </c>
      <c r="AH129" s="34">
        <f>IF(A129="","",UPPER(TRIM(ASC(A129&amp;""))))</f>
        <v/>
      </c>
      <c r="AI129" s="34">
        <f>IF(AH129="","",AH129&amp;"-"&amp;B129)</f>
        <v/>
      </c>
      <c r="AJ129" s="34">
        <f>IF(C129="","",IFERROR(VALUE(ASC(SUBSTITUTE(C129&amp;"","観点",""))),""))</f>
        <v/>
      </c>
      <c r="AK129" s="34">
        <f>IF(E129="","",UPPER(LEFT(TRIM(ASC(E129&amp;"")),3)))</f>
        <v/>
      </c>
      <c r="AL129" s="34">
        <f>IF(I129="","",IFERROR(VALUE(SUBSTITUTE(SUBSTITUTE(SUBSTITUTE(SUBSTITUTE(SUBSTITUTE(SUBSTITUTE(SUBSTITUTE(SUBSTITUTE(SUBSTITUTE(SUBSTITUTE(SUBSTITUTE(SUBSTITUTE(ASC(I129&amp;""),"約",""),"程度",""),"ほど",""),"回",""),"毎",""),"週",""),"月",""),"年",""),"日",""),"に",""),"/","")," ","")),""))</f>
        <v/>
      </c>
      <c r="AM129" s="34">
        <f>IF(I129="","",IF(ISNUMBER(I129),I129,IFERROR(VALUE(ASC(I129&amp;"")),IF(AL129&lt;&gt;"",AL129*IF(ISNUMBER(SEARCH("週",I129)),4.3,IF(ISNUMBER(SEARCH("年",I129)),1/12,IF(ISNUMBER(SEARCH("日",I129)),20,1))),IF(ISNUMBER(SEARCH("日",I129)),20,IF(ISNUMBER(SEARCH("週",I129)),4.3,IF(ISNUMBER(SEARCH("月",I129)),1,"")))))))</f>
        <v/>
      </c>
      <c r="AN129" s="34">
        <f>IF(J129="","",IF(ISNUMBER(J129),J129,IFERROR(VALUE(ASC(J129&amp;"")),IF(ISNUMBER(SEARCH("時間",J129)),IFERROR(VALUE(SUBSTITUTE(SUBSTITUTE(SUBSTITUTE(SUBSTITUTE(SUBSTITUTE(ASC(J129&amp;""),"約",""),"程度",""),"ほど",""),"時間","")," ",""))*60,""),IFERROR(VALUE(SUBSTITUTE(SUBSTITUTE(SUBSTITUTE(SUBSTITUTE(SUBSTITUTE(ASC(J129&amp;""),"約",""),"程度",""),"ほど",""),"分","")," ","")),"")))))</f>
        <v/>
      </c>
      <c r="AO129" s="34">
        <f>IF(K129="","",IF(ISNUMBER(K129),K129,IFERROR(VALUE(SUBSTITUTE(SUBSTITUTE(SUBSTITUTE(ASC(K129&amp;""),"約",""),"件","")," ","")),"")))</f>
        <v/>
      </c>
      <c r="AP129" s="34">
        <f>IF(W129&lt;&gt;"OK","",IF(COUNTIFS($D$5:$D$404,D129,$W$5:$W$404,"OK")&gt;1,"同名あり",""))</f>
        <v/>
      </c>
      <c r="AQ129" s="35">
        <f>IF(L129="","",IF(ISNUMBER(L129),L129,IFERROR(DATEVALUE(SUBSTITUTE(SUBSTITUTE(ASC(L129&amp;""),"-","/"),".","/")&amp;"/01"),"")))</f>
        <v/>
      </c>
      <c r="AR129" s="35">
        <f>IF(M129="","",IF(ISNUMBER(M129),M129,IFERROR(DATEVALUE(SUBSTITUTE(SUBSTITUTE(ASC(M129&amp;""),"-","/"),".","/")&amp;"/01"),"")))</f>
        <v/>
      </c>
      <c r="AS129" s="34">
        <f>IF(OR(W129&lt;&gt;"OK",AQ129=""),"",IF(AQ129&gt;='01_設定'!$C$26,1,0))</f>
        <v/>
      </c>
      <c r="AT129" s="34">
        <f>IF(AND(W129="OK",Y129&lt;&gt;"除外"),COUNTIFS($W$5:W129,"OK",$Y$5:Y129,"&lt;&gt;除外"),"")</f>
        <v/>
      </c>
      <c r="AU129" s="34">
        <f>IF(OR(AT129="",AD129=""),"",AD129+ROW()/1000000000)</f>
        <v/>
      </c>
    </row>
    <row r="130">
      <c r="W130">
        <f>IF(AND(A130="",D130=""),"",IF(ISNUMBER(SEARCH("##END",AH130)),"（終わりの印）",IF(ISNUMBER(SEARCH("##続き",AH130)),"（続きありの印）",IF(AH130="調査ID","（見出し行）",IF(AND(AH130&lt;&gt;"R1",AH130&lt;&gt;"R2"),"×表以外の行（集計されない）",IF(COUNTIF($AI$5:AI130,AI130)&gt;1,"△重複（集計されない）",IF(D130="","△タスク名なし",IF(ISNA(MATCH(AK130,'M1_類型マスタ'!$A$5:$A$19,0)),"△類型が不正",IF(OR(AM130="",AN130=""),"△回数・分が読めない",IF(SUMPRODUCT(--ISNUMBER(--O130:U130))&lt;7,"△採点が足りない",IF(SUMPRODUCT((--O130:U130&gt;2)+(--O130:U130&lt;0))&gt;0,"△採点が範囲外","OK")))))))))))</f>
        <v/>
      </c>
      <c r="X130">
        <f>IF(W130&lt;&gt;"OK","",TRIM(IF(AND(AO130&lt;&gt;"",N(AO130)&lt;=1),"根拠1件 ","")&amp;IF(AP130&lt;&gt;"","同名あり ","")&amp;IF(AND(NOT(ISNUMBER(I130)),I130&lt;&gt;""),"回数を換算 ","")))</f>
        <v/>
      </c>
      <c r="Y130" s="31" t="n"/>
      <c r="Z130" s="32" t="n"/>
      <c r="AA130" s="32" t="n"/>
      <c r="AB130" s="31" t="n"/>
      <c r="AC130">
        <f>IF(W130&lt;&gt;"OK","",IF(AB130&lt;&gt;"",AB130,AE130))</f>
        <v/>
      </c>
      <c r="AD130" s="33">
        <f>IF(W130&lt;&gt;"OK","",IFERROR(IF(Z130&lt;&gt;"",Z130,AM130)*IF(AA130&lt;&gt;"",AA130,AN130)/60,""))</f>
        <v/>
      </c>
      <c r="AE130">
        <f>IF(W130&lt;&gt;"OK","",IF(OR(VALUE(O130)=2,VALUE(P130)=2,VALUE(Q130)=2),"社内残置",IF(AND(VALUE(O130)=0,VALUE(R130)=0,VALUE(T130)=0),"自動化候補",IF(AND(VALUE(P130)=0,VALUE(R130)&lt;=1,VALUE(S130)&lt;=1,VALUE(T130)&lt;=1,VALUE(U130)&lt;=1),"オフショア候補",IF(AND(VALUE(T130)&lt;=1,VALUE(U130)&lt;=1),"ニアショア候補","社内で手順化→再評価")))))</f>
        <v/>
      </c>
      <c r="AF130">
        <f>IF(W130&lt;&gt;"OK","",14-SUMPRODUCT(--O130:U130))</f>
        <v/>
      </c>
      <c r="AG130" s="33">
        <f>IF(W130&lt;&gt;"OK","",AM130*AN130/60)</f>
        <v/>
      </c>
      <c r="AH130" s="34">
        <f>IF(A130="","",UPPER(TRIM(ASC(A130&amp;""))))</f>
        <v/>
      </c>
      <c r="AI130" s="34">
        <f>IF(AH130="","",AH130&amp;"-"&amp;B130)</f>
        <v/>
      </c>
      <c r="AJ130" s="34">
        <f>IF(C130="","",IFERROR(VALUE(ASC(SUBSTITUTE(C130&amp;"","観点",""))),""))</f>
        <v/>
      </c>
      <c r="AK130" s="34">
        <f>IF(E130="","",UPPER(LEFT(TRIM(ASC(E130&amp;"")),3)))</f>
        <v/>
      </c>
      <c r="AL130" s="34">
        <f>IF(I130="","",IFERROR(VALUE(SUBSTITUTE(SUBSTITUTE(SUBSTITUTE(SUBSTITUTE(SUBSTITUTE(SUBSTITUTE(SUBSTITUTE(SUBSTITUTE(SUBSTITUTE(SUBSTITUTE(SUBSTITUTE(SUBSTITUTE(ASC(I130&amp;""),"約",""),"程度",""),"ほど",""),"回",""),"毎",""),"週",""),"月",""),"年",""),"日",""),"に",""),"/","")," ","")),""))</f>
        <v/>
      </c>
      <c r="AM130" s="34">
        <f>IF(I130="","",IF(ISNUMBER(I130),I130,IFERROR(VALUE(ASC(I130&amp;"")),IF(AL130&lt;&gt;"",AL130*IF(ISNUMBER(SEARCH("週",I130)),4.3,IF(ISNUMBER(SEARCH("年",I130)),1/12,IF(ISNUMBER(SEARCH("日",I130)),20,1))),IF(ISNUMBER(SEARCH("日",I130)),20,IF(ISNUMBER(SEARCH("週",I130)),4.3,IF(ISNUMBER(SEARCH("月",I130)),1,"")))))))</f>
        <v/>
      </c>
      <c r="AN130" s="34">
        <f>IF(J130="","",IF(ISNUMBER(J130),J130,IFERROR(VALUE(ASC(J130&amp;"")),IF(ISNUMBER(SEARCH("時間",J130)),IFERROR(VALUE(SUBSTITUTE(SUBSTITUTE(SUBSTITUTE(SUBSTITUTE(SUBSTITUTE(ASC(J130&amp;""),"約",""),"程度",""),"ほど",""),"時間","")," ",""))*60,""),IFERROR(VALUE(SUBSTITUTE(SUBSTITUTE(SUBSTITUTE(SUBSTITUTE(SUBSTITUTE(ASC(J130&amp;""),"約",""),"程度",""),"ほど",""),"分","")," ","")),"")))))</f>
        <v/>
      </c>
      <c r="AO130" s="34">
        <f>IF(K130="","",IF(ISNUMBER(K130),K130,IFERROR(VALUE(SUBSTITUTE(SUBSTITUTE(SUBSTITUTE(ASC(K130&amp;""),"約",""),"件","")," ","")),"")))</f>
        <v/>
      </c>
      <c r="AP130" s="34">
        <f>IF(W130&lt;&gt;"OK","",IF(COUNTIFS($D$5:$D$404,D130,$W$5:$W$404,"OK")&gt;1,"同名あり",""))</f>
        <v/>
      </c>
      <c r="AQ130" s="35">
        <f>IF(L130="","",IF(ISNUMBER(L130),L130,IFERROR(DATEVALUE(SUBSTITUTE(SUBSTITUTE(ASC(L130&amp;""),"-","/"),".","/")&amp;"/01"),"")))</f>
        <v/>
      </c>
      <c r="AR130" s="35">
        <f>IF(M130="","",IF(ISNUMBER(M130),M130,IFERROR(DATEVALUE(SUBSTITUTE(SUBSTITUTE(ASC(M130&amp;""),"-","/"),".","/")&amp;"/01"),"")))</f>
        <v/>
      </c>
      <c r="AS130" s="34">
        <f>IF(OR(W130&lt;&gt;"OK",AQ130=""),"",IF(AQ130&gt;='01_設定'!$C$26,1,0))</f>
        <v/>
      </c>
      <c r="AT130" s="34">
        <f>IF(AND(W130="OK",Y130&lt;&gt;"除外"),COUNTIFS($W$5:W130,"OK",$Y$5:Y130,"&lt;&gt;除外"),"")</f>
        <v/>
      </c>
      <c r="AU130" s="34">
        <f>IF(OR(AT130="",AD130=""),"",AD130+ROW()/1000000000)</f>
        <v/>
      </c>
    </row>
    <row r="131">
      <c r="W131">
        <f>IF(AND(A131="",D131=""),"",IF(ISNUMBER(SEARCH("##END",AH131)),"（終わりの印）",IF(ISNUMBER(SEARCH("##続き",AH131)),"（続きありの印）",IF(AH131="調査ID","（見出し行）",IF(AND(AH131&lt;&gt;"R1",AH131&lt;&gt;"R2"),"×表以外の行（集計されない）",IF(COUNTIF($AI$5:AI131,AI131)&gt;1,"△重複（集計されない）",IF(D131="","△タスク名なし",IF(ISNA(MATCH(AK131,'M1_類型マスタ'!$A$5:$A$19,0)),"△類型が不正",IF(OR(AM131="",AN131=""),"△回数・分が読めない",IF(SUMPRODUCT(--ISNUMBER(--O131:U131))&lt;7,"△採点が足りない",IF(SUMPRODUCT((--O131:U131&gt;2)+(--O131:U131&lt;0))&gt;0,"△採点が範囲外","OK")))))))))))</f>
        <v/>
      </c>
      <c r="X131">
        <f>IF(W131&lt;&gt;"OK","",TRIM(IF(AND(AO131&lt;&gt;"",N(AO131)&lt;=1),"根拠1件 ","")&amp;IF(AP131&lt;&gt;"","同名あり ","")&amp;IF(AND(NOT(ISNUMBER(I131)),I131&lt;&gt;""),"回数を換算 ","")))</f>
        <v/>
      </c>
      <c r="Y131" s="31" t="n"/>
      <c r="Z131" s="32" t="n"/>
      <c r="AA131" s="32" t="n"/>
      <c r="AB131" s="31" t="n"/>
      <c r="AC131">
        <f>IF(W131&lt;&gt;"OK","",IF(AB131&lt;&gt;"",AB131,AE131))</f>
        <v/>
      </c>
      <c r="AD131" s="33">
        <f>IF(W131&lt;&gt;"OK","",IFERROR(IF(Z131&lt;&gt;"",Z131,AM131)*IF(AA131&lt;&gt;"",AA131,AN131)/60,""))</f>
        <v/>
      </c>
      <c r="AE131">
        <f>IF(W131&lt;&gt;"OK","",IF(OR(VALUE(O131)=2,VALUE(P131)=2,VALUE(Q131)=2),"社内残置",IF(AND(VALUE(O131)=0,VALUE(R131)=0,VALUE(T131)=0),"自動化候補",IF(AND(VALUE(P131)=0,VALUE(R131)&lt;=1,VALUE(S131)&lt;=1,VALUE(T131)&lt;=1,VALUE(U131)&lt;=1),"オフショア候補",IF(AND(VALUE(T131)&lt;=1,VALUE(U131)&lt;=1),"ニアショア候補","社内で手順化→再評価")))))</f>
        <v/>
      </c>
      <c r="AF131">
        <f>IF(W131&lt;&gt;"OK","",14-SUMPRODUCT(--O131:U131))</f>
        <v/>
      </c>
      <c r="AG131" s="33">
        <f>IF(W131&lt;&gt;"OK","",AM131*AN131/60)</f>
        <v/>
      </c>
      <c r="AH131" s="34">
        <f>IF(A131="","",UPPER(TRIM(ASC(A131&amp;""))))</f>
        <v/>
      </c>
      <c r="AI131" s="34">
        <f>IF(AH131="","",AH131&amp;"-"&amp;B131)</f>
        <v/>
      </c>
      <c r="AJ131" s="34">
        <f>IF(C131="","",IFERROR(VALUE(ASC(SUBSTITUTE(C131&amp;"","観点",""))),""))</f>
        <v/>
      </c>
      <c r="AK131" s="34">
        <f>IF(E131="","",UPPER(LEFT(TRIM(ASC(E131&amp;"")),3)))</f>
        <v/>
      </c>
      <c r="AL131" s="34">
        <f>IF(I131="","",IFERROR(VALUE(SUBSTITUTE(SUBSTITUTE(SUBSTITUTE(SUBSTITUTE(SUBSTITUTE(SUBSTITUTE(SUBSTITUTE(SUBSTITUTE(SUBSTITUTE(SUBSTITUTE(SUBSTITUTE(SUBSTITUTE(ASC(I131&amp;""),"約",""),"程度",""),"ほど",""),"回",""),"毎",""),"週",""),"月",""),"年",""),"日",""),"に",""),"/","")," ","")),""))</f>
        <v/>
      </c>
      <c r="AM131" s="34">
        <f>IF(I131="","",IF(ISNUMBER(I131),I131,IFERROR(VALUE(ASC(I131&amp;"")),IF(AL131&lt;&gt;"",AL131*IF(ISNUMBER(SEARCH("週",I131)),4.3,IF(ISNUMBER(SEARCH("年",I131)),1/12,IF(ISNUMBER(SEARCH("日",I131)),20,1))),IF(ISNUMBER(SEARCH("日",I131)),20,IF(ISNUMBER(SEARCH("週",I131)),4.3,IF(ISNUMBER(SEARCH("月",I131)),1,"")))))))</f>
        <v/>
      </c>
      <c r="AN131" s="34">
        <f>IF(J131="","",IF(ISNUMBER(J131),J131,IFERROR(VALUE(ASC(J131&amp;"")),IF(ISNUMBER(SEARCH("時間",J131)),IFERROR(VALUE(SUBSTITUTE(SUBSTITUTE(SUBSTITUTE(SUBSTITUTE(SUBSTITUTE(ASC(J131&amp;""),"約",""),"程度",""),"ほど",""),"時間","")," ",""))*60,""),IFERROR(VALUE(SUBSTITUTE(SUBSTITUTE(SUBSTITUTE(SUBSTITUTE(SUBSTITUTE(ASC(J131&amp;""),"約",""),"程度",""),"ほど",""),"分","")," ","")),"")))))</f>
        <v/>
      </c>
      <c r="AO131" s="34">
        <f>IF(K131="","",IF(ISNUMBER(K131),K131,IFERROR(VALUE(SUBSTITUTE(SUBSTITUTE(SUBSTITUTE(ASC(K131&amp;""),"約",""),"件","")," ","")),"")))</f>
        <v/>
      </c>
      <c r="AP131" s="34">
        <f>IF(W131&lt;&gt;"OK","",IF(COUNTIFS($D$5:$D$404,D131,$W$5:$W$404,"OK")&gt;1,"同名あり",""))</f>
        <v/>
      </c>
      <c r="AQ131" s="35">
        <f>IF(L131="","",IF(ISNUMBER(L131),L131,IFERROR(DATEVALUE(SUBSTITUTE(SUBSTITUTE(ASC(L131&amp;""),"-","/"),".","/")&amp;"/01"),"")))</f>
        <v/>
      </c>
      <c r="AR131" s="35">
        <f>IF(M131="","",IF(ISNUMBER(M131),M131,IFERROR(DATEVALUE(SUBSTITUTE(SUBSTITUTE(ASC(M131&amp;""),"-","/"),".","/")&amp;"/01"),"")))</f>
        <v/>
      </c>
      <c r="AS131" s="34">
        <f>IF(OR(W131&lt;&gt;"OK",AQ131=""),"",IF(AQ131&gt;='01_設定'!$C$26,1,0))</f>
        <v/>
      </c>
      <c r="AT131" s="34">
        <f>IF(AND(W131="OK",Y131&lt;&gt;"除外"),COUNTIFS($W$5:W131,"OK",$Y$5:Y131,"&lt;&gt;除外"),"")</f>
        <v/>
      </c>
      <c r="AU131" s="34">
        <f>IF(OR(AT131="",AD131=""),"",AD131+ROW()/1000000000)</f>
        <v/>
      </c>
    </row>
    <row r="132">
      <c r="W132">
        <f>IF(AND(A132="",D132=""),"",IF(ISNUMBER(SEARCH("##END",AH132)),"（終わりの印）",IF(ISNUMBER(SEARCH("##続き",AH132)),"（続きありの印）",IF(AH132="調査ID","（見出し行）",IF(AND(AH132&lt;&gt;"R1",AH132&lt;&gt;"R2"),"×表以外の行（集計されない）",IF(COUNTIF($AI$5:AI132,AI132)&gt;1,"△重複（集計されない）",IF(D132="","△タスク名なし",IF(ISNA(MATCH(AK132,'M1_類型マスタ'!$A$5:$A$19,0)),"△類型が不正",IF(OR(AM132="",AN132=""),"△回数・分が読めない",IF(SUMPRODUCT(--ISNUMBER(--O132:U132))&lt;7,"△採点が足りない",IF(SUMPRODUCT((--O132:U132&gt;2)+(--O132:U132&lt;0))&gt;0,"△採点が範囲外","OK")))))))))))</f>
        <v/>
      </c>
      <c r="X132">
        <f>IF(W132&lt;&gt;"OK","",TRIM(IF(AND(AO132&lt;&gt;"",N(AO132)&lt;=1),"根拠1件 ","")&amp;IF(AP132&lt;&gt;"","同名あり ","")&amp;IF(AND(NOT(ISNUMBER(I132)),I132&lt;&gt;""),"回数を換算 ","")))</f>
        <v/>
      </c>
      <c r="Y132" s="31" t="n"/>
      <c r="Z132" s="32" t="n"/>
      <c r="AA132" s="32" t="n"/>
      <c r="AB132" s="31" t="n"/>
      <c r="AC132">
        <f>IF(W132&lt;&gt;"OK","",IF(AB132&lt;&gt;"",AB132,AE132))</f>
        <v/>
      </c>
      <c r="AD132" s="33">
        <f>IF(W132&lt;&gt;"OK","",IFERROR(IF(Z132&lt;&gt;"",Z132,AM132)*IF(AA132&lt;&gt;"",AA132,AN132)/60,""))</f>
        <v/>
      </c>
      <c r="AE132">
        <f>IF(W132&lt;&gt;"OK","",IF(OR(VALUE(O132)=2,VALUE(P132)=2,VALUE(Q132)=2),"社内残置",IF(AND(VALUE(O132)=0,VALUE(R132)=0,VALUE(T132)=0),"自動化候補",IF(AND(VALUE(P132)=0,VALUE(R132)&lt;=1,VALUE(S132)&lt;=1,VALUE(T132)&lt;=1,VALUE(U132)&lt;=1),"オフショア候補",IF(AND(VALUE(T132)&lt;=1,VALUE(U132)&lt;=1),"ニアショア候補","社内で手順化→再評価")))))</f>
        <v/>
      </c>
      <c r="AF132">
        <f>IF(W132&lt;&gt;"OK","",14-SUMPRODUCT(--O132:U132))</f>
        <v/>
      </c>
      <c r="AG132" s="33">
        <f>IF(W132&lt;&gt;"OK","",AM132*AN132/60)</f>
        <v/>
      </c>
      <c r="AH132" s="34">
        <f>IF(A132="","",UPPER(TRIM(ASC(A132&amp;""))))</f>
        <v/>
      </c>
      <c r="AI132" s="34">
        <f>IF(AH132="","",AH132&amp;"-"&amp;B132)</f>
        <v/>
      </c>
      <c r="AJ132" s="34">
        <f>IF(C132="","",IFERROR(VALUE(ASC(SUBSTITUTE(C132&amp;"","観点",""))),""))</f>
        <v/>
      </c>
      <c r="AK132" s="34">
        <f>IF(E132="","",UPPER(LEFT(TRIM(ASC(E132&amp;"")),3)))</f>
        <v/>
      </c>
      <c r="AL132" s="34">
        <f>IF(I132="","",IFERROR(VALUE(SUBSTITUTE(SUBSTITUTE(SUBSTITUTE(SUBSTITUTE(SUBSTITUTE(SUBSTITUTE(SUBSTITUTE(SUBSTITUTE(SUBSTITUTE(SUBSTITUTE(SUBSTITUTE(SUBSTITUTE(ASC(I132&amp;""),"約",""),"程度",""),"ほど",""),"回",""),"毎",""),"週",""),"月",""),"年",""),"日",""),"に",""),"/","")," ","")),""))</f>
        <v/>
      </c>
      <c r="AM132" s="34">
        <f>IF(I132="","",IF(ISNUMBER(I132),I132,IFERROR(VALUE(ASC(I132&amp;"")),IF(AL132&lt;&gt;"",AL132*IF(ISNUMBER(SEARCH("週",I132)),4.3,IF(ISNUMBER(SEARCH("年",I132)),1/12,IF(ISNUMBER(SEARCH("日",I132)),20,1))),IF(ISNUMBER(SEARCH("日",I132)),20,IF(ISNUMBER(SEARCH("週",I132)),4.3,IF(ISNUMBER(SEARCH("月",I132)),1,"")))))))</f>
        <v/>
      </c>
      <c r="AN132" s="34">
        <f>IF(J132="","",IF(ISNUMBER(J132),J132,IFERROR(VALUE(ASC(J132&amp;"")),IF(ISNUMBER(SEARCH("時間",J132)),IFERROR(VALUE(SUBSTITUTE(SUBSTITUTE(SUBSTITUTE(SUBSTITUTE(SUBSTITUTE(ASC(J132&amp;""),"約",""),"程度",""),"ほど",""),"時間","")," ",""))*60,""),IFERROR(VALUE(SUBSTITUTE(SUBSTITUTE(SUBSTITUTE(SUBSTITUTE(SUBSTITUTE(ASC(J132&amp;""),"約",""),"程度",""),"ほど",""),"分","")," ","")),"")))))</f>
        <v/>
      </c>
      <c r="AO132" s="34">
        <f>IF(K132="","",IF(ISNUMBER(K132),K132,IFERROR(VALUE(SUBSTITUTE(SUBSTITUTE(SUBSTITUTE(ASC(K132&amp;""),"約",""),"件","")," ","")),"")))</f>
        <v/>
      </c>
      <c r="AP132" s="34">
        <f>IF(W132&lt;&gt;"OK","",IF(COUNTIFS($D$5:$D$404,D132,$W$5:$W$404,"OK")&gt;1,"同名あり",""))</f>
        <v/>
      </c>
      <c r="AQ132" s="35">
        <f>IF(L132="","",IF(ISNUMBER(L132),L132,IFERROR(DATEVALUE(SUBSTITUTE(SUBSTITUTE(ASC(L132&amp;""),"-","/"),".","/")&amp;"/01"),"")))</f>
        <v/>
      </c>
      <c r="AR132" s="35">
        <f>IF(M132="","",IF(ISNUMBER(M132),M132,IFERROR(DATEVALUE(SUBSTITUTE(SUBSTITUTE(ASC(M132&amp;""),"-","/"),".","/")&amp;"/01"),"")))</f>
        <v/>
      </c>
      <c r="AS132" s="34">
        <f>IF(OR(W132&lt;&gt;"OK",AQ132=""),"",IF(AQ132&gt;='01_設定'!$C$26,1,0))</f>
        <v/>
      </c>
      <c r="AT132" s="34">
        <f>IF(AND(W132="OK",Y132&lt;&gt;"除外"),COUNTIFS($W$5:W132,"OK",$Y$5:Y132,"&lt;&gt;除外"),"")</f>
        <v/>
      </c>
      <c r="AU132" s="34">
        <f>IF(OR(AT132="",AD132=""),"",AD132+ROW()/1000000000)</f>
        <v/>
      </c>
    </row>
    <row r="133">
      <c r="W133">
        <f>IF(AND(A133="",D133=""),"",IF(ISNUMBER(SEARCH("##END",AH133)),"（終わりの印）",IF(ISNUMBER(SEARCH("##続き",AH133)),"（続きありの印）",IF(AH133="調査ID","（見出し行）",IF(AND(AH133&lt;&gt;"R1",AH133&lt;&gt;"R2"),"×表以外の行（集計されない）",IF(COUNTIF($AI$5:AI133,AI133)&gt;1,"△重複（集計されない）",IF(D133="","△タスク名なし",IF(ISNA(MATCH(AK133,'M1_類型マスタ'!$A$5:$A$19,0)),"△類型が不正",IF(OR(AM133="",AN133=""),"△回数・分が読めない",IF(SUMPRODUCT(--ISNUMBER(--O133:U133))&lt;7,"△採点が足りない",IF(SUMPRODUCT((--O133:U133&gt;2)+(--O133:U133&lt;0))&gt;0,"△採点が範囲外","OK")))))))))))</f>
        <v/>
      </c>
      <c r="X133">
        <f>IF(W133&lt;&gt;"OK","",TRIM(IF(AND(AO133&lt;&gt;"",N(AO133)&lt;=1),"根拠1件 ","")&amp;IF(AP133&lt;&gt;"","同名あり ","")&amp;IF(AND(NOT(ISNUMBER(I133)),I133&lt;&gt;""),"回数を換算 ","")))</f>
        <v/>
      </c>
      <c r="Y133" s="31" t="n"/>
      <c r="Z133" s="32" t="n"/>
      <c r="AA133" s="32" t="n"/>
      <c r="AB133" s="31" t="n"/>
      <c r="AC133">
        <f>IF(W133&lt;&gt;"OK","",IF(AB133&lt;&gt;"",AB133,AE133))</f>
        <v/>
      </c>
      <c r="AD133" s="33">
        <f>IF(W133&lt;&gt;"OK","",IFERROR(IF(Z133&lt;&gt;"",Z133,AM133)*IF(AA133&lt;&gt;"",AA133,AN133)/60,""))</f>
        <v/>
      </c>
      <c r="AE133">
        <f>IF(W133&lt;&gt;"OK","",IF(OR(VALUE(O133)=2,VALUE(P133)=2,VALUE(Q133)=2),"社内残置",IF(AND(VALUE(O133)=0,VALUE(R133)=0,VALUE(T133)=0),"自動化候補",IF(AND(VALUE(P133)=0,VALUE(R133)&lt;=1,VALUE(S133)&lt;=1,VALUE(T133)&lt;=1,VALUE(U133)&lt;=1),"オフショア候補",IF(AND(VALUE(T133)&lt;=1,VALUE(U133)&lt;=1),"ニアショア候補","社内で手順化→再評価")))))</f>
        <v/>
      </c>
      <c r="AF133">
        <f>IF(W133&lt;&gt;"OK","",14-SUMPRODUCT(--O133:U133))</f>
        <v/>
      </c>
      <c r="AG133" s="33">
        <f>IF(W133&lt;&gt;"OK","",AM133*AN133/60)</f>
        <v/>
      </c>
      <c r="AH133" s="34">
        <f>IF(A133="","",UPPER(TRIM(ASC(A133&amp;""))))</f>
        <v/>
      </c>
      <c r="AI133" s="34">
        <f>IF(AH133="","",AH133&amp;"-"&amp;B133)</f>
        <v/>
      </c>
      <c r="AJ133" s="34">
        <f>IF(C133="","",IFERROR(VALUE(ASC(SUBSTITUTE(C133&amp;"","観点",""))),""))</f>
        <v/>
      </c>
      <c r="AK133" s="34">
        <f>IF(E133="","",UPPER(LEFT(TRIM(ASC(E133&amp;"")),3)))</f>
        <v/>
      </c>
      <c r="AL133" s="34">
        <f>IF(I133="","",IFERROR(VALUE(SUBSTITUTE(SUBSTITUTE(SUBSTITUTE(SUBSTITUTE(SUBSTITUTE(SUBSTITUTE(SUBSTITUTE(SUBSTITUTE(SUBSTITUTE(SUBSTITUTE(SUBSTITUTE(SUBSTITUTE(ASC(I133&amp;""),"約",""),"程度",""),"ほど",""),"回",""),"毎",""),"週",""),"月",""),"年",""),"日",""),"に",""),"/","")," ","")),""))</f>
        <v/>
      </c>
      <c r="AM133" s="34">
        <f>IF(I133="","",IF(ISNUMBER(I133),I133,IFERROR(VALUE(ASC(I133&amp;"")),IF(AL133&lt;&gt;"",AL133*IF(ISNUMBER(SEARCH("週",I133)),4.3,IF(ISNUMBER(SEARCH("年",I133)),1/12,IF(ISNUMBER(SEARCH("日",I133)),20,1))),IF(ISNUMBER(SEARCH("日",I133)),20,IF(ISNUMBER(SEARCH("週",I133)),4.3,IF(ISNUMBER(SEARCH("月",I133)),1,"")))))))</f>
        <v/>
      </c>
      <c r="AN133" s="34">
        <f>IF(J133="","",IF(ISNUMBER(J133),J133,IFERROR(VALUE(ASC(J133&amp;"")),IF(ISNUMBER(SEARCH("時間",J133)),IFERROR(VALUE(SUBSTITUTE(SUBSTITUTE(SUBSTITUTE(SUBSTITUTE(SUBSTITUTE(ASC(J133&amp;""),"約",""),"程度",""),"ほど",""),"時間","")," ",""))*60,""),IFERROR(VALUE(SUBSTITUTE(SUBSTITUTE(SUBSTITUTE(SUBSTITUTE(SUBSTITUTE(ASC(J133&amp;""),"約",""),"程度",""),"ほど",""),"分","")," ","")),"")))))</f>
        <v/>
      </c>
      <c r="AO133" s="34">
        <f>IF(K133="","",IF(ISNUMBER(K133),K133,IFERROR(VALUE(SUBSTITUTE(SUBSTITUTE(SUBSTITUTE(ASC(K133&amp;""),"約",""),"件","")," ","")),"")))</f>
        <v/>
      </c>
      <c r="AP133" s="34">
        <f>IF(W133&lt;&gt;"OK","",IF(COUNTIFS($D$5:$D$404,D133,$W$5:$W$404,"OK")&gt;1,"同名あり",""))</f>
        <v/>
      </c>
      <c r="AQ133" s="35">
        <f>IF(L133="","",IF(ISNUMBER(L133),L133,IFERROR(DATEVALUE(SUBSTITUTE(SUBSTITUTE(ASC(L133&amp;""),"-","/"),".","/")&amp;"/01"),"")))</f>
        <v/>
      </c>
      <c r="AR133" s="35">
        <f>IF(M133="","",IF(ISNUMBER(M133),M133,IFERROR(DATEVALUE(SUBSTITUTE(SUBSTITUTE(ASC(M133&amp;""),"-","/"),".","/")&amp;"/01"),"")))</f>
        <v/>
      </c>
      <c r="AS133" s="34">
        <f>IF(OR(W133&lt;&gt;"OK",AQ133=""),"",IF(AQ133&gt;='01_設定'!$C$26,1,0))</f>
        <v/>
      </c>
      <c r="AT133" s="34">
        <f>IF(AND(W133="OK",Y133&lt;&gt;"除外"),COUNTIFS($W$5:W133,"OK",$Y$5:Y133,"&lt;&gt;除外"),"")</f>
        <v/>
      </c>
      <c r="AU133" s="34">
        <f>IF(OR(AT133="",AD133=""),"",AD133+ROW()/1000000000)</f>
        <v/>
      </c>
    </row>
    <row r="134">
      <c r="W134">
        <f>IF(AND(A134="",D134=""),"",IF(ISNUMBER(SEARCH("##END",AH134)),"（終わりの印）",IF(ISNUMBER(SEARCH("##続き",AH134)),"（続きありの印）",IF(AH134="調査ID","（見出し行）",IF(AND(AH134&lt;&gt;"R1",AH134&lt;&gt;"R2"),"×表以外の行（集計されない）",IF(COUNTIF($AI$5:AI134,AI134)&gt;1,"△重複（集計されない）",IF(D134="","△タスク名なし",IF(ISNA(MATCH(AK134,'M1_類型マスタ'!$A$5:$A$19,0)),"△類型が不正",IF(OR(AM134="",AN134=""),"△回数・分が読めない",IF(SUMPRODUCT(--ISNUMBER(--O134:U134))&lt;7,"△採点が足りない",IF(SUMPRODUCT((--O134:U134&gt;2)+(--O134:U134&lt;0))&gt;0,"△採点が範囲外","OK")))))))))))</f>
        <v/>
      </c>
      <c r="X134">
        <f>IF(W134&lt;&gt;"OK","",TRIM(IF(AND(AO134&lt;&gt;"",N(AO134)&lt;=1),"根拠1件 ","")&amp;IF(AP134&lt;&gt;"","同名あり ","")&amp;IF(AND(NOT(ISNUMBER(I134)),I134&lt;&gt;""),"回数を換算 ","")))</f>
        <v/>
      </c>
      <c r="Y134" s="31" t="n"/>
      <c r="Z134" s="32" t="n"/>
      <c r="AA134" s="32" t="n"/>
      <c r="AB134" s="31" t="n"/>
      <c r="AC134">
        <f>IF(W134&lt;&gt;"OK","",IF(AB134&lt;&gt;"",AB134,AE134))</f>
        <v/>
      </c>
      <c r="AD134" s="33">
        <f>IF(W134&lt;&gt;"OK","",IFERROR(IF(Z134&lt;&gt;"",Z134,AM134)*IF(AA134&lt;&gt;"",AA134,AN134)/60,""))</f>
        <v/>
      </c>
      <c r="AE134">
        <f>IF(W134&lt;&gt;"OK","",IF(OR(VALUE(O134)=2,VALUE(P134)=2,VALUE(Q134)=2),"社内残置",IF(AND(VALUE(O134)=0,VALUE(R134)=0,VALUE(T134)=0),"自動化候補",IF(AND(VALUE(P134)=0,VALUE(R134)&lt;=1,VALUE(S134)&lt;=1,VALUE(T134)&lt;=1,VALUE(U134)&lt;=1),"オフショア候補",IF(AND(VALUE(T134)&lt;=1,VALUE(U134)&lt;=1),"ニアショア候補","社内で手順化→再評価")))))</f>
        <v/>
      </c>
      <c r="AF134">
        <f>IF(W134&lt;&gt;"OK","",14-SUMPRODUCT(--O134:U134))</f>
        <v/>
      </c>
      <c r="AG134" s="33">
        <f>IF(W134&lt;&gt;"OK","",AM134*AN134/60)</f>
        <v/>
      </c>
      <c r="AH134" s="34">
        <f>IF(A134="","",UPPER(TRIM(ASC(A134&amp;""))))</f>
        <v/>
      </c>
      <c r="AI134" s="34">
        <f>IF(AH134="","",AH134&amp;"-"&amp;B134)</f>
        <v/>
      </c>
      <c r="AJ134" s="34">
        <f>IF(C134="","",IFERROR(VALUE(ASC(SUBSTITUTE(C134&amp;"","観点",""))),""))</f>
        <v/>
      </c>
      <c r="AK134" s="34">
        <f>IF(E134="","",UPPER(LEFT(TRIM(ASC(E134&amp;"")),3)))</f>
        <v/>
      </c>
      <c r="AL134" s="34">
        <f>IF(I134="","",IFERROR(VALUE(SUBSTITUTE(SUBSTITUTE(SUBSTITUTE(SUBSTITUTE(SUBSTITUTE(SUBSTITUTE(SUBSTITUTE(SUBSTITUTE(SUBSTITUTE(SUBSTITUTE(SUBSTITUTE(SUBSTITUTE(ASC(I134&amp;""),"約",""),"程度",""),"ほど",""),"回",""),"毎",""),"週",""),"月",""),"年",""),"日",""),"に",""),"/","")," ","")),""))</f>
        <v/>
      </c>
      <c r="AM134" s="34">
        <f>IF(I134="","",IF(ISNUMBER(I134),I134,IFERROR(VALUE(ASC(I134&amp;"")),IF(AL134&lt;&gt;"",AL134*IF(ISNUMBER(SEARCH("週",I134)),4.3,IF(ISNUMBER(SEARCH("年",I134)),1/12,IF(ISNUMBER(SEARCH("日",I134)),20,1))),IF(ISNUMBER(SEARCH("日",I134)),20,IF(ISNUMBER(SEARCH("週",I134)),4.3,IF(ISNUMBER(SEARCH("月",I134)),1,"")))))))</f>
        <v/>
      </c>
      <c r="AN134" s="34">
        <f>IF(J134="","",IF(ISNUMBER(J134),J134,IFERROR(VALUE(ASC(J134&amp;"")),IF(ISNUMBER(SEARCH("時間",J134)),IFERROR(VALUE(SUBSTITUTE(SUBSTITUTE(SUBSTITUTE(SUBSTITUTE(SUBSTITUTE(ASC(J134&amp;""),"約",""),"程度",""),"ほど",""),"時間","")," ",""))*60,""),IFERROR(VALUE(SUBSTITUTE(SUBSTITUTE(SUBSTITUTE(SUBSTITUTE(SUBSTITUTE(ASC(J134&amp;""),"約",""),"程度",""),"ほど",""),"分","")," ","")),"")))))</f>
        <v/>
      </c>
      <c r="AO134" s="34">
        <f>IF(K134="","",IF(ISNUMBER(K134),K134,IFERROR(VALUE(SUBSTITUTE(SUBSTITUTE(SUBSTITUTE(ASC(K134&amp;""),"約",""),"件","")," ","")),"")))</f>
        <v/>
      </c>
      <c r="AP134" s="34">
        <f>IF(W134&lt;&gt;"OK","",IF(COUNTIFS($D$5:$D$404,D134,$W$5:$W$404,"OK")&gt;1,"同名あり",""))</f>
        <v/>
      </c>
      <c r="AQ134" s="35">
        <f>IF(L134="","",IF(ISNUMBER(L134),L134,IFERROR(DATEVALUE(SUBSTITUTE(SUBSTITUTE(ASC(L134&amp;""),"-","/"),".","/")&amp;"/01"),"")))</f>
        <v/>
      </c>
      <c r="AR134" s="35">
        <f>IF(M134="","",IF(ISNUMBER(M134),M134,IFERROR(DATEVALUE(SUBSTITUTE(SUBSTITUTE(ASC(M134&amp;""),"-","/"),".","/")&amp;"/01"),"")))</f>
        <v/>
      </c>
      <c r="AS134" s="34">
        <f>IF(OR(W134&lt;&gt;"OK",AQ134=""),"",IF(AQ134&gt;='01_設定'!$C$26,1,0))</f>
        <v/>
      </c>
      <c r="AT134" s="34">
        <f>IF(AND(W134="OK",Y134&lt;&gt;"除外"),COUNTIFS($W$5:W134,"OK",$Y$5:Y134,"&lt;&gt;除外"),"")</f>
        <v/>
      </c>
      <c r="AU134" s="34">
        <f>IF(OR(AT134="",AD134=""),"",AD134+ROW()/1000000000)</f>
        <v/>
      </c>
    </row>
    <row r="135">
      <c r="W135">
        <f>IF(AND(A135="",D135=""),"",IF(ISNUMBER(SEARCH("##END",AH135)),"（終わりの印）",IF(ISNUMBER(SEARCH("##続き",AH135)),"（続きありの印）",IF(AH135="調査ID","（見出し行）",IF(AND(AH135&lt;&gt;"R1",AH135&lt;&gt;"R2"),"×表以外の行（集計されない）",IF(COUNTIF($AI$5:AI135,AI135)&gt;1,"△重複（集計されない）",IF(D135="","△タスク名なし",IF(ISNA(MATCH(AK135,'M1_類型マスタ'!$A$5:$A$19,0)),"△類型が不正",IF(OR(AM135="",AN135=""),"△回数・分が読めない",IF(SUMPRODUCT(--ISNUMBER(--O135:U135))&lt;7,"△採点が足りない",IF(SUMPRODUCT((--O135:U135&gt;2)+(--O135:U135&lt;0))&gt;0,"△採点が範囲外","OK")))))))))))</f>
        <v/>
      </c>
      <c r="X135">
        <f>IF(W135&lt;&gt;"OK","",TRIM(IF(AND(AO135&lt;&gt;"",N(AO135)&lt;=1),"根拠1件 ","")&amp;IF(AP135&lt;&gt;"","同名あり ","")&amp;IF(AND(NOT(ISNUMBER(I135)),I135&lt;&gt;""),"回数を換算 ","")))</f>
        <v/>
      </c>
      <c r="Y135" s="31" t="n"/>
      <c r="Z135" s="32" t="n"/>
      <c r="AA135" s="32" t="n"/>
      <c r="AB135" s="31" t="n"/>
      <c r="AC135">
        <f>IF(W135&lt;&gt;"OK","",IF(AB135&lt;&gt;"",AB135,AE135))</f>
        <v/>
      </c>
      <c r="AD135" s="33">
        <f>IF(W135&lt;&gt;"OK","",IFERROR(IF(Z135&lt;&gt;"",Z135,AM135)*IF(AA135&lt;&gt;"",AA135,AN135)/60,""))</f>
        <v/>
      </c>
      <c r="AE135">
        <f>IF(W135&lt;&gt;"OK","",IF(OR(VALUE(O135)=2,VALUE(P135)=2,VALUE(Q135)=2),"社内残置",IF(AND(VALUE(O135)=0,VALUE(R135)=0,VALUE(T135)=0),"自動化候補",IF(AND(VALUE(P135)=0,VALUE(R135)&lt;=1,VALUE(S135)&lt;=1,VALUE(T135)&lt;=1,VALUE(U135)&lt;=1),"オフショア候補",IF(AND(VALUE(T135)&lt;=1,VALUE(U135)&lt;=1),"ニアショア候補","社内で手順化→再評価")))))</f>
        <v/>
      </c>
      <c r="AF135">
        <f>IF(W135&lt;&gt;"OK","",14-SUMPRODUCT(--O135:U135))</f>
        <v/>
      </c>
      <c r="AG135" s="33">
        <f>IF(W135&lt;&gt;"OK","",AM135*AN135/60)</f>
        <v/>
      </c>
      <c r="AH135" s="34">
        <f>IF(A135="","",UPPER(TRIM(ASC(A135&amp;""))))</f>
        <v/>
      </c>
      <c r="AI135" s="34">
        <f>IF(AH135="","",AH135&amp;"-"&amp;B135)</f>
        <v/>
      </c>
      <c r="AJ135" s="34">
        <f>IF(C135="","",IFERROR(VALUE(ASC(SUBSTITUTE(C135&amp;"","観点",""))),""))</f>
        <v/>
      </c>
      <c r="AK135" s="34">
        <f>IF(E135="","",UPPER(LEFT(TRIM(ASC(E135&amp;"")),3)))</f>
        <v/>
      </c>
      <c r="AL135" s="34">
        <f>IF(I135="","",IFERROR(VALUE(SUBSTITUTE(SUBSTITUTE(SUBSTITUTE(SUBSTITUTE(SUBSTITUTE(SUBSTITUTE(SUBSTITUTE(SUBSTITUTE(SUBSTITUTE(SUBSTITUTE(SUBSTITUTE(SUBSTITUTE(ASC(I135&amp;""),"約",""),"程度",""),"ほど",""),"回",""),"毎",""),"週",""),"月",""),"年",""),"日",""),"に",""),"/","")," ","")),""))</f>
        <v/>
      </c>
      <c r="AM135" s="34">
        <f>IF(I135="","",IF(ISNUMBER(I135),I135,IFERROR(VALUE(ASC(I135&amp;"")),IF(AL135&lt;&gt;"",AL135*IF(ISNUMBER(SEARCH("週",I135)),4.3,IF(ISNUMBER(SEARCH("年",I135)),1/12,IF(ISNUMBER(SEARCH("日",I135)),20,1))),IF(ISNUMBER(SEARCH("日",I135)),20,IF(ISNUMBER(SEARCH("週",I135)),4.3,IF(ISNUMBER(SEARCH("月",I135)),1,"")))))))</f>
        <v/>
      </c>
      <c r="AN135" s="34">
        <f>IF(J135="","",IF(ISNUMBER(J135),J135,IFERROR(VALUE(ASC(J135&amp;"")),IF(ISNUMBER(SEARCH("時間",J135)),IFERROR(VALUE(SUBSTITUTE(SUBSTITUTE(SUBSTITUTE(SUBSTITUTE(SUBSTITUTE(ASC(J135&amp;""),"約",""),"程度",""),"ほど",""),"時間","")," ",""))*60,""),IFERROR(VALUE(SUBSTITUTE(SUBSTITUTE(SUBSTITUTE(SUBSTITUTE(SUBSTITUTE(ASC(J135&amp;""),"約",""),"程度",""),"ほど",""),"分","")," ","")),"")))))</f>
        <v/>
      </c>
      <c r="AO135" s="34">
        <f>IF(K135="","",IF(ISNUMBER(K135),K135,IFERROR(VALUE(SUBSTITUTE(SUBSTITUTE(SUBSTITUTE(ASC(K135&amp;""),"約",""),"件","")," ","")),"")))</f>
        <v/>
      </c>
      <c r="AP135" s="34">
        <f>IF(W135&lt;&gt;"OK","",IF(COUNTIFS($D$5:$D$404,D135,$W$5:$W$404,"OK")&gt;1,"同名あり",""))</f>
        <v/>
      </c>
      <c r="AQ135" s="35">
        <f>IF(L135="","",IF(ISNUMBER(L135),L135,IFERROR(DATEVALUE(SUBSTITUTE(SUBSTITUTE(ASC(L135&amp;""),"-","/"),".","/")&amp;"/01"),"")))</f>
        <v/>
      </c>
      <c r="AR135" s="35">
        <f>IF(M135="","",IF(ISNUMBER(M135),M135,IFERROR(DATEVALUE(SUBSTITUTE(SUBSTITUTE(ASC(M135&amp;""),"-","/"),".","/")&amp;"/01"),"")))</f>
        <v/>
      </c>
      <c r="AS135" s="34">
        <f>IF(OR(W135&lt;&gt;"OK",AQ135=""),"",IF(AQ135&gt;='01_設定'!$C$26,1,0))</f>
        <v/>
      </c>
      <c r="AT135" s="34">
        <f>IF(AND(W135="OK",Y135&lt;&gt;"除外"),COUNTIFS($W$5:W135,"OK",$Y$5:Y135,"&lt;&gt;除外"),"")</f>
        <v/>
      </c>
      <c r="AU135" s="34">
        <f>IF(OR(AT135="",AD135=""),"",AD135+ROW()/1000000000)</f>
        <v/>
      </c>
    </row>
    <row r="136">
      <c r="W136">
        <f>IF(AND(A136="",D136=""),"",IF(ISNUMBER(SEARCH("##END",AH136)),"（終わりの印）",IF(ISNUMBER(SEARCH("##続き",AH136)),"（続きありの印）",IF(AH136="調査ID","（見出し行）",IF(AND(AH136&lt;&gt;"R1",AH136&lt;&gt;"R2"),"×表以外の行（集計されない）",IF(COUNTIF($AI$5:AI136,AI136)&gt;1,"△重複（集計されない）",IF(D136="","△タスク名なし",IF(ISNA(MATCH(AK136,'M1_類型マスタ'!$A$5:$A$19,0)),"△類型が不正",IF(OR(AM136="",AN136=""),"△回数・分が読めない",IF(SUMPRODUCT(--ISNUMBER(--O136:U136))&lt;7,"△採点が足りない",IF(SUMPRODUCT((--O136:U136&gt;2)+(--O136:U136&lt;0))&gt;0,"△採点が範囲外","OK")))))))))))</f>
        <v/>
      </c>
      <c r="X136">
        <f>IF(W136&lt;&gt;"OK","",TRIM(IF(AND(AO136&lt;&gt;"",N(AO136)&lt;=1),"根拠1件 ","")&amp;IF(AP136&lt;&gt;"","同名あり ","")&amp;IF(AND(NOT(ISNUMBER(I136)),I136&lt;&gt;""),"回数を換算 ","")))</f>
        <v/>
      </c>
      <c r="Y136" s="31" t="n"/>
      <c r="Z136" s="32" t="n"/>
      <c r="AA136" s="32" t="n"/>
      <c r="AB136" s="31" t="n"/>
      <c r="AC136">
        <f>IF(W136&lt;&gt;"OK","",IF(AB136&lt;&gt;"",AB136,AE136))</f>
        <v/>
      </c>
      <c r="AD136" s="33">
        <f>IF(W136&lt;&gt;"OK","",IFERROR(IF(Z136&lt;&gt;"",Z136,AM136)*IF(AA136&lt;&gt;"",AA136,AN136)/60,""))</f>
        <v/>
      </c>
      <c r="AE136">
        <f>IF(W136&lt;&gt;"OK","",IF(OR(VALUE(O136)=2,VALUE(P136)=2,VALUE(Q136)=2),"社内残置",IF(AND(VALUE(O136)=0,VALUE(R136)=0,VALUE(T136)=0),"自動化候補",IF(AND(VALUE(P136)=0,VALUE(R136)&lt;=1,VALUE(S136)&lt;=1,VALUE(T136)&lt;=1,VALUE(U136)&lt;=1),"オフショア候補",IF(AND(VALUE(T136)&lt;=1,VALUE(U136)&lt;=1),"ニアショア候補","社内で手順化→再評価")))))</f>
        <v/>
      </c>
      <c r="AF136">
        <f>IF(W136&lt;&gt;"OK","",14-SUMPRODUCT(--O136:U136))</f>
        <v/>
      </c>
      <c r="AG136" s="33">
        <f>IF(W136&lt;&gt;"OK","",AM136*AN136/60)</f>
        <v/>
      </c>
      <c r="AH136" s="34">
        <f>IF(A136="","",UPPER(TRIM(ASC(A136&amp;""))))</f>
        <v/>
      </c>
      <c r="AI136" s="34">
        <f>IF(AH136="","",AH136&amp;"-"&amp;B136)</f>
        <v/>
      </c>
      <c r="AJ136" s="34">
        <f>IF(C136="","",IFERROR(VALUE(ASC(SUBSTITUTE(C136&amp;"","観点",""))),""))</f>
        <v/>
      </c>
      <c r="AK136" s="34">
        <f>IF(E136="","",UPPER(LEFT(TRIM(ASC(E136&amp;"")),3)))</f>
        <v/>
      </c>
      <c r="AL136" s="34">
        <f>IF(I136="","",IFERROR(VALUE(SUBSTITUTE(SUBSTITUTE(SUBSTITUTE(SUBSTITUTE(SUBSTITUTE(SUBSTITUTE(SUBSTITUTE(SUBSTITUTE(SUBSTITUTE(SUBSTITUTE(SUBSTITUTE(SUBSTITUTE(ASC(I136&amp;""),"約",""),"程度",""),"ほど",""),"回",""),"毎",""),"週",""),"月",""),"年",""),"日",""),"に",""),"/","")," ","")),""))</f>
        <v/>
      </c>
      <c r="AM136" s="34">
        <f>IF(I136="","",IF(ISNUMBER(I136),I136,IFERROR(VALUE(ASC(I136&amp;"")),IF(AL136&lt;&gt;"",AL136*IF(ISNUMBER(SEARCH("週",I136)),4.3,IF(ISNUMBER(SEARCH("年",I136)),1/12,IF(ISNUMBER(SEARCH("日",I136)),20,1))),IF(ISNUMBER(SEARCH("日",I136)),20,IF(ISNUMBER(SEARCH("週",I136)),4.3,IF(ISNUMBER(SEARCH("月",I136)),1,"")))))))</f>
        <v/>
      </c>
      <c r="AN136" s="34">
        <f>IF(J136="","",IF(ISNUMBER(J136),J136,IFERROR(VALUE(ASC(J136&amp;"")),IF(ISNUMBER(SEARCH("時間",J136)),IFERROR(VALUE(SUBSTITUTE(SUBSTITUTE(SUBSTITUTE(SUBSTITUTE(SUBSTITUTE(ASC(J136&amp;""),"約",""),"程度",""),"ほど",""),"時間","")," ",""))*60,""),IFERROR(VALUE(SUBSTITUTE(SUBSTITUTE(SUBSTITUTE(SUBSTITUTE(SUBSTITUTE(ASC(J136&amp;""),"約",""),"程度",""),"ほど",""),"分","")," ","")),"")))))</f>
        <v/>
      </c>
      <c r="AO136" s="34">
        <f>IF(K136="","",IF(ISNUMBER(K136),K136,IFERROR(VALUE(SUBSTITUTE(SUBSTITUTE(SUBSTITUTE(ASC(K136&amp;""),"約",""),"件","")," ","")),"")))</f>
        <v/>
      </c>
      <c r="AP136" s="34">
        <f>IF(W136&lt;&gt;"OK","",IF(COUNTIFS($D$5:$D$404,D136,$W$5:$W$404,"OK")&gt;1,"同名あり",""))</f>
        <v/>
      </c>
      <c r="AQ136" s="35">
        <f>IF(L136="","",IF(ISNUMBER(L136),L136,IFERROR(DATEVALUE(SUBSTITUTE(SUBSTITUTE(ASC(L136&amp;""),"-","/"),".","/")&amp;"/01"),"")))</f>
        <v/>
      </c>
      <c r="AR136" s="35">
        <f>IF(M136="","",IF(ISNUMBER(M136),M136,IFERROR(DATEVALUE(SUBSTITUTE(SUBSTITUTE(ASC(M136&amp;""),"-","/"),".","/")&amp;"/01"),"")))</f>
        <v/>
      </c>
      <c r="AS136" s="34">
        <f>IF(OR(W136&lt;&gt;"OK",AQ136=""),"",IF(AQ136&gt;='01_設定'!$C$26,1,0))</f>
        <v/>
      </c>
      <c r="AT136" s="34">
        <f>IF(AND(W136="OK",Y136&lt;&gt;"除外"),COUNTIFS($W$5:W136,"OK",$Y$5:Y136,"&lt;&gt;除外"),"")</f>
        <v/>
      </c>
      <c r="AU136" s="34">
        <f>IF(OR(AT136="",AD136=""),"",AD136+ROW()/1000000000)</f>
        <v/>
      </c>
    </row>
    <row r="137">
      <c r="W137">
        <f>IF(AND(A137="",D137=""),"",IF(ISNUMBER(SEARCH("##END",AH137)),"（終わりの印）",IF(ISNUMBER(SEARCH("##続き",AH137)),"（続きありの印）",IF(AH137="調査ID","（見出し行）",IF(AND(AH137&lt;&gt;"R1",AH137&lt;&gt;"R2"),"×表以外の行（集計されない）",IF(COUNTIF($AI$5:AI137,AI137)&gt;1,"△重複（集計されない）",IF(D137="","△タスク名なし",IF(ISNA(MATCH(AK137,'M1_類型マスタ'!$A$5:$A$19,0)),"△類型が不正",IF(OR(AM137="",AN137=""),"△回数・分が読めない",IF(SUMPRODUCT(--ISNUMBER(--O137:U137))&lt;7,"△採点が足りない",IF(SUMPRODUCT((--O137:U137&gt;2)+(--O137:U137&lt;0))&gt;0,"△採点が範囲外","OK")))))))))))</f>
        <v/>
      </c>
      <c r="X137">
        <f>IF(W137&lt;&gt;"OK","",TRIM(IF(AND(AO137&lt;&gt;"",N(AO137)&lt;=1),"根拠1件 ","")&amp;IF(AP137&lt;&gt;"","同名あり ","")&amp;IF(AND(NOT(ISNUMBER(I137)),I137&lt;&gt;""),"回数を換算 ","")))</f>
        <v/>
      </c>
      <c r="Y137" s="31" t="n"/>
      <c r="Z137" s="32" t="n"/>
      <c r="AA137" s="32" t="n"/>
      <c r="AB137" s="31" t="n"/>
      <c r="AC137">
        <f>IF(W137&lt;&gt;"OK","",IF(AB137&lt;&gt;"",AB137,AE137))</f>
        <v/>
      </c>
      <c r="AD137" s="33">
        <f>IF(W137&lt;&gt;"OK","",IFERROR(IF(Z137&lt;&gt;"",Z137,AM137)*IF(AA137&lt;&gt;"",AA137,AN137)/60,""))</f>
        <v/>
      </c>
      <c r="AE137">
        <f>IF(W137&lt;&gt;"OK","",IF(OR(VALUE(O137)=2,VALUE(P137)=2,VALUE(Q137)=2),"社内残置",IF(AND(VALUE(O137)=0,VALUE(R137)=0,VALUE(T137)=0),"自動化候補",IF(AND(VALUE(P137)=0,VALUE(R137)&lt;=1,VALUE(S137)&lt;=1,VALUE(T137)&lt;=1,VALUE(U137)&lt;=1),"オフショア候補",IF(AND(VALUE(T137)&lt;=1,VALUE(U137)&lt;=1),"ニアショア候補","社内で手順化→再評価")))))</f>
        <v/>
      </c>
      <c r="AF137">
        <f>IF(W137&lt;&gt;"OK","",14-SUMPRODUCT(--O137:U137))</f>
        <v/>
      </c>
      <c r="AG137" s="33">
        <f>IF(W137&lt;&gt;"OK","",AM137*AN137/60)</f>
        <v/>
      </c>
      <c r="AH137" s="34">
        <f>IF(A137="","",UPPER(TRIM(ASC(A137&amp;""))))</f>
        <v/>
      </c>
      <c r="AI137" s="34">
        <f>IF(AH137="","",AH137&amp;"-"&amp;B137)</f>
        <v/>
      </c>
      <c r="AJ137" s="34">
        <f>IF(C137="","",IFERROR(VALUE(ASC(SUBSTITUTE(C137&amp;"","観点",""))),""))</f>
        <v/>
      </c>
      <c r="AK137" s="34">
        <f>IF(E137="","",UPPER(LEFT(TRIM(ASC(E137&amp;"")),3)))</f>
        <v/>
      </c>
      <c r="AL137" s="34">
        <f>IF(I137="","",IFERROR(VALUE(SUBSTITUTE(SUBSTITUTE(SUBSTITUTE(SUBSTITUTE(SUBSTITUTE(SUBSTITUTE(SUBSTITUTE(SUBSTITUTE(SUBSTITUTE(SUBSTITUTE(SUBSTITUTE(SUBSTITUTE(ASC(I137&amp;""),"約",""),"程度",""),"ほど",""),"回",""),"毎",""),"週",""),"月",""),"年",""),"日",""),"に",""),"/","")," ","")),""))</f>
        <v/>
      </c>
      <c r="AM137" s="34">
        <f>IF(I137="","",IF(ISNUMBER(I137),I137,IFERROR(VALUE(ASC(I137&amp;"")),IF(AL137&lt;&gt;"",AL137*IF(ISNUMBER(SEARCH("週",I137)),4.3,IF(ISNUMBER(SEARCH("年",I137)),1/12,IF(ISNUMBER(SEARCH("日",I137)),20,1))),IF(ISNUMBER(SEARCH("日",I137)),20,IF(ISNUMBER(SEARCH("週",I137)),4.3,IF(ISNUMBER(SEARCH("月",I137)),1,"")))))))</f>
        <v/>
      </c>
      <c r="AN137" s="34">
        <f>IF(J137="","",IF(ISNUMBER(J137),J137,IFERROR(VALUE(ASC(J137&amp;"")),IF(ISNUMBER(SEARCH("時間",J137)),IFERROR(VALUE(SUBSTITUTE(SUBSTITUTE(SUBSTITUTE(SUBSTITUTE(SUBSTITUTE(ASC(J137&amp;""),"約",""),"程度",""),"ほど",""),"時間","")," ",""))*60,""),IFERROR(VALUE(SUBSTITUTE(SUBSTITUTE(SUBSTITUTE(SUBSTITUTE(SUBSTITUTE(ASC(J137&amp;""),"約",""),"程度",""),"ほど",""),"分","")," ","")),"")))))</f>
        <v/>
      </c>
      <c r="AO137" s="34">
        <f>IF(K137="","",IF(ISNUMBER(K137),K137,IFERROR(VALUE(SUBSTITUTE(SUBSTITUTE(SUBSTITUTE(ASC(K137&amp;""),"約",""),"件","")," ","")),"")))</f>
        <v/>
      </c>
      <c r="AP137" s="34">
        <f>IF(W137&lt;&gt;"OK","",IF(COUNTIFS($D$5:$D$404,D137,$W$5:$W$404,"OK")&gt;1,"同名あり",""))</f>
        <v/>
      </c>
      <c r="AQ137" s="35">
        <f>IF(L137="","",IF(ISNUMBER(L137),L137,IFERROR(DATEVALUE(SUBSTITUTE(SUBSTITUTE(ASC(L137&amp;""),"-","/"),".","/")&amp;"/01"),"")))</f>
        <v/>
      </c>
      <c r="AR137" s="35">
        <f>IF(M137="","",IF(ISNUMBER(M137),M137,IFERROR(DATEVALUE(SUBSTITUTE(SUBSTITUTE(ASC(M137&amp;""),"-","/"),".","/")&amp;"/01"),"")))</f>
        <v/>
      </c>
      <c r="AS137" s="34">
        <f>IF(OR(W137&lt;&gt;"OK",AQ137=""),"",IF(AQ137&gt;='01_設定'!$C$26,1,0))</f>
        <v/>
      </c>
      <c r="AT137" s="34">
        <f>IF(AND(W137="OK",Y137&lt;&gt;"除外"),COUNTIFS($W$5:W137,"OK",$Y$5:Y137,"&lt;&gt;除外"),"")</f>
        <v/>
      </c>
      <c r="AU137" s="34">
        <f>IF(OR(AT137="",AD137=""),"",AD137+ROW()/1000000000)</f>
        <v/>
      </c>
    </row>
    <row r="138">
      <c r="W138">
        <f>IF(AND(A138="",D138=""),"",IF(ISNUMBER(SEARCH("##END",AH138)),"（終わりの印）",IF(ISNUMBER(SEARCH("##続き",AH138)),"（続きありの印）",IF(AH138="調査ID","（見出し行）",IF(AND(AH138&lt;&gt;"R1",AH138&lt;&gt;"R2"),"×表以外の行（集計されない）",IF(COUNTIF($AI$5:AI138,AI138)&gt;1,"△重複（集計されない）",IF(D138="","△タスク名なし",IF(ISNA(MATCH(AK138,'M1_類型マスタ'!$A$5:$A$19,0)),"△類型が不正",IF(OR(AM138="",AN138=""),"△回数・分が読めない",IF(SUMPRODUCT(--ISNUMBER(--O138:U138))&lt;7,"△採点が足りない",IF(SUMPRODUCT((--O138:U138&gt;2)+(--O138:U138&lt;0))&gt;0,"△採点が範囲外","OK")))))))))))</f>
        <v/>
      </c>
      <c r="X138">
        <f>IF(W138&lt;&gt;"OK","",TRIM(IF(AND(AO138&lt;&gt;"",N(AO138)&lt;=1),"根拠1件 ","")&amp;IF(AP138&lt;&gt;"","同名あり ","")&amp;IF(AND(NOT(ISNUMBER(I138)),I138&lt;&gt;""),"回数を換算 ","")))</f>
        <v/>
      </c>
      <c r="Y138" s="31" t="n"/>
      <c r="Z138" s="32" t="n"/>
      <c r="AA138" s="32" t="n"/>
      <c r="AB138" s="31" t="n"/>
      <c r="AC138">
        <f>IF(W138&lt;&gt;"OK","",IF(AB138&lt;&gt;"",AB138,AE138))</f>
        <v/>
      </c>
      <c r="AD138" s="33">
        <f>IF(W138&lt;&gt;"OK","",IFERROR(IF(Z138&lt;&gt;"",Z138,AM138)*IF(AA138&lt;&gt;"",AA138,AN138)/60,""))</f>
        <v/>
      </c>
      <c r="AE138">
        <f>IF(W138&lt;&gt;"OK","",IF(OR(VALUE(O138)=2,VALUE(P138)=2,VALUE(Q138)=2),"社内残置",IF(AND(VALUE(O138)=0,VALUE(R138)=0,VALUE(T138)=0),"自動化候補",IF(AND(VALUE(P138)=0,VALUE(R138)&lt;=1,VALUE(S138)&lt;=1,VALUE(T138)&lt;=1,VALUE(U138)&lt;=1),"オフショア候補",IF(AND(VALUE(T138)&lt;=1,VALUE(U138)&lt;=1),"ニアショア候補","社内で手順化→再評価")))))</f>
        <v/>
      </c>
      <c r="AF138">
        <f>IF(W138&lt;&gt;"OK","",14-SUMPRODUCT(--O138:U138))</f>
        <v/>
      </c>
      <c r="AG138" s="33">
        <f>IF(W138&lt;&gt;"OK","",AM138*AN138/60)</f>
        <v/>
      </c>
      <c r="AH138" s="34">
        <f>IF(A138="","",UPPER(TRIM(ASC(A138&amp;""))))</f>
        <v/>
      </c>
      <c r="AI138" s="34">
        <f>IF(AH138="","",AH138&amp;"-"&amp;B138)</f>
        <v/>
      </c>
      <c r="AJ138" s="34">
        <f>IF(C138="","",IFERROR(VALUE(ASC(SUBSTITUTE(C138&amp;"","観点",""))),""))</f>
        <v/>
      </c>
      <c r="AK138" s="34">
        <f>IF(E138="","",UPPER(LEFT(TRIM(ASC(E138&amp;"")),3)))</f>
        <v/>
      </c>
      <c r="AL138" s="34">
        <f>IF(I138="","",IFERROR(VALUE(SUBSTITUTE(SUBSTITUTE(SUBSTITUTE(SUBSTITUTE(SUBSTITUTE(SUBSTITUTE(SUBSTITUTE(SUBSTITUTE(SUBSTITUTE(SUBSTITUTE(SUBSTITUTE(SUBSTITUTE(ASC(I138&amp;""),"約",""),"程度",""),"ほど",""),"回",""),"毎",""),"週",""),"月",""),"年",""),"日",""),"に",""),"/","")," ","")),""))</f>
        <v/>
      </c>
      <c r="AM138" s="34">
        <f>IF(I138="","",IF(ISNUMBER(I138),I138,IFERROR(VALUE(ASC(I138&amp;"")),IF(AL138&lt;&gt;"",AL138*IF(ISNUMBER(SEARCH("週",I138)),4.3,IF(ISNUMBER(SEARCH("年",I138)),1/12,IF(ISNUMBER(SEARCH("日",I138)),20,1))),IF(ISNUMBER(SEARCH("日",I138)),20,IF(ISNUMBER(SEARCH("週",I138)),4.3,IF(ISNUMBER(SEARCH("月",I138)),1,"")))))))</f>
        <v/>
      </c>
      <c r="AN138" s="34">
        <f>IF(J138="","",IF(ISNUMBER(J138),J138,IFERROR(VALUE(ASC(J138&amp;"")),IF(ISNUMBER(SEARCH("時間",J138)),IFERROR(VALUE(SUBSTITUTE(SUBSTITUTE(SUBSTITUTE(SUBSTITUTE(SUBSTITUTE(ASC(J138&amp;""),"約",""),"程度",""),"ほど",""),"時間","")," ",""))*60,""),IFERROR(VALUE(SUBSTITUTE(SUBSTITUTE(SUBSTITUTE(SUBSTITUTE(SUBSTITUTE(ASC(J138&amp;""),"約",""),"程度",""),"ほど",""),"分","")," ","")),"")))))</f>
        <v/>
      </c>
      <c r="AO138" s="34">
        <f>IF(K138="","",IF(ISNUMBER(K138),K138,IFERROR(VALUE(SUBSTITUTE(SUBSTITUTE(SUBSTITUTE(ASC(K138&amp;""),"約",""),"件","")," ","")),"")))</f>
        <v/>
      </c>
      <c r="AP138" s="34">
        <f>IF(W138&lt;&gt;"OK","",IF(COUNTIFS($D$5:$D$404,D138,$W$5:$W$404,"OK")&gt;1,"同名あり",""))</f>
        <v/>
      </c>
      <c r="AQ138" s="35">
        <f>IF(L138="","",IF(ISNUMBER(L138),L138,IFERROR(DATEVALUE(SUBSTITUTE(SUBSTITUTE(ASC(L138&amp;""),"-","/"),".","/")&amp;"/01"),"")))</f>
        <v/>
      </c>
      <c r="AR138" s="35">
        <f>IF(M138="","",IF(ISNUMBER(M138),M138,IFERROR(DATEVALUE(SUBSTITUTE(SUBSTITUTE(ASC(M138&amp;""),"-","/"),".","/")&amp;"/01"),"")))</f>
        <v/>
      </c>
      <c r="AS138" s="34">
        <f>IF(OR(W138&lt;&gt;"OK",AQ138=""),"",IF(AQ138&gt;='01_設定'!$C$26,1,0))</f>
        <v/>
      </c>
      <c r="AT138" s="34">
        <f>IF(AND(W138="OK",Y138&lt;&gt;"除外"),COUNTIFS($W$5:W138,"OK",$Y$5:Y138,"&lt;&gt;除外"),"")</f>
        <v/>
      </c>
      <c r="AU138" s="34">
        <f>IF(OR(AT138="",AD138=""),"",AD138+ROW()/1000000000)</f>
        <v/>
      </c>
    </row>
    <row r="139">
      <c r="W139">
        <f>IF(AND(A139="",D139=""),"",IF(ISNUMBER(SEARCH("##END",AH139)),"（終わりの印）",IF(ISNUMBER(SEARCH("##続き",AH139)),"（続きありの印）",IF(AH139="調査ID","（見出し行）",IF(AND(AH139&lt;&gt;"R1",AH139&lt;&gt;"R2"),"×表以外の行（集計されない）",IF(COUNTIF($AI$5:AI139,AI139)&gt;1,"△重複（集計されない）",IF(D139="","△タスク名なし",IF(ISNA(MATCH(AK139,'M1_類型マスタ'!$A$5:$A$19,0)),"△類型が不正",IF(OR(AM139="",AN139=""),"△回数・分が読めない",IF(SUMPRODUCT(--ISNUMBER(--O139:U139))&lt;7,"△採点が足りない",IF(SUMPRODUCT((--O139:U139&gt;2)+(--O139:U139&lt;0))&gt;0,"△採点が範囲外","OK")))))))))))</f>
        <v/>
      </c>
      <c r="X139">
        <f>IF(W139&lt;&gt;"OK","",TRIM(IF(AND(AO139&lt;&gt;"",N(AO139)&lt;=1),"根拠1件 ","")&amp;IF(AP139&lt;&gt;"","同名あり ","")&amp;IF(AND(NOT(ISNUMBER(I139)),I139&lt;&gt;""),"回数を換算 ","")))</f>
        <v/>
      </c>
      <c r="Y139" s="31" t="n"/>
      <c r="Z139" s="32" t="n"/>
      <c r="AA139" s="32" t="n"/>
      <c r="AB139" s="31" t="n"/>
      <c r="AC139">
        <f>IF(W139&lt;&gt;"OK","",IF(AB139&lt;&gt;"",AB139,AE139))</f>
        <v/>
      </c>
      <c r="AD139" s="33">
        <f>IF(W139&lt;&gt;"OK","",IFERROR(IF(Z139&lt;&gt;"",Z139,AM139)*IF(AA139&lt;&gt;"",AA139,AN139)/60,""))</f>
        <v/>
      </c>
      <c r="AE139">
        <f>IF(W139&lt;&gt;"OK","",IF(OR(VALUE(O139)=2,VALUE(P139)=2,VALUE(Q139)=2),"社内残置",IF(AND(VALUE(O139)=0,VALUE(R139)=0,VALUE(T139)=0),"自動化候補",IF(AND(VALUE(P139)=0,VALUE(R139)&lt;=1,VALUE(S139)&lt;=1,VALUE(T139)&lt;=1,VALUE(U139)&lt;=1),"オフショア候補",IF(AND(VALUE(T139)&lt;=1,VALUE(U139)&lt;=1),"ニアショア候補","社内で手順化→再評価")))))</f>
        <v/>
      </c>
      <c r="AF139">
        <f>IF(W139&lt;&gt;"OK","",14-SUMPRODUCT(--O139:U139))</f>
        <v/>
      </c>
      <c r="AG139" s="33">
        <f>IF(W139&lt;&gt;"OK","",AM139*AN139/60)</f>
        <v/>
      </c>
      <c r="AH139" s="34">
        <f>IF(A139="","",UPPER(TRIM(ASC(A139&amp;""))))</f>
        <v/>
      </c>
      <c r="AI139" s="34">
        <f>IF(AH139="","",AH139&amp;"-"&amp;B139)</f>
        <v/>
      </c>
      <c r="AJ139" s="34">
        <f>IF(C139="","",IFERROR(VALUE(ASC(SUBSTITUTE(C139&amp;"","観点",""))),""))</f>
        <v/>
      </c>
      <c r="AK139" s="34">
        <f>IF(E139="","",UPPER(LEFT(TRIM(ASC(E139&amp;"")),3)))</f>
        <v/>
      </c>
      <c r="AL139" s="34">
        <f>IF(I139="","",IFERROR(VALUE(SUBSTITUTE(SUBSTITUTE(SUBSTITUTE(SUBSTITUTE(SUBSTITUTE(SUBSTITUTE(SUBSTITUTE(SUBSTITUTE(SUBSTITUTE(SUBSTITUTE(SUBSTITUTE(SUBSTITUTE(ASC(I139&amp;""),"約",""),"程度",""),"ほど",""),"回",""),"毎",""),"週",""),"月",""),"年",""),"日",""),"に",""),"/","")," ","")),""))</f>
        <v/>
      </c>
      <c r="AM139" s="34">
        <f>IF(I139="","",IF(ISNUMBER(I139),I139,IFERROR(VALUE(ASC(I139&amp;"")),IF(AL139&lt;&gt;"",AL139*IF(ISNUMBER(SEARCH("週",I139)),4.3,IF(ISNUMBER(SEARCH("年",I139)),1/12,IF(ISNUMBER(SEARCH("日",I139)),20,1))),IF(ISNUMBER(SEARCH("日",I139)),20,IF(ISNUMBER(SEARCH("週",I139)),4.3,IF(ISNUMBER(SEARCH("月",I139)),1,"")))))))</f>
        <v/>
      </c>
      <c r="AN139" s="34">
        <f>IF(J139="","",IF(ISNUMBER(J139),J139,IFERROR(VALUE(ASC(J139&amp;"")),IF(ISNUMBER(SEARCH("時間",J139)),IFERROR(VALUE(SUBSTITUTE(SUBSTITUTE(SUBSTITUTE(SUBSTITUTE(SUBSTITUTE(ASC(J139&amp;""),"約",""),"程度",""),"ほど",""),"時間","")," ",""))*60,""),IFERROR(VALUE(SUBSTITUTE(SUBSTITUTE(SUBSTITUTE(SUBSTITUTE(SUBSTITUTE(ASC(J139&amp;""),"約",""),"程度",""),"ほど",""),"分","")," ","")),"")))))</f>
        <v/>
      </c>
      <c r="AO139" s="34">
        <f>IF(K139="","",IF(ISNUMBER(K139),K139,IFERROR(VALUE(SUBSTITUTE(SUBSTITUTE(SUBSTITUTE(ASC(K139&amp;""),"約",""),"件","")," ","")),"")))</f>
        <v/>
      </c>
      <c r="AP139" s="34">
        <f>IF(W139&lt;&gt;"OK","",IF(COUNTIFS($D$5:$D$404,D139,$W$5:$W$404,"OK")&gt;1,"同名あり",""))</f>
        <v/>
      </c>
      <c r="AQ139" s="35">
        <f>IF(L139="","",IF(ISNUMBER(L139),L139,IFERROR(DATEVALUE(SUBSTITUTE(SUBSTITUTE(ASC(L139&amp;""),"-","/"),".","/")&amp;"/01"),"")))</f>
        <v/>
      </c>
      <c r="AR139" s="35">
        <f>IF(M139="","",IF(ISNUMBER(M139),M139,IFERROR(DATEVALUE(SUBSTITUTE(SUBSTITUTE(ASC(M139&amp;""),"-","/"),".","/")&amp;"/01"),"")))</f>
        <v/>
      </c>
      <c r="AS139" s="34">
        <f>IF(OR(W139&lt;&gt;"OK",AQ139=""),"",IF(AQ139&gt;='01_設定'!$C$26,1,0))</f>
        <v/>
      </c>
      <c r="AT139" s="34">
        <f>IF(AND(W139="OK",Y139&lt;&gt;"除外"),COUNTIFS($W$5:W139,"OK",$Y$5:Y139,"&lt;&gt;除外"),"")</f>
        <v/>
      </c>
      <c r="AU139" s="34">
        <f>IF(OR(AT139="",AD139=""),"",AD139+ROW()/1000000000)</f>
        <v/>
      </c>
    </row>
    <row r="140">
      <c r="W140">
        <f>IF(AND(A140="",D140=""),"",IF(ISNUMBER(SEARCH("##END",AH140)),"（終わりの印）",IF(ISNUMBER(SEARCH("##続き",AH140)),"（続きありの印）",IF(AH140="調査ID","（見出し行）",IF(AND(AH140&lt;&gt;"R1",AH140&lt;&gt;"R2"),"×表以外の行（集計されない）",IF(COUNTIF($AI$5:AI140,AI140)&gt;1,"△重複（集計されない）",IF(D140="","△タスク名なし",IF(ISNA(MATCH(AK140,'M1_類型マスタ'!$A$5:$A$19,0)),"△類型が不正",IF(OR(AM140="",AN140=""),"△回数・分が読めない",IF(SUMPRODUCT(--ISNUMBER(--O140:U140))&lt;7,"△採点が足りない",IF(SUMPRODUCT((--O140:U140&gt;2)+(--O140:U140&lt;0))&gt;0,"△採点が範囲外","OK")))))))))))</f>
        <v/>
      </c>
      <c r="X140">
        <f>IF(W140&lt;&gt;"OK","",TRIM(IF(AND(AO140&lt;&gt;"",N(AO140)&lt;=1),"根拠1件 ","")&amp;IF(AP140&lt;&gt;"","同名あり ","")&amp;IF(AND(NOT(ISNUMBER(I140)),I140&lt;&gt;""),"回数を換算 ","")))</f>
        <v/>
      </c>
      <c r="Y140" s="31" t="n"/>
      <c r="Z140" s="32" t="n"/>
      <c r="AA140" s="32" t="n"/>
      <c r="AB140" s="31" t="n"/>
      <c r="AC140">
        <f>IF(W140&lt;&gt;"OK","",IF(AB140&lt;&gt;"",AB140,AE140))</f>
        <v/>
      </c>
      <c r="AD140" s="33">
        <f>IF(W140&lt;&gt;"OK","",IFERROR(IF(Z140&lt;&gt;"",Z140,AM140)*IF(AA140&lt;&gt;"",AA140,AN140)/60,""))</f>
        <v/>
      </c>
      <c r="AE140">
        <f>IF(W140&lt;&gt;"OK","",IF(OR(VALUE(O140)=2,VALUE(P140)=2,VALUE(Q140)=2),"社内残置",IF(AND(VALUE(O140)=0,VALUE(R140)=0,VALUE(T140)=0),"自動化候補",IF(AND(VALUE(P140)=0,VALUE(R140)&lt;=1,VALUE(S140)&lt;=1,VALUE(T140)&lt;=1,VALUE(U140)&lt;=1),"オフショア候補",IF(AND(VALUE(T140)&lt;=1,VALUE(U140)&lt;=1),"ニアショア候補","社内で手順化→再評価")))))</f>
        <v/>
      </c>
      <c r="AF140">
        <f>IF(W140&lt;&gt;"OK","",14-SUMPRODUCT(--O140:U140))</f>
        <v/>
      </c>
      <c r="AG140" s="33">
        <f>IF(W140&lt;&gt;"OK","",AM140*AN140/60)</f>
        <v/>
      </c>
      <c r="AH140" s="34">
        <f>IF(A140="","",UPPER(TRIM(ASC(A140&amp;""))))</f>
        <v/>
      </c>
      <c r="AI140" s="34">
        <f>IF(AH140="","",AH140&amp;"-"&amp;B140)</f>
        <v/>
      </c>
      <c r="AJ140" s="34">
        <f>IF(C140="","",IFERROR(VALUE(ASC(SUBSTITUTE(C140&amp;"","観点",""))),""))</f>
        <v/>
      </c>
      <c r="AK140" s="34">
        <f>IF(E140="","",UPPER(LEFT(TRIM(ASC(E140&amp;"")),3)))</f>
        <v/>
      </c>
      <c r="AL140" s="34">
        <f>IF(I140="","",IFERROR(VALUE(SUBSTITUTE(SUBSTITUTE(SUBSTITUTE(SUBSTITUTE(SUBSTITUTE(SUBSTITUTE(SUBSTITUTE(SUBSTITUTE(SUBSTITUTE(SUBSTITUTE(SUBSTITUTE(SUBSTITUTE(ASC(I140&amp;""),"約",""),"程度",""),"ほど",""),"回",""),"毎",""),"週",""),"月",""),"年",""),"日",""),"に",""),"/","")," ","")),""))</f>
        <v/>
      </c>
      <c r="AM140" s="34">
        <f>IF(I140="","",IF(ISNUMBER(I140),I140,IFERROR(VALUE(ASC(I140&amp;"")),IF(AL140&lt;&gt;"",AL140*IF(ISNUMBER(SEARCH("週",I140)),4.3,IF(ISNUMBER(SEARCH("年",I140)),1/12,IF(ISNUMBER(SEARCH("日",I140)),20,1))),IF(ISNUMBER(SEARCH("日",I140)),20,IF(ISNUMBER(SEARCH("週",I140)),4.3,IF(ISNUMBER(SEARCH("月",I140)),1,"")))))))</f>
        <v/>
      </c>
      <c r="AN140" s="34">
        <f>IF(J140="","",IF(ISNUMBER(J140),J140,IFERROR(VALUE(ASC(J140&amp;"")),IF(ISNUMBER(SEARCH("時間",J140)),IFERROR(VALUE(SUBSTITUTE(SUBSTITUTE(SUBSTITUTE(SUBSTITUTE(SUBSTITUTE(ASC(J140&amp;""),"約",""),"程度",""),"ほど",""),"時間","")," ",""))*60,""),IFERROR(VALUE(SUBSTITUTE(SUBSTITUTE(SUBSTITUTE(SUBSTITUTE(SUBSTITUTE(ASC(J140&amp;""),"約",""),"程度",""),"ほど",""),"分","")," ","")),"")))))</f>
        <v/>
      </c>
      <c r="AO140" s="34">
        <f>IF(K140="","",IF(ISNUMBER(K140),K140,IFERROR(VALUE(SUBSTITUTE(SUBSTITUTE(SUBSTITUTE(ASC(K140&amp;""),"約",""),"件","")," ","")),"")))</f>
        <v/>
      </c>
      <c r="AP140" s="34">
        <f>IF(W140&lt;&gt;"OK","",IF(COUNTIFS($D$5:$D$404,D140,$W$5:$W$404,"OK")&gt;1,"同名あり",""))</f>
        <v/>
      </c>
      <c r="AQ140" s="35">
        <f>IF(L140="","",IF(ISNUMBER(L140),L140,IFERROR(DATEVALUE(SUBSTITUTE(SUBSTITUTE(ASC(L140&amp;""),"-","/"),".","/")&amp;"/01"),"")))</f>
        <v/>
      </c>
      <c r="AR140" s="35">
        <f>IF(M140="","",IF(ISNUMBER(M140),M140,IFERROR(DATEVALUE(SUBSTITUTE(SUBSTITUTE(ASC(M140&amp;""),"-","/"),".","/")&amp;"/01"),"")))</f>
        <v/>
      </c>
      <c r="AS140" s="34">
        <f>IF(OR(W140&lt;&gt;"OK",AQ140=""),"",IF(AQ140&gt;='01_設定'!$C$26,1,0))</f>
        <v/>
      </c>
      <c r="AT140" s="34">
        <f>IF(AND(W140="OK",Y140&lt;&gt;"除外"),COUNTIFS($W$5:W140,"OK",$Y$5:Y140,"&lt;&gt;除外"),"")</f>
        <v/>
      </c>
      <c r="AU140" s="34">
        <f>IF(OR(AT140="",AD140=""),"",AD140+ROW()/1000000000)</f>
        <v/>
      </c>
    </row>
    <row r="141">
      <c r="W141">
        <f>IF(AND(A141="",D141=""),"",IF(ISNUMBER(SEARCH("##END",AH141)),"（終わりの印）",IF(ISNUMBER(SEARCH("##続き",AH141)),"（続きありの印）",IF(AH141="調査ID","（見出し行）",IF(AND(AH141&lt;&gt;"R1",AH141&lt;&gt;"R2"),"×表以外の行（集計されない）",IF(COUNTIF($AI$5:AI141,AI141)&gt;1,"△重複（集計されない）",IF(D141="","△タスク名なし",IF(ISNA(MATCH(AK141,'M1_類型マスタ'!$A$5:$A$19,0)),"△類型が不正",IF(OR(AM141="",AN141=""),"△回数・分が読めない",IF(SUMPRODUCT(--ISNUMBER(--O141:U141))&lt;7,"△採点が足りない",IF(SUMPRODUCT((--O141:U141&gt;2)+(--O141:U141&lt;0))&gt;0,"△採点が範囲外","OK")))))))))))</f>
        <v/>
      </c>
      <c r="X141">
        <f>IF(W141&lt;&gt;"OK","",TRIM(IF(AND(AO141&lt;&gt;"",N(AO141)&lt;=1),"根拠1件 ","")&amp;IF(AP141&lt;&gt;"","同名あり ","")&amp;IF(AND(NOT(ISNUMBER(I141)),I141&lt;&gt;""),"回数を換算 ","")))</f>
        <v/>
      </c>
      <c r="Y141" s="31" t="n"/>
      <c r="Z141" s="32" t="n"/>
      <c r="AA141" s="32" t="n"/>
      <c r="AB141" s="31" t="n"/>
      <c r="AC141">
        <f>IF(W141&lt;&gt;"OK","",IF(AB141&lt;&gt;"",AB141,AE141))</f>
        <v/>
      </c>
      <c r="AD141" s="33">
        <f>IF(W141&lt;&gt;"OK","",IFERROR(IF(Z141&lt;&gt;"",Z141,AM141)*IF(AA141&lt;&gt;"",AA141,AN141)/60,""))</f>
        <v/>
      </c>
      <c r="AE141">
        <f>IF(W141&lt;&gt;"OK","",IF(OR(VALUE(O141)=2,VALUE(P141)=2,VALUE(Q141)=2),"社内残置",IF(AND(VALUE(O141)=0,VALUE(R141)=0,VALUE(T141)=0),"自動化候補",IF(AND(VALUE(P141)=0,VALUE(R141)&lt;=1,VALUE(S141)&lt;=1,VALUE(T141)&lt;=1,VALUE(U141)&lt;=1),"オフショア候補",IF(AND(VALUE(T141)&lt;=1,VALUE(U141)&lt;=1),"ニアショア候補","社内で手順化→再評価")))))</f>
        <v/>
      </c>
      <c r="AF141">
        <f>IF(W141&lt;&gt;"OK","",14-SUMPRODUCT(--O141:U141))</f>
        <v/>
      </c>
      <c r="AG141" s="33">
        <f>IF(W141&lt;&gt;"OK","",AM141*AN141/60)</f>
        <v/>
      </c>
      <c r="AH141" s="34">
        <f>IF(A141="","",UPPER(TRIM(ASC(A141&amp;""))))</f>
        <v/>
      </c>
      <c r="AI141" s="34">
        <f>IF(AH141="","",AH141&amp;"-"&amp;B141)</f>
        <v/>
      </c>
      <c r="AJ141" s="34">
        <f>IF(C141="","",IFERROR(VALUE(ASC(SUBSTITUTE(C141&amp;"","観点",""))),""))</f>
        <v/>
      </c>
      <c r="AK141" s="34">
        <f>IF(E141="","",UPPER(LEFT(TRIM(ASC(E141&amp;"")),3)))</f>
        <v/>
      </c>
      <c r="AL141" s="34">
        <f>IF(I141="","",IFERROR(VALUE(SUBSTITUTE(SUBSTITUTE(SUBSTITUTE(SUBSTITUTE(SUBSTITUTE(SUBSTITUTE(SUBSTITUTE(SUBSTITUTE(SUBSTITUTE(SUBSTITUTE(SUBSTITUTE(SUBSTITUTE(ASC(I141&amp;""),"約",""),"程度",""),"ほど",""),"回",""),"毎",""),"週",""),"月",""),"年",""),"日",""),"に",""),"/","")," ","")),""))</f>
        <v/>
      </c>
      <c r="AM141" s="34">
        <f>IF(I141="","",IF(ISNUMBER(I141),I141,IFERROR(VALUE(ASC(I141&amp;"")),IF(AL141&lt;&gt;"",AL141*IF(ISNUMBER(SEARCH("週",I141)),4.3,IF(ISNUMBER(SEARCH("年",I141)),1/12,IF(ISNUMBER(SEARCH("日",I141)),20,1))),IF(ISNUMBER(SEARCH("日",I141)),20,IF(ISNUMBER(SEARCH("週",I141)),4.3,IF(ISNUMBER(SEARCH("月",I141)),1,"")))))))</f>
        <v/>
      </c>
      <c r="AN141" s="34">
        <f>IF(J141="","",IF(ISNUMBER(J141),J141,IFERROR(VALUE(ASC(J141&amp;"")),IF(ISNUMBER(SEARCH("時間",J141)),IFERROR(VALUE(SUBSTITUTE(SUBSTITUTE(SUBSTITUTE(SUBSTITUTE(SUBSTITUTE(ASC(J141&amp;""),"約",""),"程度",""),"ほど",""),"時間","")," ",""))*60,""),IFERROR(VALUE(SUBSTITUTE(SUBSTITUTE(SUBSTITUTE(SUBSTITUTE(SUBSTITUTE(ASC(J141&amp;""),"約",""),"程度",""),"ほど",""),"分","")," ","")),"")))))</f>
        <v/>
      </c>
      <c r="AO141" s="34">
        <f>IF(K141="","",IF(ISNUMBER(K141),K141,IFERROR(VALUE(SUBSTITUTE(SUBSTITUTE(SUBSTITUTE(ASC(K141&amp;""),"約",""),"件","")," ","")),"")))</f>
        <v/>
      </c>
      <c r="AP141" s="34">
        <f>IF(W141&lt;&gt;"OK","",IF(COUNTIFS($D$5:$D$404,D141,$W$5:$W$404,"OK")&gt;1,"同名あり",""))</f>
        <v/>
      </c>
      <c r="AQ141" s="35">
        <f>IF(L141="","",IF(ISNUMBER(L141),L141,IFERROR(DATEVALUE(SUBSTITUTE(SUBSTITUTE(ASC(L141&amp;""),"-","/"),".","/")&amp;"/01"),"")))</f>
        <v/>
      </c>
      <c r="AR141" s="35">
        <f>IF(M141="","",IF(ISNUMBER(M141),M141,IFERROR(DATEVALUE(SUBSTITUTE(SUBSTITUTE(ASC(M141&amp;""),"-","/"),".","/")&amp;"/01"),"")))</f>
        <v/>
      </c>
      <c r="AS141" s="34">
        <f>IF(OR(W141&lt;&gt;"OK",AQ141=""),"",IF(AQ141&gt;='01_設定'!$C$26,1,0))</f>
        <v/>
      </c>
      <c r="AT141" s="34">
        <f>IF(AND(W141="OK",Y141&lt;&gt;"除外"),COUNTIFS($W$5:W141,"OK",$Y$5:Y141,"&lt;&gt;除外"),"")</f>
        <v/>
      </c>
      <c r="AU141" s="34">
        <f>IF(OR(AT141="",AD141=""),"",AD141+ROW()/1000000000)</f>
        <v/>
      </c>
    </row>
    <row r="142">
      <c r="W142">
        <f>IF(AND(A142="",D142=""),"",IF(ISNUMBER(SEARCH("##END",AH142)),"（終わりの印）",IF(ISNUMBER(SEARCH("##続き",AH142)),"（続きありの印）",IF(AH142="調査ID","（見出し行）",IF(AND(AH142&lt;&gt;"R1",AH142&lt;&gt;"R2"),"×表以外の行（集計されない）",IF(COUNTIF($AI$5:AI142,AI142)&gt;1,"△重複（集計されない）",IF(D142="","△タスク名なし",IF(ISNA(MATCH(AK142,'M1_類型マスタ'!$A$5:$A$19,0)),"△類型が不正",IF(OR(AM142="",AN142=""),"△回数・分が読めない",IF(SUMPRODUCT(--ISNUMBER(--O142:U142))&lt;7,"△採点が足りない",IF(SUMPRODUCT((--O142:U142&gt;2)+(--O142:U142&lt;0))&gt;0,"△採点が範囲外","OK")))))))))))</f>
        <v/>
      </c>
      <c r="X142">
        <f>IF(W142&lt;&gt;"OK","",TRIM(IF(AND(AO142&lt;&gt;"",N(AO142)&lt;=1),"根拠1件 ","")&amp;IF(AP142&lt;&gt;"","同名あり ","")&amp;IF(AND(NOT(ISNUMBER(I142)),I142&lt;&gt;""),"回数を換算 ","")))</f>
        <v/>
      </c>
      <c r="Y142" s="31" t="n"/>
      <c r="Z142" s="32" t="n"/>
      <c r="AA142" s="32" t="n"/>
      <c r="AB142" s="31" t="n"/>
      <c r="AC142">
        <f>IF(W142&lt;&gt;"OK","",IF(AB142&lt;&gt;"",AB142,AE142))</f>
        <v/>
      </c>
      <c r="AD142" s="33">
        <f>IF(W142&lt;&gt;"OK","",IFERROR(IF(Z142&lt;&gt;"",Z142,AM142)*IF(AA142&lt;&gt;"",AA142,AN142)/60,""))</f>
        <v/>
      </c>
      <c r="AE142">
        <f>IF(W142&lt;&gt;"OK","",IF(OR(VALUE(O142)=2,VALUE(P142)=2,VALUE(Q142)=2),"社内残置",IF(AND(VALUE(O142)=0,VALUE(R142)=0,VALUE(T142)=0),"自動化候補",IF(AND(VALUE(P142)=0,VALUE(R142)&lt;=1,VALUE(S142)&lt;=1,VALUE(T142)&lt;=1,VALUE(U142)&lt;=1),"オフショア候補",IF(AND(VALUE(T142)&lt;=1,VALUE(U142)&lt;=1),"ニアショア候補","社内で手順化→再評価")))))</f>
        <v/>
      </c>
      <c r="AF142">
        <f>IF(W142&lt;&gt;"OK","",14-SUMPRODUCT(--O142:U142))</f>
        <v/>
      </c>
      <c r="AG142" s="33">
        <f>IF(W142&lt;&gt;"OK","",AM142*AN142/60)</f>
        <v/>
      </c>
      <c r="AH142" s="34">
        <f>IF(A142="","",UPPER(TRIM(ASC(A142&amp;""))))</f>
        <v/>
      </c>
      <c r="AI142" s="34">
        <f>IF(AH142="","",AH142&amp;"-"&amp;B142)</f>
        <v/>
      </c>
      <c r="AJ142" s="34">
        <f>IF(C142="","",IFERROR(VALUE(ASC(SUBSTITUTE(C142&amp;"","観点",""))),""))</f>
        <v/>
      </c>
      <c r="AK142" s="34">
        <f>IF(E142="","",UPPER(LEFT(TRIM(ASC(E142&amp;"")),3)))</f>
        <v/>
      </c>
      <c r="AL142" s="34">
        <f>IF(I142="","",IFERROR(VALUE(SUBSTITUTE(SUBSTITUTE(SUBSTITUTE(SUBSTITUTE(SUBSTITUTE(SUBSTITUTE(SUBSTITUTE(SUBSTITUTE(SUBSTITUTE(SUBSTITUTE(SUBSTITUTE(SUBSTITUTE(ASC(I142&amp;""),"約",""),"程度",""),"ほど",""),"回",""),"毎",""),"週",""),"月",""),"年",""),"日",""),"に",""),"/","")," ","")),""))</f>
        <v/>
      </c>
      <c r="AM142" s="34">
        <f>IF(I142="","",IF(ISNUMBER(I142),I142,IFERROR(VALUE(ASC(I142&amp;"")),IF(AL142&lt;&gt;"",AL142*IF(ISNUMBER(SEARCH("週",I142)),4.3,IF(ISNUMBER(SEARCH("年",I142)),1/12,IF(ISNUMBER(SEARCH("日",I142)),20,1))),IF(ISNUMBER(SEARCH("日",I142)),20,IF(ISNUMBER(SEARCH("週",I142)),4.3,IF(ISNUMBER(SEARCH("月",I142)),1,"")))))))</f>
        <v/>
      </c>
      <c r="AN142" s="34">
        <f>IF(J142="","",IF(ISNUMBER(J142),J142,IFERROR(VALUE(ASC(J142&amp;"")),IF(ISNUMBER(SEARCH("時間",J142)),IFERROR(VALUE(SUBSTITUTE(SUBSTITUTE(SUBSTITUTE(SUBSTITUTE(SUBSTITUTE(ASC(J142&amp;""),"約",""),"程度",""),"ほど",""),"時間","")," ",""))*60,""),IFERROR(VALUE(SUBSTITUTE(SUBSTITUTE(SUBSTITUTE(SUBSTITUTE(SUBSTITUTE(ASC(J142&amp;""),"約",""),"程度",""),"ほど",""),"分","")," ","")),"")))))</f>
        <v/>
      </c>
      <c r="AO142" s="34">
        <f>IF(K142="","",IF(ISNUMBER(K142),K142,IFERROR(VALUE(SUBSTITUTE(SUBSTITUTE(SUBSTITUTE(ASC(K142&amp;""),"約",""),"件","")," ","")),"")))</f>
        <v/>
      </c>
      <c r="AP142" s="34">
        <f>IF(W142&lt;&gt;"OK","",IF(COUNTIFS($D$5:$D$404,D142,$W$5:$W$404,"OK")&gt;1,"同名あり",""))</f>
        <v/>
      </c>
      <c r="AQ142" s="35">
        <f>IF(L142="","",IF(ISNUMBER(L142),L142,IFERROR(DATEVALUE(SUBSTITUTE(SUBSTITUTE(ASC(L142&amp;""),"-","/"),".","/")&amp;"/01"),"")))</f>
        <v/>
      </c>
      <c r="AR142" s="35">
        <f>IF(M142="","",IF(ISNUMBER(M142),M142,IFERROR(DATEVALUE(SUBSTITUTE(SUBSTITUTE(ASC(M142&amp;""),"-","/"),".","/")&amp;"/01"),"")))</f>
        <v/>
      </c>
      <c r="AS142" s="34">
        <f>IF(OR(W142&lt;&gt;"OK",AQ142=""),"",IF(AQ142&gt;='01_設定'!$C$26,1,0))</f>
        <v/>
      </c>
      <c r="AT142" s="34">
        <f>IF(AND(W142="OK",Y142&lt;&gt;"除外"),COUNTIFS($W$5:W142,"OK",$Y$5:Y142,"&lt;&gt;除外"),"")</f>
        <v/>
      </c>
      <c r="AU142" s="34">
        <f>IF(OR(AT142="",AD142=""),"",AD142+ROW()/1000000000)</f>
        <v/>
      </c>
    </row>
    <row r="143">
      <c r="W143">
        <f>IF(AND(A143="",D143=""),"",IF(ISNUMBER(SEARCH("##END",AH143)),"（終わりの印）",IF(ISNUMBER(SEARCH("##続き",AH143)),"（続きありの印）",IF(AH143="調査ID","（見出し行）",IF(AND(AH143&lt;&gt;"R1",AH143&lt;&gt;"R2"),"×表以外の行（集計されない）",IF(COUNTIF($AI$5:AI143,AI143)&gt;1,"△重複（集計されない）",IF(D143="","△タスク名なし",IF(ISNA(MATCH(AK143,'M1_類型マスタ'!$A$5:$A$19,0)),"△類型が不正",IF(OR(AM143="",AN143=""),"△回数・分が読めない",IF(SUMPRODUCT(--ISNUMBER(--O143:U143))&lt;7,"△採点が足りない",IF(SUMPRODUCT((--O143:U143&gt;2)+(--O143:U143&lt;0))&gt;0,"△採点が範囲外","OK")))))))))))</f>
        <v/>
      </c>
      <c r="X143">
        <f>IF(W143&lt;&gt;"OK","",TRIM(IF(AND(AO143&lt;&gt;"",N(AO143)&lt;=1),"根拠1件 ","")&amp;IF(AP143&lt;&gt;"","同名あり ","")&amp;IF(AND(NOT(ISNUMBER(I143)),I143&lt;&gt;""),"回数を換算 ","")))</f>
        <v/>
      </c>
      <c r="Y143" s="31" t="n"/>
      <c r="Z143" s="32" t="n"/>
      <c r="AA143" s="32" t="n"/>
      <c r="AB143" s="31" t="n"/>
      <c r="AC143">
        <f>IF(W143&lt;&gt;"OK","",IF(AB143&lt;&gt;"",AB143,AE143))</f>
        <v/>
      </c>
      <c r="AD143" s="33">
        <f>IF(W143&lt;&gt;"OK","",IFERROR(IF(Z143&lt;&gt;"",Z143,AM143)*IF(AA143&lt;&gt;"",AA143,AN143)/60,""))</f>
        <v/>
      </c>
      <c r="AE143">
        <f>IF(W143&lt;&gt;"OK","",IF(OR(VALUE(O143)=2,VALUE(P143)=2,VALUE(Q143)=2),"社内残置",IF(AND(VALUE(O143)=0,VALUE(R143)=0,VALUE(T143)=0),"自動化候補",IF(AND(VALUE(P143)=0,VALUE(R143)&lt;=1,VALUE(S143)&lt;=1,VALUE(T143)&lt;=1,VALUE(U143)&lt;=1),"オフショア候補",IF(AND(VALUE(T143)&lt;=1,VALUE(U143)&lt;=1),"ニアショア候補","社内で手順化→再評価")))))</f>
        <v/>
      </c>
      <c r="AF143">
        <f>IF(W143&lt;&gt;"OK","",14-SUMPRODUCT(--O143:U143))</f>
        <v/>
      </c>
      <c r="AG143" s="33">
        <f>IF(W143&lt;&gt;"OK","",AM143*AN143/60)</f>
        <v/>
      </c>
      <c r="AH143" s="34">
        <f>IF(A143="","",UPPER(TRIM(ASC(A143&amp;""))))</f>
        <v/>
      </c>
      <c r="AI143" s="34">
        <f>IF(AH143="","",AH143&amp;"-"&amp;B143)</f>
        <v/>
      </c>
      <c r="AJ143" s="34">
        <f>IF(C143="","",IFERROR(VALUE(ASC(SUBSTITUTE(C143&amp;"","観点",""))),""))</f>
        <v/>
      </c>
      <c r="AK143" s="34">
        <f>IF(E143="","",UPPER(LEFT(TRIM(ASC(E143&amp;"")),3)))</f>
        <v/>
      </c>
      <c r="AL143" s="34">
        <f>IF(I143="","",IFERROR(VALUE(SUBSTITUTE(SUBSTITUTE(SUBSTITUTE(SUBSTITUTE(SUBSTITUTE(SUBSTITUTE(SUBSTITUTE(SUBSTITUTE(SUBSTITUTE(SUBSTITUTE(SUBSTITUTE(SUBSTITUTE(ASC(I143&amp;""),"約",""),"程度",""),"ほど",""),"回",""),"毎",""),"週",""),"月",""),"年",""),"日",""),"に",""),"/","")," ","")),""))</f>
        <v/>
      </c>
      <c r="AM143" s="34">
        <f>IF(I143="","",IF(ISNUMBER(I143),I143,IFERROR(VALUE(ASC(I143&amp;"")),IF(AL143&lt;&gt;"",AL143*IF(ISNUMBER(SEARCH("週",I143)),4.3,IF(ISNUMBER(SEARCH("年",I143)),1/12,IF(ISNUMBER(SEARCH("日",I143)),20,1))),IF(ISNUMBER(SEARCH("日",I143)),20,IF(ISNUMBER(SEARCH("週",I143)),4.3,IF(ISNUMBER(SEARCH("月",I143)),1,"")))))))</f>
        <v/>
      </c>
      <c r="AN143" s="34">
        <f>IF(J143="","",IF(ISNUMBER(J143),J143,IFERROR(VALUE(ASC(J143&amp;"")),IF(ISNUMBER(SEARCH("時間",J143)),IFERROR(VALUE(SUBSTITUTE(SUBSTITUTE(SUBSTITUTE(SUBSTITUTE(SUBSTITUTE(ASC(J143&amp;""),"約",""),"程度",""),"ほど",""),"時間","")," ",""))*60,""),IFERROR(VALUE(SUBSTITUTE(SUBSTITUTE(SUBSTITUTE(SUBSTITUTE(SUBSTITUTE(ASC(J143&amp;""),"約",""),"程度",""),"ほど",""),"分","")," ","")),"")))))</f>
        <v/>
      </c>
      <c r="AO143" s="34">
        <f>IF(K143="","",IF(ISNUMBER(K143),K143,IFERROR(VALUE(SUBSTITUTE(SUBSTITUTE(SUBSTITUTE(ASC(K143&amp;""),"約",""),"件","")," ","")),"")))</f>
        <v/>
      </c>
      <c r="AP143" s="34">
        <f>IF(W143&lt;&gt;"OK","",IF(COUNTIFS($D$5:$D$404,D143,$W$5:$W$404,"OK")&gt;1,"同名あり",""))</f>
        <v/>
      </c>
      <c r="AQ143" s="35">
        <f>IF(L143="","",IF(ISNUMBER(L143),L143,IFERROR(DATEVALUE(SUBSTITUTE(SUBSTITUTE(ASC(L143&amp;""),"-","/"),".","/")&amp;"/01"),"")))</f>
        <v/>
      </c>
      <c r="AR143" s="35">
        <f>IF(M143="","",IF(ISNUMBER(M143),M143,IFERROR(DATEVALUE(SUBSTITUTE(SUBSTITUTE(ASC(M143&amp;""),"-","/"),".","/")&amp;"/01"),"")))</f>
        <v/>
      </c>
      <c r="AS143" s="34">
        <f>IF(OR(W143&lt;&gt;"OK",AQ143=""),"",IF(AQ143&gt;='01_設定'!$C$26,1,0))</f>
        <v/>
      </c>
      <c r="AT143" s="34">
        <f>IF(AND(W143="OK",Y143&lt;&gt;"除外"),COUNTIFS($W$5:W143,"OK",$Y$5:Y143,"&lt;&gt;除外"),"")</f>
        <v/>
      </c>
      <c r="AU143" s="34">
        <f>IF(OR(AT143="",AD143=""),"",AD143+ROW()/1000000000)</f>
        <v/>
      </c>
    </row>
    <row r="144">
      <c r="W144">
        <f>IF(AND(A144="",D144=""),"",IF(ISNUMBER(SEARCH("##END",AH144)),"（終わりの印）",IF(ISNUMBER(SEARCH("##続き",AH144)),"（続きありの印）",IF(AH144="調査ID","（見出し行）",IF(AND(AH144&lt;&gt;"R1",AH144&lt;&gt;"R2"),"×表以外の行（集計されない）",IF(COUNTIF($AI$5:AI144,AI144)&gt;1,"△重複（集計されない）",IF(D144="","△タスク名なし",IF(ISNA(MATCH(AK144,'M1_類型マスタ'!$A$5:$A$19,0)),"△類型が不正",IF(OR(AM144="",AN144=""),"△回数・分が読めない",IF(SUMPRODUCT(--ISNUMBER(--O144:U144))&lt;7,"△採点が足りない",IF(SUMPRODUCT((--O144:U144&gt;2)+(--O144:U144&lt;0))&gt;0,"△採点が範囲外","OK")))))))))))</f>
        <v/>
      </c>
      <c r="X144">
        <f>IF(W144&lt;&gt;"OK","",TRIM(IF(AND(AO144&lt;&gt;"",N(AO144)&lt;=1),"根拠1件 ","")&amp;IF(AP144&lt;&gt;"","同名あり ","")&amp;IF(AND(NOT(ISNUMBER(I144)),I144&lt;&gt;""),"回数を換算 ","")))</f>
        <v/>
      </c>
      <c r="Y144" s="31" t="n"/>
      <c r="Z144" s="32" t="n"/>
      <c r="AA144" s="32" t="n"/>
      <c r="AB144" s="31" t="n"/>
      <c r="AC144">
        <f>IF(W144&lt;&gt;"OK","",IF(AB144&lt;&gt;"",AB144,AE144))</f>
        <v/>
      </c>
      <c r="AD144" s="33">
        <f>IF(W144&lt;&gt;"OK","",IFERROR(IF(Z144&lt;&gt;"",Z144,AM144)*IF(AA144&lt;&gt;"",AA144,AN144)/60,""))</f>
        <v/>
      </c>
      <c r="AE144">
        <f>IF(W144&lt;&gt;"OK","",IF(OR(VALUE(O144)=2,VALUE(P144)=2,VALUE(Q144)=2),"社内残置",IF(AND(VALUE(O144)=0,VALUE(R144)=0,VALUE(T144)=0),"自動化候補",IF(AND(VALUE(P144)=0,VALUE(R144)&lt;=1,VALUE(S144)&lt;=1,VALUE(T144)&lt;=1,VALUE(U144)&lt;=1),"オフショア候補",IF(AND(VALUE(T144)&lt;=1,VALUE(U144)&lt;=1),"ニアショア候補","社内で手順化→再評価")))))</f>
        <v/>
      </c>
      <c r="AF144">
        <f>IF(W144&lt;&gt;"OK","",14-SUMPRODUCT(--O144:U144))</f>
        <v/>
      </c>
      <c r="AG144" s="33">
        <f>IF(W144&lt;&gt;"OK","",AM144*AN144/60)</f>
        <v/>
      </c>
      <c r="AH144" s="34">
        <f>IF(A144="","",UPPER(TRIM(ASC(A144&amp;""))))</f>
        <v/>
      </c>
      <c r="AI144" s="34">
        <f>IF(AH144="","",AH144&amp;"-"&amp;B144)</f>
        <v/>
      </c>
      <c r="AJ144" s="34">
        <f>IF(C144="","",IFERROR(VALUE(ASC(SUBSTITUTE(C144&amp;"","観点",""))),""))</f>
        <v/>
      </c>
      <c r="AK144" s="34">
        <f>IF(E144="","",UPPER(LEFT(TRIM(ASC(E144&amp;"")),3)))</f>
        <v/>
      </c>
      <c r="AL144" s="34">
        <f>IF(I144="","",IFERROR(VALUE(SUBSTITUTE(SUBSTITUTE(SUBSTITUTE(SUBSTITUTE(SUBSTITUTE(SUBSTITUTE(SUBSTITUTE(SUBSTITUTE(SUBSTITUTE(SUBSTITUTE(SUBSTITUTE(SUBSTITUTE(ASC(I144&amp;""),"約",""),"程度",""),"ほど",""),"回",""),"毎",""),"週",""),"月",""),"年",""),"日",""),"に",""),"/","")," ","")),""))</f>
        <v/>
      </c>
      <c r="AM144" s="34">
        <f>IF(I144="","",IF(ISNUMBER(I144),I144,IFERROR(VALUE(ASC(I144&amp;"")),IF(AL144&lt;&gt;"",AL144*IF(ISNUMBER(SEARCH("週",I144)),4.3,IF(ISNUMBER(SEARCH("年",I144)),1/12,IF(ISNUMBER(SEARCH("日",I144)),20,1))),IF(ISNUMBER(SEARCH("日",I144)),20,IF(ISNUMBER(SEARCH("週",I144)),4.3,IF(ISNUMBER(SEARCH("月",I144)),1,"")))))))</f>
        <v/>
      </c>
      <c r="AN144" s="34">
        <f>IF(J144="","",IF(ISNUMBER(J144),J144,IFERROR(VALUE(ASC(J144&amp;"")),IF(ISNUMBER(SEARCH("時間",J144)),IFERROR(VALUE(SUBSTITUTE(SUBSTITUTE(SUBSTITUTE(SUBSTITUTE(SUBSTITUTE(ASC(J144&amp;""),"約",""),"程度",""),"ほど",""),"時間","")," ",""))*60,""),IFERROR(VALUE(SUBSTITUTE(SUBSTITUTE(SUBSTITUTE(SUBSTITUTE(SUBSTITUTE(ASC(J144&amp;""),"約",""),"程度",""),"ほど",""),"分","")," ","")),"")))))</f>
        <v/>
      </c>
      <c r="AO144" s="34">
        <f>IF(K144="","",IF(ISNUMBER(K144),K144,IFERROR(VALUE(SUBSTITUTE(SUBSTITUTE(SUBSTITUTE(ASC(K144&amp;""),"約",""),"件","")," ","")),"")))</f>
        <v/>
      </c>
      <c r="AP144" s="34">
        <f>IF(W144&lt;&gt;"OK","",IF(COUNTIFS($D$5:$D$404,D144,$W$5:$W$404,"OK")&gt;1,"同名あり",""))</f>
        <v/>
      </c>
      <c r="AQ144" s="35">
        <f>IF(L144="","",IF(ISNUMBER(L144),L144,IFERROR(DATEVALUE(SUBSTITUTE(SUBSTITUTE(ASC(L144&amp;""),"-","/"),".","/")&amp;"/01"),"")))</f>
        <v/>
      </c>
      <c r="AR144" s="35">
        <f>IF(M144="","",IF(ISNUMBER(M144),M144,IFERROR(DATEVALUE(SUBSTITUTE(SUBSTITUTE(ASC(M144&amp;""),"-","/"),".","/")&amp;"/01"),"")))</f>
        <v/>
      </c>
      <c r="AS144" s="34">
        <f>IF(OR(W144&lt;&gt;"OK",AQ144=""),"",IF(AQ144&gt;='01_設定'!$C$26,1,0))</f>
        <v/>
      </c>
      <c r="AT144" s="34">
        <f>IF(AND(W144="OK",Y144&lt;&gt;"除外"),COUNTIFS($W$5:W144,"OK",$Y$5:Y144,"&lt;&gt;除外"),"")</f>
        <v/>
      </c>
      <c r="AU144" s="34">
        <f>IF(OR(AT144="",AD144=""),"",AD144+ROW()/1000000000)</f>
        <v/>
      </c>
    </row>
    <row r="145">
      <c r="W145">
        <f>IF(AND(A145="",D145=""),"",IF(ISNUMBER(SEARCH("##END",AH145)),"（終わりの印）",IF(ISNUMBER(SEARCH("##続き",AH145)),"（続きありの印）",IF(AH145="調査ID","（見出し行）",IF(AND(AH145&lt;&gt;"R1",AH145&lt;&gt;"R2"),"×表以外の行（集計されない）",IF(COUNTIF($AI$5:AI145,AI145)&gt;1,"△重複（集計されない）",IF(D145="","△タスク名なし",IF(ISNA(MATCH(AK145,'M1_類型マスタ'!$A$5:$A$19,0)),"△類型が不正",IF(OR(AM145="",AN145=""),"△回数・分が読めない",IF(SUMPRODUCT(--ISNUMBER(--O145:U145))&lt;7,"△採点が足りない",IF(SUMPRODUCT((--O145:U145&gt;2)+(--O145:U145&lt;0))&gt;0,"△採点が範囲外","OK")))))))))))</f>
        <v/>
      </c>
      <c r="X145">
        <f>IF(W145&lt;&gt;"OK","",TRIM(IF(AND(AO145&lt;&gt;"",N(AO145)&lt;=1),"根拠1件 ","")&amp;IF(AP145&lt;&gt;"","同名あり ","")&amp;IF(AND(NOT(ISNUMBER(I145)),I145&lt;&gt;""),"回数を換算 ","")))</f>
        <v/>
      </c>
      <c r="Y145" s="31" t="n"/>
      <c r="Z145" s="32" t="n"/>
      <c r="AA145" s="32" t="n"/>
      <c r="AB145" s="31" t="n"/>
      <c r="AC145">
        <f>IF(W145&lt;&gt;"OK","",IF(AB145&lt;&gt;"",AB145,AE145))</f>
        <v/>
      </c>
      <c r="AD145" s="33">
        <f>IF(W145&lt;&gt;"OK","",IFERROR(IF(Z145&lt;&gt;"",Z145,AM145)*IF(AA145&lt;&gt;"",AA145,AN145)/60,""))</f>
        <v/>
      </c>
      <c r="AE145">
        <f>IF(W145&lt;&gt;"OK","",IF(OR(VALUE(O145)=2,VALUE(P145)=2,VALUE(Q145)=2),"社内残置",IF(AND(VALUE(O145)=0,VALUE(R145)=0,VALUE(T145)=0),"自動化候補",IF(AND(VALUE(P145)=0,VALUE(R145)&lt;=1,VALUE(S145)&lt;=1,VALUE(T145)&lt;=1,VALUE(U145)&lt;=1),"オフショア候補",IF(AND(VALUE(T145)&lt;=1,VALUE(U145)&lt;=1),"ニアショア候補","社内で手順化→再評価")))))</f>
        <v/>
      </c>
      <c r="AF145">
        <f>IF(W145&lt;&gt;"OK","",14-SUMPRODUCT(--O145:U145))</f>
        <v/>
      </c>
      <c r="AG145" s="33">
        <f>IF(W145&lt;&gt;"OK","",AM145*AN145/60)</f>
        <v/>
      </c>
      <c r="AH145" s="34">
        <f>IF(A145="","",UPPER(TRIM(ASC(A145&amp;""))))</f>
        <v/>
      </c>
      <c r="AI145" s="34">
        <f>IF(AH145="","",AH145&amp;"-"&amp;B145)</f>
        <v/>
      </c>
      <c r="AJ145" s="34">
        <f>IF(C145="","",IFERROR(VALUE(ASC(SUBSTITUTE(C145&amp;"","観点",""))),""))</f>
        <v/>
      </c>
      <c r="AK145" s="34">
        <f>IF(E145="","",UPPER(LEFT(TRIM(ASC(E145&amp;"")),3)))</f>
        <v/>
      </c>
      <c r="AL145" s="34">
        <f>IF(I145="","",IFERROR(VALUE(SUBSTITUTE(SUBSTITUTE(SUBSTITUTE(SUBSTITUTE(SUBSTITUTE(SUBSTITUTE(SUBSTITUTE(SUBSTITUTE(SUBSTITUTE(SUBSTITUTE(SUBSTITUTE(SUBSTITUTE(ASC(I145&amp;""),"約",""),"程度",""),"ほど",""),"回",""),"毎",""),"週",""),"月",""),"年",""),"日",""),"に",""),"/","")," ","")),""))</f>
        <v/>
      </c>
      <c r="AM145" s="34">
        <f>IF(I145="","",IF(ISNUMBER(I145),I145,IFERROR(VALUE(ASC(I145&amp;"")),IF(AL145&lt;&gt;"",AL145*IF(ISNUMBER(SEARCH("週",I145)),4.3,IF(ISNUMBER(SEARCH("年",I145)),1/12,IF(ISNUMBER(SEARCH("日",I145)),20,1))),IF(ISNUMBER(SEARCH("日",I145)),20,IF(ISNUMBER(SEARCH("週",I145)),4.3,IF(ISNUMBER(SEARCH("月",I145)),1,"")))))))</f>
        <v/>
      </c>
      <c r="AN145" s="34">
        <f>IF(J145="","",IF(ISNUMBER(J145),J145,IFERROR(VALUE(ASC(J145&amp;"")),IF(ISNUMBER(SEARCH("時間",J145)),IFERROR(VALUE(SUBSTITUTE(SUBSTITUTE(SUBSTITUTE(SUBSTITUTE(SUBSTITUTE(ASC(J145&amp;""),"約",""),"程度",""),"ほど",""),"時間","")," ",""))*60,""),IFERROR(VALUE(SUBSTITUTE(SUBSTITUTE(SUBSTITUTE(SUBSTITUTE(SUBSTITUTE(ASC(J145&amp;""),"約",""),"程度",""),"ほど",""),"分","")," ","")),"")))))</f>
        <v/>
      </c>
      <c r="AO145" s="34">
        <f>IF(K145="","",IF(ISNUMBER(K145),K145,IFERROR(VALUE(SUBSTITUTE(SUBSTITUTE(SUBSTITUTE(ASC(K145&amp;""),"約",""),"件","")," ","")),"")))</f>
        <v/>
      </c>
      <c r="AP145" s="34">
        <f>IF(W145&lt;&gt;"OK","",IF(COUNTIFS($D$5:$D$404,D145,$W$5:$W$404,"OK")&gt;1,"同名あり",""))</f>
        <v/>
      </c>
      <c r="AQ145" s="35">
        <f>IF(L145="","",IF(ISNUMBER(L145),L145,IFERROR(DATEVALUE(SUBSTITUTE(SUBSTITUTE(ASC(L145&amp;""),"-","/"),".","/")&amp;"/01"),"")))</f>
        <v/>
      </c>
      <c r="AR145" s="35">
        <f>IF(M145="","",IF(ISNUMBER(M145),M145,IFERROR(DATEVALUE(SUBSTITUTE(SUBSTITUTE(ASC(M145&amp;""),"-","/"),".","/")&amp;"/01"),"")))</f>
        <v/>
      </c>
      <c r="AS145" s="34">
        <f>IF(OR(W145&lt;&gt;"OK",AQ145=""),"",IF(AQ145&gt;='01_設定'!$C$26,1,0))</f>
        <v/>
      </c>
      <c r="AT145" s="34">
        <f>IF(AND(W145="OK",Y145&lt;&gt;"除外"),COUNTIFS($W$5:W145,"OK",$Y$5:Y145,"&lt;&gt;除外"),"")</f>
        <v/>
      </c>
      <c r="AU145" s="34">
        <f>IF(OR(AT145="",AD145=""),"",AD145+ROW()/1000000000)</f>
        <v/>
      </c>
    </row>
    <row r="146">
      <c r="W146">
        <f>IF(AND(A146="",D146=""),"",IF(ISNUMBER(SEARCH("##END",AH146)),"（終わりの印）",IF(ISNUMBER(SEARCH("##続き",AH146)),"（続きありの印）",IF(AH146="調査ID","（見出し行）",IF(AND(AH146&lt;&gt;"R1",AH146&lt;&gt;"R2"),"×表以外の行（集計されない）",IF(COUNTIF($AI$5:AI146,AI146)&gt;1,"△重複（集計されない）",IF(D146="","△タスク名なし",IF(ISNA(MATCH(AK146,'M1_類型マスタ'!$A$5:$A$19,0)),"△類型が不正",IF(OR(AM146="",AN146=""),"△回数・分が読めない",IF(SUMPRODUCT(--ISNUMBER(--O146:U146))&lt;7,"△採点が足りない",IF(SUMPRODUCT((--O146:U146&gt;2)+(--O146:U146&lt;0))&gt;0,"△採点が範囲外","OK")))))))))))</f>
        <v/>
      </c>
      <c r="X146">
        <f>IF(W146&lt;&gt;"OK","",TRIM(IF(AND(AO146&lt;&gt;"",N(AO146)&lt;=1),"根拠1件 ","")&amp;IF(AP146&lt;&gt;"","同名あり ","")&amp;IF(AND(NOT(ISNUMBER(I146)),I146&lt;&gt;""),"回数を換算 ","")))</f>
        <v/>
      </c>
      <c r="Y146" s="31" t="n"/>
      <c r="Z146" s="32" t="n"/>
      <c r="AA146" s="32" t="n"/>
      <c r="AB146" s="31" t="n"/>
      <c r="AC146">
        <f>IF(W146&lt;&gt;"OK","",IF(AB146&lt;&gt;"",AB146,AE146))</f>
        <v/>
      </c>
      <c r="AD146" s="33">
        <f>IF(W146&lt;&gt;"OK","",IFERROR(IF(Z146&lt;&gt;"",Z146,AM146)*IF(AA146&lt;&gt;"",AA146,AN146)/60,""))</f>
        <v/>
      </c>
      <c r="AE146">
        <f>IF(W146&lt;&gt;"OK","",IF(OR(VALUE(O146)=2,VALUE(P146)=2,VALUE(Q146)=2),"社内残置",IF(AND(VALUE(O146)=0,VALUE(R146)=0,VALUE(T146)=0),"自動化候補",IF(AND(VALUE(P146)=0,VALUE(R146)&lt;=1,VALUE(S146)&lt;=1,VALUE(T146)&lt;=1,VALUE(U146)&lt;=1),"オフショア候補",IF(AND(VALUE(T146)&lt;=1,VALUE(U146)&lt;=1),"ニアショア候補","社内で手順化→再評価")))))</f>
        <v/>
      </c>
      <c r="AF146">
        <f>IF(W146&lt;&gt;"OK","",14-SUMPRODUCT(--O146:U146))</f>
        <v/>
      </c>
      <c r="AG146" s="33">
        <f>IF(W146&lt;&gt;"OK","",AM146*AN146/60)</f>
        <v/>
      </c>
      <c r="AH146" s="34">
        <f>IF(A146="","",UPPER(TRIM(ASC(A146&amp;""))))</f>
        <v/>
      </c>
      <c r="AI146" s="34">
        <f>IF(AH146="","",AH146&amp;"-"&amp;B146)</f>
        <v/>
      </c>
      <c r="AJ146" s="34">
        <f>IF(C146="","",IFERROR(VALUE(ASC(SUBSTITUTE(C146&amp;"","観点",""))),""))</f>
        <v/>
      </c>
      <c r="AK146" s="34">
        <f>IF(E146="","",UPPER(LEFT(TRIM(ASC(E146&amp;"")),3)))</f>
        <v/>
      </c>
      <c r="AL146" s="34">
        <f>IF(I146="","",IFERROR(VALUE(SUBSTITUTE(SUBSTITUTE(SUBSTITUTE(SUBSTITUTE(SUBSTITUTE(SUBSTITUTE(SUBSTITUTE(SUBSTITUTE(SUBSTITUTE(SUBSTITUTE(SUBSTITUTE(SUBSTITUTE(ASC(I146&amp;""),"約",""),"程度",""),"ほど",""),"回",""),"毎",""),"週",""),"月",""),"年",""),"日",""),"に",""),"/","")," ","")),""))</f>
        <v/>
      </c>
      <c r="AM146" s="34">
        <f>IF(I146="","",IF(ISNUMBER(I146),I146,IFERROR(VALUE(ASC(I146&amp;"")),IF(AL146&lt;&gt;"",AL146*IF(ISNUMBER(SEARCH("週",I146)),4.3,IF(ISNUMBER(SEARCH("年",I146)),1/12,IF(ISNUMBER(SEARCH("日",I146)),20,1))),IF(ISNUMBER(SEARCH("日",I146)),20,IF(ISNUMBER(SEARCH("週",I146)),4.3,IF(ISNUMBER(SEARCH("月",I146)),1,"")))))))</f>
        <v/>
      </c>
      <c r="AN146" s="34">
        <f>IF(J146="","",IF(ISNUMBER(J146),J146,IFERROR(VALUE(ASC(J146&amp;"")),IF(ISNUMBER(SEARCH("時間",J146)),IFERROR(VALUE(SUBSTITUTE(SUBSTITUTE(SUBSTITUTE(SUBSTITUTE(SUBSTITUTE(ASC(J146&amp;""),"約",""),"程度",""),"ほど",""),"時間","")," ",""))*60,""),IFERROR(VALUE(SUBSTITUTE(SUBSTITUTE(SUBSTITUTE(SUBSTITUTE(SUBSTITUTE(ASC(J146&amp;""),"約",""),"程度",""),"ほど",""),"分","")," ","")),"")))))</f>
        <v/>
      </c>
      <c r="AO146" s="34">
        <f>IF(K146="","",IF(ISNUMBER(K146),K146,IFERROR(VALUE(SUBSTITUTE(SUBSTITUTE(SUBSTITUTE(ASC(K146&amp;""),"約",""),"件","")," ","")),"")))</f>
        <v/>
      </c>
      <c r="AP146" s="34">
        <f>IF(W146&lt;&gt;"OK","",IF(COUNTIFS($D$5:$D$404,D146,$W$5:$W$404,"OK")&gt;1,"同名あり",""))</f>
        <v/>
      </c>
      <c r="AQ146" s="35">
        <f>IF(L146="","",IF(ISNUMBER(L146),L146,IFERROR(DATEVALUE(SUBSTITUTE(SUBSTITUTE(ASC(L146&amp;""),"-","/"),".","/")&amp;"/01"),"")))</f>
        <v/>
      </c>
      <c r="AR146" s="35">
        <f>IF(M146="","",IF(ISNUMBER(M146),M146,IFERROR(DATEVALUE(SUBSTITUTE(SUBSTITUTE(ASC(M146&amp;""),"-","/"),".","/")&amp;"/01"),"")))</f>
        <v/>
      </c>
      <c r="AS146" s="34">
        <f>IF(OR(W146&lt;&gt;"OK",AQ146=""),"",IF(AQ146&gt;='01_設定'!$C$26,1,0))</f>
        <v/>
      </c>
      <c r="AT146" s="34">
        <f>IF(AND(W146="OK",Y146&lt;&gt;"除外"),COUNTIFS($W$5:W146,"OK",$Y$5:Y146,"&lt;&gt;除外"),"")</f>
        <v/>
      </c>
      <c r="AU146" s="34">
        <f>IF(OR(AT146="",AD146=""),"",AD146+ROW()/1000000000)</f>
        <v/>
      </c>
    </row>
    <row r="147">
      <c r="W147">
        <f>IF(AND(A147="",D147=""),"",IF(ISNUMBER(SEARCH("##END",AH147)),"（終わりの印）",IF(ISNUMBER(SEARCH("##続き",AH147)),"（続きありの印）",IF(AH147="調査ID","（見出し行）",IF(AND(AH147&lt;&gt;"R1",AH147&lt;&gt;"R2"),"×表以外の行（集計されない）",IF(COUNTIF($AI$5:AI147,AI147)&gt;1,"△重複（集計されない）",IF(D147="","△タスク名なし",IF(ISNA(MATCH(AK147,'M1_類型マスタ'!$A$5:$A$19,0)),"△類型が不正",IF(OR(AM147="",AN147=""),"△回数・分が読めない",IF(SUMPRODUCT(--ISNUMBER(--O147:U147))&lt;7,"△採点が足りない",IF(SUMPRODUCT((--O147:U147&gt;2)+(--O147:U147&lt;0))&gt;0,"△採点が範囲外","OK")))))))))))</f>
        <v/>
      </c>
      <c r="X147">
        <f>IF(W147&lt;&gt;"OK","",TRIM(IF(AND(AO147&lt;&gt;"",N(AO147)&lt;=1),"根拠1件 ","")&amp;IF(AP147&lt;&gt;"","同名あり ","")&amp;IF(AND(NOT(ISNUMBER(I147)),I147&lt;&gt;""),"回数を換算 ","")))</f>
        <v/>
      </c>
      <c r="Y147" s="31" t="n"/>
      <c r="Z147" s="32" t="n"/>
      <c r="AA147" s="32" t="n"/>
      <c r="AB147" s="31" t="n"/>
      <c r="AC147">
        <f>IF(W147&lt;&gt;"OK","",IF(AB147&lt;&gt;"",AB147,AE147))</f>
        <v/>
      </c>
      <c r="AD147" s="33">
        <f>IF(W147&lt;&gt;"OK","",IFERROR(IF(Z147&lt;&gt;"",Z147,AM147)*IF(AA147&lt;&gt;"",AA147,AN147)/60,""))</f>
        <v/>
      </c>
      <c r="AE147">
        <f>IF(W147&lt;&gt;"OK","",IF(OR(VALUE(O147)=2,VALUE(P147)=2,VALUE(Q147)=2),"社内残置",IF(AND(VALUE(O147)=0,VALUE(R147)=0,VALUE(T147)=0),"自動化候補",IF(AND(VALUE(P147)=0,VALUE(R147)&lt;=1,VALUE(S147)&lt;=1,VALUE(T147)&lt;=1,VALUE(U147)&lt;=1),"オフショア候補",IF(AND(VALUE(T147)&lt;=1,VALUE(U147)&lt;=1),"ニアショア候補","社内で手順化→再評価")))))</f>
        <v/>
      </c>
      <c r="AF147">
        <f>IF(W147&lt;&gt;"OK","",14-SUMPRODUCT(--O147:U147))</f>
        <v/>
      </c>
      <c r="AG147" s="33">
        <f>IF(W147&lt;&gt;"OK","",AM147*AN147/60)</f>
        <v/>
      </c>
      <c r="AH147" s="34">
        <f>IF(A147="","",UPPER(TRIM(ASC(A147&amp;""))))</f>
        <v/>
      </c>
      <c r="AI147" s="34">
        <f>IF(AH147="","",AH147&amp;"-"&amp;B147)</f>
        <v/>
      </c>
      <c r="AJ147" s="34">
        <f>IF(C147="","",IFERROR(VALUE(ASC(SUBSTITUTE(C147&amp;"","観点",""))),""))</f>
        <v/>
      </c>
      <c r="AK147" s="34">
        <f>IF(E147="","",UPPER(LEFT(TRIM(ASC(E147&amp;"")),3)))</f>
        <v/>
      </c>
      <c r="AL147" s="34">
        <f>IF(I147="","",IFERROR(VALUE(SUBSTITUTE(SUBSTITUTE(SUBSTITUTE(SUBSTITUTE(SUBSTITUTE(SUBSTITUTE(SUBSTITUTE(SUBSTITUTE(SUBSTITUTE(SUBSTITUTE(SUBSTITUTE(SUBSTITUTE(ASC(I147&amp;""),"約",""),"程度",""),"ほど",""),"回",""),"毎",""),"週",""),"月",""),"年",""),"日",""),"に",""),"/","")," ","")),""))</f>
        <v/>
      </c>
      <c r="AM147" s="34">
        <f>IF(I147="","",IF(ISNUMBER(I147),I147,IFERROR(VALUE(ASC(I147&amp;"")),IF(AL147&lt;&gt;"",AL147*IF(ISNUMBER(SEARCH("週",I147)),4.3,IF(ISNUMBER(SEARCH("年",I147)),1/12,IF(ISNUMBER(SEARCH("日",I147)),20,1))),IF(ISNUMBER(SEARCH("日",I147)),20,IF(ISNUMBER(SEARCH("週",I147)),4.3,IF(ISNUMBER(SEARCH("月",I147)),1,"")))))))</f>
        <v/>
      </c>
      <c r="AN147" s="34">
        <f>IF(J147="","",IF(ISNUMBER(J147),J147,IFERROR(VALUE(ASC(J147&amp;"")),IF(ISNUMBER(SEARCH("時間",J147)),IFERROR(VALUE(SUBSTITUTE(SUBSTITUTE(SUBSTITUTE(SUBSTITUTE(SUBSTITUTE(ASC(J147&amp;""),"約",""),"程度",""),"ほど",""),"時間","")," ",""))*60,""),IFERROR(VALUE(SUBSTITUTE(SUBSTITUTE(SUBSTITUTE(SUBSTITUTE(SUBSTITUTE(ASC(J147&amp;""),"約",""),"程度",""),"ほど",""),"分","")," ","")),"")))))</f>
        <v/>
      </c>
      <c r="AO147" s="34">
        <f>IF(K147="","",IF(ISNUMBER(K147),K147,IFERROR(VALUE(SUBSTITUTE(SUBSTITUTE(SUBSTITUTE(ASC(K147&amp;""),"約",""),"件","")," ","")),"")))</f>
        <v/>
      </c>
      <c r="AP147" s="34">
        <f>IF(W147&lt;&gt;"OK","",IF(COUNTIFS($D$5:$D$404,D147,$W$5:$W$404,"OK")&gt;1,"同名あり",""))</f>
        <v/>
      </c>
      <c r="AQ147" s="35">
        <f>IF(L147="","",IF(ISNUMBER(L147),L147,IFERROR(DATEVALUE(SUBSTITUTE(SUBSTITUTE(ASC(L147&amp;""),"-","/"),".","/")&amp;"/01"),"")))</f>
        <v/>
      </c>
      <c r="AR147" s="35">
        <f>IF(M147="","",IF(ISNUMBER(M147),M147,IFERROR(DATEVALUE(SUBSTITUTE(SUBSTITUTE(ASC(M147&amp;""),"-","/"),".","/")&amp;"/01"),"")))</f>
        <v/>
      </c>
      <c r="AS147" s="34">
        <f>IF(OR(W147&lt;&gt;"OK",AQ147=""),"",IF(AQ147&gt;='01_設定'!$C$26,1,0))</f>
        <v/>
      </c>
      <c r="AT147" s="34">
        <f>IF(AND(W147="OK",Y147&lt;&gt;"除外"),COUNTIFS($W$5:W147,"OK",$Y$5:Y147,"&lt;&gt;除外"),"")</f>
        <v/>
      </c>
      <c r="AU147" s="34">
        <f>IF(OR(AT147="",AD147=""),"",AD147+ROW()/1000000000)</f>
        <v/>
      </c>
    </row>
    <row r="148">
      <c r="W148">
        <f>IF(AND(A148="",D148=""),"",IF(ISNUMBER(SEARCH("##END",AH148)),"（終わりの印）",IF(ISNUMBER(SEARCH("##続き",AH148)),"（続きありの印）",IF(AH148="調査ID","（見出し行）",IF(AND(AH148&lt;&gt;"R1",AH148&lt;&gt;"R2"),"×表以外の行（集計されない）",IF(COUNTIF($AI$5:AI148,AI148)&gt;1,"△重複（集計されない）",IF(D148="","△タスク名なし",IF(ISNA(MATCH(AK148,'M1_類型マスタ'!$A$5:$A$19,0)),"△類型が不正",IF(OR(AM148="",AN148=""),"△回数・分が読めない",IF(SUMPRODUCT(--ISNUMBER(--O148:U148))&lt;7,"△採点が足りない",IF(SUMPRODUCT((--O148:U148&gt;2)+(--O148:U148&lt;0))&gt;0,"△採点が範囲外","OK")))))))))))</f>
        <v/>
      </c>
      <c r="X148">
        <f>IF(W148&lt;&gt;"OK","",TRIM(IF(AND(AO148&lt;&gt;"",N(AO148)&lt;=1),"根拠1件 ","")&amp;IF(AP148&lt;&gt;"","同名あり ","")&amp;IF(AND(NOT(ISNUMBER(I148)),I148&lt;&gt;""),"回数を換算 ","")))</f>
        <v/>
      </c>
      <c r="Y148" s="31" t="n"/>
      <c r="Z148" s="32" t="n"/>
      <c r="AA148" s="32" t="n"/>
      <c r="AB148" s="31" t="n"/>
      <c r="AC148">
        <f>IF(W148&lt;&gt;"OK","",IF(AB148&lt;&gt;"",AB148,AE148))</f>
        <v/>
      </c>
      <c r="AD148" s="33">
        <f>IF(W148&lt;&gt;"OK","",IFERROR(IF(Z148&lt;&gt;"",Z148,AM148)*IF(AA148&lt;&gt;"",AA148,AN148)/60,""))</f>
        <v/>
      </c>
      <c r="AE148">
        <f>IF(W148&lt;&gt;"OK","",IF(OR(VALUE(O148)=2,VALUE(P148)=2,VALUE(Q148)=2),"社内残置",IF(AND(VALUE(O148)=0,VALUE(R148)=0,VALUE(T148)=0),"自動化候補",IF(AND(VALUE(P148)=0,VALUE(R148)&lt;=1,VALUE(S148)&lt;=1,VALUE(T148)&lt;=1,VALUE(U148)&lt;=1),"オフショア候補",IF(AND(VALUE(T148)&lt;=1,VALUE(U148)&lt;=1),"ニアショア候補","社内で手順化→再評価")))))</f>
        <v/>
      </c>
      <c r="AF148">
        <f>IF(W148&lt;&gt;"OK","",14-SUMPRODUCT(--O148:U148))</f>
        <v/>
      </c>
      <c r="AG148" s="33">
        <f>IF(W148&lt;&gt;"OK","",AM148*AN148/60)</f>
        <v/>
      </c>
      <c r="AH148" s="34">
        <f>IF(A148="","",UPPER(TRIM(ASC(A148&amp;""))))</f>
        <v/>
      </c>
      <c r="AI148" s="34">
        <f>IF(AH148="","",AH148&amp;"-"&amp;B148)</f>
        <v/>
      </c>
      <c r="AJ148" s="34">
        <f>IF(C148="","",IFERROR(VALUE(ASC(SUBSTITUTE(C148&amp;"","観点",""))),""))</f>
        <v/>
      </c>
      <c r="AK148" s="34">
        <f>IF(E148="","",UPPER(LEFT(TRIM(ASC(E148&amp;"")),3)))</f>
        <v/>
      </c>
      <c r="AL148" s="34">
        <f>IF(I148="","",IFERROR(VALUE(SUBSTITUTE(SUBSTITUTE(SUBSTITUTE(SUBSTITUTE(SUBSTITUTE(SUBSTITUTE(SUBSTITUTE(SUBSTITUTE(SUBSTITUTE(SUBSTITUTE(SUBSTITUTE(SUBSTITUTE(ASC(I148&amp;""),"約",""),"程度",""),"ほど",""),"回",""),"毎",""),"週",""),"月",""),"年",""),"日",""),"に",""),"/","")," ","")),""))</f>
        <v/>
      </c>
      <c r="AM148" s="34">
        <f>IF(I148="","",IF(ISNUMBER(I148),I148,IFERROR(VALUE(ASC(I148&amp;"")),IF(AL148&lt;&gt;"",AL148*IF(ISNUMBER(SEARCH("週",I148)),4.3,IF(ISNUMBER(SEARCH("年",I148)),1/12,IF(ISNUMBER(SEARCH("日",I148)),20,1))),IF(ISNUMBER(SEARCH("日",I148)),20,IF(ISNUMBER(SEARCH("週",I148)),4.3,IF(ISNUMBER(SEARCH("月",I148)),1,"")))))))</f>
        <v/>
      </c>
      <c r="AN148" s="34">
        <f>IF(J148="","",IF(ISNUMBER(J148),J148,IFERROR(VALUE(ASC(J148&amp;"")),IF(ISNUMBER(SEARCH("時間",J148)),IFERROR(VALUE(SUBSTITUTE(SUBSTITUTE(SUBSTITUTE(SUBSTITUTE(SUBSTITUTE(ASC(J148&amp;""),"約",""),"程度",""),"ほど",""),"時間","")," ",""))*60,""),IFERROR(VALUE(SUBSTITUTE(SUBSTITUTE(SUBSTITUTE(SUBSTITUTE(SUBSTITUTE(ASC(J148&amp;""),"約",""),"程度",""),"ほど",""),"分","")," ","")),"")))))</f>
        <v/>
      </c>
      <c r="AO148" s="34">
        <f>IF(K148="","",IF(ISNUMBER(K148),K148,IFERROR(VALUE(SUBSTITUTE(SUBSTITUTE(SUBSTITUTE(ASC(K148&amp;""),"約",""),"件","")," ","")),"")))</f>
        <v/>
      </c>
      <c r="AP148" s="34">
        <f>IF(W148&lt;&gt;"OK","",IF(COUNTIFS($D$5:$D$404,D148,$W$5:$W$404,"OK")&gt;1,"同名あり",""))</f>
        <v/>
      </c>
      <c r="AQ148" s="35">
        <f>IF(L148="","",IF(ISNUMBER(L148),L148,IFERROR(DATEVALUE(SUBSTITUTE(SUBSTITUTE(ASC(L148&amp;""),"-","/"),".","/")&amp;"/01"),"")))</f>
        <v/>
      </c>
      <c r="AR148" s="35">
        <f>IF(M148="","",IF(ISNUMBER(M148),M148,IFERROR(DATEVALUE(SUBSTITUTE(SUBSTITUTE(ASC(M148&amp;""),"-","/"),".","/")&amp;"/01"),"")))</f>
        <v/>
      </c>
      <c r="AS148" s="34">
        <f>IF(OR(W148&lt;&gt;"OK",AQ148=""),"",IF(AQ148&gt;='01_設定'!$C$26,1,0))</f>
        <v/>
      </c>
      <c r="AT148" s="34">
        <f>IF(AND(W148="OK",Y148&lt;&gt;"除外"),COUNTIFS($W$5:W148,"OK",$Y$5:Y148,"&lt;&gt;除外"),"")</f>
        <v/>
      </c>
      <c r="AU148" s="34">
        <f>IF(OR(AT148="",AD148=""),"",AD148+ROW()/1000000000)</f>
        <v/>
      </c>
    </row>
    <row r="149">
      <c r="W149">
        <f>IF(AND(A149="",D149=""),"",IF(ISNUMBER(SEARCH("##END",AH149)),"（終わりの印）",IF(ISNUMBER(SEARCH("##続き",AH149)),"（続きありの印）",IF(AH149="調査ID","（見出し行）",IF(AND(AH149&lt;&gt;"R1",AH149&lt;&gt;"R2"),"×表以外の行（集計されない）",IF(COUNTIF($AI$5:AI149,AI149)&gt;1,"△重複（集計されない）",IF(D149="","△タスク名なし",IF(ISNA(MATCH(AK149,'M1_類型マスタ'!$A$5:$A$19,0)),"△類型が不正",IF(OR(AM149="",AN149=""),"△回数・分が読めない",IF(SUMPRODUCT(--ISNUMBER(--O149:U149))&lt;7,"△採点が足りない",IF(SUMPRODUCT((--O149:U149&gt;2)+(--O149:U149&lt;0))&gt;0,"△採点が範囲外","OK")))))))))))</f>
        <v/>
      </c>
      <c r="X149">
        <f>IF(W149&lt;&gt;"OK","",TRIM(IF(AND(AO149&lt;&gt;"",N(AO149)&lt;=1),"根拠1件 ","")&amp;IF(AP149&lt;&gt;"","同名あり ","")&amp;IF(AND(NOT(ISNUMBER(I149)),I149&lt;&gt;""),"回数を換算 ","")))</f>
        <v/>
      </c>
      <c r="Y149" s="31" t="n"/>
      <c r="Z149" s="32" t="n"/>
      <c r="AA149" s="32" t="n"/>
      <c r="AB149" s="31" t="n"/>
      <c r="AC149">
        <f>IF(W149&lt;&gt;"OK","",IF(AB149&lt;&gt;"",AB149,AE149))</f>
        <v/>
      </c>
      <c r="AD149" s="33">
        <f>IF(W149&lt;&gt;"OK","",IFERROR(IF(Z149&lt;&gt;"",Z149,AM149)*IF(AA149&lt;&gt;"",AA149,AN149)/60,""))</f>
        <v/>
      </c>
      <c r="AE149">
        <f>IF(W149&lt;&gt;"OK","",IF(OR(VALUE(O149)=2,VALUE(P149)=2,VALUE(Q149)=2),"社内残置",IF(AND(VALUE(O149)=0,VALUE(R149)=0,VALUE(T149)=0),"自動化候補",IF(AND(VALUE(P149)=0,VALUE(R149)&lt;=1,VALUE(S149)&lt;=1,VALUE(T149)&lt;=1,VALUE(U149)&lt;=1),"オフショア候補",IF(AND(VALUE(T149)&lt;=1,VALUE(U149)&lt;=1),"ニアショア候補","社内で手順化→再評価")))))</f>
        <v/>
      </c>
      <c r="AF149">
        <f>IF(W149&lt;&gt;"OK","",14-SUMPRODUCT(--O149:U149))</f>
        <v/>
      </c>
      <c r="AG149" s="33">
        <f>IF(W149&lt;&gt;"OK","",AM149*AN149/60)</f>
        <v/>
      </c>
      <c r="AH149" s="34">
        <f>IF(A149="","",UPPER(TRIM(ASC(A149&amp;""))))</f>
        <v/>
      </c>
      <c r="AI149" s="34">
        <f>IF(AH149="","",AH149&amp;"-"&amp;B149)</f>
        <v/>
      </c>
      <c r="AJ149" s="34">
        <f>IF(C149="","",IFERROR(VALUE(ASC(SUBSTITUTE(C149&amp;"","観点",""))),""))</f>
        <v/>
      </c>
      <c r="AK149" s="34">
        <f>IF(E149="","",UPPER(LEFT(TRIM(ASC(E149&amp;"")),3)))</f>
        <v/>
      </c>
      <c r="AL149" s="34">
        <f>IF(I149="","",IFERROR(VALUE(SUBSTITUTE(SUBSTITUTE(SUBSTITUTE(SUBSTITUTE(SUBSTITUTE(SUBSTITUTE(SUBSTITUTE(SUBSTITUTE(SUBSTITUTE(SUBSTITUTE(SUBSTITUTE(SUBSTITUTE(ASC(I149&amp;""),"約",""),"程度",""),"ほど",""),"回",""),"毎",""),"週",""),"月",""),"年",""),"日",""),"に",""),"/","")," ","")),""))</f>
        <v/>
      </c>
      <c r="AM149" s="34">
        <f>IF(I149="","",IF(ISNUMBER(I149),I149,IFERROR(VALUE(ASC(I149&amp;"")),IF(AL149&lt;&gt;"",AL149*IF(ISNUMBER(SEARCH("週",I149)),4.3,IF(ISNUMBER(SEARCH("年",I149)),1/12,IF(ISNUMBER(SEARCH("日",I149)),20,1))),IF(ISNUMBER(SEARCH("日",I149)),20,IF(ISNUMBER(SEARCH("週",I149)),4.3,IF(ISNUMBER(SEARCH("月",I149)),1,"")))))))</f>
        <v/>
      </c>
      <c r="AN149" s="34">
        <f>IF(J149="","",IF(ISNUMBER(J149),J149,IFERROR(VALUE(ASC(J149&amp;"")),IF(ISNUMBER(SEARCH("時間",J149)),IFERROR(VALUE(SUBSTITUTE(SUBSTITUTE(SUBSTITUTE(SUBSTITUTE(SUBSTITUTE(ASC(J149&amp;""),"約",""),"程度",""),"ほど",""),"時間","")," ",""))*60,""),IFERROR(VALUE(SUBSTITUTE(SUBSTITUTE(SUBSTITUTE(SUBSTITUTE(SUBSTITUTE(ASC(J149&amp;""),"約",""),"程度",""),"ほど",""),"分","")," ","")),"")))))</f>
        <v/>
      </c>
      <c r="AO149" s="34">
        <f>IF(K149="","",IF(ISNUMBER(K149),K149,IFERROR(VALUE(SUBSTITUTE(SUBSTITUTE(SUBSTITUTE(ASC(K149&amp;""),"約",""),"件","")," ","")),"")))</f>
        <v/>
      </c>
      <c r="AP149" s="34">
        <f>IF(W149&lt;&gt;"OK","",IF(COUNTIFS($D$5:$D$404,D149,$W$5:$W$404,"OK")&gt;1,"同名あり",""))</f>
        <v/>
      </c>
      <c r="AQ149" s="35">
        <f>IF(L149="","",IF(ISNUMBER(L149),L149,IFERROR(DATEVALUE(SUBSTITUTE(SUBSTITUTE(ASC(L149&amp;""),"-","/"),".","/")&amp;"/01"),"")))</f>
        <v/>
      </c>
      <c r="AR149" s="35">
        <f>IF(M149="","",IF(ISNUMBER(M149),M149,IFERROR(DATEVALUE(SUBSTITUTE(SUBSTITUTE(ASC(M149&amp;""),"-","/"),".","/")&amp;"/01"),"")))</f>
        <v/>
      </c>
      <c r="AS149" s="34">
        <f>IF(OR(W149&lt;&gt;"OK",AQ149=""),"",IF(AQ149&gt;='01_設定'!$C$26,1,0))</f>
        <v/>
      </c>
      <c r="AT149" s="34">
        <f>IF(AND(W149="OK",Y149&lt;&gt;"除外"),COUNTIFS($W$5:W149,"OK",$Y$5:Y149,"&lt;&gt;除外"),"")</f>
        <v/>
      </c>
      <c r="AU149" s="34">
        <f>IF(OR(AT149="",AD149=""),"",AD149+ROW()/1000000000)</f>
        <v/>
      </c>
    </row>
    <row r="150">
      <c r="W150">
        <f>IF(AND(A150="",D150=""),"",IF(ISNUMBER(SEARCH("##END",AH150)),"（終わりの印）",IF(ISNUMBER(SEARCH("##続き",AH150)),"（続きありの印）",IF(AH150="調査ID","（見出し行）",IF(AND(AH150&lt;&gt;"R1",AH150&lt;&gt;"R2"),"×表以外の行（集計されない）",IF(COUNTIF($AI$5:AI150,AI150)&gt;1,"△重複（集計されない）",IF(D150="","△タスク名なし",IF(ISNA(MATCH(AK150,'M1_類型マスタ'!$A$5:$A$19,0)),"△類型が不正",IF(OR(AM150="",AN150=""),"△回数・分が読めない",IF(SUMPRODUCT(--ISNUMBER(--O150:U150))&lt;7,"△採点が足りない",IF(SUMPRODUCT((--O150:U150&gt;2)+(--O150:U150&lt;0))&gt;0,"△採点が範囲外","OK")))))))))))</f>
        <v/>
      </c>
      <c r="X150">
        <f>IF(W150&lt;&gt;"OK","",TRIM(IF(AND(AO150&lt;&gt;"",N(AO150)&lt;=1),"根拠1件 ","")&amp;IF(AP150&lt;&gt;"","同名あり ","")&amp;IF(AND(NOT(ISNUMBER(I150)),I150&lt;&gt;""),"回数を換算 ","")))</f>
        <v/>
      </c>
      <c r="Y150" s="31" t="n"/>
      <c r="Z150" s="32" t="n"/>
      <c r="AA150" s="32" t="n"/>
      <c r="AB150" s="31" t="n"/>
      <c r="AC150">
        <f>IF(W150&lt;&gt;"OK","",IF(AB150&lt;&gt;"",AB150,AE150))</f>
        <v/>
      </c>
      <c r="AD150" s="33">
        <f>IF(W150&lt;&gt;"OK","",IFERROR(IF(Z150&lt;&gt;"",Z150,AM150)*IF(AA150&lt;&gt;"",AA150,AN150)/60,""))</f>
        <v/>
      </c>
      <c r="AE150">
        <f>IF(W150&lt;&gt;"OK","",IF(OR(VALUE(O150)=2,VALUE(P150)=2,VALUE(Q150)=2),"社内残置",IF(AND(VALUE(O150)=0,VALUE(R150)=0,VALUE(T150)=0),"自動化候補",IF(AND(VALUE(P150)=0,VALUE(R150)&lt;=1,VALUE(S150)&lt;=1,VALUE(T150)&lt;=1,VALUE(U150)&lt;=1),"オフショア候補",IF(AND(VALUE(T150)&lt;=1,VALUE(U150)&lt;=1),"ニアショア候補","社内で手順化→再評価")))))</f>
        <v/>
      </c>
      <c r="AF150">
        <f>IF(W150&lt;&gt;"OK","",14-SUMPRODUCT(--O150:U150))</f>
        <v/>
      </c>
      <c r="AG150" s="33">
        <f>IF(W150&lt;&gt;"OK","",AM150*AN150/60)</f>
        <v/>
      </c>
      <c r="AH150" s="34">
        <f>IF(A150="","",UPPER(TRIM(ASC(A150&amp;""))))</f>
        <v/>
      </c>
      <c r="AI150" s="34">
        <f>IF(AH150="","",AH150&amp;"-"&amp;B150)</f>
        <v/>
      </c>
      <c r="AJ150" s="34">
        <f>IF(C150="","",IFERROR(VALUE(ASC(SUBSTITUTE(C150&amp;"","観点",""))),""))</f>
        <v/>
      </c>
      <c r="AK150" s="34">
        <f>IF(E150="","",UPPER(LEFT(TRIM(ASC(E150&amp;"")),3)))</f>
        <v/>
      </c>
      <c r="AL150" s="34">
        <f>IF(I150="","",IFERROR(VALUE(SUBSTITUTE(SUBSTITUTE(SUBSTITUTE(SUBSTITUTE(SUBSTITUTE(SUBSTITUTE(SUBSTITUTE(SUBSTITUTE(SUBSTITUTE(SUBSTITUTE(SUBSTITUTE(SUBSTITUTE(ASC(I150&amp;""),"約",""),"程度",""),"ほど",""),"回",""),"毎",""),"週",""),"月",""),"年",""),"日",""),"に",""),"/","")," ","")),""))</f>
        <v/>
      </c>
      <c r="AM150" s="34">
        <f>IF(I150="","",IF(ISNUMBER(I150),I150,IFERROR(VALUE(ASC(I150&amp;"")),IF(AL150&lt;&gt;"",AL150*IF(ISNUMBER(SEARCH("週",I150)),4.3,IF(ISNUMBER(SEARCH("年",I150)),1/12,IF(ISNUMBER(SEARCH("日",I150)),20,1))),IF(ISNUMBER(SEARCH("日",I150)),20,IF(ISNUMBER(SEARCH("週",I150)),4.3,IF(ISNUMBER(SEARCH("月",I150)),1,"")))))))</f>
        <v/>
      </c>
      <c r="AN150" s="34">
        <f>IF(J150="","",IF(ISNUMBER(J150),J150,IFERROR(VALUE(ASC(J150&amp;"")),IF(ISNUMBER(SEARCH("時間",J150)),IFERROR(VALUE(SUBSTITUTE(SUBSTITUTE(SUBSTITUTE(SUBSTITUTE(SUBSTITUTE(ASC(J150&amp;""),"約",""),"程度",""),"ほど",""),"時間","")," ",""))*60,""),IFERROR(VALUE(SUBSTITUTE(SUBSTITUTE(SUBSTITUTE(SUBSTITUTE(SUBSTITUTE(ASC(J150&amp;""),"約",""),"程度",""),"ほど",""),"分","")," ","")),"")))))</f>
        <v/>
      </c>
      <c r="AO150" s="34">
        <f>IF(K150="","",IF(ISNUMBER(K150),K150,IFERROR(VALUE(SUBSTITUTE(SUBSTITUTE(SUBSTITUTE(ASC(K150&amp;""),"約",""),"件","")," ","")),"")))</f>
        <v/>
      </c>
      <c r="AP150" s="34">
        <f>IF(W150&lt;&gt;"OK","",IF(COUNTIFS($D$5:$D$404,D150,$W$5:$W$404,"OK")&gt;1,"同名あり",""))</f>
        <v/>
      </c>
      <c r="AQ150" s="35">
        <f>IF(L150="","",IF(ISNUMBER(L150),L150,IFERROR(DATEVALUE(SUBSTITUTE(SUBSTITUTE(ASC(L150&amp;""),"-","/"),".","/")&amp;"/01"),"")))</f>
        <v/>
      </c>
      <c r="AR150" s="35">
        <f>IF(M150="","",IF(ISNUMBER(M150),M150,IFERROR(DATEVALUE(SUBSTITUTE(SUBSTITUTE(ASC(M150&amp;""),"-","/"),".","/")&amp;"/01"),"")))</f>
        <v/>
      </c>
      <c r="AS150" s="34">
        <f>IF(OR(W150&lt;&gt;"OK",AQ150=""),"",IF(AQ150&gt;='01_設定'!$C$26,1,0))</f>
        <v/>
      </c>
      <c r="AT150" s="34">
        <f>IF(AND(W150="OK",Y150&lt;&gt;"除外"),COUNTIFS($W$5:W150,"OK",$Y$5:Y150,"&lt;&gt;除外"),"")</f>
        <v/>
      </c>
      <c r="AU150" s="34">
        <f>IF(OR(AT150="",AD150=""),"",AD150+ROW()/1000000000)</f>
        <v/>
      </c>
    </row>
    <row r="151">
      <c r="W151">
        <f>IF(AND(A151="",D151=""),"",IF(ISNUMBER(SEARCH("##END",AH151)),"（終わりの印）",IF(ISNUMBER(SEARCH("##続き",AH151)),"（続きありの印）",IF(AH151="調査ID","（見出し行）",IF(AND(AH151&lt;&gt;"R1",AH151&lt;&gt;"R2"),"×表以外の行（集計されない）",IF(COUNTIF($AI$5:AI151,AI151)&gt;1,"△重複（集計されない）",IF(D151="","△タスク名なし",IF(ISNA(MATCH(AK151,'M1_類型マスタ'!$A$5:$A$19,0)),"△類型が不正",IF(OR(AM151="",AN151=""),"△回数・分が読めない",IF(SUMPRODUCT(--ISNUMBER(--O151:U151))&lt;7,"△採点が足りない",IF(SUMPRODUCT((--O151:U151&gt;2)+(--O151:U151&lt;0))&gt;0,"△採点が範囲外","OK")))))))))))</f>
        <v/>
      </c>
      <c r="X151">
        <f>IF(W151&lt;&gt;"OK","",TRIM(IF(AND(AO151&lt;&gt;"",N(AO151)&lt;=1),"根拠1件 ","")&amp;IF(AP151&lt;&gt;"","同名あり ","")&amp;IF(AND(NOT(ISNUMBER(I151)),I151&lt;&gt;""),"回数を換算 ","")))</f>
        <v/>
      </c>
      <c r="Y151" s="31" t="n"/>
      <c r="Z151" s="32" t="n"/>
      <c r="AA151" s="32" t="n"/>
      <c r="AB151" s="31" t="n"/>
      <c r="AC151">
        <f>IF(W151&lt;&gt;"OK","",IF(AB151&lt;&gt;"",AB151,AE151))</f>
        <v/>
      </c>
      <c r="AD151" s="33">
        <f>IF(W151&lt;&gt;"OK","",IFERROR(IF(Z151&lt;&gt;"",Z151,AM151)*IF(AA151&lt;&gt;"",AA151,AN151)/60,""))</f>
        <v/>
      </c>
      <c r="AE151">
        <f>IF(W151&lt;&gt;"OK","",IF(OR(VALUE(O151)=2,VALUE(P151)=2,VALUE(Q151)=2),"社内残置",IF(AND(VALUE(O151)=0,VALUE(R151)=0,VALUE(T151)=0),"自動化候補",IF(AND(VALUE(P151)=0,VALUE(R151)&lt;=1,VALUE(S151)&lt;=1,VALUE(T151)&lt;=1,VALUE(U151)&lt;=1),"オフショア候補",IF(AND(VALUE(T151)&lt;=1,VALUE(U151)&lt;=1),"ニアショア候補","社内で手順化→再評価")))))</f>
        <v/>
      </c>
      <c r="AF151">
        <f>IF(W151&lt;&gt;"OK","",14-SUMPRODUCT(--O151:U151))</f>
        <v/>
      </c>
      <c r="AG151" s="33">
        <f>IF(W151&lt;&gt;"OK","",AM151*AN151/60)</f>
        <v/>
      </c>
      <c r="AH151" s="34">
        <f>IF(A151="","",UPPER(TRIM(ASC(A151&amp;""))))</f>
        <v/>
      </c>
      <c r="AI151" s="34">
        <f>IF(AH151="","",AH151&amp;"-"&amp;B151)</f>
        <v/>
      </c>
      <c r="AJ151" s="34">
        <f>IF(C151="","",IFERROR(VALUE(ASC(SUBSTITUTE(C151&amp;"","観点",""))),""))</f>
        <v/>
      </c>
      <c r="AK151" s="34">
        <f>IF(E151="","",UPPER(LEFT(TRIM(ASC(E151&amp;"")),3)))</f>
        <v/>
      </c>
      <c r="AL151" s="34">
        <f>IF(I151="","",IFERROR(VALUE(SUBSTITUTE(SUBSTITUTE(SUBSTITUTE(SUBSTITUTE(SUBSTITUTE(SUBSTITUTE(SUBSTITUTE(SUBSTITUTE(SUBSTITUTE(SUBSTITUTE(SUBSTITUTE(SUBSTITUTE(ASC(I151&amp;""),"約",""),"程度",""),"ほど",""),"回",""),"毎",""),"週",""),"月",""),"年",""),"日",""),"に",""),"/","")," ","")),""))</f>
        <v/>
      </c>
      <c r="AM151" s="34">
        <f>IF(I151="","",IF(ISNUMBER(I151),I151,IFERROR(VALUE(ASC(I151&amp;"")),IF(AL151&lt;&gt;"",AL151*IF(ISNUMBER(SEARCH("週",I151)),4.3,IF(ISNUMBER(SEARCH("年",I151)),1/12,IF(ISNUMBER(SEARCH("日",I151)),20,1))),IF(ISNUMBER(SEARCH("日",I151)),20,IF(ISNUMBER(SEARCH("週",I151)),4.3,IF(ISNUMBER(SEARCH("月",I151)),1,"")))))))</f>
        <v/>
      </c>
      <c r="AN151" s="34">
        <f>IF(J151="","",IF(ISNUMBER(J151),J151,IFERROR(VALUE(ASC(J151&amp;"")),IF(ISNUMBER(SEARCH("時間",J151)),IFERROR(VALUE(SUBSTITUTE(SUBSTITUTE(SUBSTITUTE(SUBSTITUTE(SUBSTITUTE(ASC(J151&amp;""),"約",""),"程度",""),"ほど",""),"時間","")," ",""))*60,""),IFERROR(VALUE(SUBSTITUTE(SUBSTITUTE(SUBSTITUTE(SUBSTITUTE(SUBSTITUTE(ASC(J151&amp;""),"約",""),"程度",""),"ほど",""),"分","")," ","")),"")))))</f>
        <v/>
      </c>
      <c r="AO151" s="34">
        <f>IF(K151="","",IF(ISNUMBER(K151),K151,IFERROR(VALUE(SUBSTITUTE(SUBSTITUTE(SUBSTITUTE(ASC(K151&amp;""),"約",""),"件","")," ","")),"")))</f>
        <v/>
      </c>
      <c r="AP151" s="34">
        <f>IF(W151&lt;&gt;"OK","",IF(COUNTIFS($D$5:$D$404,D151,$W$5:$W$404,"OK")&gt;1,"同名あり",""))</f>
        <v/>
      </c>
      <c r="AQ151" s="35">
        <f>IF(L151="","",IF(ISNUMBER(L151),L151,IFERROR(DATEVALUE(SUBSTITUTE(SUBSTITUTE(ASC(L151&amp;""),"-","/"),".","/")&amp;"/01"),"")))</f>
        <v/>
      </c>
      <c r="AR151" s="35">
        <f>IF(M151="","",IF(ISNUMBER(M151),M151,IFERROR(DATEVALUE(SUBSTITUTE(SUBSTITUTE(ASC(M151&amp;""),"-","/"),".","/")&amp;"/01"),"")))</f>
        <v/>
      </c>
      <c r="AS151" s="34">
        <f>IF(OR(W151&lt;&gt;"OK",AQ151=""),"",IF(AQ151&gt;='01_設定'!$C$26,1,0))</f>
        <v/>
      </c>
      <c r="AT151" s="34">
        <f>IF(AND(W151="OK",Y151&lt;&gt;"除外"),COUNTIFS($W$5:W151,"OK",$Y$5:Y151,"&lt;&gt;除外"),"")</f>
        <v/>
      </c>
      <c r="AU151" s="34">
        <f>IF(OR(AT151="",AD151=""),"",AD151+ROW()/1000000000)</f>
        <v/>
      </c>
    </row>
    <row r="152">
      <c r="W152">
        <f>IF(AND(A152="",D152=""),"",IF(ISNUMBER(SEARCH("##END",AH152)),"（終わりの印）",IF(ISNUMBER(SEARCH("##続き",AH152)),"（続きありの印）",IF(AH152="調査ID","（見出し行）",IF(AND(AH152&lt;&gt;"R1",AH152&lt;&gt;"R2"),"×表以外の行（集計されない）",IF(COUNTIF($AI$5:AI152,AI152)&gt;1,"△重複（集計されない）",IF(D152="","△タスク名なし",IF(ISNA(MATCH(AK152,'M1_類型マスタ'!$A$5:$A$19,0)),"△類型が不正",IF(OR(AM152="",AN152=""),"△回数・分が読めない",IF(SUMPRODUCT(--ISNUMBER(--O152:U152))&lt;7,"△採点が足りない",IF(SUMPRODUCT((--O152:U152&gt;2)+(--O152:U152&lt;0))&gt;0,"△採点が範囲外","OK")))))))))))</f>
        <v/>
      </c>
      <c r="X152">
        <f>IF(W152&lt;&gt;"OK","",TRIM(IF(AND(AO152&lt;&gt;"",N(AO152)&lt;=1),"根拠1件 ","")&amp;IF(AP152&lt;&gt;"","同名あり ","")&amp;IF(AND(NOT(ISNUMBER(I152)),I152&lt;&gt;""),"回数を換算 ","")))</f>
        <v/>
      </c>
      <c r="Y152" s="31" t="n"/>
      <c r="Z152" s="32" t="n"/>
      <c r="AA152" s="32" t="n"/>
      <c r="AB152" s="31" t="n"/>
      <c r="AC152">
        <f>IF(W152&lt;&gt;"OK","",IF(AB152&lt;&gt;"",AB152,AE152))</f>
        <v/>
      </c>
      <c r="AD152" s="33">
        <f>IF(W152&lt;&gt;"OK","",IFERROR(IF(Z152&lt;&gt;"",Z152,AM152)*IF(AA152&lt;&gt;"",AA152,AN152)/60,""))</f>
        <v/>
      </c>
      <c r="AE152">
        <f>IF(W152&lt;&gt;"OK","",IF(OR(VALUE(O152)=2,VALUE(P152)=2,VALUE(Q152)=2),"社内残置",IF(AND(VALUE(O152)=0,VALUE(R152)=0,VALUE(T152)=0),"自動化候補",IF(AND(VALUE(P152)=0,VALUE(R152)&lt;=1,VALUE(S152)&lt;=1,VALUE(T152)&lt;=1,VALUE(U152)&lt;=1),"オフショア候補",IF(AND(VALUE(T152)&lt;=1,VALUE(U152)&lt;=1),"ニアショア候補","社内で手順化→再評価")))))</f>
        <v/>
      </c>
      <c r="AF152">
        <f>IF(W152&lt;&gt;"OK","",14-SUMPRODUCT(--O152:U152))</f>
        <v/>
      </c>
      <c r="AG152" s="33">
        <f>IF(W152&lt;&gt;"OK","",AM152*AN152/60)</f>
        <v/>
      </c>
      <c r="AH152" s="34">
        <f>IF(A152="","",UPPER(TRIM(ASC(A152&amp;""))))</f>
        <v/>
      </c>
      <c r="AI152" s="34">
        <f>IF(AH152="","",AH152&amp;"-"&amp;B152)</f>
        <v/>
      </c>
      <c r="AJ152" s="34">
        <f>IF(C152="","",IFERROR(VALUE(ASC(SUBSTITUTE(C152&amp;"","観点",""))),""))</f>
        <v/>
      </c>
      <c r="AK152" s="34">
        <f>IF(E152="","",UPPER(LEFT(TRIM(ASC(E152&amp;"")),3)))</f>
        <v/>
      </c>
      <c r="AL152" s="34">
        <f>IF(I152="","",IFERROR(VALUE(SUBSTITUTE(SUBSTITUTE(SUBSTITUTE(SUBSTITUTE(SUBSTITUTE(SUBSTITUTE(SUBSTITUTE(SUBSTITUTE(SUBSTITUTE(SUBSTITUTE(SUBSTITUTE(SUBSTITUTE(ASC(I152&amp;""),"約",""),"程度",""),"ほど",""),"回",""),"毎",""),"週",""),"月",""),"年",""),"日",""),"に",""),"/","")," ","")),""))</f>
        <v/>
      </c>
      <c r="AM152" s="34">
        <f>IF(I152="","",IF(ISNUMBER(I152),I152,IFERROR(VALUE(ASC(I152&amp;"")),IF(AL152&lt;&gt;"",AL152*IF(ISNUMBER(SEARCH("週",I152)),4.3,IF(ISNUMBER(SEARCH("年",I152)),1/12,IF(ISNUMBER(SEARCH("日",I152)),20,1))),IF(ISNUMBER(SEARCH("日",I152)),20,IF(ISNUMBER(SEARCH("週",I152)),4.3,IF(ISNUMBER(SEARCH("月",I152)),1,"")))))))</f>
        <v/>
      </c>
      <c r="AN152" s="34">
        <f>IF(J152="","",IF(ISNUMBER(J152),J152,IFERROR(VALUE(ASC(J152&amp;"")),IF(ISNUMBER(SEARCH("時間",J152)),IFERROR(VALUE(SUBSTITUTE(SUBSTITUTE(SUBSTITUTE(SUBSTITUTE(SUBSTITUTE(ASC(J152&amp;""),"約",""),"程度",""),"ほど",""),"時間","")," ",""))*60,""),IFERROR(VALUE(SUBSTITUTE(SUBSTITUTE(SUBSTITUTE(SUBSTITUTE(SUBSTITUTE(ASC(J152&amp;""),"約",""),"程度",""),"ほど",""),"分","")," ","")),"")))))</f>
        <v/>
      </c>
      <c r="AO152" s="34">
        <f>IF(K152="","",IF(ISNUMBER(K152),K152,IFERROR(VALUE(SUBSTITUTE(SUBSTITUTE(SUBSTITUTE(ASC(K152&amp;""),"約",""),"件","")," ","")),"")))</f>
        <v/>
      </c>
      <c r="AP152" s="34">
        <f>IF(W152&lt;&gt;"OK","",IF(COUNTIFS($D$5:$D$404,D152,$W$5:$W$404,"OK")&gt;1,"同名あり",""))</f>
        <v/>
      </c>
      <c r="AQ152" s="35">
        <f>IF(L152="","",IF(ISNUMBER(L152),L152,IFERROR(DATEVALUE(SUBSTITUTE(SUBSTITUTE(ASC(L152&amp;""),"-","/"),".","/")&amp;"/01"),"")))</f>
        <v/>
      </c>
      <c r="AR152" s="35">
        <f>IF(M152="","",IF(ISNUMBER(M152),M152,IFERROR(DATEVALUE(SUBSTITUTE(SUBSTITUTE(ASC(M152&amp;""),"-","/"),".","/")&amp;"/01"),"")))</f>
        <v/>
      </c>
      <c r="AS152" s="34">
        <f>IF(OR(W152&lt;&gt;"OK",AQ152=""),"",IF(AQ152&gt;='01_設定'!$C$26,1,0))</f>
        <v/>
      </c>
      <c r="AT152" s="34">
        <f>IF(AND(W152="OK",Y152&lt;&gt;"除外"),COUNTIFS($W$5:W152,"OK",$Y$5:Y152,"&lt;&gt;除外"),"")</f>
        <v/>
      </c>
      <c r="AU152" s="34">
        <f>IF(OR(AT152="",AD152=""),"",AD152+ROW()/1000000000)</f>
        <v/>
      </c>
    </row>
    <row r="153">
      <c r="W153">
        <f>IF(AND(A153="",D153=""),"",IF(ISNUMBER(SEARCH("##END",AH153)),"（終わりの印）",IF(ISNUMBER(SEARCH("##続き",AH153)),"（続きありの印）",IF(AH153="調査ID","（見出し行）",IF(AND(AH153&lt;&gt;"R1",AH153&lt;&gt;"R2"),"×表以外の行（集計されない）",IF(COUNTIF($AI$5:AI153,AI153)&gt;1,"△重複（集計されない）",IF(D153="","△タスク名なし",IF(ISNA(MATCH(AK153,'M1_類型マスタ'!$A$5:$A$19,0)),"△類型が不正",IF(OR(AM153="",AN153=""),"△回数・分が読めない",IF(SUMPRODUCT(--ISNUMBER(--O153:U153))&lt;7,"△採点が足りない",IF(SUMPRODUCT((--O153:U153&gt;2)+(--O153:U153&lt;0))&gt;0,"△採点が範囲外","OK")))))))))))</f>
        <v/>
      </c>
      <c r="X153">
        <f>IF(W153&lt;&gt;"OK","",TRIM(IF(AND(AO153&lt;&gt;"",N(AO153)&lt;=1),"根拠1件 ","")&amp;IF(AP153&lt;&gt;"","同名あり ","")&amp;IF(AND(NOT(ISNUMBER(I153)),I153&lt;&gt;""),"回数を換算 ","")))</f>
        <v/>
      </c>
      <c r="Y153" s="31" t="n"/>
      <c r="Z153" s="32" t="n"/>
      <c r="AA153" s="32" t="n"/>
      <c r="AB153" s="31" t="n"/>
      <c r="AC153">
        <f>IF(W153&lt;&gt;"OK","",IF(AB153&lt;&gt;"",AB153,AE153))</f>
        <v/>
      </c>
      <c r="AD153" s="33">
        <f>IF(W153&lt;&gt;"OK","",IFERROR(IF(Z153&lt;&gt;"",Z153,AM153)*IF(AA153&lt;&gt;"",AA153,AN153)/60,""))</f>
        <v/>
      </c>
      <c r="AE153">
        <f>IF(W153&lt;&gt;"OK","",IF(OR(VALUE(O153)=2,VALUE(P153)=2,VALUE(Q153)=2),"社内残置",IF(AND(VALUE(O153)=0,VALUE(R153)=0,VALUE(T153)=0),"自動化候補",IF(AND(VALUE(P153)=0,VALUE(R153)&lt;=1,VALUE(S153)&lt;=1,VALUE(T153)&lt;=1,VALUE(U153)&lt;=1),"オフショア候補",IF(AND(VALUE(T153)&lt;=1,VALUE(U153)&lt;=1),"ニアショア候補","社内で手順化→再評価")))))</f>
        <v/>
      </c>
      <c r="AF153">
        <f>IF(W153&lt;&gt;"OK","",14-SUMPRODUCT(--O153:U153))</f>
        <v/>
      </c>
      <c r="AG153" s="33">
        <f>IF(W153&lt;&gt;"OK","",AM153*AN153/60)</f>
        <v/>
      </c>
      <c r="AH153" s="34">
        <f>IF(A153="","",UPPER(TRIM(ASC(A153&amp;""))))</f>
        <v/>
      </c>
      <c r="AI153" s="34">
        <f>IF(AH153="","",AH153&amp;"-"&amp;B153)</f>
        <v/>
      </c>
      <c r="AJ153" s="34">
        <f>IF(C153="","",IFERROR(VALUE(ASC(SUBSTITUTE(C153&amp;"","観点",""))),""))</f>
        <v/>
      </c>
      <c r="AK153" s="34">
        <f>IF(E153="","",UPPER(LEFT(TRIM(ASC(E153&amp;"")),3)))</f>
        <v/>
      </c>
      <c r="AL153" s="34">
        <f>IF(I153="","",IFERROR(VALUE(SUBSTITUTE(SUBSTITUTE(SUBSTITUTE(SUBSTITUTE(SUBSTITUTE(SUBSTITUTE(SUBSTITUTE(SUBSTITUTE(SUBSTITUTE(SUBSTITUTE(SUBSTITUTE(SUBSTITUTE(ASC(I153&amp;""),"約",""),"程度",""),"ほど",""),"回",""),"毎",""),"週",""),"月",""),"年",""),"日",""),"に",""),"/","")," ","")),""))</f>
        <v/>
      </c>
      <c r="AM153" s="34">
        <f>IF(I153="","",IF(ISNUMBER(I153),I153,IFERROR(VALUE(ASC(I153&amp;"")),IF(AL153&lt;&gt;"",AL153*IF(ISNUMBER(SEARCH("週",I153)),4.3,IF(ISNUMBER(SEARCH("年",I153)),1/12,IF(ISNUMBER(SEARCH("日",I153)),20,1))),IF(ISNUMBER(SEARCH("日",I153)),20,IF(ISNUMBER(SEARCH("週",I153)),4.3,IF(ISNUMBER(SEARCH("月",I153)),1,"")))))))</f>
        <v/>
      </c>
      <c r="AN153" s="34">
        <f>IF(J153="","",IF(ISNUMBER(J153),J153,IFERROR(VALUE(ASC(J153&amp;"")),IF(ISNUMBER(SEARCH("時間",J153)),IFERROR(VALUE(SUBSTITUTE(SUBSTITUTE(SUBSTITUTE(SUBSTITUTE(SUBSTITUTE(ASC(J153&amp;""),"約",""),"程度",""),"ほど",""),"時間","")," ",""))*60,""),IFERROR(VALUE(SUBSTITUTE(SUBSTITUTE(SUBSTITUTE(SUBSTITUTE(SUBSTITUTE(ASC(J153&amp;""),"約",""),"程度",""),"ほど",""),"分","")," ","")),"")))))</f>
        <v/>
      </c>
      <c r="AO153" s="34">
        <f>IF(K153="","",IF(ISNUMBER(K153),K153,IFERROR(VALUE(SUBSTITUTE(SUBSTITUTE(SUBSTITUTE(ASC(K153&amp;""),"約",""),"件","")," ","")),"")))</f>
        <v/>
      </c>
      <c r="AP153" s="34">
        <f>IF(W153&lt;&gt;"OK","",IF(COUNTIFS($D$5:$D$404,D153,$W$5:$W$404,"OK")&gt;1,"同名あり",""))</f>
        <v/>
      </c>
      <c r="AQ153" s="35">
        <f>IF(L153="","",IF(ISNUMBER(L153),L153,IFERROR(DATEVALUE(SUBSTITUTE(SUBSTITUTE(ASC(L153&amp;""),"-","/"),".","/")&amp;"/01"),"")))</f>
        <v/>
      </c>
      <c r="AR153" s="35">
        <f>IF(M153="","",IF(ISNUMBER(M153),M153,IFERROR(DATEVALUE(SUBSTITUTE(SUBSTITUTE(ASC(M153&amp;""),"-","/"),".","/")&amp;"/01"),"")))</f>
        <v/>
      </c>
      <c r="AS153" s="34">
        <f>IF(OR(W153&lt;&gt;"OK",AQ153=""),"",IF(AQ153&gt;='01_設定'!$C$26,1,0))</f>
        <v/>
      </c>
      <c r="AT153" s="34">
        <f>IF(AND(W153="OK",Y153&lt;&gt;"除外"),COUNTIFS($W$5:W153,"OK",$Y$5:Y153,"&lt;&gt;除外"),"")</f>
        <v/>
      </c>
      <c r="AU153" s="34">
        <f>IF(OR(AT153="",AD153=""),"",AD153+ROW()/1000000000)</f>
        <v/>
      </c>
    </row>
    <row r="154">
      <c r="W154">
        <f>IF(AND(A154="",D154=""),"",IF(ISNUMBER(SEARCH("##END",AH154)),"（終わりの印）",IF(ISNUMBER(SEARCH("##続き",AH154)),"（続きありの印）",IF(AH154="調査ID","（見出し行）",IF(AND(AH154&lt;&gt;"R1",AH154&lt;&gt;"R2"),"×表以外の行（集計されない）",IF(COUNTIF($AI$5:AI154,AI154)&gt;1,"△重複（集計されない）",IF(D154="","△タスク名なし",IF(ISNA(MATCH(AK154,'M1_類型マスタ'!$A$5:$A$19,0)),"△類型が不正",IF(OR(AM154="",AN154=""),"△回数・分が読めない",IF(SUMPRODUCT(--ISNUMBER(--O154:U154))&lt;7,"△採点が足りない",IF(SUMPRODUCT((--O154:U154&gt;2)+(--O154:U154&lt;0))&gt;0,"△採点が範囲外","OK")))))))))))</f>
        <v/>
      </c>
      <c r="X154">
        <f>IF(W154&lt;&gt;"OK","",TRIM(IF(AND(AO154&lt;&gt;"",N(AO154)&lt;=1),"根拠1件 ","")&amp;IF(AP154&lt;&gt;"","同名あり ","")&amp;IF(AND(NOT(ISNUMBER(I154)),I154&lt;&gt;""),"回数を換算 ","")))</f>
        <v/>
      </c>
      <c r="Y154" s="31" t="n"/>
      <c r="Z154" s="32" t="n"/>
      <c r="AA154" s="32" t="n"/>
      <c r="AB154" s="31" t="n"/>
      <c r="AC154">
        <f>IF(W154&lt;&gt;"OK","",IF(AB154&lt;&gt;"",AB154,AE154))</f>
        <v/>
      </c>
      <c r="AD154" s="33">
        <f>IF(W154&lt;&gt;"OK","",IFERROR(IF(Z154&lt;&gt;"",Z154,AM154)*IF(AA154&lt;&gt;"",AA154,AN154)/60,""))</f>
        <v/>
      </c>
      <c r="AE154">
        <f>IF(W154&lt;&gt;"OK","",IF(OR(VALUE(O154)=2,VALUE(P154)=2,VALUE(Q154)=2),"社内残置",IF(AND(VALUE(O154)=0,VALUE(R154)=0,VALUE(T154)=0),"自動化候補",IF(AND(VALUE(P154)=0,VALUE(R154)&lt;=1,VALUE(S154)&lt;=1,VALUE(T154)&lt;=1,VALUE(U154)&lt;=1),"オフショア候補",IF(AND(VALUE(T154)&lt;=1,VALUE(U154)&lt;=1),"ニアショア候補","社内で手順化→再評価")))))</f>
        <v/>
      </c>
      <c r="AF154">
        <f>IF(W154&lt;&gt;"OK","",14-SUMPRODUCT(--O154:U154))</f>
        <v/>
      </c>
      <c r="AG154" s="33">
        <f>IF(W154&lt;&gt;"OK","",AM154*AN154/60)</f>
        <v/>
      </c>
      <c r="AH154" s="34">
        <f>IF(A154="","",UPPER(TRIM(ASC(A154&amp;""))))</f>
        <v/>
      </c>
      <c r="AI154" s="34">
        <f>IF(AH154="","",AH154&amp;"-"&amp;B154)</f>
        <v/>
      </c>
      <c r="AJ154" s="34">
        <f>IF(C154="","",IFERROR(VALUE(ASC(SUBSTITUTE(C154&amp;"","観点",""))),""))</f>
        <v/>
      </c>
      <c r="AK154" s="34">
        <f>IF(E154="","",UPPER(LEFT(TRIM(ASC(E154&amp;"")),3)))</f>
        <v/>
      </c>
      <c r="AL154" s="34">
        <f>IF(I154="","",IFERROR(VALUE(SUBSTITUTE(SUBSTITUTE(SUBSTITUTE(SUBSTITUTE(SUBSTITUTE(SUBSTITUTE(SUBSTITUTE(SUBSTITUTE(SUBSTITUTE(SUBSTITUTE(SUBSTITUTE(SUBSTITUTE(ASC(I154&amp;""),"約",""),"程度",""),"ほど",""),"回",""),"毎",""),"週",""),"月",""),"年",""),"日",""),"に",""),"/","")," ","")),""))</f>
        <v/>
      </c>
      <c r="AM154" s="34">
        <f>IF(I154="","",IF(ISNUMBER(I154),I154,IFERROR(VALUE(ASC(I154&amp;"")),IF(AL154&lt;&gt;"",AL154*IF(ISNUMBER(SEARCH("週",I154)),4.3,IF(ISNUMBER(SEARCH("年",I154)),1/12,IF(ISNUMBER(SEARCH("日",I154)),20,1))),IF(ISNUMBER(SEARCH("日",I154)),20,IF(ISNUMBER(SEARCH("週",I154)),4.3,IF(ISNUMBER(SEARCH("月",I154)),1,"")))))))</f>
        <v/>
      </c>
      <c r="AN154" s="34">
        <f>IF(J154="","",IF(ISNUMBER(J154),J154,IFERROR(VALUE(ASC(J154&amp;"")),IF(ISNUMBER(SEARCH("時間",J154)),IFERROR(VALUE(SUBSTITUTE(SUBSTITUTE(SUBSTITUTE(SUBSTITUTE(SUBSTITUTE(ASC(J154&amp;""),"約",""),"程度",""),"ほど",""),"時間","")," ",""))*60,""),IFERROR(VALUE(SUBSTITUTE(SUBSTITUTE(SUBSTITUTE(SUBSTITUTE(SUBSTITUTE(ASC(J154&amp;""),"約",""),"程度",""),"ほど",""),"分","")," ","")),"")))))</f>
        <v/>
      </c>
      <c r="AO154" s="34">
        <f>IF(K154="","",IF(ISNUMBER(K154),K154,IFERROR(VALUE(SUBSTITUTE(SUBSTITUTE(SUBSTITUTE(ASC(K154&amp;""),"約",""),"件","")," ","")),"")))</f>
        <v/>
      </c>
      <c r="AP154" s="34">
        <f>IF(W154&lt;&gt;"OK","",IF(COUNTIFS($D$5:$D$404,D154,$W$5:$W$404,"OK")&gt;1,"同名あり",""))</f>
        <v/>
      </c>
      <c r="AQ154" s="35">
        <f>IF(L154="","",IF(ISNUMBER(L154),L154,IFERROR(DATEVALUE(SUBSTITUTE(SUBSTITUTE(ASC(L154&amp;""),"-","/"),".","/")&amp;"/01"),"")))</f>
        <v/>
      </c>
      <c r="AR154" s="35">
        <f>IF(M154="","",IF(ISNUMBER(M154),M154,IFERROR(DATEVALUE(SUBSTITUTE(SUBSTITUTE(ASC(M154&amp;""),"-","/"),".","/")&amp;"/01"),"")))</f>
        <v/>
      </c>
      <c r="AS154" s="34">
        <f>IF(OR(W154&lt;&gt;"OK",AQ154=""),"",IF(AQ154&gt;='01_設定'!$C$26,1,0))</f>
        <v/>
      </c>
      <c r="AT154" s="34">
        <f>IF(AND(W154="OK",Y154&lt;&gt;"除外"),COUNTIFS($W$5:W154,"OK",$Y$5:Y154,"&lt;&gt;除外"),"")</f>
        <v/>
      </c>
      <c r="AU154" s="34">
        <f>IF(OR(AT154="",AD154=""),"",AD154+ROW()/1000000000)</f>
        <v/>
      </c>
    </row>
    <row r="155">
      <c r="W155">
        <f>IF(AND(A155="",D155=""),"",IF(ISNUMBER(SEARCH("##END",AH155)),"（終わりの印）",IF(ISNUMBER(SEARCH("##続き",AH155)),"（続きありの印）",IF(AH155="調査ID","（見出し行）",IF(AND(AH155&lt;&gt;"R1",AH155&lt;&gt;"R2"),"×表以外の行（集計されない）",IF(COUNTIF($AI$5:AI155,AI155)&gt;1,"△重複（集計されない）",IF(D155="","△タスク名なし",IF(ISNA(MATCH(AK155,'M1_類型マスタ'!$A$5:$A$19,0)),"△類型が不正",IF(OR(AM155="",AN155=""),"△回数・分が読めない",IF(SUMPRODUCT(--ISNUMBER(--O155:U155))&lt;7,"△採点が足りない",IF(SUMPRODUCT((--O155:U155&gt;2)+(--O155:U155&lt;0))&gt;0,"△採点が範囲外","OK")))))))))))</f>
        <v/>
      </c>
      <c r="X155">
        <f>IF(W155&lt;&gt;"OK","",TRIM(IF(AND(AO155&lt;&gt;"",N(AO155)&lt;=1),"根拠1件 ","")&amp;IF(AP155&lt;&gt;"","同名あり ","")&amp;IF(AND(NOT(ISNUMBER(I155)),I155&lt;&gt;""),"回数を換算 ","")))</f>
        <v/>
      </c>
      <c r="Y155" s="31" t="n"/>
      <c r="Z155" s="32" t="n"/>
      <c r="AA155" s="32" t="n"/>
      <c r="AB155" s="31" t="n"/>
      <c r="AC155">
        <f>IF(W155&lt;&gt;"OK","",IF(AB155&lt;&gt;"",AB155,AE155))</f>
        <v/>
      </c>
      <c r="AD155" s="33">
        <f>IF(W155&lt;&gt;"OK","",IFERROR(IF(Z155&lt;&gt;"",Z155,AM155)*IF(AA155&lt;&gt;"",AA155,AN155)/60,""))</f>
        <v/>
      </c>
      <c r="AE155">
        <f>IF(W155&lt;&gt;"OK","",IF(OR(VALUE(O155)=2,VALUE(P155)=2,VALUE(Q155)=2),"社内残置",IF(AND(VALUE(O155)=0,VALUE(R155)=0,VALUE(T155)=0),"自動化候補",IF(AND(VALUE(P155)=0,VALUE(R155)&lt;=1,VALUE(S155)&lt;=1,VALUE(T155)&lt;=1,VALUE(U155)&lt;=1),"オフショア候補",IF(AND(VALUE(T155)&lt;=1,VALUE(U155)&lt;=1),"ニアショア候補","社内で手順化→再評価")))))</f>
        <v/>
      </c>
      <c r="AF155">
        <f>IF(W155&lt;&gt;"OK","",14-SUMPRODUCT(--O155:U155))</f>
        <v/>
      </c>
      <c r="AG155" s="33">
        <f>IF(W155&lt;&gt;"OK","",AM155*AN155/60)</f>
        <v/>
      </c>
      <c r="AH155" s="34">
        <f>IF(A155="","",UPPER(TRIM(ASC(A155&amp;""))))</f>
        <v/>
      </c>
      <c r="AI155" s="34">
        <f>IF(AH155="","",AH155&amp;"-"&amp;B155)</f>
        <v/>
      </c>
      <c r="AJ155" s="34">
        <f>IF(C155="","",IFERROR(VALUE(ASC(SUBSTITUTE(C155&amp;"","観点",""))),""))</f>
        <v/>
      </c>
      <c r="AK155" s="34">
        <f>IF(E155="","",UPPER(LEFT(TRIM(ASC(E155&amp;"")),3)))</f>
        <v/>
      </c>
      <c r="AL155" s="34">
        <f>IF(I155="","",IFERROR(VALUE(SUBSTITUTE(SUBSTITUTE(SUBSTITUTE(SUBSTITUTE(SUBSTITUTE(SUBSTITUTE(SUBSTITUTE(SUBSTITUTE(SUBSTITUTE(SUBSTITUTE(SUBSTITUTE(SUBSTITUTE(ASC(I155&amp;""),"約",""),"程度",""),"ほど",""),"回",""),"毎",""),"週",""),"月",""),"年",""),"日",""),"に",""),"/","")," ","")),""))</f>
        <v/>
      </c>
      <c r="AM155" s="34">
        <f>IF(I155="","",IF(ISNUMBER(I155),I155,IFERROR(VALUE(ASC(I155&amp;"")),IF(AL155&lt;&gt;"",AL155*IF(ISNUMBER(SEARCH("週",I155)),4.3,IF(ISNUMBER(SEARCH("年",I155)),1/12,IF(ISNUMBER(SEARCH("日",I155)),20,1))),IF(ISNUMBER(SEARCH("日",I155)),20,IF(ISNUMBER(SEARCH("週",I155)),4.3,IF(ISNUMBER(SEARCH("月",I155)),1,"")))))))</f>
        <v/>
      </c>
      <c r="AN155" s="34">
        <f>IF(J155="","",IF(ISNUMBER(J155),J155,IFERROR(VALUE(ASC(J155&amp;"")),IF(ISNUMBER(SEARCH("時間",J155)),IFERROR(VALUE(SUBSTITUTE(SUBSTITUTE(SUBSTITUTE(SUBSTITUTE(SUBSTITUTE(ASC(J155&amp;""),"約",""),"程度",""),"ほど",""),"時間","")," ",""))*60,""),IFERROR(VALUE(SUBSTITUTE(SUBSTITUTE(SUBSTITUTE(SUBSTITUTE(SUBSTITUTE(ASC(J155&amp;""),"約",""),"程度",""),"ほど",""),"分","")," ","")),"")))))</f>
        <v/>
      </c>
      <c r="AO155" s="34">
        <f>IF(K155="","",IF(ISNUMBER(K155),K155,IFERROR(VALUE(SUBSTITUTE(SUBSTITUTE(SUBSTITUTE(ASC(K155&amp;""),"約",""),"件","")," ","")),"")))</f>
        <v/>
      </c>
      <c r="AP155" s="34">
        <f>IF(W155&lt;&gt;"OK","",IF(COUNTIFS($D$5:$D$404,D155,$W$5:$W$404,"OK")&gt;1,"同名あり",""))</f>
        <v/>
      </c>
      <c r="AQ155" s="35">
        <f>IF(L155="","",IF(ISNUMBER(L155),L155,IFERROR(DATEVALUE(SUBSTITUTE(SUBSTITUTE(ASC(L155&amp;""),"-","/"),".","/")&amp;"/01"),"")))</f>
        <v/>
      </c>
      <c r="AR155" s="35">
        <f>IF(M155="","",IF(ISNUMBER(M155),M155,IFERROR(DATEVALUE(SUBSTITUTE(SUBSTITUTE(ASC(M155&amp;""),"-","/"),".","/")&amp;"/01"),"")))</f>
        <v/>
      </c>
      <c r="AS155" s="34">
        <f>IF(OR(W155&lt;&gt;"OK",AQ155=""),"",IF(AQ155&gt;='01_設定'!$C$26,1,0))</f>
        <v/>
      </c>
      <c r="AT155" s="34">
        <f>IF(AND(W155="OK",Y155&lt;&gt;"除外"),COUNTIFS($W$5:W155,"OK",$Y$5:Y155,"&lt;&gt;除外"),"")</f>
        <v/>
      </c>
      <c r="AU155" s="34">
        <f>IF(OR(AT155="",AD155=""),"",AD155+ROW()/1000000000)</f>
        <v/>
      </c>
    </row>
    <row r="156">
      <c r="W156">
        <f>IF(AND(A156="",D156=""),"",IF(ISNUMBER(SEARCH("##END",AH156)),"（終わりの印）",IF(ISNUMBER(SEARCH("##続き",AH156)),"（続きありの印）",IF(AH156="調査ID","（見出し行）",IF(AND(AH156&lt;&gt;"R1",AH156&lt;&gt;"R2"),"×表以外の行（集計されない）",IF(COUNTIF($AI$5:AI156,AI156)&gt;1,"△重複（集計されない）",IF(D156="","△タスク名なし",IF(ISNA(MATCH(AK156,'M1_類型マスタ'!$A$5:$A$19,0)),"△類型が不正",IF(OR(AM156="",AN156=""),"△回数・分が読めない",IF(SUMPRODUCT(--ISNUMBER(--O156:U156))&lt;7,"△採点が足りない",IF(SUMPRODUCT((--O156:U156&gt;2)+(--O156:U156&lt;0))&gt;0,"△採点が範囲外","OK")))))))))))</f>
        <v/>
      </c>
      <c r="X156">
        <f>IF(W156&lt;&gt;"OK","",TRIM(IF(AND(AO156&lt;&gt;"",N(AO156)&lt;=1),"根拠1件 ","")&amp;IF(AP156&lt;&gt;"","同名あり ","")&amp;IF(AND(NOT(ISNUMBER(I156)),I156&lt;&gt;""),"回数を換算 ","")))</f>
        <v/>
      </c>
      <c r="Y156" s="31" t="n"/>
      <c r="Z156" s="32" t="n"/>
      <c r="AA156" s="32" t="n"/>
      <c r="AB156" s="31" t="n"/>
      <c r="AC156">
        <f>IF(W156&lt;&gt;"OK","",IF(AB156&lt;&gt;"",AB156,AE156))</f>
        <v/>
      </c>
      <c r="AD156" s="33">
        <f>IF(W156&lt;&gt;"OK","",IFERROR(IF(Z156&lt;&gt;"",Z156,AM156)*IF(AA156&lt;&gt;"",AA156,AN156)/60,""))</f>
        <v/>
      </c>
      <c r="AE156">
        <f>IF(W156&lt;&gt;"OK","",IF(OR(VALUE(O156)=2,VALUE(P156)=2,VALUE(Q156)=2),"社内残置",IF(AND(VALUE(O156)=0,VALUE(R156)=0,VALUE(T156)=0),"自動化候補",IF(AND(VALUE(P156)=0,VALUE(R156)&lt;=1,VALUE(S156)&lt;=1,VALUE(T156)&lt;=1,VALUE(U156)&lt;=1),"オフショア候補",IF(AND(VALUE(T156)&lt;=1,VALUE(U156)&lt;=1),"ニアショア候補","社内で手順化→再評価")))))</f>
        <v/>
      </c>
      <c r="AF156">
        <f>IF(W156&lt;&gt;"OK","",14-SUMPRODUCT(--O156:U156))</f>
        <v/>
      </c>
      <c r="AG156" s="33">
        <f>IF(W156&lt;&gt;"OK","",AM156*AN156/60)</f>
        <v/>
      </c>
      <c r="AH156" s="34">
        <f>IF(A156="","",UPPER(TRIM(ASC(A156&amp;""))))</f>
        <v/>
      </c>
      <c r="AI156" s="34">
        <f>IF(AH156="","",AH156&amp;"-"&amp;B156)</f>
        <v/>
      </c>
      <c r="AJ156" s="34">
        <f>IF(C156="","",IFERROR(VALUE(ASC(SUBSTITUTE(C156&amp;"","観点",""))),""))</f>
        <v/>
      </c>
      <c r="AK156" s="34">
        <f>IF(E156="","",UPPER(LEFT(TRIM(ASC(E156&amp;"")),3)))</f>
        <v/>
      </c>
      <c r="AL156" s="34">
        <f>IF(I156="","",IFERROR(VALUE(SUBSTITUTE(SUBSTITUTE(SUBSTITUTE(SUBSTITUTE(SUBSTITUTE(SUBSTITUTE(SUBSTITUTE(SUBSTITUTE(SUBSTITUTE(SUBSTITUTE(SUBSTITUTE(SUBSTITUTE(ASC(I156&amp;""),"約",""),"程度",""),"ほど",""),"回",""),"毎",""),"週",""),"月",""),"年",""),"日",""),"に",""),"/","")," ","")),""))</f>
        <v/>
      </c>
      <c r="AM156" s="34">
        <f>IF(I156="","",IF(ISNUMBER(I156),I156,IFERROR(VALUE(ASC(I156&amp;"")),IF(AL156&lt;&gt;"",AL156*IF(ISNUMBER(SEARCH("週",I156)),4.3,IF(ISNUMBER(SEARCH("年",I156)),1/12,IF(ISNUMBER(SEARCH("日",I156)),20,1))),IF(ISNUMBER(SEARCH("日",I156)),20,IF(ISNUMBER(SEARCH("週",I156)),4.3,IF(ISNUMBER(SEARCH("月",I156)),1,"")))))))</f>
        <v/>
      </c>
      <c r="AN156" s="34">
        <f>IF(J156="","",IF(ISNUMBER(J156),J156,IFERROR(VALUE(ASC(J156&amp;"")),IF(ISNUMBER(SEARCH("時間",J156)),IFERROR(VALUE(SUBSTITUTE(SUBSTITUTE(SUBSTITUTE(SUBSTITUTE(SUBSTITUTE(ASC(J156&amp;""),"約",""),"程度",""),"ほど",""),"時間","")," ",""))*60,""),IFERROR(VALUE(SUBSTITUTE(SUBSTITUTE(SUBSTITUTE(SUBSTITUTE(SUBSTITUTE(ASC(J156&amp;""),"約",""),"程度",""),"ほど",""),"分","")," ","")),"")))))</f>
        <v/>
      </c>
      <c r="AO156" s="34">
        <f>IF(K156="","",IF(ISNUMBER(K156),K156,IFERROR(VALUE(SUBSTITUTE(SUBSTITUTE(SUBSTITUTE(ASC(K156&amp;""),"約",""),"件","")," ","")),"")))</f>
        <v/>
      </c>
      <c r="AP156" s="34">
        <f>IF(W156&lt;&gt;"OK","",IF(COUNTIFS($D$5:$D$404,D156,$W$5:$W$404,"OK")&gt;1,"同名あり",""))</f>
        <v/>
      </c>
      <c r="AQ156" s="35">
        <f>IF(L156="","",IF(ISNUMBER(L156),L156,IFERROR(DATEVALUE(SUBSTITUTE(SUBSTITUTE(ASC(L156&amp;""),"-","/"),".","/")&amp;"/01"),"")))</f>
        <v/>
      </c>
      <c r="AR156" s="35">
        <f>IF(M156="","",IF(ISNUMBER(M156),M156,IFERROR(DATEVALUE(SUBSTITUTE(SUBSTITUTE(ASC(M156&amp;""),"-","/"),".","/")&amp;"/01"),"")))</f>
        <v/>
      </c>
      <c r="AS156" s="34">
        <f>IF(OR(W156&lt;&gt;"OK",AQ156=""),"",IF(AQ156&gt;='01_設定'!$C$26,1,0))</f>
        <v/>
      </c>
      <c r="AT156" s="34">
        <f>IF(AND(W156="OK",Y156&lt;&gt;"除外"),COUNTIFS($W$5:W156,"OK",$Y$5:Y156,"&lt;&gt;除外"),"")</f>
        <v/>
      </c>
      <c r="AU156" s="34">
        <f>IF(OR(AT156="",AD156=""),"",AD156+ROW()/1000000000)</f>
        <v/>
      </c>
    </row>
    <row r="157">
      <c r="W157">
        <f>IF(AND(A157="",D157=""),"",IF(ISNUMBER(SEARCH("##END",AH157)),"（終わりの印）",IF(ISNUMBER(SEARCH("##続き",AH157)),"（続きありの印）",IF(AH157="調査ID","（見出し行）",IF(AND(AH157&lt;&gt;"R1",AH157&lt;&gt;"R2"),"×表以外の行（集計されない）",IF(COUNTIF($AI$5:AI157,AI157)&gt;1,"△重複（集計されない）",IF(D157="","△タスク名なし",IF(ISNA(MATCH(AK157,'M1_類型マスタ'!$A$5:$A$19,0)),"△類型が不正",IF(OR(AM157="",AN157=""),"△回数・分が読めない",IF(SUMPRODUCT(--ISNUMBER(--O157:U157))&lt;7,"△採点が足りない",IF(SUMPRODUCT((--O157:U157&gt;2)+(--O157:U157&lt;0))&gt;0,"△採点が範囲外","OK")))))))))))</f>
        <v/>
      </c>
      <c r="X157">
        <f>IF(W157&lt;&gt;"OK","",TRIM(IF(AND(AO157&lt;&gt;"",N(AO157)&lt;=1),"根拠1件 ","")&amp;IF(AP157&lt;&gt;"","同名あり ","")&amp;IF(AND(NOT(ISNUMBER(I157)),I157&lt;&gt;""),"回数を換算 ","")))</f>
        <v/>
      </c>
      <c r="Y157" s="31" t="n"/>
      <c r="Z157" s="32" t="n"/>
      <c r="AA157" s="32" t="n"/>
      <c r="AB157" s="31" t="n"/>
      <c r="AC157">
        <f>IF(W157&lt;&gt;"OK","",IF(AB157&lt;&gt;"",AB157,AE157))</f>
        <v/>
      </c>
      <c r="AD157" s="33">
        <f>IF(W157&lt;&gt;"OK","",IFERROR(IF(Z157&lt;&gt;"",Z157,AM157)*IF(AA157&lt;&gt;"",AA157,AN157)/60,""))</f>
        <v/>
      </c>
      <c r="AE157">
        <f>IF(W157&lt;&gt;"OK","",IF(OR(VALUE(O157)=2,VALUE(P157)=2,VALUE(Q157)=2),"社内残置",IF(AND(VALUE(O157)=0,VALUE(R157)=0,VALUE(T157)=0),"自動化候補",IF(AND(VALUE(P157)=0,VALUE(R157)&lt;=1,VALUE(S157)&lt;=1,VALUE(T157)&lt;=1,VALUE(U157)&lt;=1),"オフショア候補",IF(AND(VALUE(T157)&lt;=1,VALUE(U157)&lt;=1),"ニアショア候補","社内で手順化→再評価")))))</f>
        <v/>
      </c>
      <c r="AF157">
        <f>IF(W157&lt;&gt;"OK","",14-SUMPRODUCT(--O157:U157))</f>
        <v/>
      </c>
      <c r="AG157" s="33">
        <f>IF(W157&lt;&gt;"OK","",AM157*AN157/60)</f>
        <v/>
      </c>
      <c r="AH157" s="34">
        <f>IF(A157="","",UPPER(TRIM(ASC(A157&amp;""))))</f>
        <v/>
      </c>
      <c r="AI157" s="34">
        <f>IF(AH157="","",AH157&amp;"-"&amp;B157)</f>
        <v/>
      </c>
      <c r="AJ157" s="34">
        <f>IF(C157="","",IFERROR(VALUE(ASC(SUBSTITUTE(C157&amp;"","観点",""))),""))</f>
        <v/>
      </c>
      <c r="AK157" s="34">
        <f>IF(E157="","",UPPER(LEFT(TRIM(ASC(E157&amp;"")),3)))</f>
        <v/>
      </c>
      <c r="AL157" s="34">
        <f>IF(I157="","",IFERROR(VALUE(SUBSTITUTE(SUBSTITUTE(SUBSTITUTE(SUBSTITUTE(SUBSTITUTE(SUBSTITUTE(SUBSTITUTE(SUBSTITUTE(SUBSTITUTE(SUBSTITUTE(SUBSTITUTE(SUBSTITUTE(ASC(I157&amp;""),"約",""),"程度",""),"ほど",""),"回",""),"毎",""),"週",""),"月",""),"年",""),"日",""),"に",""),"/","")," ","")),""))</f>
        <v/>
      </c>
      <c r="AM157" s="34">
        <f>IF(I157="","",IF(ISNUMBER(I157),I157,IFERROR(VALUE(ASC(I157&amp;"")),IF(AL157&lt;&gt;"",AL157*IF(ISNUMBER(SEARCH("週",I157)),4.3,IF(ISNUMBER(SEARCH("年",I157)),1/12,IF(ISNUMBER(SEARCH("日",I157)),20,1))),IF(ISNUMBER(SEARCH("日",I157)),20,IF(ISNUMBER(SEARCH("週",I157)),4.3,IF(ISNUMBER(SEARCH("月",I157)),1,"")))))))</f>
        <v/>
      </c>
      <c r="AN157" s="34">
        <f>IF(J157="","",IF(ISNUMBER(J157),J157,IFERROR(VALUE(ASC(J157&amp;"")),IF(ISNUMBER(SEARCH("時間",J157)),IFERROR(VALUE(SUBSTITUTE(SUBSTITUTE(SUBSTITUTE(SUBSTITUTE(SUBSTITUTE(ASC(J157&amp;""),"約",""),"程度",""),"ほど",""),"時間","")," ",""))*60,""),IFERROR(VALUE(SUBSTITUTE(SUBSTITUTE(SUBSTITUTE(SUBSTITUTE(SUBSTITUTE(ASC(J157&amp;""),"約",""),"程度",""),"ほど",""),"分","")," ","")),"")))))</f>
        <v/>
      </c>
      <c r="AO157" s="34">
        <f>IF(K157="","",IF(ISNUMBER(K157),K157,IFERROR(VALUE(SUBSTITUTE(SUBSTITUTE(SUBSTITUTE(ASC(K157&amp;""),"約",""),"件","")," ","")),"")))</f>
        <v/>
      </c>
      <c r="AP157" s="34">
        <f>IF(W157&lt;&gt;"OK","",IF(COUNTIFS($D$5:$D$404,D157,$W$5:$W$404,"OK")&gt;1,"同名あり",""))</f>
        <v/>
      </c>
      <c r="AQ157" s="35">
        <f>IF(L157="","",IF(ISNUMBER(L157),L157,IFERROR(DATEVALUE(SUBSTITUTE(SUBSTITUTE(ASC(L157&amp;""),"-","/"),".","/")&amp;"/01"),"")))</f>
        <v/>
      </c>
      <c r="AR157" s="35">
        <f>IF(M157="","",IF(ISNUMBER(M157),M157,IFERROR(DATEVALUE(SUBSTITUTE(SUBSTITUTE(ASC(M157&amp;""),"-","/"),".","/")&amp;"/01"),"")))</f>
        <v/>
      </c>
      <c r="AS157" s="34">
        <f>IF(OR(W157&lt;&gt;"OK",AQ157=""),"",IF(AQ157&gt;='01_設定'!$C$26,1,0))</f>
        <v/>
      </c>
      <c r="AT157" s="34">
        <f>IF(AND(W157="OK",Y157&lt;&gt;"除外"),COUNTIFS($W$5:W157,"OK",$Y$5:Y157,"&lt;&gt;除外"),"")</f>
        <v/>
      </c>
      <c r="AU157" s="34">
        <f>IF(OR(AT157="",AD157=""),"",AD157+ROW()/1000000000)</f>
        <v/>
      </c>
    </row>
    <row r="158">
      <c r="W158">
        <f>IF(AND(A158="",D158=""),"",IF(ISNUMBER(SEARCH("##END",AH158)),"（終わりの印）",IF(ISNUMBER(SEARCH("##続き",AH158)),"（続きありの印）",IF(AH158="調査ID","（見出し行）",IF(AND(AH158&lt;&gt;"R1",AH158&lt;&gt;"R2"),"×表以外の行（集計されない）",IF(COUNTIF($AI$5:AI158,AI158)&gt;1,"△重複（集計されない）",IF(D158="","△タスク名なし",IF(ISNA(MATCH(AK158,'M1_類型マスタ'!$A$5:$A$19,0)),"△類型が不正",IF(OR(AM158="",AN158=""),"△回数・分が読めない",IF(SUMPRODUCT(--ISNUMBER(--O158:U158))&lt;7,"△採点が足りない",IF(SUMPRODUCT((--O158:U158&gt;2)+(--O158:U158&lt;0))&gt;0,"△採点が範囲外","OK")))))))))))</f>
        <v/>
      </c>
      <c r="X158">
        <f>IF(W158&lt;&gt;"OK","",TRIM(IF(AND(AO158&lt;&gt;"",N(AO158)&lt;=1),"根拠1件 ","")&amp;IF(AP158&lt;&gt;"","同名あり ","")&amp;IF(AND(NOT(ISNUMBER(I158)),I158&lt;&gt;""),"回数を換算 ","")))</f>
        <v/>
      </c>
      <c r="Y158" s="31" t="n"/>
      <c r="Z158" s="32" t="n"/>
      <c r="AA158" s="32" t="n"/>
      <c r="AB158" s="31" t="n"/>
      <c r="AC158">
        <f>IF(W158&lt;&gt;"OK","",IF(AB158&lt;&gt;"",AB158,AE158))</f>
        <v/>
      </c>
      <c r="AD158" s="33">
        <f>IF(W158&lt;&gt;"OK","",IFERROR(IF(Z158&lt;&gt;"",Z158,AM158)*IF(AA158&lt;&gt;"",AA158,AN158)/60,""))</f>
        <v/>
      </c>
      <c r="AE158">
        <f>IF(W158&lt;&gt;"OK","",IF(OR(VALUE(O158)=2,VALUE(P158)=2,VALUE(Q158)=2),"社内残置",IF(AND(VALUE(O158)=0,VALUE(R158)=0,VALUE(T158)=0),"自動化候補",IF(AND(VALUE(P158)=0,VALUE(R158)&lt;=1,VALUE(S158)&lt;=1,VALUE(T158)&lt;=1,VALUE(U158)&lt;=1),"オフショア候補",IF(AND(VALUE(T158)&lt;=1,VALUE(U158)&lt;=1),"ニアショア候補","社内で手順化→再評価")))))</f>
        <v/>
      </c>
      <c r="AF158">
        <f>IF(W158&lt;&gt;"OK","",14-SUMPRODUCT(--O158:U158))</f>
        <v/>
      </c>
      <c r="AG158" s="33">
        <f>IF(W158&lt;&gt;"OK","",AM158*AN158/60)</f>
        <v/>
      </c>
      <c r="AH158" s="34">
        <f>IF(A158="","",UPPER(TRIM(ASC(A158&amp;""))))</f>
        <v/>
      </c>
      <c r="AI158" s="34">
        <f>IF(AH158="","",AH158&amp;"-"&amp;B158)</f>
        <v/>
      </c>
      <c r="AJ158" s="34">
        <f>IF(C158="","",IFERROR(VALUE(ASC(SUBSTITUTE(C158&amp;"","観点",""))),""))</f>
        <v/>
      </c>
      <c r="AK158" s="34">
        <f>IF(E158="","",UPPER(LEFT(TRIM(ASC(E158&amp;"")),3)))</f>
        <v/>
      </c>
      <c r="AL158" s="34">
        <f>IF(I158="","",IFERROR(VALUE(SUBSTITUTE(SUBSTITUTE(SUBSTITUTE(SUBSTITUTE(SUBSTITUTE(SUBSTITUTE(SUBSTITUTE(SUBSTITUTE(SUBSTITUTE(SUBSTITUTE(SUBSTITUTE(SUBSTITUTE(ASC(I158&amp;""),"約",""),"程度",""),"ほど",""),"回",""),"毎",""),"週",""),"月",""),"年",""),"日",""),"に",""),"/","")," ","")),""))</f>
        <v/>
      </c>
      <c r="AM158" s="34">
        <f>IF(I158="","",IF(ISNUMBER(I158),I158,IFERROR(VALUE(ASC(I158&amp;"")),IF(AL158&lt;&gt;"",AL158*IF(ISNUMBER(SEARCH("週",I158)),4.3,IF(ISNUMBER(SEARCH("年",I158)),1/12,IF(ISNUMBER(SEARCH("日",I158)),20,1))),IF(ISNUMBER(SEARCH("日",I158)),20,IF(ISNUMBER(SEARCH("週",I158)),4.3,IF(ISNUMBER(SEARCH("月",I158)),1,"")))))))</f>
        <v/>
      </c>
      <c r="AN158" s="34">
        <f>IF(J158="","",IF(ISNUMBER(J158),J158,IFERROR(VALUE(ASC(J158&amp;"")),IF(ISNUMBER(SEARCH("時間",J158)),IFERROR(VALUE(SUBSTITUTE(SUBSTITUTE(SUBSTITUTE(SUBSTITUTE(SUBSTITUTE(ASC(J158&amp;""),"約",""),"程度",""),"ほど",""),"時間","")," ",""))*60,""),IFERROR(VALUE(SUBSTITUTE(SUBSTITUTE(SUBSTITUTE(SUBSTITUTE(SUBSTITUTE(ASC(J158&amp;""),"約",""),"程度",""),"ほど",""),"分","")," ","")),"")))))</f>
        <v/>
      </c>
      <c r="AO158" s="34">
        <f>IF(K158="","",IF(ISNUMBER(K158),K158,IFERROR(VALUE(SUBSTITUTE(SUBSTITUTE(SUBSTITUTE(ASC(K158&amp;""),"約",""),"件","")," ","")),"")))</f>
        <v/>
      </c>
      <c r="AP158" s="34">
        <f>IF(W158&lt;&gt;"OK","",IF(COUNTIFS($D$5:$D$404,D158,$W$5:$W$404,"OK")&gt;1,"同名あり",""))</f>
        <v/>
      </c>
      <c r="AQ158" s="35">
        <f>IF(L158="","",IF(ISNUMBER(L158),L158,IFERROR(DATEVALUE(SUBSTITUTE(SUBSTITUTE(ASC(L158&amp;""),"-","/"),".","/")&amp;"/01"),"")))</f>
        <v/>
      </c>
      <c r="AR158" s="35">
        <f>IF(M158="","",IF(ISNUMBER(M158),M158,IFERROR(DATEVALUE(SUBSTITUTE(SUBSTITUTE(ASC(M158&amp;""),"-","/"),".","/")&amp;"/01"),"")))</f>
        <v/>
      </c>
      <c r="AS158" s="34">
        <f>IF(OR(W158&lt;&gt;"OK",AQ158=""),"",IF(AQ158&gt;='01_設定'!$C$26,1,0))</f>
        <v/>
      </c>
      <c r="AT158" s="34">
        <f>IF(AND(W158="OK",Y158&lt;&gt;"除外"),COUNTIFS($W$5:W158,"OK",$Y$5:Y158,"&lt;&gt;除外"),"")</f>
        <v/>
      </c>
      <c r="AU158" s="34">
        <f>IF(OR(AT158="",AD158=""),"",AD158+ROW()/1000000000)</f>
        <v/>
      </c>
    </row>
    <row r="159">
      <c r="W159">
        <f>IF(AND(A159="",D159=""),"",IF(ISNUMBER(SEARCH("##END",AH159)),"（終わりの印）",IF(ISNUMBER(SEARCH("##続き",AH159)),"（続きありの印）",IF(AH159="調査ID","（見出し行）",IF(AND(AH159&lt;&gt;"R1",AH159&lt;&gt;"R2"),"×表以外の行（集計されない）",IF(COUNTIF($AI$5:AI159,AI159)&gt;1,"△重複（集計されない）",IF(D159="","△タスク名なし",IF(ISNA(MATCH(AK159,'M1_類型マスタ'!$A$5:$A$19,0)),"△類型が不正",IF(OR(AM159="",AN159=""),"△回数・分が読めない",IF(SUMPRODUCT(--ISNUMBER(--O159:U159))&lt;7,"△採点が足りない",IF(SUMPRODUCT((--O159:U159&gt;2)+(--O159:U159&lt;0))&gt;0,"△採点が範囲外","OK")))))))))))</f>
        <v/>
      </c>
      <c r="X159">
        <f>IF(W159&lt;&gt;"OK","",TRIM(IF(AND(AO159&lt;&gt;"",N(AO159)&lt;=1),"根拠1件 ","")&amp;IF(AP159&lt;&gt;"","同名あり ","")&amp;IF(AND(NOT(ISNUMBER(I159)),I159&lt;&gt;""),"回数を換算 ","")))</f>
        <v/>
      </c>
      <c r="Y159" s="31" t="n"/>
      <c r="Z159" s="32" t="n"/>
      <c r="AA159" s="32" t="n"/>
      <c r="AB159" s="31" t="n"/>
      <c r="AC159">
        <f>IF(W159&lt;&gt;"OK","",IF(AB159&lt;&gt;"",AB159,AE159))</f>
        <v/>
      </c>
      <c r="AD159" s="33">
        <f>IF(W159&lt;&gt;"OK","",IFERROR(IF(Z159&lt;&gt;"",Z159,AM159)*IF(AA159&lt;&gt;"",AA159,AN159)/60,""))</f>
        <v/>
      </c>
      <c r="AE159">
        <f>IF(W159&lt;&gt;"OK","",IF(OR(VALUE(O159)=2,VALUE(P159)=2,VALUE(Q159)=2),"社内残置",IF(AND(VALUE(O159)=0,VALUE(R159)=0,VALUE(T159)=0),"自動化候補",IF(AND(VALUE(P159)=0,VALUE(R159)&lt;=1,VALUE(S159)&lt;=1,VALUE(T159)&lt;=1,VALUE(U159)&lt;=1),"オフショア候補",IF(AND(VALUE(T159)&lt;=1,VALUE(U159)&lt;=1),"ニアショア候補","社内で手順化→再評価")))))</f>
        <v/>
      </c>
      <c r="AF159">
        <f>IF(W159&lt;&gt;"OK","",14-SUMPRODUCT(--O159:U159))</f>
        <v/>
      </c>
      <c r="AG159" s="33">
        <f>IF(W159&lt;&gt;"OK","",AM159*AN159/60)</f>
        <v/>
      </c>
      <c r="AH159" s="34">
        <f>IF(A159="","",UPPER(TRIM(ASC(A159&amp;""))))</f>
        <v/>
      </c>
      <c r="AI159" s="34">
        <f>IF(AH159="","",AH159&amp;"-"&amp;B159)</f>
        <v/>
      </c>
      <c r="AJ159" s="34">
        <f>IF(C159="","",IFERROR(VALUE(ASC(SUBSTITUTE(C159&amp;"","観点",""))),""))</f>
        <v/>
      </c>
      <c r="AK159" s="34">
        <f>IF(E159="","",UPPER(LEFT(TRIM(ASC(E159&amp;"")),3)))</f>
        <v/>
      </c>
      <c r="AL159" s="34">
        <f>IF(I159="","",IFERROR(VALUE(SUBSTITUTE(SUBSTITUTE(SUBSTITUTE(SUBSTITUTE(SUBSTITUTE(SUBSTITUTE(SUBSTITUTE(SUBSTITUTE(SUBSTITUTE(SUBSTITUTE(SUBSTITUTE(SUBSTITUTE(ASC(I159&amp;""),"約",""),"程度",""),"ほど",""),"回",""),"毎",""),"週",""),"月",""),"年",""),"日",""),"に",""),"/","")," ","")),""))</f>
        <v/>
      </c>
      <c r="AM159" s="34">
        <f>IF(I159="","",IF(ISNUMBER(I159),I159,IFERROR(VALUE(ASC(I159&amp;"")),IF(AL159&lt;&gt;"",AL159*IF(ISNUMBER(SEARCH("週",I159)),4.3,IF(ISNUMBER(SEARCH("年",I159)),1/12,IF(ISNUMBER(SEARCH("日",I159)),20,1))),IF(ISNUMBER(SEARCH("日",I159)),20,IF(ISNUMBER(SEARCH("週",I159)),4.3,IF(ISNUMBER(SEARCH("月",I159)),1,"")))))))</f>
        <v/>
      </c>
      <c r="AN159" s="34">
        <f>IF(J159="","",IF(ISNUMBER(J159),J159,IFERROR(VALUE(ASC(J159&amp;"")),IF(ISNUMBER(SEARCH("時間",J159)),IFERROR(VALUE(SUBSTITUTE(SUBSTITUTE(SUBSTITUTE(SUBSTITUTE(SUBSTITUTE(ASC(J159&amp;""),"約",""),"程度",""),"ほど",""),"時間","")," ",""))*60,""),IFERROR(VALUE(SUBSTITUTE(SUBSTITUTE(SUBSTITUTE(SUBSTITUTE(SUBSTITUTE(ASC(J159&amp;""),"約",""),"程度",""),"ほど",""),"分","")," ","")),"")))))</f>
        <v/>
      </c>
      <c r="AO159" s="34">
        <f>IF(K159="","",IF(ISNUMBER(K159),K159,IFERROR(VALUE(SUBSTITUTE(SUBSTITUTE(SUBSTITUTE(ASC(K159&amp;""),"約",""),"件","")," ","")),"")))</f>
        <v/>
      </c>
      <c r="AP159" s="34">
        <f>IF(W159&lt;&gt;"OK","",IF(COUNTIFS($D$5:$D$404,D159,$W$5:$W$404,"OK")&gt;1,"同名あり",""))</f>
        <v/>
      </c>
      <c r="AQ159" s="35">
        <f>IF(L159="","",IF(ISNUMBER(L159),L159,IFERROR(DATEVALUE(SUBSTITUTE(SUBSTITUTE(ASC(L159&amp;""),"-","/"),".","/")&amp;"/01"),"")))</f>
        <v/>
      </c>
      <c r="AR159" s="35">
        <f>IF(M159="","",IF(ISNUMBER(M159),M159,IFERROR(DATEVALUE(SUBSTITUTE(SUBSTITUTE(ASC(M159&amp;""),"-","/"),".","/")&amp;"/01"),"")))</f>
        <v/>
      </c>
      <c r="AS159" s="34">
        <f>IF(OR(W159&lt;&gt;"OK",AQ159=""),"",IF(AQ159&gt;='01_設定'!$C$26,1,0))</f>
        <v/>
      </c>
      <c r="AT159" s="34">
        <f>IF(AND(W159="OK",Y159&lt;&gt;"除外"),COUNTIFS($W$5:W159,"OK",$Y$5:Y159,"&lt;&gt;除外"),"")</f>
        <v/>
      </c>
      <c r="AU159" s="34">
        <f>IF(OR(AT159="",AD159=""),"",AD159+ROW()/1000000000)</f>
        <v/>
      </c>
    </row>
    <row r="160">
      <c r="W160">
        <f>IF(AND(A160="",D160=""),"",IF(ISNUMBER(SEARCH("##END",AH160)),"（終わりの印）",IF(ISNUMBER(SEARCH("##続き",AH160)),"（続きありの印）",IF(AH160="調査ID","（見出し行）",IF(AND(AH160&lt;&gt;"R1",AH160&lt;&gt;"R2"),"×表以外の行（集計されない）",IF(COUNTIF($AI$5:AI160,AI160)&gt;1,"△重複（集計されない）",IF(D160="","△タスク名なし",IF(ISNA(MATCH(AK160,'M1_類型マスタ'!$A$5:$A$19,0)),"△類型が不正",IF(OR(AM160="",AN160=""),"△回数・分が読めない",IF(SUMPRODUCT(--ISNUMBER(--O160:U160))&lt;7,"△採点が足りない",IF(SUMPRODUCT((--O160:U160&gt;2)+(--O160:U160&lt;0))&gt;0,"△採点が範囲外","OK")))))))))))</f>
        <v/>
      </c>
      <c r="X160">
        <f>IF(W160&lt;&gt;"OK","",TRIM(IF(AND(AO160&lt;&gt;"",N(AO160)&lt;=1),"根拠1件 ","")&amp;IF(AP160&lt;&gt;"","同名あり ","")&amp;IF(AND(NOT(ISNUMBER(I160)),I160&lt;&gt;""),"回数を換算 ","")))</f>
        <v/>
      </c>
      <c r="Y160" s="31" t="n"/>
      <c r="Z160" s="32" t="n"/>
      <c r="AA160" s="32" t="n"/>
      <c r="AB160" s="31" t="n"/>
      <c r="AC160">
        <f>IF(W160&lt;&gt;"OK","",IF(AB160&lt;&gt;"",AB160,AE160))</f>
        <v/>
      </c>
      <c r="AD160" s="33">
        <f>IF(W160&lt;&gt;"OK","",IFERROR(IF(Z160&lt;&gt;"",Z160,AM160)*IF(AA160&lt;&gt;"",AA160,AN160)/60,""))</f>
        <v/>
      </c>
      <c r="AE160">
        <f>IF(W160&lt;&gt;"OK","",IF(OR(VALUE(O160)=2,VALUE(P160)=2,VALUE(Q160)=2),"社内残置",IF(AND(VALUE(O160)=0,VALUE(R160)=0,VALUE(T160)=0),"自動化候補",IF(AND(VALUE(P160)=0,VALUE(R160)&lt;=1,VALUE(S160)&lt;=1,VALUE(T160)&lt;=1,VALUE(U160)&lt;=1),"オフショア候補",IF(AND(VALUE(T160)&lt;=1,VALUE(U160)&lt;=1),"ニアショア候補","社内で手順化→再評価")))))</f>
        <v/>
      </c>
      <c r="AF160">
        <f>IF(W160&lt;&gt;"OK","",14-SUMPRODUCT(--O160:U160))</f>
        <v/>
      </c>
      <c r="AG160" s="33">
        <f>IF(W160&lt;&gt;"OK","",AM160*AN160/60)</f>
        <v/>
      </c>
      <c r="AH160" s="34">
        <f>IF(A160="","",UPPER(TRIM(ASC(A160&amp;""))))</f>
        <v/>
      </c>
      <c r="AI160" s="34">
        <f>IF(AH160="","",AH160&amp;"-"&amp;B160)</f>
        <v/>
      </c>
      <c r="AJ160" s="34">
        <f>IF(C160="","",IFERROR(VALUE(ASC(SUBSTITUTE(C160&amp;"","観点",""))),""))</f>
        <v/>
      </c>
      <c r="AK160" s="34">
        <f>IF(E160="","",UPPER(LEFT(TRIM(ASC(E160&amp;"")),3)))</f>
        <v/>
      </c>
      <c r="AL160" s="34">
        <f>IF(I160="","",IFERROR(VALUE(SUBSTITUTE(SUBSTITUTE(SUBSTITUTE(SUBSTITUTE(SUBSTITUTE(SUBSTITUTE(SUBSTITUTE(SUBSTITUTE(SUBSTITUTE(SUBSTITUTE(SUBSTITUTE(SUBSTITUTE(ASC(I160&amp;""),"約",""),"程度",""),"ほど",""),"回",""),"毎",""),"週",""),"月",""),"年",""),"日",""),"に",""),"/","")," ","")),""))</f>
        <v/>
      </c>
      <c r="AM160" s="34">
        <f>IF(I160="","",IF(ISNUMBER(I160),I160,IFERROR(VALUE(ASC(I160&amp;"")),IF(AL160&lt;&gt;"",AL160*IF(ISNUMBER(SEARCH("週",I160)),4.3,IF(ISNUMBER(SEARCH("年",I160)),1/12,IF(ISNUMBER(SEARCH("日",I160)),20,1))),IF(ISNUMBER(SEARCH("日",I160)),20,IF(ISNUMBER(SEARCH("週",I160)),4.3,IF(ISNUMBER(SEARCH("月",I160)),1,"")))))))</f>
        <v/>
      </c>
      <c r="AN160" s="34">
        <f>IF(J160="","",IF(ISNUMBER(J160),J160,IFERROR(VALUE(ASC(J160&amp;"")),IF(ISNUMBER(SEARCH("時間",J160)),IFERROR(VALUE(SUBSTITUTE(SUBSTITUTE(SUBSTITUTE(SUBSTITUTE(SUBSTITUTE(ASC(J160&amp;""),"約",""),"程度",""),"ほど",""),"時間","")," ",""))*60,""),IFERROR(VALUE(SUBSTITUTE(SUBSTITUTE(SUBSTITUTE(SUBSTITUTE(SUBSTITUTE(ASC(J160&amp;""),"約",""),"程度",""),"ほど",""),"分","")," ","")),"")))))</f>
        <v/>
      </c>
      <c r="AO160" s="34">
        <f>IF(K160="","",IF(ISNUMBER(K160),K160,IFERROR(VALUE(SUBSTITUTE(SUBSTITUTE(SUBSTITUTE(ASC(K160&amp;""),"約",""),"件","")," ","")),"")))</f>
        <v/>
      </c>
      <c r="AP160" s="34">
        <f>IF(W160&lt;&gt;"OK","",IF(COUNTIFS($D$5:$D$404,D160,$W$5:$W$404,"OK")&gt;1,"同名あり",""))</f>
        <v/>
      </c>
      <c r="AQ160" s="35">
        <f>IF(L160="","",IF(ISNUMBER(L160),L160,IFERROR(DATEVALUE(SUBSTITUTE(SUBSTITUTE(ASC(L160&amp;""),"-","/"),".","/")&amp;"/01"),"")))</f>
        <v/>
      </c>
      <c r="AR160" s="35">
        <f>IF(M160="","",IF(ISNUMBER(M160),M160,IFERROR(DATEVALUE(SUBSTITUTE(SUBSTITUTE(ASC(M160&amp;""),"-","/"),".","/")&amp;"/01"),"")))</f>
        <v/>
      </c>
      <c r="AS160" s="34">
        <f>IF(OR(W160&lt;&gt;"OK",AQ160=""),"",IF(AQ160&gt;='01_設定'!$C$26,1,0))</f>
        <v/>
      </c>
      <c r="AT160" s="34">
        <f>IF(AND(W160="OK",Y160&lt;&gt;"除外"),COUNTIFS($W$5:W160,"OK",$Y$5:Y160,"&lt;&gt;除外"),"")</f>
        <v/>
      </c>
      <c r="AU160" s="34">
        <f>IF(OR(AT160="",AD160=""),"",AD160+ROW()/1000000000)</f>
        <v/>
      </c>
    </row>
    <row r="161">
      <c r="W161">
        <f>IF(AND(A161="",D161=""),"",IF(ISNUMBER(SEARCH("##END",AH161)),"（終わりの印）",IF(ISNUMBER(SEARCH("##続き",AH161)),"（続きありの印）",IF(AH161="調査ID","（見出し行）",IF(AND(AH161&lt;&gt;"R1",AH161&lt;&gt;"R2"),"×表以外の行（集計されない）",IF(COUNTIF($AI$5:AI161,AI161)&gt;1,"△重複（集計されない）",IF(D161="","△タスク名なし",IF(ISNA(MATCH(AK161,'M1_類型マスタ'!$A$5:$A$19,0)),"△類型が不正",IF(OR(AM161="",AN161=""),"△回数・分が読めない",IF(SUMPRODUCT(--ISNUMBER(--O161:U161))&lt;7,"△採点が足りない",IF(SUMPRODUCT((--O161:U161&gt;2)+(--O161:U161&lt;0))&gt;0,"△採点が範囲外","OK")))))))))))</f>
        <v/>
      </c>
      <c r="X161">
        <f>IF(W161&lt;&gt;"OK","",TRIM(IF(AND(AO161&lt;&gt;"",N(AO161)&lt;=1),"根拠1件 ","")&amp;IF(AP161&lt;&gt;"","同名あり ","")&amp;IF(AND(NOT(ISNUMBER(I161)),I161&lt;&gt;""),"回数を換算 ","")))</f>
        <v/>
      </c>
      <c r="Y161" s="31" t="n"/>
      <c r="Z161" s="32" t="n"/>
      <c r="AA161" s="32" t="n"/>
      <c r="AB161" s="31" t="n"/>
      <c r="AC161">
        <f>IF(W161&lt;&gt;"OK","",IF(AB161&lt;&gt;"",AB161,AE161))</f>
        <v/>
      </c>
      <c r="AD161" s="33">
        <f>IF(W161&lt;&gt;"OK","",IFERROR(IF(Z161&lt;&gt;"",Z161,AM161)*IF(AA161&lt;&gt;"",AA161,AN161)/60,""))</f>
        <v/>
      </c>
      <c r="AE161">
        <f>IF(W161&lt;&gt;"OK","",IF(OR(VALUE(O161)=2,VALUE(P161)=2,VALUE(Q161)=2),"社内残置",IF(AND(VALUE(O161)=0,VALUE(R161)=0,VALUE(T161)=0),"自動化候補",IF(AND(VALUE(P161)=0,VALUE(R161)&lt;=1,VALUE(S161)&lt;=1,VALUE(T161)&lt;=1,VALUE(U161)&lt;=1),"オフショア候補",IF(AND(VALUE(T161)&lt;=1,VALUE(U161)&lt;=1),"ニアショア候補","社内で手順化→再評価")))))</f>
        <v/>
      </c>
      <c r="AF161">
        <f>IF(W161&lt;&gt;"OK","",14-SUMPRODUCT(--O161:U161))</f>
        <v/>
      </c>
      <c r="AG161" s="33">
        <f>IF(W161&lt;&gt;"OK","",AM161*AN161/60)</f>
        <v/>
      </c>
      <c r="AH161" s="34">
        <f>IF(A161="","",UPPER(TRIM(ASC(A161&amp;""))))</f>
        <v/>
      </c>
      <c r="AI161" s="34">
        <f>IF(AH161="","",AH161&amp;"-"&amp;B161)</f>
        <v/>
      </c>
      <c r="AJ161" s="34">
        <f>IF(C161="","",IFERROR(VALUE(ASC(SUBSTITUTE(C161&amp;"","観点",""))),""))</f>
        <v/>
      </c>
      <c r="AK161" s="34">
        <f>IF(E161="","",UPPER(LEFT(TRIM(ASC(E161&amp;"")),3)))</f>
        <v/>
      </c>
      <c r="AL161" s="34">
        <f>IF(I161="","",IFERROR(VALUE(SUBSTITUTE(SUBSTITUTE(SUBSTITUTE(SUBSTITUTE(SUBSTITUTE(SUBSTITUTE(SUBSTITUTE(SUBSTITUTE(SUBSTITUTE(SUBSTITUTE(SUBSTITUTE(SUBSTITUTE(ASC(I161&amp;""),"約",""),"程度",""),"ほど",""),"回",""),"毎",""),"週",""),"月",""),"年",""),"日",""),"に",""),"/","")," ","")),""))</f>
        <v/>
      </c>
      <c r="AM161" s="34">
        <f>IF(I161="","",IF(ISNUMBER(I161),I161,IFERROR(VALUE(ASC(I161&amp;"")),IF(AL161&lt;&gt;"",AL161*IF(ISNUMBER(SEARCH("週",I161)),4.3,IF(ISNUMBER(SEARCH("年",I161)),1/12,IF(ISNUMBER(SEARCH("日",I161)),20,1))),IF(ISNUMBER(SEARCH("日",I161)),20,IF(ISNUMBER(SEARCH("週",I161)),4.3,IF(ISNUMBER(SEARCH("月",I161)),1,"")))))))</f>
        <v/>
      </c>
      <c r="AN161" s="34">
        <f>IF(J161="","",IF(ISNUMBER(J161),J161,IFERROR(VALUE(ASC(J161&amp;"")),IF(ISNUMBER(SEARCH("時間",J161)),IFERROR(VALUE(SUBSTITUTE(SUBSTITUTE(SUBSTITUTE(SUBSTITUTE(SUBSTITUTE(ASC(J161&amp;""),"約",""),"程度",""),"ほど",""),"時間","")," ",""))*60,""),IFERROR(VALUE(SUBSTITUTE(SUBSTITUTE(SUBSTITUTE(SUBSTITUTE(SUBSTITUTE(ASC(J161&amp;""),"約",""),"程度",""),"ほど",""),"分","")," ","")),"")))))</f>
        <v/>
      </c>
      <c r="AO161" s="34">
        <f>IF(K161="","",IF(ISNUMBER(K161),K161,IFERROR(VALUE(SUBSTITUTE(SUBSTITUTE(SUBSTITUTE(ASC(K161&amp;""),"約",""),"件","")," ","")),"")))</f>
        <v/>
      </c>
      <c r="AP161" s="34">
        <f>IF(W161&lt;&gt;"OK","",IF(COUNTIFS($D$5:$D$404,D161,$W$5:$W$404,"OK")&gt;1,"同名あり",""))</f>
        <v/>
      </c>
      <c r="AQ161" s="35">
        <f>IF(L161="","",IF(ISNUMBER(L161),L161,IFERROR(DATEVALUE(SUBSTITUTE(SUBSTITUTE(ASC(L161&amp;""),"-","/"),".","/")&amp;"/01"),"")))</f>
        <v/>
      </c>
      <c r="AR161" s="35">
        <f>IF(M161="","",IF(ISNUMBER(M161),M161,IFERROR(DATEVALUE(SUBSTITUTE(SUBSTITUTE(ASC(M161&amp;""),"-","/"),".","/")&amp;"/01"),"")))</f>
        <v/>
      </c>
      <c r="AS161" s="34">
        <f>IF(OR(W161&lt;&gt;"OK",AQ161=""),"",IF(AQ161&gt;='01_設定'!$C$26,1,0))</f>
        <v/>
      </c>
      <c r="AT161" s="34">
        <f>IF(AND(W161="OK",Y161&lt;&gt;"除外"),COUNTIFS($W$5:W161,"OK",$Y$5:Y161,"&lt;&gt;除外"),"")</f>
        <v/>
      </c>
      <c r="AU161" s="34">
        <f>IF(OR(AT161="",AD161=""),"",AD161+ROW()/1000000000)</f>
        <v/>
      </c>
    </row>
    <row r="162">
      <c r="W162">
        <f>IF(AND(A162="",D162=""),"",IF(ISNUMBER(SEARCH("##END",AH162)),"（終わりの印）",IF(ISNUMBER(SEARCH("##続き",AH162)),"（続きありの印）",IF(AH162="調査ID","（見出し行）",IF(AND(AH162&lt;&gt;"R1",AH162&lt;&gt;"R2"),"×表以外の行（集計されない）",IF(COUNTIF($AI$5:AI162,AI162)&gt;1,"△重複（集計されない）",IF(D162="","△タスク名なし",IF(ISNA(MATCH(AK162,'M1_類型マスタ'!$A$5:$A$19,0)),"△類型が不正",IF(OR(AM162="",AN162=""),"△回数・分が読めない",IF(SUMPRODUCT(--ISNUMBER(--O162:U162))&lt;7,"△採点が足りない",IF(SUMPRODUCT((--O162:U162&gt;2)+(--O162:U162&lt;0))&gt;0,"△採点が範囲外","OK")))))))))))</f>
        <v/>
      </c>
      <c r="X162">
        <f>IF(W162&lt;&gt;"OK","",TRIM(IF(AND(AO162&lt;&gt;"",N(AO162)&lt;=1),"根拠1件 ","")&amp;IF(AP162&lt;&gt;"","同名あり ","")&amp;IF(AND(NOT(ISNUMBER(I162)),I162&lt;&gt;""),"回数を換算 ","")))</f>
        <v/>
      </c>
      <c r="Y162" s="31" t="n"/>
      <c r="Z162" s="32" t="n"/>
      <c r="AA162" s="32" t="n"/>
      <c r="AB162" s="31" t="n"/>
      <c r="AC162">
        <f>IF(W162&lt;&gt;"OK","",IF(AB162&lt;&gt;"",AB162,AE162))</f>
        <v/>
      </c>
      <c r="AD162" s="33">
        <f>IF(W162&lt;&gt;"OK","",IFERROR(IF(Z162&lt;&gt;"",Z162,AM162)*IF(AA162&lt;&gt;"",AA162,AN162)/60,""))</f>
        <v/>
      </c>
      <c r="AE162">
        <f>IF(W162&lt;&gt;"OK","",IF(OR(VALUE(O162)=2,VALUE(P162)=2,VALUE(Q162)=2),"社内残置",IF(AND(VALUE(O162)=0,VALUE(R162)=0,VALUE(T162)=0),"自動化候補",IF(AND(VALUE(P162)=0,VALUE(R162)&lt;=1,VALUE(S162)&lt;=1,VALUE(T162)&lt;=1,VALUE(U162)&lt;=1),"オフショア候補",IF(AND(VALUE(T162)&lt;=1,VALUE(U162)&lt;=1),"ニアショア候補","社内で手順化→再評価")))))</f>
        <v/>
      </c>
      <c r="AF162">
        <f>IF(W162&lt;&gt;"OK","",14-SUMPRODUCT(--O162:U162))</f>
        <v/>
      </c>
      <c r="AG162" s="33">
        <f>IF(W162&lt;&gt;"OK","",AM162*AN162/60)</f>
        <v/>
      </c>
      <c r="AH162" s="34">
        <f>IF(A162="","",UPPER(TRIM(ASC(A162&amp;""))))</f>
        <v/>
      </c>
      <c r="AI162" s="34">
        <f>IF(AH162="","",AH162&amp;"-"&amp;B162)</f>
        <v/>
      </c>
      <c r="AJ162" s="34">
        <f>IF(C162="","",IFERROR(VALUE(ASC(SUBSTITUTE(C162&amp;"","観点",""))),""))</f>
        <v/>
      </c>
      <c r="AK162" s="34">
        <f>IF(E162="","",UPPER(LEFT(TRIM(ASC(E162&amp;"")),3)))</f>
        <v/>
      </c>
      <c r="AL162" s="34">
        <f>IF(I162="","",IFERROR(VALUE(SUBSTITUTE(SUBSTITUTE(SUBSTITUTE(SUBSTITUTE(SUBSTITUTE(SUBSTITUTE(SUBSTITUTE(SUBSTITUTE(SUBSTITUTE(SUBSTITUTE(SUBSTITUTE(SUBSTITUTE(ASC(I162&amp;""),"約",""),"程度",""),"ほど",""),"回",""),"毎",""),"週",""),"月",""),"年",""),"日",""),"に",""),"/","")," ","")),""))</f>
        <v/>
      </c>
      <c r="AM162" s="34">
        <f>IF(I162="","",IF(ISNUMBER(I162),I162,IFERROR(VALUE(ASC(I162&amp;"")),IF(AL162&lt;&gt;"",AL162*IF(ISNUMBER(SEARCH("週",I162)),4.3,IF(ISNUMBER(SEARCH("年",I162)),1/12,IF(ISNUMBER(SEARCH("日",I162)),20,1))),IF(ISNUMBER(SEARCH("日",I162)),20,IF(ISNUMBER(SEARCH("週",I162)),4.3,IF(ISNUMBER(SEARCH("月",I162)),1,"")))))))</f>
        <v/>
      </c>
      <c r="AN162" s="34">
        <f>IF(J162="","",IF(ISNUMBER(J162),J162,IFERROR(VALUE(ASC(J162&amp;"")),IF(ISNUMBER(SEARCH("時間",J162)),IFERROR(VALUE(SUBSTITUTE(SUBSTITUTE(SUBSTITUTE(SUBSTITUTE(SUBSTITUTE(ASC(J162&amp;""),"約",""),"程度",""),"ほど",""),"時間","")," ",""))*60,""),IFERROR(VALUE(SUBSTITUTE(SUBSTITUTE(SUBSTITUTE(SUBSTITUTE(SUBSTITUTE(ASC(J162&amp;""),"約",""),"程度",""),"ほど",""),"分","")," ","")),"")))))</f>
        <v/>
      </c>
      <c r="AO162" s="34">
        <f>IF(K162="","",IF(ISNUMBER(K162),K162,IFERROR(VALUE(SUBSTITUTE(SUBSTITUTE(SUBSTITUTE(ASC(K162&amp;""),"約",""),"件","")," ","")),"")))</f>
        <v/>
      </c>
      <c r="AP162" s="34">
        <f>IF(W162&lt;&gt;"OK","",IF(COUNTIFS($D$5:$D$404,D162,$W$5:$W$404,"OK")&gt;1,"同名あり",""))</f>
        <v/>
      </c>
      <c r="AQ162" s="35">
        <f>IF(L162="","",IF(ISNUMBER(L162),L162,IFERROR(DATEVALUE(SUBSTITUTE(SUBSTITUTE(ASC(L162&amp;""),"-","/"),".","/")&amp;"/01"),"")))</f>
        <v/>
      </c>
      <c r="AR162" s="35">
        <f>IF(M162="","",IF(ISNUMBER(M162),M162,IFERROR(DATEVALUE(SUBSTITUTE(SUBSTITUTE(ASC(M162&amp;""),"-","/"),".","/")&amp;"/01"),"")))</f>
        <v/>
      </c>
      <c r="AS162" s="34">
        <f>IF(OR(W162&lt;&gt;"OK",AQ162=""),"",IF(AQ162&gt;='01_設定'!$C$26,1,0))</f>
        <v/>
      </c>
      <c r="AT162" s="34">
        <f>IF(AND(W162="OK",Y162&lt;&gt;"除外"),COUNTIFS($W$5:W162,"OK",$Y$5:Y162,"&lt;&gt;除外"),"")</f>
        <v/>
      </c>
      <c r="AU162" s="34">
        <f>IF(OR(AT162="",AD162=""),"",AD162+ROW()/1000000000)</f>
        <v/>
      </c>
    </row>
    <row r="163">
      <c r="W163">
        <f>IF(AND(A163="",D163=""),"",IF(ISNUMBER(SEARCH("##END",AH163)),"（終わりの印）",IF(ISNUMBER(SEARCH("##続き",AH163)),"（続きありの印）",IF(AH163="調査ID","（見出し行）",IF(AND(AH163&lt;&gt;"R1",AH163&lt;&gt;"R2"),"×表以外の行（集計されない）",IF(COUNTIF($AI$5:AI163,AI163)&gt;1,"△重複（集計されない）",IF(D163="","△タスク名なし",IF(ISNA(MATCH(AK163,'M1_類型マスタ'!$A$5:$A$19,0)),"△類型が不正",IF(OR(AM163="",AN163=""),"△回数・分が読めない",IF(SUMPRODUCT(--ISNUMBER(--O163:U163))&lt;7,"△採点が足りない",IF(SUMPRODUCT((--O163:U163&gt;2)+(--O163:U163&lt;0))&gt;0,"△採点が範囲外","OK")))))))))))</f>
        <v/>
      </c>
      <c r="X163">
        <f>IF(W163&lt;&gt;"OK","",TRIM(IF(AND(AO163&lt;&gt;"",N(AO163)&lt;=1),"根拠1件 ","")&amp;IF(AP163&lt;&gt;"","同名あり ","")&amp;IF(AND(NOT(ISNUMBER(I163)),I163&lt;&gt;""),"回数を換算 ","")))</f>
        <v/>
      </c>
      <c r="Y163" s="31" t="n"/>
      <c r="Z163" s="32" t="n"/>
      <c r="AA163" s="32" t="n"/>
      <c r="AB163" s="31" t="n"/>
      <c r="AC163">
        <f>IF(W163&lt;&gt;"OK","",IF(AB163&lt;&gt;"",AB163,AE163))</f>
        <v/>
      </c>
      <c r="AD163" s="33">
        <f>IF(W163&lt;&gt;"OK","",IFERROR(IF(Z163&lt;&gt;"",Z163,AM163)*IF(AA163&lt;&gt;"",AA163,AN163)/60,""))</f>
        <v/>
      </c>
      <c r="AE163">
        <f>IF(W163&lt;&gt;"OK","",IF(OR(VALUE(O163)=2,VALUE(P163)=2,VALUE(Q163)=2),"社内残置",IF(AND(VALUE(O163)=0,VALUE(R163)=0,VALUE(T163)=0),"自動化候補",IF(AND(VALUE(P163)=0,VALUE(R163)&lt;=1,VALUE(S163)&lt;=1,VALUE(T163)&lt;=1,VALUE(U163)&lt;=1),"オフショア候補",IF(AND(VALUE(T163)&lt;=1,VALUE(U163)&lt;=1),"ニアショア候補","社内で手順化→再評価")))))</f>
        <v/>
      </c>
      <c r="AF163">
        <f>IF(W163&lt;&gt;"OK","",14-SUMPRODUCT(--O163:U163))</f>
        <v/>
      </c>
      <c r="AG163" s="33">
        <f>IF(W163&lt;&gt;"OK","",AM163*AN163/60)</f>
        <v/>
      </c>
      <c r="AH163" s="34">
        <f>IF(A163="","",UPPER(TRIM(ASC(A163&amp;""))))</f>
        <v/>
      </c>
      <c r="AI163" s="34">
        <f>IF(AH163="","",AH163&amp;"-"&amp;B163)</f>
        <v/>
      </c>
      <c r="AJ163" s="34">
        <f>IF(C163="","",IFERROR(VALUE(ASC(SUBSTITUTE(C163&amp;"","観点",""))),""))</f>
        <v/>
      </c>
      <c r="AK163" s="34">
        <f>IF(E163="","",UPPER(LEFT(TRIM(ASC(E163&amp;"")),3)))</f>
        <v/>
      </c>
      <c r="AL163" s="34">
        <f>IF(I163="","",IFERROR(VALUE(SUBSTITUTE(SUBSTITUTE(SUBSTITUTE(SUBSTITUTE(SUBSTITUTE(SUBSTITUTE(SUBSTITUTE(SUBSTITUTE(SUBSTITUTE(SUBSTITUTE(SUBSTITUTE(SUBSTITUTE(ASC(I163&amp;""),"約",""),"程度",""),"ほど",""),"回",""),"毎",""),"週",""),"月",""),"年",""),"日",""),"に",""),"/","")," ","")),""))</f>
        <v/>
      </c>
      <c r="AM163" s="34">
        <f>IF(I163="","",IF(ISNUMBER(I163),I163,IFERROR(VALUE(ASC(I163&amp;"")),IF(AL163&lt;&gt;"",AL163*IF(ISNUMBER(SEARCH("週",I163)),4.3,IF(ISNUMBER(SEARCH("年",I163)),1/12,IF(ISNUMBER(SEARCH("日",I163)),20,1))),IF(ISNUMBER(SEARCH("日",I163)),20,IF(ISNUMBER(SEARCH("週",I163)),4.3,IF(ISNUMBER(SEARCH("月",I163)),1,"")))))))</f>
        <v/>
      </c>
      <c r="AN163" s="34">
        <f>IF(J163="","",IF(ISNUMBER(J163),J163,IFERROR(VALUE(ASC(J163&amp;"")),IF(ISNUMBER(SEARCH("時間",J163)),IFERROR(VALUE(SUBSTITUTE(SUBSTITUTE(SUBSTITUTE(SUBSTITUTE(SUBSTITUTE(ASC(J163&amp;""),"約",""),"程度",""),"ほど",""),"時間","")," ",""))*60,""),IFERROR(VALUE(SUBSTITUTE(SUBSTITUTE(SUBSTITUTE(SUBSTITUTE(SUBSTITUTE(ASC(J163&amp;""),"約",""),"程度",""),"ほど",""),"分","")," ","")),"")))))</f>
        <v/>
      </c>
      <c r="AO163" s="34">
        <f>IF(K163="","",IF(ISNUMBER(K163),K163,IFERROR(VALUE(SUBSTITUTE(SUBSTITUTE(SUBSTITUTE(ASC(K163&amp;""),"約",""),"件","")," ","")),"")))</f>
        <v/>
      </c>
      <c r="AP163" s="34">
        <f>IF(W163&lt;&gt;"OK","",IF(COUNTIFS($D$5:$D$404,D163,$W$5:$W$404,"OK")&gt;1,"同名あり",""))</f>
        <v/>
      </c>
      <c r="AQ163" s="35">
        <f>IF(L163="","",IF(ISNUMBER(L163),L163,IFERROR(DATEVALUE(SUBSTITUTE(SUBSTITUTE(ASC(L163&amp;""),"-","/"),".","/")&amp;"/01"),"")))</f>
        <v/>
      </c>
      <c r="AR163" s="35">
        <f>IF(M163="","",IF(ISNUMBER(M163),M163,IFERROR(DATEVALUE(SUBSTITUTE(SUBSTITUTE(ASC(M163&amp;""),"-","/"),".","/")&amp;"/01"),"")))</f>
        <v/>
      </c>
      <c r="AS163" s="34">
        <f>IF(OR(W163&lt;&gt;"OK",AQ163=""),"",IF(AQ163&gt;='01_設定'!$C$26,1,0))</f>
        <v/>
      </c>
      <c r="AT163" s="34">
        <f>IF(AND(W163="OK",Y163&lt;&gt;"除外"),COUNTIFS($W$5:W163,"OK",$Y$5:Y163,"&lt;&gt;除外"),"")</f>
        <v/>
      </c>
      <c r="AU163" s="34">
        <f>IF(OR(AT163="",AD163=""),"",AD163+ROW()/1000000000)</f>
        <v/>
      </c>
    </row>
    <row r="164">
      <c r="W164">
        <f>IF(AND(A164="",D164=""),"",IF(ISNUMBER(SEARCH("##END",AH164)),"（終わりの印）",IF(ISNUMBER(SEARCH("##続き",AH164)),"（続きありの印）",IF(AH164="調査ID","（見出し行）",IF(AND(AH164&lt;&gt;"R1",AH164&lt;&gt;"R2"),"×表以外の行（集計されない）",IF(COUNTIF($AI$5:AI164,AI164)&gt;1,"△重複（集計されない）",IF(D164="","△タスク名なし",IF(ISNA(MATCH(AK164,'M1_類型マスタ'!$A$5:$A$19,0)),"△類型が不正",IF(OR(AM164="",AN164=""),"△回数・分が読めない",IF(SUMPRODUCT(--ISNUMBER(--O164:U164))&lt;7,"△採点が足りない",IF(SUMPRODUCT((--O164:U164&gt;2)+(--O164:U164&lt;0))&gt;0,"△採点が範囲外","OK")))))))))))</f>
        <v/>
      </c>
      <c r="X164">
        <f>IF(W164&lt;&gt;"OK","",TRIM(IF(AND(AO164&lt;&gt;"",N(AO164)&lt;=1),"根拠1件 ","")&amp;IF(AP164&lt;&gt;"","同名あり ","")&amp;IF(AND(NOT(ISNUMBER(I164)),I164&lt;&gt;""),"回数を換算 ","")))</f>
        <v/>
      </c>
      <c r="Y164" s="31" t="n"/>
      <c r="Z164" s="32" t="n"/>
      <c r="AA164" s="32" t="n"/>
      <c r="AB164" s="31" t="n"/>
      <c r="AC164">
        <f>IF(W164&lt;&gt;"OK","",IF(AB164&lt;&gt;"",AB164,AE164))</f>
        <v/>
      </c>
      <c r="AD164" s="33">
        <f>IF(W164&lt;&gt;"OK","",IFERROR(IF(Z164&lt;&gt;"",Z164,AM164)*IF(AA164&lt;&gt;"",AA164,AN164)/60,""))</f>
        <v/>
      </c>
      <c r="AE164">
        <f>IF(W164&lt;&gt;"OK","",IF(OR(VALUE(O164)=2,VALUE(P164)=2,VALUE(Q164)=2),"社内残置",IF(AND(VALUE(O164)=0,VALUE(R164)=0,VALUE(T164)=0),"自動化候補",IF(AND(VALUE(P164)=0,VALUE(R164)&lt;=1,VALUE(S164)&lt;=1,VALUE(T164)&lt;=1,VALUE(U164)&lt;=1),"オフショア候補",IF(AND(VALUE(T164)&lt;=1,VALUE(U164)&lt;=1),"ニアショア候補","社内で手順化→再評価")))))</f>
        <v/>
      </c>
      <c r="AF164">
        <f>IF(W164&lt;&gt;"OK","",14-SUMPRODUCT(--O164:U164))</f>
        <v/>
      </c>
      <c r="AG164" s="33">
        <f>IF(W164&lt;&gt;"OK","",AM164*AN164/60)</f>
        <v/>
      </c>
      <c r="AH164" s="34">
        <f>IF(A164="","",UPPER(TRIM(ASC(A164&amp;""))))</f>
        <v/>
      </c>
      <c r="AI164" s="34">
        <f>IF(AH164="","",AH164&amp;"-"&amp;B164)</f>
        <v/>
      </c>
      <c r="AJ164" s="34">
        <f>IF(C164="","",IFERROR(VALUE(ASC(SUBSTITUTE(C164&amp;"","観点",""))),""))</f>
        <v/>
      </c>
      <c r="AK164" s="34">
        <f>IF(E164="","",UPPER(LEFT(TRIM(ASC(E164&amp;"")),3)))</f>
        <v/>
      </c>
      <c r="AL164" s="34">
        <f>IF(I164="","",IFERROR(VALUE(SUBSTITUTE(SUBSTITUTE(SUBSTITUTE(SUBSTITUTE(SUBSTITUTE(SUBSTITUTE(SUBSTITUTE(SUBSTITUTE(SUBSTITUTE(SUBSTITUTE(SUBSTITUTE(SUBSTITUTE(ASC(I164&amp;""),"約",""),"程度",""),"ほど",""),"回",""),"毎",""),"週",""),"月",""),"年",""),"日",""),"に",""),"/","")," ","")),""))</f>
        <v/>
      </c>
      <c r="AM164" s="34">
        <f>IF(I164="","",IF(ISNUMBER(I164),I164,IFERROR(VALUE(ASC(I164&amp;"")),IF(AL164&lt;&gt;"",AL164*IF(ISNUMBER(SEARCH("週",I164)),4.3,IF(ISNUMBER(SEARCH("年",I164)),1/12,IF(ISNUMBER(SEARCH("日",I164)),20,1))),IF(ISNUMBER(SEARCH("日",I164)),20,IF(ISNUMBER(SEARCH("週",I164)),4.3,IF(ISNUMBER(SEARCH("月",I164)),1,"")))))))</f>
        <v/>
      </c>
      <c r="AN164" s="34">
        <f>IF(J164="","",IF(ISNUMBER(J164),J164,IFERROR(VALUE(ASC(J164&amp;"")),IF(ISNUMBER(SEARCH("時間",J164)),IFERROR(VALUE(SUBSTITUTE(SUBSTITUTE(SUBSTITUTE(SUBSTITUTE(SUBSTITUTE(ASC(J164&amp;""),"約",""),"程度",""),"ほど",""),"時間","")," ",""))*60,""),IFERROR(VALUE(SUBSTITUTE(SUBSTITUTE(SUBSTITUTE(SUBSTITUTE(SUBSTITUTE(ASC(J164&amp;""),"約",""),"程度",""),"ほど",""),"分","")," ","")),"")))))</f>
        <v/>
      </c>
      <c r="AO164" s="34">
        <f>IF(K164="","",IF(ISNUMBER(K164),K164,IFERROR(VALUE(SUBSTITUTE(SUBSTITUTE(SUBSTITUTE(ASC(K164&amp;""),"約",""),"件","")," ","")),"")))</f>
        <v/>
      </c>
      <c r="AP164" s="34">
        <f>IF(W164&lt;&gt;"OK","",IF(COUNTIFS($D$5:$D$404,D164,$W$5:$W$404,"OK")&gt;1,"同名あり",""))</f>
        <v/>
      </c>
      <c r="AQ164" s="35">
        <f>IF(L164="","",IF(ISNUMBER(L164),L164,IFERROR(DATEVALUE(SUBSTITUTE(SUBSTITUTE(ASC(L164&amp;""),"-","/"),".","/")&amp;"/01"),"")))</f>
        <v/>
      </c>
      <c r="AR164" s="35">
        <f>IF(M164="","",IF(ISNUMBER(M164),M164,IFERROR(DATEVALUE(SUBSTITUTE(SUBSTITUTE(ASC(M164&amp;""),"-","/"),".","/")&amp;"/01"),"")))</f>
        <v/>
      </c>
      <c r="AS164" s="34">
        <f>IF(OR(W164&lt;&gt;"OK",AQ164=""),"",IF(AQ164&gt;='01_設定'!$C$26,1,0))</f>
        <v/>
      </c>
      <c r="AT164" s="34">
        <f>IF(AND(W164="OK",Y164&lt;&gt;"除外"),COUNTIFS($W$5:W164,"OK",$Y$5:Y164,"&lt;&gt;除外"),"")</f>
        <v/>
      </c>
      <c r="AU164" s="34">
        <f>IF(OR(AT164="",AD164=""),"",AD164+ROW()/1000000000)</f>
        <v/>
      </c>
    </row>
    <row r="165">
      <c r="W165">
        <f>IF(AND(A165="",D165=""),"",IF(ISNUMBER(SEARCH("##END",AH165)),"（終わりの印）",IF(ISNUMBER(SEARCH("##続き",AH165)),"（続きありの印）",IF(AH165="調査ID","（見出し行）",IF(AND(AH165&lt;&gt;"R1",AH165&lt;&gt;"R2"),"×表以外の行（集計されない）",IF(COUNTIF($AI$5:AI165,AI165)&gt;1,"△重複（集計されない）",IF(D165="","△タスク名なし",IF(ISNA(MATCH(AK165,'M1_類型マスタ'!$A$5:$A$19,0)),"△類型が不正",IF(OR(AM165="",AN165=""),"△回数・分が読めない",IF(SUMPRODUCT(--ISNUMBER(--O165:U165))&lt;7,"△採点が足りない",IF(SUMPRODUCT((--O165:U165&gt;2)+(--O165:U165&lt;0))&gt;0,"△採点が範囲外","OK")))))))))))</f>
        <v/>
      </c>
      <c r="X165">
        <f>IF(W165&lt;&gt;"OK","",TRIM(IF(AND(AO165&lt;&gt;"",N(AO165)&lt;=1),"根拠1件 ","")&amp;IF(AP165&lt;&gt;"","同名あり ","")&amp;IF(AND(NOT(ISNUMBER(I165)),I165&lt;&gt;""),"回数を換算 ","")))</f>
        <v/>
      </c>
      <c r="Y165" s="31" t="n"/>
      <c r="Z165" s="32" t="n"/>
      <c r="AA165" s="32" t="n"/>
      <c r="AB165" s="31" t="n"/>
      <c r="AC165">
        <f>IF(W165&lt;&gt;"OK","",IF(AB165&lt;&gt;"",AB165,AE165))</f>
        <v/>
      </c>
      <c r="AD165" s="33">
        <f>IF(W165&lt;&gt;"OK","",IFERROR(IF(Z165&lt;&gt;"",Z165,AM165)*IF(AA165&lt;&gt;"",AA165,AN165)/60,""))</f>
        <v/>
      </c>
      <c r="AE165">
        <f>IF(W165&lt;&gt;"OK","",IF(OR(VALUE(O165)=2,VALUE(P165)=2,VALUE(Q165)=2),"社内残置",IF(AND(VALUE(O165)=0,VALUE(R165)=0,VALUE(T165)=0),"自動化候補",IF(AND(VALUE(P165)=0,VALUE(R165)&lt;=1,VALUE(S165)&lt;=1,VALUE(T165)&lt;=1,VALUE(U165)&lt;=1),"オフショア候補",IF(AND(VALUE(T165)&lt;=1,VALUE(U165)&lt;=1),"ニアショア候補","社内で手順化→再評価")))))</f>
        <v/>
      </c>
      <c r="AF165">
        <f>IF(W165&lt;&gt;"OK","",14-SUMPRODUCT(--O165:U165))</f>
        <v/>
      </c>
      <c r="AG165" s="33">
        <f>IF(W165&lt;&gt;"OK","",AM165*AN165/60)</f>
        <v/>
      </c>
      <c r="AH165" s="34">
        <f>IF(A165="","",UPPER(TRIM(ASC(A165&amp;""))))</f>
        <v/>
      </c>
      <c r="AI165" s="34">
        <f>IF(AH165="","",AH165&amp;"-"&amp;B165)</f>
        <v/>
      </c>
      <c r="AJ165" s="34">
        <f>IF(C165="","",IFERROR(VALUE(ASC(SUBSTITUTE(C165&amp;"","観点",""))),""))</f>
        <v/>
      </c>
      <c r="AK165" s="34">
        <f>IF(E165="","",UPPER(LEFT(TRIM(ASC(E165&amp;"")),3)))</f>
        <v/>
      </c>
      <c r="AL165" s="34">
        <f>IF(I165="","",IFERROR(VALUE(SUBSTITUTE(SUBSTITUTE(SUBSTITUTE(SUBSTITUTE(SUBSTITUTE(SUBSTITUTE(SUBSTITUTE(SUBSTITUTE(SUBSTITUTE(SUBSTITUTE(SUBSTITUTE(SUBSTITUTE(ASC(I165&amp;""),"約",""),"程度",""),"ほど",""),"回",""),"毎",""),"週",""),"月",""),"年",""),"日",""),"に",""),"/","")," ","")),""))</f>
        <v/>
      </c>
      <c r="AM165" s="34">
        <f>IF(I165="","",IF(ISNUMBER(I165),I165,IFERROR(VALUE(ASC(I165&amp;"")),IF(AL165&lt;&gt;"",AL165*IF(ISNUMBER(SEARCH("週",I165)),4.3,IF(ISNUMBER(SEARCH("年",I165)),1/12,IF(ISNUMBER(SEARCH("日",I165)),20,1))),IF(ISNUMBER(SEARCH("日",I165)),20,IF(ISNUMBER(SEARCH("週",I165)),4.3,IF(ISNUMBER(SEARCH("月",I165)),1,"")))))))</f>
        <v/>
      </c>
      <c r="AN165" s="34">
        <f>IF(J165="","",IF(ISNUMBER(J165),J165,IFERROR(VALUE(ASC(J165&amp;"")),IF(ISNUMBER(SEARCH("時間",J165)),IFERROR(VALUE(SUBSTITUTE(SUBSTITUTE(SUBSTITUTE(SUBSTITUTE(SUBSTITUTE(ASC(J165&amp;""),"約",""),"程度",""),"ほど",""),"時間","")," ",""))*60,""),IFERROR(VALUE(SUBSTITUTE(SUBSTITUTE(SUBSTITUTE(SUBSTITUTE(SUBSTITUTE(ASC(J165&amp;""),"約",""),"程度",""),"ほど",""),"分","")," ","")),"")))))</f>
        <v/>
      </c>
      <c r="AO165" s="34">
        <f>IF(K165="","",IF(ISNUMBER(K165),K165,IFERROR(VALUE(SUBSTITUTE(SUBSTITUTE(SUBSTITUTE(ASC(K165&amp;""),"約",""),"件","")," ","")),"")))</f>
        <v/>
      </c>
      <c r="AP165" s="34">
        <f>IF(W165&lt;&gt;"OK","",IF(COUNTIFS($D$5:$D$404,D165,$W$5:$W$404,"OK")&gt;1,"同名あり",""))</f>
        <v/>
      </c>
      <c r="AQ165" s="35">
        <f>IF(L165="","",IF(ISNUMBER(L165),L165,IFERROR(DATEVALUE(SUBSTITUTE(SUBSTITUTE(ASC(L165&amp;""),"-","/"),".","/")&amp;"/01"),"")))</f>
        <v/>
      </c>
      <c r="AR165" s="35">
        <f>IF(M165="","",IF(ISNUMBER(M165),M165,IFERROR(DATEVALUE(SUBSTITUTE(SUBSTITUTE(ASC(M165&amp;""),"-","/"),".","/")&amp;"/01"),"")))</f>
        <v/>
      </c>
      <c r="AS165" s="34">
        <f>IF(OR(W165&lt;&gt;"OK",AQ165=""),"",IF(AQ165&gt;='01_設定'!$C$26,1,0))</f>
        <v/>
      </c>
      <c r="AT165" s="34">
        <f>IF(AND(W165="OK",Y165&lt;&gt;"除外"),COUNTIFS($W$5:W165,"OK",$Y$5:Y165,"&lt;&gt;除外"),"")</f>
        <v/>
      </c>
      <c r="AU165" s="34">
        <f>IF(OR(AT165="",AD165=""),"",AD165+ROW()/1000000000)</f>
        <v/>
      </c>
    </row>
    <row r="166">
      <c r="W166">
        <f>IF(AND(A166="",D166=""),"",IF(ISNUMBER(SEARCH("##END",AH166)),"（終わりの印）",IF(ISNUMBER(SEARCH("##続き",AH166)),"（続きありの印）",IF(AH166="調査ID","（見出し行）",IF(AND(AH166&lt;&gt;"R1",AH166&lt;&gt;"R2"),"×表以外の行（集計されない）",IF(COUNTIF($AI$5:AI166,AI166)&gt;1,"△重複（集計されない）",IF(D166="","△タスク名なし",IF(ISNA(MATCH(AK166,'M1_類型マスタ'!$A$5:$A$19,0)),"△類型が不正",IF(OR(AM166="",AN166=""),"△回数・分が読めない",IF(SUMPRODUCT(--ISNUMBER(--O166:U166))&lt;7,"△採点が足りない",IF(SUMPRODUCT((--O166:U166&gt;2)+(--O166:U166&lt;0))&gt;0,"△採点が範囲外","OK")))))))))))</f>
        <v/>
      </c>
      <c r="X166">
        <f>IF(W166&lt;&gt;"OK","",TRIM(IF(AND(AO166&lt;&gt;"",N(AO166)&lt;=1),"根拠1件 ","")&amp;IF(AP166&lt;&gt;"","同名あり ","")&amp;IF(AND(NOT(ISNUMBER(I166)),I166&lt;&gt;""),"回数を換算 ","")))</f>
        <v/>
      </c>
      <c r="Y166" s="31" t="n"/>
      <c r="Z166" s="32" t="n"/>
      <c r="AA166" s="32" t="n"/>
      <c r="AB166" s="31" t="n"/>
      <c r="AC166">
        <f>IF(W166&lt;&gt;"OK","",IF(AB166&lt;&gt;"",AB166,AE166))</f>
        <v/>
      </c>
      <c r="AD166" s="33">
        <f>IF(W166&lt;&gt;"OK","",IFERROR(IF(Z166&lt;&gt;"",Z166,AM166)*IF(AA166&lt;&gt;"",AA166,AN166)/60,""))</f>
        <v/>
      </c>
      <c r="AE166">
        <f>IF(W166&lt;&gt;"OK","",IF(OR(VALUE(O166)=2,VALUE(P166)=2,VALUE(Q166)=2),"社内残置",IF(AND(VALUE(O166)=0,VALUE(R166)=0,VALUE(T166)=0),"自動化候補",IF(AND(VALUE(P166)=0,VALUE(R166)&lt;=1,VALUE(S166)&lt;=1,VALUE(T166)&lt;=1,VALUE(U166)&lt;=1),"オフショア候補",IF(AND(VALUE(T166)&lt;=1,VALUE(U166)&lt;=1),"ニアショア候補","社内で手順化→再評価")))))</f>
        <v/>
      </c>
      <c r="AF166">
        <f>IF(W166&lt;&gt;"OK","",14-SUMPRODUCT(--O166:U166))</f>
        <v/>
      </c>
      <c r="AG166" s="33">
        <f>IF(W166&lt;&gt;"OK","",AM166*AN166/60)</f>
        <v/>
      </c>
      <c r="AH166" s="34">
        <f>IF(A166="","",UPPER(TRIM(ASC(A166&amp;""))))</f>
        <v/>
      </c>
      <c r="AI166" s="34">
        <f>IF(AH166="","",AH166&amp;"-"&amp;B166)</f>
        <v/>
      </c>
      <c r="AJ166" s="34">
        <f>IF(C166="","",IFERROR(VALUE(ASC(SUBSTITUTE(C166&amp;"","観点",""))),""))</f>
        <v/>
      </c>
      <c r="AK166" s="34">
        <f>IF(E166="","",UPPER(LEFT(TRIM(ASC(E166&amp;"")),3)))</f>
        <v/>
      </c>
      <c r="AL166" s="34">
        <f>IF(I166="","",IFERROR(VALUE(SUBSTITUTE(SUBSTITUTE(SUBSTITUTE(SUBSTITUTE(SUBSTITUTE(SUBSTITUTE(SUBSTITUTE(SUBSTITUTE(SUBSTITUTE(SUBSTITUTE(SUBSTITUTE(SUBSTITUTE(ASC(I166&amp;""),"約",""),"程度",""),"ほど",""),"回",""),"毎",""),"週",""),"月",""),"年",""),"日",""),"に",""),"/","")," ","")),""))</f>
        <v/>
      </c>
      <c r="AM166" s="34">
        <f>IF(I166="","",IF(ISNUMBER(I166),I166,IFERROR(VALUE(ASC(I166&amp;"")),IF(AL166&lt;&gt;"",AL166*IF(ISNUMBER(SEARCH("週",I166)),4.3,IF(ISNUMBER(SEARCH("年",I166)),1/12,IF(ISNUMBER(SEARCH("日",I166)),20,1))),IF(ISNUMBER(SEARCH("日",I166)),20,IF(ISNUMBER(SEARCH("週",I166)),4.3,IF(ISNUMBER(SEARCH("月",I166)),1,"")))))))</f>
        <v/>
      </c>
      <c r="AN166" s="34">
        <f>IF(J166="","",IF(ISNUMBER(J166),J166,IFERROR(VALUE(ASC(J166&amp;"")),IF(ISNUMBER(SEARCH("時間",J166)),IFERROR(VALUE(SUBSTITUTE(SUBSTITUTE(SUBSTITUTE(SUBSTITUTE(SUBSTITUTE(ASC(J166&amp;""),"約",""),"程度",""),"ほど",""),"時間","")," ",""))*60,""),IFERROR(VALUE(SUBSTITUTE(SUBSTITUTE(SUBSTITUTE(SUBSTITUTE(SUBSTITUTE(ASC(J166&amp;""),"約",""),"程度",""),"ほど",""),"分","")," ","")),"")))))</f>
        <v/>
      </c>
      <c r="AO166" s="34">
        <f>IF(K166="","",IF(ISNUMBER(K166),K166,IFERROR(VALUE(SUBSTITUTE(SUBSTITUTE(SUBSTITUTE(ASC(K166&amp;""),"約",""),"件","")," ","")),"")))</f>
        <v/>
      </c>
      <c r="AP166" s="34">
        <f>IF(W166&lt;&gt;"OK","",IF(COUNTIFS($D$5:$D$404,D166,$W$5:$W$404,"OK")&gt;1,"同名あり",""))</f>
        <v/>
      </c>
      <c r="AQ166" s="35">
        <f>IF(L166="","",IF(ISNUMBER(L166),L166,IFERROR(DATEVALUE(SUBSTITUTE(SUBSTITUTE(ASC(L166&amp;""),"-","/"),".","/")&amp;"/01"),"")))</f>
        <v/>
      </c>
      <c r="AR166" s="35">
        <f>IF(M166="","",IF(ISNUMBER(M166),M166,IFERROR(DATEVALUE(SUBSTITUTE(SUBSTITUTE(ASC(M166&amp;""),"-","/"),".","/")&amp;"/01"),"")))</f>
        <v/>
      </c>
      <c r="AS166" s="34">
        <f>IF(OR(W166&lt;&gt;"OK",AQ166=""),"",IF(AQ166&gt;='01_設定'!$C$26,1,0))</f>
        <v/>
      </c>
      <c r="AT166" s="34">
        <f>IF(AND(W166="OK",Y166&lt;&gt;"除外"),COUNTIFS($W$5:W166,"OK",$Y$5:Y166,"&lt;&gt;除外"),"")</f>
        <v/>
      </c>
      <c r="AU166" s="34">
        <f>IF(OR(AT166="",AD166=""),"",AD166+ROW()/1000000000)</f>
        <v/>
      </c>
    </row>
    <row r="167">
      <c r="W167">
        <f>IF(AND(A167="",D167=""),"",IF(ISNUMBER(SEARCH("##END",AH167)),"（終わりの印）",IF(ISNUMBER(SEARCH("##続き",AH167)),"（続きありの印）",IF(AH167="調査ID","（見出し行）",IF(AND(AH167&lt;&gt;"R1",AH167&lt;&gt;"R2"),"×表以外の行（集計されない）",IF(COUNTIF($AI$5:AI167,AI167)&gt;1,"△重複（集計されない）",IF(D167="","△タスク名なし",IF(ISNA(MATCH(AK167,'M1_類型マスタ'!$A$5:$A$19,0)),"△類型が不正",IF(OR(AM167="",AN167=""),"△回数・分が読めない",IF(SUMPRODUCT(--ISNUMBER(--O167:U167))&lt;7,"△採点が足りない",IF(SUMPRODUCT((--O167:U167&gt;2)+(--O167:U167&lt;0))&gt;0,"△採点が範囲外","OK")))))))))))</f>
        <v/>
      </c>
      <c r="X167">
        <f>IF(W167&lt;&gt;"OK","",TRIM(IF(AND(AO167&lt;&gt;"",N(AO167)&lt;=1),"根拠1件 ","")&amp;IF(AP167&lt;&gt;"","同名あり ","")&amp;IF(AND(NOT(ISNUMBER(I167)),I167&lt;&gt;""),"回数を換算 ","")))</f>
        <v/>
      </c>
      <c r="Y167" s="31" t="n"/>
      <c r="Z167" s="32" t="n"/>
      <c r="AA167" s="32" t="n"/>
      <c r="AB167" s="31" t="n"/>
      <c r="AC167">
        <f>IF(W167&lt;&gt;"OK","",IF(AB167&lt;&gt;"",AB167,AE167))</f>
        <v/>
      </c>
      <c r="AD167" s="33">
        <f>IF(W167&lt;&gt;"OK","",IFERROR(IF(Z167&lt;&gt;"",Z167,AM167)*IF(AA167&lt;&gt;"",AA167,AN167)/60,""))</f>
        <v/>
      </c>
      <c r="AE167">
        <f>IF(W167&lt;&gt;"OK","",IF(OR(VALUE(O167)=2,VALUE(P167)=2,VALUE(Q167)=2),"社内残置",IF(AND(VALUE(O167)=0,VALUE(R167)=0,VALUE(T167)=0),"自動化候補",IF(AND(VALUE(P167)=0,VALUE(R167)&lt;=1,VALUE(S167)&lt;=1,VALUE(T167)&lt;=1,VALUE(U167)&lt;=1),"オフショア候補",IF(AND(VALUE(T167)&lt;=1,VALUE(U167)&lt;=1),"ニアショア候補","社内で手順化→再評価")))))</f>
        <v/>
      </c>
      <c r="AF167">
        <f>IF(W167&lt;&gt;"OK","",14-SUMPRODUCT(--O167:U167))</f>
        <v/>
      </c>
      <c r="AG167" s="33">
        <f>IF(W167&lt;&gt;"OK","",AM167*AN167/60)</f>
        <v/>
      </c>
      <c r="AH167" s="34">
        <f>IF(A167="","",UPPER(TRIM(ASC(A167&amp;""))))</f>
        <v/>
      </c>
      <c r="AI167" s="34">
        <f>IF(AH167="","",AH167&amp;"-"&amp;B167)</f>
        <v/>
      </c>
      <c r="AJ167" s="34">
        <f>IF(C167="","",IFERROR(VALUE(ASC(SUBSTITUTE(C167&amp;"","観点",""))),""))</f>
        <v/>
      </c>
      <c r="AK167" s="34">
        <f>IF(E167="","",UPPER(LEFT(TRIM(ASC(E167&amp;"")),3)))</f>
        <v/>
      </c>
      <c r="AL167" s="34">
        <f>IF(I167="","",IFERROR(VALUE(SUBSTITUTE(SUBSTITUTE(SUBSTITUTE(SUBSTITUTE(SUBSTITUTE(SUBSTITUTE(SUBSTITUTE(SUBSTITUTE(SUBSTITUTE(SUBSTITUTE(SUBSTITUTE(SUBSTITUTE(ASC(I167&amp;""),"約",""),"程度",""),"ほど",""),"回",""),"毎",""),"週",""),"月",""),"年",""),"日",""),"に",""),"/","")," ","")),""))</f>
        <v/>
      </c>
      <c r="AM167" s="34">
        <f>IF(I167="","",IF(ISNUMBER(I167),I167,IFERROR(VALUE(ASC(I167&amp;"")),IF(AL167&lt;&gt;"",AL167*IF(ISNUMBER(SEARCH("週",I167)),4.3,IF(ISNUMBER(SEARCH("年",I167)),1/12,IF(ISNUMBER(SEARCH("日",I167)),20,1))),IF(ISNUMBER(SEARCH("日",I167)),20,IF(ISNUMBER(SEARCH("週",I167)),4.3,IF(ISNUMBER(SEARCH("月",I167)),1,"")))))))</f>
        <v/>
      </c>
      <c r="AN167" s="34">
        <f>IF(J167="","",IF(ISNUMBER(J167),J167,IFERROR(VALUE(ASC(J167&amp;"")),IF(ISNUMBER(SEARCH("時間",J167)),IFERROR(VALUE(SUBSTITUTE(SUBSTITUTE(SUBSTITUTE(SUBSTITUTE(SUBSTITUTE(ASC(J167&amp;""),"約",""),"程度",""),"ほど",""),"時間","")," ",""))*60,""),IFERROR(VALUE(SUBSTITUTE(SUBSTITUTE(SUBSTITUTE(SUBSTITUTE(SUBSTITUTE(ASC(J167&amp;""),"約",""),"程度",""),"ほど",""),"分","")," ","")),"")))))</f>
        <v/>
      </c>
      <c r="AO167" s="34">
        <f>IF(K167="","",IF(ISNUMBER(K167),K167,IFERROR(VALUE(SUBSTITUTE(SUBSTITUTE(SUBSTITUTE(ASC(K167&amp;""),"約",""),"件","")," ","")),"")))</f>
        <v/>
      </c>
      <c r="AP167" s="34">
        <f>IF(W167&lt;&gt;"OK","",IF(COUNTIFS($D$5:$D$404,D167,$W$5:$W$404,"OK")&gt;1,"同名あり",""))</f>
        <v/>
      </c>
      <c r="AQ167" s="35">
        <f>IF(L167="","",IF(ISNUMBER(L167),L167,IFERROR(DATEVALUE(SUBSTITUTE(SUBSTITUTE(ASC(L167&amp;""),"-","/"),".","/")&amp;"/01"),"")))</f>
        <v/>
      </c>
      <c r="AR167" s="35">
        <f>IF(M167="","",IF(ISNUMBER(M167),M167,IFERROR(DATEVALUE(SUBSTITUTE(SUBSTITUTE(ASC(M167&amp;""),"-","/"),".","/")&amp;"/01"),"")))</f>
        <v/>
      </c>
      <c r="AS167" s="34">
        <f>IF(OR(W167&lt;&gt;"OK",AQ167=""),"",IF(AQ167&gt;='01_設定'!$C$26,1,0))</f>
        <v/>
      </c>
      <c r="AT167" s="34">
        <f>IF(AND(W167="OK",Y167&lt;&gt;"除外"),COUNTIFS($W$5:W167,"OK",$Y$5:Y167,"&lt;&gt;除外"),"")</f>
        <v/>
      </c>
      <c r="AU167" s="34">
        <f>IF(OR(AT167="",AD167=""),"",AD167+ROW()/1000000000)</f>
        <v/>
      </c>
    </row>
    <row r="168">
      <c r="W168">
        <f>IF(AND(A168="",D168=""),"",IF(ISNUMBER(SEARCH("##END",AH168)),"（終わりの印）",IF(ISNUMBER(SEARCH("##続き",AH168)),"（続きありの印）",IF(AH168="調査ID","（見出し行）",IF(AND(AH168&lt;&gt;"R1",AH168&lt;&gt;"R2"),"×表以外の行（集計されない）",IF(COUNTIF($AI$5:AI168,AI168)&gt;1,"△重複（集計されない）",IF(D168="","△タスク名なし",IF(ISNA(MATCH(AK168,'M1_類型マスタ'!$A$5:$A$19,0)),"△類型が不正",IF(OR(AM168="",AN168=""),"△回数・分が読めない",IF(SUMPRODUCT(--ISNUMBER(--O168:U168))&lt;7,"△採点が足りない",IF(SUMPRODUCT((--O168:U168&gt;2)+(--O168:U168&lt;0))&gt;0,"△採点が範囲外","OK")))))))))))</f>
        <v/>
      </c>
      <c r="X168">
        <f>IF(W168&lt;&gt;"OK","",TRIM(IF(AND(AO168&lt;&gt;"",N(AO168)&lt;=1),"根拠1件 ","")&amp;IF(AP168&lt;&gt;"","同名あり ","")&amp;IF(AND(NOT(ISNUMBER(I168)),I168&lt;&gt;""),"回数を換算 ","")))</f>
        <v/>
      </c>
      <c r="Y168" s="31" t="n"/>
      <c r="Z168" s="32" t="n"/>
      <c r="AA168" s="32" t="n"/>
      <c r="AB168" s="31" t="n"/>
      <c r="AC168">
        <f>IF(W168&lt;&gt;"OK","",IF(AB168&lt;&gt;"",AB168,AE168))</f>
        <v/>
      </c>
      <c r="AD168" s="33">
        <f>IF(W168&lt;&gt;"OK","",IFERROR(IF(Z168&lt;&gt;"",Z168,AM168)*IF(AA168&lt;&gt;"",AA168,AN168)/60,""))</f>
        <v/>
      </c>
      <c r="AE168">
        <f>IF(W168&lt;&gt;"OK","",IF(OR(VALUE(O168)=2,VALUE(P168)=2,VALUE(Q168)=2),"社内残置",IF(AND(VALUE(O168)=0,VALUE(R168)=0,VALUE(T168)=0),"自動化候補",IF(AND(VALUE(P168)=0,VALUE(R168)&lt;=1,VALUE(S168)&lt;=1,VALUE(T168)&lt;=1,VALUE(U168)&lt;=1),"オフショア候補",IF(AND(VALUE(T168)&lt;=1,VALUE(U168)&lt;=1),"ニアショア候補","社内で手順化→再評価")))))</f>
        <v/>
      </c>
      <c r="AF168">
        <f>IF(W168&lt;&gt;"OK","",14-SUMPRODUCT(--O168:U168))</f>
        <v/>
      </c>
      <c r="AG168" s="33">
        <f>IF(W168&lt;&gt;"OK","",AM168*AN168/60)</f>
        <v/>
      </c>
      <c r="AH168" s="34">
        <f>IF(A168="","",UPPER(TRIM(ASC(A168&amp;""))))</f>
        <v/>
      </c>
      <c r="AI168" s="34">
        <f>IF(AH168="","",AH168&amp;"-"&amp;B168)</f>
        <v/>
      </c>
      <c r="AJ168" s="34">
        <f>IF(C168="","",IFERROR(VALUE(ASC(SUBSTITUTE(C168&amp;"","観点",""))),""))</f>
        <v/>
      </c>
      <c r="AK168" s="34">
        <f>IF(E168="","",UPPER(LEFT(TRIM(ASC(E168&amp;"")),3)))</f>
        <v/>
      </c>
      <c r="AL168" s="34">
        <f>IF(I168="","",IFERROR(VALUE(SUBSTITUTE(SUBSTITUTE(SUBSTITUTE(SUBSTITUTE(SUBSTITUTE(SUBSTITUTE(SUBSTITUTE(SUBSTITUTE(SUBSTITUTE(SUBSTITUTE(SUBSTITUTE(SUBSTITUTE(ASC(I168&amp;""),"約",""),"程度",""),"ほど",""),"回",""),"毎",""),"週",""),"月",""),"年",""),"日",""),"に",""),"/","")," ","")),""))</f>
        <v/>
      </c>
      <c r="AM168" s="34">
        <f>IF(I168="","",IF(ISNUMBER(I168),I168,IFERROR(VALUE(ASC(I168&amp;"")),IF(AL168&lt;&gt;"",AL168*IF(ISNUMBER(SEARCH("週",I168)),4.3,IF(ISNUMBER(SEARCH("年",I168)),1/12,IF(ISNUMBER(SEARCH("日",I168)),20,1))),IF(ISNUMBER(SEARCH("日",I168)),20,IF(ISNUMBER(SEARCH("週",I168)),4.3,IF(ISNUMBER(SEARCH("月",I168)),1,"")))))))</f>
        <v/>
      </c>
      <c r="AN168" s="34">
        <f>IF(J168="","",IF(ISNUMBER(J168),J168,IFERROR(VALUE(ASC(J168&amp;"")),IF(ISNUMBER(SEARCH("時間",J168)),IFERROR(VALUE(SUBSTITUTE(SUBSTITUTE(SUBSTITUTE(SUBSTITUTE(SUBSTITUTE(ASC(J168&amp;""),"約",""),"程度",""),"ほど",""),"時間","")," ",""))*60,""),IFERROR(VALUE(SUBSTITUTE(SUBSTITUTE(SUBSTITUTE(SUBSTITUTE(SUBSTITUTE(ASC(J168&amp;""),"約",""),"程度",""),"ほど",""),"分","")," ","")),"")))))</f>
        <v/>
      </c>
      <c r="AO168" s="34">
        <f>IF(K168="","",IF(ISNUMBER(K168),K168,IFERROR(VALUE(SUBSTITUTE(SUBSTITUTE(SUBSTITUTE(ASC(K168&amp;""),"約",""),"件","")," ","")),"")))</f>
        <v/>
      </c>
      <c r="AP168" s="34">
        <f>IF(W168&lt;&gt;"OK","",IF(COUNTIFS($D$5:$D$404,D168,$W$5:$W$404,"OK")&gt;1,"同名あり",""))</f>
        <v/>
      </c>
      <c r="AQ168" s="35">
        <f>IF(L168="","",IF(ISNUMBER(L168),L168,IFERROR(DATEVALUE(SUBSTITUTE(SUBSTITUTE(ASC(L168&amp;""),"-","/"),".","/")&amp;"/01"),"")))</f>
        <v/>
      </c>
      <c r="AR168" s="35">
        <f>IF(M168="","",IF(ISNUMBER(M168),M168,IFERROR(DATEVALUE(SUBSTITUTE(SUBSTITUTE(ASC(M168&amp;""),"-","/"),".","/")&amp;"/01"),"")))</f>
        <v/>
      </c>
      <c r="AS168" s="34">
        <f>IF(OR(W168&lt;&gt;"OK",AQ168=""),"",IF(AQ168&gt;='01_設定'!$C$26,1,0))</f>
        <v/>
      </c>
      <c r="AT168" s="34">
        <f>IF(AND(W168="OK",Y168&lt;&gt;"除外"),COUNTIFS($W$5:W168,"OK",$Y$5:Y168,"&lt;&gt;除外"),"")</f>
        <v/>
      </c>
      <c r="AU168" s="34">
        <f>IF(OR(AT168="",AD168=""),"",AD168+ROW()/1000000000)</f>
        <v/>
      </c>
    </row>
    <row r="169">
      <c r="W169">
        <f>IF(AND(A169="",D169=""),"",IF(ISNUMBER(SEARCH("##END",AH169)),"（終わりの印）",IF(ISNUMBER(SEARCH("##続き",AH169)),"（続きありの印）",IF(AH169="調査ID","（見出し行）",IF(AND(AH169&lt;&gt;"R1",AH169&lt;&gt;"R2"),"×表以外の行（集計されない）",IF(COUNTIF($AI$5:AI169,AI169)&gt;1,"△重複（集計されない）",IF(D169="","△タスク名なし",IF(ISNA(MATCH(AK169,'M1_類型マスタ'!$A$5:$A$19,0)),"△類型が不正",IF(OR(AM169="",AN169=""),"△回数・分が読めない",IF(SUMPRODUCT(--ISNUMBER(--O169:U169))&lt;7,"△採点が足りない",IF(SUMPRODUCT((--O169:U169&gt;2)+(--O169:U169&lt;0))&gt;0,"△採点が範囲外","OK")))))))))))</f>
        <v/>
      </c>
      <c r="X169">
        <f>IF(W169&lt;&gt;"OK","",TRIM(IF(AND(AO169&lt;&gt;"",N(AO169)&lt;=1),"根拠1件 ","")&amp;IF(AP169&lt;&gt;"","同名あり ","")&amp;IF(AND(NOT(ISNUMBER(I169)),I169&lt;&gt;""),"回数を換算 ","")))</f>
        <v/>
      </c>
      <c r="Y169" s="31" t="n"/>
      <c r="Z169" s="32" t="n"/>
      <c r="AA169" s="32" t="n"/>
      <c r="AB169" s="31" t="n"/>
      <c r="AC169">
        <f>IF(W169&lt;&gt;"OK","",IF(AB169&lt;&gt;"",AB169,AE169))</f>
        <v/>
      </c>
      <c r="AD169" s="33">
        <f>IF(W169&lt;&gt;"OK","",IFERROR(IF(Z169&lt;&gt;"",Z169,AM169)*IF(AA169&lt;&gt;"",AA169,AN169)/60,""))</f>
        <v/>
      </c>
      <c r="AE169">
        <f>IF(W169&lt;&gt;"OK","",IF(OR(VALUE(O169)=2,VALUE(P169)=2,VALUE(Q169)=2),"社内残置",IF(AND(VALUE(O169)=0,VALUE(R169)=0,VALUE(T169)=0),"自動化候補",IF(AND(VALUE(P169)=0,VALUE(R169)&lt;=1,VALUE(S169)&lt;=1,VALUE(T169)&lt;=1,VALUE(U169)&lt;=1),"オフショア候補",IF(AND(VALUE(T169)&lt;=1,VALUE(U169)&lt;=1),"ニアショア候補","社内で手順化→再評価")))))</f>
        <v/>
      </c>
      <c r="AF169">
        <f>IF(W169&lt;&gt;"OK","",14-SUMPRODUCT(--O169:U169))</f>
        <v/>
      </c>
      <c r="AG169" s="33">
        <f>IF(W169&lt;&gt;"OK","",AM169*AN169/60)</f>
        <v/>
      </c>
      <c r="AH169" s="34">
        <f>IF(A169="","",UPPER(TRIM(ASC(A169&amp;""))))</f>
        <v/>
      </c>
      <c r="AI169" s="34">
        <f>IF(AH169="","",AH169&amp;"-"&amp;B169)</f>
        <v/>
      </c>
      <c r="AJ169" s="34">
        <f>IF(C169="","",IFERROR(VALUE(ASC(SUBSTITUTE(C169&amp;"","観点",""))),""))</f>
        <v/>
      </c>
      <c r="AK169" s="34">
        <f>IF(E169="","",UPPER(LEFT(TRIM(ASC(E169&amp;"")),3)))</f>
        <v/>
      </c>
      <c r="AL169" s="34">
        <f>IF(I169="","",IFERROR(VALUE(SUBSTITUTE(SUBSTITUTE(SUBSTITUTE(SUBSTITUTE(SUBSTITUTE(SUBSTITUTE(SUBSTITUTE(SUBSTITUTE(SUBSTITUTE(SUBSTITUTE(SUBSTITUTE(SUBSTITUTE(ASC(I169&amp;""),"約",""),"程度",""),"ほど",""),"回",""),"毎",""),"週",""),"月",""),"年",""),"日",""),"に",""),"/","")," ","")),""))</f>
        <v/>
      </c>
      <c r="AM169" s="34">
        <f>IF(I169="","",IF(ISNUMBER(I169),I169,IFERROR(VALUE(ASC(I169&amp;"")),IF(AL169&lt;&gt;"",AL169*IF(ISNUMBER(SEARCH("週",I169)),4.3,IF(ISNUMBER(SEARCH("年",I169)),1/12,IF(ISNUMBER(SEARCH("日",I169)),20,1))),IF(ISNUMBER(SEARCH("日",I169)),20,IF(ISNUMBER(SEARCH("週",I169)),4.3,IF(ISNUMBER(SEARCH("月",I169)),1,"")))))))</f>
        <v/>
      </c>
      <c r="AN169" s="34">
        <f>IF(J169="","",IF(ISNUMBER(J169),J169,IFERROR(VALUE(ASC(J169&amp;"")),IF(ISNUMBER(SEARCH("時間",J169)),IFERROR(VALUE(SUBSTITUTE(SUBSTITUTE(SUBSTITUTE(SUBSTITUTE(SUBSTITUTE(ASC(J169&amp;""),"約",""),"程度",""),"ほど",""),"時間","")," ",""))*60,""),IFERROR(VALUE(SUBSTITUTE(SUBSTITUTE(SUBSTITUTE(SUBSTITUTE(SUBSTITUTE(ASC(J169&amp;""),"約",""),"程度",""),"ほど",""),"分","")," ","")),"")))))</f>
        <v/>
      </c>
      <c r="AO169" s="34">
        <f>IF(K169="","",IF(ISNUMBER(K169),K169,IFERROR(VALUE(SUBSTITUTE(SUBSTITUTE(SUBSTITUTE(ASC(K169&amp;""),"約",""),"件","")," ","")),"")))</f>
        <v/>
      </c>
      <c r="AP169" s="34">
        <f>IF(W169&lt;&gt;"OK","",IF(COUNTIFS($D$5:$D$404,D169,$W$5:$W$404,"OK")&gt;1,"同名あり",""))</f>
        <v/>
      </c>
      <c r="AQ169" s="35">
        <f>IF(L169="","",IF(ISNUMBER(L169),L169,IFERROR(DATEVALUE(SUBSTITUTE(SUBSTITUTE(ASC(L169&amp;""),"-","/"),".","/")&amp;"/01"),"")))</f>
        <v/>
      </c>
      <c r="AR169" s="35">
        <f>IF(M169="","",IF(ISNUMBER(M169),M169,IFERROR(DATEVALUE(SUBSTITUTE(SUBSTITUTE(ASC(M169&amp;""),"-","/"),".","/")&amp;"/01"),"")))</f>
        <v/>
      </c>
      <c r="AS169" s="34">
        <f>IF(OR(W169&lt;&gt;"OK",AQ169=""),"",IF(AQ169&gt;='01_設定'!$C$26,1,0))</f>
        <v/>
      </c>
      <c r="AT169" s="34">
        <f>IF(AND(W169="OK",Y169&lt;&gt;"除外"),COUNTIFS($W$5:W169,"OK",$Y$5:Y169,"&lt;&gt;除外"),"")</f>
        <v/>
      </c>
      <c r="AU169" s="34">
        <f>IF(OR(AT169="",AD169=""),"",AD169+ROW()/1000000000)</f>
        <v/>
      </c>
    </row>
    <row r="170">
      <c r="W170">
        <f>IF(AND(A170="",D170=""),"",IF(ISNUMBER(SEARCH("##END",AH170)),"（終わりの印）",IF(ISNUMBER(SEARCH("##続き",AH170)),"（続きありの印）",IF(AH170="調査ID","（見出し行）",IF(AND(AH170&lt;&gt;"R1",AH170&lt;&gt;"R2"),"×表以外の行（集計されない）",IF(COUNTIF($AI$5:AI170,AI170)&gt;1,"△重複（集計されない）",IF(D170="","△タスク名なし",IF(ISNA(MATCH(AK170,'M1_類型マスタ'!$A$5:$A$19,0)),"△類型が不正",IF(OR(AM170="",AN170=""),"△回数・分が読めない",IF(SUMPRODUCT(--ISNUMBER(--O170:U170))&lt;7,"△採点が足りない",IF(SUMPRODUCT((--O170:U170&gt;2)+(--O170:U170&lt;0))&gt;0,"△採点が範囲外","OK")))))))))))</f>
        <v/>
      </c>
      <c r="X170">
        <f>IF(W170&lt;&gt;"OK","",TRIM(IF(AND(AO170&lt;&gt;"",N(AO170)&lt;=1),"根拠1件 ","")&amp;IF(AP170&lt;&gt;"","同名あり ","")&amp;IF(AND(NOT(ISNUMBER(I170)),I170&lt;&gt;""),"回数を換算 ","")))</f>
        <v/>
      </c>
      <c r="Y170" s="31" t="n"/>
      <c r="Z170" s="32" t="n"/>
      <c r="AA170" s="32" t="n"/>
      <c r="AB170" s="31" t="n"/>
      <c r="AC170">
        <f>IF(W170&lt;&gt;"OK","",IF(AB170&lt;&gt;"",AB170,AE170))</f>
        <v/>
      </c>
      <c r="AD170" s="33">
        <f>IF(W170&lt;&gt;"OK","",IFERROR(IF(Z170&lt;&gt;"",Z170,AM170)*IF(AA170&lt;&gt;"",AA170,AN170)/60,""))</f>
        <v/>
      </c>
      <c r="AE170">
        <f>IF(W170&lt;&gt;"OK","",IF(OR(VALUE(O170)=2,VALUE(P170)=2,VALUE(Q170)=2),"社内残置",IF(AND(VALUE(O170)=0,VALUE(R170)=0,VALUE(T170)=0),"自動化候補",IF(AND(VALUE(P170)=0,VALUE(R170)&lt;=1,VALUE(S170)&lt;=1,VALUE(T170)&lt;=1,VALUE(U170)&lt;=1),"オフショア候補",IF(AND(VALUE(T170)&lt;=1,VALUE(U170)&lt;=1),"ニアショア候補","社内で手順化→再評価")))))</f>
        <v/>
      </c>
      <c r="AF170">
        <f>IF(W170&lt;&gt;"OK","",14-SUMPRODUCT(--O170:U170))</f>
        <v/>
      </c>
      <c r="AG170" s="33">
        <f>IF(W170&lt;&gt;"OK","",AM170*AN170/60)</f>
        <v/>
      </c>
      <c r="AH170" s="34">
        <f>IF(A170="","",UPPER(TRIM(ASC(A170&amp;""))))</f>
        <v/>
      </c>
      <c r="AI170" s="34">
        <f>IF(AH170="","",AH170&amp;"-"&amp;B170)</f>
        <v/>
      </c>
      <c r="AJ170" s="34">
        <f>IF(C170="","",IFERROR(VALUE(ASC(SUBSTITUTE(C170&amp;"","観点",""))),""))</f>
        <v/>
      </c>
      <c r="AK170" s="34">
        <f>IF(E170="","",UPPER(LEFT(TRIM(ASC(E170&amp;"")),3)))</f>
        <v/>
      </c>
      <c r="AL170" s="34">
        <f>IF(I170="","",IFERROR(VALUE(SUBSTITUTE(SUBSTITUTE(SUBSTITUTE(SUBSTITUTE(SUBSTITUTE(SUBSTITUTE(SUBSTITUTE(SUBSTITUTE(SUBSTITUTE(SUBSTITUTE(SUBSTITUTE(SUBSTITUTE(ASC(I170&amp;""),"約",""),"程度",""),"ほど",""),"回",""),"毎",""),"週",""),"月",""),"年",""),"日",""),"に",""),"/","")," ","")),""))</f>
        <v/>
      </c>
      <c r="AM170" s="34">
        <f>IF(I170="","",IF(ISNUMBER(I170),I170,IFERROR(VALUE(ASC(I170&amp;"")),IF(AL170&lt;&gt;"",AL170*IF(ISNUMBER(SEARCH("週",I170)),4.3,IF(ISNUMBER(SEARCH("年",I170)),1/12,IF(ISNUMBER(SEARCH("日",I170)),20,1))),IF(ISNUMBER(SEARCH("日",I170)),20,IF(ISNUMBER(SEARCH("週",I170)),4.3,IF(ISNUMBER(SEARCH("月",I170)),1,"")))))))</f>
        <v/>
      </c>
      <c r="AN170" s="34">
        <f>IF(J170="","",IF(ISNUMBER(J170),J170,IFERROR(VALUE(ASC(J170&amp;"")),IF(ISNUMBER(SEARCH("時間",J170)),IFERROR(VALUE(SUBSTITUTE(SUBSTITUTE(SUBSTITUTE(SUBSTITUTE(SUBSTITUTE(ASC(J170&amp;""),"約",""),"程度",""),"ほど",""),"時間","")," ",""))*60,""),IFERROR(VALUE(SUBSTITUTE(SUBSTITUTE(SUBSTITUTE(SUBSTITUTE(SUBSTITUTE(ASC(J170&amp;""),"約",""),"程度",""),"ほど",""),"分","")," ","")),"")))))</f>
        <v/>
      </c>
      <c r="AO170" s="34">
        <f>IF(K170="","",IF(ISNUMBER(K170),K170,IFERROR(VALUE(SUBSTITUTE(SUBSTITUTE(SUBSTITUTE(ASC(K170&amp;""),"約",""),"件","")," ","")),"")))</f>
        <v/>
      </c>
      <c r="AP170" s="34">
        <f>IF(W170&lt;&gt;"OK","",IF(COUNTIFS($D$5:$D$404,D170,$W$5:$W$404,"OK")&gt;1,"同名あり",""))</f>
        <v/>
      </c>
      <c r="AQ170" s="35">
        <f>IF(L170="","",IF(ISNUMBER(L170),L170,IFERROR(DATEVALUE(SUBSTITUTE(SUBSTITUTE(ASC(L170&amp;""),"-","/"),".","/")&amp;"/01"),"")))</f>
        <v/>
      </c>
      <c r="AR170" s="35">
        <f>IF(M170="","",IF(ISNUMBER(M170),M170,IFERROR(DATEVALUE(SUBSTITUTE(SUBSTITUTE(ASC(M170&amp;""),"-","/"),".","/")&amp;"/01"),"")))</f>
        <v/>
      </c>
      <c r="AS170" s="34">
        <f>IF(OR(W170&lt;&gt;"OK",AQ170=""),"",IF(AQ170&gt;='01_設定'!$C$26,1,0))</f>
        <v/>
      </c>
      <c r="AT170" s="34">
        <f>IF(AND(W170="OK",Y170&lt;&gt;"除外"),COUNTIFS($W$5:W170,"OK",$Y$5:Y170,"&lt;&gt;除外"),"")</f>
        <v/>
      </c>
      <c r="AU170" s="34">
        <f>IF(OR(AT170="",AD170=""),"",AD170+ROW()/1000000000)</f>
        <v/>
      </c>
    </row>
    <row r="171">
      <c r="W171">
        <f>IF(AND(A171="",D171=""),"",IF(ISNUMBER(SEARCH("##END",AH171)),"（終わりの印）",IF(ISNUMBER(SEARCH("##続き",AH171)),"（続きありの印）",IF(AH171="調査ID","（見出し行）",IF(AND(AH171&lt;&gt;"R1",AH171&lt;&gt;"R2"),"×表以外の行（集計されない）",IF(COUNTIF($AI$5:AI171,AI171)&gt;1,"△重複（集計されない）",IF(D171="","△タスク名なし",IF(ISNA(MATCH(AK171,'M1_類型マスタ'!$A$5:$A$19,0)),"△類型が不正",IF(OR(AM171="",AN171=""),"△回数・分が読めない",IF(SUMPRODUCT(--ISNUMBER(--O171:U171))&lt;7,"△採点が足りない",IF(SUMPRODUCT((--O171:U171&gt;2)+(--O171:U171&lt;0))&gt;0,"△採点が範囲外","OK")))))))))))</f>
        <v/>
      </c>
      <c r="X171">
        <f>IF(W171&lt;&gt;"OK","",TRIM(IF(AND(AO171&lt;&gt;"",N(AO171)&lt;=1),"根拠1件 ","")&amp;IF(AP171&lt;&gt;"","同名あり ","")&amp;IF(AND(NOT(ISNUMBER(I171)),I171&lt;&gt;""),"回数を換算 ","")))</f>
        <v/>
      </c>
      <c r="Y171" s="31" t="n"/>
      <c r="Z171" s="32" t="n"/>
      <c r="AA171" s="32" t="n"/>
      <c r="AB171" s="31" t="n"/>
      <c r="AC171">
        <f>IF(W171&lt;&gt;"OK","",IF(AB171&lt;&gt;"",AB171,AE171))</f>
        <v/>
      </c>
      <c r="AD171" s="33">
        <f>IF(W171&lt;&gt;"OK","",IFERROR(IF(Z171&lt;&gt;"",Z171,AM171)*IF(AA171&lt;&gt;"",AA171,AN171)/60,""))</f>
        <v/>
      </c>
      <c r="AE171">
        <f>IF(W171&lt;&gt;"OK","",IF(OR(VALUE(O171)=2,VALUE(P171)=2,VALUE(Q171)=2),"社内残置",IF(AND(VALUE(O171)=0,VALUE(R171)=0,VALUE(T171)=0),"自動化候補",IF(AND(VALUE(P171)=0,VALUE(R171)&lt;=1,VALUE(S171)&lt;=1,VALUE(T171)&lt;=1,VALUE(U171)&lt;=1),"オフショア候補",IF(AND(VALUE(T171)&lt;=1,VALUE(U171)&lt;=1),"ニアショア候補","社内で手順化→再評価")))))</f>
        <v/>
      </c>
      <c r="AF171">
        <f>IF(W171&lt;&gt;"OK","",14-SUMPRODUCT(--O171:U171))</f>
        <v/>
      </c>
      <c r="AG171" s="33">
        <f>IF(W171&lt;&gt;"OK","",AM171*AN171/60)</f>
        <v/>
      </c>
      <c r="AH171" s="34">
        <f>IF(A171="","",UPPER(TRIM(ASC(A171&amp;""))))</f>
        <v/>
      </c>
      <c r="AI171" s="34">
        <f>IF(AH171="","",AH171&amp;"-"&amp;B171)</f>
        <v/>
      </c>
      <c r="AJ171" s="34">
        <f>IF(C171="","",IFERROR(VALUE(ASC(SUBSTITUTE(C171&amp;"","観点",""))),""))</f>
        <v/>
      </c>
      <c r="AK171" s="34">
        <f>IF(E171="","",UPPER(LEFT(TRIM(ASC(E171&amp;"")),3)))</f>
        <v/>
      </c>
      <c r="AL171" s="34">
        <f>IF(I171="","",IFERROR(VALUE(SUBSTITUTE(SUBSTITUTE(SUBSTITUTE(SUBSTITUTE(SUBSTITUTE(SUBSTITUTE(SUBSTITUTE(SUBSTITUTE(SUBSTITUTE(SUBSTITUTE(SUBSTITUTE(SUBSTITUTE(ASC(I171&amp;""),"約",""),"程度",""),"ほど",""),"回",""),"毎",""),"週",""),"月",""),"年",""),"日",""),"に",""),"/","")," ","")),""))</f>
        <v/>
      </c>
      <c r="AM171" s="34">
        <f>IF(I171="","",IF(ISNUMBER(I171),I171,IFERROR(VALUE(ASC(I171&amp;"")),IF(AL171&lt;&gt;"",AL171*IF(ISNUMBER(SEARCH("週",I171)),4.3,IF(ISNUMBER(SEARCH("年",I171)),1/12,IF(ISNUMBER(SEARCH("日",I171)),20,1))),IF(ISNUMBER(SEARCH("日",I171)),20,IF(ISNUMBER(SEARCH("週",I171)),4.3,IF(ISNUMBER(SEARCH("月",I171)),1,"")))))))</f>
        <v/>
      </c>
      <c r="AN171" s="34">
        <f>IF(J171="","",IF(ISNUMBER(J171),J171,IFERROR(VALUE(ASC(J171&amp;"")),IF(ISNUMBER(SEARCH("時間",J171)),IFERROR(VALUE(SUBSTITUTE(SUBSTITUTE(SUBSTITUTE(SUBSTITUTE(SUBSTITUTE(ASC(J171&amp;""),"約",""),"程度",""),"ほど",""),"時間","")," ",""))*60,""),IFERROR(VALUE(SUBSTITUTE(SUBSTITUTE(SUBSTITUTE(SUBSTITUTE(SUBSTITUTE(ASC(J171&amp;""),"約",""),"程度",""),"ほど",""),"分","")," ","")),"")))))</f>
        <v/>
      </c>
      <c r="AO171" s="34">
        <f>IF(K171="","",IF(ISNUMBER(K171),K171,IFERROR(VALUE(SUBSTITUTE(SUBSTITUTE(SUBSTITUTE(ASC(K171&amp;""),"約",""),"件","")," ","")),"")))</f>
        <v/>
      </c>
      <c r="AP171" s="34">
        <f>IF(W171&lt;&gt;"OK","",IF(COUNTIFS($D$5:$D$404,D171,$W$5:$W$404,"OK")&gt;1,"同名あり",""))</f>
        <v/>
      </c>
      <c r="AQ171" s="35">
        <f>IF(L171="","",IF(ISNUMBER(L171),L171,IFERROR(DATEVALUE(SUBSTITUTE(SUBSTITUTE(ASC(L171&amp;""),"-","/"),".","/")&amp;"/01"),"")))</f>
        <v/>
      </c>
      <c r="AR171" s="35">
        <f>IF(M171="","",IF(ISNUMBER(M171),M171,IFERROR(DATEVALUE(SUBSTITUTE(SUBSTITUTE(ASC(M171&amp;""),"-","/"),".","/")&amp;"/01"),"")))</f>
        <v/>
      </c>
      <c r="AS171" s="34">
        <f>IF(OR(W171&lt;&gt;"OK",AQ171=""),"",IF(AQ171&gt;='01_設定'!$C$26,1,0))</f>
        <v/>
      </c>
      <c r="AT171" s="34">
        <f>IF(AND(W171="OK",Y171&lt;&gt;"除外"),COUNTIFS($W$5:W171,"OK",$Y$5:Y171,"&lt;&gt;除外"),"")</f>
        <v/>
      </c>
      <c r="AU171" s="34">
        <f>IF(OR(AT171="",AD171=""),"",AD171+ROW()/1000000000)</f>
        <v/>
      </c>
    </row>
    <row r="172">
      <c r="W172">
        <f>IF(AND(A172="",D172=""),"",IF(ISNUMBER(SEARCH("##END",AH172)),"（終わりの印）",IF(ISNUMBER(SEARCH("##続き",AH172)),"（続きありの印）",IF(AH172="調査ID","（見出し行）",IF(AND(AH172&lt;&gt;"R1",AH172&lt;&gt;"R2"),"×表以外の行（集計されない）",IF(COUNTIF($AI$5:AI172,AI172)&gt;1,"△重複（集計されない）",IF(D172="","△タスク名なし",IF(ISNA(MATCH(AK172,'M1_類型マスタ'!$A$5:$A$19,0)),"△類型が不正",IF(OR(AM172="",AN172=""),"△回数・分が読めない",IF(SUMPRODUCT(--ISNUMBER(--O172:U172))&lt;7,"△採点が足りない",IF(SUMPRODUCT((--O172:U172&gt;2)+(--O172:U172&lt;0))&gt;0,"△採点が範囲外","OK")))))))))))</f>
        <v/>
      </c>
      <c r="X172">
        <f>IF(W172&lt;&gt;"OK","",TRIM(IF(AND(AO172&lt;&gt;"",N(AO172)&lt;=1),"根拠1件 ","")&amp;IF(AP172&lt;&gt;"","同名あり ","")&amp;IF(AND(NOT(ISNUMBER(I172)),I172&lt;&gt;""),"回数を換算 ","")))</f>
        <v/>
      </c>
      <c r="Y172" s="31" t="n"/>
      <c r="Z172" s="32" t="n"/>
      <c r="AA172" s="32" t="n"/>
      <c r="AB172" s="31" t="n"/>
      <c r="AC172">
        <f>IF(W172&lt;&gt;"OK","",IF(AB172&lt;&gt;"",AB172,AE172))</f>
        <v/>
      </c>
      <c r="AD172" s="33">
        <f>IF(W172&lt;&gt;"OK","",IFERROR(IF(Z172&lt;&gt;"",Z172,AM172)*IF(AA172&lt;&gt;"",AA172,AN172)/60,""))</f>
        <v/>
      </c>
      <c r="AE172">
        <f>IF(W172&lt;&gt;"OK","",IF(OR(VALUE(O172)=2,VALUE(P172)=2,VALUE(Q172)=2),"社内残置",IF(AND(VALUE(O172)=0,VALUE(R172)=0,VALUE(T172)=0),"自動化候補",IF(AND(VALUE(P172)=0,VALUE(R172)&lt;=1,VALUE(S172)&lt;=1,VALUE(T172)&lt;=1,VALUE(U172)&lt;=1),"オフショア候補",IF(AND(VALUE(T172)&lt;=1,VALUE(U172)&lt;=1),"ニアショア候補","社内で手順化→再評価")))))</f>
        <v/>
      </c>
      <c r="AF172">
        <f>IF(W172&lt;&gt;"OK","",14-SUMPRODUCT(--O172:U172))</f>
        <v/>
      </c>
      <c r="AG172" s="33">
        <f>IF(W172&lt;&gt;"OK","",AM172*AN172/60)</f>
        <v/>
      </c>
      <c r="AH172" s="34">
        <f>IF(A172="","",UPPER(TRIM(ASC(A172&amp;""))))</f>
        <v/>
      </c>
      <c r="AI172" s="34">
        <f>IF(AH172="","",AH172&amp;"-"&amp;B172)</f>
        <v/>
      </c>
      <c r="AJ172" s="34">
        <f>IF(C172="","",IFERROR(VALUE(ASC(SUBSTITUTE(C172&amp;"","観点",""))),""))</f>
        <v/>
      </c>
      <c r="AK172" s="34">
        <f>IF(E172="","",UPPER(LEFT(TRIM(ASC(E172&amp;"")),3)))</f>
        <v/>
      </c>
      <c r="AL172" s="34">
        <f>IF(I172="","",IFERROR(VALUE(SUBSTITUTE(SUBSTITUTE(SUBSTITUTE(SUBSTITUTE(SUBSTITUTE(SUBSTITUTE(SUBSTITUTE(SUBSTITUTE(SUBSTITUTE(SUBSTITUTE(SUBSTITUTE(SUBSTITUTE(ASC(I172&amp;""),"約",""),"程度",""),"ほど",""),"回",""),"毎",""),"週",""),"月",""),"年",""),"日",""),"に",""),"/","")," ","")),""))</f>
        <v/>
      </c>
      <c r="AM172" s="34">
        <f>IF(I172="","",IF(ISNUMBER(I172),I172,IFERROR(VALUE(ASC(I172&amp;"")),IF(AL172&lt;&gt;"",AL172*IF(ISNUMBER(SEARCH("週",I172)),4.3,IF(ISNUMBER(SEARCH("年",I172)),1/12,IF(ISNUMBER(SEARCH("日",I172)),20,1))),IF(ISNUMBER(SEARCH("日",I172)),20,IF(ISNUMBER(SEARCH("週",I172)),4.3,IF(ISNUMBER(SEARCH("月",I172)),1,"")))))))</f>
        <v/>
      </c>
      <c r="AN172" s="34">
        <f>IF(J172="","",IF(ISNUMBER(J172),J172,IFERROR(VALUE(ASC(J172&amp;"")),IF(ISNUMBER(SEARCH("時間",J172)),IFERROR(VALUE(SUBSTITUTE(SUBSTITUTE(SUBSTITUTE(SUBSTITUTE(SUBSTITUTE(ASC(J172&amp;""),"約",""),"程度",""),"ほど",""),"時間","")," ",""))*60,""),IFERROR(VALUE(SUBSTITUTE(SUBSTITUTE(SUBSTITUTE(SUBSTITUTE(SUBSTITUTE(ASC(J172&amp;""),"約",""),"程度",""),"ほど",""),"分","")," ","")),"")))))</f>
        <v/>
      </c>
      <c r="AO172" s="34">
        <f>IF(K172="","",IF(ISNUMBER(K172),K172,IFERROR(VALUE(SUBSTITUTE(SUBSTITUTE(SUBSTITUTE(ASC(K172&amp;""),"約",""),"件","")," ","")),"")))</f>
        <v/>
      </c>
      <c r="AP172" s="34">
        <f>IF(W172&lt;&gt;"OK","",IF(COUNTIFS($D$5:$D$404,D172,$W$5:$W$404,"OK")&gt;1,"同名あり",""))</f>
        <v/>
      </c>
      <c r="AQ172" s="35">
        <f>IF(L172="","",IF(ISNUMBER(L172),L172,IFERROR(DATEVALUE(SUBSTITUTE(SUBSTITUTE(ASC(L172&amp;""),"-","/"),".","/")&amp;"/01"),"")))</f>
        <v/>
      </c>
      <c r="AR172" s="35">
        <f>IF(M172="","",IF(ISNUMBER(M172),M172,IFERROR(DATEVALUE(SUBSTITUTE(SUBSTITUTE(ASC(M172&amp;""),"-","/"),".","/")&amp;"/01"),"")))</f>
        <v/>
      </c>
      <c r="AS172" s="34">
        <f>IF(OR(W172&lt;&gt;"OK",AQ172=""),"",IF(AQ172&gt;='01_設定'!$C$26,1,0))</f>
        <v/>
      </c>
      <c r="AT172" s="34">
        <f>IF(AND(W172="OK",Y172&lt;&gt;"除外"),COUNTIFS($W$5:W172,"OK",$Y$5:Y172,"&lt;&gt;除外"),"")</f>
        <v/>
      </c>
      <c r="AU172" s="34">
        <f>IF(OR(AT172="",AD172=""),"",AD172+ROW()/1000000000)</f>
        <v/>
      </c>
    </row>
    <row r="173">
      <c r="W173">
        <f>IF(AND(A173="",D173=""),"",IF(ISNUMBER(SEARCH("##END",AH173)),"（終わりの印）",IF(ISNUMBER(SEARCH("##続き",AH173)),"（続きありの印）",IF(AH173="調査ID","（見出し行）",IF(AND(AH173&lt;&gt;"R1",AH173&lt;&gt;"R2"),"×表以外の行（集計されない）",IF(COUNTIF($AI$5:AI173,AI173)&gt;1,"△重複（集計されない）",IF(D173="","△タスク名なし",IF(ISNA(MATCH(AK173,'M1_類型マスタ'!$A$5:$A$19,0)),"△類型が不正",IF(OR(AM173="",AN173=""),"△回数・分が読めない",IF(SUMPRODUCT(--ISNUMBER(--O173:U173))&lt;7,"△採点が足りない",IF(SUMPRODUCT((--O173:U173&gt;2)+(--O173:U173&lt;0))&gt;0,"△採点が範囲外","OK")))))))))))</f>
        <v/>
      </c>
      <c r="X173">
        <f>IF(W173&lt;&gt;"OK","",TRIM(IF(AND(AO173&lt;&gt;"",N(AO173)&lt;=1),"根拠1件 ","")&amp;IF(AP173&lt;&gt;"","同名あり ","")&amp;IF(AND(NOT(ISNUMBER(I173)),I173&lt;&gt;""),"回数を換算 ","")))</f>
        <v/>
      </c>
      <c r="Y173" s="31" t="n"/>
      <c r="Z173" s="32" t="n"/>
      <c r="AA173" s="32" t="n"/>
      <c r="AB173" s="31" t="n"/>
      <c r="AC173">
        <f>IF(W173&lt;&gt;"OK","",IF(AB173&lt;&gt;"",AB173,AE173))</f>
        <v/>
      </c>
      <c r="AD173" s="33">
        <f>IF(W173&lt;&gt;"OK","",IFERROR(IF(Z173&lt;&gt;"",Z173,AM173)*IF(AA173&lt;&gt;"",AA173,AN173)/60,""))</f>
        <v/>
      </c>
      <c r="AE173">
        <f>IF(W173&lt;&gt;"OK","",IF(OR(VALUE(O173)=2,VALUE(P173)=2,VALUE(Q173)=2),"社内残置",IF(AND(VALUE(O173)=0,VALUE(R173)=0,VALUE(T173)=0),"自動化候補",IF(AND(VALUE(P173)=0,VALUE(R173)&lt;=1,VALUE(S173)&lt;=1,VALUE(T173)&lt;=1,VALUE(U173)&lt;=1),"オフショア候補",IF(AND(VALUE(T173)&lt;=1,VALUE(U173)&lt;=1),"ニアショア候補","社内で手順化→再評価")))))</f>
        <v/>
      </c>
      <c r="AF173">
        <f>IF(W173&lt;&gt;"OK","",14-SUMPRODUCT(--O173:U173))</f>
        <v/>
      </c>
      <c r="AG173" s="33">
        <f>IF(W173&lt;&gt;"OK","",AM173*AN173/60)</f>
        <v/>
      </c>
      <c r="AH173" s="34">
        <f>IF(A173="","",UPPER(TRIM(ASC(A173&amp;""))))</f>
        <v/>
      </c>
      <c r="AI173" s="34">
        <f>IF(AH173="","",AH173&amp;"-"&amp;B173)</f>
        <v/>
      </c>
      <c r="AJ173" s="34">
        <f>IF(C173="","",IFERROR(VALUE(ASC(SUBSTITUTE(C173&amp;"","観点",""))),""))</f>
        <v/>
      </c>
      <c r="AK173" s="34">
        <f>IF(E173="","",UPPER(LEFT(TRIM(ASC(E173&amp;"")),3)))</f>
        <v/>
      </c>
      <c r="AL173" s="34">
        <f>IF(I173="","",IFERROR(VALUE(SUBSTITUTE(SUBSTITUTE(SUBSTITUTE(SUBSTITUTE(SUBSTITUTE(SUBSTITUTE(SUBSTITUTE(SUBSTITUTE(SUBSTITUTE(SUBSTITUTE(SUBSTITUTE(SUBSTITUTE(ASC(I173&amp;""),"約",""),"程度",""),"ほど",""),"回",""),"毎",""),"週",""),"月",""),"年",""),"日",""),"に",""),"/","")," ","")),""))</f>
        <v/>
      </c>
      <c r="AM173" s="34">
        <f>IF(I173="","",IF(ISNUMBER(I173),I173,IFERROR(VALUE(ASC(I173&amp;"")),IF(AL173&lt;&gt;"",AL173*IF(ISNUMBER(SEARCH("週",I173)),4.3,IF(ISNUMBER(SEARCH("年",I173)),1/12,IF(ISNUMBER(SEARCH("日",I173)),20,1))),IF(ISNUMBER(SEARCH("日",I173)),20,IF(ISNUMBER(SEARCH("週",I173)),4.3,IF(ISNUMBER(SEARCH("月",I173)),1,"")))))))</f>
        <v/>
      </c>
      <c r="AN173" s="34">
        <f>IF(J173="","",IF(ISNUMBER(J173),J173,IFERROR(VALUE(ASC(J173&amp;"")),IF(ISNUMBER(SEARCH("時間",J173)),IFERROR(VALUE(SUBSTITUTE(SUBSTITUTE(SUBSTITUTE(SUBSTITUTE(SUBSTITUTE(ASC(J173&amp;""),"約",""),"程度",""),"ほど",""),"時間","")," ",""))*60,""),IFERROR(VALUE(SUBSTITUTE(SUBSTITUTE(SUBSTITUTE(SUBSTITUTE(SUBSTITUTE(ASC(J173&amp;""),"約",""),"程度",""),"ほど",""),"分","")," ","")),"")))))</f>
        <v/>
      </c>
      <c r="AO173" s="34">
        <f>IF(K173="","",IF(ISNUMBER(K173),K173,IFERROR(VALUE(SUBSTITUTE(SUBSTITUTE(SUBSTITUTE(ASC(K173&amp;""),"約",""),"件","")," ","")),"")))</f>
        <v/>
      </c>
      <c r="AP173" s="34">
        <f>IF(W173&lt;&gt;"OK","",IF(COUNTIFS($D$5:$D$404,D173,$W$5:$W$404,"OK")&gt;1,"同名あり",""))</f>
        <v/>
      </c>
      <c r="AQ173" s="35">
        <f>IF(L173="","",IF(ISNUMBER(L173),L173,IFERROR(DATEVALUE(SUBSTITUTE(SUBSTITUTE(ASC(L173&amp;""),"-","/"),".","/")&amp;"/01"),"")))</f>
        <v/>
      </c>
      <c r="AR173" s="35">
        <f>IF(M173="","",IF(ISNUMBER(M173),M173,IFERROR(DATEVALUE(SUBSTITUTE(SUBSTITUTE(ASC(M173&amp;""),"-","/"),".","/")&amp;"/01"),"")))</f>
        <v/>
      </c>
      <c r="AS173" s="34">
        <f>IF(OR(W173&lt;&gt;"OK",AQ173=""),"",IF(AQ173&gt;='01_設定'!$C$26,1,0))</f>
        <v/>
      </c>
      <c r="AT173" s="34">
        <f>IF(AND(W173="OK",Y173&lt;&gt;"除外"),COUNTIFS($W$5:W173,"OK",$Y$5:Y173,"&lt;&gt;除外"),"")</f>
        <v/>
      </c>
      <c r="AU173" s="34">
        <f>IF(OR(AT173="",AD173=""),"",AD173+ROW()/1000000000)</f>
        <v/>
      </c>
    </row>
    <row r="174">
      <c r="W174">
        <f>IF(AND(A174="",D174=""),"",IF(ISNUMBER(SEARCH("##END",AH174)),"（終わりの印）",IF(ISNUMBER(SEARCH("##続き",AH174)),"（続きありの印）",IF(AH174="調査ID","（見出し行）",IF(AND(AH174&lt;&gt;"R1",AH174&lt;&gt;"R2"),"×表以外の行（集計されない）",IF(COUNTIF($AI$5:AI174,AI174)&gt;1,"△重複（集計されない）",IF(D174="","△タスク名なし",IF(ISNA(MATCH(AK174,'M1_類型マスタ'!$A$5:$A$19,0)),"△類型が不正",IF(OR(AM174="",AN174=""),"△回数・分が読めない",IF(SUMPRODUCT(--ISNUMBER(--O174:U174))&lt;7,"△採点が足りない",IF(SUMPRODUCT((--O174:U174&gt;2)+(--O174:U174&lt;0))&gt;0,"△採点が範囲外","OK")))))))))))</f>
        <v/>
      </c>
      <c r="X174">
        <f>IF(W174&lt;&gt;"OK","",TRIM(IF(AND(AO174&lt;&gt;"",N(AO174)&lt;=1),"根拠1件 ","")&amp;IF(AP174&lt;&gt;"","同名あり ","")&amp;IF(AND(NOT(ISNUMBER(I174)),I174&lt;&gt;""),"回数を換算 ","")))</f>
        <v/>
      </c>
      <c r="Y174" s="31" t="n"/>
      <c r="Z174" s="32" t="n"/>
      <c r="AA174" s="32" t="n"/>
      <c r="AB174" s="31" t="n"/>
      <c r="AC174">
        <f>IF(W174&lt;&gt;"OK","",IF(AB174&lt;&gt;"",AB174,AE174))</f>
        <v/>
      </c>
      <c r="AD174" s="33">
        <f>IF(W174&lt;&gt;"OK","",IFERROR(IF(Z174&lt;&gt;"",Z174,AM174)*IF(AA174&lt;&gt;"",AA174,AN174)/60,""))</f>
        <v/>
      </c>
      <c r="AE174">
        <f>IF(W174&lt;&gt;"OK","",IF(OR(VALUE(O174)=2,VALUE(P174)=2,VALUE(Q174)=2),"社内残置",IF(AND(VALUE(O174)=0,VALUE(R174)=0,VALUE(T174)=0),"自動化候補",IF(AND(VALUE(P174)=0,VALUE(R174)&lt;=1,VALUE(S174)&lt;=1,VALUE(T174)&lt;=1,VALUE(U174)&lt;=1),"オフショア候補",IF(AND(VALUE(T174)&lt;=1,VALUE(U174)&lt;=1),"ニアショア候補","社内で手順化→再評価")))))</f>
        <v/>
      </c>
      <c r="AF174">
        <f>IF(W174&lt;&gt;"OK","",14-SUMPRODUCT(--O174:U174))</f>
        <v/>
      </c>
      <c r="AG174" s="33">
        <f>IF(W174&lt;&gt;"OK","",AM174*AN174/60)</f>
        <v/>
      </c>
      <c r="AH174" s="34">
        <f>IF(A174="","",UPPER(TRIM(ASC(A174&amp;""))))</f>
        <v/>
      </c>
      <c r="AI174" s="34">
        <f>IF(AH174="","",AH174&amp;"-"&amp;B174)</f>
        <v/>
      </c>
      <c r="AJ174" s="34">
        <f>IF(C174="","",IFERROR(VALUE(ASC(SUBSTITUTE(C174&amp;"","観点",""))),""))</f>
        <v/>
      </c>
      <c r="AK174" s="34">
        <f>IF(E174="","",UPPER(LEFT(TRIM(ASC(E174&amp;"")),3)))</f>
        <v/>
      </c>
      <c r="AL174" s="34">
        <f>IF(I174="","",IFERROR(VALUE(SUBSTITUTE(SUBSTITUTE(SUBSTITUTE(SUBSTITUTE(SUBSTITUTE(SUBSTITUTE(SUBSTITUTE(SUBSTITUTE(SUBSTITUTE(SUBSTITUTE(SUBSTITUTE(SUBSTITUTE(ASC(I174&amp;""),"約",""),"程度",""),"ほど",""),"回",""),"毎",""),"週",""),"月",""),"年",""),"日",""),"に",""),"/","")," ","")),""))</f>
        <v/>
      </c>
      <c r="AM174" s="34">
        <f>IF(I174="","",IF(ISNUMBER(I174),I174,IFERROR(VALUE(ASC(I174&amp;"")),IF(AL174&lt;&gt;"",AL174*IF(ISNUMBER(SEARCH("週",I174)),4.3,IF(ISNUMBER(SEARCH("年",I174)),1/12,IF(ISNUMBER(SEARCH("日",I174)),20,1))),IF(ISNUMBER(SEARCH("日",I174)),20,IF(ISNUMBER(SEARCH("週",I174)),4.3,IF(ISNUMBER(SEARCH("月",I174)),1,"")))))))</f>
        <v/>
      </c>
      <c r="AN174" s="34">
        <f>IF(J174="","",IF(ISNUMBER(J174),J174,IFERROR(VALUE(ASC(J174&amp;"")),IF(ISNUMBER(SEARCH("時間",J174)),IFERROR(VALUE(SUBSTITUTE(SUBSTITUTE(SUBSTITUTE(SUBSTITUTE(SUBSTITUTE(ASC(J174&amp;""),"約",""),"程度",""),"ほど",""),"時間","")," ",""))*60,""),IFERROR(VALUE(SUBSTITUTE(SUBSTITUTE(SUBSTITUTE(SUBSTITUTE(SUBSTITUTE(ASC(J174&amp;""),"約",""),"程度",""),"ほど",""),"分","")," ","")),"")))))</f>
        <v/>
      </c>
      <c r="AO174" s="34">
        <f>IF(K174="","",IF(ISNUMBER(K174),K174,IFERROR(VALUE(SUBSTITUTE(SUBSTITUTE(SUBSTITUTE(ASC(K174&amp;""),"約",""),"件","")," ","")),"")))</f>
        <v/>
      </c>
      <c r="AP174" s="34">
        <f>IF(W174&lt;&gt;"OK","",IF(COUNTIFS($D$5:$D$404,D174,$W$5:$W$404,"OK")&gt;1,"同名あり",""))</f>
        <v/>
      </c>
      <c r="AQ174" s="35">
        <f>IF(L174="","",IF(ISNUMBER(L174),L174,IFERROR(DATEVALUE(SUBSTITUTE(SUBSTITUTE(ASC(L174&amp;""),"-","/"),".","/")&amp;"/01"),"")))</f>
        <v/>
      </c>
      <c r="AR174" s="35">
        <f>IF(M174="","",IF(ISNUMBER(M174),M174,IFERROR(DATEVALUE(SUBSTITUTE(SUBSTITUTE(ASC(M174&amp;""),"-","/"),".","/")&amp;"/01"),"")))</f>
        <v/>
      </c>
      <c r="AS174" s="34">
        <f>IF(OR(W174&lt;&gt;"OK",AQ174=""),"",IF(AQ174&gt;='01_設定'!$C$26,1,0))</f>
        <v/>
      </c>
      <c r="AT174" s="34">
        <f>IF(AND(W174="OK",Y174&lt;&gt;"除外"),COUNTIFS($W$5:W174,"OK",$Y$5:Y174,"&lt;&gt;除外"),"")</f>
        <v/>
      </c>
      <c r="AU174" s="34">
        <f>IF(OR(AT174="",AD174=""),"",AD174+ROW()/1000000000)</f>
        <v/>
      </c>
    </row>
    <row r="175">
      <c r="W175">
        <f>IF(AND(A175="",D175=""),"",IF(ISNUMBER(SEARCH("##END",AH175)),"（終わりの印）",IF(ISNUMBER(SEARCH("##続き",AH175)),"（続きありの印）",IF(AH175="調査ID","（見出し行）",IF(AND(AH175&lt;&gt;"R1",AH175&lt;&gt;"R2"),"×表以外の行（集計されない）",IF(COUNTIF($AI$5:AI175,AI175)&gt;1,"△重複（集計されない）",IF(D175="","△タスク名なし",IF(ISNA(MATCH(AK175,'M1_類型マスタ'!$A$5:$A$19,0)),"△類型が不正",IF(OR(AM175="",AN175=""),"△回数・分が読めない",IF(SUMPRODUCT(--ISNUMBER(--O175:U175))&lt;7,"△採点が足りない",IF(SUMPRODUCT((--O175:U175&gt;2)+(--O175:U175&lt;0))&gt;0,"△採点が範囲外","OK")))))))))))</f>
        <v/>
      </c>
      <c r="X175">
        <f>IF(W175&lt;&gt;"OK","",TRIM(IF(AND(AO175&lt;&gt;"",N(AO175)&lt;=1),"根拠1件 ","")&amp;IF(AP175&lt;&gt;"","同名あり ","")&amp;IF(AND(NOT(ISNUMBER(I175)),I175&lt;&gt;""),"回数を換算 ","")))</f>
        <v/>
      </c>
      <c r="Y175" s="31" t="n"/>
      <c r="Z175" s="32" t="n"/>
      <c r="AA175" s="32" t="n"/>
      <c r="AB175" s="31" t="n"/>
      <c r="AC175">
        <f>IF(W175&lt;&gt;"OK","",IF(AB175&lt;&gt;"",AB175,AE175))</f>
        <v/>
      </c>
      <c r="AD175" s="33">
        <f>IF(W175&lt;&gt;"OK","",IFERROR(IF(Z175&lt;&gt;"",Z175,AM175)*IF(AA175&lt;&gt;"",AA175,AN175)/60,""))</f>
        <v/>
      </c>
      <c r="AE175">
        <f>IF(W175&lt;&gt;"OK","",IF(OR(VALUE(O175)=2,VALUE(P175)=2,VALUE(Q175)=2),"社内残置",IF(AND(VALUE(O175)=0,VALUE(R175)=0,VALUE(T175)=0),"自動化候補",IF(AND(VALUE(P175)=0,VALUE(R175)&lt;=1,VALUE(S175)&lt;=1,VALUE(T175)&lt;=1,VALUE(U175)&lt;=1),"オフショア候補",IF(AND(VALUE(T175)&lt;=1,VALUE(U175)&lt;=1),"ニアショア候補","社内で手順化→再評価")))))</f>
        <v/>
      </c>
      <c r="AF175">
        <f>IF(W175&lt;&gt;"OK","",14-SUMPRODUCT(--O175:U175))</f>
        <v/>
      </c>
      <c r="AG175" s="33">
        <f>IF(W175&lt;&gt;"OK","",AM175*AN175/60)</f>
        <v/>
      </c>
      <c r="AH175" s="34">
        <f>IF(A175="","",UPPER(TRIM(ASC(A175&amp;""))))</f>
        <v/>
      </c>
      <c r="AI175" s="34">
        <f>IF(AH175="","",AH175&amp;"-"&amp;B175)</f>
        <v/>
      </c>
      <c r="AJ175" s="34">
        <f>IF(C175="","",IFERROR(VALUE(ASC(SUBSTITUTE(C175&amp;"","観点",""))),""))</f>
        <v/>
      </c>
      <c r="AK175" s="34">
        <f>IF(E175="","",UPPER(LEFT(TRIM(ASC(E175&amp;"")),3)))</f>
        <v/>
      </c>
      <c r="AL175" s="34">
        <f>IF(I175="","",IFERROR(VALUE(SUBSTITUTE(SUBSTITUTE(SUBSTITUTE(SUBSTITUTE(SUBSTITUTE(SUBSTITUTE(SUBSTITUTE(SUBSTITUTE(SUBSTITUTE(SUBSTITUTE(SUBSTITUTE(SUBSTITUTE(ASC(I175&amp;""),"約",""),"程度",""),"ほど",""),"回",""),"毎",""),"週",""),"月",""),"年",""),"日",""),"に",""),"/","")," ","")),""))</f>
        <v/>
      </c>
      <c r="AM175" s="34">
        <f>IF(I175="","",IF(ISNUMBER(I175),I175,IFERROR(VALUE(ASC(I175&amp;"")),IF(AL175&lt;&gt;"",AL175*IF(ISNUMBER(SEARCH("週",I175)),4.3,IF(ISNUMBER(SEARCH("年",I175)),1/12,IF(ISNUMBER(SEARCH("日",I175)),20,1))),IF(ISNUMBER(SEARCH("日",I175)),20,IF(ISNUMBER(SEARCH("週",I175)),4.3,IF(ISNUMBER(SEARCH("月",I175)),1,"")))))))</f>
        <v/>
      </c>
      <c r="AN175" s="34">
        <f>IF(J175="","",IF(ISNUMBER(J175),J175,IFERROR(VALUE(ASC(J175&amp;"")),IF(ISNUMBER(SEARCH("時間",J175)),IFERROR(VALUE(SUBSTITUTE(SUBSTITUTE(SUBSTITUTE(SUBSTITUTE(SUBSTITUTE(ASC(J175&amp;""),"約",""),"程度",""),"ほど",""),"時間","")," ",""))*60,""),IFERROR(VALUE(SUBSTITUTE(SUBSTITUTE(SUBSTITUTE(SUBSTITUTE(SUBSTITUTE(ASC(J175&amp;""),"約",""),"程度",""),"ほど",""),"分","")," ","")),"")))))</f>
        <v/>
      </c>
      <c r="AO175" s="34">
        <f>IF(K175="","",IF(ISNUMBER(K175),K175,IFERROR(VALUE(SUBSTITUTE(SUBSTITUTE(SUBSTITUTE(ASC(K175&amp;""),"約",""),"件","")," ","")),"")))</f>
        <v/>
      </c>
      <c r="AP175" s="34">
        <f>IF(W175&lt;&gt;"OK","",IF(COUNTIFS($D$5:$D$404,D175,$W$5:$W$404,"OK")&gt;1,"同名あり",""))</f>
        <v/>
      </c>
      <c r="AQ175" s="35">
        <f>IF(L175="","",IF(ISNUMBER(L175),L175,IFERROR(DATEVALUE(SUBSTITUTE(SUBSTITUTE(ASC(L175&amp;""),"-","/"),".","/")&amp;"/01"),"")))</f>
        <v/>
      </c>
      <c r="AR175" s="35">
        <f>IF(M175="","",IF(ISNUMBER(M175),M175,IFERROR(DATEVALUE(SUBSTITUTE(SUBSTITUTE(ASC(M175&amp;""),"-","/"),".","/")&amp;"/01"),"")))</f>
        <v/>
      </c>
      <c r="AS175" s="34">
        <f>IF(OR(W175&lt;&gt;"OK",AQ175=""),"",IF(AQ175&gt;='01_設定'!$C$26,1,0))</f>
        <v/>
      </c>
      <c r="AT175" s="34">
        <f>IF(AND(W175="OK",Y175&lt;&gt;"除外"),COUNTIFS($W$5:W175,"OK",$Y$5:Y175,"&lt;&gt;除外"),"")</f>
        <v/>
      </c>
      <c r="AU175" s="34">
        <f>IF(OR(AT175="",AD175=""),"",AD175+ROW()/1000000000)</f>
        <v/>
      </c>
    </row>
    <row r="176">
      <c r="W176">
        <f>IF(AND(A176="",D176=""),"",IF(ISNUMBER(SEARCH("##END",AH176)),"（終わりの印）",IF(ISNUMBER(SEARCH("##続き",AH176)),"（続きありの印）",IF(AH176="調査ID","（見出し行）",IF(AND(AH176&lt;&gt;"R1",AH176&lt;&gt;"R2"),"×表以外の行（集計されない）",IF(COUNTIF($AI$5:AI176,AI176)&gt;1,"△重複（集計されない）",IF(D176="","△タスク名なし",IF(ISNA(MATCH(AK176,'M1_類型マスタ'!$A$5:$A$19,0)),"△類型が不正",IF(OR(AM176="",AN176=""),"△回数・分が読めない",IF(SUMPRODUCT(--ISNUMBER(--O176:U176))&lt;7,"△採点が足りない",IF(SUMPRODUCT((--O176:U176&gt;2)+(--O176:U176&lt;0))&gt;0,"△採点が範囲外","OK")))))))))))</f>
        <v/>
      </c>
      <c r="X176">
        <f>IF(W176&lt;&gt;"OK","",TRIM(IF(AND(AO176&lt;&gt;"",N(AO176)&lt;=1),"根拠1件 ","")&amp;IF(AP176&lt;&gt;"","同名あり ","")&amp;IF(AND(NOT(ISNUMBER(I176)),I176&lt;&gt;""),"回数を換算 ","")))</f>
        <v/>
      </c>
      <c r="Y176" s="31" t="n"/>
      <c r="Z176" s="32" t="n"/>
      <c r="AA176" s="32" t="n"/>
      <c r="AB176" s="31" t="n"/>
      <c r="AC176">
        <f>IF(W176&lt;&gt;"OK","",IF(AB176&lt;&gt;"",AB176,AE176))</f>
        <v/>
      </c>
      <c r="AD176" s="33">
        <f>IF(W176&lt;&gt;"OK","",IFERROR(IF(Z176&lt;&gt;"",Z176,AM176)*IF(AA176&lt;&gt;"",AA176,AN176)/60,""))</f>
        <v/>
      </c>
      <c r="AE176">
        <f>IF(W176&lt;&gt;"OK","",IF(OR(VALUE(O176)=2,VALUE(P176)=2,VALUE(Q176)=2),"社内残置",IF(AND(VALUE(O176)=0,VALUE(R176)=0,VALUE(T176)=0),"自動化候補",IF(AND(VALUE(P176)=0,VALUE(R176)&lt;=1,VALUE(S176)&lt;=1,VALUE(T176)&lt;=1,VALUE(U176)&lt;=1),"オフショア候補",IF(AND(VALUE(T176)&lt;=1,VALUE(U176)&lt;=1),"ニアショア候補","社内で手順化→再評価")))))</f>
        <v/>
      </c>
      <c r="AF176">
        <f>IF(W176&lt;&gt;"OK","",14-SUMPRODUCT(--O176:U176))</f>
        <v/>
      </c>
      <c r="AG176" s="33">
        <f>IF(W176&lt;&gt;"OK","",AM176*AN176/60)</f>
        <v/>
      </c>
      <c r="AH176" s="34">
        <f>IF(A176="","",UPPER(TRIM(ASC(A176&amp;""))))</f>
        <v/>
      </c>
      <c r="AI176" s="34">
        <f>IF(AH176="","",AH176&amp;"-"&amp;B176)</f>
        <v/>
      </c>
      <c r="AJ176" s="34">
        <f>IF(C176="","",IFERROR(VALUE(ASC(SUBSTITUTE(C176&amp;"","観点",""))),""))</f>
        <v/>
      </c>
      <c r="AK176" s="34">
        <f>IF(E176="","",UPPER(LEFT(TRIM(ASC(E176&amp;"")),3)))</f>
        <v/>
      </c>
      <c r="AL176" s="34">
        <f>IF(I176="","",IFERROR(VALUE(SUBSTITUTE(SUBSTITUTE(SUBSTITUTE(SUBSTITUTE(SUBSTITUTE(SUBSTITUTE(SUBSTITUTE(SUBSTITUTE(SUBSTITUTE(SUBSTITUTE(SUBSTITUTE(SUBSTITUTE(ASC(I176&amp;""),"約",""),"程度",""),"ほど",""),"回",""),"毎",""),"週",""),"月",""),"年",""),"日",""),"に",""),"/","")," ","")),""))</f>
        <v/>
      </c>
      <c r="AM176" s="34">
        <f>IF(I176="","",IF(ISNUMBER(I176),I176,IFERROR(VALUE(ASC(I176&amp;"")),IF(AL176&lt;&gt;"",AL176*IF(ISNUMBER(SEARCH("週",I176)),4.3,IF(ISNUMBER(SEARCH("年",I176)),1/12,IF(ISNUMBER(SEARCH("日",I176)),20,1))),IF(ISNUMBER(SEARCH("日",I176)),20,IF(ISNUMBER(SEARCH("週",I176)),4.3,IF(ISNUMBER(SEARCH("月",I176)),1,"")))))))</f>
        <v/>
      </c>
      <c r="AN176" s="34">
        <f>IF(J176="","",IF(ISNUMBER(J176),J176,IFERROR(VALUE(ASC(J176&amp;"")),IF(ISNUMBER(SEARCH("時間",J176)),IFERROR(VALUE(SUBSTITUTE(SUBSTITUTE(SUBSTITUTE(SUBSTITUTE(SUBSTITUTE(ASC(J176&amp;""),"約",""),"程度",""),"ほど",""),"時間","")," ",""))*60,""),IFERROR(VALUE(SUBSTITUTE(SUBSTITUTE(SUBSTITUTE(SUBSTITUTE(SUBSTITUTE(ASC(J176&amp;""),"約",""),"程度",""),"ほど",""),"分","")," ","")),"")))))</f>
        <v/>
      </c>
      <c r="AO176" s="34">
        <f>IF(K176="","",IF(ISNUMBER(K176),K176,IFERROR(VALUE(SUBSTITUTE(SUBSTITUTE(SUBSTITUTE(ASC(K176&amp;""),"約",""),"件","")," ","")),"")))</f>
        <v/>
      </c>
      <c r="AP176" s="34">
        <f>IF(W176&lt;&gt;"OK","",IF(COUNTIFS($D$5:$D$404,D176,$W$5:$W$404,"OK")&gt;1,"同名あり",""))</f>
        <v/>
      </c>
      <c r="AQ176" s="35">
        <f>IF(L176="","",IF(ISNUMBER(L176),L176,IFERROR(DATEVALUE(SUBSTITUTE(SUBSTITUTE(ASC(L176&amp;""),"-","/"),".","/")&amp;"/01"),"")))</f>
        <v/>
      </c>
      <c r="AR176" s="35">
        <f>IF(M176="","",IF(ISNUMBER(M176),M176,IFERROR(DATEVALUE(SUBSTITUTE(SUBSTITUTE(ASC(M176&amp;""),"-","/"),".","/")&amp;"/01"),"")))</f>
        <v/>
      </c>
      <c r="AS176" s="34">
        <f>IF(OR(W176&lt;&gt;"OK",AQ176=""),"",IF(AQ176&gt;='01_設定'!$C$26,1,0))</f>
        <v/>
      </c>
      <c r="AT176" s="34">
        <f>IF(AND(W176="OK",Y176&lt;&gt;"除外"),COUNTIFS($W$5:W176,"OK",$Y$5:Y176,"&lt;&gt;除外"),"")</f>
        <v/>
      </c>
      <c r="AU176" s="34">
        <f>IF(OR(AT176="",AD176=""),"",AD176+ROW()/1000000000)</f>
        <v/>
      </c>
    </row>
    <row r="177">
      <c r="W177">
        <f>IF(AND(A177="",D177=""),"",IF(ISNUMBER(SEARCH("##END",AH177)),"（終わりの印）",IF(ISNUMBER(SEARCH("##続き",AH177)),"（続きありの印）",IF(AH177="調査ID","（見出し行）",IF(AND(AH177&lt;&gt;"R1",AH177&lt;&gt;"R2"),"×表以外の行（集計されない）",IF(COUNTIF($AI$5:AI177,AI177)&gt;1,"△重複（集計されない）",IF(D177="","△タスク名なし",IF(ISNA(MATCH(AK177,'M1_類型マスタ'!$A$5:$A$19,0)),"△類型が不正",IF(OR(AM177="",AN177=""),"△回数・分が読めない",IF(SUMPRODUCT(--ISNUMBER(--O177:U177))&lt;7,"△採点が足りない",IF(SUMPRODUCT((--O177:U177&gt;2)+(--O177:U177&lt;0))&gt;0,"△採点が範囲外","OK")))))))))))</f>
        <v/>
      </c>
      <c r="X177">
        <f>IF(W177&lt;&gt;"OK","",TRIM(IF(AND(AO177&lt;&gt;"",N(AO177)&lt;=1),"根拠1件 ","")&amp;IF(AP177&lt;&gt;"","同名あり ","")&amp;IF(AND(NOT(ISNUMBER(I177)),I177&lt;&gt;""),"回数を換算 ","")))</f>
        <v/>
      </c>
      <c r="Y177" s="31" t="n"/>
      <c r="Z177" s="32" t="n"/>
      <c r="AA177" s="32" t="n"/>
      <c r="AB177" s="31" t="n"/>
      <c r="AC177">
        <f>IF(W177&lt;&gt;"OK","",IF(AB177&lt;&gt;"",AB177,AE177))</f>
        <v/>
      </c>
      <c r="AD177" s="33">
        <f>IF(W177&lt;&gt;"OK","",IFERROR(IF(Z177&lt;&gt;"",Z177,AM177)*IF(AA177&lt;&gt;"",AA177,AN177)/60,""))</f>
        <v/>
      </c>
      <c r="AE177">
        <f>IF(W177&lt;&gt;"OK","",IF(OR(VALUE(O177)=2,VALUE(P177)=2,VALUE(Q177)=2),"社内残置",IF(AND(VALUE(O177)=0,VALUE(R177)=0,VALUE(T177)=0),"自動化候補",IF(AND(VALUE(P177)=0,VALUE(R177)&lt;=1,VALUE(S177)&lt;=1,VALUE(T177)&lt;=1,VALUE(U177)&lt;=1),"オフショア候補",IF(AND(VALUE(T177)&lt;=1,VALUE(U177)&lt;=1),"ニアショア候補","社内で手順化→再評価")))))</f>
        <v/>
      </c>
      <c r="AF177">
        <f>IF(W177&lt;&gt;"OK","",14-SUMPRODUCT(--O177:U177))</f>
        <v/>
      </c>
      <c r="AG177" s="33">
        <f>IF(W177&lt;&gt;"OK","",AM177*AN177/60)</f>
        <v/>
      </c>
      <c r="AH177" s="34">
        <f>IF(A177="","",UPPER(TRIM(ASC(A177&amp;""))))</f>
        <v/>
      </c>
      <c r="AI177" s="34">
        <f>IF(AH177="","",AH177&amp;"-"&amp;B177)</f>
        <v/>
      </c>
      <c r="AJ177" s="34">
        <f>IF(C177="","",IFERROR(VALUE(ASC(SUBSTITUTE(C177&amp;"","観点",""))),""))</f>
        <v/>
      </c>
      <c r="AK177" s="34">
        <f>IF(E177="","",UPPER(LEFT(TRIM(ASC(E177&amp;"")),3)))</f>
        <v/>
      </c>
      <c r="AL177" s="34">
        <f>IF(I177="","",IFERROR(VALUE(SUBSTITUTE(SUBSTITUTE(SUBSTITUTE(SUBSTITUTE(SUBSTITUTE(SUBSTITUTE(SUBSTITUTE(SUBSTITUTE(SUBSTITUTE(SUBSTITUTE(SUBSTITUTE(SUBSTITUTE(ASC(I177&amp;""),"約",""),"程度",""),"ほど",""),"回",""),"毎",""),"週",""),"月",""),"年",""),"日",""),"に",""),"/","")," ","")),""))</f>
        <v/>
      </c>
      <c r="AM177" s="34">
        <f>IF(I177="","",IF(ISNUMBER(I177),I177,IFERROR(VALUE(ASC(I177&amp;"")),IF(AL177&lt;&gt;"",AL177*IF(ISNUMBER(SEARCH("週",I177)),4.3,IF(ISNUMBER(SEARCH("年",I177)),1/12,IF(ISNUMBER(SEARCH("日",I177)),20,1))),IF(ISNUMBER(SEARCH("日",I177)),20,IF(ISNUMBER(SEARCH("週",I177)),4.3,IF(ISNUMBER(SEARCH("月",I177)),1,"")))))))</f>
        <v/>
      </c>
      <c r="AN177" s="34">
        <f>IF(J177="","",IF(ISNUMBER(J177),J177,IFERROR(VALUE(ASC(J177&amp;"")),IF(ISNUMBER(SEARCH("時間",J177)),IFERROR(VALUE(SUBSTITUTE(SUBSTITUTE(SUBSTITUTE(SUBSTITUTE(SUBSTITUTE(ASC(J177&amp;""),"約",""),"程度",""),"ほど",""),"時間","")," ",""))*60,""),IFERROR(VALUE(SUBSTITUTE(SUBSTITUTE(SUBSTITUTE(SUBSTITUTE(SUBSTITUTE(ASC(J177&amp;""),"約",""),"程度",""),"ほど",""),"分","")," ","")),"")))))</f>
        <v/>
      </c>
      <c r="AO177" s="34">
        <f>IF(K177="","",IF(ISNUMBER(K177),K177,IFERROR(VALUE(SUBSTITUTE(SUBSTITUTE(SUBSTITUTE(ASC(K177&amp;""),"約",""),"件","")," ","")),"")))</f>
        <v/>
      </c>
      <c r="AP177" s="34">
        <f>IF(W177&lt;&gt;"OK","",IF(COUNTIFS($D$5:$D$404,D177,$W$5:$W$404,"OK")&gt;1,"同名あり",""))</f>
        <v/>
      </c>
      <c r="AQ177" s="35">
        <f>IF(L177="","",IF(ISNUMBER(L177),L177,IFERROR(DATEVALUE(SUBSTITUTE(SUBSTITUTE(ASC(L177&amp;""),"-","/"),".","/")&amp;"/01"),"")))</f>
        <v/>
      </c>
      <c r="AR177" s="35">
        <f>IF(M177="","",IF(ISNUMBER(M177),M177,IFERROR(DATEVALUE(SUBSTITUTE(SUBSTITUTE(ASC(M177&amp;""),"-","/"),".","/")&amp;"/01"),"")))</f>
        <v/>
      </c>
      <c r="AS177" s="34">
        <f>IF(OR(W177&lt;&gt;"OK",AQ177=""),"",IF(AQ177&gt;='01_設定'!$C$26,1,0))</f>
        <v/>
      </c>
      <c r="AT177" s="34">
        <f>IF(AND(W177="OK",Y177&lt;&gt;"除外"),COUNTIFS($W$5:W177,"OK",$Y$5:Y177,"&lt;&gt;除外"),"")</f>
        <v/>
      </c>
      <c r="AU177" s="34">
        <f>IF(OR(AT177="",AD177=""),"",AD177+ROW()/1000000000)</f>
        <v/>
      </c>
    </row>
    <row r="178">
      <c r="W178">
        <f>IF(AND(A178="",D178=""),"",IF(ISNUMBER(SEARCH("##END",AH178)),"（終わりの印）",IF(ISNUMBER(SEARCH("##続き",AH178)),"（続きありの印）",IF(AH178="調査ID","（見出し行）",IF(AND(AH178&lt;&gt;"R1",AH178&lt;&gt;"R2"),"×表以外の行（集計されない）",IF(COUNTIF($AI$5:AI178,AI178)&gt;1,"△重複（集計されない）",IF(D178="","△タスク名なし",IF(ISNA(MATCH(AK178,'M1_類型マスタ'!$A$5:$A$19,0)),"△類型が不正",IF(OR(AM178="",AN178=""),"△回数・分が読めない",IF(SUMPRODUCT(--ISNUMBER(--O178:U178))&lt;7,"△採点が足りない",IF(SUMPRODUCT((--O178:U178&gt;2)+(--O178:U178&lt;0))&gt;0,"△採点が範囲外","OK")))))))))))</f>
        <v/>
      </c>
      <c r="X178">
        <f>IF(W178&lt;&gt;"OK","",TRIM(IF(AND(AO178&lt;&gt;"",N(AO178)&lt;=1),"根拠1件 ","")&amp;IF(AP178&lt;&gt;"","同名あり ","")&amp;IF(AND(NOT(ISNUMBER(I178)),I178&lt;&gt;""),"回数を換算 ","")))</f>
        <v/>
      </c>
      <c r="Y178" s="31" t="n"/>
      <c r="Z178" s="32" t="n"/>
      <c r="AA178" s="32" t="n"/>
      <c r="AB178" s="31" t="n"/>
      <c r="AC178">
        <f>IF(W178&lt;&gt;"OK","",IF(AB178&lt;&gt;"",AB178,AE178))</f>
        <v/>
      </c>
      <c r="AD178" s="33">
        <f>IF(W178&lt;&gt;"OK","",IFERROR(IF(Z178&lt;&gt;"",Z178,AM178)*IF(AA178&lt;&gt;"",AA178,AN178)/60,""))</f>
        <v/>
      </c>
      <c r="AE178">
        <f>IF(W178&lt;&gt;"OK","",IF(OR(VALUE(O178)=2,VALUE(P178)=2,VALUE(Q178)=2),"社内残置",IF(AND(VALUE(O178)=0,VALUE(R178)=0,VALUE(T178)=0),"自動化候補",IF(AND(VALUE(P178)=0,VALUE(R178)&lt;=1,VALUE(S178)&lt;=1,VALUE(T178)&lt;=1,VALUE(U178)&lt;=1),"オフショア候補",IF(AND(VALUE(T178)&lt;=1,VALUE(U178)&lt;=1),"ニアショア候補","社内で手順化→再評価")))))</f>
        <v/>
      </c>
      <c r="AF178">
        <f>IF(W178&lt;&gt;"OK","",14-SUMPRODUCT(--O178:U178))</f>
        <v/>
      </c>
      <c r="AG178" s="33">
        <f>IF(W178&lt;&gt;"OK","",AM178*AN178/60)</f>
        <v/>
      </c>
      <c r="AH178" s="34">
        <f>IF(A178="","",UPPER(TRIM(ASC(A178&amp;""))))</f>
        <v/>
      </c>
      <c r="AI178" s="34">
        <f>IF(AH178="","",AH178&amp;"-"&amp;B178)</f>
        <v/>
      </c>
      <c r="AJ178" s="34">
        <f>IF(C178="","",IFERROR(VALUE(ASC(SUBSTITUTE(C178&amp;"","観点",""))),""))</f>
        <v/>
      </c>
      <c r="AK178" s="34">
        <f>IF(E178="","",UPPER(LEFT(TRIM(ASC(E178&amp;"")),3)))</f>
        <v/>
      </c>
      <c r="AL178" s="34">
        <f>IF(I178="","",IFERROR(VALUE(SUBSTITUTE(SUBSTITUTE(SUBSTITUTE(SUBSTITUTE(SUBSTITUTE(SUBSTITUTE(SUBSTITUTE(SUBSTITUTE(SUBSTITUTE(SUBSTITUTE(SUBSTITUTE(SUBSTITUTE(ASC(I178&amp;""),"約",""),"程度",""),"ほど",""),"回",""),"毎",""),"週",""),"月",""),"年",""),"日",""),"に",""),"/","")," ","")),""))</f>
        <v/>
      </c>
      <c r="AM178" s="34">
        <f>IF(I178="","",IF(ISNUMBER(I178),I178,IFERROR(VALUE(ASC(I178&amp;"")),IF(AL178&lt;&gt;"",AL178*IF(ISNUMBER(SEARCH("週",I178)),4.3,IF(ISNUMBER(SEARCH("年",I178)),1/12,IF(ISNUMBER(SEARCH("日",I178)),20,1))),IF(ISNUMBER(SEARCH("日",I178)),20,IF(ISNUMBER(SEARCH("週",I178)),4.3,IF(ISNUMBER(SEARCH("月",I178)),1,"")))))))</f>
        <v/>
      </c>
      <c r="AN178" s="34">
        <f>IF(J178="","",IF(ISNUMBER(J178),J178,IFERROR(VALUE(ASC(J178&amp;"")),IF(ISNUMBER(SEARCH("時間",J178)),IFERROR(VALUE(SUBSTITUTE(SUBSTITUTE(SUBSTITUTE(SUBSTITUTE(SUBSTITUTE(ASC(J178&amp;""),"約",""),"程度",""),"ほど",""),"時間","")," ",""))*60,""),IFERROR(VALUE(SUBSTITUTE(SUBSTITUTE(SUBSTITUTE(SUBSTITUTE(SUBSTITUTE(ASC(J178&amp;""),"約",""),"程度",""),"ほど",""),"分","")," ","")),"")))))</f>
        <v/>
      </c>
      <c r="AO178" s="34">
        <f>IF(K178="","",IF(ISNUMBER(K178),K178,IFERROR(VALUE(SUBSTITUTE(SUBSTITUTE(SUBSTITUTE(ASC(K178&amp;""),"約",""),"件","")," ","")),"")))</f>
        <v/>
      </c>
      <c r="AP178" s="34">
        <f>IF(W178&lt;&gt;"OK","",IF(COUNTIFS($D$5:$D$404,D178,$W$5:$W$404,"OK")&gt;1,"同名あり",""))</f>
        <v/>
      </c>
      <c r="AQ178" s="35">
        <f>IF(L178="","",IF(ISNUMBER(L178),L178,IFERROR(DATEVALUE(SUBSTITUTE(SUBSTITUTE(ASC(L178&amp;""),"-","/"),".","/")&amp;"/01"),"")))</f>
        <v/>
      </c>
      <c r="AR178" s="35">
        <f>IF(M178="","",IF(ISNUMBER(M178),M178,IFERROR(DATEVALUE(SUBSTITUTE(SUBSTITUTE(ASC(M178&amp;""),"-","/"),".","/")&amp;"/01"),"")))</f>
        <v/>
      </c>
      <c r="AS178" s="34">
        <f>IF(OR(W178&lt;&gt;"OK",AQ178=""),"",IF(AQ178&gt;='01_設定'!$C$26,1,0))</f>
        <v/>
      </c>
      <c r="AT178" s="34">
        <f>IF(AND(W178="OK",Y178&lt;&gt;"除外"),COUNTIFS($W$5:W178,"OK",$Y$5:Y178,"&lt;&gt;除外"),"")</f>
        <v/>
      </c>
      <c r="AU178" s="34">
        <f>IF(OR(AT178="",AD178=""),"",AD178+ROW()/1000000000)</f>
        <v/>
      </c>
    </row>
    <row r="179">
      <c r="W179">
        <f>IF(AND(A179="",D179=""),"",IF(ISNUMBER(SEARCH("##END",AH179)),"（終わりの印）",IF(ISNUMBER(SEARCH("##続き",AH179)),"（続きありの印）",IF(AH179="調査ID","（見出し行）",IF(AND(AH179&lt;&gt;"R1",AH179&lt;&gt;"R2"),"×表以外の行（集計されない）",IF(COUNTIF($AI$5:AI179,AI179)&gt;1,"△重複（集計されない）",IF(D179="","△タスク名なし",IF(ISNA(MATCH(AK179,'M1_類型マスタ'!$A$5:$A$19,0)),"△類型が不正",IF(OR(AM179="",AN179=""),"△回数・分が読めない",IF(SUMPRODUCT(--ISNUMBER(--O179:U179))&lt;7,"△採点が足りない",IF(SUMPRODUCT((--O179:U179&gt;2)+(--O179:U179&lt;0))&gt;0,"△採点が範囲外","OK")))))))))))</f>
        <v/>
      </c>
      <c r="X179">
        <f>IF(W179&lt;&gt;"OK","",TRIM(IF(AND(AO179&lt;&gt;"",N(AO179)&lt;=1),"根拠1件 ","")&amp;IF(AP179&lt;&gt;"","同名あり ","")&amp;IF(AND(NOT(ISNUMBER(I179)),I179&lt;&gt;""),"回数を換算 ","")))</f>
        <v/>
      </c>
      <c r="Y179" s="31" t="n"/>
      <c r="Z179" s="32" t="n"/>
      <c r="AA179" s="32" t="n"/>
      <c r="AB179" s="31" t="n"/>
      <c r="AC179">
        <f>IF(W179&lt;&gt;"OK","",IF(AB179&lt;&gt;"",AB179,AE179))</f>
        <v/>
      </c>
      <c r="AD179" s="33">
        <f>IF(W179&lt;&gt;"OK","",IFERROR(IF(Z179&lt;&gt;"",Z179,AM179)*IF(AA179&lt;&gt;"",AA179,AN179)/60,""))</f>
        <v/>
      </c>
      <c r="AE179">
        <f>IF(W179&lt;&gt;"OK","",IF(OR(VALUE(O179)=2,VALUE(P179)=2,VALUE(Q179)=2),"社内残置",IF(AND(VALUE(O179)=0,VALUE(R179)=0,VALUE(T179)=0),"自動化候補",IF(AND(VALUE(P179)=0,VALUE(R179)&lt;=1,VALUE(S179)&lt;=1,VALUE(T179)&lt;=1,VALUE(U179)&lt;=1),"オフショア候補",IF(AND(VALUE(T179)&lt;=1,VALUE(U179)&lt;=1),"ニアショア候補","社内で手順化→再評価")))))</f>
        <v/>
      </c>
      <c r="AF179">
        <f>IF(W179&lt;&gt;"OK","",14-SUMPRODUCT(--O179:U179))</f>
        <v/>
      </c>
      <c r="AG179" s="33">
        <f>IF(W179&lt;&gt;"OK","",AM179*AN179/60)</f>
        <v/>
      </c>
      <c r="AH179" s="34">
        <f>IF(A179="","",UPPER(TRIM(ASC(A179&amp;""))))</f>
        <v/>
      </c>
      <c r="AI179" s="34">
        <f>IF(AH179="","",AH179&amp;"-"&amp;B179)</f>
        <v/>
      </c>
      <c r="AJ179" s="34">
        <f>IF(C179="","",IFERROR(VALUE(ASC(SUBSTITUTE(C179&amp;"","観点",""))),""))</f>
        <v/>
      </c>
      <c r="AK179" s="34">
        <f>IF(E179="","",UPPER(LEFT(TRIM(ASC(E179&amp;"")),3)))</f>
        <v/>
      </c>
      <c r="AL179" s="34">
        <f>IF(I179="","",IFERROR(VALUE(SUBSTITUTE(SUBSTITUTE(SUBSTITUTE(SUBSTITUTE(SUBSTITUTE(SUBSTITUTE(SUBSTITUTE(SUBSTITUTE(SUBSTITUTE(SUBSTITUTE(SUBSTITUTE(SUBSTITUTE(ASC(I179&amp;""),"約",""),"程度",""),"ほど",""),"回",""),"毎",""),"週",""),"月",""),"年",""),"日",""),"に",""),"/","")," ","")),""))</f>
        <v/>
      </c>
      <c r="AM179" s="34">
        <f>IF(I179="","",IF(ISNUMBER(I179),I179,IFERROR(VALUE(ASC(I179&amp;"")),IF(AL179&lt;&gt;"",AL179*IF(ISNUMBER(SEARCH("週",I179)),4.3,IF(ISNUMBER(SEARCH("年",I179)),1/12,IF(ISNUMBER(SEARCH("日",I179)),20,1))),IF(ISNUMBER(SEARCH("日",I179)),20,IF(ISNUMBER(SEARCH("週",I179)),4.3,IF(ISNUMBER(SEARCH("月",I179)),1,"")))))))</f>
        <v/>
      </c>
      <c r="AN179" s="34">
        <f>IF(J179="","",IF(ISNUMBER(J179),J179,IFERROR(VALUE(ASC(J179&amp;"")),IF(ISNUMBER(SEARCH("時間",J179)),IFERROR(VALUE(SUBSTITUTE(SUBSTITUTE(SUBSTITUTE(SUBSTITUTE(SUBSTITUTE(ASC(J179&amp;""),"約",""),"程度",""),"ほど",""),"時間","")," ",""))*60,""),IFERROR(VALUE(SUBSTITUTE(SUBSTITUTE(SUBSTITUTE(SUBSTITUTE(SUBSTITUTE(ASC(J179&amp;""),"約",""),"程度",""),"ほど",""),"分","")," ","")),"")))))</f>
        <v/>
      </c>
      <c r="AO179" s="34">
        <f>IF(K179="","",IF(ISNUMBER(K179),K179,IFERROR(VALUE(SUBSTITUTE(SUBSTITUTE(SUBSTITUTE(ASC(K179&amp;""),"約",""),"件","")," ","")),"")))</f>
        <v/>
      </c>
      <c r="AP179" s="34">
        <f>IF(W179&lt;&gt;"OK","",IF(COUNTIFS($D$5:$D$404,D179,$W$5:$W$404,"OK")&gt;1,"同名あり",""))</f>
        <v/>
      </c>
      <c r="AQ179" s="35">
        <f>IF(L179="","",IF(ISNUMBER(L179),L179,IFERROR(DATEVALUE(SUBSTITUTE(SUBSTITUTE(ASC(L179&amp;""),"-","/"),".","/")&amp;"/01"),"")))</f>
        <v/>
      </c>
      <c r="AR179" s="35">
        <f>IF(M179="","",IF(ISNUMBER(M179),M179,IFERROR(DATEVALUE(SUBSTITUTE(SUBSTITUTE(ASC(M179&amp;""),"-","/"),".","/")&amp;"/01"),"")))</f>
        <v/>
      </c>
      <c r="AS179" s="34">
        <f>IF(OR(W179&lt;&gt;"OK",AQ179=""),"",IF(AQ179&gt;='01_設定'!$C$26,1,0))</f>
        <v/>
      </c>
      <c r="AT179" s="34">
        <f>IF(AND(W179="OK",Y179&lt;&gt;"除外"),COUNTIFS($W$5:W179,"OK",$Y$5:Y179,"&lt;&gt;除外"),"")</f>
        <v/>
      </c>
      <c r="AU179" s="34">
        <f>IF(OR(AT179="",AD179=""),"",AD179+ROW()/1000000000)</f>
        <v/>
      </c>
    </row>
    <row r="180">
      <c r="W180">
        <f>IF(AND(A180="",D180=""),"",IF(ISNUMBER(SEARCH("##END",AH180)),"（終わりの印）",IF(ISNUMBER(SEARCH("##続き",AH180)),"（続きありの印）",IF(AH180="調査ID","（見出し行）",IF(AND(AH180&lt;&gt;"R1",AH180&lt;&gt;"R2"),"×表以外の行（集計されない）",IF(COUNTIF($AI$5:AI180,AI180)&gt;1,"△重複（集計されない）",IF(D180="","△タスク名なし",IF(ISNA(MATCH(AK180,'M1_類型マスタ'!$A$5:$A$19,0)),"△類型が不正",IF(OR(AM180="",AN180=""),"△回数・分が読めない",IF(SUMPRODUCT(--ISNUMBER(--O180:U180))&lt;7,"△採点が足りない",IF(SUMPRODUCT((--O180:U180&gt;2)+(--O180:U180&lt;0))&gt;0,"△採点が範囲外","OK")))))))))))</f>
        <v/>
      </c>
      <c r="X180">
        <f>IF(W180&lt;&gt;"OK","",TRIM(IF(AND(AO180&lt;&gt;"",N(AO180)&lt;=1),"根拠1件 ","")&amp;IF(AP180&lt;&gt;"","同名あり ","")&amp;IF(AND(NOT(ISNUMBER(I180)),I180&lt;&gt;""),"回数を換算 ","")))</f>
        <v/>
      </c>
      <c r="Y180" s="31" t="n"/>
      <c r="Z180" s="32" t="n"/>
      <c r="AA180" s="32" t="n"/>
      <c r="AB180" s="31" t="n"/>
      <c r="AC180">
        <f>IF(W180&lt;&gt;"OK","",IF(AB180&lt;&gt;"",AB180,AE180))</f>
        <v/>
      </c>
      <c r="AD180" s="33">
        <f>IF(W180&lt;&gt;"OK","",IFERROR(IF(Z180&lt;&gt;"",Z180,AM180)*IF(AA180&lt;&gt;"",AA180,AN180)/60,""))</f>
        <v/>
      </c>
      <c r="AE180">
        <f>IF(W180&lt;&gt;"OK","",IF(OR(VALUE(O180)=2,VALUE(P180)=2,VALUE(Q180)=2),"社内残置",IF(AND(VALUE(O180)=0,VALUE(R180)=0,VALUE(T180)=0),"自動化候補",IF(AND(VALUE(P180)=0,VALUE(R180)&lt;=1,VALUE(S180)&lt;=1,VALUE(T180)&lt;=1,VALUE(U180)&lt;=1),"オフショア候補",IF(AND(VALUE(T180)&lt;=1,VALUE(U180)&lt;=1),"ニアショア候補","社内で手順化→再評価")))))</f>
        <v/>
      </c>
      <c r="AF180">
        <f>IF(W180&lt;&gt;"OK","",14-SUMPRODUCT(--O180:U180))</f>
        <v/>
      </c>
      <c r="AG180" s="33">
        <f>IF(W180&lt;&gt;"OK","",AM180*AN180/60)</f>
        <v/>
      </c>
      <c r="AH180" s="34">
        <f>IF(A180="","",UPPER(TRIM(ASC(A180&amp;""))))</f>
        <v/>
      </c>
      <c r="AI180" s="34">
        <f>IF(AH180="","",AH180&amp;"-"&amp;B180)</f>
        <v/>
      </c>
      <c r="AJ180" s="34">
        <f>IF(C180="","",IFERROR(VALUE(ASC(SUBSTITUTE(C180&amp;"","観点",""))),""))</f>
        <v/>
      </c>
      <c r="AK180" s="34">
        <f>IF(E180="","",UPPER(LEFT(TRIM(ASC(E180&amp;"")),3)))</f>
        <v/>
      </c>
      <c r="AL180" s="34">
        <f>IF(I180="","",IFERROR(VALUE(SUBSTITUTE(SUBSTITUTE(SUBSTITUTE(SUBSTITUTE(SUBSTITUTE(SUBSTITUTE(SUBSTITUTE(SUBSTITUTE(SUBSTITUTE(SUBSTITUTE(SUBSTITUTE(SUBSTITUTE(ASC(I180&amp;""),"約",""),"程度",""),"ほど",""),"回",""),"毎",""),"週",""),"月",""),"年",""),"日",""),"に",""),"/","")," ","")),""))</f>
        <v/>
      </c>
      <c r="AM180" s="34">
        <f>IF(I180="","",IF(ISNUMBER(I180),I180,IFERROR(VALUE(ASC(I180&amp;"")),IF(AL180&lt;&gt;"",AL180*IF(ISNUMBER(SEARCH("週",I180)),4.3,IF(ISNUMBER(SEARCH("年",I180)),1/12,IF(ISNUMBER(SEARCH("日",I180)),20,1))),IF(ISNUMBER(SEARCH("日",I180)),20,IF(ISNUMBER(SEARCH("週",I180)),4.3,IF(ISNUMBER(SEARCH("月",I180)),1,"")))))))</f>
        <v/>
      </c>
      <c r="AN180" s="34">
        <f>IF(J180="","",IF(ISNUMBER(J180),J180,IFERROR(VALUE(ASC(J180&amp;"")),IF(ISNUMBER(SEARCH("時間",J180)),IFERROR(VALUE(SUBSTITUTE(SUBSTITUTE(SUBSTITUTE(SUBSTITUTE(SUBSTITUTE(ASC(J180&amp;""),"約",""),"程度",""),"ほど",""),"時間","")," ",""))*60,""),IFERROR(VALUE(SUBSTITUTE(SUBSTITUTE(SUBSTITUTE(SUBSTITUTE(SUBSTITUTE(ASC(J180&amp;""),"約",""),"程度",""),"ほど",""),"分","")," ","")),"")))))</f>
        <v/>
      </c>
      <c r="AO180" s="34">
        <f>IF(K180="","",IF(ISNUMBER(K180),K180,IFERROR(VALUE(SUBSTITUTE(SUBSTITUTE(SUBSTITUTE(ASC(K180&amp;""),"約",""),"件","")," ","")),"")))</f>
        <v/>
      </c>
      <c r="AP180" s="34">
        <f>IF(W180&lt;&gt;"OK","",IF(COUNTIFS($D$5:$D$404,D180,$W$5:$W$404,"OK")&gt;1,"同名あり",""))</f>
        <v/>
      </c>
      <c r="AQ180" s="35">
        <f>IF(L180="","",IF(ISNUMBER(L180),L180,IFERROR(DATEVALUE(SUBSTITUTE(SUBSTITUTE(ASC(L180&amp;""),"-","/"),".","/")&amp;"/01"),"")))</f>
        <v/>
      </c>
      <c r="AR180" s="35">
        <f>IF(M180="","",IF(ISNUMBER(M180),M180,IFERROR(DATEVALUE(SUBSTITUTE(SUBSTITUTE(ASC(M180&amp;""),"-","/"),".","/")&amp;"/01"),"")))</f>
        <v/>
      </c>
      <c r="AS180" s="34">
        <f>IF(OR(W180&lt;&gt;"OK",AQ180=""),"",IF(AQ180&gt;='01_設定'!$C$26,1,0))</f>
        <v/>
      </c>
      <c r="AT180" s="34">
        <f>IF(AND(W180="OK",Y180&lt;&gt;"除外"),COUNTIFS($W$5:W180,"OK",$Y$5:Y180,"&lt;&gt;除外"),"")</f>
        <v/>
      </c>
      <c r="AU180" s="34">
        <f>IF(OR(AT180="",AD180=""),"",AD180+ROW()/1000000000)</f>
        <v/>
      </c>
    </row>
    <row r="181">
      <c r="W181">
        <f>IF(AND(A181="",D181=""),"",IF(ISNUMBER(SEARCH("##END",AH181)),"（終わりの印）",IF(ISNUMBER(SEARCH("##続き",AH181)),"（続きありの印）",IF(AH181="調査ID","（見出し行）",IF(AND(AH181&lt;&gt;"R1",AH181&lt;&gt;"R2"),"×表以外の行（集計されない）",IF(COUNTIF($AI$5:AI181,AI181)&gt;1,"△重複（集計されない）",IF(D181="","△タスク名なし",IF(ISNA(MATCH(AK181,'M1_類型マスタ'!$A$5:$A$19,0)),"△類型が不正",IF(OR(AM181="",AN181=""),"△回数・分が読めない",IF(SUMPRODUCT(--ISNUMBER(--O181:U181))&lt;7,"△採点が足りない",IF(SUMPRODUCT((--O181:U181&gt;2)+(--O181:U181&lt;0))&gt;0,"△採点が範囲外","OK")))))))))))</f>
        <v/>
      </c>
      <c r="X181">
        <f>IF(W181&lt;&gt;"OK","",TRIM(IF(AND(AO181&lt;&gt;"",N(AO181)&lt;=1),"根拠1件 ","")&amp;IF(AP181&lt;&gt;"","同名あり ","")&amp;IF(AND(NOT(ISNUMBER(I181)),I181&lt;&gt;""),"回数を換算 ","")))</f>
        <v/>
      </c>
      <c r="Y181" s="31" t="n"/>
      <c r="Z181" s="32" t="n"/>
      <c r="AA181" s="32" t="n"/>
      <c r="AB181" s="31" t="n"/>
      <c r="AC181">
        <f>IF(W181&lt;&gt;"OK","",IF(AB181&lt;&gt;"",AB181,AE181))</f>
        <v/>
      </c>
      <c r="AD181" s="33">
        <f>IF(W181&lt;&gt;"OK","",IFERROR(IF(Z181&lt;&gt;"",Z181,AM181)*IF(AA181&lt;&gt;"",AA181,AN181)/60,""))</f>
        <v/>
      </c>
      <c r="AE181">
        <f>IF(W181&lt;&gt;"OK","",IF(OR(VALUE(O181)=2,VALUE(P181)=2,VALUE(Q181)=2),"社内残置",IF(AND(VALUE(O181)=0,VALUE(R181)=0,VALUE(T181)=0),"自動化候補",IF(AND(VALUE(P181)=0,VALUE(R181)&lt;=1,VALUE(S181)&lt;=1,VALUE(T181)&lt;=1,VALUE(U181)&lt;=1),"オフショア候補",IF(AND(VALUE(T181)&lt;=1,VALUE(U181)&lt;=1),"ニアショア候補","社内で手順化→再評価")))))</f>
        <v/>
      </c>
      <c r="AF181">
        <f>IF(W181&lt;&gt;"OK","",14-SUMPRODUCT(--O181:U181))</f>
        <v/>
      </c>
      <c r="AG181" s="33">
        <f>IF(W181&lt;&gt;"OK","",AM181*AN181/60)</f>
        <v/>
      </c>
      <c r="AH181" s="34">
        <f>IF(A181="","",UPPER(TRIM(ASC(A181&amp;""))))</f>
        <v/>
      </c>
      <c r="AI181" s="34">
        <f>IF(AH181="","",AH181&amp;"-"&amp;B181)</f>
        <v/>
      </c>
      <c r="AJ181" s="34">
        <f>IF(C181="","",IFERROR(VALUE(ASC(SUBSTITUTE(C181&amp;"","観点",""))),""))</f>
        <v/>
      </c>
      <c r="AK181" s="34">
        <f>IF(E181="","",UPPER(LEFT(TRIM(ASC(E181&amp;"")),3)))</f>
        <v/>
      </c>
      <c r="AL181" s="34">
        <f>IF(I181="","",IFERROR(VALUE(SUBSTITUTE(SUBSTITUTE(SUBSTITUTE(SUBSTITUTE(SUBSTITUTE(SUBSTITUTE(SUBSTITUTE(SUBSTITUTE(SUBSTITUTE(SUBSTITUTE(SUBSTITUTE(SUBSTITUTE(ASC(I181&amp;""),"約",""),"程度",""),"ほど",""),"回",""),"毎",""),"週",""),"月",""),"年",""),"日",""),"に",""),"/","")," ","")),""))</f>
        <v/>
      </c>
      <c r="AM181" s="34">
        <f>IF(I181="","",IF(ISNUMBER(I181),I181,IFERROR(VALUE(ASC(I181&amp;"")),IF(AL181&lt;&gt;"",AL181*IF(ISNUMBER(SEARCH("週",I181)),4.3,IF(ISNUMBER(SEARCH("年",I181)),1/12,IF(ISNUMBER(SEARCH("日",I181)),20,1))),IF(ISNUMBER(SEARCH("日",I181)),20,IF(ISNUMBER(SEARCH("週",I181)),4.3,IF(ISNUMBER(SEARCH("月",I181)),1,"")))))))</f>
        <v/>
      </c>
      <c r="AN181" s="34">
        <f>IF(J181="","",IF(ISNUMBER(J181),J181,IFERROR(VALUE(ASC(J181&amp;"")),IF(ISNUMBER(SEARCH("時間",J181)),IFERROR(VALUE(SUBSTITUTE(SUBSTITUTE(SUBSTITUTE(SUBSTITUTE(SUBSTITUTE(ASC(J181&amp;""),"約",""),"程度",""),"ほど",""),"時間","")," ",""))*60,""),IFERROR(VALUE(SUBSTITUTE(SUBSTITUTE(SUBSTITUTE(SUBSTITUTE(SUBSTITUTE(ASC(J181&amp;""),"約",""),"程度",""),"ほど",""),"分","")," ","")),"")))))</f>
        <v/>
      </c>
      <c r="AO181" s="34">
        <f>IF(K181="","",IF(ISNUMBER(K181),K181,IFERROR(VALUE(SUBSTITUTE(SUBSTITUTE(SUBSTITUTE(ASC(K181&amp;""),"約",""),"件","")," ","")),"")))</f>
        <v/>
      </c>
      <c r="AP181" s="34">
        <f>IF(W181&lt;&gt;"OK","",IF(COUNTIFS($D$5:$D$404,D181,$W$5:$W$404,"OK")&gt;1,"同名あり",""))</f>
        <v/>
      </c>
      <c r="AQ181" s="35">
        <f>IF(L181="","",IF(ISNUMBER(L181),L181,IFERROR(DATEVALUE(SUBSTITUTE(SUBSTITUTE(ASC(L181&amp;""),"-","/"),".","/")&amp;"/01"),"")))</f>
        <v/>
      </c>
      <c r="AR181" s="35">
        <f>IF(M181="","",IF(ISNUMBER(M181),M181,IFERROR(DATEVALUE(SUBSTITUTE(SUBSTITUTE(ASC(M181&amp;""),"-","/"),".","/")&amp;"/01"),"")))</f>
        <v/>
      </c>
      <c r="AS181" s="34">
        <f>IF(OR(W181&lt;&gt;"OK",AQ181=""),"",IF(AQ181&gt;='01_設定'!$C$26,1,0))</f>
        <v/>
      </c>
      <c r="AT181" s="34">
        <f>IF(AND(W181="OK",Y181&lt;&gt;"除外"),COUNTIFS($W$5:W181,"OK",$Y$5:Y181,"&lt;&gt;除外"),"")</f>
        <v/>
      </c>
      <c r="AU181" s="34">
        <f>IF(OR(AT181="",AD181=""),"",AD181+ROW()/1000000000)</f>
        <v/>
      </c>
    </row>
    <row r="182">
      <c r="W182">
        <f>IF(AND(A182="",D182=""),"",IF(ISNUMBER(SEARCH("##END",AH182)),"（終わりの印）",IF(ISNUMBER(SEARCH("##続き",AH182)),"（続きありの印）",IF(AH182="調査ID","（見出し行）",IF(AND(AH182&lt;&gt;"R1",AH182&lt;&gt;"R2"),"×表以外の行（集計されない）",IF(COUNTIF($AI$5:AI182,AI182)&gt;1,"△重複（集計されない）",IF(D182="","△タスク名なし",IF(ISNA(MATCH(AK182,'M1_類型マスタ'!$A$5:$A$19,0)),"△類型が不正",IF(OR(AM182="",AN182=""),"△回数・分が読めない",IF(SUMPRODUCT(--ISNUMBER(--O182:U182))&lt;7,"△採点が足りない",IF(SUMPRODUCT((--O182:U182&gt;2)+(--O182:U182&lt;0))&gt;0,"△採点が範囲外","OK")))))))))))</f>
        <v/>
      </c>
      <c r="X182">
        <f>IF(W182&lt;&gt;"OK","",TRIM(IF(AND(AO182&lt;&gt;"",N(AO182)&lt;=1),"根拠1件 ","")&amp;IF(AP182&lt;&gt;"","同名あり ","")&amp;IF(AND(NOT(ISNUMBER(I182)),I182&lt;&gt;""),"回数を換算 ","")))</f>
        <v/>
      </c>
      <c r="Y182" s="31" t="n"/>
      <c r="Z182" s="32" t="n"/>
      <c r="AA182" s="32" t="n"/>
      <c r="AB182" s="31" t="n"/>
      <c r="AC182">
        <f>IF(W182&lt;&gt;"OK","",IF(AB182&lt;&gt;"",AB182,AE182))</f>
        <v/>
      </c>
      <c r="AD182" s="33">
        <f>IF(W182&lt;&gt;"OK","",IFERROR(IF(Z182&lt;&gt;"",Z182,AM182)*IF(AA182&lt;&gt;"",AA182,AN182)/60,""))</f>
        <v/>
      </c>
      <c r="AE182">
        <f>IF(W182&lt;&gt;"OK","",IF(OR(VALUE(O182)=2,VALUE(P182)=2,VALUE(Q182)=2),"社内残置",IF(AND(VALUE(O182)=0,VALUE(R182)=0,VALUE(T182)=0),"自動化候補",IF(AND(VALUE(P182)=0,VALUE(R182)&lt;=1,VALUE(S182)&lt;=1,VALUE(T182)&lt;=1,VALUE(U182)&lt;=1),"オフショア候補",IF(AND(VALUE(T182)&lt;=1,VALUE(U182)&lt;=1),"ニアショア候補","社内で手順化→再評価")))))</f>
        <v/>
      </c>
      <c r="AF182">
        <f>IF(W182&lt;&gt;"OK","",14-SUMPRODUCT(--O182:U182))</f>
        <v/>
      </c>
      <c r="AG182" s="33">
        <f>IF(W182&lt;&gt;"OK","",AM182*AN182/60)</f>
        <v/>
      </c>
      <c r="AH182" s="34">
        <f>IF(A182="","",UPPER(TRIM(ASC(A182&amp;""))))</f>
        <v/>
      </c>
      <c r="AI182" s="34">
        <f>IF(AH182="","",AH182&amp;"-"&amp;B182)</f>
        <v/>
      </c>
      <c r="AJ182" s="34">
        <f>IF(C182="","",IFERROR(VALUE(ASC(SUBSTITUTE(C182&amp;"","観点",""))),""))</f>
        <v/>
      </c>
      <c r="AK182" s="34">
        <f>IF(E182="","",UPPER(LEFT(TRIM(ASC(E182&amp;"")),3)))</f>
        <v/>
      </c>
      <c r="AL182" s="34">
        <f>IF(I182="","",IFERROR(VALUE(SUBSTITUTE(SUBSTITUTE(SUBSTITUTE(SUBSTITUTE(SUBSTITUTE(SUBSTITUTE(SUBSTITUTE(SUBSTITUTE(SUBSTITUTE(SUBSTITUTE(SUBSTITUTE(SUBSTITUTE(ASC(I182&amp;""),"約",""),"程度",""),"ほど",""),"回",""),"毎",""),"週",""),"月",""),"年",""),"日",""),"に",""),"/","")," ","")),""))</f>
        <v/>
      </c>
      <c r="AM182" s="34">
        <f>IF(I182="","",IF(ISNUMBER(I182),I182,IFERROR(VALUE(ASC(I182&amp;"")),IF(AL182&lt;&gt;"",AL182*IF(ISNUMBER(SEARCH("週",I182)),4.3,IF(ISNUMBER(SEARCH("年",I182)),1/12,IF(ISNUMBER(SEARCH("日",I182)),20,1))),IF(ISNUMBER(SEARCH("日",I182)),20,IF(ISNUMBER(SEARCH("週",I182)),4.3,IF(ISNUMBER(SEARCH("月",I182)),1,"")))))))</f>
        <v/>
      </c>
      <c r="AN182" s="34">
        <f>IF(J182="","",IF(ISNUMBER(J182),J182,IFERROR(VALUE(ASC(J182&amp;"")),IF(ISNUMBER(SEARCH("時間",J182)),IFERROR(VALUE(SUBSTITUTE(SUBSTITUTE(SUBSTITUTE(SUBSTITUTE(SUBSTITUTE(ASC(J182&amp;""),"約",""),"程度",""),"ほど",""),"時間","")," ",""))*60,""),IFERROR(VALUE(SUBSTITUTE(SUBSTITUTE(SUBSTITUTE(SUBSTITUTE(SUBSTITUTE(ASC(J182&amp;""),"約",""),"程度",""),"ほど",""),"分","")," ","")),"")))))</f>
        <v/>
      </c>
      <c r="AO182" s="34">
        <f>IF(K182="","",IF(ISNUMBER(K182),K182,IFERROR(VALUE(SUBSTITUTE(SUBSTITUTE(SUBSTITUTE(ASC(K182&amp;""),"約",""),"件","")," ","")),"")))</f>
        <v/>
      </c>
      <c r="AP182" s="34">
        <f>IF(W182&lt;&gt;"OK","",IF(COUNTIFS($D$5:$D$404,D182,$W$5:$W$404,"OK")&gt;1,"同名あり",""))</f>
        <v/>
      </c>
      <c r="AQ182" s="35">
        <f>IF(L182="","",IF(ISNUMBER(L182),L182,IFERROR(DATEVALUE(SUBSTITUTE(SUBSTITUTE(ASC(L182&amp;""),"-","/"),".","/")&amp;"/01"),"")))</f>
        <v/>
      </c>
      <c r="AR182" s="35">
        <f>IF(M182="","",IF(ISNUMBER(M182),M182,IFERROR(DATEVALUE(SUBSTITUTE(SUBSTITUTE(ASC(M182&amp;""),"-","/"),".","/")&amp;"/01"),"")))</f>
        <v/>
      </c>
      <c r="AS182" s="34">
        <f>IF(OR(W182&lt;&gt;"OK",AQ182=""),"",IF(AQ182&gt;='01_設定'!$C$26,1,0))</f>
        <v/>
      </c>
      <c r="AT182" s="34">
        <f>IF(AND(W182="OK",Y182&lt;&gt;"除外"),COUNTIFS($W$5:W182,"OK",$Y$5:Y182,"&lt;&gt;除外"),"")</f>
        <v/>
      </c>
      <c r="AU182" s="34">
        <f>IF(OR(AT182="",AD182=""),"",AD182+ROW()/1000000000)</f>
        <v/>
      </c>
    </row>
    <row r="183">
      <c r="W183">
        <f>IF(AND(A183="",D183=""),"",IF(ISNUMBER(SEARCH("##END",AH183)),"（終わりの印）",IF(ISNUMBER(SEARCH("##続き",AH183)),"（続きありの印）",IF(AH183="調査ID","（見出し行）",IF(AND(AH183&lt;&gt;"R1",AH183&lt;&gt;"R2"),"×表以外の行（集計されない）",IF(COUNTIF($AI$5:AI183,AI183)&gt;1,"△重複（集計されない）",IF(D183="","△タスク名なし",IF(ISNA(MATCH(AK183,'M1_類型マスタ'!$A$5:$A$19,0)),"△類型が不正",IF(OR(AM183="",AN183=""),"△回数・分が読めない",IF(SUMPRODUCT(--ISNUMBER(--O183:U183))&lt;7,"△採点が足りない",IF(SUMPRODUCT((--O183:U183&gt;2)+(--O183:U183&lt;0))&gt;0,"△採点が範囲外","OK")))))))))))</f>
        <v/>
      </c>
      <c r="X183">
        <f>IF(W183&lt;&gt;"OK","",TRIM(IF(AND(AO183&lt;&gt;"",N(AO183)&lt;=1),"根拠1件 ","")&amp;IF(AP183&lt;&gt;"","同名あり ","")&amp;IF(AND(NOT(ISNUMBER(I183)),I183&lt;&gt;""),"回数を換算 ","")))</f>
        <v/>
      </c>
      <c r="Y183" s="31" t="n"/>
      <c r="Z183" s="32" t="n"/>
      <c r="AA183" s="32" t="n"/>
      <c r="AB183" s="31" t="n"/>
      <c r="AC183">
        <f>IF(W183&lt;&gt;"OK","",IF(AB183&lt;&gt;"",AB183,AE183))</f>
        <v/>
      </c>
      <c r="AD183" s="33">
        <f>IF(W183&lt;&gt;"OK","",IFERROR(IF(Z183&lt;&gt;"",Z183,AM183)*IF(AA183&lt;&gt;"",AA183,AN183)/60,""))</f>
        <v/>
      </c>
      <c r="AE183">
        <f>IF(W183&lt;&gt;"OK","",IF(OR(VALUE(O183)=2,VALUE(P183)=2,VALUE(Q183)=2),"社内残置",IF(AND(VALUE(O183)=0,VALUE(R183)=0,VALUE(T183)=0),"自動化候補",IF(AND(VALUE(P183)=0,VALUE(R183)&lt;=1,VALUE(S183)&lt;=1,VALUE(T183)&lt;=1,VALUE(U183)&lt;=1),"オフショア候補",IF(AND(VALUE(T183)&lt;=1,VALUE(U183)&lt;=1),"ニアショア候補","社内で手順化→再評価")))))</f>
        <v/>
      </c>
      <c r="AF183">
        <f>IF(W183&lt;&gt;"OK","",14-SUMPRODUCT(--O183:U183))</f>
        <v/>
      </c>
      <c r="AG183" s="33">
        <f>IF(W183&lt;&gt;"OK","",AM183*AN183/60)</f>
        <v/>
      </c>
      <c r="AH183" s="34">
        <f>IF(A183="","",UPPER(TRIM(ASC(A183&amp;""))))</f>
        <v/>
      </c>
      <c r="AI183" s="34">
        <f>IF(AH183="","",AH183&amp;"-"&amp;B183)</f>
        <v/>
      </c>
      <c r="AJ183" s="34">
        <f>IF(C183="","",IFERROR(VALUE(ASC(SUBSTITUTE(C183&amp;"","観点",""))),""))</f>
        <v/>
      </c>
      <c r="AK183" s="34">
        <f>IF(E183="","",UPPER(LEFT(TRIM(ASC(E183&amp;"")),3)))</f>
        <v/>
      </c>
      <c r="AL183" s="34">
        <f>IF(I183="","",IFERROR(VALUE(SUBSTITUTE(SUBSTITUTE(SUBSTITUTE(SUBSTITUTE(SUBSTITUTE(SUBSTITUTE(SUBSTITUTE(SUBSTITUTE(SUBSTITUTE(SUBSTITUTE(SUBSTITUTE(SUBSTITUTE(ASC(I183&amp;""),"約",""),"程度",""),"ほど",""),"回",""),"毎",""),"週",""),"月",""),"年",""),"日",""),"に",""),"/","")," ","")),""))</f>
        <v/>
      </c>
      <c r="AM183" s="34">
        <f>IF(I183="","",IF(ISNUMBER(I183),I183,IFERROR(VALUE(ASC(I183&amp;"")),IF(AL183&lt;&gt;"",AL183*IF(ISNUMBER(SEARCH("週",I183)),4.3,IF(ISNUMBER(SEARCH("年",I183)),1/12,IF(ISNUMBER(SEARCH("日",I183)),20,1))),IF(ISNUMBER(SEARCH("日",I183)),20,IF(ISNUMBER(SEARCH("週",I183)),4.3,IF(ISNUMBER(SEARCH("月",I183)),1,"")))))))</f>
        <v/>
      </c>
      <c r="AN183" s="34">
        <f>IF(J183="","",IF(ISNUMBER(J183),J183,IFERROR(VALUE(ASC(J183&amp;"")),IF(ISNUMBER(SEARCH("時間",J183)),IFERROR(VALUE(SUBSTITUTE(SUBSTITUTE(SUBSTITUTE(SUBSTITUTE(SUBSTITUTE(ASC(J183&amp;""),"約",""),"程度",""),"ほど",""),"時間","")," ",""))*60,""),IFERROR(VALUE(SUBSTITUTE(SUBSTITUTE(SUBSTITUTE(SUBSTITUTE(SUBSTITUTE(ASC(J183&amp;""),"約",""),"程度",""),"ほど",""),"分","")," ","")),"")))))</f>
        <v/>
      </c>
      <c r="AO183" s="34">
        <f>IF(K183="","",IF(ISNUMBER(K183),K183,IFERROR(VALUE(SUBSTITUTE(SUBSTITUTE(SUBSTITUTE(ASC(K183&amp;""),"約",""),"件","")," ","")),"")))</f>
        <v/>
      </c>
      <c r="AP183" s="34">
        <f>IF(W183&lt;&gt;"OK","",IF(COUNTIFS($D$5:$D$404,D183,$W$5:$W$404,"OK")&gt;1,"同名あり",""))</f>
        <v/>
      </c>
      <c r="AQ183" s="35">
        <f>IF(L183="","",IF(ISNUMBER(L183),L183,IFERROR(DATEVALUE(SUBSTITUTE(SUBSTITUTE(ASC(L183&amp;""),"-","/"),".","/")&amp;"/01"),"")))</f>
        <v/>
      </c>
      <c r="AR183" s="35">
        <f>IF(M183="","",IF(ISNUMBER(M183),M183,IFERROR(DATEVALUE(SUBSTITUTE(SUBSTITUTE(ASC(M183&amp;""),"-","/"),".","/")&amp;"/01"),"")))</f>
        <v/>
      </c>
      <c r="AS183" s="34">
        <f>IF(OR(W183&lt;&gt;"OK",AQ183=""),"",IF(AQ183&gt;='01_設定'!$C$26,1,0))</f>
        <v/>
      </c>
      <c r="AT183" s="34">
        <f>IF(AND(W183="OK",Y183&lt;&gt;"除外"),COUNTIFS($W$5:W183,"OK",$Y$5:Y183,"&lt;&gt;除外"),"")</f>
        <v/>
      </c>
      <c r="AU183" s="34">
        <f>IF(OR(AT183="",AD183=""),"",AD183+ROW()/1000000000)</f>
        <v/>
      </c>
    </row>
    <row r="184">
      <c r="W184">
        <f>IF(AND(A184="",D184=""),"",IF(ISNUMBER(SEARCH("##END",AH184)),"（終わりの印）",IF(ISNUMBER(SEARCH("##続き",AH184)),"（続きありの印）",IF(AH184="調査ID","（見出し行）",IF(AND(AH184&lt;&gt;"R1",AH184&lt;&gt;"R2"),"×表以外の行（集計されない）",IF(COUNTIF($AI$5:AI184,AI184)&gt;1,"△重複（集計されない）",IF(D184="","△タスク名なし",IF(ISNA(MATCH(AK184,'M1_類型マスタ'!$A$5:$A$19,0)),"△類型が不正",IF(OR(AM184="",AN184=""),"△回数・分が読めない",IF(SUMPRODUCT(--ISNUMBER(--O184:U184))&lt;7,"△採点が足りない",IF(SUMPRODUCT((--O184:U184&gt;2)+(--O184:U184&lt;0))&gt;0,"△採点が範囲外","OK")))))))))))</f>
        <v/>
      </c>
      <c r="X184">
        <f>IF(W184&lt;&gt;"OK","",TRIM(IF(AND(AO184&lt;&gt;"",N(AO184)&lt;=1),"根拠1件 ","")&amp;IF(AP184&lt;&gt;"","同名あり ","")&amp;IF(AND(NOT(ISNUMBER(I184)),I184&lt;&gt;""),"回数を換算 ","")))</f>
        <v/>
      </c>
      <c r="Y184" s="31" t="n"/>
      <c r="Z184" s="32" t="n"/>
      <c r="AA184" s="32" t="n"/>
      <c r="AB184" s="31" t="n"/>
      <c r="AC184">
        <f>IF(W184&lt;&gt;"OK","",IF(AB184&lt;&gt;"",AB184,AE184))</f>
        <v/>
      </c>
      <c r="AD184" s="33">
        <f>IF(W184&lt;&gt;"OK","",IFERROR(IF(Z184&lt;&gt;"",Z184,AM184)*IF(AA184&lt;&gt;"",AA184,AN184)/60,""))</f>
        <v/>
      </c>
      <c r="AE184">
        <f>IF(W184&lt;&gt;"OK","",IF(OR(VALUE(O184)=2,VALUE(P184)=2,VALUE(Q184)=2),"社内残置",IF(AND(VALUE(O184)=0,VALUE(R184)=0,VALUE(T184)=0),"自動化候補",IF(AND(VALUE(P184)=0,VALUE(R184)&lt;=1,VALUE(S184)&lt;=1,VALUE(T184)&lt;=1,VALUE(U184)&lt;=1),"オフショア候補",IF(AND(VALUE(T184)&lt;=1,VALUE(U184)&lt;=1),"ニアショア候補","社内で手順化→再評価")))))</f>
        <v/>
      </c>
      <c r="AF184">
        <f>IF(W184&lt;&gt;"OK","",14-SUMPRODUCT(--O184:U184))</f>
        <v/>
      </c>
      <c r="AG184" s="33">
        <f>IF(W184&lt;&gt;"OK","",AM184*AN184/60)</f>
        <v/>
      </c>
      <c r="AH184" s="34">
        <f>IF(A184="","",UPPER(TRIM(ASC(A184&amp;""))))</f>
        <v/>
      </c>
      <c r="AI184" s="34">
        <f>IF(AH184="","",AH184&amp;"-"&amp;B184)</f>
        <v/>
      </c>
      <c r="AJ184" s="34">
        <f>IF(C184="","",IFERROR(VALUE(ASC(SUBSTITUTE(C184&amp;"","観点",""))),""))</f>
        <v/>
      </c>
      <c r="AK184" s="34">
        <f>IF(E184="","",UPPER(LEFT(TRIM(ASC(E184&amp;"")),3)))</f>
        <v/>
      </c>
      <c r="AL184" s="34">
        <f>IF(I184="","",IFERROR(VALUE(SUBSTITUTE(SUBSTITUTE(SUBSTITUTE(SUBSTITUTE(SUBSTITUTE(SUBSTITUTE(SUBSTITUTE(SUBSTITUTE(SUBSTITUTE(SUBSTITUTE(SUBSTITUTE(SUBSTITUTE(ASC(I184&amp;""),"約",""),"程度",""),"ほど",""),"回",""),"毎",""),"週",""),"月",""),"年",""),"日",""),"に",""),"/","")," ","")),""))</f>
        <v/>
      </c>
      <c r="AM184" s="34">
        <f>IF(I184="","",IF(ISNUMBER(I184),I184,IFERROR(VALUE(ASC(I184&amp;"")),IF(AL184&lt;&gt;"",AL184*IF(ISNUMBER(SEARCH("週",I184)),4.3,IF(ISNUMBER(SEARCH("年",I184)),1/12,IF(ISNUMBER(SEARCH("日",I184)),20,1))),IF(ISNUMBER(SEARCH("日",I184)),20,IF(ISNUMBER(SEARCH("週",I184)),4.3,IF(ISNUMBER(SEARCH("月",I184)),1,"")))))))</f>
        <v/>
      </c>
      <c r="AN184" s="34">
        <f>IF(J184="","",IF(ISNUMBER(J184),J184,IFERROR(VALUE(ASC(J184&amp;"")),IF(ISNUMBER(SEARCH("時間",J184)),IFERROR(VALUE(SUBSTITUTE(SUBSTITUTE(SUBSTITUTE(SUBSTITUTE(SUBSTITUTE(ASC(J184&amp;""),"約",""),"程度",""),"ほど",""),"時間","")," ",""))*60,""),IFERROR(VALUE(SUBSTITUTE(SUBSTITUTE(SUBSTITUTE(SUBSTITUTE(SUBSTITUTE(ASC(J184&amp;""),"約",""),"程度",""),"ほど",""),"分","")," ","")),"")))))</f>
        <v/>
      </c>
      <c r="AO184" s="34">
        <f>IF(K184="","",IF(ISNUMBER(K184),K184,IFERROR(VALUE(SUBSTITUTE(SUBSTITUTE(SUBSTITUTE(ASC(K184&amp;""),"約",""),"件","")," ","")),"")))</f>
        <v/>
      </c>
      <c r="AP184" s="34">
        <f>IF(W184&lt;&gt;"OK","",IF(COUNTIFS($D$5:$D$404,D184,$W$5:$W$404,"OK")&gt;1,"同名あり",""))</f>
        <v/>
      </c>
      <c r="AQ184" s="35">
        <f>IF(L184="","",IF(ISNUMBER(L184),L184,IFERROR(DATEVALUE(SUBSTITUTE(SUBSTITUTE(ASC(L184&amp;""),"-","/"),".","/")&amp;"/01"),"")))</f>
        <v/>
      </c>
      <c r="AR184" s="35">
        <f>IF(M184="","",IF(ISNUMBER(M184),M184,IFERROR(DATEVALUE(SUBSTITUTE(SUBSTITUTE(ASC(M184&amp;""),"-","/"),".","/")&amp;"/01"),"")))</f>
        <v/>
      </c>
      <c r="AS184" s="34">
        <f>IF(OR(W184&lt;&gt;"OK",AQ184=""),"",IF(AQ184&gt;='01_設定'!$C$26,1,0))</f>
        <v/>
      </c>
      <c r="AT184" s="34">
        <f>IF(AND(W184="OK",Y184&lt;&gt;"除外"),COUNTIFS($W$5:W184,"OK",$Y$5:Y184,"&lt;&gt;除外"),"")</f>
        <v/>
      </c>
      <c r="AU184" s="34">
        <f>IF(OR(AT184="",AD184=""),"",AD184+ROW()/1000000000)</f>
        <v/>
      </c>
    </row>
    <row r="185">
      <c r="W185">
        <f>IF(AND(A185="",D185=""),"",IF(ISNUMBER(SEARCH("##END",AH185)),"（終わりの印）",IF(ISNUMBER(SEARCH("##続き",AH185)),"（続きありの印）",IF(AH185="調査ID","（見出し行）",IF(AND(AH185&lt;&gt;"R1",AH185&lt;&gt;"R2"),"×表以外の行（集計されない）",IF(COUNTIF($AI$5:AI185,AI185)&gt;1,"△重複（集計されない）",IF(D185="","△タスク名なし",IF(ISNA(MATCH(AK185,'M1_類型マスタ'!$A$5:$A$19,0)),"△類型が不正",IF(OR(AM185="",AN185=""),"△回数・分が読めない",IF(SUMPRODUCT(--ISNUMBER(--O185:U185))&lt;7,"△採点が足りない",IF(SUMPRODUCT((--O185:U185&gt;2)+(--O185:U185&lt;0))&gt;0,"△採点が範囲外","OK")))))))))))</f>
        <v/>
      </c>
      <c r="X185">
        <f>IF(W185&lt;&gt;"OK","",TRIM(IF(AND(AO185&lt;&gt;"",N(AO185)&lt;=1),"根拠1件 ","")&amp;IF(AP185&lt;&gt;"","同名あり ","")&amp;IF(AND(NOT(ISNUMBER(I185)),I185&lt;&gt;""),"回数を換算 ","")))</f>
        <v/>
      </c>
      <c r="Y185" s="31" t="n"/>
      <c r="Z185" s="32" t="n"/>
      <c r="AA185" s="32" t="n"/>
      <c r="AB185" s="31" t="n"/>
      <c r="AC185">
        <f>IF(W185&lt;&gt;"OK","",IF(AB185&lt;&gt;"",AB185,AE185))</f>
        <v/>
      </c>
      <c r="AD185" s="33">
        <f>IF(W185&lt;&gt;"OK","",IFERROR(IF(Z185&lt;&gt;"",Z185,AM185)*IF(AA185&lt;&gt;"",AA185,AN185)/60,""))</f>
        <v/>
      </c>
      <c r="AE185">
        <f>IF(W185&lt;&gt;"OK","",IF(OR(VALUE(O185)=2,VALUE(P185)=2,VALUE(Q185)=2),"社内残置",IF(AND(VALUE(O185)=0,VALUE(R185)=0,VALUE(T185)=0),"自動化候補",IF(AND(VALUE(P185)=0,VALUE(R185)&lt;=1,VALUE(S185)&lt;=1,VALUE(T185)&lt;=1,VALUE(U185)&lt;=1),"オフショア候補",IF(AND(VALUE(T185)&lt;=1,VALUE(U185)&lt;=1),"ニアショア候補","社内で手順化→再評価")))))</f>
        <v/>
      </c>
      <c r="AF185">
        <f>IF(W185&lt;&gt;"OK","",14-SUMPRODUCT(--O185:U185))</f>
        <v/>
      </c>
      <c r="AG185" s="33">
        <f>IF(W185&lt;&gt;"OK","",AM185*AN185/60)</f>
        <v/>
      </c>
      <c r="AH185" s="34">
        <f>IF(A185="","",UPPER(TRIM(ASC(A185&amp;""))))</f>
        <v/>
      </c>
      <c r="AI185" s="34">
        <f>IF(AH185="","",AH185&amp;"-"&amp;B185)</f>
        <v/>
      </c>
      <c r="AJ185" s="34">
        <f>IF(C185="","",IFERROR(VALUE(ASC(SUBSTITUTE(C185&amp;"","観点",""))),""))</f>
        <v/>
      </c>
      <c r="AK185" s="34">
        <f>IF(E185="","",UPPER(LEFT(TRIM(ASC(E185&amp;"")),3)))</f>
        <v/>
      </c>
      <c r="AL185" s="34">
        <f>IF(I185="","",IFERROR(VALUE(SUBSTITUTE(SUBSTITUTE(SUBSTITUTE(SUBSTITUTE(SUBSTITUTE(SUBSTITUTE(SUBSTITUTE(SUBSTITUTE(SUBSTITUTE(SUBSTITUTE(SUBSTITUTE(SUBSTITUTE(ASC(I185&amp;""),"約",""),"程度",""),"ほど",""),"回",""),"毎",""),"週",""),"月",""),"年",""),"日",""),"に",""),"/","")," ","")),""))</f>
        <v/>
      </c>
      <c r="AM185" s="34">
        <f>IF(I185="","",IF(ISNUMBER(I185),I185,IFERROR(VALUE(ASC(I185&amp;"")),IF(AL185&lt;&gt;"",AL185*IF(ISNUMBER(SEARCH("週",I185)),4.3,IF(ISNUMBER(SEARCH("年",I185)),1/12,IF(ISNUMBER(SEARCH("日",I185)),20,1))),IF(ISNUMBER(SEARCH("日",I185)),20,IF(ISNUMBER(SEARCH("週",I185)),4.3,IF(ISNUMBER(SEARCH("月",I185)),1,"")))))))</f>
        <v/>
      </c>
      <c r="AN185" s="34">
        <f>IF(J185="","",IF(ISNUMBER(J185),J185,IFERROR(VALUE(ASC(J185&amp;"")),IF(ISNUMBER(SEARCH("時間",J185)),IFERROR(VALUE(SUBSTITUTE(SUBSTITUTE(SUBSTITUTE(SUBSTITUTE(SUBSTITUTE(ASC(J185&amp;""),"約",""),"程度",""),"ほど",""),"時間","")," ",""))*60,""),IFERROR(VALUE(SUBSTITUTE(SUBSTITUTE(SUBSTITUTE(SUBSTITUTE(SUBSTITUTE(ASC(J185&amp;""),"約",""),"程度",""),"ほど",""),"分","")," ","")),"")))))</f>
        <v/>
      </c>
      <c r="AO185" s="34">
        <f>IF(K185="","",IF(ISNUMBER(K185),K185,IFERROR(VALUE(SUBSTITUTE(SUBSTITUTE(SUBSTITUTE(ASC(K185&amp;""),"約",""),"件","")," ","")),"")))</f>
        <v/>
      </c>
      <c r="AP185" s="34">
        <f>IF(W185&lt;&gt;"OK","",IF(COUNTIFS($D$5:$D$404,D185,$W$5:$W$404,"OK")&gt;1,"同名あり",""))</f>
        <v/>
      </c>
      <c r="AQ185" s="35">
        <f>IF(L185="","",IF(ISNUMBER(L185),L185,IFERROR(DATEVALUE(SUBSTITUTE(SUBSTITUTE(ASC(L185&amp;""),"-","/"),".","/")&amp;"/01"),"")))</f>
        <v/>
      </c>
      <c r="AR185" s="35">
        <f>IF(M185="","",IF(ISNUMBER(M185),M185,IFERROR(DATEVALUE(SUBSTITUTE(SUBSTITUTE(ASC(M185&amp;""),"-","/"),".","/")&amp;"/01"),"")))</f>
        <v/>
      </c>
      <c r="AS185" s="34">
        <f>IF(OR(W185&lt;&gt;"OK",AQ185=""),"",IF(AQ185&gt;='01_設定'!$C$26,1,0))</f>
        <v/>
      </c>
      <c r="AT185" s="34">
        <f>IF(AND(W185="OK",Y185&lt;&gt;"除外"),COUNTIFS($W$5:W185,"OK",$Y$5:Y185,"&lt;&gt;除外"),"")</f>
        <v/>
      </c>
      <c r="AU185" s="34">
        <f>IF(OR(AT185="",AD185=""),"",AD185+ROW()/1000000000)</f>
        <v/>
      </c>
    </row>
    <row r="186">
      <c r="W186">
        <f>IF(AND(A186="",D186=""),"",IF(ISNUMBER(SEARCH("##END",AH186)),"（終わりの印）",IF(ISNUMBER(SEARCH("##続き",AH186)),"（続きありの印）",IF(AH186="調査ID","（見出し行）",IF(AND(AH186&lt;&gt;"R1",AH186&lt;&gt;"R2"),"×表以外の行（集計されない）",IF(COUNTIF($AI$5:AI186,AI186)&gt;1,"△重複（集計されない）",IF(D186="","△タスク名なし",IF(ISNA(MATCH(AK186,'M1_類型マスタ'!$A$5:$A$19,0)),"△類型が不正",IF(OR(AM186="",AN186=""),"△回数・分が読めない",IF(SUMPRODUCT(--ISNUMBER(--O186:U186))&lt;7,"△採点が足りない",IF(SUMPRODUCT((--O186:U186&gt;2)+(--O186:U186&lt;0))&gt;0,"△採点が範囲外","OK")))))))))))</f>
        <v/>
      </c>
      <c r="X186">
        <f>IF(W186&lt;&gt;"OK","",TRIM(IF(AND(AO186&lt;&gt;"",N(AO186)&lt;=1),"根拠1件 ","")&amp;IF(AP186&lt;&gt;"","同名あり ","")&amp;IF(AND(NOT(ISNUMBER(I186)),I186&lt;&gt;""),"回数を換算 ","")))</f>
        <v/>
      </c>
      <c r="Y186" s="31" t="n"/>
      <c r="Z186" s="32" t="n"/>
      <c r="AA186" s="32" t="n"/>
      <c r="AB186" s="31" t="n"/>
      <c r="AC186">
        <f>IF(W186&lt;&gt;"OK","",IF(AB186&lt;&gt;"",AB186,AE186))</f>
        <v/>
      </c>
      <c r="AD186" s="33">
        <f>IF(W186&lt;&gt;"OK","",IFERROR(IF(Z186&lt;&gt;"",Z186,AM186)*IF(AA186&lt;&gt;"",AA186,AN186)/60,""))</f>
        <v/>
      </c>
      <c r="AE186">
        <f>IF(W186&lt;&gt;"OK","",IF(OR(VALUE(O186)=2,VALUE(P186)=2,VALUE(Q186)=2),"社内残置",IF(AND(VALUE(O186)=0,VALUE(R186)=0,VALUE(T186)=0),"自動化候補",IF(AND(VALUE(P186)=0,VALUE(R186)&lt;=1,VALUE(S186)&lt;=1,VALUE(T186)&lt;=1,VALUE(U186)&lt;=1),"オフショア候補",IF(AND(VALUE(T186)&lt;=1,VALUE(U186)&lt;=1),"ニアショア候補","社内で手順化→再評価")))))</f>
        <v/>
      </c>
      <c r="AF186">
        <f>IF(W186&lt;&gt;"OK","",14-SUMPRODUCT(--O186:U186))</f>
        <v/>
      </c>
      <c r="AG186" s="33">
        <f>IF(W186&lt;&gt;"OK","",AM186*AN186/60)</f>
        <v/>
      </c>
      <c r="AH186" s="34">
        <f>IF(A186="","",UPPER(TRIM(ASC(A186&amp;""))))</f>
        <v/>
      </c>
      <c r="AI186" s="34">
        <f>IF(AH186="","",AH186&amp;"-"&amp;B186)</f>
        <v/>
      </c>
      <c r="AJ186" s="34">
        <f>IF(C186="","",IFERROR(VALUE(ASC(SUBSTITUTE(C186&amp;"","観点",""))),""))</f>
        <v/>
      </c>
      <c r="AK186" s="34">
        <f>IF(E186="","",UPPER(LEFT(TRIM(ASC(E186&amp;"")),3)))</f>
        <v/>
      </c>
      <c r="AL186" s="34">
        <f>IF(I186="","",IFERROR(VALUE(SUBSTITUTE(SUBSTITUTE(SUBSTITUTE(SUBSTITUTE(SUBSTITUTE(SUBSTITUTE(SUBSTITUTE(SUBSTITUTE(SUBSTITUTE(SUBSTITUTE(SUBSTITUTE(SUBSTITUTE(ASC(I186&amp;""),"約",""),"程度",""),"ほど",""),"回",""),"毎",""),"週",""),"月",""),"年",""),"日",""),"に",""),"/","")," ","")),""))</f>
        <v/>
      </c>
      <c r="AM186" s="34">
        <f>IF(I186="","",IF(ISNUMBER(I186),I186,IFERROR(VALUE(ASC(I186&amp;"")),IF(AL186&lt;&gt;"",AL186*IF(ISNUMBER(SEARCH("週",I186)),4.3,IF(ISNUMBER(SEARCH("年",I186)),1/12,IF(ISNUMBER(SEARCH("日",I186)),20,1))),IF(ISNUMBER(SEARCH("日",I186)),20,IF(ISNUMBER(SEARCH("週",I186)),4.3,IF(ISNUMBER(SEARCH("月",I186)),1,"")))))))</f>
        <v/>
      </c>
      <c r="AN186" s="34">
        <f>IF(J186="","",IF(ISNUMBER(J186),J186,IFERROR(VALUE(ASC(J186&amp;"")),IF(ISNUMBER(SEARCH("時間",J186)),IFERROR(VALUE(SUBSTITUTE(SUBSTITUTE(SUBSTITUTE(SUBSTITUTE(SUBSTITUTE(ASC(J186&amp;""),"約",""),"程度",""),"ほど",""),"時間","")," ",""))*60,""),IFERROR(VALUE(SUBSTITUTE(SUBSTITUTE(SUBSTITUTE(SUBSTITUTE(SUBSTITUTE(ASC(J186&amp;""),"約",""),"程度",""),"ほど",""),"分","")," ","")),"")))))</f>
        <v/>
      </c>
      <c r="AO186" s="34">
        <f>IF(K186="","",IF(ISNUMBER(K186),K186,IFERROR(VALUE(SUBSTITUTE(SUBSTITUTE(SUBSTITUTE(ASC(K186&amp;""),"約",""),"件","")," ","")),"")))</f>
        <v/>
      </c>
      <c r="AP186" s="34">
        <f>IF(W186&lt;&gt;"OK","",IF(COUNTIFS($D$5:$D$404,D186,$W$5:$W$404,"OK")&gt;1,"同名あり",""))</f>
        <v/>
      </c>
      <c r="AQ186" s="35">
        <f>IF(L186="","",IF(ISNUMBER(L186),L186,IFERROR(DATEVALUE(SUBSTITUTE(SUBSTITUTE(ASC(L186&amp;""),"-","/"),".","/")&amp;"/01"),"")))</f>
        <v/>
      </c>
      <c r="AR186" s="35">
        <f>IF(M186="","",IF(ISNUMBER(M186),M186,IFERROR(DATEVALUE(SUBSTITUTE(SUBSTITUTE(ASC(M186&amp;""),"-","/"),".","/")&amp;"/01"),"")))</f>
        <v/>
      </c>
      <c r="AS186" s="34">
        <f>IF(OR(W186&lt;&gt;"OK",AQ186=""),"",IF(AQ186&gt;='01_設定'!$C$26,1,0))</f>
        <v/>
      </c>
      <c r="AT186" s="34">
        <f>IF(AND(W186="OK",Y186&lt;&gt;"除外"),COUNTIFS($W$5:W186,"OK",$Y$5:Y186,"&lt;&gt;除外"),"")</f>
        <v/>
      </c>
      <c r="AU186" s="34">
        <f>IF(OR(AT186="",AD186=""),"",AD186+ROW()/1000000000)</f>
        <v/>
      </c>
    </row>
    <row r="187">
      <c r="W187">
        <f>IF(AND(A187="",D187=""),"",IF(ISNUMBER(SEARCH("##END",AH187)),"（終わりの印）",IF(ISNUMBER(SEARCH("##続き",AH187)),"（続きありの印）",IF(AH187="調査ID","（見出し行）",IF(AND(AH187&lt;&gt;"R1",AH187&lt;&gt;"R2"),"×表以外の行（集計されない）",IF(COUNTIF($AI$5:AI187,AI187)&gt;1,"△重複（集計されない）",IF(D187="","△タスク名なし",IF(ISNA(MATCH(AK187,'M1_類型マスタ'!$A$5:$A$19,0)),"△類型が不正",IF(OR(AM187="",AN187=""),"△回数・分が読めない",IF(SUMPRODUCT(--ISNUMBER(--O187:U187))&lt;7,"△採点が足りない",IF(SUMPRODUCT((--O187:U187&gt;2)+(--O187:U187&lt;0))&gt;0,"△採点が範囲外","OK")))))))))))</f>
        <v/>
      </c>
      <c r="X187">
        <f>IF(W187&lt;&gt;"OK","",TRIM(IF(AND(AO187&lt;&gt;"",N(AO187)&lt;=1),"根拠1件 ","")&amp;IF(AP187&lt;&gt;"","同名あり ","")&amp;IF(AND(NOT(ISNUMBER(I187)),I187&lt;&gt;""),"回数を換算 ","")))</f>
        <v/>
      </c>
      <c r="Y187" s="31" t="n"/>
      <c r="Z187" s="32" t="n"/>
      <c r="AA187" s="32" t="n"/>
      <c r="AB187" s="31" t="n"/>
      <c r="AC187">
        <f>IF(W187&lt;&gt;"OK","",IF(AB187&lt;&gt;"",AB187,AE187))</f>
        <v/>
      </c>
      <c r="AD187" s="33">
        <f>IF(W187&lt;&gt;"OK","",IFERROR(IF(Z187&lt;&gt;"",Z187,AM187)*IF(AA187&lt;&gt;"",AA187,AN187)/60,""))</f>
        <v/>
      </c>
      <c r="AE187">
        <f>IF(W187&lt;&gt;"OK","",IF(OR(VALUE(O187)=2,VALUE(P187)=2,VALUE(Q187)=2),"社内残置",IF(AND(VALUE(O187)=0,VALUE(R187)=0,VALUE(T187)=0),"自動化候補",IF(AND(VALUE(P187)=0,VALUE(R187)&lt;=1,VALUE(S187)&lt;=1,VALUE(T187)&lt;=1,VALUE(U187)&lt;=1),"オフショア候補",IF(AND(VALUE(T187)&lt;=1,VALUE(U187)&lt;=1),"ニアショア候補","社内で手順化→再評価")))))</f>
        <v/>
      </c>
      <c r="AF187">
        <f>IF(W187&lt;&gt;"OK","",14-SUMPRODUCT(--O187:U187))</f>
        <v/>
      </c>
      <c r="AG187" s="33">
        <f>IF(W187&lt;&gt;"OK","",AM187*AN187/60)</f>
        <v/>
      </c>
      <c r="AH187" s="34">
        <f>IF(A187="","",UPPER(TRIM(ASC(A187&amp;""))))</f>
        <v/>
      </c>
      <c r="AI187" s="34">
        <f>IF(AH187="","",AH187&amp;"-"&amp;B187)</f>
        <v/>
      </c>
      <c r="AJ187" s="34">
        <f>IF(C187="","",IFERROR(VALUE(ASC(SUBSTITUTE(C187&amp;"","観点",""))),""))</f>
        <v/>
      </c>
      <c r="AK187" s="34">
        <f>IF(E187="","",UPPER(LEFT(TRIM(ASC(E187&amp;"")),3)))</f>
        <v/>
      </c>
      <c r="AL187" s="34">
        <f>IF(I187="","",IFERROR(VALUE(SUBSTITUTE(SUBSTITUTE(SUBSTITUTE(SUBSTITUTE(SUBSTITUTE(SUBSTITUTE(SUBSTITUTE(SUBSTITUTE(SUBSTITUTE(SUBSTITUTE(SUBSTITUTE(SUBSTITUTE(ASC(I187&amp;""),"約",""),"程度",""),"ほど",""),"回",""),"毎",""),"週",""),"月",""),"年",""),"日",""),"に",""),"/","")," ","")),""))</f>
        <v/>
      </c>
      <c r="AM187" s="34">
        <f>IF(I187="","",IF(ISNUMBER(I187),I187,IFERROR(VALUE(ASC(I187&amp;"")),IF(AL187&lt;&gt;"",AL187*IF(ISNUMBER(SEARCH("週",I187)),4.3,IF(ISNUMBER(SEARCH("年",I187)),1/12,IF(ISNUMBER(SEARCH("日",I187)),20,1))),IF(ISNUMBER(SEARCH("日",I187)),20,IF(ISNUMBER(SEARCH("週",I187)),4.3,IF(ISNUMBER(SEARCH("月",I187)),1,"")))))))</f>
        <v/>
      </c>
      <c r="AN187" s="34">
        <f>IF(J187="","",IF(ISNUMBER(J187),J187,IFERROR(VALUE(ASC(J187&amp;"")),IF(ISNUMBER(SEARCH("時間",J187)),IFERROR(VALUE(SUBSTITUTE(SUBSTITUTE(SUBSTITUTE(SUBSTITUTE(SUBSTITUTE(ASC(J187&amp;""),"約",""),"程度",""),"ほど",""),"時間","")," ",""))*60,""),IFERROR(VALUE(SUBSTITUTE(SUBSTITUTE(SUBSTITUTE(SUBSTITUTE(SUBSTITUTE(ASC(J187&amp;""),"約",""),"程度",""),"ほど",""),"分","")," ","")),"")))))</f>
        <v/>
      </c>
      <c r="AO187" s="34">
        <f>IF(K187="","",IF(ISNUMBER(K187),K187,IFERROR(VALUE(SUBSTITUTE(SUBSTITUTE(SUBSTITUTE(ASC(K187&amp;""),"約",""),"件","")," ","")),"")))</f>
        <v/>
      </c>
      <c r="AP187" s="34">
        <f>IF(W187&lt;&gt;"OK","",IF(COUNTIFS($D$5:$D$404,D187,$W$5:$W$404,"OK")&gt;1,"同名あり",""))</f>
        <v/>
      </c>
      <c r="AQ187" s="35">
        <f>IF(L187="","",IF(ISNUMBER(L187),L187,IFERROR(DATEVALUE(SUBSTITUTE(SUBSTITUTE(ASC(L187&amp;""),"-","/"),".","/")&amp;"/01"),"")))</f>
        <v/>
      </c>
      <c r="AR187" s="35">
        <f>IF(M187="","",IF(ISNUMBER(M187),M187,IFERROR(DATEVALUE(SUBSTITUTE(SUBSTITUTE(ASC(M187&amp;""),"-","/"),".","/")&amp;"/01"),"")))</f>
        <v/>
      </c>
      <c r="AS187" s="34">
        <f>IF(OR(W187&lt;&gt;"OK",AQ187=""),"",IF(AQ187&gt;='01_設定'!$C$26,1,0))</f>
        <v/>
      </c>
      <c r="AT187" s="34">
        <f>IF(AND(W187="OK",Y187&lt;&gt;"除外"),COUNTIFS($W$5:W187,"OK",$Y$5:Y187,"&lt;&gt;除外"),"")</f>
        <v/>
      </c>
      <c r="AU187" s="34">
        <f>IF(OR(AT187="",AD187=""),"",AD187+ROW()/1000000000)</f>
        <v/>
      </c>
    </row>
    <row r="188">
      <c r="W188">
        <f>IF(AND(A188="",D188=""),"",IF(ISNUMBER(SEARCH("##END",AH188)),"（終わりの印）",IF(ISNUMBER(SEARCH("##続き",AH188)),"（続きありの印）",IF(AH188="調査ID","（見出し行）",IF(AND(AH188&lt;&gt;"R1",AH188&lt;&gt;"R2"),"×表以外の行（集計されない）",IF(COUNTIF($AI$5:AI188,AI188)&gt;1,"△重複（集計されない）",IF(D188="","△タスク名なし",IF(ISNA(MATCH(AK188,'M1_類型マスタ'!$A$5:$A$19,0)),"△類型が不正",IF(OR(AM188="",AN188=""),"△回数・分が読めない",IF(SUMPRODUCT(--ISNUMBER(--O188:U188))&lt;7,"△採点が足りない",IF(SUMPRODUCT((--O188:U188&gt;2)+(--O188:U188&lt;0))&gt;0,"△採点が範囲外","OK")))))))))))</f>
        <v/>
      </c>
      <c r="X188">
        <f>IF(W188&lt;&gt;"OK","",TRIM(IF(AND(AO188&lt;&gt;"",N(AO188)&lt;=1),"根拠1件 ","")&amp;IF(AP188&lt;&gt;"","同名あり ","")&amp;IF(AND(NOT(ISNUMBER(I188)),I188&lt;&gt;""),"回数を換算 ","")))</f>
        <v/>
      </c>
      <c r="Y188" s="31" t="n"/>
      <c r="Z188" s="32" t="n"/>
      <c r="AA188" s="32" t="n"/>
      <c r="AB188" s="31" t="n"/>
      <c r="AC188">
        <f>IF(W188&lt;&gt;"OK","",IF(AB188&lt;&gt;"",AB188,AE188))</f>
        <v/>
      </c>
      <c r="AD188" s="33">
        <f>IF(W188&lt;&gt;"OK","",IFERROR(IF(Z188&lt;&gt;"",Z188,AM188)*IF(AA188&lt;&gt;"",AA188,AN188)/60,""))</f>
        <v/>
      </c>
      <c r="AE188">
        <f>IF(W188&lt;&gt;"OK","",IF(OR(VALUE(O188)=2,VALUE(P188)=2,VALUE(Q188)=2),"社内残置",IF(AND(VALUE(O188)=0,VALUE(R188)=0,VALUE(T188)=0),"自動化候補",IF(AND(VALUE(P188)=0,VALUE(R188)&lt;=1,VALUE(S188)&lt;=1,VALUE(T188)&lt;=1,VALUE(U188)&lt;=1),"オフショア候補",IF(AND(VALUE(T188)&lt;=1,VALUE(U188)&lt;=1),"ニアショア候補","社内で手順化→再評価")))))</f>
        <v/>
      </c>
      <c r="AF188">
        <f>IF(W188&lt;&gt;"OK","",14-SUMPRODUCT(--O188:U188))</f>
        <v/>
      </c>
      <c r="AG188" s="33">
        <f>IF(W188&lt;&gt;"OK","",AM188*AN188/60)</f>
        <v/>
      </c>
      <c r="AH188" s="34">
        <f>IF(A188="","",UPPER(TRIM(ASC(A188&amp;""))))</f>
        <v/>
      </c>
      <c r="AI188" s="34">
        <f>IF(AH188="","",AH188&amp;"-"&amp;B188)</f>
        <v/>
      </c>
      <c r="AJ188" s="34">
        <f>IF(C188="","",IFERROR(VALUE(ASC(SUBSTITUTE(C188&amp;"","観点",""))),""))</f>
        <v/>
      </c>
      <c r="AK188" s="34">
        <f>IF(E188="","",UPPER(LEFT(TRIM(ASC(E188&amp;"")),3)))</f>
        <v/>
      </c>
      <c r="AL188" s="34">
        <f>IF(I188="","",IFERROR(VALUE(SUBSTITUTE(SUBSTITUTE(SUBSTITUTE(SUBSTITUTE(SUBSTITUTE(SUBSTITUTE(SUBSTITUTE(SUBSTITUTE(SUBSTITUTE(SUBSTITUTE(SUBSTITUTE(SUBSTITUTE(ASC(I188&amp;""),"約",""),"程度",""),"ほど",""),"回",""),"毎",""),"週",""),"月",""),"年",""),"日",""),"に",""),"/","")," ","")),""))</f>
        <v/>
      </c>
      <c r="AM188" s="34">
        <f>IF(I188="","",IF(ISNUMBER(I188),I188,IFERROR(VALUE(ASC(I188&amp;"")),IF(AL188&lt;&gt;"",AL188*IF(ISNUMBER(SEARCH("週",I188)),4.3,IF(ISNUMBER(SEARCH("年",I188)),1/12,IF(ISNUMBER(SEARCH("日",I188)),20,1))),IF(ISNUMBER(SEARCH("日",I188)),20,IF(ISNUMBER(SEARCH("週",I188)),4.3,IF(ISNUMBER(SEARCH("月",I188)),1,"")))))))</f>
        <v/>
      </c>
      <c r="AN188" s="34">
        <f>IF(J188="","",IF(ISNUMBER(J188),J188,IFERROR(VALUE(ASC(J188&amp;"")),IF(ISNUMBER(SEARCH("時間",J188)),IFERROR(VALUE(SUBSTITUTE(SUBSTITUTE(SUBSTITUTE(SUBSTITUTE(SUBSTITUTE(ASC(J188&amp;""),"約",""),"程度",""),"ほど",""),"時間","")," ",""))*60,""),IFERROR(VALUE(SUBSTITUTE(SUBSTITUTE(SUBSTITUTE(SUBSTITUTE(SUBSTITUTE(ASC(J188&amp;""),"約",""),"程度",""),"ほど",""),"分","")," ","")),"")))))</f>
        <v/>
      </c>
      <c r="AO188" s="34">
        <f>IF(K188="","",IF(ISNUMBER(K188),K188,IFERROR(VALUE(SUBSTITUTE(SUBSTITUTE(SUBSTITUTE(ASC(K188&amp;""),"約",""),"件","")," ","")),"")))</f>
        <v/>
      </c>
      <c r="AP188" s="34">
        <f>IF(W188&lt;&gt;"OK","",IF(COUNTIFS($D$5:$D$404,D188,$W$5:$W$404,"OK")&gt;1,"同名あり",""))</f>
        <v/>
      </c>
      <c r="AQ188" s="35">
        <f>IF(L188="","",IF(ISNUMBER(L188),L188,IFERROR(DATEVALUE(SUBSTITUTE(SUBSTITUTE(ASC(L188&amp;""),"-","/"),".","/")&amp;"/01"),"")))</f>
        <v/>
      </c>
      <c r="AR188" s="35">
        <f>IF(M188="","",IF(ISNUMBER(M188),M188,IFERROR(DATEVALUE(SUBSTITUTE(SUBSTITUTE(ASC(M188&amp;""),"-","/"),".","/")&amp;"/01"),"")))</f>
        <v/>
      </c>
      <c r="AS188" s="34">
        <f>IF(OR(W188&lt;&gt;"OK",AQ188=""),"",IF(AQ188&gt;='01_設定'!$C$26,1,0))</f>
        <v/>
      </c>
      <c r="AT188" s="34">
        <f>IF(AND(W188="OK",Y188&lt;&gt;"除外"),COUNTIFS($W$5:W188,"OK",$Y$5:Y188,"&lt;&gt;除外"),"")</f>
        <v/>
      </c>
      <c r="AU188" s="34">
        <f>IF(OR(AT188="",AD188=""),"",AD188+ROW()/1000000000)</f>
        <v/>
      </c>
    </row>
    <row r="189">
      <c r="W189">
        <f>IF(AND(A189="",D189=""),"",IF(ISNUMBER(SEARCH("##END",AH189)),"（終わりの印）",IF(ISNUMBER(SEARCH("##続き",AH189)),"（続きありの印）",IF(AH189="調査ID","（見出し行）",IF(AND(AH189&lt;&gt;"R1",AH189&lt;&gt;"R2"),"×表以外の行（集計されない）",IF(COUNTIF($AI$5:AI189,AI189)&gt;1,"△重複（集計されない）",IF(D189="","△タスク名なし",IF(ISNA(MATCH(AK189,'M1_類型マスタ'!$A$5:$A$19,0)),"△類型が不正",IF(OR(AM189="",AN189=""),"△回数・分が読めない",IF(SUMPRODUCT(--ISNUMBER(--O189:U189))&lt;7,"△採点が足りない",IF(SUMPRODUCT((--O189:U189&gt;2)+(--O189:U189&lt;0))&gt;0,"△採点が範囲外","OK")))))))))))</f>
        <v/>
      </c>
      <c r="X189">
        <f>IF(W189&lt;&gt;"OK","",TRIM(IF(AND(AO189&lt;&gt;"",N(AO189)&lt;=1),"根拠1件 ","")&amp;IF(AP189&lt;&gt;"","同名あり ","")&amp;IF(AND(NOT(ISNUMBER(I189)),I189&lt;&gt;""),"回数を換算 ","")))</f>
        <v/>
      </c>
      <c r="Y189" s="31" t="n"/>
      <c r="Z189" s="32" t="n"/>
      <c r="AA189" s="32" t="n"/>
      <c r="AB189" s="31" t="n"/>
      <c r="AC189">
        <f>IF(W189&lt;&gt;"OK","",IF(AB189&lt;&gt;"",AB189,AE189))</f>
        <v/>
      </c>
      <c r="AD189" s="33">
        <f>IF(W189&lt;&gt;"OK","",IFERROR(IF(Z189&lt;&gt;"",Z189,AM189)*IF(AA189&lt;&gt;"",AA189,AN189)/60,""))</f>
        <v/>
      </c>
      <c r="AE189">
        <f>IF(W189&lt;&gt;"OK","",IF(OR(VALUE(O189)=2,VALUE(P189)=2,VALUE(Q189)=2),"社内残置",IF(AND(VALUE(O189)=0,VALUE(R189)=0,VALUE(T189)=0),"自動化候補",IF(AND(VALUE(P189)=0,VALUE(R189)&lt;=1,VALUE(S189)&lt;=1,VALUE(T189)&lt;=1,VALUE(U189)&lt;=1),"オフショア候補",IF(AND(VALUE(T189)&lt;=1,VALUE(U189)&lt;=1),"ニアショア候補","社内で手順化→再評価")))))</f>
        <v/>
      </c>
      <c r="AF189">
        <f>IF(W189&lt;&gt;"OK","",14-SUMPRODUCT(--O189:U189))</f>
        <v/>
      </c>
      <c r="AG189" s="33">
        <f>IF(W189&lt;&gt;"OK","",AM189*AN189/60)</f>
        <v/>
      </c>
      <c r="AH189" s="34">
        <f>IF(A189="","",UPPER(TRIM(ASC(A189&amp;""))))</f>
        <v/>
      </c>
      <c r="AI189" s="34">
        <f>IF(AH189="","",AH189&amp;"-"&amp;B189)</f>
        <v/>
      </c>
      <c r="AJ189" s="34">
        <f>IF(C189="","",IFERROR(VALUE(ASC(SUBSTITUTE(C189&amp;"","観点",""))),""))</f>
        <v/>
      </c>
      <c r="AK189" s="34">
        <f>IF(E189="","",UPPER(LEFT(TRIM(ASC(E189&amp;"")),3)))</f>
        <v/>
      </c>
      <c r="AL189" s="34">
        <f>IF(I189="","",IFERROR(VALUE(SUBSTITUTE(SUBSTITUTE(SUBSTITUTE(SUBSTITUTE(SUBSTITUTE(SUBSTITUTE(SUBSTITUTE(SUBSTITUTE(SUBSTITUTE(SUBSTITUTE(SUBSTITUTE(SUBSTITUTE(ASC(I189&amp;""),"約",""),"程度",""),"ほど",""),"回",""),"毎",""),"週",""),"月",""),"年",""),"日",""),"に",""),"/","")," ","")),""))</f>
        <v/>
      </c>
      <c r="AM189" s="34">
        <f>IF(I189="","",IF(ISNUMBER(I189),I189,IFERROR(VALUE(ASC(I189&amp;"")),IF(AL189&lt;&gt;"",AL189*IF(ISNUMBER(SEARCH("週",I189)),4.3,IF(ISNUMBER(SEARCH("年",I189)),1/12,IF(ISNUMBER(SEARCH("日",I189)),20,1))),IF(ISNUMBER(SEARCH("日",I189)),20,IF(ISNUMBER(SEARCH("週",I189)),4.3,IF(ISNUMBER(SEARCH("月",I189)),1,"")))))))</f>
        <v/>
      </c>
      <c r="AN189" s="34">
        <f>IF(J189="","",IF(ISNUMBER(J189),J189,IFERROR(VALUE(ASC(J189&amp;"")),IF(ISNUMBER(SEARCH("時間",J189)),IFERROR(VALUE(SUBSTITUTE(SUBSTITUTE(SUBSTITUTE(SUBSTITUTE(SUBSTITUTE(ASC(J189&amp;""),"約",""),"程度",""),"ほど",""),"時間","")," ",""))*60,""),IFERROR(VALUE(SUBSTITUTE(SUBSTITUTE(SUBSTITUTE(SUBSTITUTE(SUBSTITUTE(ASC(J189&amp;""),"約",""),"程度",""),"ほど",""),"分","")," ","")),"")))))</f>
        <v/>
      </c>
      <c r="AO189" s="34">
        <f>IF(K189="","",IF(ISNUMBER(K189),K189,IFERROR(VALUE(SUBSTITUTE(SUBSTITUTE(SUBSTITUTE(ASC(K189&amp;""),"約",""),"件","")," ","")),"")))</f>
        <v/>
      </c>
      <c r="AP189" s="34">
        <f>IF(W189&lt;&gt;"OK","",IF(COUNTIFS($D$5:$D$404,D189,$W$5:$W$404,"OK")&gt;1,"同名あり",""))</f>
        <v/>
      </c>
      <c r="AQ189" s="35">
        <f>IF(L189="","",IF(ISNUMBER(L189),L189,IFERROR(DATEVALUE(SUBSTITUTE(SUBSTITUTE(ASC(L189&amp;""),"-","/"),".","/")&amp;"/01"),"")))</f>
        <v/>
      </c>
      <c r="AR189" s="35">
        <f>IF(M189="","",IF(ISNUMBER(M189),M189,IFERROR(DATEVALUE(SUBSTITUTE(SUBSTITUTE(ASC(M189&amp;""),"-","/"),".","/")&amp;"/01"),"")))</f>
        <v/>
      </c>
      <c r="AS189" s="34">
        <f>IF(OR(W189&lt;&gt;"OK",AQ189=""),"",IF(AQ189&gt;='01_設定'!$C$26,1,0))</f>
        <v/>
      </c>
      <c r="AT189" s="34">
        <f>IF(AND(W189="OK",Y189&lt;&gt;"除外"),COUNTIFS($W$5:W189,"OK",$Y$5:Y189,"&lt;&gt;除外"),"")</f>
        <v/>
      </c>
      <c r="AU189" s="34">
        <f>IF(OR(AT189="",AD189=""),"",AD189+ROW()/1000000000)</f>
        <v/>
      </c>
    </row>
    <row r="190">
      <c r="W190">
        <f>IF(AND(A190="",D190=""),"",IF(ISNUMBER(SEARCH("##END",AH190)),"（終わりの印）",IF(ISNUMBER(SEARCH("##続き",AH190)),"（続きありの印）",IF(AH190="調査ID","（見出し行）",IF(AND(AH190&lt;&gt;"R1",AH190&lt;&gt;"R2"),"×表以外の行（集計されない）",IF(COUNTIF($AI$5:AI190,AI190)&gt;1,"△重複（集計されない）",IF(D190="","△タスク名なし",IF(ISNA(MATCH(AK190,'M1_類型マスタ'!$A$5:$A$19,0)),"△類型が不正",IF(OR(AM190="",AN190=""),"△回数・分が読めない",IF(SUMPRODUCT(--ISNUMBER(--O190:U190))&lt;7,"△採点が足りない",IF(SUMPRODUCT((--O190:U190&gt;2)+(--O190:U190&lt;0))&gt;0,"△採点が範囲外","OK")))))))))))</f>
        <v/>
      </c>
      <c r="X190">
        <f>IF(W190&lt;&gt;"OK","",TRIM(IF(AND(AO190&lt;&gt;"",N(AO190)&lt;=1),"根拠1件 ","")&amp;IF(AP190&lt;&gt;"","同名あり ","")&amp;IF(AND(NOT(ISNUMBER(I190)),I190&lt;&gt;""),"回数を換算 ","")))</f>
        <v/>
      </c>
      <c r="Y190" s="31" t="n"/>
      <c r="Z190" s="32" t="n"/>
      <c r="AA190" s="32" t="n"/>
      <c r="AB190" s="31" t="n"/>
      <c r="AC190">
        <f>IF(W190&lt;&gt;"OK","",IF(AB190&lt;&gt;"",AB190,AE190))</f>
        <v/>
      </c>
      <c r="AD190" s="33">
        <f>IF(W190&lt;&gt;"OK","",IFERROR(IF(Z190&lt;&gt;"",Z190,AM190)*IF(AA190&lt;&gt;"",AA190,AN190)/60,""))</f>
        <v/>
      </c>
      <c r="AE190">
        <f>IF(W190&lt;&gt;"OK","",IF(OR(VALUE(O190)=2,VALUE(P190)=2,VALUE(Q190)=2),"社内残置",IF(AND(VALUE(O190)=0,VALUE(R190)=0,VALUE(T190)=0),"自動化候補",IF(AND(VALUE(P190)=0,VALUE(R190)&lt;=1,VALUE(S190)&lt;=1,VALUE(T190)&lt;=1,VALUE(U190)&lt;=1),"オフショア候補",IF(AND(VALUE(T190)&lt;=1,VALUE(U190)&lt;=1),"ニアショア候補","社内で手順化→再評価")))))</f>
        <v/>
      </c>
      <c r="AF190">
        <f>IF(W190&lt;&gt;"OK","",14-SUMPRODUCT(--O190:U190))</f>
        <v/>
      </c>
      <c r="AG190" s="33">
        <f>IF(W190&lt;&gt;"OK","",AM190*AN190/60)</f>
        <v/>
      </c>
      <c r="AH190" s="34">
        <f>IF(A190="","",UPPER(TRIM(ASC(A190&amp;""))))</f>
        <v/>
      </c>
      <c r="AI190" s="34">
        <f>IF(AH190="","",AH190&amp;"-"&amp;B190)</f>
        <v/>
      </c>
      <c r="AJ190" s="34">
        <f>IF(C190="","",IFERROR(VALUE(ASC(SUBSTITUTE(C190&amp;"","観点",""))),""))</f>
        <v/>
      </c>
      <c r="AK190" s="34">
        <f>IF(E190="","",UPPER(LEFT(TRIM(ASC(E190&amp;"")),3)))</f>
        <v/>
      </c>
      <c r="AL190" s="34">
        <f>IF(I190="","",IFERROR(VALUE(SUBSTITUTE(SUBSTITUTE(SUBSTITUTE(SUBSTITUTE(SUBSTITUTE(SUBSTITUTE(SUBSTITUTE(SUBSTITUTE(SUBSTITUTE(SUBSTITUTE(SUBSTITUTE(SUBSTITUTE(ASC(I190&amp;""),"約",""),"程度",""),"ほど",""),"回",""),"毎",""),"週",""),"月",""),"年",""),"日",""),"に",""),"/","")," ","")),""))</f>
        <v/>
      </c>
      <c r="AM190" s="34">
        <f>IF(I190="","",IF(ISNUMBER(I190),I190,IFERROR(VALUE(ASC(I190&amp;"")),IF(AL190&lt;&gt;"",AL190*IF(ISNUMBER(SEARCH("週",I190)),4.3,IF(ISNUMBER(SEARCH("年",I190)),1/12,IF(ISNUMBER(SEARCH("日",I190)),20,1))),IF(ISNUMBER(SEARCH("日",I190)),20,IF(ISNUMBER(SEARCH("週",I190)),4.3,IF(ISNUMBER(SEARCH("月",I190)),1,"")))))))</f>
        <v/>
      </c>
      <c r="AN190" s="34">
        <f>IF(J190="","",IF(ISNUMBER(J190),J190,IFERROR(VALUE(ASC(J190&amp;"")),IF(ISNUMBER(SEARCH("時間",J190)),IFERROR(VALUE(SUBSTITUTE(SUBSTITUTE(SUBSTITUTE(SUBSTITUTE(SUBSTITUTE(ASC(J190&amp;""),"約",""),"程度",""),"ほど",""),"時間","")," ",""))*60,""),IFERROR(VALUE(SUBSTITUTE(SUBSTITUTE(SUBSTITUTE(SUBSTITUTE(SUBSTITUTE(ASC(J190&amp;""),"約",""),"程度",""),"ほど",""),"分","")," ","")),"")))))</f>
        <v/>
      </c>
      <c r="AO190" s="34">
        <f>IF(K190="","",IF(ISNUMBER(K190),K190,IFERROR(VALUE(SUBSTITUTE(SUBSTITUTE(SUBSTITUTE(ASC(K190&amp;""),"約",""),"件","")," ","")),"")))</f>
        <v/>
      </c>
      <c r="AP190" s="34">
        <f>IF(W190&lt;&gt;"OK","",IF(COUNTIFS($D$5:$D$404,D190,$W$5:$W$404,"OK")&gt;1,"同名あり",""))</f>
        <v/>
      </c>
      <c r="AQ190" s="35">
        <f>IF(L190="","",IF(ISNUMBER(L190),L190,IFERROR(DATEVALUE(SUBSTITUTE(SUBSTITUTE(ASC(L190&amp;""),"-","/"),".","/")&amp;"/01"),"")))</f>
        <v/>
      </c>
      <c r="AR190" s="35">
        <f>IF(M190="","",IF(ISNUMBER(M190),M190,IFERROR(DATEVALUE(SUBSTITUTE(SUBSTITUTE(ASC(M190&amp;""),"-","/"),".","/")&amp;"/01"),"")))</f>
        <v/>
      </c>
      <c r="AS190" s="34">
        <f>IF(OR(W190&lt;&gt;"OK",AQ190=""),"",IF(AQ190&gt;='01_設定'!$C$26,1,0))</f>
        <v/>
      </c>
      <c r="AT190" s="34">
        <f>IF(AND(W190="OK",Y190&lt;&gt;"除外"),COUNTIFS($W$5:W190,"OK",$Y$5:Y190,"&lt;&gt;除外"),"")</f>
        <v/>
      </c>
      <c r="AU190" s="34">
        <f>IF(OR(AT190="",AD190=""),"",AD190+ROW()/1000000000)</f>
        <v/>
      </c>
    </row>
    <row r="191">
      <c r="W191">
        <f>IF(AND(A191="",D191=""),"",IF(ISNUMBER(SEARCH("##END",AH191)),"（終わりの印）",IF(ISNUMBER(SEARCH("##続き",AH191)),"（続きありの印）",IF(AH191="調査ID","（見出し行）",IF(AND(AH191&lt;&gt;"R1",AH191&lt;&gt;"R2"),"×表以外の行（集計されない）",IF(COUNTIF($AI$5:AI191,AI191)&gt;1,"△重複（集計されない）",IF(D191="","△タスク名なし",IF(ISNA(MATCH(AK191,'M1_類型マスタ'!$A$5:$A$19,0)),"△類型が不正",IF(OR(AM191="",AN191=""),"△回数・分が読めない",IF(SUMPRODUCT(--ISNUMBER(--O191:U191))&lt;7,"△採点が足りない",IF(SUMPRODUCT((--O191:U191&gt;2)+(--O191:U191&lt;0))&gt;0,"△採点が範囲外","OK")))))))))))</f>
        <v/>
      </c>
      <c r="X191">
        <f>IF(W191&lt;&gt;"OK","",TRIM(IF(AND(AO191&lt;&gt;"",N(AO191)&lt;=1),"根拠1件 ","")&amp;IF(AP191&lt;&gt;"","同名あり ","")&amp;IF(AND(NOT(ISNUMBER(I191)),I191&lt;&gt;""),"回数を換算 ","")))</f>
        <v/>
      </c>
      <c r="Y191" s="31" t="n"/>
      <c r="Z191" s="32" t="n"/>
      <c r="AA191" s="32" t="n"/>
      <c r="AB191" s="31" t="n"/>
      <c r="AC191">
        <f>IF(W191&lt;&gt;"OK","",IF(AB191&lt;&gt;"",AB191,AE191))</f>
        <v/>
      </c>
      <c r="AD191" s="33">
        <f>IF(W191&lt;&gt;"OK","",IFERROR(IF(Z191&lt;&gt;"",Z191,AM191)*IF(AA191&lt;&gt;"",AA191,AN191)/60,""))</f>
        <v/>
      </c>
      <c r="AE191">
        <f>IF(W191&lt;&gt;"OK","",IF(OR(VALUE(O191)=2,VALUE(P191)=2,VALUE(Q191)=2),"社内残置",IF(AND(VALUE(O191)=0,VALUE(R191)=0,VALUE(T191)=0),"自動化候補",IF(AND(VALUE(P191)=0,VALUE(R191)&lt;=1,VALUE(S191)&lt;=1,VALUE(T191)&lt;=1,VALUE(U191)&lt;=1),"オフショア候補",IF(AND(VALUE(T191)&lt;=1,VALUE(U191)&lt;=1),"ニアショア候補","社内で手順化→再評価")))))</f>
        <v/>
      </c>
      <c r="AF191">
        <f>IF(W191&lt;&gt;"OK","",14-SUMPRODUCT(--O191:U191))</f>
        <v/>
      </c>
      <c r="AG191" s="33">
        <f>IF(W191&lt;&gt;"OK","",AM191*AN191/60)</f>
        <v/>
      </c>
      <c r="AH191" s="34">
        <f>IF(A191="","",UPPER(TRIM(ASC(A191&amp;""))))</f>
        <v/>
      </c>
      <c r="AI191" s="34">
        <f>IF(AH191="","",AH191&amp;"-"&amp;B191)</f>
        <v/>
      </c>
      <c r="AJ191" s="34">
        <f>IF(C191="","",IFERROR(VALUE(ASC(SUBSTITUTE(C191&amp;"","観点",""))),""))</f>
        <v/>
      </c>
      <c r="AK191" s="34">
        <f>IF(E191="","",UPPER(LEFT(TRIM(ASC(E191&amp;"")),3)))</f>
        <v/>
      </c>
      <c r="AL191" s="34">
        <f>IF(I191="","",IFERROR(VALUE(SUBSTITUTE(SUBSTITUTE(SUBSTITUTE(SUBSTITUTE(SUBSTITUTE(SUBSTITUTE(SUBSTITUTE(SUBSTITUTE(SUBSTITUTE(SUBSTITUTE(SUBSTITUTE(SUBSTITUTE(ASC(I191&amp;""),"約",""),"程度",""),"ほど",""),"回",""),"毎",""),"週",""),"月",""),"年",""),"日",""),"に",""),"/","")," ","")),""))</f>
        <v/>
      </c>
      <c r="AM191" s="34">
        <f>IF(I191="","",IF(ISNUMBER(I191),I191,IFERROR(VALUE(ASC(I191&amp;"")),IF(AL191&lt;&gt;"",AL191*IF(ISNUMBER(SEARCH("週",I191)),4.3,IF(ISNUMBER(SEARCH("年",I191)),1/12,IF(ISNUMBER(SEARCH("日",I191)),20,1))),IF(ISNUMBER(SEARCH("日",I191)),20,IF(ISNUMBER(SEARCH("週",I191)),4.3,IF(ISNUMBER(SEARCH("月",I191)),1,"")))))))</f>
        <v/>
      </c>
      <c r="AN191" s="34">
        <f>IF(J191="","",IF(ISNUMBER(J191),J191,IFERROR(VALUE(ASC(J191&amp;"")),IF(ISNUMBER(SEARCH("時間",J191)),IFERROR(VALUE(SUBSTITUTE(SUBSTITUTE(SUBSTITUTE(SUBSTITUTE(SUBSTITUTE(ASC(J191&amp;""),"約",""),"程度",""),"ほど",""),"時間","")," ",""))*60,""),IFERROR(VALUE(SUBSTITUTE(SUBSTITUTE(SUBSTITUTE(SUBSTITUTE(SUBSTITUTE(ASC(J191&amp;""),"約",""),"程度",""),"ほど",""),"分","")," ","")),"")))))</f>
        <v/>
      </c>
      <c r="AO191" s="34">
        <f>IF(K191="","",IF(ISNUMBER(K191),K191,IFERROR(VALUE(SUBSTITUTE(SUBSTITUTE(SUBSTITUTE(ASC(K191&amp;""),"約",""),"件","")," ","")),"")))</f>
        <v/>
      </c>
      <c r="AP191" s="34">
        <f>IF(W191&lt;&gt;"OK","",IF(COUNTIFS($D$5:$D$404,D191,$W$5:$W$404,"OK")&gt;1,"同名あり",""))</f>
        <v/>
      </c>
      <c r="AQ191" s="35">
        <f>IF(L191="","",IF(ISNUMBER(L191),L191,IFERROR(DATEVALUE(SUBSTITUTE(SUBSTITUTE(ASC(L191&amp;""),"-","/"),".","/")&amp;"/01"),"")))</f>
        <v/>
      </c>
      <c r="AR191" s="35">
        <f>IF(M191="","",IF(ISNUMBER(M191),M191,IFERROR(DATEVALUE(SUBSTITUTE(SUBSTITUTE(ASC(M191&amp;""),"-","/"),".","/")&amp;"/01"),"")))</f>
        <v/>
      </c>
      <c r="AS191" s="34">
        <f>IF(OR(W191&lt;&gt;"OK",AQ191=""),"",IF(AQ191&gt;='01_設定'!$C$26,1,0))</f>
        <v/>
      </c>
      <c r="AT191" s="34">
        <f>IF(AND(W191="OK",Y191&lt;&gt;"除外"),COUNTIFS($W$5:W191,"OK",$Y$5:Y191,"&lt;&gt;除外"),"")</f>
        <v/>
      </c>
      <c r="AU191" s="34">
        <f>IF(OR(AT191="",AD191=""),"",AD191+ROW()/1000000000)</f>
        <v/>
      </c>
    </row>
    <row r="192">
      <c r="W192">
        <f>IF(AND(A192="",D192=""),"",IF(ISNUMBER(SEARCH("##END",AH192)),"（終わりの印）",IF(ISNUMBER(SEARCH("##続き",AH192)),"（続きありの印）",IF(AH192="調査ID","（見出し行）",IF(AND(AH192&lt;&gt;"R1",AH192&lt;&gt;"R2"),"×表以外の行（集計されない）",IF(COUNTIF($AI$5:AI192,AI192)&gt;1,"△重複（集計されない）",IF(D192="","△タスク名なし",IF(ISNA(MATCH(AK192,'M1_類型マスタ'!$A$5:$A$19,0)),"△類型が不正",IF(OR(AM192="",AN192=""),"△回数・分が読めない",IF(SUMPRODUCT(--ISNUMBER(--O192:U192))&lt;7,"△採点が足りない",IF(SUMPRODUCT((--O192:U192&gt;2)+(--O192:U192&lt;0))&gt;0,"△採点が範囲外","OK")))))))))))</f>
        <v/>
      </c>
      <c r="X192">
        <f>IF(W192&lt;&gt;"OK","",TRIM(IF(AND(AO192&lt;&gt;"",N(AO192)&lt;=1),"根拠1件 ","")&amp;IF(AP192&lt;&gt;"","同名あり ","")&amp;IF(AND(NOT(ISNUMBER(I192)),I192&lt;&gt;""),"回数を換算 ","")))</f>
        <v/>
      </c>
      <c r="Y192" s="31" t="n"/>
      <c r="Z192" s="32" t="n"/>
      <c r="AA192" s="32" t="n"/>
      <c r="AB192" s="31" t="n"/>
      <c r="AC192">
        <f>IF(W192&lt;&gt;"OK","",IF(AB192&lt;&gt;"",AB192,AE192))</f>
        <v/>
      </c>
      <c r="AD192" s="33">
        <f>IF(W192&lt;&gt;"OK","",IFERROR(IF(Z192&lt;&gt;"",Z192,AM192)*IF(AA192&lt;&gt;"",AA192,AN192)/60,""))</f>
        <v/>
      </c>
      <c r="AE192">
        <f>IF(W192&lt;&gt;"OK","",IF(OR(VALUE(O192)=2,VALUE(P192)=2,VALUE(Q192)=2),"社内残置",IF(AND(VALUE(O192)=0,VALUE(R192)=0,VALUE(T192)=0),"自動化候補",IF(AND(VALUE(P192)=0,VALUE(R192)&lt;=1,VALUE(S192)&lt;=1,VALUE(T192)&lt;=1,VALUE(U192)&lt;=1),"オフショア候補",IF(AND(VALUE(T192)&lt;=1,VALUE(U192)&lt;=1),"ニアショア候補","社内で手順化→再評価")))))</f>
        <v/>
      </c>
      <c r="AF192">
        <f>IF(W192&lt;&gt;"OK","",14-SUMPRODUCT(--O192:U192))</f>
        <v/>
      </c>
      <c r="AG192" s="33">
        <f>IF(W192&lt;&gt;"OK","",AM192*AN192/60)</f>
        <v/>
      </c>
      <c r="AH192" s="34">
        <f>IF(A192="","",UPPER(TRIM(ASC(A192&amp;""))))</f>
        <v/>
      </c>
      <c r="AI192" s="34">
        <f>IF(AH192="","",AH192&amp;"-"&amp;B192)</f>
        <v/>
      </c>
      <c r="AJ192" s="34">
        <f>IF(C192="","",IFERROR(VALUE(ASC(SUBSTITUTE(C192&amp;"","観点",""))),""))</f>
        <v/>
      </c>
      <c r="AK192" s="34">
        <f>IF(E192="","",UPPER(LEFT(TRIM(ASC(E192&amp;"")),3)))</f>
        <v/>
      </c>
      <c r="AL192" s="34">
        <f>IF(I192="","",IFERROR(VALUE(SUBSTITUTE(SUBSTITUTE(SUBSTITUTE(SUBSTITUTE(SUBSTITUTE(SUBSTITUTE(SUBSTITUTE(SUBSTITUTE(SUBSTITUTE(SUBSTITUTE(SUBSTITUTE(SUBSTITUTE(ASC(I192&amp;""),"約",""),"程度",""),"ほど",""),"回",""),"毎",""),"週",""),"月",""),"年",""),"日",""),"に",""),"/","")," ","")),""))</f>
        <v/>
      </c>
      <c r="AM192" s="34">
        <f>IF(I192="","",IF(ISNUMBER(I192),I192,IFERROR(VALUE(ASC(I192&amp;"")),IF(AL192&lt;&gt;"",AL192*IF(ISNUMBER(SEARCH("週",I192)),4.3,IF(ISNUMBER(SEARCH("年",I192)),1/12,IF(ISNUMBER(SEARCH("日",I192)),20,1))),IF(ISNUMBER(SEARCH("日",I192)),20,IF(ISNUMBER(SEARCH("週",I192)),4.3,IF(ISNUMBER(SEARCH("月",I192)),1,"")))))))</f>
        <v/>
      </c>
      <c r="AN192" s="34">
        <f>IF(J192="","",IF(ISNUMBER(J192),J192,IFERROR(VALUE(ASC(J192&amp;"")),IF(ISNUMBER(SEARCH("時間",J192)),IFERROR(VALUE(SUBSTITUTE(SUBSTITUTE(SUBSTITUTE(SUBSTITUTE(SUBSTITUTE(ASC(J192&amp;""),"約",""),"程度",""),"ほど",""),"時間","")," ",""))*60,""),IFERROR(VALUE(SUBSTITUTE(SUBSTITUTE(SUBSTITUTE(SUBSTITUTE(SUBSTITUTE(ASC(J192&amp;""),"約",""),"程度",""),"ほど",""),"分","")," ","")),"")))))</f>
        <v/>
      </c>
      <c r="AO192" s="34">
        <f>IF(K192="","",IF(ISNUMBER(K192),K192,IFERROR(VALUE(SUBSTITUTE(SUBSTITUTE(SUBSTITUTE(ASC(K192&amp;""),"約",""),"件","")," ","")),"")))</f>
        <v/>
      </c>
      <c r="AP192" s="34">
        <f>IF(W192&lt;&gt;"OK","",IF(COUNTIFS($D$5:$D$404,D192,$W$5:$W$404,"OK")&gt;1,"同名あり",""))</f>
        <v/>
      </c>
      <c r="AQ192" s="35">
        <f>IF(L192="","",IF(ISNUMBER(L192),L192,IFERROR(DATEVALUE(SUBSTITUTE(SUBSTITUTE(ASC(L192&amp;""),"-","/"),".","/")&amp;"/01"),"")))</f>
        <v/>
      </c>
      <c r="AR192" s="35">
        <f>IF(M192="","",IF(ISNUMBER(M192),M192,IFERROR(DATEVALUE(SUBSTITUTE(SUBSTITUTE(ASC(M192&amp;""),"-","/"),".","/")&amp;"/01"),"")))</f>
        <v/>
      </c>
      <c r="AS192" s="34">
        <f>IF(OR(W192&lt;&gt;"OK",AQ192=""),"",IF(AQ192&gt;='01_設定'!$C$26,1,0))</f>
        <v/>
      </c>
      <c r="AT192" s="34">
        <f>IF(AND(W192="OK",Y192&lt;&gt;"除外"),COUNTIFS($W$5:W192,"OK",$Y$5:Y192,"&lt;&gt;除外"),"")</f>
        <v/>
      </c>
      <c r="AU192" s="34">
        <f>IF(OR(AT192="",AD192=""),"",AD192+ROW()/1000000000)</f>
        <v/>
      </c>
    </row>
    <row r="193">
      <c r="W193">
        <f>IF(AND(A193="",D193=""),"",IF(ISNUMBER(SEARCH("##END",AH193)),"（終わりの印）",IF(ISNUMBER(SEARCH("##続き",AH193)),"（続きありの印）",IF(AH193="調査ID","（見出し行）",IF(AND(AH193&lt;&gt;"R1",AH193&lt;&gt;"R2"),"×表以外の行（集計されない）",IF(COUNTIF($AI$5:AI193,AI193)&gt;1,"△重複（集計されない）",IF(D193="","△タスク名なし",IF(ISNA(MATCH(AK193,'M1_類型マスタ'!$A$5:$A$19,0)),"△類型が不正",IF(OR(AM193="",AN193=""),"△回数・分が読めない",IF(SUMPRODUCT(--ISNUMBER(--O193:U193))&lt;7,"△採点が足りない",IF(SUMPRODUCT((--O193:U193&gt;2)+(--O193:U193&lt;0))&gt;0,"△採点が範囲外","OK")))))))))))</f>
        <v/>
      </c>
      <c r="X193">
        <f>IF(W193&lt;&gt;"OK","",TRIM(IF(AND(AO193&lt;&gt;"",N(AO193)&lt;=1),"根拠1件 ","")&amp;IF(AP193&lt;&gt;"","同名あり ","")&amp;IF(AND(NOT(ISNUMBER(I193)),I193&lt;&gt;""),"回数を換算 ","")))</f>
        <v/>
      </c>
      <c r="Y193" s="31" t="n"/>
      <c r="Z193" s="32" t="n"/>
      <c r="AA193" s="32" t="n"/>
      <c r="AB193" s="31" t="n"/>
      <c r="AC193">
        <f>IF(W193&lt;&gt;"OK","",IF(AB193&lt;&gt;"",AB193,AE193))</f>
        <v/>
      </c>
      <c r="AD193" s="33">
        <f>IF(W193&lt;&gt;"OK","",IFERROR(IF(Z193&lt;&gt;"",Z193,AM193)*IF(AA193&lt;&gt;"",AA193,AN193)/60,""))</f>
        <v/>
      </c>
      <c r="AE193">
        <f>IF(W193&lt;&gt;"OK","",IF(OR(VALUE(O193)=2,VALUE(P193)=2,VALUE(Q193)=2),"社内残置",IF(AND(VALUE(O193)=0,VALUE(R193)=0,VALUE(T193)=0),"自動化候補",IF(AND(VALUE(P193)=0,VALUE(R193)&lt;=1,VALUE(S193)&lt;=1,VALUE(T193)&lt;=1,VALUE(U193)&lt;=1),"オフショア候補",IF(AND(VALUE(T193)&lt;=1,VALUE(U193)&lt;=1),"ニアショア候補","社内で手順化→再評価")))))</f>
        <v/>
      </c>
      <c r="AF193">
        <f>IF(W193&lt;&gt;"OK","",14-SUMPRODUCT(--O193:U193))</f>
        <v/>
      </c>
      <c r="AG193" s="33">
        <f>IF(W193&lt;&gt;"OK","",AM193*AN193/60)</f>
        <v/>
      </c>
      <c r="AH193" s="34">
        <f>IF(A193="","",UPPER(TRIM(ASC(A193&amp;""))))</f>
        <v/>
      </c>
      <c r="AI193" s="34">
        <f>IF(AH193="","",AH193&amp;"-"&amp;B193)</f>
        <v/>
      </c>
      <c r="AJ193" s="34">
        <f>IF(C193="","",IFERROR(VALUE(ASC(SUBSTITUTE(C193&amp;"","観点",""))),""))</f>
        <v/>
      </c>
      <c r="AK193" s="34">
        <f>IF(E193="","",UPPER(LEFT(TRIM(ASC(E193&amp;"")),3)))</f>
        <v/>
      </c>
      <c r="AL193" s="34">
        <f>IF(I193="","",IFERROR(VALUE(SUBSTITUTE(SUBSTITUTE(SUBSTITUTE(SUBSTITUTE(SUBSTITUTE(SUBSTITUTE(SUBSTITUTE(SUBSTITUTE(SUBSTITUTE(SUBSTITUTE(SUBSTITUTE(SUBSTITUTE(ASC(I193&amp;""),"約",""),"程度",""),"ほど",""),"回",""),"毎",""),"週",""),"月",""),"年",""),"日",""),"に",""),"/","")," ","")),""))</f>
        <v/>
      </c>
      <c r="AM193" s="34">
        <f>IF(I193="","",IF(ISNUMBER(I193),I193,IFERROR(VALUE(ASC(I193&amp;"")),IF(AL193&lt;&gt;"",AL193*IF(ISNUMBER(SEARCH("週",I193)),4.3,IF(ISNUMBER(SEARCH("年",I193)),1/12,IF(ISNUMBER(SEARCH("日",I193)),20,1))),IF(ISNUMBER(SEARCH("日",I193)),20,IF(ISNUMBER(SEARCH("週",I193)),4.3,IF(ISNUMBER(SEARCH("月",I193)),1,"")))))))</f>
        <v/>
      </c>
      <c r="AN193" s="34">
        <f>IF(J193="","",IF(ISNUMBER(J193),J193,IFERROR(VALUE(ASC(J193&amp;"")),IF(ISNUMBER(SEARCH("時間",J193)),IFERROR(VALUE(SUBSTITUTE(SUBSTITUTE(SUBSTITUTE(SUBSTITUTE(SUBSTITUTE(ASC(J193&amp;""),"約",""),"程度",""),"ほど",""),"時間","")," ",""))*60,""),IFERROR(VALUE(SUBSTITUTE(SUBSTITUTE(SUBSTITUTE(SUBSTITUTE(SUBSTITUTE(ASC(J193&amp;""),"約",""),"程度",""),"ほど",""),"分","")," ","")),"")))))</f>
        <v/>
      </c>
      <c r="AO193" s="34">
        <f>IF(K193="","",IF(ISNUMBER(K193),K193,IFERROR(VALUE(SUBSTITUTE(SUBSTITUTE(SUBSTITUTE(ASC(K193&amp;""),"約",""),"件","")," ","")),"")))</f>
        <v/>
      </c>
      <c r="AP193" s="34">
        <f>IF(W193&lt;&gt;"OK","",IF(COUNTIFS($D$5:$D$404,D193,$W$5:$W$404,"OK")&gt;1,"同名あり",""))</f>
        <v/>
      </c>
      <c r="AQ193" s="35">
        <f>IF(L193="","",IF(ISNUMBER(L193),L193,IFERROR(DATEVALUE(SUBSTITUTE(SUBSTITUTE(ASC(L193&amp;""),"-","/"),".","/")&amp;"/01"),"")))</f>
        <v/>
      </c>
      <c r="AR193" s="35">
        <f>IF(M193="","",IF(ISNUMBER(M193),M193,IFERROR(DATEVALUE(SUBSTITUTE(SUBSTITUTE(ASC(M193&amp;""),"-","/"),".","/")&amp;"/01"),"")))</f>
        <v/>
      </c>
      <c r="AS193" s="34">
        <f>IF(OR(W193&lt;&gt;"OK",AQ193=""),"",IF(AQ193&gt;='01_設定'!$C$26,1,0))</f>
        <v/>
      </c>
      <c r="AT193" s="34">
        <f>IF(AND(W193="OK",Y193&lt;&gt;"除外"),COUNTIFS($W$5:W193,"OK",$Y$5:Y193,"&lt;&gt;除外"),"")</f>
        <v/>
      </c>
      <c r="AU193" s="34">
        <f>IF(OR(AT193="",AD193=""),"",AD193+ROW()/1000000000)</f>
        <v/>
      </c>
    </row>
    <row r="194">
      <c r="W194">
        <f>IF(AND(A194="",D194=""),"",IF(ISNUMBER(SEARCH("##END",AH194)),"（終わりの印）",IF(ISNUMBER(SEARCH("##続き",AH194)),"（続きありの印）",IF(AH194="調査ID","（見出し行）",IF(AND(AH194&lt;&gt;"R1",AH194&lt;&gt;"R2"),"×表以外の行（集計されない）",IF(COUNTIF($AI$5:AI194,AI194)&gt;1,"△重複（集計されない）",IF(D194="","△タスク名なし",IF(ISNA(MATCH(AK194,'M1_類型マスタ'!$A$5:$A$19,0)),"△類型が不正",IF(OR(AM194="",AN194=""),"△回数・分が読めない",IF(SUMPRODUCT(--ISNUMBER(--O194:U194))&lt;7,"△採点が足りない",IF(SUMPRODUCT((--O194:U194&gt;2)+(--O194:U194&lt;0))&gt;0,"△採点が範囲外","OK")))))))))))</f>
        <v/>
      </c>
      <c r="X194">
        <f>IF(W194&lt;&gt;"OK","",TRIM(IF(AND(AO194&lt;&gt;"",N(AO194)&lt;=1),"根拠1件 ","")&amp;IF(AP194&lt;&gt;"","同名あり ","")&amp;IF(AND(NOT(ISNUMBER(I194)),I194&lt;&gt;""),"回数を換算 ","")))</f>
        <v/>
      </c>
      <c r="Y194" s="31" t="n"/>
      <c r="Z194" s="32" t="n"/>
      <c r="AA194" s="32" t="n"/>
      <c r="AB194" s="31" t="n"/>
      <c r="AC194">
        <f>IF(W194&lt;&gt;"OK","",IF(AB194&lt;&gt;"",AB194,AE194))</f>
        <v/>
      </c>
      <c r="AD194" s="33">
        <f>IF(W194&lt;&gt;"OK","",IFERROR(IF(Z194&lt;&gt;"",Z194,AM194)*IF(AA194&lt;&gt;"",AA194,AN194)/60,""))</f>
        <v/>
      </c>
      <c r="AE194">
        <f>IF(W194&lt;&gt;"OK","",IF(OR(VALUE(O194)=2,VALUE(P194)=2,VALUE(Q194)=2),"社内残置",IF(AND(VALUE(O194)=0,VALUE(R194)=0,VALUE(T194)=0),"自動化候補",IF(AND(VALUE(P194)=0,VALUE(R194)&lt;=1,VALUE(S194)&lt;=1,VALUE(T194)&lt;=1,VALUE(U194)&lt;=1),"オフショア候補",IF(AND(VALUE(T194)&lt;=1,VALUE(U194)&lt;=1),"ニアショア候補","社内で手順化→再評価")))))</f>
        <v/>
      </c>
      <c r="AF194">
        <f>IF(W194&lt;&gt;"OK","",14-SUMPRODUCT(--O194:U194))</f>
        <v/>
      </c>
      <c r="AG194" s="33">
        <f>IF(W194&lt;&gt;"OK","",AM194*AN194/60)</f>
        <v/>
      </c>
      <c r="AH194" s="34">
        <f>IF(A194="","",UPPER(TRIM(ASC(A194&amp;""))))</f>
        <v/>
      </c>
      <c r="AI194" s="34">
        <f>IF(AH194="","",AH194&amp;"-"&amp;B194)</f>
        <v/>
      </c>
      <c r="AJ194" s="34">
        <f>IF(C194="","",IFERROR(VALUE(ASC(SUBSTITUTE(C194&amp;"","観点",""))),""))</f>
        <v/>
      </c>
      <c r="AK194" s="34">
        <f>IF(E194="","",UPPER(LEFT(TRIM(ASC(E194&amp;"")),3)))</f>
        <v/>
      </c>
      <c r="AL194" s="34">
        <f>IF(I194="","",IFERROR(VALUE(SUBSTITUTE(SUBSTITUTE(SUBSTITUTE(SUBSTITUTE(SUBSTITUTE(SUBSTITUTE(SUBSTITUTE(SUBSTITUTE(SUBSTITUTE(SUBSTITUTE(SUBSTITUTE(SUBSTITUTE(ASC(I194&amp;""),"約",""),"程度",""),"ほど",""),"回",""),"毎",""),"週",""),"月",""),"年",""),"日",""),"に",""),"/","")," ","")),""))</f>
        <v/>
      </c>
      <c r="AM194" s="34">
        <f>IF(I194="","",IF(ISNUMBER(I194),I194,IFERROR(VALUE(ASC(I194&amp;"")),IF(AL194&lt;&gt;"",AL194*IF(ISNUMBER(SEARCH("週",I194)),4.3,IF(ISNUMBER(SEARCH("年",I194)),1/12,IF(ISNUMBER(SEARCH("日",I194)),20,1))),IF(ISNUMBER(SEARCH("日",I194)),20,IF(ISNUMBER(SEARCH("週",I194)),4.3,IF(ISNUMBER(SEARCH("月",I194)),1,"")))))))</f>
        <v/>
      </c>
      <c r="AN194" s="34">
        <f>IF(J194="","",IF(ISNUMBER(J194),J194,IFERROR(VALUE(ASC(J194&amp;"")),IF(ISNUMBER(SEARCH("時間",J194)),IFERROR(VALUE(SUBSTITUTE(SUBSTITUTE(SUBSTITUTE(SUBSTITUTE(SUBSTITUTE(ASC(J194&amp;""),"約",""),"程度",""),"ほど",""),"時間","")," ",""))*60,""),IFERROR(VALUE(SUBSTITUTE(SUBSTITUTE(SUBSTITUTE(SUBSTITUTE(SUBSTITUTE(ASC(J194&amp;""),"約",""),"程度",""),"ほど",""),"分","")," ","")),"")))))</f>
        <v/>
      </c>
      <c r="AO194" s="34">
        <f>IF(K194="","",IF(ISNUMBER(K194),K194,IFERROR(VALUE(SUBSTITUTE(SUBSTITUTE(SUBSTITUTE(ASC(K194&amp;""),"約",""),"件","")," ","")),"")))</f>
        <v/>
      </c>
      <c r="AP194" s="34">
        <f>IF(W194&lt;&gt;"OK","",IF(COUNTIFS($D$5:$D$404,D194,$W$5:$W$404,"OK")&gt;1,"同名あり",""))</f>
        <v/>
      </c>
      <c r="AQ194" s="35">
        <f>IF(L194="","",IF(ISNUMBER(L194),L194,IFERROR(DATEVALUE(SUBSTITUTE(SUBSTITUTE(ASC(L194&amp;""),"-","/"),".","/")&amp;"/01"),"")))</f>
        <v/>
      </c>
      <c r="AR194" s="35">
        <f>IF(M194="","",IF(ISNUMBER(M194),M194,IFERROR(DATEVALUE(SUBSTITUTE(SUBSTITUTE(ASC(M194&amp;""),"-","/"),".","/")&amp;"/01"),"")))</f>
        <v/>
      </c>
      <c r="AS194" s="34">
        <f>IF(OR(W194&lt;&gt;"OK",AQ194=""),"",IF(AQ194&gt;='01_設定'!$C$26,1,0))</f>
        <v/>
      </c>
      <c r="AT194" s="34">
        <f>IF(AND(W194="OK",Y194&lt;&gt;"除外"),COUNTIFS($W$5:W194,"OK",$Y$5:Y194,"&lt;&gt;除外"),"")</f>
        <v/>
      </c>
      <c r="AU194" s="34">
        <f>IF(OR(AT194="",AD194=""),"",AD194+ROW()/1000000000)</f>
        <v/>
      </c>
    </row>
    <row r="195">
      <c r="W195">
        <f>IF(AND(A195="",D195=""),"",IF(ISNUMBER(SEARCH("##END",AH195)),"（終わりの印）",IF(ISNUMBER(SEARCH("##続き",AH195)),"（続きありの印）",IF(AH195="調査ID","（見出し行）",IF(AND(AH195&lt;&gt;"R1",AH195&lt;&gt;"R2"),"×表以外の行（集計されない）",IF(COUNTIF($AI$5:AI195,AI195)&gt;1,"△重複（集計されない）",IF(D195="","△タスク名なし",IF(ISNA(MATCH(AK195,'M1_類型マスタ'!$A$5:$A$19,0)),"△類型が不正",IF(OR(AM195="",AN195=""),"△回数・分が読めない",IF(SUMPRODUCT(--ISNUMBER(--O195:U195))&lt;7,"△採点が足りない",IF(SUMPRODUCT((--O195:U195&gt;2)+(--O195:U195&lt;0))&gt;0,"△採点が範囲外","OK")))))))))))</f>
        <v/>
      </c>
      <c r="X195">
        <f>IF(W195&lt;&gt;"OK","",TRIM(IF(AND(AO195&lt;&gt;"",N(AO195)&lt;=1),"根拠1件 ","")&amp;IF(AP195&lt;&gt;"","同名あり ","")&amp;IF(AND(NOT(ISNUMBER(I195)),I195&lt;&gt;""),"回数を換算 ","")))</f>
        <v/>
      </c>
      <c r="Y195" s="31" t="n"/>
      <c r="Z195" s="32" t="n"/>
      <c r="AA195" s="32" t="n"/>
      <c r="AB195" s="31" t="n"/>
      <c r="AC195">
        <f>IF(W195&lt;&gt;"OK","",IF(AB195&lt;&gt;"",AB195,AE195))</f>
        <v/>
      </c>
      <c r="AD195" s="33">
        <f>IF(W195&lt;&gt;"OK","",IFERROR(IF(Z195&lt;&gt;"",Z195,AM195)*IF(AA195&lt;&gt;"",AA195,AN195)/60,""))</f>
        <v/>
      </c>
      <c r="AE195">
        <f>IF(W195&lt;&gt;"OK","",IF(OR(VALUE(O195)=2,VALUE(P195)=2,VALUE(Q195)=2),"社内残置",IF(AND(VALUE(O195)=0,VALUE(R195)=0,VALUE(T195)=0),"自動化候補",IF(AND(VALUE(P195)=0,VALUE(R195)&lt;=1,VALUE(S195)&lt;=1,VALUE(T195)&lt;=1,VALUE(U195)&lt;=1),"オフショア候補",IF(AND(VALUE(T195)&lt;=1,VALUE(U195)&lt;=1),"ニアショア候補","社内で手順化→再評価")))))</f>
        <v/>
      </c>
      <c r="AF195">
        <f>IF(W195&lt;&gt;"OK","",14-SUMPRODUCT(--O195:U195))</f>
        <v/>
      </c>
      <c r="AG195" s="33">
        <f>IF(W195&lt;&gt;"OK","",AM195*AN195/60)</f>
        <v/>
      </c>
      <c r="AH195" s="34">
        <f>IF(A195="","",UPPER(TRIM(ASC(A195&amp;""))))</f>
        <v/>
      </c>
      <c r="AI195" s="34">
        <f>IF(AH195="","",AH195&amp;"-"&amp;B195)</f>
        <v/>
      </c>
      <c r="AJ195" s="34">
        <f>IF(C195="","",IFERROR(VALUE(ASC(SUBSTITUTE(C195&amp;"","観点",""))),""))</f>
        <v/>
      </c>
      <c r="AK195" s="34">
        <f>IF(E195="","",UPPER(LEFT(TRIM(ASC(E195&amp;"")),3)))</f>
        <v/>
      </c>
      <c r="AL195" s="34">
        <f>IF(I195="","",IFERROR(VALUE(SUBSTITUTE(SUBSTITUTE(SUBSTITUTE(SUBSTITUTE(SUBSTITUTE(SUBSTITUTE(SUBSTITUTE(SUBSTITUTE(SUBSTITUTE(SUBSTITUTE(SUBSTITUTE(SUBSTITUTE(ASC(I195&amp;""),"約",""),"程度",""),"ほど",""),"回",""),"毎",""),"週",""),"月",""),"年",""),"日",""),"に",""),"/","")," ","")),""))</f>
        <v/>
      </c>
      <c r="AM195" s="34">
        <f>IF(I195="","",IF(ISNUMBER(I195),I195,IFERROR(VALUE(ASC(I195&amp;"")),IF(AL195&lt;&gt;"",AL195*IF(ISNUMBER(SEARCH("週",I195)),4.3,IF(ISNUMBER(SEARCH("年",I195)),1/12,IF(ISNUMBER(SEARCH("日",I195)),20,1))),IF(ISNUMBER(SEARCH("日",I195)),20,IF(ISNUMBER(SEARCH("週",I195)),4.3,IF(ISNUMBER(SEARCH("月",I195)),1,"")))))))</f>
        <v/>
      </c>
      <c r="AN195" s="34">
        <f>IF(J195="","",IF(ISNUMBER(J195),J195,IFERROR(VALUE(ASC(J195&amp;"")),IF(ISNUMBER(SEARCH("時間",J195)),IFERROR(VALUE(SUBSTITUTE(SUBSTITUTE(SUBSTITUTE(SUBSTITUTE(SUBSTITUTE(ASC(J195&amp;""),"約",""),"程度",""),"ほど",""),"時間","")," ",""))*60,""),IFERROR(VALUE(SUBSTITUTE(SUBSTITUTE(SUBSTITUTE(SUBSTITUTE(SUBSTITUTE(ASC(J195&amp;""),"約",""),"程度",""),"ほど",""),"分","")," ","")),"")))))</f>
        <v/>
      </c>
      <c r="AO195" s="34">
        <f>IF(K195="","",IF(ISNUMBER(K195),K195,IFERROR(VALUE(SUBSTITUTE(SUBSTITUTE(SUBSTITUTE(ASC(K195&amp;""),"約",""),"件","")," ","")),"")))</f>
        <v/>
      </c>
      <c r="AP195" s="34">
        <f>IF(W195&lt;&gt;"OK","",IF(COUNTIFS($D$5:$D$404,D195,$W$5:$W$404,"OK")&gt;1,"同名あり",""))</f>
        <v/>
      </c>
      <c r="AQ195" s="35">
        <f>IF(L195="","",IF(ISNUMBER(L195),L195,IFERROR(DATEVALUE(SUBSTITUTE(SUBSTITUTE(ASC(L195&amp;""),"-","/"),".","/")&amp;"/01"),"")))</f>
        <v/>
      </c>
      <c r="AR195" s="35">
        <f>IF(M195="","",IF(ISNUMBER(M195),M195,IFERROR(DATEVALUE(SUBSTITUTE(SUBSTITUTE(ASC(M195&amp;""),"-","/"),".","/")&amp;"/01"),"")))</f>
        <v/>
      </c>
      <c r="AS195" s="34">
        <f>IF(OR(W195&lt;&gt;"OK",AQ195=""),"",IF(AQ195&gt;='01_設定'!$C$26,1,0))</f>
        <v/>
      </c>
      <c r="AT195" s="34">
        <f>IF(AND(W195="OK",Y195&lt;&gt;"除外"),COUNTIFS($W$5:W195,"OK",$Y$5:Y195,"&lt;&gt;除外"),"")</f>
        <v/>
      </c>
      <c r="AU195" s="34">
        <f>IF(OR(AT195="",AD195=""),"",AD195+ROW()/1000000000)</f>
        <v/>
      </c>
    </row>
    <row r="196">
      <c r="W196">
        <f>IF(AND(A196="",D196=""),"",IF(ISNUMBER(SEARCH("##END",AH196)),"（終わりの印）",IF(ISNUMBER(SEARCH("##続き",AH196)),"（続きありの印）",IF(AH196="調査ID","（見出し行）",IF(AND(AH196&lt;&gt;"R1",AH196&lt;&gt;"R2"),"×表以外の行（集計されない）",IF(COUNTIF($AI$5:AI196,AI196)&gt;1,"△重複（集計されない）",IF(D196="","△タスク名なし",IF(ISNA(MATCH(AK196,'M1_類型マスタ'!$A$5:$A$19,0)),"△類型が不正",IF(OR(AM196="",AN196=""),"△回数・分が読めない",IF(SUMPRODUCT(--ISNUMBER(--O196:U196))&lt;7,"△採点が足りない",IF(SUMPRODUCT((--O196:U196&gt;2)+(--O196:U196&lt;0))&gt;0,"△採点が範囲外","OK")))))))))))</f>
        <v/>
      </c>
      <c r="X196">
        <f>IF(W196&lt;&gt;"OK","",TRIM(IF(AND(AO196&lt;&gt;"",N(AO196)&lt;=1),"根拠1件 ","")&amp;IF(AP196&lt;&gt;"","同名あり ","")&amp;IF(AND(NOT(ISNUMBER(I196)),I196&lt;&gt;""),"回数を換算 ","")))</f>
        <v/>
      </c>
      <c r="Y196" s="31" t="n"/>
      <c r="Z196" s="32" t="n"/>
      <c r="AA196" s="32" t="n"/>
      <c r="AB196" s="31" t="n"/>
      <c r="AC196">
        <f>IF(W196&lt;&gt;"OK","",IF(AB196&lt;&gt;"",AB196,AE196))</f>
        <v/>
      </c>
      <c r="AD196" s="33">
        <f>IF(W196&lt;&gt;"OK","",IFERROR(IF(Z196&lt;&gt;"",Z196,AM196)*IF(AA196&lt;&gt;"",AA196,AN196)/60,""))</f>
        <v/>
      </c>
      <c r="AE196">
        <f>IF(W196&lt;&gt;"OK","",IF(OR(VALUE(O196)=2,VALUE(P196)=2,VALUE(Q196)=2),"社内残置",IF(AND(VALUE(O196)=0,VALUE(R196)=0,VALUE(T196)=0),"自動化候補",IF(AND(VALUE(P196)=0,VALUE(R196)&lt;=1,VALUE(S196)&lt;=1,VALUE(T196)&lt;=1,VALUE(U196)&lt;=1),"オフショア候補",IF(AND(VALUE(T196)&lt;=1,VALUE(U196)&lt;=1),"ニアショア候補","社内で手順化→再評価")))))</f>
        <v/>
      </c>
      <c r="AF196">
        <f>IF(W196&lt;&gt;"OK","",14-SUMPRODUCT(--O196:U196))</f>
        <v/>
      </c>
      <c r="AG196" s="33">
        <f>IF(W196&lt;&gt;"OK","",AM196*AN196/60)</f>
        <v/>
      </c>
      <c r="AH196" s="34">
        <f>IF(A196="","",UPPER(TRIM(ASC(A196&amp;""))))</f>
        <v/>
      </c>
      <c r="AI196" s="34">
        <f>IF(AH196="","",AH196&amp;"-"&amp;B196)</f>
        <v/>
      </c>
      <c r="AJ196" s="34">
        <f>IF(C196="","",IFERROR(VALUE(ASC(SUBSTITUTE(C196&amp;"","観点",""))),""))</f>
        <v/>
      </c>
      <c r="AK196" s="34">
        <f>IF(E196="","",UPPER(LEFT(TRIM(ASC(E196&amp;"")),3)))</f>
        <v/>
      </c>
      <c r="AL196" s="34">
        <f>IF(I196="","",IFERROR(VALUE(SUBSTITUTE(SUBSTITUTE(SUBSTITUTE(SUBSTITUTE(SUBSTITUTE(SUBSTITUTE(SUBSTITUTE(SUBSTITUTE(SUBSTITUTE(SUBSTITUTE(SUBSTITUTE(SUBSTITUTE(ASC(I196&amp;""),"約",""),"程度",""),"ほど",""),"回",""),"毎",""),"週",""),"月",""),"年",""),"日",""),"に",""),"/","")," ","")),""))</f>
        <v/>
      </c>
      <c r="AM196" s="34">
        <f>IF(I196="","",IF(ISNUMBER(I196),I196,IFERROR(VALUE(ASC(I196&amp;"")),IF(AL196&lt;&gt;"",AL196*IF(ISNUMBER(SEARCH("週",I196)),4.3,IF(ISNUMBER(SEARCH("年",I196)),1/12,IF(ISNUMBER(SEARCH("日",I196)),20,1))),IF(ISNUMBER(SEARCH("日",I196)),20,IF(ISNUMBER(SEARCH("週",I196)),4.3,IF(ISNUMBER(SEARCH("月",I196)),1,"")))))))</f>
        <v/>
      </c>
      <c r="AN196" s="34">
        <f>IF(J196="","",IF(ISNUMBER(J196),J196,IFERROR(VALUE(ASC(J196&amp;"")),IF(ISNUMBER(SEARCH("時間",J196)),IFERROR(VALUE(SUBSTITUTE(SUBSTITUTE(SUBSTITUTE(SUBSTITUTE(SUBSTITUTE(ASC(J196&amp;""),"約",""),"程度",""),"ほど",""),"時間","")," ",""))*60,""),IFERROR(VALUE(SUBSTITUTE(SUBSTITUTE(SUBSTITUTE(SUBSTITUTE(SUBSTITUTE(ASC(J196&amp;""),"約",""),"程度",""),"ほど",""),"分","")," ","")),"")))))</f>
        <v/>
      </c>
      <c r="AO196" s="34">
        <f>IF(K196="","",IF(ISNUMBER(K196),K196,IFERROR(VALUE(SUBSTITUTE(SUBSTITUTE(SUBSTITUTE(ASC(K196&amp;""),"約",""),"件","")," ","")),"")))</f>
        <v/>
      </c>
      <c r="AP196" s="34">
        <f>IF(W196&lt;&gt;"OK","",IF(COUNTIFS($D$5:$D$404,D196,$W$5:$W$404,"OK")&gt;1,"同名あり",""))</f>
        <v/>
      </c>
      <c r="AQ196" s="35">
        <f>IF(L196="","",IF(ISNUMBER(L196),L196,IFERROR(DATEVALUE(SUBSTITUTE(SUBSTITUTE(ASC(L196&amp;""),"-","/"),".","/")&amp;"/01"),"")))</f>
        <v/>
      </c>
      <c r="AR196" s="35">
        <f>IF(M196="","",IF(ISNUMBER(M196),M196,IFERROR(DATEVALUE(SUBSTITUTE(SUBSTITUTE(ASC(M196&amp;""),"-","/"),".","/")&amp;"/01"),"")))</f>
        <v/>
      </c>
      <c r="AS196" s="34">
        <f>IF(OR(W196&lt;&gt;"OK",AQ196=""),"",IF(AQ196&gt;='01_設定'!$C$26,1,0))</f>
        <v/>
      </c>
      <c r="AT196" s="34">
        <f>IF(AND(W196="OK",Y196&lt;&gt;"除外"),COUNTIFS($W$5:W196,"OK",$Y$5:Y196,"&lt;&gt;除外"),"")</f>
        <v/>
      </c>
      <c r="AU196" s="34">
        <f>IF(OR(AT196="",AD196=""),"",AD196+ROW()/1000000000)</f>
        <v/>
      </c>
    </row>
    <row r="197">
      <c r="W197">
        <f>IF(AND(A197="",D197=""),"",IF(ISNUMBER(SEARCH("##END",AH197)),"（終わりの印）",IF(ISNUMBER(SEARCH("##続き",AH197)),"（続きありの印）",IF(AH197="調査ID","（見出し行）",IF(AND(AH197&lt;&gt;"R1",AH197&lt;&gt;"R2"),"×表以外の行（集計されない）",IF(COUNTIF($AI$5:AI197,AI197)&gt;1,"△重複（集計されない）",IF(D197="","△タスク名なし",IF(ISNA(MATCH(AK197,'M1_類型マスタ'!$A$5:$A$19,0)),"△類型が不正",IF(OR(AM197="",AN197=""),"△回数・分が読めない",IF(SUMPRODUCT(--ISNUMBER(--O197:U197))&lt;7,"△採点が足りない",IF(SUMPRODUCT((--O197:U197&gt;2)+(--O197:U197&lt;0))&gt;0,"△採点が範囲外","OK")))))))))))</f>
        <v/>
      </c>
      <c r="X197">
        <f>IF(W197&lt;&gt;"OK","",TRIM(IF(AND(AO197&lt;&gt;"",N(AO197)&lt;=1),"根拠1件 ","")&amp;IF(AP197&lt;&gt;"","同名あり ","")&amp;IF(AND(NOT(ISNUMBER(I197)),I197&lt;&gt;""),"回数を換算 ","")))</f>
        <v/>
      </c>
      <c r="Y197" s="31" t="n"/>
      <c r="Z197" s="32" t="n"/>
      <c r="AA197" s="32" t="n"/>
      <c r="AB197" s="31" t="n"/>
      <c r="AC197">
        <f>IF(W197&lt;&gt;"OK","",IF(AB197&lt;&gt;"",AB197,AE197))</f>
        <v/>
      </c>
      <c r="AD197" s="33">
        <f>IF(W197&lt;&gt;"OK","",IFERROR(IF(Z197&lt;&gt;"",Z197,AM197)*IF(AA197&lt;&gt;"",AA197,AN197)/60,""))</f>
        <v/>
      </c>
      <c r="AE197">
        <f>IF(W197&lt;&gt;"OK","",IF(OR(VALUE(O197)=2,VALUE(P197)=2,VALUE(Q197)=2),"社内残置",IF(AND(VALUE(O197)=0,VALUE(R197)=0,VALUE(T197)=0),"自動化候補",IF(AND(VALUE(P197)=0,VALUE(R197)&lt;=1,VALUE(S197)&lt;=1,VALUE(T197)&lt;=1,VALUE(U197)&lt;=1),"オフショア候補",IF(AND(VALUE(T197)&lt;=1,VALUE(U197)&lt;=1),"ニアショア候補","社内で手順化→再評価")))))</f>
        <v/>
      </c>
      <c r="AF197">
        <f>IF(W197&lt;&gt;"OK","",14-SUMPRODUCT(--O197:U197))</f>
        <v/>
      </c>
      <c r="AG197" s="33">
        <f>IF(W197&lt;&gt;"OK","",AM197*AN197/60)</f>
        <v/>
      </c>
      <c r="AH197" s="34">
        <f>IF(A197="","",UPPER(TRIM(ASC(A197&amp;""))))</f>
        <v/>
      </c>
      <c r="AI197" s="34">
        <f>IF(AH197="","",AH197&amp;"-"&amp;B197)</f>
        <v/>
      </c>
      <c r="AJ197" s="34">
        <f>IF(C197="","",IFERROR(VALUE(ASC(SUBSTITUTE(C197&amp;"","観点",""))),""))</f>
        <v/>
      </c>
      <c r="AK197" s="34">
        <f>IF(E197="","",UPPER(LEFT(TRIM(ASC(E197&amp;"")),3)))</f>
        <v/>
      </c>
      <c r="AL197" s="34">
        <f>IF(I197="","",IFERROR(VALUE(SUBSTITUTE(SUBSTITUTE(SUBSTITUTE(SUBSTITUTE(SUBSTITUTE(SUBSTITUTE(SUBSTITUTE(SUBSTITUTE(SUBSTITUTE(SUBSTITUTE(SUBSTITUTE(SUBSTITUTE(ASC(I197&amp;""),"約",""),"程度",""),"ほど",""),"回",""),"毎",""),"週",""),"月",""),"年",""),"日",""),"に",""),"/","")," ","")),""))</f>
        <v/>
      </c>
      <c r="AM197" s="34">
        <f>IF(I197="","",IF(ISNUMBER(I197),I197,IFERROR(VALUE(ASC(I197&amp;"")),IF(AL197&lt;&gt;"",AL197*IF(ISNUMBER(SEARCH("週",I197)),4.3,IF(ISNUMBER(SEARCH("年",I197)),1/12,IF(ISNUMBER(SEARCH("日",I197)),20,1))),IF(ISNUMBER(SEARCH("日",I197)),20,IF(ISNUMBER(SEARCH("週",I197)),4.3,IF(ISNUMBER(SEARCH("月",I197)),1,"")))))))</f>
        <v/>
      </c>
      <c r="AN197" s="34">
        <f>IF(J197="","",IF(ISNUMBER(J197),J197,IFERROR(VALUE(ASC(J197&amp;"")),IF(ISNUMBER(SEARCH("時間",J197)),IFERROR(VALUE(SUBSTITUTE(SUBSTITUTE(SUBSTITUTE(SUBSTITUTE(SUBSTITUTE(ASC(J197&amp;""),"約",""),"程度",""),"ほど",""),"時間","")," ",""))*60,""),IFERROR(VALUE(SUBSTITUTE(SUBSTITUTE(SUBSTITUTE(SUBSTITUTE(SUBSTITUTE(ASC(J197&amp;""),"約",""),"程度",""),"ほど",""),"分","")," ","")),"")))))</f>
        <v/>
      </c>
      <c r="AO197" s="34">
        <f>IF(K197="","",IF(ISNUMBER(K197),K197,IFERROR(VALUE(SUBSTITUTE(SUBSTITUTE(SUBSTITUTE(ASC(K197&amp;""),"約",""),"件","")," ","")),"")))</f>
        <v/>
      </c>
      <c r="AP197" s="34">
        <f>IF(W197&lt;&gt;"OK","",IF(COUNTIFS($D$5:$D$404,D197,$W$5:$W$404,"OK")&gt;1,"同名あり",""))</f>
        <v/>
      </c>
      <c r="AQ197" s="35">
        <f>IF(L197="","",IF(ISNUMBER(L197),L197,IFERROR(DATEVALUE(SUBSTITUTE(SUBSTITUTE(ASC(L197&amp;""),"-","/"),".","/")&amp;"/01"),"")))</f>
        <v/>
      </c>
      <c r="AR197" s="35">
        <f>IF(M197="","",IF(ISNUMBER(M197),M197,IFERROR(DATEVALUE(SUBSTITUTE(SUBSTITUTE(ASC(M197&amp;""),"-","/"),".","/")&amp;"/01"),"")))</f>
        <v/>
      </c>
      <c r="AS197" s="34">
        <f>IF(OR(W197&lt;&gt;"OK",AQ197=""),"",IF(AQ197&gt;='01_設定'!$C$26,1,0))</f>
        <v/>
      </c>
      <c r="AT197" s="34">
        <f>IF(AND(W197="OK",Y197&lt;&gt;"除外"),COUNTIFS($W$5:W197,"OK",$Y$5:Y197,"&lt;&gt;除外"),"")</f>
        <v/>
      </c>
      <c r="AU197" s="34">
        <f>IF(OR(AT197="",AD197=""),"",AD197+ROW()/1000000000)</f>
        <v/>
      </c>
    </row>
    <row r="198">
      <c r="W198">
        <f>IF(AND(A198="",D198=""),"",IF(ISNUMBER(SEARCH("##END",AH198)),"（終わりの印）",IF(ISNUMBER(SEARCH("##続き",AH198)),"（続きありの印）",IF(AH198="調査ID","（見出し行）",IF(AND(AH198&lt;&gt;"R1",AH198&lt;&gt;"R2"),"×表以外の行（集計されない）",IF(COUNTIF($AI$5:AI198,AI198)&gt;1,"△重複（集計されない）",IF(D198="","△タスク名なし",IF(ISNA(MATCH(AK198,'M1_類型マスタ'!$A$5:$A$19,0)),"△類型が不正",IF(OR(AM198="",AN198=""),"△回数・分が読めない",IF(SUMPRODUCT(--ISNUMBER(--O198:U198))&lt;7,"△採点が足りない",IF(SUMPRODUCT((--O198:U198&gt;2)+(--O198:U198&lt;0))&gt;0,"△採点が範囲外","OK")))))))))))</f>
        <v/>
      </c>
      <c r="X198">
        <f>IF(W198&lt;&gt;"OK","",TRIM(IF(AND(AO198&lt;&gt;"",N(AO198)&lt;=1),"根拠1件 ","")&amp;IF(AP198&lt;&gt;"","同名あり ","")&amp;IF(AND(NOT(ISNUMBER(I198)),I198&lt;&gt;""),"回数を換算 ","")))</f>
        <v/>
      </c>
      <c r="Y198" s="31" t="n"/>
      <c r="Z198" s="32" t="n"/>
      <c r="AA198" s="32" t="n"/>
      <c r="AB198" s="31" t="n"/>
      <c r="AC198">
        <f>IF(W198&lt;&gt;"OK","",IF(AB198&lt;&gt;"",AB198,AE198))</f>
        <v/>
      </c>
      <c r="AD198" s="33">
        <f>IF(W198&lt;&gt;"OK","",IFERROR(IF(Z198&lt;&gt;"",Z198,AM198)*IF(AA198&lt;&gt;"",AA198,AN198)/60,""))</f>
        <v/>
      </c>
      <c r="AE198">
        <f>IF(W198&lt;&gt;"OK","",IF(OR(VALUE(O198)=2,VALUE(P198)=2,VALUE(Q198)=2),"社内残置",IF(AND(VALUE(O198)=0,VALUE(R198)=0,VALUE(T198)=0),"自動化候補",IF(AND(VALUE(P198)=0,VALUE(R198)&lt;=1,VALUE(S198)&lt;=1,VALUE(T198)&lt;=1,VALUE(U198)&lt;=1),"オフショア候補",IF(AND(VALUE(T198)&lt;=1,VALUE(U198)&lt;=1),"ニアショア候補","社内で手順化→再評価")))))</f>
        <v/>
      </c>
      <c r="AF198">
        <f>IF(W198&lt;&gt;"OK","",14-SUMPRODUCT(--O198:U198))</f>
        <v/>
      </c>
      <c r="AG198" s="33">
        <f>IF(W198&lt;&gt;"OK","",AM198*AN198/60)</f>
        <v/>
      </c>
      <c r="AH198" s="34">
        <f>IF(A198="","",UPPER(TRIM(ASC(A198&amp;""))))</f>
        <v/>
      </c>
      <c r="AI198" s="34">
        <f>IF(AH198="","",AH198&amp;"-"&amp;B198)</f>
        <v/>
      </c>
      <c r="AJ198" s="34">
        <f>IF(C198="","",IFERROR(VALUE(ASC(SUBSTITUTE(C198&amp;"","観点",""))),""))</f>
        <v/>
      </c>
      <c r="AK198" s="34">
        <f>IF(E198="","",UPPER(LEFT(TRIM(ASC(E198&amp;"")),3)))</f>
        <v/>
      </c>
      <c r="AL198" s="34">
        <f>IF(I198="","",IFERROR(VALUE(SUBSTITUTE(SUBSTITUTE(SUBSTITUTE(SUBSTITUTE(SUBSTITUTE(SUBSTITUTE(SUBSTITUTE(SUBSTITUTE(SUBSTITUTE(SUBSTITUTE(SUBSTITUTE(SUBSTITUTE(ASC(I198&amp;""),"約",""),"程度",""),"ほど",""),"回",""),"毎",""),"週",""),"月",""),"年",""),"日",""),"に",""),"/","")," ","")),""))</f>
        <v/>
      </c>
      <c r="AM198" s="34">
        <f>IF(I198="","",IF(ISNUMBER(I198),I198,IFERROR(VALUE(ASC(I198&amp;"")),IF(AL198&lt;&gt;"",AL198*IF(ISNUMBER(SEARCH("週",I198)),4.3,IF(ISNUMBER(SEARCH("年",I198)),1/12,IF(ISNUMBER(SEARCH("日",I198)),20,1))),IF(ISNUMBER(SEARCH("日",I198)),20,IF(ISNUMBER(SEARCH("週",I198)),4.3,IF(ISNUMBER(SEARCH("月",I198)),1,"")))))))</f>
        <v/>
      </c>
      <c r="AN198" s="34">
        <f>IF(J198="","",IF(ISNUMBER(J198),J198,IFERROR(VALUE(ASC(J198&amp;"")),IF(ISNUMBER(SEARCH("時間",J198)),IFERROR(VALUE(SUBSTITUTE(SUBSTITUTE(SUBSTITUTE(SUBSTITUTE(SUBSTITUTE(ASC(J198&amp;""),"約",""),"程度",""),"ほど",""),"時間","")," ",""))*60,""),IFERROR(VALUE(SUBSTITUTE(SUBSTITUTE(SUBSTITUTE(SUBSTITUTE(SUBSTITUTE(ASC(J198&amp;""),"約",""),"程度",""),"ほど",""),"分","")," ","")),"")))))</f>
        <v/>
      </c>
      <c r="AO198" s="34">
        <f>IF(K198="","",IF(ISNUMBER(K198),K198,IFERROR(VALUE(SUBSTITUTE(SUBSTITUTE(SUBSTITUTE(ASC(K198&amp;""),"約",""),"件","")," ","")),"")))</f>
        <v/>
      </c>
      <c r="AP198" s="34">
        <f>IF(W198&lt;&gt;"OK","",IF(COUNTIFS($D$5:$D$404,D198,$W$5:$W$404,"OK")&gt;1,"同名あり",""))</f>
        <v/>
      </c>
      <c r="AQ198" s="35">
        <f>IF(L198="","",IF(ISNUMBER(L198),L198,IFERROR(DATEVALUE(SUBSTITUTE(SUBSTITUTE(ASC(L198&amp;""),"-","/"),".","/")&amp;"/01"),"")))</f>
        <v/>
      </c>
      <c r="AR198" s="35">
        <f>IF(M198="","",IF(ISNUMBER(M198),M198,IFERROR(DATEVALUE(SUBSTITUTE(SUBSTITUTE(ASC(M198&amp;""),"-","/"),".","/")&amp;"/01"),"")))</f>
        <v/>
      </c>
      <c r="AS198" s="34">
        <f>IF(OR(W198&lt;&gt;"OK",AQ198=""),"",IF(AQ198&gt;='01_設定'!$C$26,1,0))</f>
        <v/>
      </c>
      <c r="AT198" s="34">
        <f>IF(AND(W198="OK",Y198&lt;&gt;"除外"),COUNTIFS($W$5:W198,"OK",$Y$5:Y198,"&lt;&gt;除外"),"")</f>
        <v/>
      </c>
      <c r="AU198" s="34">
        <f>IF(OR(AT198="",AD198=""),"",AD198+ROW()/1000000000)</f>
        <v/>
      </c>
    </row>
    <row r="199">
      <c r="W199">
        <f>IF(AND(A199="",D199=""),"",IF(ISNUMBER(SEARCH("##END",AH199)),"（終わりの印）",IF(ISNUMBER(SEARCH("##続き",AH199)),"（続きありの印）",IF(AH199="調査ID","（見出し行）",IF(AND(AH199&lt;&gt;"R1",AH199&lt;&gt;"R2"),"×表以外の行（集計されない）",IF(COUNTIF($AI$5:AI199,AI199)&gt;1,"△重複（集計されない）",IF(D199="","△タスク名なし",IF(ISNA(MATCH(AK199,'M1_類型マスタ'!$A$5:$A$19,0)),"△類型が不正",IF(OR(AM199="",AN199=""),"△回数・分が読めない",IF(SUMPRODUCT(--ISNUMBER(--O199:U199))&lt;7,"△採点が足りない",IF(SUMPRODUCT((--O199:U199&gt;2)+(--O199:U199&lt;0))&gt;0,"△採点が範囲外","OK")))))))))))</f>
        <v/>
      </c>
      <c r="X199">
        <f>IF(W199&lt;&gt;"OK","",TRIM(IF(AND(AO199&lt;&gt;"",N(AO199)&lt;=1),"根拠1件 ","")&amp;IF(AP199&lt;&gt;"","同名あり ","")&amp;IF(AND(NOT(ISNUMBER(I199)),I199&lt;&gt;""),"回数を換算 ","")))</f>
        <v/>
      </c>
      <c r="Y199" s="31" t="n"/>
      <c r="Z199" s="32" t="n"/>
      <c r="AA199" s="32" t="n"/>
      <c r="AB199" s="31" t="n"/>
      <c r="AC199">
        <f>IF(W199&lt;&gt;"OK","",IF(AB199&lt;&gt;"",AB199,AE199))</f>
        <v/>
      </c>
      <c r="AD199" s="33">
        <f>IF(W199&lt;&gt;"OK","",IFERROR(IF(Z199&lt;&gt;"",Z199,AM199)*IF(AA199&lt;&gt;"",AA199,AN199)/60,""))</f>
        <v/>
      </c>
      <c r="AE199">
        <f>IF(W199&lt;&gt;"OK","",IF(OR(VALUE(O199)=2,VALUE(P199)=2,VALUE(Q199)=2),"社内残置",IF(AND(VALUE(O199)=0,VALUE(R199)=0,VALUE(T199)=0),"自動化候補",IF(AND(VALUE(P199)=0,VALUE(R199)&lt;=1,VALUE(S199)&lt;=1,VALUE(T199)&lt;=1,VALUE(U199)&lt;=1),"オフショア候補",IF(AND(VALUE(T199)&lt;=1,VALUE(U199)&lt;=1),"ニアショア候補","社内で手順化→再評価")))))</f>
        <v/>
      </c>
      <c r="AF199">
        <f>IF(W199&lt;&gt;"OK","",14-SUMPRODUCT(--O199:U199))</f>
        <v/>
      </c>
      <c r="AG199" s="33">
        <f>IF(W199&lt;&gt;"OK","",AM199*AN199/60)</f>
        <v/>
      </c>
      <c r="AH199" s="34">
        <f>IF(A199="","",UPPER(TRIM(ASC(A199&amp;""))))</f>
        <v/>
      </c>
      <c r="AI199" s="34">
        <f>IF(AH199="","",AH199&amp;"-"&amp;B199)</f>
        <v/>
      </c>
      <c r="AJ199" s="34">
        <f>IF(C199="","",IFERROR(VALUE(ASC(SUBSTITUTE(C199&amp;"","観点",""))),""))</f>
        <v/>
      </c>
      <c r="AK199" s="34">
        <f>IF(E199="","",UPPER(LEFT(TRIM(ASC(E199&amp;"")),3)))</f>
        <v/>
      </c>
      <c r="AL199" s="34">
        <f>IF(I199="","",IFERROR(VALUE(SUBSTITUTE(SUBSTITUTE(SUBSTITUTE(SUBSTITUTE(SUBSTITUTE(SUBSTITUTE(SUBSTITUTE(SUBSTITUTE(SUBSTITUTE(SUBSTITUTE(SUBSTITUTE(SUBSTITUTE(ASC(I199&amp;""),"約",""),"程度",""),"ほど",""),"回",""),"毎",""),"週",""),"月",""),"年",""),"日",""),"に",""),"/","")," ","")),""))</f>
        <v/>
      </c>
      <c r="AM199" s="34">
        <f>IF(I199="","",IF(ISNUMBER(I199),I199,IFERROR(VALUE(ASC(I199&amp;"")),IF(AL199&lt;&gt;"",AL199*IF(ISNUMBER(SEARCH("週",I199)),4.3,IF(ISNUMBER(SEARCH("年",I199)),1/12,IF(ISNUMBER(SEARCH("日",I199)),20,1))),IF(ISNUMBER(SEARCH("日",I199)),20,IF(ISNUMBER(SEARCH("週",I199)),4.3,IF(ISNUMBER(SEARCH("月",I199)),1,"")))))))</f>
        <v/>
      </c>
      <c r="AN199" s="34">
        <f>IF(J199="","",IF(ISNUMBER(J199),J199,IFERROR(VALUE(ASC(J199&amp;"")),IF(ISNUMBER(SEARCH("時間",J199)),IFERROR(VALUE(SUBSTITUTE(SUBSTITUTE(SUBSTITUTE(SUBSTITUTE(SUBSTITUTE(ASC(J199&amp;""),"約",""),"程度",""),"ほど",""),"時間","")," ",""))*60,""),IFERROR(VALUE(SUBSTITUTE(SUBSTITUTE(SUBSTITUTE(SUBSTITUTE(SUBSTITUTE(ASC(J199&amp;""),"約",""),"程度",""),"ほど",""),"分","")," ","")),"")))))</f>
        <v/>
      </c>
      <c r="AO199" s="34">
        <f>IF(K199="","",IF(ISNUMBER(K199),K199,IFERROR(VALUE(SUBSTITUTE(SUBSTITUTE(SUBSTITUTE(ASC(K199&amp;""),"約",""),"件","")," ","")),"")))</f>
        <v/>
      </c>
      <c r="AP199" s="34">
        <f>IF(W199&lt;&gt;"OK","",IF(COUNTIFS($D$5:$D$404,D199,$W$5:$W$404,"OK")&gt;1,"同名あり",""))</f>
        <v/>
      </c>
      <c r="AQ199" s="35">
        <f>IF(L199="","",IF(ISNUMBER(L199),L199,IFERROR(DATEVALUE(SUBSTITUTE(SUBSTITUTE(ASC(L199&amp;""),"-","/"),".","/")&amp;"/01"),"")))</f>
        <v/>
      </c>
      <c r="AR199" s="35">
        <f>IF(M199="","",IF(ISNUMBER(M199),M199,IFERROR(DATEVALUE(SUBSTITUTE(SUBSTITUTE(ASC(M199&amp;""),"-","/"),".","/")&amp;"/01"),"")))</f>
        <v/>
      </c>
      <c r="AS199" s="34">
        <f>IF(OR(W199&lt;&gt;"OK",AQ199=""),"",IF(AQ199&gt;='01_設定'!$C$26,1,0))</f>
        <v/>
      </c>
      <c r="AT199" s="34">
        <f>IF(AND(W199="OK",Y199&lt;&gt;"除外"),COUNTIFS($W$5:W199,"OK",$Y$5:Y199,"&lt;&gt;除外"),"")</f>
        <v/>
      </c>
      <c r="AU199" s="34">
        <f>IF(OR(AT199="",AD199=""),"",AD199+ROW()/1000000000)</f>
        <v/>
      </c>
    </row>
    <row r="200">
      <c r="W200">
        <f>IF(AND(A200="",D200=""),"",IF(ISNUMBER(SEARCH("##END",AH200)),"（終わりの印）",IF(ISNUMBER(SEARCH("##続き",AH200)),"（続きありの印）",IF(AH200="調査ID","（見出し行）",IF(AND(AH200&lt;&gt;"R1",AH200&lt;&gt;"R2"),"×表以外の行（集計されない）",IF(COUNTIF($AI$5:AI200,AI200)&gt;1,"△重複（集計されない）",IF(D200="","△タスク名なし",IF(ISNA(MATCH(AK200,'M1_類型マスタ'!$A$5:$A$19,0)),"△類型が不正",IF(OR(AM200="",AN200=""),"△回数・分が読めない",IF(SUMPRODUCT(--ISNUMBER(--O200:U200))&lt;7,"△採点が足りない",IF(SUMPRODUCT((--O200:U200&gt;2)+(--O200:U200&lt;0))&gt;0,"△採点が範囲外","OK")))))))))))</f>
        <v/>
      </c>
      <c r="X200">
        <f>IF(W200&lt;&gt;"OK","",TRIM(IF(AND(AO200&lt;&gt;"",N(AO200)&lt;=1),"根拠1件 ","")&amp;IF(AP200&lt;&gt;"","同名あり ","")&amp;IF(AND(NOT(ISNUMBER(I200)),I200&lt;&gt;""),"回数を換算 ","")))</f>
        <v/>
      </c>
      <c r="Y200" s="31" t="n"/>
      <c r="Z200" s="32" t="n"/>
      <c r="AA200" s="32" t="n"/>
      <c r="AB200" s="31" t="n"/>
      <c r="AC200">
        <f>IF(W200&lt;&gt;"OK","",IF(AB200&lt;&gt;"",AB200,AE200))</f>
        <v/>
      </c>
      <c r="AD200" s="33">
        <f>IF(W200&lt;&gt;"OK","",IFERROR(IF(Z200&lt;&gt;"",Z200,AM200)*IF(AA200&lt;&gt;"",AA200,AN200)/60,""))</f>
        <v/>
      </c>
      <c r="AE200">
        <f>IF(W200&lt;&gt;"OK","",IF(OR(VALUE(O200)=2,VALUE(P200)=2,VALUE(Q200)=2),"社内残置",IF(AND(VALUE(O200)=0,VALUE(R200)=0,VALUE(T200)=0),"自動化候補",IF(AND(VALUE(P200)=0,VALUE(R200)&lt;=1,VALUE(S200)&lt;=1,VALUE(T200)&lt;=1,VALUE(U200)&lt;=1),"オフショア候補",IF(AND(VALUE(T200)&lt;=1,VALUE(U200)&lt;=1),"ニアショア候補","社内で手順化→再評価")))))</f>
        <v/>
      </c>
      <c r="AF200">
        <f>IF(W200&lt;&gt;"OK","",14-SUMPRODUCT(--O200:U200))</f>
        <v/>
      </c>
      <c r="AG200" s="33">
        <f>IF(W200&lt;&gt;"OK","",AM200*AN200/60)</f>
        <v/>
      </c>
      <c r="AH200" s="34">
        <f>IF(A200="","",UPPER(TRIM(ASC(A200&amp;""))))</f>
        <v/>
      </c>
      <c r="AI200" s="34">
        <f>IF(AH200="","",AH200&amp;"-"&amp;B200)</f>
        <v/>
      </c>
      <c r="AJ200" s="34">
        <f>IF(C200="","",IFERROR(VALUE(ASC(SUBSTITUTE(C200&amp;"","観点",""))),""))</f>
        <v/>
      </c>
      <c r="AK200" s="34">
        <f>IF(E200="","",UPPER(LEFT(TRIM(ASC(E200&amp;"")),3)))</f>
        <v/>
      </c>
      <c r="AL200" s="34">
        <f>IF(I200="","",IFERROR(VALUE(SUBSTITUTE(SUBSTITUTE(SUBSTITUTE(SUBSTITUTE(SUBSTITUTE(SUBSTITUTE(SUBSTITUTE(SUBSTITUTE(SUBSTITUTE(SUBSTITUTE(SUBSTITUTE(SUBSTITUTE(ASC(I200&amp;""),"約",""),"程度",""),"ほど",""),"回",""),"毎",""),"週",""),"月",""),"年",""),"日",""),"に",""),"/","")," ","")),""))</f>
        <v/>
      </c>
      <c r="AM200" s="34">
        <f>IF(I200="","",IF(ISNUMBER(I200),I200,IFERROR(VALUE(ASC(I200&amp;"")),IF(AL200&lt;&gt;"",AL200*IF(ISNUMBER(SEARCH("週",I200)),4.3,IF(ISNUMBER(SEARCH("年",I200)),1/12,IF(ISNUMBER(SEARCH("日",I200)),20,1))),IF(ISNUMBER(SEARCH("日",I200)),20,IF(ISNUMBER(SEARCH("週",I200)),4.3,IF(ISNUMBER(SEARCH("月",I200)),1,"")))))))</f>
        <v/>
      </c>
      <c r="AN200" s="34">
        <f>IF(J200="","",IF(ISNUMBER(J200),J200,IFERROR(VALUE(ASC(J200&amp;"")),IF(ISNUMBER(SEARCH("時間",J200)),IFERROR(VALUE(SUBSTITUTE(SUBSTITUTE(SUBSTITUTE(SUBSTITUTE(SUBSTITUTE(ASC(J200&amp;""),"約",""),"程度",""),"ほど",""),"時間","")," ",""))*60,""),IFERROR(VALUE(SUBSTITUTE(SUBSTITUTE(SUBSTITUTE(SUBSTITUTE(SUBSTITUTE(ASC(J200&amp;""),"約",""),"程度",""),"ほど",""),"分","")," ","")),"")))))</f>
        <v/>
      </c>
      <c r="AO200" s="34">
        <f>IF(K200="","",IF(ISNUMBER(K200),K200,IFERROR(VALUE(SUBSTITUTE(SUBSTITUTE(SUBSTITUTE(ASC(K200&amp;""),"約",""),"件","")," ","")),"")))</f>
        <v/>
      </c>
      <c r="AP200" s="34">
        <f>IF(W200&lt;&gt;"OK","",IF(COUNTIFS($D$5:$D$404,D200,$W$5:$W$404,"OK")&gt;1,"同名あり",""))</f>
        <v/>
      </c>
      <c r="AQ200" s="35">
        <f>IF(L200="","",IF(ISNUMBER(L200),L200,IFERROR(DATEVALUE(SUBSTITUTE(SUBSTITUTE(ASC(L200&amp;""),"-","/"),".","/")&amp;"/01"),"")))</f>
        <v/>
      </c>
      <c r="AR200" s="35">
        <f>IF(M200="","",IF(ISNUMBER(M200),M200,IFERROR(DATEVALUE(SUBSTITUTE(SUBSTITUTE(ASC(M200&amp;""),"-","/"),".","/")&amp;"/01"),"")))</f>
        <v/>
      </c>
      <c r="AS200" s="34">
        <f>IF(OR(W200&lt;&gt;"OK",AQ200=""),"",IF(AQ200&gt;='01_設定'!$C$26,1,0))</f>
        <v/>
      </c>
      <c r="AT200" s="34">
        <f>IF(AND(W200="OK",Y200&lt;&gt;"除外"),COUNTIFS($W$5:W200,"OK",$Y$5:Y200,"&lt;&gt;除外"),"")</f>
        <v/>
      </c>
      <c r="AU200" s="34">
        <f>IF(OR(AT200="",AD200=""),"",AD200+ROW()/1000000000)</f>
        <v/>
      </c>
    </row>
    <row r="201">
      <c r="W201">
        <f>IF(AND(A201="",D201=""),"",IF(ISNUMBER(SEARCH("##END",AH201)),"（終わりの印）",IF(ISNUMBER(SEARCH("##続き",AH201)),"（続きありの印）",IF(AH201="調査ID","（見出し行）",IF(AND(AH201&lt;&gt;"R1",AH201&lt;&gt;"R2"),"×表以外の行（集計されない）",IF(COUNTIF($AI$5:AI201,AI201)&gt;1,"△重複（集計されない）",IF(D201="","△タスク名なし",IF(ISNA(MATCH(AK201,'M1_類型マスタ'!$A$5:$A$19,0)),"△類型が不正",IF(OR(AM201="",AN201=""),"△回数・分が読めない",IF(SUMPRODUCT(--ISNUMBER(--O201:U201))&lt;7,"△採点が足りない",IF(SUMPRODUCT((--O201:U201&gt;2)+(--O201:U201&lt;0))&gt;0,"△採点が範囲外","OK")))))))))))</f>
        <v/>
      </c>
      <c r="X201">
        <f>IF(W201&lt;&gt;"OK","",TRIM(IF(AND(AO201&lt;&gt;"",N(AO201)&lt;=1),"根拠1件 ","")&amp;IF(AP201&lt;&gt;"","同名あり ","")&amp;IF(AND(NOT(ISNUMBER(I201)),I201&lt;&gt;""),"回数を換算 ","")))</f>
        <v/>
      </c>
      <c r="Y201" s="31" t="n"/>
      <c r="Z201" s="32" t="n"/>
      <c r="AA201" s="32" t="n"/>
      <c r="AB201" s="31" t="n"/>
      <c r="AC201">
        <f>IF(W201&lt;&gt;"OK","",IF(AB201&lt;&gt;"",AB201,AE201))</f>
        <v/>
      </c>
      <c r="AD201" s="33">
        <f>IF(W201&lt;&gt;"OK","",IFERROR(IF(Z201&lt;&gt;"",Z201,AM201)*IF(AA201&lt;&gt;"",AA201,AN201)/60,""))</f>
        <v/>
      </c>
      <c r="AE201">
        <f>IF(W201&lt;&gt;"OK","",IF(OR(VALUE(O201)=2,VALUE(P201)=2,VALUE(Q201)=2),"社内残置",IF(AND(VALUE(O201)=0,VALUE(R201)=0,VALUE(T201)=0),"自動化候補",IF(AND(VALUE(P201)=0,VALUE(R201)&lt;=1,VALUE(S201)&lt;=1,VALUE(T201)&lt;=1,VALUE(U201)&lt;=1),"オフショア候補",IF(AND(VALUE(T201)&lt;=1,VALUE(U201)&lt;=1),"ニアショア候補","社内で手順化→再評価")))))</f>
        <v/>
      </c>
      <c r="AF201">
        <f>IF(W201&lt;&gt;"OK","",14-SUMPRODUCT(--O201:U201))</f>
        <v/>
      </c>
      <c r="AG201" s="33">
        <f>IF(W201&lt;&gt;"OK","",AM201*AN201/60)</f>
        <v/>
      </c>
      <c r="AH201" s="34">
        <f>IF(A201="","",UPPER(TRIM(ASC(A201&amp;""))))</f>
        <v/>
      </c>
      <c r="AI201" s="34">
        <f>IF(AH201="","",AH201&amp;"-"&amp;B201)</f>
        <v/>
      </c>
      <c r="AJ201" s="34">
        <f>IF(C201="","",IFERROR(VALUE(ASC(SUBSTITUTE(C201&amp;"","観点",""))),""))</f>
        <v/>
      </c>
      <c r="AK201" s="34">
        <f>IF(E201="","",UPPER(LEFT(TRIM(ASC(E201&amp;"")),3)))</f>
        <v/>
      </c>
      <c r="AL201" s="34">
        <f>IF(I201="","",IFERROR(VALUE(SUBSTITUTE(SUBSTITUTE(SUBSTITUTE(SUBSTITUTE(SUBSTITUTE(SUBSTITUTE(SUBSTITUTE(SUBSTITUTE(SUBSTITUTE(SUBSTITUTE(SUBSTITUTE(SUBSTITUTE(ASC(I201&amp;""),"約",""),"程度",""),"ほど",""),"回",""),"毎",""),"週",""),"月",""),"年",""),"日",""),"に",""),"/","")," ","")),""))</f>
        <v/>
      </c>
      <c r="AM201" s="34">
        <f>IF(I201="","",IF(ISNUMBER(I201),I201,IFERROR(VALUE(ASC(I201&amp;"")),IF(AL201&lt;&gt;"",AL201*IF(ISNUMBER(SEARCH("週",I201)),4.3,IF(ISNUMBER(SEARCH("年",I201)),1/12,IF(ISNUMBER(SEARCH("日",I201)),20,1))),IF(ISNUMBER(SEARCH("日",I201)),20,IF(ISNUMBER(SEARCH("週",I201)),4.3,IF(ISNUMBER(SEARCH("月",I201)),1,"")))))))</f>
        <v/>
      </c>
      <c r="AN201" s="34">
        <f>IF(J201="","",IF(ISNUMBER(J201),J201,IFERROR(VALUE(ASC(J201&amp;"")),IF(ISNUMBER(SEARCH("時間",J201)),IFERROR(VALUE(SUBSTITUTE(SUBSTITUTE(SUBSTITUTE(SUBSTITUTE(SUBSTITUTE(ASC(J201&amp;""),"約",""),"程度",""),"ほど",""),"時間","")," ",""))*60,""),IFERROR(VALUE(SUBSTITUTE(SUBSTITUTE(SUBSTITUTE(SUBSTITUTE(SUBSTITUTE(ASC(J201&amp;""),"約",""),"程度",""),"ほど",""),"分","")," ","")),"")))))</f>
        <v/>
      </c>
      <c r="AO201" s="34">
        <f>IF(K201="","",IF(ISNUMBER(K201),K201,IFERROR(VALUE(SUBSTITUTE(SUBSTITUTE(SUBSTITUTE(ASC(K201&amp;""),"約",""),"件","")," ","")),"")))</f>
        <v/>
      </c>
      <c r="AP201" s="34">
        <f>IF(W201&lt;&gt;"OK","",IF(COUNTIFS($D$5:$D$404,D201,$W$5:$W$404,"OK")&gt;1,"同名あり",""))</f>
        <v/>
      </c>
      <c r="AQ201" s="35">
        <f>IF(L201="","",IF(ISNUMBER(L201),L201,IFERROR(DATEVALUE(SUBSTITUTE(SUBSTITUTE(ASC(L201&amp;""),"-","/"),".","/")&amp;"/01"),"")))</f>
        <v/>
      </c>
      <c r="AR201" s="35">
        <f>IF(M201="","",IF(ISNUMBER(M201),M201,IFERROR(DATEVALUE(SUBSTITUTE(SUBSTITUTE(ASC(M201&amp;""),"-","/"),".","/")&amp;"/01"),"")))</f>
        <v/>
      </c>
      <c r="AS201" s="34">
        <f>IF(OR(W201&lt;&gt;"OK",AQ201=""),"",IF(AQ201&gt;='01_設定'!$C$26,1,0))</f>
        <v/>
      </c>
      <c r="AT201" s="34">
        <f>IF(AND(W201="OK",Y201&lt;&gt;"除外"),COUNTIFS($W$5:W201,"OK",$Y$5:Y201,"&lt;&gt;除外"),"")</f>
        <v/>
      </c>
      <c r="AU201" s="34">
        <f>IF(OR(AT201="",AD201=""),"",AD201+ROW()/1000000000)</f>
        <v/>
      </c>
    </row>
    <row r="202">
      <c r="W202">
        <f>IF(AND(A202="",D202=""),"",IF(ISNUMBER(SEARCH("##END",AH202)),"（終わりの印）",IF(ISNUMBER(SEARCH("##続き",AH202)),"（続きありの印）",IF(AH202="調査ID","（見出し行）",IF(AND(AH202&lt;&gt;"R1",AH202&lt;&gt;"R2"),"×表以外の行（集計されない）",IF(COUNTIF($AI$5:AI202,AI202)&gt;1,"△重複（集計されない）",IF(D202="","△タスク名なし",IF(ISNA(MATCH(AK202,'M1_類型マスタ'!$A$5:$A$19,0)),"△類型が不正",IF(OR(AM202="",AN202=""),"△回数・分が読めない",IF(SUMPRODUCT(--ISNUMBER(--O202:U202))&lt;7,"△採点が足りない",IF(SUMPRODUCT((--O202:U202&gt;2)+(--O202:U202&lt;0))&gt;0,"△採点が範囲外","OK")))))))))))</f>
        <v/>
      </c>
      <c r="X202">
        <f>IF(W202&lt;&gt;"OK","",TRIM(IF(AND(AO202&lt;&gt;"",N(AO202)&lt;=1),"根拠1件 ","")&amp;IF(AP202&lt;&gt;"","同名あり ","")&amp;IF(AND(NOT(ISNUMBER(I202)),I202&lt;&gt;""),"回数を換算 ","")))</f>
        <v/>
      </c>
      <c r="Y202" s="31" t="n"/>
      <c r="Z202" s="32" t="n"/>
      <c r="AA202" s="32" t="n"/>
      <c r="AB202" s="31" t="n"/>
      <c r="AC202">
        <f>IF(W202&lt;&gt;"OK","",IF(AB202&lt;&gt;"",AB202,AE202))</f>
        <v/>
      </c>
      <c r="AD202" s="33">
        <f>IF(W202&lt;&gt;"OK","",IFERROR(IF(Z202&lt;&gt;"",Z202,AM202)*IF(AA202&lt;&gt;"",AA202,AN202)/60,""))</f>
        <v/>
      </c>
      <c r="AE202">
        <f>IF(W202&lt;&gt;"OK","",IF(OR(VALUE(O202)=2,VALUE(P202)=2,VALUE(Q202)=2),"社内残置",IF(AND(VALUE(O202)=0,VALUE(R202)=0,VALUE(T202)=0),"自動化候補",IF(AND(VALUE(P202)=0,VALUE(R202)&lt;=1,VALUE(S202)&lt;=1,VALUE(T202)&lt;=1,VALUE(U202)&lt;=1),"オフショア候補",IF(AND(VALUE(T202)&lt;=1,VALUE(U202)&lt;=1),"ニアショア候補","社内で手順化→再評価")))))</f>
        <v/>
      </c>
      <c r="AF202">
        <f>IF(W202&lt;&gt;"OK","",14-SUMPRODUCT(--O202:U202))</f>
        <v/>
      </c>
      <c r="AG202" s="33">
        <f>IF(W202&lt;&gt;"OK","",AM202*AN202/60)</f>
        <v/>
      </c>
      <c r="AH202" s="34">
        <f>IF(A202="","",UPPER(TRIM(ASC(A202&amp;""))))</f>
        <v/>
      </c>
      <c r="AI202" s="34">
        <f>IF(AH202="","",AH202&amp;"-"&amp;B202)</f>
        <v/>
      </c>
      <c r="AJ202" s="34">
        <f>IF(C202="","",IFERROR(VALUE(ASC(SUBSTITUTE(C202&amp;"","観点",""))),""))</f>
        <v/>
      </c>
      <c r="AK202" s="34">
        <f>IF(E202="","",UPPER(LEFT(TRIM(ASC(E202&amp;"")),3)))</f>
        <v/>
      </c>
      <c r="AL202" s="34">
        <f>IF(I202="","",IFERROR(VALUE(SUBSTITUTE(SUBSTITUTE(SUBSTITUTE(SUBSTITUTE(SUBSTITUTE(SUBSTITUTE(SUBSTITUTE(SUBSTITUTE(SUBSTITUTE(SUBSTITUTE(SUBSTITUTE(SUBSTITUTE(ASC(I202&amp;""),"約",""),"程度",""),"ほど",""),"回",""),"毎",""),"週",""),"月",""),"年",""),"日",""),"に",""),"/","")," ","")),""))</f>
        <v/>
      </c>
      <c r="AM202" s="34">
        <f>IF(I202="","",IF(ISNUMBER(I202),I202,IFERROR(VALUE(ASC(I202&amp;"")),IF(AL202&lt;&gt;"",AL202*IF(ISNUMBER(SEARCH("週",I202)),4.3,IF(ISNUMBER(SEARCH("年",I202)),1/12,IF(ISNUMBER(SEARCH("日",I202)),20,1))),IF(ISNUMBER(SEARCH("日",I202)),20,IF(ISNUMBER(SEARCH("週",I202)),4.3,IF(ISNUMBER(SEARCH("月",I202)),1,"")))))))</f>
        <v/>
      </c>
      <c r="AN202" s="34">
        <f>IF(J202="","",IF(ISNUMBER(J202),J202,IFERROR(VALUE(ASC(J202&amp;"")),IF(ISNUMBER(SEARCH("時間",J202)),IFERROR(VALUE(SUBSTITUTE(SUBSTITUTE(SUBSTITUTE(SUBSTITUTE(SUBSTITUTE(ASC(J202&amp;""),"約",""),"程度",""),"ほど",""),"時間","")," ",""))*60,""),IFERROR(VALUE(SUBSTITUTE(SUBSTITUTE(SUBSTITUTE(SUBSTITUTE(SUBSTITUTE(ASC(J202&amp;""),"約",""),"程度",""),"ほど",""),"分","")," ","")),"")))))</f>
        <v/>
      </c>
      <c r="AO202" s="34">
        <f>IF(K202="","",IF(ISNUMBER(K202),K202,IFERROR(VALUE(SUBSTITUTE(SUBSTITUTE(SUBSTITUTE(ASC(K202&amp;""),"約",""),"件","")," ","")),"")))</f>
        <v/>
      </c>
      <c r="AP202" s="34">
        <f>IF(W202&lt;&gt;"OK","",IF(COUNTIFS($D$5:$D$404,D202,$W$5:$W$404,"OK")&gt;1,"同名あり",""))</f>
        <v/>
      </c>
      <c r="AQ202" s="35">
        <f>IF(L202="","",IF(ISNUMBER(L202),L202,IFERROR(DATEVALUE(SUBSTITUTE(SUBSTITUTE(ASC(L202&amp;""),"-","/"),".","/")&amp;"/01"),"")))</f>
        <v/>
      </c>
      <c r="AR202" s="35">
        <f>IF(M202="","",IF(ISNUMBER(M202),M202,IFERROR(DATEVALUE(SUBSTITUTE(SUBSTITUTE(ASC(M202&amp;""),"-","/"),".","/")&amp;"/01"),"")))</f>
        <v/>
      </c>
      <c r="AS202" s="34">
        <f>IF(OR(W202&lt;&gt;"OK",AQ202=""),"",IF(AQ202&gt;='01_設定'!$C$26,1,0))</f>
        <v/>
      </c>
      <c r="AT202" s="34">
        <f>IF(AND(W202="OK",Y202&lt;&gt;"除外"),COUNTIFS($W$5:W202,"OK",$Y$5:Y202,"&lt;&gt;除外"),"")</f>
        <v/>
      </c>
      <c r="AU202" s="34">
        <f>IF(OR(AT202="",AD202=""),"",AD202+ROW()/1000000000)</f>
        <v/>
      </c>
    </row>
    <row r="203">
      <c r="W203">
        <f>IF(AND(A203="",D203=""),"",IF(ISNUMBER(SEARCH("##END",AH203)),"（終わりの印）",IF(ISNUMBER(SEARCH("##続き",AH203)),"（続きありの印）",IF(AH203="調査ID","（見出し行）",IF(AND(AH203&lt;&gt;"R1",AH203&lt;&gt;"R2"),"×表以外の行（集計されない）",IF(COUNTIF($AI$5:AI203,AI203)&gt;1,"△重複（集計されない）",IF(D203="","△タスク名なし",IF(ISNA(MATCH(AK203,'M1_類型マスタ'!$A$5:$A$19,0)),"△類型が不正",IF(OR(AM203="",AN203=""),"△回数・分が読めない",IF(SUMPRODUCT(--ISNUMBER(--O203:U203))&lt;7,"△採点が足りない",IF(SUMPRODUCT((--O203:U203&gt;2)+(--O203:U203&lt;0))&gt;0,"△採点が範囲外","OK")))))))))))</f>
        <v/>
      </c>
      <c r="X203">
        <f>IF(W203&lt;&gt;"OK","",TRIM(IF(AND(AO203&lt;&gt;"",N(AO203)&lt;=1),"根拠1件 ","")&amp;IF(AP203&lt;&gt;"","同名あり ","")&amp;IF(AND(NOT(ISNUMBER(I203)),I203&lt;&gt;""),"回数を換算 ","")))</f>
        <v/>
      </c>
      <c r="Y203" s="31" t="n"/>
      <c r="Z203" s="32" t="n"/>
      <c r="AA203" s="32" t="n"/>
      <c r="AB203" s="31" t="n"/>
      <c r="AC203">
        <f>IF(W203&lt;&gt;"OK","",IF(AB203&lt;&gt;"",AB203,AE203))</f>
        <v/>
      </c>
      <c r="AD203" s="33">
        <f>IF(W203&lt;&gt;"OK","",IFERROR(IF(Z203&lt;&gt;"",Z203,AM203)*IF(AA203&lt;&gt;"",AA203,AN203)/60,""))</f>
        <v/>
      </c>
      <c r="AE203">
        <f>IF(W203&lt;&gt;"OK","",IF(OR(VALUE(O203)=2,VALUE(P203)=2,VALUE(Q203)=2),"社内残置",IF(AND(VALUE(O203)=0,VALUE(R203)=0,VALUE(T203)=0),"自動化候補",IF(AND(VALUE(P203)=0,VALUE(R203)&lt;=1,VALUE(S203)&lt;=1,VALUE(T203)&lt;=1,VALUE(U203)&lt;=1),"オフショア候補",IF(AND(VALUE(T203)&lt;=1,VALUE(U203)&lt;=1),"ニアショア候補","社内で手順化→再評価")))))</f>
        <v/>
      </c>
      <c r="AF203">
        <f>IF(W203&lt;&gt;"OK","",14-SUMPRODUCT(--O203:U203))</f>
        <v/>
      </c>
      <c r="AG203" s="33">
        <f>IF(W203&lt;&gt;"OK","",AM203*AN203/60)</f>
        <v/>
      </c>
      <c r="AH203" s="34">
        <f>IF(A203="","",UPPER(TRIM(ASC(A203&amp;""))))</f>
        <v/>
      </c>
      <c r="AI203" s="34">
        <f>IF(AH203="","",AH203&amp;"-"&amp;B203)</f>
        <v/>
      </c>
      <c r="AJ203" s="34">
        <f>IF(C203="","",IFERROR(VALUE(ASC(SUBSTITUTE(C203&amp;"","観点",""))),""))</f>
        <v/>
      </c>
      <c r="AK203" s="34">
        <f>IF(E203="","",UPPER(LEFT(TRIM(ASC(E203&amp;"")),3)))</f>
        <v/>
      </c>
      <c r="AL203" s="34">
        <f>IF(I203="","",IFERROR(VALUE(SUBSTITUTE(SUBSTITUTE(SUBSTITUTE(SUBSTITUTE(SUBSTITUTE(SUBSTITUTE(SUBSTITUTE(SUBSTITUTE(SUBSTITUTE(SUBSTITUTE(SUBSTITUTE(SUBSTITUTE(ASC(I203&amp;""),"約",""),"程度",""),"ほど",""),"回",""),"毎",""),"週",""),"月",""),"年",""),"日",""),"に",""),"/","")," ","")),""))</f>
        <v/>
      </c>
      <c r="AM203" s="34">
        <f>IF(I203="","",IF(ISNUMBER(I203),I203,IFERROR(VALUE(ASC(I203&amp;"")),IF(AL203&lt;&gt;"",AL203*IF(ISNUMBER(SEARCH("週",I203)),4.3,IF(ISNUMBER(SEARCH("年",I203)),1/12,IF(ISNUMBER(SEARCH("日",I203)),20,1))),IF(ISNUMBER(SEARCH("日",I203)),20,IF(ISNUMBER(SEARCH("週",I203)),4.3,IF(ISNUMBER(SEARCH("月",I203)),1,"")))))))</f>
        <v/>
      </c>
      <c r="AN203" s="34">
        <f>IF(J203="","",IF(ISNUMBER(J203),J203,IFERROR(VALUE(ASC(J203&amp;"")),IF(ISNUMBER(SEARCH("時間",J203)),IFERROR(VALUE(SUBSTITUTE(SUBSTITUTE(SUBSTITUTE(SUBSTITUTE(SUBSTITUTE(ASC(J203&amp;""),"約",""),"程度",""),"ほど",""),"時間","")," ",""))*60,""),IFERROR(VALUE(SUBSTITUTE(SUBSTITUTE(SUBSTITUTE(SUBSTITUTE(SUBSTITUTE(ASC(J203&amp;""),"約",""),"程度",""),"ほど",""),"分","")," ","")),"")))))</f>
        <v/>
      </c>
      <c r="AO203" s="34">
        <f>IF(K203="","",IF(ISNUMBER(K203),K203,IFERROR(VALUE(SUBSTITUTE(SUBSTITUTE(SUBSTITUTE(ASC(K203&amp;""),"約",""),"件","")," ","")),"")))</f>
        <v/>
      </c>
      <c r="AP203" s="34">
        <f>IF(W203&lt;&gt;"OK","",IF(COUNTIFS($D$5:$D$404,D203,$W$5:$W$404,"OK")&gt;1,"同名あり",""))</f>
        <v/>
      </c>
      <c r="AQ203" s="35">
        <f>IF(L203="","",IF(ISNUMBER(L203),L203,IFERROR(DATEVALUE(SUBSTITUTE(SUBSTITUTE(ASC(L203&amp;""),"-","/"),".","/")&amp;"/01"),"")))</f>
        <v/>
      </c>
      <c r="AR203" s="35">
        <f>IF(M203="","",IF(ISNUMBER(M203),M203,IFERROR(DATEVALUE(SUBSTITUTE(SUBSTITUTE(ASC(M203&amp;""),"-","/"),".","/")&amp;"/01"),"")))</f>
        <v/>
      </c>
      <c r="AS203" s="34">
        <f>IF(OR(W203&lt;&gt;"OK",AQ203=""),"",IF(AQ203&gt;='01_設定'!$C$26,1,0))</f>
        <v/>
      </c>
      <c r="AT203" s="34">
        <f>IF(AND(W203="OK",Y203&lt;&gt;"除外"),COUNTIFS($W$5:W203,"OK",$Y$5:Y203,"&lt;&gt;除外"),"")</f>
        <v/>
      </c>
      <c r="AU203" s="34">
        <f>IF(OR(AT203="",AD203=""),"",AD203+ROW()/1000000000)</f>
        <v/>
      </c>
    </row>
    <row r="204">
      <c r="W204">
        <f>IF(AND(A204="",D204=""),"",IF(ISNUMBER(SEARCH("##END",AH204)),"（終わりの印）",IF(ISNUMBER(SEARCH("##続き",AH204)),"（続きありの印）",IF(AH204="調査ID","（見出し行）",IF(AND(AH204&lt;&gt;"R1",AH204&lt;&gt;"R2"),"×表以外の行（集計されない）",IF(COUNTIF($AI$5:AI204,AI204)&gt;1,"△重複（集計されない）",IF(D204="","△タスク名なし",IF(ISNA(MATCH(AK204,'M1_類型マスタ'!$A$5:$A$19,0)),"△類型が不正",IF(OR(AM204="",AN204=""),"△回数・分が読めない",IF(SUMPRODUCT(--ISNUMBER(--O204:U204))&lt;7,"△採点が足りない",IF(SUMPRODUCT((--O204:U204&gt;2)+(--O204:U204&lt;0))&gt;0,"△採点が範囲外","OK")))))))))))</f>
        <v/>
      </c>
      <c r="X204">
        <f>IF(W204&lt;&gt;"OK","",TRIM(IF(AND(AO204&lt;&gt;"",N(AO204)&lt;=1),"根拠1件 ","")&amp;IF(AP204&lt;&gt;"","同名あり ","")&amp;IF(AND(NOT(ISNUMBER(I204)),I204&lt;&gt;""),"回数を換算 ","")))</f>
        <v/>
      </c>
      <c r="Y204" s="31" t="n"/>
      <c r="Z204" s="32" t="n"/>
      <c r="AA204" s="32" t="n"/>
      <c r="AB204" s="31" t="n"/>
      <c r="AC204">
        <f>IF(W204&lt;&gt;"OK","",IF(AB204&lt;&gt;"",AB204,AE204))</f>
        <v/>
      </c>
      <c r="AD204" s="33">
        <f>IF(W204&lt;&gt;"OK","",IFERROR(IF(Z204&lt;&gt;"",Z204,AM204)*IF(AA204&lt;&gt;"",AA204,AN204)/60,""))</f>
        <v/>
      </c>
      <c r="AE204">
        <f>IF(W204&lt;&gt;"OK","",IF(OR(VALUE(O204)=2,VALUE(P204)=2,VALUE(Q204)=2),"社内残置",IF(AND(VALUE(O204)=0,VALUE(R204)=0,VALUE(T204)=0),"自動化候補",IF(AND(VALUE(P204)=0,VALUE(R204)&lt;=1,VALUE(S204)&lt;=1,VALUE(T204)&lt;=1,VALUE(U204)&lt;=1),"オフショア候補",IF(AND(VALUE(T204)&lt;=1,VALUE(U204)&lt;=1),"ニアショア候補","社内で手順化→再評価")))))</f>
        <v/>
      </c>
      <c r="AF204">
        <f>IF(W204&lt;&gt;"OK","",14-SUMPRODUCT(--O204:U204))</f>
        <v/>
      </c>
      <c r="AG204" s="33">
        <f>IF(W204&lt;&gt;"OK","",AM204*AN204/60)</f>
        <v/>
      </c>
      <c r="AH204" s="34">
        <f>IF(A204="","",UPPER(TRIM(ASC(A204&amp;""))))</f>
        <v/>
      </c>
      <c r="AI204" s="34">
        <f>IF(AH204="","",AH204&amp;"-"&amp;B204)</f>
        <v/>
      </c>
      <c r="AJ204" s="34">
        <f>IF(C204="","",IFERROR(VALUE(ASC(SUBSTITUTE(C204&amp;"","観点",""))),""))</f>
        <v/>
      </c>
      <c r="AK204" s="34">
        <f>IF(E204="","",UPPER(LEFT(TRIM(ASC(E204&amp;"")),3)))</f>
        <v/>
      </c>
      <c r="AL204" s="34">
        <f>IF(I204="","",IFERROR(VALUE(SUBSTITUTE(SUBSTITUTE(SUBSTITUTE(SUBSTITUTE(SUBSTITUTE(SUBSTITUTE(SUBSTITUTE(SUBSTITUTE(SUBSTITUTE(SUBSTITUTE(SUBSTITUTE(SUBSTITUTE(ASC(I204&amp;""),"約",""),"程度",""),"ほど",""),"回",""),"毎",""),"週",""),"月",""),"年",""),"日",""),"に",""),"/","")," ","")),""))</f>
        <v/>
      </c>
      <c r="AM204" s="34">
        <f>IF(I204="","",IF(ISNUMBER(I204),I204,IFERROR(VALUE(ASC(I204&amp;"")),IF(AL204&lt;&gt;"",AL204*IF(ISNUMBER(SEARCH("週",I204)),4.3,IF(ISNUMBER(SEARCH("年",I204)),1/12,IF(ISNUMBER(SEARCH("日",I204)),20,1))),IF(ISNUMBER(SEARCH("日",I204)),20,IF(ISNUMBER(SEARCH("週",I204)),4.3,IF(ISNUMBER(SEARCH("月",I204)),1,"")))))))</f>
        <v/>
      </c>
      <c r="AN204" s="34">
        <f>IF(J204="","",IF(ISNUMBER(J204),J204,IFERROR(VALUE(ASC(J204&amp;"")),IF(ISNUMBER(SEARCH("時間",J204)),IFERROR(VALUE(SUBSTITUTE(SUBSTITUTE(SUBSTITUTE(SUBSTITUTE(SUBSTITUTE(ASC(J204&amp;""),"約",""),"程度",""),"ほど",""),"時間","")," ",""))*60,""),IFERROR(VALUE(SUBSTITUTE(SUBSTITUTE(SUBSTITUTE(SUBSTITUTE(SUBSTITUTE(ASC(J204&amp;""),"約",""),"程度",""),"ほど",""),"分","")," ","")),"")))))</f>
        <v/>
      </c>
      <c r="AO204" s="34">
        <f>IF(K204="","",IF(ISNUMBER(K204),K204,IFERROR(VALUE(SUBSTITUTE(SUBSTITUTE(SUBSTITUTE(ASC(K204&amp;""),"約",""),"件","")," ","")),"")))</f>
        <v/>
      </c>
      <c r="AP204" s="34">
        <f>IF(W204&lt;&gt;"OK","",IF(COUNTIFS($D$5:$D$404,D204,$W$5:$W$404,"OK")&gt;1,"同名あり",""))</f>
        <v/>
      </c>
      <c r="AQ204" s="35">
        <f>IF(L204="","",IF(ISNUMBER(L204),L204,IFERROR(DATEVALUE(SUBSTITUTE(SUBSTITUTE(ASC(L204&amp;""),"-","/"),".","/")&amp;"/01"),"")))</f>
        <v/>
      </c>
      <c r="AR204" s="35">
        <f>IF(M204="","",IF(ISNUMBER(M204),M204,IFERROR(DATEVALUE(SUBSTITUTE(SUBSTITUTE(ASC(M204&amp;""),"-","/"),".","/")&amp;"/01"),"")))</f>
        <v/>
      </c>
      <c r="AS204" s="34">
        <f>IF(OR(W204&lt;&gt;"OK",AQ204=""),"",IF(AQ204&gt;='01_設定'!$C$26,1,0))</f>
        <v/>
      </c>
      <c r="AT204" s="34">
        <f>IF(AND(W204="OK",Y204&lt;&gt;"除外"),COUNTIFS($W$5:W204,"OK",$Y$5:Y204,"&lt;&gt;除外"),"")</f>
        <v/>
      </c>
      <c r="AU204" s="34">
        <f>IF(OR(AT204="",AD204=""),"",AD204+ROW()/1000000000)</f>
        <v/>
      </c>
    </row>
    <row r="205">
      <c r="W205">
        <f>IF(AND(A205="",D205=""),"",IF(ISNUMBER(SEARCH("##END",AH205)),"（終わりの印）",IF(ISNUMBER(SEARCH("##続き",AH205)),"（続きありの印）",IF(AH205="調査ID","（見出し行）",IF(AND(AH205&lt;&gt;"R1",AH205&lt;&gt;"R2"),"×表以外の行（集計されない）",IF(COUNTIF($AI$5:AI205,AI205)&gt;1,"△重複（集計されない）",IF(D205="","△タスク名なし",IF(ISNA(MATCH(AK205,'M1_類型マスタ'!$A$5:$A$19,0)),"△類型が不正",IF(OR(AM205="",AN205=""),"△回数・分が読めない",IF(SUMPRODUCT(--ISNUMBER(--O205:U205))&lt;7,"△採点が足りない",IF(SUMPRODUCT((--O205:U205&gt;2)+(--O205:U205&lt;0))&gt;0,"△採点が範囲外","OK")))))))))))</f>
        <v/>
      </c>
      <c r="X205">
        <f>IF(W205&lt;&gt;"OK","",TRIM(IF(AND(AO205&lt;&gt;"",N(AO205)&lt;=1),"根拠1件 ","")&amp;IF(AP205&lt;&gt;"","同名あり ","")&amp;IF(AND(NOT(ISNUMBER(I205)),I205&lt;&gt;""),"回数を換算 ","")))</f>
        <v/>
      </c>
      <c r="Y205" s="31" t="n"/>
      <c r="Z205" s="32" t="n"/>
      <c r="AA205" s="32" t="n"/>
      <c r="AB205" s="31" t="n"/>
      <c r="AC205">
        <f>IF(W205&lt;&gt;"OK","",IF(AB205&lt;&gt;"",AB205,AE205))</f>
        <v/>
      </c>
      <c r="AD205" s="33">
        <f>IF(W205&lt;&gt;"OK","",IFERROR(IF(Z205&lt;&gt;"",Z205,AM205)*IF(AA205&lt;&gt;"",AA205,AN205)/60,""))</f>
        <v/>
      </c>
      <c r="AE205">
        <f>IF(W205&lt;&gt;"OK","",IF(OR(VALUE(O205)=2,VALUE(P205)=2,VALUE(Q205)=2),"社内残置",IF(AND(VALUE(O205)=0,VALUE(R205)=0,VALUE(T205)=0),"自動化候補",IF(AND(VALUE(P205)=0,VALUE(R205)&lt;=1,VALUE(S205)&lt;=1,VALUE(T205)&lt;=1,VALUE(U205)&lt;=1),"オフショア候補",IF(AND(VALUE(T205)&lt;=1,VALUE(U205)&lt;=1),"ニアショア候補","社内で手順化→再評価")))))</f>
        <v/>
      </c>
      <c r="AF205">
        <f>IF(W205&lt;&gt;"OK","",14-SUMPRODUCT(--O205:U205))</f>
        <v/>
      </c>
      <c r="AG205" s="33">
        <f>IF(W205&lt;&gt;"OK","",AM205*AN205/60)</f>
        <v/>
      </c>
      <c r="AH205" s="34">
        <f>IF(A205="","",UPPER(TRIM(ASC(A205&amp;""))))</f>
        <v/>
      </c>
      <c r="AI205" s="34">
        <f>IF(AH205="","",AH205&amp;"-"&amp;B205)</f>
        <v/>
      </c>
      <c r="AJ205" s="34">
        <f>IF(C205="","",IFERROR(VALUE(ASC(SUBSTITUTE(C205&amp;"","観点",""))),""))</f>
        <v/>
      </c>
      <c r="AK205" s="34">
        <f>IF(E205="","",UPPER(LEFT(TRIM(ASC(E205&amp;"")),3)))</f>
        <v/>
      </c>
      <c r="AL205" s="34">
        <f>IF(I205="","",IFERROR(VALUE(SUBSTITUTE(SUBSTITUTE(SUBSTITUTE(SUBSTITUTE(SUBSTITUTE(SUBSTITUTE(SUBSTITUTE(SUBSTITUTE(SUBSTITUTE(SUBSTITUTE(SUBSTITUTE(SUBSTITUTE(ASC(I205&amp;""),"約",""),"程度",""),"ほど",""),"回",""),"毎",""),"週",""),"月",""),"年",""),"日",""),"に",""),"/","")," ","")),""))</f>
        <v/>
      </c>
      <c r="AM205" s="34">
        <f>IF(I205="","",IF(ISNUMBER(I205),I205,IFERROR(VALUE(ASC(I205&amp;"")),IF(AL205&lt;&gt;"",AL205*IF(ISNUMBER(SEARCH("週",I205)),4.3,IF(ISNUMBER(SEARCH("年",I205)),1/12,IF(ISNUMBER(SEARCH("日",I205)),20,1))),IF(ISNUMBER(SEARCH("日",I205)),20,IF(ISNUMBER(SEARCH("週",I205)),4.3,IF(ISNUMBER(SEARCH("月",I205)),1,"")))))))</f>
        <v/>
      </c>
      <c r="AN205" s="34">
        <f>IF(J205="","",IF(ISNUMBER(J205),J205,IFERROR(VALUE(ASC(J205&amp;"")),IF(ISNUMBER(SEARCH("時間",J205)),IFERROR(VALUE(SUBSTITUTE(SUBSTITUTE(SUBSTITUTE(SUBSTITUTE(SUBSTITUTE(ASC(J205&amp;""),"約",""),"程度",""),"ほど",""),"時間","")," ",""))*60,""),IFERROR(VALUE(SUBSTITUTE(SUBSTITUTE(SUBSTITUTE(SUBSTITUTE(SUBSTITUTE(ASC(J205&amp;""),"約",""),"程度",""),"ほど",""),"分","")," ","")),"")))))</f>
        <v/>
      </c>
      <c r="AO205" s="34">
        <f>IF(K205="","",IF(ISNUMBER(K205),K205,IFERROR(VALUE(SUBSTITUTE(SUBSTITUTE(SUBSTITUTE(ASC(K205&amp;""),"約",""),"件","")," ","")),"")))</f>
        <v/>
      </c>
      <c r="AP205" s="34">
        <f>IF(W205&lt;&gt;"OK","",IF(COUNTIFS($D$5:$D$404,D205,$W$5:$W$404,"OK")&gt;1,"同名あり",""))</f>
        <v/>
      </c>
      <c r="AQ205" s="35">
        <f>IF(L205="","",IF(ISNUMBER(L205),L205,IFERROR(DATEVALUE(SUBSTITUTE(SUBSTITUTE(ASC(L205&amp;""),"-","/"),".","/")&amp;"/01"),"")))</f>
        <v/>
      </c>
      <c r="AR205" s="35">
        <f>IF(M205="","",IF(ISNUMBER(M205),M205,IFERROR(DATEVALUE(SUBSTITUTE(SUBSTITUTE(ASC(M205&amp;""),"-","/"),".","/")&amp;"/01"),"")))</f>
        <v/>
      </c>
      <c r="AS205" s="34">
        <f>IF(OR(W205&lt;&gt;"OK",AQ205=""),"",IF(AQ205&gt;='01_設定'!$C$26,1,0))</f>
        <v/>
      </c>
      <c r="AT205" s="34">
        <f>IF(AND(W205="OK",Y205&lt;&gt;"除外"),COUNTIFS($W$5:W205,"OK",$Y$5:Y205,"&lt;&gt;除外"),"")</f>
        <v/>
      </c>
      <c r="AU205" s="34">
        <f>IF(OR(AT205="",AD205=""),"",AD205+ROW()/1000000000)</f>
        <v/>
      </c>
    </row>
    <row r="206">
      <c r="W206">
        <f>IF(AND(A206="",D206=""),"",IF(ISNUMBER(SEARCH("##END",AH206)),"（終わりの印）",IF(ISNUMBER(SEARCH("##続き",AH206)),"（続きありの印）",IF(AH206="調査ID","（見出し行）",IF(AND(AH206&lt;&gt;"R1",AH206&lt;&gt;"R2"),"×表以外の行（集計されない）",IF(COUNTIF($AI$5:AI206,AI206)&gt;1,"△重複（集計されない）",IF(D206="","△タスク名なし",IF(ISNA(MATCH(AK206,'M1_類型マスタ'!$A$5:$A$19,0)),"△類型が不正",IF(OR(AM206="",AN206=""),"△回数・分が読めない",IF(SUMPRODUCT(--ISNUMBER(--O206:U206))&lt;7,"△採点が足りない",IF(SUMPRODUCT((--O206:U206&gt;2)+(--O206:U206&lt;0))&gt;0,"△採点が範囲外","OK")))))))))))</f>
        <v/>
      </c>
      <c r="X206">
        <f>IF(W206&lt;&gt;"OK","",TRIM(IF(AND(AO206&lt;&gt;"",N(AO206)&lt;=1),"根拠1件 ","")&amp;IF(AP206&lt;&gt;"","同名あり ","")&amp;IF(AND(NOT(ISNUMBER(I206)),I206&lt;&gt;""),"回数を換算 ","")))</f>
        <v/>
      </c>
      <c r="Y206" s="31" t="n"/>
      <c r="Z206" s="32" t="n"/>
      <c r="AA206" s="32" t="n"/>
      <c r="AB206" s="31" t="n"/>
      <c r="AC206">
        <f>IF(W206&lt;&gt;"OK","",IF(AB206&lt;&gt;"",AB206,AE206))</f>
        <v/>
      </c>
      <c r="AD206" s="33">
        <f>IF(W206&lt;&gt;"OK","",IFERROR(IF(Z206&lt;&gt;"",Z206,AM206)*IF(AA206&lt;&gt;"",AA206,AN206)/60,""))</f>
        <v/>
      </c>
      <c r="AE206">
        <f>IF(W206&lt;&gt;"OK","",IF(OR(VALUE(O206)=2,VALUE(P206)=2,VALUE(Q206)=2),"社内残置",IF(AND(VALUE(O206)=0,VALUE(R206)=0,VALUE(T206)=0),"自動化候補",IF(AND(VALUE(P206)=0,VALUE(R206)&lt;=1,VALUE(S206)&lt;=1,VALUE(T206)&lt;=1,VALUE(U206)&lt;=1),"オフショア候補",IF(AND(VALUE(T206)&lt;=1,VALUE(U206)&lt;=1),"ニアショア候補","社内で手順化→再評価")))))</f>
        <v/>
      </c>
      <c r="AF206">
        <f>IF(W206&lt;&gt;"OK","",14-SUMPRODUCT(--O206:U206))</f>
        <v/>
      </c>
      <c r="AG206" s="33">
        <f>IF(W206&lt;&gt;"OK","",AM206*AN206/60)</f>
        <v/>
      </c>
      <c r="AH206" s="34">
        <f>IF(A206="","",UPPER(TRIM(ASC(A206&amp;""))))</f>
        <v/>
      </c>
      <c r="AI206" s="34">
        <f>IF(AH206="","",AH206&amp;"-"&amp;B206)</f>
        <v/>
      </c>
      <c r="AJ206" s="34">
        <f>IF(C206="","",IFERROR(VALUE(ASC(SUBSTITUTE(C206&amp;"","観点",""))),""))</f>
        <v/>
      </c>
      <c r="AK206" s="34">
        <f>IF(E206="","",UPPER(LEFT(TRIM(ASC(E206&amp;"")),3)))</f>
        <v/>
      </c>
      <c r="AL206" s="34">
        <f>IF(I206="","",IFERROR(VALUE(SUBSTITUTE(SUBSTITUTE(SUBSTITUTE(SUBSTITUTE(SUBSTITUTE(SUBSTITUTE(SUBSTITUTE(SUBSTITUTE(SUBSTITUTE(SUBSTITUTE(SUBSTITUTE(SUBSTITUTE(ASC(I206&amp;""),"約",""),"程度",""),"ほど",""),"回",""),"毎",""),"週",""),"月",""),"年",""),"日",""),"に",""),"/","")," ","")),""))</f>
        <v/>
      </c>
      <c r="AM206" s="34">
        <f>IF(I206="","",IF(ISNUMBER(I206),I206,IFERROR(VALUE(ASC(I206&amp;"")),IF(AL206&lt;&gt;"",AL206*IF(ISNUMBER(SEARCH("週",I206)),4.3,IF(ISNUMBER(SEARCH("年",I206)),1/12,IF(ISNUMBER(SEARCH("日",I206)),20,1))),IF(ISNUMBER(SEARCH("日",I206)),20,IF(ISNUMBER(SEARCH("週",I206)),4.3,IF(ISNUMBER(SEARCH("月",I206)),1,"")))))))</f>
        <v/>
      </c>
      <c r="AN206" s="34">
        <f>IF(J206="","",IF(ISNUMBER(J206),J206,IFERROR(VALUE(ASC(J206&amp;"")),IF(ISNUMBER(SEARCH("時間",J206)),IFERROR(VALUE(SUBSTITUTE(SUBSTITUTE(SUBSTITUTE(SUBSTITUTE(SUBSTITUTE(ASC(J206&amp;""),"約",""),"程度",""),"ほど",""),"時間","")," ",""))*60,""),IFERROR(VALUE(SUBSTITUTE(SUBSTITUTE(SUBSTITUTE(SUBSTITUTE(SUBSTITUTE(ASC(J206&amp;""),"約",""),"程度",""),"ほど",""),"分","")," ","")),"")))))</f>
        <v/>
      </c>
      <c r="AO206" s="34">
        <f>IF(K206="","",IF(ISNUMBER(K206),K206,IFERROR(VALUE(SUBSTITUTE(SUBSTITUTE(SUBSTITUTE(ASC(K206&amp;""),"約",""),"件","")," ","")),"")))</f>
        <v/>
      </c>
      <c r="AP206" s="34">
        <f>IF(W206&lt;&gt;"OK","",IF(COUNTIFS($D$5:$D$404,D206,$W$5:$W$404,"OK")&gt;1,"同名あり",""))</f>
        <v/>
      </c>
      <c r="AQ206" s="35">
        <f>IF(L206="","",IF(ISNUMBER(L206),L206,IFERROR(DATEVALUE(SUBSTITUTE(SUBSTITUTE(ASC(L206&amp;""),"-","/"),".","/")&amp;"/01"),"")))</f>
        <v/>
      </c>
      <c r="AR206" s="35">
        <f>IF(M206="","",IF(ISNUMBER(M206),M206,IFERROR(DATEVALUE(SUBSTITUTE(SUBSTITUTE(ASC(M206&amp;""),"-","/"),".","/")&amp;"/01"),"")))</f>
        <v/>
      </c>
      <c r="AS206" s="34">
        <f>IF(OR(W206&lt;&gt;"OK",AQ206=""),"",IF(AQ206&gt;='01_設定'!$C$26,1,0))</f>
        <v/>
      </c>
      <c r="AT206" s="34">
        <f>IF(AND(W206="OK",Y206&lt;&gt;"除外"),COUNTIFS($W$5:W206,"OK",$Y$5:Y206,"&lt;&gt;除外"),"")</f>
        <v/>
      </c>
      <c r="AU206" s="34">
        <f>IF(OR(AT206="",AD206=""),"",AD206+ROW()/1000000000)</f>
        <v/>
      </c>
    </row>
    <row r="207">
      <c r="W207">
        <f>IF(AND(A207="",D207=""),"",IF(ISNUMBER(SEARCH("##END",AH207)),"（終わりの印）",IF(ISNUMBER(SEARCH("##続き",AH207)),"（続きありの印）",IF(AH207="調査ID","（見出し行）",IF(AND(AH207&lt;&gt;"R1",AH207&lt;&gt;"R2"),"×表以外の行（集計されない）",IF(COUNTIF($AI$5:AI207,AI207)&gt;1,"△重複（集計されない）",IF(D207="","△タスク名なし",IF(ISNA(MATCH(AK207,'M1_類型マスタ'!$A$5:$A$19,0)),"△類型が不正",IF(OR(AM207="",AN207=""),"△回数・分が読めない",IF(SUMPRODUCT(--ISNUMBER(--O207:U207))&lt;7,"△採点が足りない",IF(SUMPRODUCT((--O207:U207&gt;2)+(--O207:U207&lt;0))&gt;0,"△採点が範囲外","OK")))))))))))</f>
        <v/>
      </c>
      <c r="X207">
        <f>IF(W207&lt;&gt;"OK","",TRIM(IF(AND(AO207&lt;&gt;"",N(AO207)&lt;=1),"根拠1件 ","")&amp;IF(AP207&lt;&gt;"","同名あり ","")&amp;IF(AND(NOT(ISNUMBER(I207)),I207&lt;&gt;""),"回数を換算 ","")))</f>
        <v/>
      </c>
      <c r="Y207" s="31" t="n"/>
      <c r="Z207" s="32" t="n"/>
      <c r="AA207" s="32" t="n"/>
      <c r="AB207" s="31" t="n"/>
      <c r="AC207">
        <f>IF(W207&lt;&gt;"OK","",IF(AB207&lt;&gt;"",AB207,AE207))</f>
        <v/>
      </c>
      <c r="AD207" s="33">
        <f>IF(W207&lt;&gt;"OK","",IFERROR(IF(Z207&lt;&gt;"",Z207,AM207)*IF(AA207&lt;&gt;"",AA207,AN207)/60,""))</f>
        <v/>
      </c>
      <c r="AE207">
        <f>IF(W207&lt;&gt;"OK","",IF(OR(VALUE(O207)=2,VALUE(P207)=2,VALUE(Q207)=2),"社内残置",IF(AND(VALUE(O207)=0,VALUE(R207)=0,VALUE(T207)=0),"自動化候補",IF(AND(VALUE(P207)=0,VALUE(R207)&lt;=1,VALUE(S207)&lt;=1,VALUE(T207)&lt;=1,VALUE(U207)&lt;=1),"オフショア候補",IF(AND(VALUE(T207)&lt;=1,VALUE(U207)&lt;=1),"ニアショア候補","社内で手順化→再評価")))))</f>
        <v/>
      </c>
      <c r="AF207">
        <f>IF(W207&lt;&gt;"OK","",14-SUMPRODUCT(--O207:U207))</f>
        <v/>
      </c>
      <c r="AG207" s="33">
        <f>IF(W207&lt;&gt;"OK","",AM207*AN207/60)</f>
        <v/>
      </c>
      <c r="AH207" s="34">
        <f>IF(A207="","",UPPER(TRIM(ASC(A207&amp;""))))</f>
        <v/>
      </c>
      <c r="AI207" s="34">
        <f>IF(AH207="","",AH207&amp;"-"&amp;B207)</f>
        <v/>
      </c>
      <c r="AJ207" s="34">
        <f>IF(C207="","",IFERROR(VALUE(ASC(SUBSTITUTE(C207&amp;"","観点",""))),""))</f>
        <v/>
      </c>
      <c r="AK207" s="34">
        <f>IF(E207="","",UPPER(LEFT(TRIM(ASC(E207&amp;"")),3)))</f>
        <v/>
      </c>
      <c r="AL207" s="34">
        <f>IF(I207="","",IFERROR(VALUE(SUBSTITUTE(SUBSTITUTE(SUBSTITUTE(SUBSTITUTE(SUBSTITUTE(SUBSTITUTE(SUBSTITUTE(SUBSTITUTE(SUBSTITUTE(SUBSTITUTE(SUBSTITUTE(SUBSTITUTE(ASC(I207&amp;""),"約",""),"程度",""),"ほど",""),"回",""),"毎",""),"週",""),"月",""),"年",""),"日",""),"に",""),"/","")," ","")),""))</f>
        <v/>
      </c>
      <c r="AM207" s="34">
        <f>IF(I207="","",IF(ISNUMBER(I207),I207,IFERROR(VALUE(ASC(I207&amp;"")),IF(AL207&lt;&gt;"",AL207*IF(ISNUMBER(SEARCH("週",I207)),4.3,IF(ISNUMBER(SEARCH("年",I207)),1/12,IF(ISNUMBER(SEARCH("日",I207)),20,1))),IF(ISNUMBER(SEARCH("日",I207)),20,IF(ISNUMBER(SEARCH("週",I207)),4.3,IF(ISNUMBER(SEARCH("月",I207)),1,"")))))))</f>
        <v/>
      </c>
      <c r="AN207" s="34">
        <f>IF(J207="","",IF(ISNUMBER(J207),J207,IFERROR(VALUE(ASC(J207&amp;"")),IF(ISNUMBER(SEARCH("時間",J207)),IFERROR(VALUE(SUBSTITUTE(SUBSTITUTE(SUBSTITUTE(SUBSTITUTE(SUBSTITUTE(ASC(J207&amp;""),"約",""),"程度",""),"ほど",""),"時間","")," ",""))*60,""),IFERROR(VALUE(SUBSTITUTE(SUBSTITUTE(SUBSTITUTE(SUBSTITUTE(SUBSTITUTE(ASC(J207&amp;""),"約",""),"程度",""),"ほど",""),"分","")," ","")),"")))))</f>
        <v/>
      </c>
      <c r="AO207" s="34">
        <f>IF(K207="","",IF(ISNUMBER(K207),K207,IFERROR(VALUE(SUBSTITUTE(SUBSTITUTE(SUBSTITUTE(ASC(K207&amp;""),"約",""),"件","")," ","")),"")))</f>
        <v/>
      </c>
      <c r="AP207" s="34">
        <f>IF(W207&lt;&gt;"OK","",IF(COUNTIFS($D$5:$D$404,D207,$W$5:$W$404,"OK")&gt;1,"同名あり",""))</f>
        <v/>
      </c>
      <c r="AQ207" s="35">
        <f>IF(L207="","",IF(ISNUMBER(L207),L207,IFERROR(DATEVALUE(SUBSTITUTE(SUBSTITUTE(ASC(L207&amp;""),"-","/"),".","/")&amp;"/01"),"")))</f>
        <v/>
      </c>
      <c r="AR207" s="35">
        <f>IF(M207="","",IF(ISNUMBER(M207),M207,IFERROR(DATEVALUE(SUBSTITUTE(SUBSTITUTE(ASC(M207&amp;""),"-","/"),".","/")&amp;"/01"),"")))</f>
        <v/>
      </c>
      <c r="AS207" s="34">
        <f>IF(OR(W207&lt;&gt;"OK",AQ207=""),"",IF(AQ207&gt;='01_設定'!$C$26,1,0))</f>
        <v/>
      </c>
      <c r="AT207" s="34">
        <f>IF(AND(W207="OK",Y207&lt;&gt;"除外"),COUNTIFS($W$5:W207,"OK",$Y$5:Y207,"&lt;&gt;除外"),"")</f>
        <v/>
      </c>
      <c r="AU207" s="34">
        <f>IF(OR(AT207="",AD207=""),"",AD207+ROW()/1000000000)</f>
        <v/>
      </c>
    </row>
    <row r="208">
      <c r="W208">
        <f>IF(AND(A208="",D208=""),"",IF(ISNUMBER(SEARCH("##END",AH208)),"（終わりの印）",IF(ISNUMBER(SEARCH("##続き",AH208)),"（続きありの印）",IF(AH208="調査ID","（見出し行）",IF(AND(AH208&lt;&gt;"R1",AH208&lt;&gt;"R2"),"×表以外の行（集計されない）",IF(COUNTIF($AI$5:AI208,AI208)&gt;1,"△重複（集計されない）",IF(D208="","△タスク名なし",IF(ISNA(MATCH(AK208,'M1_類型マスタ'!$A$5:$A$19,0)),"△類型が不正",IF(OR(AM208="",AN208=""),"△回数・分が読めない",IF(SUMPRODUCT(--ISNUMBER(--O208:U208))&lt;7,"△採点が足りない",IF(SUMPRODUCT((--O208:U208&gt;2)+(--O208:U208&lt;0))&gt;0,"△採点が範囲外","OK")))))))))))</f>
        <v/>
      </c>
      <c r="X208">
        <f>IF(W208&lt;&gt;"OK","",TRIM(IF(AND(AO208&lt;&gt;"",N(AO208)&lt;=1),"根拠1件 ","")&amp;IF(AP208&lt;&gt;"","同名あり ","")&amp;IF(AND(NOT(ISNUMBER(I208)),I208&lt;&gt;""),"回数を換算 ","")))</f>
        <v/>
      </c>
      <c r="Y208" s="31" t="n"/>
      <c r="Z208" s="32" t="n"/>
      <c r="AA208" s="32" t="n"/>
      <c r="AB208" s="31" t="n"/>
      <c r="AC208">
        <f>IF(W208&lt;&gt;"OK","",IF(AB208&lt;&gt;"",AB208,AE208))</f>
        <v/>
      </c>
      <c r="AD208" s="33">
        <f>IF(W208&lt;&gt;"OK","",IFERROR(IF(Z208&lt;&gt;"",Z208,AM208)*IF(AA208&lt;&gt;"",AA208,AN208)/60,""))</f>
        <v/>
      </c>
      <c r="AE208">
        <f>IF(W208&lt;&gt;"OK","",IF(OR(VALUE(O208)=2,VALUE(P208)=2,VALUE(Q208)=2),"社内残置",IF(AND(VALUE(O208)=0,VALUE(R208)=0,VALUE(T208)=0),"自動化候補",IF(AND(VALUE(P208)=0,VALUE(R208)&lt;=1,VALUE(S208)&lt;=1,VALUE(T208)&lt;=1,VALUE(U208)&lt;=1),"オフショア候補",IF(AND(VALUE(T208)&lt;=1,VALUE(U208)&lt;=1),"ニアショア候補","社内で手順化→再評価")))))</f>
        <v/>
      </c>
      <c r="AF208">
        <f>IF(W208&lt;&gt;"OK","",14-SUMPRODUCT(--O208:U208))</f>
        <v/>
      </c>
      <c r="AG208" s="33">
        <f>IF(W208&lt;&gt;"OK","",AM208*AN208/60)</f>
        <v/>
      </c>
      <c r="AH208" s="34">
        <f>IF(A208="","",UPPER(TRIM(ASC(A208&amp;""))))</f>
        <v/>
      </c>
      <c r="AI208" s="34">
        <f>IF(AH208="","",AH208&amp;"-"&amp;B208)</f>
        <v/>
      </c>
      <c r="AJ208" s="34">
        <f>IF(C208="","",IFERROR(VALUE(ASC(SUBSTITUTE(C208&amp;"","観点",""))),""))</f>
        <v/>
      </c>
      <c r="AK208" s="34">
        <f>IF(E208="","",UPPER(LEFT(TRIM(ASC(E208&amp;"")),3)))</f>
        <v/>
      </c>
      <c r="AL208" s="34">
        <f>IF(I208="","",IFERROR(VALUE(SUBSTITUTE(SUBSTITUTE(SUBSTITUTE(SUBSTITUTE(SUBSTITUTE(SUBSTITUTE(SUBSTITUTE(SUBSTITUTE(SUBSTITUTE(SUBSTITUTE(SUBSTITUTE(SUBSTITUTE(ASC(I208&amp;""),"約",""),"程度",""),"ほど",""),"回",""),"毎",""),"週",""),"月",""),"年",""),"日",""),"に",""),"/","")," ","")),""))</f>
        <v/>
      </c>
      <c r="AM208" s="34">
        <f>IF(I208="","",IF(ISNUMBER(I208),I208,IFERROR(VALUE(ASC(I208&amp;"")),IF(AL208&lt;&gt;"",AL208*IF(ISNUMBER(SEARCH("週",I208)),4.3,IF(ISNUMBER(SEARCH("年",I208)),1/12,IF(ISNUMBER(SEARCH("日",I208)),20,1))),IF(ISNUMBER(SEARCH("日",I208)),20,IF(ISNUMBER(SEARCH("週",I208)),4.3,IF(ISNUMBER(SEARCH("月",I208)),1,"")))))))</f>
        <v/>
      </c>
      <c r="AN208" s="34">
        <f>IF(J208="","",IF(ISNUMBER(J208),J208,IFERROR(VALUE(ASC(J208&amp;"")),IF(ISNUMBER(SEARCH("時間",J208)),IFERROR(VALUE(SUBSTITUTE(SUBSTITUTE(SUBSTITUTE(SUBSTITUTE(SUBSTITUTE(ASC(J208&amp;""),"約",""),"程度",""),"ほど",""),"時間","")," ",""))*60,""),IFERROR(VALUE(SUBSTITUTE(SUBSTITUTE(SUBSTITUTE(SUBSTITUTE(SUBSTITUTE(ASC(J208&amp;""),"約",""),"程度",""),"ほど",""),"分","")," ","")),"")))))</f>
        <v/>
      </c>
      <c r="AO208" s="34">
        <f>IF(K208="","",IF(ISNUMBER(K208),K208,IFERROR(VALUE(SUBSTITUTE(SUBSTITUTE(SUBSTITUTE(ASC(K208&amp;""),"約",""),"件","")," ","")),"")))</f>
        <v/>
      </c>
      <c r="AP208" s="34">
        <f>IF(W208&lt;&gt;"OK","",IF(COUNTIFS($D$5:$D$404,D208,$W$5:$W$404,"OK")&gt;1,"同名あり",""))</f>
        <v/>
      </c>
      <c r="AQ208" s="35">
        <f>IF(L208="","",IF(ISNUMBER(L208),L208,IFERROR(DATEVALUE(SUBSTITUTE(SUBSTITUTE(ASC(L208&amp;""),"-","/"),".","/")&amp;"/01"),"")))</f>
        <v/>
      </c>
      <c r="AR208" s="35">
        <f>IF(M208="","",IF(ISNUMBER(M208),M208,IFERROR(DATEVALUE(SUBSTITUTE(SUBSTITUTE(ASC(M208&amp;""),"-","/"),".","/")&amp;"/01"),"")))</f>
        <v/>
      </c>
      <c r="AS208" s="34">
        <f>IF(OR(W208&lt;&gt;"OK",AQ208=""),"",IF(AQ208&gt;='01_設定'!$C$26,1,0))</f>
        <v/>
      </c>
      <c r="AT208" s="34">
        <f>IF(AND(W208="OK",Y208&lt;&gt;"除外"),COUNTIFS($W$5:W208,"OK",$Y$5:Y208,"&lt;&gt;除外"),"")</f>
        <v/>
      </c>
      <c r="AU208" s="34">
        <f>IF(OR(AT208="",AD208=""),"",AD208+ROW()/1000000000)</f>
        <v/>
      </c>
    </row>
    <row r="209">
      <c r="W209">
        <f>IF(AND(A209="",D209=""),"",IF(ISNUMBER(SEARCH("##END",AH209)),"（終わりの印）",IF(ISNUMBER(SEARCH("##続き",AH209)),"（続きありの印）",IF(AH209="調査ID","（見出し行）",IF(AND(AH209&lt;&gt;"R1",AH209&lt;&gt;"R2"),"×表以外の行（集計されない）",IF(COUNTIF($AI$5:AI209,AI209)&gt;1,"△重複（集計されない）",IF(D209="","△タスク名なし",IF(ISNA(MATCH(AK209,'M1_類型マスタ'!$A$5:$A$19,0)),"△類型が不正",IF(OR(AM209="",AN209=""),"△回数・分が読めない",IF(SUMPRODUCT(--ISNUMBER(--O209:U209))&lt;7,"△採点が足りない",IF(SUMPRODUCT((--O209:U209&gt;2)+(--O209:U209&lt;0))&gt;0,"△採点が範囲外","OK")))))))))))</f>
        <v/>
      </c>
      <c r="X209">
        <f>IF(W209&lt;&gt;"OK","",TRIM(IF(AND(AO209&lt;&gt;"",N(AO209)&lt;=1),"根拠1件 ","")&amp;IF(AP209&lt;&gt;"","同名あり ","")&amp;IF(AND(NOT(ISNUMBER(I209)),I209&lt;&gt;""),"回数を換算 ","")))</f>
        <v/>
      </c>
      <c r="Y209" s="31" t="n"/>
      <c r="Z209" s="32" t="n"/>
      <c r="AA209" s="32" t="n"/>
      <c r="AB209" s="31" t="n"/>
      <c r="AC209">
        <f>IF(W209&lt;&gt;"OK","",IF(AB209&lt;&gt;"",AB209,AE209))</f>
        <v/>
      </c>
      <c r="AD209" s="33">
        <f>IF(W209&lt;&gt;"OK","",IFERROR(IF(Z209&lt;&gt;"",Z209,AM209)*IF(AA209&lt;&gt;"",AA209,AN209)/60,""))</f>
        <v/>
      </c>
      <c r="AE209">
        <f>IF(W209&lt;&gt;"OK","",IF(OR(VALUE(O209)=2,VALUE(P209)=2,VALUE(Q209)=2),"社内残置",IF(AND(VALUE(O209)=0,VALUE(R209)=0,VALUE(T209)=0),"自動化候補",IF(AND(VALUE(P209)=0,VALUE(R209)&lt;=1,VALUE(S209)&lt;=1,VALUE(T209)&lt;=1,VALUE(U209)&lt;=1),"オフショア候補",IF(AND(VALUE(T209)&lt;=1,VALUE(U209)&lt;=1),"ニアショア候補","社内で手順化→再評価")))))</f>
        <v/>
      </c>
      <c r="AF209">
        <f>IF(W209&lt;&gt;"OK","",14-SUMPRODUCT(--O209:U209))</f>
        <v/>
      </c>
      <c r="AG209" s="33">
        <f>IF(W209&lt;&gt;"OK","",AM209*AN209/60)</f>
        <v/>
      </c>
      <c r="AH209" s="34">
        <f>IF(A209="","",UPPER(TRIM(ASC(A209&amp;""))))</f>
        <v/>
      </c>
      <c r="AI209" s="34">
        <f>IF(AH209="","",AH209&amp;"-"&amp;B209)</f>
        <v/>
      </c>
      <c r="AJ209" s="34">
        <f>IF(C209="","",IFERROR(VALUE(ASC(SUBSTITUTE(C209&amp;"","観点",""))),""))</f>
        <v/>
      </c>
      <c r="AK209" s="34">
        <f>IF(E209="","",UPPER(LEFT(TRIM(ASC(E209&amp;"")),3)))</f>
        <v/>
      </c>
      <c r="AL209" s="34">
        <f>IF(I209="","",IFERROR(VALUE(SUBSTITUTE(SUBSTITUTE(SUBSTITUTE(SUBSTITUTE(SUBSTITUTE(SUBSTITUTE(SUBSTITUTE(SUBSTITUTE(SUBSTITUTE(SUBSTITUTE(SUBSTITUTE(SUBSTITUTE(ASC(I209&amp;""),"約",""),"程度",""),"ほど",""),"回",""),"毎",""),"週",""),"月",""),"年",""),"日",""),"に",""),"/","")," ","")),""))</f>
        <v/>
      </c>
      <c r="AM209" s="34">
        <f>IF(I209="","",IF(ISNUMBER(I209),I209,IFERROR(VALUE(ASC(I209&amp;"")),IF(AL209&lt;&gt;"",AL209*IF(ISNUMBER(SEARCH("週",I209)),4.3,IF(ISNUMBER(SEARCH("年",I209)),1/12,IF(ISNUMBER(SEARCH("日",I209)),20,1))),IF(ISNUMBER(SEARCH("日",I209)),20,IF(ISNUMBER(SEARCH("週",I209)),4.3,IF(ISNUMBER(SEARCH("月",I209)),1,"")))))))</f>
        <v/>
      </c>
      <c r="AN209" s="34">
        <f>IF(J209="","",IF(ISNUMBER(J209),J209,IFERROR(VALUE(ASC(J209&amp;"")),IF(ISNUMBER(SEARCH("時間",J209)),IFERROR(VALUE(SUBSTITUTE(SUBSTITUTE(SUBSTITUTE(SUBSTITUTE(SUBSTITUTE(ASC(J209&amp;""),"約",""),"程度",""),"ほど",""),"時間","")," ",""))*60,""),IFERROR(VALUE(SUBSTITUTE(SUBSTITUTE(SUBSTITUTE(SUBSTITUTE(SUBSTITUTE(ASC(J209&amp;""),"約",""),"程度",""),"ほど",""),"分","")," ","")),"")))))</f>
        <v/>
      </c>
      <c r="AO209" s="34">
        <f>IF(K209="","",IF(ISNUMBER(K209),K209,IFERROR(VALUE(SUBSTITUTE(SUBSTITUTE(SUBSTITUTE(ASC(K209&amp;""),"約",""),"件","")," ","")),"")))</f>
        <v/>
      </c>
      <c r="AP209" s="34">
        <f>IF(W209&lt;&gt;"OK","",IF(COUNTIFS($D$5:$D$404,D209,$W$5:$W$404,"OK")&gt;1,"同名あり",""))</f>
        <v/>
      </c>
      <c r="AQ209" s="35">
        <f>IF(L209="","",IF(ISNUMBER(L209),L209,IFERROR(DATEVALUE(SUBSTITUTE(SUBSTITUTE(ASC(L209&amp;""),"-","/"),".","/")&amp;"/01"),"")))</f>
        <v/>
      </c>
      <c r="AR209" s="35">
        <f>IF(M209="","",IF(ISNUMBER(M209),M209,IFERROR(DATEVALUE(SUBSTITUTE(SUBSTITUTE(ASC(M209&amp;""),"-","/"),".","/")&amp;"/01"),"")))</f>
        <v/>
      </c>
      <c r="AS209" s="34">
        <f>IF(OR(W209&lt;&gt;"OK",AQ209=""),"",IF(AQ209&gt;='01_設定'!$C$26,1,0))</f>
        <v/>
      </c>
      <c r="AT209" s="34">
        <f>IF(AND(W209="OK",Y209&lt;&gt;"除外"),COUNTIFS($W$5:W209,"OK",$Y$5:Y209,"&lt;&gt;除外"),"")</f>
        <v/>
      </c>
      <c r="AU209" s="34">
        <f>IF(OR(AT209="",AD209=""),"",AD209+ROW()/1000000000)</f>
        <v/>
      </c>
    </row>
    <row r="210">
      <c r="W210">
        <f>IF(AND(A210="",D210=""),"",IF(ISNUMBER(SEARCH("##END",AH210)),"（終わりの印）",IF(ISNUMBER(SEARCH("##続き",AH210)),"（続きありの印）",IF(AH210="調査ID","（見出し行）",IF(AND(AH210&lt;&gt;"R1",AH210&lt;&gt;"R2"),"×表以外の行（集計されない）",IF(COUNTIF($AI$5:AI210,AI210)&gt;1,"△重複（集計されない）",IF(D210="","△タスク名なし",IF(ISNA(MATCH(AK210,'M1_類型マスタ'!$A$5:$A$19,0)),"△類型が不正",IF(OR(AM210="",AN210=""),"△回数・分が読めない",IF(SUMPRODUCT(--ISNUMBER(--O210:U210))&lt;7,"△採点が足りない",IF(SUMPRODUCT((--O210:U210&gt;2)+(--O210:U210&lt;0))&gt;0,"△採点が範囲外","OK")))))))))))</f>
        <v/>
      </c>
      <c r="X210">
        <f>IF(W210&lt;&gt;"OK","",TRIM(IF(AND(AO210&lt;&gt;"",N(AO210)&lt;=1),"根拠1件 ","")&amp;IF(AP210&lt;&gt;"","同名あり ","")&amp;IF(AND(NOT(ISNUMBER(I210)),I210&lt;&gt;""),"回数を換算 ","")))</f>
        <v/>
      </c>
      <c r="Y210" s="31" t="n"/>
      <c r="Z210" s="32" t="n"/>
      <c r="AA210" s="32" t="n"/>
      <c r="AB210" s="31" t="n"/>
      <c r="AC210">
        <f>IF(W210&lt;&gt;"OK","",IF(AB210&lt;&gt;"",AB210,AE210))</f>
        <v/>
      </c>
      <c r="AD210" s="33">
        <f>IF(W210&lt;&gt;"OK","",IFERROR(IF(Z210&lt;&gt;"",Z210,AM210)*IF(AA210&lt;&gt;"",AA210,AN210)/60,""))</f>
        <v/>
      </c>
      <c r="AE210">
        <f>IF(W210&lt;&gt;"OK","",IF(OR(VALUE(O210)=2,VALUE(P210)=2,VALUE(Q210)=2),"社内残置",IF(AND(VALUE(O210)=0,VALUE(R210)=0,VALUE(T210)=0),"自動化候補",IF(AND(VALUE(P210)=0,VALUE(R210)&lt;=1,VALUE(S210)&lt;=1,VALUE(T210)&lt;=1,VALUE(U210)&lt;=1),"オフショア候補",IF(AND(VALUE(T210)&lt;=1,VALUE(U210)&lt;=1),"ニアショア候補","社内で手順化→再評価")))))</f>
        <v/>
      </c>
      <c r="AF210">
        <f>IF(W210&lt;&gt;"OK","",14-SUMPRODUCT(--O210:U210))</f>
        <v/>
      </c>
      <c r="AG210" s="33">
        <f>IF(W210&lt;&gt;"OK","",AM210*AN210/60)</f>
        <v/>
      </c>
      <c r="AH210" s="34">
        <f>IF(A210="","",UPPER(TRIM(ASC(A210&amp;""))))</f>
        <v/>
      </c>
      <c r="AI210" s="34">
        <f>IF(AH210="","",AH210&amp;"-"&amp;B210)</f>
        <v/>
      </c>
      <c r="AJ210" s="34">
        <f>IF(C210="","",IFERROR(VALUE(ASC(SUBSTITUTE(C210&amp;"","観点",""))),""))</f>
        <v/>
      </c>
      <c r="AK210" s="34">
        <f>IF(E210="","",UPPER(LEFT(TRIM(ASC(E210&amp;"")),3)))</f>
        <v/>
      </c>
      <c r="AL210" s="34">
        <f>IF(I210="","",IFERROR(VALUE(SUBSTITUTE(SUBSTITUTE(SUBSTITUTE(SUBSTITUTE(SUBSTITUTE(SUBSTITUTE(SUBSTITUTE(SUBSTITUTE(SUBSTITUTE(SUBSTITUTE(SUBSTITUTE(SUBSTITUTE(ASC(I210&amp;""),"約",""),"程度",""),"ほど",""),"回",""),"毎",""),"週",""),"月",""),"年",""),"日",""),"に",""),"/","")," ","")),""))</f>
        <v/>
      </c>
      <c r="AM210" s="34">
        <f>IF(I210="","",IF(ISNUMBER(I210),I210,IFERROR(VALUE(ASC(I210&amp;"")),IF(AL210&lt;&gt;"",AL210*IF(ISNUMBER(SEARCH("週",I210)),4.3,IF(ISNUMBER(SEARCH("年",I210)),1/12,IF(ISNUMBER(SEARCH("日",I210)),20,1))),IF(ISNUMBER(SEARCH("日",I210)),20,IF(ISNUMBER(SEARCH("週",I210)),4.3,IF(ISNUMBER(SEARCH("月",I210)),1,"")))))))</f>
        <v/>
      </c>
      <c r="AN210" s="34">
        <f>IF(J210="","",IF(ISNUMBER(J210),J210,IFERROR(VALUE(ASC(J210&amp;"")),IF(ISNUMBER(SEARCH("時間",J210)),IFERROR(VALUE(SUBSTITUTE(SUBSTITUTE(SUBSTITUTE(SUBSTITUTE(SUBSTITUTE(ASC(J210&amp;""),"約",""),"程度",""),"ほど",""),"時間","")," ",""))*60,""),IFERROR(VALUE(SUBSTITUTE(SUBSTITUTE(SUBSTITUTE(SUBSTITUTE(SUBSTITUTE(ASC(J210&amp;""),"約",""),"程度",""),"ほど",""),"分","")," ","")),"")))))</f>
        <v/>
      </c>
      <c r="AO210" s="34">
        <f>IF(K210="","",IF(ISNUMBER(K210),K210,IFERROR(VALUE(SUBSTITUTE(SUBSTITUTE(SUBSTITUTE(ASC(K210&amp;""),"約",""),"件","")," ","")),"")))</f>
        <v/>
      </c>
      <c r="AP210" s="34">
        <f>IF(W210&lt;&gt;"OK","",IF(COUNTIFS($D$5:$D$404,D210,$W$5:$W$404,"OK")&gt;1,"同名あり",""))</f>
        <v/>
      </c>
      <c r="AQ210" s="35">
        <f>IF(L210="","",IF(ISNUMBER(L210),L210,IFERROR(DATEVALUE(SUBSTITUTE(SUBSTITUTE(ASC(L210&amp;""),"-","/"),".","/")&amp;"/01"),"")))</f>
        <v/>
      </c>
      <c r="AR210" s="35">
        <f>IF(M210="","",IF(ISNUMBER(M210),M210,IFERROR(DATEVALUE(SUBSTITUTE(SUBSTITUTE(ASC(M210&amp;""),"-","/"),".","/")&amp;"/01"),"")))</f>
        <v/>
      </c>
      <c r="AS210" s="34">
        <f>IF(OR(W210&lt;&gt;"OK",AQ210=""),"",IF(AQ210&gt;='01_設定'!$C$26,1,0))</f>
        <v/>
      </c>
      <c r="AT210" s="34">
        <f>IF(AND(W210="OK",Y210&lt;&gt;"除外"),COUNTIFS($W$5:W210,"OK",$Y$5:Y210,"&lt;&gt;除外"),"")</f>
        <v/>
      </c>
      <c r="AU210" s="34">
        <f>IF(OR(AT210="",AD210=""),"",AD210+ROW()/1000000000)</f>
        <v/>
      </c>
    </row>
    <row r="211">
      <c r="W211">
        <f>IF(AND(A211="",D211=""),"",IF(ISNUMBER(SEARCH("##END",AH211)),"（終わりの印）",IF(ISNUMBER(SEARCH("##続き",AH211)),"（続きありの印）",IF(AH211="調査ID","（見出し行）",IF(AND(AH211&lt;&gt;"R1",AH211&lt;&gt;"R2"),"×表以外の行（集計されない）",IF(COUNTIF($AI$5:AI211,AI211)&gt;1,"△重複（集計されない）",IF(D211="","△タスク名なし",IF(ISNA(MATCH(AK211,'M1_類型マスタ'!$A$5:$A$19,0)),"△類型が不正",IF(OR(AM211="",AN211=""),"△回数・分が読めない",IF(SUMPRODUCT(--ISNUMBER(--O211:U211))&lt;7,"△採点が足りない",IF(SUMPRODUCT((--O211:U211&gt;2)+(--O211:U211&lt;0))&gt;0,"△採点が範囲外","OK")))))))))))</f>
        <v/>
      </c>
      <c r="X211">
        <f>IF(W211&lt;&gt;"OK","",TRIM(IF(AND(AO211&lt;&gt;"",N(AO211)&lt;=1),"根拠1件 ","")&amp;IF(AP211&lt;&gt;"","同名あり ","")&amp;IF(AND(NOT(ISNUMBER(I211)),I211&lt;&gt;""),"回数を換算 ","")))</f>
        <v/>
      </c>
      <c r="Y211" s="31" t="n"/>
      <c r="Z211" s="32" t="n"/>
      <c r="AA211" s="32" t="n"/>
      <c r="AB211" s="31" t="n"/>
      <c r="AC211">
        <f>IF(W211&lt;&gt;"OK","",IF(AB211&lt;&gt;"",AB211,AE211))</f>
        <v/>
      </c>
      <c r="AD211" s="33">
        <f>IF(W211&lt;&gt;"OK","",IFERROR(IF(Z211&lt;&gt;"",Z211,AM211)*IF(AA211&lt;&gt;"",AA211,AN211)/60,""))</f>
        <v/>
      </c>
      <c r="AE211">
        <f>IF(W211&lt;&gt;"OK","",IF(OR(VALUE(O211)=2,VALUE(P211)=2,VALUE(Q211)=2),"社内残置",IF(AND(VALUE(O211)=0,VALUE(R211)=0,VALUE(T211)=0),"自動化候補",IF(AND(VALUE(P211)=0,VALUE(R211)&lt;=1,VALUE(S211)&lt;=1,VALUE(T211)&lt;=1,VALUE(U211)&lt;=1),"オフショア候補",IF(AND(VALUE(T211)&lt;=1,VALUE(U211)&lt;=1),"ニアショア候補","社内で手順化→再評価")))))</f>
        <v/>
      </c>
      <c r="AF211">
        <f>IF(W211&lt;&gt;"OK","",14-SUMPRODUCT(--O211:U211))</f>
        <v/>
      </c>
      <c r="AG211" s="33">
        <f>IF(W211&lt;&gt;"OK","",AM211*AN211/60)</f>
        <v/>
      </c>
      <c r="AH211" s="34">
        <f>IF(A211="","",UPPER(TRIM(ASC(A211&amp;""))))</f>
        <v/>
      </c>
      <c r="AI211" s="34">
        <f>IF(AH211="","",AH211&amp;"-"&amp;B211)</f>
        <v/>
      </c>
      <c r="AJ211" s="34">
        <f>IF(C211="","",IFERROR(VALUE(ASC(SUBSTITUTE(C211&amp;"","観点",""))),""))</f>
        <v/>
      </c>
      <c r="AK211" s="34">
        <f>IF(E211="","",UPPER(LEFT(TRIM(ASC(E211&amp;"")),3)))</f>
        <v/>
      </c>
      <c r="AL211" s="34">
        <f>IF(I211="","",IFERROR(VALUE(SUBSTITUTE(SUBSTITUTE(SUBSTITUTE(SUBSTITUTE(SUBSTITUTE(SUBSTITUTE(SUBSTITUTE(SUBSTITUTE(SUBSTITUTE(SUBSTITUTE(SUBSTITUTE(SUBSTITUTE(ASC(I211&amp;""),"約",""),"程度",""),"ほど",""),"回",""),"毎",""),"週",""),"月",""),"年",""),"日",""),"に",""),"/","")," ","")),""))</f>
        <v/>
      </c>
      <c r="AM211" s="34">
        <f>IF(I211="","",IF(ISNUMBER(I211),I211,IFERROR(VALUE(ASC(I211&amp;"")),IF(AL211&lt;&gt;"",AL211*IF(ISNUMBER(SEARCH("週",I211)),4.3,IF(ISNUMBER(SEARCH("年",I211)),1/12,IF(ISNUMBER(SEARCH("日",I211)),20,1))),IF(ISNUMBER(SEARCH("日",I211)),20,IF(ISNUMBER(SEARCH("週",I211)),4.3,IF(ISNUMBER(SEARCH("月",I211)),1,"")))))))</f>
        <v/>
      </c>
      <c r="AN211" s="34">
        <f>IF(J211="","",IF(ISNUMBER(J211),J211,IFERROR(VALUE(ASC(J211&amp;"")),IF(ISNUMBER(SEARCH("時間",J211)),IFERROR(VALUE(SUBSTITUTE(SUBSTITUTE(SUBSTITUTE(SUBSTITUTE(SUBSTITUTE(ASC(J211&amp;""),"約",""),"程度",""),"ほど",""),"時間","")," ",""))*60,""),IFERROR(VALUE(SUBSTITUTE(SUBSTITUTE(SUBSTITUTE(SUBSTITUTE(SUBSTITUTE(ASC(J211&amp;""),"約",""),"程度",""),"ほど",""),"分","")," ","")),"")))))</f>
        <v/>
      </c>
      <c r="AO211" s="34">
        <f>IF(K211="","",IF(ISNUMBER(K211),K211,IFERROR(VALUE(SUBSTITUTE(SUBSTITUTE(SUBSTITUTE(ASC(K211&amp;""),"約",""),"件","")," ","")),"")))</f>
        <v/>
      </c>
      <c r="AP211" s="34">
        <f>IF(W211&lt;&gt;"OK","",IF(COUNTIFS($D$5:$D$404,D211,$W$5:$W$404,"OK")&gt;1,"同名あり",""))</f>
        <v/>
      </c>
      <c r="AQ211" s="35">
        <f>IF(L211="","",IF(ISNUMBER(L211),L211,IFERROR(DATEVALUE(SUBSTITUTE(SUBSTITUTE(ASC(L211&amp;""),"-","/"),".","/")&amp;"/01"),"")))</f>
        <v/>
      </c>
      <c r="AR211" s="35">
        <f>IF(M211="","",IF(ISNUMBER(M211),M211,IFERROR(DATEVALUE(SUBSTITUTE(SUBSTITUTE(ASC(M211&amp;""),"-","/"),".","/")&amp;"/01"),"")))</f>
        <v/>
      </c>
      <c r="AS211" s="34">
        <f>IF(OR(W211&lt;&gt;"OK",AQ211=""),"",IF(AQ211&gt;='01_設定'!$C$26,1,0))</f>
        <v/>
      </c>
      <c r="AT211" s="34">
        <f>IF(AND(W211="OK",Y211&lt;&gt;"除外"),COUNTIFS($W$5:W211,"OK",$Y$5:Y211,"&lt;&gt;除外"),"")</f>
        <v/>
      </c>
      <c r="AU211" s="34">
        <f>IF(OR(AT211="",AD211=""),"",AD211+ROW()/1000000000)</f>
        <v/>
      </c>
    </row>
    <row r="212">
      <c r="W212">
        <f>IF(AND(A212="",D212=""),"",IF(ISNUMBER(SEARCH("##END",AH212)),"（終わりの印）",IF(ISNUMBER(SEARCH("##続き",AH212)),"（続きありの印）",IF(AH212="調査ID","（見出し行）",IF(AND(AH212&lt;&gt;"R1",AH212&lt;&gt;"R2"),"×表以外の行（集計されない）",IF(COUNTIF($AI$5:AI212,AI212)&gt;1,"△重複（集計されない）",IF(D212="","△タスク名なし",IF(ISNA(MATCH(AK212,'M1_類型マスタ'!$A$5:$A$19,0)),"△類型が不正",IF(OR(AM212="",AN212=""),"△回数・分が読めない",IF(SUMPRODUCT(--ISNUMBER(--O212:U212))&lt;7,"△採点が足りない",IF(SUMPRODUCT((--O212:U212&gt;2)+(--O212:U212&lt;0))&gt;0,"△採点が範囲外","OK")))))))))))</f>
        <v/>
      </c>
      <c r="X212">
        <f>IF(W212&lt;&gt;"OK","",TRIM(IF(AND(AO212&lt;&gt;"",N(AO212)&lt;=1),"根拠1件 ","")&amp;IF(AP212&lt;&gt;"","同名あり ","")&amp;IF(AND(NOT(ISNUMBER(I212)),I212&lt;&gt;""),"回数を換算 ","")))</f>
        <v/>
      </c>
      <c r="Y212" s="31" t="n"/>
      <c r="Z212" s="32" t="n"/>
      <c r="AA212" s="32" t="n"/>
      <c r="AB212" s="31" t="n"/>
      <c r="AC212">
        <f>IF(W212&lt;&gt;"OK","",IF(AB212&lt;&gt;"",AB212,AE212))</f>
        <v/>
      </c>
      <c r="AD212" s="33">
        <f>IF(W212&lt;&gt;"OK","",IFERROR(IF(Z212&lt;&gt;"",Z212,AM212)*IF(AA212&lt;&gt;"",AA212,AN212)/60,""))</f>
        <v/>
      </c>
      <c r="AE212">
        <f>IF(W212&lt;&gt;"OK","",IF(OR(VALUE(O212)=2,VALUE(P212)=2,VALUE(Q212)=2),"社内残置",IF(AND(VALUE(O212)=0,VALUE(R212)=0,VALUE(T212)=0),"自動化候補",IF(AND(VALUE(P212)=0,VALUE(R212)&lt;=1,VALUE(S212)&lt;=1,VALUE(T212)&lt;=1,VALUE(U212)&lt;=1),"オフショア候補",IF(AND(VALUE(T212)&lt;=1,VALUE(U212)&lt;=1),"ニアショア候補","社内で手順化→再評価")))))</f>
        <v/>
      </c>
      <c r="AF212">
        <f>IF(W212&lt;&gt;"OK","",14-SUMPRODUCT(--O212:U212))</f>
        <v/>
      </c>
      <c r="AG212" s="33">
        <f>IF(W212&lt;&gt;"OK","",AM212*AN212/60)</f>
        <v/>
      </c>
      <c r="AH212" s="34">
        <f>IF(A212="","",UPPER(TRIM(ASC(A212&amp;""))))</f>
        <v/>
      </c>
      <c r="AI212" s="34">
        <f>IF(AH212="","",AH212&amp;"-"&amp;B212)</f>
        <v/>
      </c>
      <c r="AJ212" s="34">
        <f>IF(C212="","",IFERROR(VALUE(ASC(SUBSTITUTE(C212&amp;"","観点",""))),""))</f>
        <v/>
      </c>
      <c r="AK212" s="34">
        <f>IF(E212="","",UPPER(LEFT(TRIM(ASC(E212&amp;"")),3)))</f>
        <v/>
      </c>
      <c r="AL212" s="34">
        <f>IF(I212="","",IFERROR(VALUE(SUBSTITUTE(SUBSTITUTE(SUBSTITUTE(SUBSTITUTE(SUBSTITUTE(SUBSTITUTE(SUBSTITUTE(SUBSTITUTE(SUBSTITUTE(SUBSTITUTE(SUBSTITUTE(SUBSTITUTE(ASC(I212&amp;""),"約",""),"程度",""),"ほど",""),"回",""),"毎",""),"週",""),"月",""),"年",""),"日",""),"に",""),"/","")," ","")),""))</f>
        <v/>
      </c>
      <c r="AM212" s="34">
        <f>IF(I212="","",IF(ISNUMBER(I212),I212,IFERROR(VALUE(ASC(I212&amp;"")),IF(AL212&lt;&gt;"",AL212*IF(ISNUMBER(SEARCH("週",I212)),4.3,IF(ISNUMBER(SEARCH("年",I212)),1/12,IF(ISNUMBER(SEARCH("日",I212)),20,1))),IF(ISNUMBER(SEARCH("日",I212)),20,IF(ISNUMBER(SEARCH("週",I212)),4.3,IF(ISNUMBER(SEARCH("月",I212)),1,"")))))))</f>
        <v/>
      </c>
      <c r="AN212" s="34">
        <f>IF(J212="","",IF(ISNUMBER(J212),J212,IFERROR(VALUE(ASC(J212&amp;"")),IF(ISNUMBER(SEARCH("時間",J212)),IFERROR(VALUE(SUBSTITUTE(SUBSTITUTE(SUBSTITUTE(SUBSTITUTE(SUBSTITUTE(ASC(J212&amp;""),"約",""),"程度",""),"ほど",""),"時間","")," ",""))*60,""),IFERROR(VALUE(SUBSTITUTE(SUBSTITUTE(SUBSTITUTE(SUBSTITUTE(SUBSTITUTE(ASC(J212&amp;""),"約",""),"程度",""),"ほど",""),"分","")," ","")),"")))))</f>
        <v/>
      </c>
      <c r="AO212" s="34">
        <f>IF(K212="","",IF(ISNUMBER(K212),K212,IFERROR(VALUE(SUBSTITUTE(SUBSTITUTE(SUBSTITUTE(ASC(K212&amp;""),"約",""),"件","")," ","")),"")))</f>
        <v/>
      </c>
      <c r="AP212" s="34">
        <f>IF(W212&lt;&gt;"OK","",IF(COUNTIFS($D$5:$D$404,D212,$W$5:$W$404,"OK")&gt;1,"同名あり",""))</f>
        <v/>
      </c>
      <c r="AQ212" s="35">
        <f>IF(L212="","",IF(ISNUMBER(L212),L212,IFERROR(DATEVALUE(SUBSTITUTE(SUBSTITUTE(ASC(L212&amp;""),"-","/"),".","/")&amp;"/01"),"")))</f>
        <v/>
      </c>
      <c r="AR212" s="35">
        <f>IF(M212="","",IF(ISNUMBER(M212),M212,IFERROR(DATEVALUE(SUBSTITUTE(SUBSTITUTE(ASC(M212&amp;""),"-","/"),".","/")&amp;"/01"),"")))</f>
        <v/>
      </c>
      <c r="AS212" s="34">
        <f>IF(OR(W212&lt;&gt;"OK",AQ212=""),"",IF(AQ212&gt;='01_設定'!$C$26,1,0))</f>
        <v/>
      </c>
      <c r="AT212" s="34">
        <f>IF(AND(W212="OK",Y212&lt;&gt;"除外"),COUNTIFS($W$5:W212,"OK",$Y$5:Y212,"&lt;&gt;除外"),"")</f>
        <v/>
      </c>
      <c r="AU212" s="34">
        <f>IF(OR(AT212="",AD212=""),"",AD212+ROW()/1000000000)</f>
        <v/>
      </c>
    </row>
    <row r="213">
      <c r="W213">
        <f>IF(AND(A213="",D213=""),"",IF(ISNUMBER(SEARCH("##END",AH213)),"（終わりの印）",IF(ISNUMBER(SEARCH("##続き",AH213)),"（続きありの印）",IF(AH213="調査ID","（見出し行）",IF(AND(AH213&lt;&gt;"R1",AH213&lt;&gt;"R2"),"×表以外の行（集計されない）",IF(COUNTIF($AI$5:AI213,AI213)&gt;1,"△重複（集計されない）",IF(D213="","△タスク名なし",IF(ISNA(MATCH(AK213,'M1_類型マスタ'!$A$5:$A$19,0)),"△類型が不正",IF(OR(AM213="",AN213=""),"△回数・分が読めない",IF(SUMPRODUCT(--ISNUMBER(--O213:U213))&lt;7,"△採点が足りない",IF(SUMPRODUCT((--O213:U213&gt;2)+(--O213:U213&lt;0))&gt;0,"△採点が範囲外","OK")))))))))))</f>
        <v/>
      </c>
      <c r="X213">
        <f>IF(W213&lt;&gt;"OK","",TRIM(IF(AND(AO213&lt;&gt;"",N(AO213)&lt;=1),"根拠1件 ","")&amp;IF(AP213&lt;&gt;"","同名あり ","")&amp;IF(AND(NOT(ISNUMBER(I213)),I213&lt;&gt;""),"回数を換算 ","")))</f>
        <v/>
      </c>
      <c r="Y213" s="31" t="n"/>
      <c r="Z213" s="32" t="n"/>
      <c r="AA213" s="32" t="n"/>
      <c r="AB213" s="31" t="n"/>
      <c r="AC213">
        <f>IF(W213&lt;&gt;"OK","",IF(AB213&lt;&gt;"",AB213,AE213))</f>
        <v/>
      </c>
      <c r="AD213" s="33">
        <f>IF(W213&lt;&gt;"OK","",IFERROR(IF(Z213&lt;&gt;"",Z213,AM213)*IF(AA213&lt;&gt;"",AA213,AN213)/60,""))</f>
        <v/>
      </c>
      <c r="AE213">
        <f>IF(W213&lt;&gt;"OK","",IF(OR(VALUE(O213)=2,VALUE(P213)=2,VALUE(Q213)=2),"社内残置",IF(AND(VALUE(O213)=0,VALUE(R213)=0,VALUE(T213)=0),"自動化候補",IF(AND(VALUE(P213)=0,VALUE(R213)&lt;=1,VALUE(S213)&lt;=1,VALUE(T213)&lt;=1,VALUE(U213)&lt;=1),"オフショア候補",IF(AND(VALUE(T213)&lt;=1,VALUE(U213)&lt;=1),"ニアショア候補","社内で手順化→再評価")))))</f>
        <v/>
      </c>
      <c r="AF213">
        <f>IF(W213&lt;&gt;"OK","",14-SUMPRODUCT(--O213:U213))</f>
        <v/>
      </c>
      <c r="AG213" s="33">
        <f>IF(W213&lt;&gt;"OK","",AM213*AN213/60)</f>
        <v/>
      </c>
      <c r="AH213" s="34">
        <f>IF(A213="","",UPPER(TRIM(ASC(A213&amp;""))))</f>
        <v/>
      </c>
      <c r="AI213" s="34">
        <f>IF(AH213="","",AH213&amp;"-"&amp;B213)</f>
        <v/>
      </c>
      <c r="AJ213" s="34">
        <f>IF(C213="","",IFERROR(VALUE(ASC(SUBSTITUTE(C213&amp;"","観点",""))),""))</f>
        <v/>
      </c>
      <c r="AK213" s="34">
        <f>IF(E213="","",UPPER(LEFT(TRIM(ASC(E213&amp;"")),3)))</f>
        <v/>
      </c>
      <c r="AL213" s="34">
        <f>IF(I213="","",IFERROR(VALUE(SUBSTITUTE(SUBSTITUTE(SUBSTITUTE(SUBSTITUTE(SUBSTITUTE(SUBSTITUTE(SUBSTITUTE(SUBSTITUTE(SUBSTITUTE(SUBSTITUTE(SUBSTITUTE(SUBSTITUTE(ASC(I213&amp;""),"約",""),"程度",""),"ほど",""),"回",""),"毎",""),"週",""),"月",""),"年",""),"日",""),"に",""),"/","")," ","")),""))</f>
        <v/>
      </c>
      <c r="AM213" s="34">
        <f>IF(I213="","",IF(ISNUMBER(I213),I213,IFERROR(VALUE(ASC(I213&amp;"")),IF(AL213&lt;&gt;"",AL213*IF(ISNUMBER(SEARCH("週",I213)),4.3,IF(ISNUMBER(SEARCH("年",I213)),1/12,IF(ISNUMBER(SEARCH("日",I213)),20,1))),IF(ISNUMBER(SEARCH("日",I213)),20,IF(ISNUMBER(SEARCH("週",I213)),4.3,IF(ISNUMBER(SEARCH("月",I213)),1,"")))))))</f>
        <v/>
      </c>
      <c r="AN213" s="34">
        <f>IF(J213="","",IF(ISNUMBER(J213),J213,IFERROR(VALUE(ASC(J213&amp;"")),IF(ISNUMBER(SEARCH("時間",J213)),IFERROR(VALUE(SUBSTITUTE(SUBSTITUTE(SUBSTITUTE(SUBSTITUTE(SUBSTITUTE(ASC(J213&amp;""),"約",""),"程度",""),"ほど",""),"時間","")," ",""))*60,""),IFERROR(VALUE(SUBSTITUTE(SUBSTITUTE(SUBSTITUTE(SUBSTITUTE(SUBSTITUTE(ASC(J213&amp;""),"約",""),"程度",""),"ほど",""),"分","")," ","")),"")))))</f>
        <v/>
      </c>
      <c r="AO213" s="34">
        <f>IF(K213="","",IF(ISNUMBER(K213),K213,IFERROR(VALUE(SUBSTITUTE(SUBSTITUTE(SUBSTITUTE(ASC(K213&amp;""),"約",""),"件","")," ","")),"")))</f>
        <v/>
      </c>
      <c r="AP213" s="34">
        <f>IF(W213&lt;&gt;"OK","",IF(COUNTIFS($D$5:$D$404,D213,$W$5:$W$404,"OK")&gt;1,"同名あり",""))</f>
        <v/>
      </c>
      <c r="AQ213" s="35">
        <f>IF(L213="","",IF(ISNUMBER(L213),L213,IFERROR(DATEVALUE(SUBSTITUTE(SUBSTITUTE(ASC(L213&amp;""),"-","/"),".","/")&amp;"/01"),"")))</f>
        <v/>
      </c>
      <c r="AR213" s="35">
        <f>IF(M213="","",IF(ISNUMBER(M213),M213,IFERROR(DATEVALUE(SUBSTITUTE(SUBSTITUTE(ASC(M213&amp;""),"-","/"),".","/")&amp;"/01"),"")))</f>
        <v/>
      </c>
      <c r="AS213" s="34">
        <f>IF(OR(W213&lt;&gt;"OK",AQ213=""),"",IF(AQ213&gt;='01_設定'!$C$26,1,0))</f>
        <v/>
      </c>
      <c r="AT213" s="34">
        <f>IF(AND(W213="OK",Y213&lt;&gt;"除外"),COUNTIFS($W$5:W213,"OK",$Y$5:Y213,"&lt;&gt;除外"),"")</f>
        <v/>
      </c>
      <c r="AU213" s="34">
        <f>IF(OR(AT213="",AD213=""),"",AD213+ROW()/1000000000)</f>
        <v/>
      </c>
    </row>
    <row r="214">
      <c r="W214">
        <f>IF(AND(A214="",D214=""),"",IF(ISNUMBER(SEARCH("##END",AH214)),"（終わりの印）",IF(ISNUMBER(SEARCH("##続き",AH214)),"（続きありの印）",IF(AH214="調査ID","（見出し行）",IF(AND(AH214&lt;&gt;"R1",AH214&lt;&gt;"R2"),"×表以外の行（集計されない）",IF(COUNTIF($AI$5:AI214,AI214)&gt;1,"△重複（集計されない）",IF(D214="","△タスク名なし",IF(ISNA(MATCH(AK214,'M1_類型マスタ'!$A$5:$A$19,0)),"△類型が不正",IF(OR(AM214="",AN214=""),"△回数・分が読めない",IF(SUMPRODUCT(--ISNUMBER(--O214:U214))&lt;7,"△採点が足りない",IF(SUMPRODUCT((--O214:U214&gt;2)+(--O214:U214&lt;0))&gt;0,"△採点が範囲外","OK")))))))))))</f>
        <v/>
      </c>
      <c r="X214">
        <f>IF(W214&lt;&gt;"OK","",TRIM(IF(AND(AO214&lt;&gt;"",N(AO214)&lt;=1),"根拠1件 ","")&amp;IF(AP214&lt;&gt;"","同名あり ","")&amp;IF(AND(NOT(ISNUMBER(I214)),I214&lt;&gt;""),"回数を換算 ","")))</f>
        <v/>
      </c>
      <c r="Y214" s="31" t="n"/>
      <c r="Z214" s="32" t="n"/>
      <c r="AA214" s="32" t="n"/>
      <c r="AB214" s="31" t="n"/>
      <c r="AC214">
        <f>IF(W214&lt;&gt;"OK","",IF(AB214&lt;&gt;"",AB214,AE214))</f>
        <v/>
      </c>
      <c r="AD214" s="33">
        <f>IF(W214&lt;&gt;"OK","",IFERROR(IF(Z214&lt;&gt;"",Z214,AM214)*IF(AA214&lt;&gt;"",AA214,AN214)/60,""))</f>
        <v/>
      </c>
      <c r="AE214">
        <f>IF(W214&lt;&gt;"OK","",IF(OR(VALUE(O214)=2,VALUE(P214)=2,VALUE(Q214)=2),"社内残置",IF(AND(VALUE(O214)=0,VALUE(R214)=0,VALUE(T214)=0),"自動化候補",IF(AND(VALUE(P214)=0,VALUE(R214)&lt;=1,VALUE(S214)&lt;=1,VALUE(T214)&lt;=1,VALUE(U214)&lt;=1),"オフショア候補",IF(AND(VALUE(T214)&lt;=1,VALUE(U214)&lt;=1),"ニアショア候補","社内で手順化→再評価")))))</f>
        <v/>
      </c>
      <c r="AF214">
        <f>IF(W214&lt;&gt;"OK","",14-SUMPRODUCT(--O214:U214))</f>
        <v/>
      </c>
      <c r="AG214" s="33">
        <f>IF(W214&lt;&gt;"OK","",AM214*AN214/60)</f>
        <v/>
      </c>
      <c r="AH214" s="34">
        <f>IF(A214="","",UPPER(TRIM(ASC(A214&amp;""))))</f>
        <v/>
      </c>
      <c r="AI214" s="34">
        <f>IF(AH214="","",AH214&amp;"-"&amp;B214)</f>
        <v/>
      </c>
      <c r="AJ214" s="34">
        <f>IF(C214="","",IFERROR(VALUE(ASC(SUBSTITUTE(C214&amp;"","観点",""))),""))</f>
        <v/>
      </c>
      <c r="AK214" s="34">
        <f>IF(E214="","",UPPER(LEFT(TRIM(ASC(E214&amp;"")),3)))</f>
        <v/>
      </c>
      <c r="AL214" s="34">
        <f>IF(I214="","",IFERROR(VALUE(SUBSTITUTE(SUBSTITUTE(SUBSTITUTE(SUBSTITUTE(SUBSTITUTE(SUBSTITUTE(SUBSTITUTE(SUBSTITUTE(SUBSTITUTE(SUBSTITUTE(SUBSTITUTE(SUBSTITUTE(ASC(I214&amp;""),"約",""),"程度",""),"ほど",""),"回",""),"毎",""),"週",""),"月",""),"年",""),"日",""),"に",""),"/","")," ","")),""))</f>
        <v/>
      </c>
      <c r="AM214" s="34">
        <f>IF(I214="","",IF(ISNUMBER(I214),I214,IFERROR(VALUE(ASC(I214&amp;"")),IF(AL214&lt;&gt;"",AL214*IF(ISNUMBER(SEARCH("週",I214)),4.3,IF(ISNUMBER(SEARCH("年",I214)),1/12,IF(ISNUMBER(SEARCH("日",I214)),20,1))),IF(ISNUMBER(SEARCH("日",I214)),20,IF(ISNUMBER(SEARCH("週",I214)),4.3,IF(ISNUMBER(SEARCH("月",I214)),1,"")))))))</f>
        <v/>
      </c>
      <c r="AN214" s="34">
        <f>IF(J214="","",IF(ISNUMBER(J214),J214,IFERROR(VALUE(ASC(J214&amp;"")),IF(ISNUMBER(SEARCH("時間",J214)),IFERROR(VALUE(SUBSTITUTE(SUBSTITUTE(SUBSTITUTE(SUBSTITUTE(SUBSTITUTE(ASC(J214&amp;""),"約",""),"程度",""),"ほど",""),"時間","")," ",""))*60,""),IFERROR(VALUE(SUBSTITUTE(SUBSTITUTE(SUBSTITUTE(SUBSTITUTE(SUBSTITUTE(ASC(J214&amp;""),"約",""),"程度",""),"ほど",""),"分","")," ","")),"")))))</f>
        <v/>
      </c>
      <c r="AO214" s="34">
        <f>IF(K214="","",IF(ISNUMBER(K214),K214,IFERROR(VALUE(SUBSTITUTE(SUBSTITUTE(SUBSTITUTE(ASC(K214&amp;""),"約",""),"件","")," ","")),"")))</f>
        <v/>
      </c>
      <c r="AP214" s="34">
        <f>IF(W214&lt;&gt;"OK","",IF(COUNTIFS($D$5:$D$404,D214,$W$5:$W$404,"OK")&gt;1,"同名あり",""))</f>
        <v/>
      </c>
      <c r="AQ214" s="35">
        <f>IF(L214="","",IF(ISNUMBER(L214),L214,IFERROR(DATEVALUE(SUBSTITUTE(SUBSTITUTE(ASC(L214&amp;""),"-","/"),".","/")&amp;"/01"),"")))</f>
        <v/>
      </c>
      <c r="AR214" s="35">
        <f>IF(M214="","",IF(ISNUMBER(M214),M214,IFERROR(DATEVALUE(SUBSTITUTE(SUBSTITUTE(ASC(M214&amp;""),"-","/"),".","/")&amp;"/01"),"")))</f>
        <v/>
      </c>
      <c r="AS214" s="34">
        <f>IF(OR(W214&lt;&gt;"OK",AQ214=""),"",IF(AQ214&gt;='01_設定'!$C$26,1,0))</f>
        <v/>
      </c>
      <c r="AT214" s="34">
        <f>IF(AND(W214="OK",Y214&lt;&gt;"除外"),COUNTIFS($W$5:W214,"OK",$Y$5:Y214,"&lt;&gt;除外"),"")</f>
        <v/>
      </c>
      <c r="AU214" s="34">
        <f>IF(OR(AT214="",AD214=""),"",AD214+ROW()/1000000000)</f>
        <v/>
      </c>
    </row>
    <row r="215">
      <c r="W215">
        <f>IF(AND(A215="",D215=""),"",IF(ISNUMBER(SEARCH("##END",AH215)),"（終わりの印）",IF(ISNUMBER(SEARCH("##続き",AH215)),"（続きありの印）",IF(AH215="調査ID","（見出し行）",IF(AND(AH215&lt;&gt;"R1",AH215&lt;&gt;"R2"),"×表以外の行（集計されない）",IF(COUNTIF($AI$5:AI215,AI215)&gt;1,"△重複（集計されない）",IF(D215="","△タスク名なし",IF(ISNA(MATCH(AK215,'M1_類型マスタ'!$A$5:$A$19,0)),"△類型が不正",IF(OR(AM215="",AN215=""),"△回数・分が読めない",IF(SUMPRODUCT(--ISNUMBER(--O215:U215))&lt;7,"△採点が足りない",IF(SUMPRODUCT((--O215:U215&gt;2)+(--O215:U215&lt;0))&gt;0,"△採点が範囲外","OK")))))))))))</f>
        <v/>
      </c>
      <c r="X215">
        <f>IF(W215&lt;&gt;"OK","",TRIM(IF(AND(AO215&lt;&gt;"",N(AO215)&lt;=1),"根拠1件 ","")&amp;IF(AP215&lt;&gt;"","同名あり ","")&amp;IF(AND(NOT(ISNUMBER(I215)),I215&lt;&gt;""),"回数を換算 ","")))</f>
        <v/>
      </c>
      <c r="Y215" s="31" t="n"/>
      <c r="Z215" s="32" t="n"/>
      <c r="AA215" s="32" t="n"/>
      <c r="AB215" s="31" t="n"/>
      <c r="AC215">
        <f>IF(W215&lt;&gt;"OK","",IF(AB215&lt;&gt;"",AB215,AE215))</f>
        <v/>
      </c>
      <c r="AD215" s="33">
        <f>IF(W215&lt;&gt;"OK","",IFERROR(IF(Z215&lt;&gt;"",Z215,AM215)*IF(AA215&lt;&gt;"",AA215,AN215)/60,""))</f>
        <v/>
      </c>
      <c r="AE215">
        <f>IF(W215&lt;&gt;"OK","",IF(OR(VALUE(O215)=2,VALUE(P215)=2,VALUE(Q215)=2),"社内残置",IF(AND(VALUE(O215)=0,VALUE(R215)=0,VALUE(T215)=0),"自動化候補",IF(AND(VALUE(P215)=0,VALUE(R215)&lt;=1,VALUE(S215)&lt;=1,VALUE(T215)&lt;=1,VALUE(U215)&lt;=1),"オフショア候補",IF(AND(VALUE(T215)&lt;=1,VALUE(U215)&lt;=1),"ニアショア候補","社内で手順化→再評価")))))</f>
        <v/>
      </c>
      <c r="AF215">
        <f>IF(W215&lt;&gt;"OK","",14-SUMPRODUCT(--O215:U215))</f>
        <v/>
      </c>
      <c r="AG215" s="33">
        <f>IF(W215&lt;&gt;"OK","",AM215*AN215/60)</f>
        <v/>
      </c>
      <c r="AH215" s="34">
        <f>IF(A215="","",UPPER(TRIM(ASC(A215&amp;""))))</f>
        <v/>
      </c>
      <c r="AI215" s="34">
        <f>IF(AH215="","",AH215&amp;"-"&amp;B215)</f>
        <v/>
      </c>
      <c r="AJ215" s="34">
        <f>IF(C215="","",IFERROR(VALUE(ASC(SUBSTITUTE(C215&amp;"","観点",""))),""))</f>
        <v/>
      </c>
      <c r="AK215" s="34">
        <f>IF(E215="","",UPPER(LEFT(TRIM(ASC(E215&amp;"")),3)))</f>
        <v/>
      </c>
      <c r="AL215" s="34">
        <f>IF(I215="","",IFERROR(VALUE(SUBSTITUTE(SUBSTITUTE(SUBSTITUTE(SUBSTITUTE(SUBSTITUTE(SUBSTITUTE(SUBSTITUTE(SUBSTITUTE(SUBSTITUTE(SUBSTITUTE(SUBSTITUTE(SUBSTITUTE(ASC(I215&amp;""),"約",""),"程度",""),"ほど",""),"回",""),"毎",""),"週",""),"月",""),"年",""),"日",""),"に",""),"/","")," ","")),""))</f>
        <v/>
      </c>
      <c r="AM215" s="34">
        <f>IF(I215="","",IF(ISNUMBER(I215),I215,IFERROR(VALUE(ASC(I215&amp;"")),IF(AL215&lt;&gt;"",AL215*IF(ISNUMBER(SEARCH("週",I215)),4.3,IF(ISNUMBER(SEARCH("年",I215)),1/12,IF(ISNUMBER(SEARCH("日",I215)),20,1))),IF(ISNUMBER(SEARCH("日",I215)),20,IF(ISNUMBER(SEARCH("週",I215)),4.3,IF(ISNUMBER(SEARCH("月",I215)),1,"")))))))</f>
        <v/>
      </c>
      <c r="AN215" s="34">
        <f>IF(J215="","",IF(ISNUMBER(J215),J215,IFERROR(VALUE(ASC(J215&amp;"")),IF(ISNUMBER(SEARCH("時間",J215)),IFERROR(VALUE(SUBSTITUTE(SUBSTITUTE(SUBSTITUTE(SUBSTITUTE(SUBSTITUTE(ASC(J215&amp;""),"約",""),"程度",""),"ほど",""),"時間","")," ",""))*60,""),IFERROR(VALUE(SUBSTITUTE(SUBSTITUTE(SUBSTITUTE(SUBSTITUTE(SUBSTITUTE(ASC(J215&amp;""),"約",""),"程度",""),"ほど",""),"分","")," ","")),"")))))</f>
        <v/>
      </c>
      <c r="AO215" s="34">
        <f>IF(K215="","",IF(ISNUMBER(K215),K215,IFERROR(VALUE(SUBSTITUTE(SUBSTITUTE(SUBSTITUTE(ASC(K215&amp;""),"約",""),"件","")," ","")),"")))</f>
        <v/>
      </c>
      <c r="AP215" s="34">
        <f>IF(W215&lt;&gt;"OK","",IF(COUNTIFS($D$5:$D$404,D215,$W$5:$W$404,"OK")&gt;1,"同名あり",""))</f>
        <v/>
      </c>
      <c r="AQ215" s="35">
        <f>IF(L215="","",IF(ISNUMBER(L215),L215,IFERROR(DATEVALUE(SUBSTITUTE(SUBSTITUTE(ASC(L215&amp;""),"-","/"),".","/")&amp;"/01"),"")))</f>
        <v/>
      </c>
      <c r="AR215" s="35">
        <f>IF(M215="","",IF(ISNUMBER(M215),M215,IFERROR(DATEVALUE(SUBSTITUTE(SUBSTITUTE(ASC(M215&amp;""),"-","/"),".","/")&amp;"/01"),"")))</f>
        <v/>
      </c>
      <c r="AS215" s="34">
        <f>IF(OR(W215&lt;&gt;"OK",AQ215=""),"",IF(AQ215&gt;='01_設定'!$C$26,1,0))</f>
        <v/>
      </c>
      <c r="AT215" s="34">
        <f>IF(AND(W215="OK",Y215&lt;&gt;"除外"),COUNTIFS($W$5:W215,"OK",$Y$5:Y215,"&lt;&gt;除外"),"")</f>
        <v/>
      </c>
      <c r="AU215" s="34">
        <f>IF(OR(AT215="",AD215=""),"",AD215+ROW()/1000000000)</f>
        <v/>
      </c>
    </row>
    <row r="216">
      <c r="W216">
        <f>IF(AND(A216="",D216=""),"",IF(ISNUMBER(SEARCH("##END",AH216)),"（終わりの印）",IF(ISNUMBER(SEARCH("##続き",AH216)),"（続きありの印）",IF(AH216="調査ID","（見出し行）",IF(AND(AH216&lt;&gt;"R1",AH216&lt;&gt;"R2"),"×表以外の行（集計されない）",IF(COUNTIF($AI$5:AI216,AI216)&gt;1,"△重複（集計されない）",IF(D216="","△タスク名なし",IF(ISNA(MATCH(AK216,'M1_類型マスタ'!$A$5:$A$19,0)),"△類型が不正",IF(OR(AM216="",AN216=""),"△回数・分が読めない",IF(SUMPRODUCT(--ISNUMBER(--O216:U216))&lt;7,"△採点が足りない",IF(SUMPRODUCT((--O216:U216&gt;2)+(--O216:U216&lt;0))&gt;0,"△採点が範囲外","OK")))))))))))</f>
        <v/>
      </c>
      <c r="X216">
        <f>IF(W216&lt;&gt;"OK","",TRIM(IF(AND(AO216&lt;&gt;"",N(AO216)&lt;=1),"根拠1件 ","")&amp;IF(AP216&lt;&gt;"","同名あり ","")&amp;IF(AND(NOT(ISNUMBER(I216)),I216&lt;&gt;""),"回数を換算 ","")))</f>
        <v/>
      </c>
      <c r="Y216" s="31" t="n"/>
      <c r="Z216" s="32" t="n"/>
      <c r="AA216" s="32" t="n"/>
      <c r="AB216" s="31" t="n"/>
      <c r="AC216">
        <f>IF(W216&lt;&gt;"OK","",IF(AB216&lt;&gt;"",AB216,AE216))</f>
        <v/>
      </c>
      <c r="AD216" s="33">
        <f>IF(W216&lt;&gt;"OK","",IFERROR(IF(Z216&lt;&gt;"",Z216,AM216)*IF(AA216&lt;&gt;"",AA216,AN216)/60,""))</f>
        <v/>
      </c>
      <c r="AE216">
        <f>IF(W216&lt;&gt;"OK","",IF(OR(VALUE(O216)=2,VALUE(P216)=2,VALUE(Q216)=2),"社内残置",IF(AND(VALUE(O216)=0,VALUE(R216)=0,VALUE(T216)=0),"自動化候補",IF(AND(VALUE(P216)=0,VALUE(R216)&lt;=1,VALUE(S216)&lt;=1,VALUE(T216)&lt;=1,VALUE(U216)&lt;=1),"オフショア候補",IF(AND(VALUE(T216)&lt;=1,VALUE(U216)&lt;=1),"ニアショア候補","社内で手順化→再評価")))))</f>
        <v/>
      </c>
      <c r="AF216">
        <f>IF(W216&lt;&gt;"OK","",14-SUMPRODUCT(--O216:U216))</f>
        <v/>
      </c>
      <c r="AG216" s="33">
        <f>IF(W216&lt;&gt;"OK","",AM216*AN216/60)</f>
        <v/>
      </c>
      <c r="AH216" s="34">
        <f>IF(A216="","",UPPER(TRIM(ASC(A216&amp;""))))</f>
        <v/>
      </c>
      <c r="AI216" s="34">
        <f>IF(AH216="","",AH216&amp;"-"&amp;B216)</f>
        <v/>
      </c>
      <c r="AJ216" s="34">
        <f>IF(C216="","",IFERROR(VALUE(ASC(SUBSTITUTE(C216&amp;"","観点",""))),""))</f>
        <v/>
      </c>
      <c r="AK216" s="34">
        <f>IF(E216="","",UPPER(LEFT(TRIM(ASC(E216&amp;"")),3)))</f>
        <v/>
      </c>
      <c r="AL216" s="34">
        <f>IF(I216="","",IFERROR(VALUE(SUBSTITUTE(SUBSTITUTE(SUBSTITUTE(SUBSTITUTE(SUBSTITUTE(SUBSTITUTE(SUBSTITUTE(SUBSTITUTE(SUBSTITUTE(SUBSTITUTE(SUBSTITUTE(SUBSTITUTE(ASC(I216&amp;""),"約",""),"程度",""),"ほど",""),"回",""),"毎",""),"週",""),"月",""),"年",""),"日",""),"に",""),"/","")," ","")),""))</f>
        <v/>
      </c>
      <c r="AM216" s="34">
        <f>IF(I216="","",IF(ISNUMBER(I216),I216,IFERROR(VALUE(ASC(I216&amp;"")),IF(AL216&lt;&gt;"",AL216*IF(ISNUMBER(SEARCH("週",I216)),4.3,IF(ISNUMBER(SEARCH("年",I216)),1/12,IF(ISNUMBER(SEARCH("日",I216)),20,1))),IF(ISNUMBER(SEARCH("日",I216)),20,IF(ISNUMBER(SEARCH("週",I216)),4.3,IF(ISNUMBER(SEARCH("月",I216)),1,"")))))))</f>
        <v/>
      </c>
      <c r="AN216" s="34">
        <f>IF(J216="","",IF(ISNUMBER(J216),J216,IFERROR(VALUE(ASC(J216&amp;"")),IF(ISNUMBER(SEARCH("時間",J216)),IFERROR(VALUE(SUBSTITUTE(SUBSTITUTE(SUBSTITUTE(SUBSTITUTE(SUBSTITUTE(ASC(J216&amp;""),"約",""),"程度",""),"ほど",""),"時間","")," ",""))*60,""),IFERROR(VALUE(SUBSTITUTE(SUBSTITUTE(SUBSTITUTE(SUBSTITUTE(SUBSTITUTE(ASC(J216&amp;""),"約",""),"程度",""),"ほど",""),"分","")," ","")),"")))))</f>
        <v/>
      </c>
      <c r="AO216" s="34">
        <f>IF(K216="","",IF(ISNUMBER(K216),K216,IFERROR(VALUE(SUBSTITUTE(SUBSTITUTE(SUBSTITUTE(ASC(K216&amp;""),"約",""),"件","")," ","")),"")))</f>
        <v/>
      </c>
      <c r="AP216" s="34">
        <f>IF(W216&lt;&gt;"OK","",IF(COUNTIFS($D$5:$D$404,D216,$W$5:$W$404,"OK")&gt;1,"同名あり",""))</f>
        <v/>
      </c>
      <c r="AQ216" s="35">
        <f>IF(L216="","",IF(ISNUMBER(L216),L216,IFERROR(DATEVALUE(SUBSTITUTE(SUBSTITUTE(ASC(L216&amp;""),"-","/"),".","/")&amp;"/01"),"")))</f>
        <v/>
      </c>
      <c r="AR216" s="35">
        <f>IF(M216="","",IF(ISNUMBER(M216),M216,IFERROR(DATEVALUE(SUBSTITUTE(SUBSTITUTE(ASC(M216&amp;""),"-","/"),".","/")&amp;"/01"),"")))</f>
        <v/>
      </c>
      <c r="AS216" s="34">
        <f>IF(OR(W216&lt;&gt;"OK",AQ216=""),"",IF(AQ216&gt;='01_設定'!$C$26,1,0))</f>
        <v/>
      </c>
      <c r="AT216" s="34">
        <f>IF(AND(W216="OK",Y216&lt;&gt;"除外"),COUNTIFS($W$5:W216,"OK",$Y$5:Y216,"&lt;&gt;除外"),"")</f>
        <v/>
      </c>
      <c r="AU216" s="34">
        <f>IF(OR(AT216="",AD216=""),"",AD216+ROW()/1000000000)</f>
        <v/>
      </c>
    </row>
    <row r="217">
      <c r="W217">
        <f>IF(AND(A217="",D217=""),"",IF(ISNUMBER(SEARCH("##END",AH217)),"（終わりの印）",IF(ISNUMBER(SEARCH("##続き",AH217)),"（続きありの印）",IF(AH217="調査ID","（見出し行）",IF(AND(AH217&lt;&gt;"R1",AH217&lt;&gt;"R2"),"×表以外の行（集計されない）",IF(COUNTIF($AI$5:AI217,AI217)&gt;1,"△重複（集計されない）",IF(D217="","△タスク名なし",IF(ISNA(MATCH(AK217,'M1_類型マスタ'!$A$5:$A$19,0)),"△類型が不正",IF(OR(AM217="",AN217=""),"△回数・分が読めない",IF(SUMPRODUCT(--ISNUMBER(--O217:U217))&lt;7,"△採点が足りない",IF(SUMPRODUCT((--O217:U217&gt;2)+(--O217:U217&lt;0))&gt;0,"△採点が範囲外","OK")))))))))))</f>
        <v/>
      </c>
      <c r="X217">
        <f>IF(W217&lt;&gt;"OK","",TRIM(IF(AND(AO217&lt;&gt;"",N(AO217)&lt;=1),"根拠1件 ","")&amp;IF(AP217&lt;&gt;"","同名あり ","")&amp;IF(AND(NOT(ISNUMBER(I217)),I217&lt;&gt;""),"回数を換算 ","")))</f>
        <v/>
      </c>
      <c r="Y217" s="31" t="n"/>
      <c r="Z217" s="32" t="n"/>
      <c r="AA217" s="32" t="n"/>
      <c r="AB217" s="31" t="n"/>
      <c r="AC217">
        <f>IF(W217&lt;&gt;"OK","",IF(AB217&lt;&gt;"",AB217,AE217))</f>
        <v/>
      </c>
      <c r="AD217" s="33">
        <f>IF(W217&lt;&gt;"OK","",IFERROR(IF(Z217&lt;&gt;"",Z217,AM217)*IF(AA217&lt;&gt;"",AA217,AN217)/60,""))</f>
        <v/>
      </c>
      <c r="AE217">
        <f>IF(W217&lt;&gt;"OK","",IF(OR(VALUE(O217)=2,VALUE(P217)=2,VALUE(Q217)=2),"社内残置",IF(AND(VALUE(O217)=0,VALUE(R217)=0,VALUE(T217)=0),"自動化候補",IF(AND(VALUE(P217)=0,VALUE(R217)&lt;=1,VALUE(S217)&lt;=1,VALUE(T217)&lt;=1,VALUE(U217)&lt;=1),"オフショア候補",IF(AND(VALUE(T217)&lt;=1,VALUE(U217)&lt;=1),"ニアショア候補","社内で手順化→再評価")))))</f>
        <v/>
      </c>
      <c r="AF217">
        <f>IF(W217&lt;&gt;"OK","",14-SUMPRODUCT(--O217:U217))</f>
        <v/>
      </c>
      <c r="AG217" s="33">
        <f>IF(W217&lt;&gt;"OK","",AM217*AN217/60)</f>
        <v/>
      </c>
      <c r="AH217" s="34">
        <f>IF(A217="","",UPPER(TRIM(ASC(A217&amp;""))))</f>
        <v/>
      </c>
      <c r="AI217" s="34">
        <f>IF(AH217="","",AH217&amp;"-"&amp;B217)</f>
        <v/>
      </c>
      <c r="AJ217" s="34">
        <f>IF(C217="","",IFERROR(VALUE(ASC(SUBSTITUTE(C217&amp;"","観点",""))),""))</f>
        <v/>
      </c>
      <c r="AK217" s="34">
        <f>IF(E217="","",UPPER(LEFT(TRIM(ASC(E217&amp;"")),3)))</f>
        <v/>
      </c>
      <c r="AL217" s="34">
        <f>IF(I217="","",IFERROR(VALUE(SUBSTITUTE(SUBSTITUTE(SUBSTITUTE(SUBSTITUTE(SUBSTITUTE(SUBSTITUTE(SUBSTITUTE(SUBSTITUTE(SUBSTITUTE(SUBSTITUTE(SUBSTITUTE(SUBSTITUTE(ASC(I217&amp;""),"約",""),"程度",""),"ほど",""),"回",""),"毎",""),"週",""),"月",""),"年",""),"日",""),"に",""),"/","")," ","")),""))</f>
        <v/>
      </c>
      <c r="AM217" s="34">
        <f>IF(I217="","",IF(ISNUMBER(I217),I217,IFERROR(VALUE(ASC(I217&amp;"")),IF(AL217&lt;&gt;"",AL217*IF(ISNUMBER(SEARCH("週",I217)),4.3,IF(ISNUMBER(SEARCH("年",I217)),1/12,IF(ISNUMBER(SEARCH("日",I217)),20,1))),IF(ISNUMBER(SEARCH("日",I217)),20,IF(ISNUMBER(SEARCH("週",I217)),4.3,IF(ISNUMBER(SEARCH("月",I217)),1,"")))))))</f>
        <v/>
      </c>
      <c r="AN217" s="34">
        <f>IF(J217="","",IF(ISNUMBER(J217),J217,IFERROR(VALUE(ASC(J217&amp;"")),IF(ISNUMBER(SEARCH("時間",J217)),IFERROR(VALUE(SUBSTITUTE(SUBSTITUTE(SUBSTITUTE(SUBSTITUTE(SUBSTITUTE(ASC(J217&amp;""),"約",""),"程度",""),"ほど",""),"時間","")," ",""))*60,""),IFERROR(VALUE(SUBSTITUTE(SUBSTITUTE(SUBSTITUTE(SUBSTITUTE(SUBSTITUTE(ASC(J217&amp;""),"約",""),"程度",""),"ほど",""),"分","")," ","")),"")))))</f>
        <v/>
      </c>
      <c r="AO217" s="34">
        <f>IF(K217="","",IF(ISNUMBER(K217),K217,IFERROR(VALUE(SUBSTITUTE(SUBSTITUTE(SUBSTITUTE(ASC(K217&amp;""),"約",""),"件","")," ","")),"")))</f>
        <v/>
      </c>
      <c r="AP217" s="34">
        <f>IF(W217&lt;&gt;"OK","",IF(COUNTIFS($D$5:$D$404,D217,$W$5:$W$404,"OK")&gt;1,"同名あり",""))</f>
        <v/>
      </c>
      <c r="AQ217" s="35">
        <f>IF(L217="","",IF(ISNUMBER(L217),L217,IFERROR(DATEVALUE(SUBSTITUTE(SUBSTITUTE(ASC(L217&amp;""),"-","/"),".","/")&amp;"/01"),"")))</f>
        <v/>
      </c>
      <c r="AR217" s="35">
        <f>IF(M217="","",IF(ISNUMBER(M217),M217,IFERROR(DATEVALUE(SUBSTITUTE(SUBSTITUTE(ASC(M217&amp;""),"-","/"),".","/")&amp;"/01"),"")))</f>
        <v/>
      </c>
      <c r="AS217" s="34">
        <f>IF(OR(W217&lt;&gt;"OK",AQ217=""),"",IF(AQ217&gt;='01_設定'!$C$26,1,0))</f>
        <v/>
      </c>
      <c r="AT217" s="34">
        <f>IF(AND(W217="OK",Y217&lt;&gt;"除外"),COUNTIFS($W$5:W217,"OK",$Y$5:Y217,"&lt;&gt;除外"),"")</f>
        <v/>
      </c>
      <c r="AU217" s="34">
        <f>IF(OR(AT217="",AD217=""),"",AD217+ROW()/1000000000)</f>
        <v/>
      </c>
    </row>
    <row r="218">
      <c r="W218">
        <f>IF(AND(A218="",D218=""),"",IF(ISNUMBER(SEARCH("##END",AH218)),"（終わりの印）",IF(ISNUMBER(SEARCH("##続き",AH218)),"（続きありの印）",IF(AH218="調査ID","（見出し行）",IF(AND(AH218&lt;&gt;"R1",AH218&lt;&gt;"R2"),"×表以外の行（集計されない）",IF(COUNTIF($AI$5:AI218,AI218)&gt;1,"△重複（集計されない）",IF(D218="","△タスク名なし",IF(ISNA(MATCH(AK218,'M1_類型マスタ'!$A$5:$A$19,0)),"△類型が不正",IF(OR(AM218="",AN218=""),"△回数・分が読めない",IF(SUMPRODUCT(--ISNUMBER(--O218:U218))&lt;7,"△採点が足りない",IF(SUMPRODUCT((--O218:U218&gt;2)+(--O218:U218&lt;0))&gt;0,"△採点が範囲外","OK")))))))))))</f>
        <v/>
      </c>
      <c r="X218">
        <f>IF(W218&lt;&gt;"OK","",TRIM(IF(AND(AO218&lt;&gt;"",N(AO218)&lt;=1),"根拠1件 ","")&amp;IF(AP218&lt;&gt;"","同名あり ","")&amp;IF(AND(NOT(ISNUMBER(I218)),I218&lt;&gt;""),"回数を換算 ","")))</f>
        <v/>
      </c>
      <c r="Y218" s="31" t="n"/>
      <c r="Z218" s="32" t="n"/>
      <c r="AA218" s="32" t="n"/>
      <c r="AB218" s="31" t="n"/>
      <c r="AC218">
        <f>IF(W218&lt;&gt;"OK","",IF(AB218&lt;&gt;"",AB218,AE218))</f>
        <v/>
      </c>
      <c r="AD218" s="33">
        <f>IF(W218&lt;&gt;"OK","",IFERROR(IF(Z218&lt;&gt;"",Z218,AM218)*IF(AA218&lt;&gt;"",AA218,AN218)/60,""))</f>
        <v/>
      </c>
      <c r="AE218">
        <f>IF(W218&lt;&gt;"OK","",IF(OR(VALUE(O218)=2,VALUE(P218)=2,VALUE(Q218)=2),"社内残置",IF(AND(VALUE(O218)=0,VALUE(R218)=0,VALUE(T218)=0),"自動化候補",IF(AND(VALUE(P218)=0,VALUE(R218)&lt;=1,VALUE(S218)&lt;=1,VALUE(T218)&lt;=1,VALUE(U218)&lt;=1),"オフショア候補",IF(AND(VALUE(T218)&lt;=1,VALUE(U218)&lt;=1),"ニアショア候補","社内で手順化→再評価")))))</f>
        <v/>
      </c>
      <c r="AF218">
        <f>IF(W218&lt;&gt;"OK","",14-SUMPRODUCT(--O218:U218))</f>
        <v/>
      </c>
      <c r="AG218" s="33">
        <f>IF(W218&lt;&gt;"OK","",AM218*AN218/60)</f>
        <v/>
      </c>
      <c r="AH218" s="34">
        <f>IF(A218="","",UPPER(TRIM(ASC(A218&amp;""))))</f>
        <v/>
      </c>
      <c r="AI218" s="34">
        <f>IF(AH218="","",AH218&amp;"-"&amp;B218)</f>
        <v/>
      </c>
      <c r="AJ218" s="34">
        <f>IF(C218="","",IFERROR(VALUE(ASC(SUBSTITUTE(C218&amp;"","観点",""))),""))</f>
        <v/>
      </c>
      <c r="AK218" s="34">
        <f>IF(E218="","",UPPER(LEFT(TRIM(ASC(E218&amp;"")),3)))</f>
        <v/>
      </c>
      <c r="AL218" s="34">
        <f>IF(I218="","",IFERROR(VALUE(SUBSTITUTE(SUBSTITUTE(SUBSTITUTE(SUBSTITUTE(SUBSTITUTE(SUBSTITUTE(SUBSTITUTE(SUBSTITUTE(SUBSTITUTE(SUBSTITUTE(SUBSTITUTE(SUBSTITUTE(ASC(I218&amp;""),"約",""),"程度",""),"ほど",""),"回",""),"毎",""),"週",""),"月",""),"年",""),"日",""),"に",""),"/","")," ","")),""))</f>
        <v/>
      </c>
      <c r="AM218" s="34">
        <f>IF(I218="","",IF(ISNUMBER(I218),I218,IFERROR(VALUE(ASC(I218&amp;"")),IF(AL218&lt;&gt;"",AL218*IF(ISNUMBER(SEARCH("週",I218)),4.3,IF(ISNUMBER(SEARCH("年",I218)),1/12,IF(ISNUMBER(SEARCH("日",I218)),20,1))),IF(ISNUMBER(SEARCH("日",I218)),20,IF(ISNUMBER(SEARCH("週",I218)),4.3,IF(ISNUMBER(SEARCH("月",I218)),1,"")))))))</f>
        <v/>
      </c>
      <c r="AN218" s="34">
        <f>IF(J218="","",IF(ISNUMBER(J218),J218,IFERROR(VALUE(ASC(J218&amp;"")),IF(ISNUMBER(SEARCH("時間",J218)),IFERROR(VALUE(SUBSTITUTE(SUBSTITUTE(SUBSTITUTE(SUBSTITUTE(SUBSTITUTE(ASC(J218&amp;""),"約",""),"程度",""),"ほど",""),"時間","")," ",""))*60,""),IFERROR(VALUE(SUBSTITUTE(SUBSTITUTE(SUBSTITUTE(SUBSTITUTE(SUBSTITUTE(ASC(J218&amp;""),"約",""),"程度",""),"ほど",""),"分","")," ","")),"")))))</f>
        <v/>
      </c>
      <c r="AO218" s="34">
        <f>IF(K218="","",IF(ISNUMBER(K218),K218,IFERROR(VALUE(SUBSTITUTE(SUBSTITUTE(SUBSTITUTE(ASC(K218&amp;""),"約",""),"件","")," ","")),"")))</f>
        <v/>
      </c>
      <c r="AP218" s="34">
        <f>IF(W218&lt;&gt;"OK","",IF(COUNTIFS($D$5:$D$404,D218,$W$5:$W$404,"OK")&gt;1,"同名あり",""))</f>
        <v/>
      </c>
      <c r="AQ218" s="35">
        <f>IF(L218="","",IF(ISNUMBER(L218),L218,IFERROR(DATEVALUE(SUBSTITUTE(SUBSTITUTE(ASC(L218&amp;""),"-","/"),".","/")&amp;"/01"),"")))</f>
        <v/>
      </c>
      <c r="AR218" s="35">
        <f>IF(M218="","",IF(ISNUMBER(M218),M218,IFERROR(DATEVALUE(SUBSTITUTE(SUBSTITUTE(ASC(M218&amp;""),"-","/"),".","/")&amp;"/01"),"")))</f>
        <v/>
      </c>
      <c r="AS218" s="34">
        <f>IF(OR(W218&lt;&gt;"OK",AQ218=""),"",IF(AQ218&gt;='01_設定'!$C$26,1,0))</f>
        <v/>
      </c>
      <c r="AT218" s="34">
        <f>IF(AND(W218="OK",Y218&lt;&gt;"除外"),COUNTIFS($W$5:W218,"OK",$Y$5:Y218,"&lt;&gt;除外"),"")</f>
        <v/>
      </c>
      <c r="AU218" s="34">
        <f>IF(OR(AT218="",AD218=""),"",AD218+ROW()/1000000000)</f>
        <v/>
      </c>
    </row>
    <row r="219">
      <c r="W219">
        <f>IF(AND(A219="",D219=""),"",IF(ISNUMBER(SEARCH("##END",AH219)),"（終わりの印）",IF(ISNUMBER(SEARCH("##続き",AH219)),"（続きありの印）",IF(AH219="調査ID","（見出し行）",IF(AND(AH219&lt;&gt;"R1",AH219&lt;&gt;"R2"),"×表以外の行（集計されない）",IF(COUNTIF($AI$5:AI219,AI219)&gt;1,"△重複（集計されない）",IF(D219="","△タスク名なし",IF(ISNA(MATCH(AK219,'M1_類型マスタ'!$A$5:$A$19,0)),"△類型が不正",IF(OR(AM219="",AN219=""),"△回数・分が読めない",IF(SUMPRODUCT(--ISNUMBER(--O219:U219))&lt;7,"△採点が足りない",IF(SUMPRODUCT((--O219:U219&gt;2)+(--O219:U219&lt;0))&gt;0,"△採点が範囲外","OK")))))))))))</f>
        <v/>
      </c>
      <c r="X219">
        <f>IF(W219&lt;&gt;"OK","",TRIM(IF(AND(AO219&lt;&gt;"",N(AO219)&lt;=1),"根拠1件 ","")&amp;IF(AP219&lt;&gt;"","同名あり ","")&amp;IF(AND(NOT(ISNUMBER(I219)),I219&lt;&gt;""),"回数を換算 ","")))</f>
        <v/>
      </c>
      <c r="Y219" s="31" t="n"/>
      <c r="Z219" s="32" t="n"/>
      <c r="AA219" s="32" t="n"/>
      <c r="AB219" s="31" t="n"/>
      <c r="AC219">
        <f>IF(W219&lt;&gt;"OK","",IF(AB219&lt;&gt;"",AB219,AE219))</f>
        <v/>
      </c>
      <c r="AD219" s="33">
        <f>IF(W219&lt;&gt;"OK","",IFERROR(IF(Z219&lt;&gt;"",Z219,AM219)*IF(AA219&lt;&gt;"",AA219,AN219)/60,""))</f>
        <v/>
      </c>
      <c r="AE219">
        <f>IF(W219&lt;&gt;"OK","",IF(OR(VALUE(O219)=2,VALUE(P219)=2,VALUE(Q219)=2),"社内残置",IF(AND(VALUE(O219)=0,VALUE(R219)=0,VALUE(T219)=0),"自動化候補",IF(AND(VALUE(P219)=0,VALUE(R219)&lt;=1,VALUE(S219)&lt;=1,VALUE(T219)&lt;=1,VALUE(U219)&lt;=1),"オフショア候補",IF(AND(VALUE(T219)&lt;=1,VALUE(U219)&lt;=1),"ニアショア候補","社内で手順化→再評価")))))</f>
        <v/>
      </c>
      <c r="AF219">
        <f>IF(W219&lt;&gt;"OK","",14-SUMPRODUCT(--O219:U219))</f>
        <v/>
      </c>
      <c r="AG219" s="33">
        <f>IF(W219&lt;&gt;"OK","",AM219*AN219/60)</f>
        <v/>
      </c>
      <c r="AH219" s="34">
        <f>IF(A219="","",UPPER(TRIM(ASC(A219&amp;""))))</f>
        <v/>
      </c>
      <c r="AI219" s="34">
        <f>IF(AH219="","",AH219&amp;"-"&amp;B219)</f>
        <v/>
      </c>
      <c r="AJ219" s="34">
        <f>IF(C219="","",IFERROR(VALUE(ASC(SUBSTITUTE(C219&amp;"","観点",""))),""))</f>
        <v/>
      </c>
      <c r="AK219" s="34">
        <f>IF(E219="","",UPPER(LEFT(TRIM(ASC(E219&amp;"")),3)))</f>
        <v/>
      </c>
      <c r="AL219" s="34">
        <f>IF(I219="","",IFERROR(VALUE(SUBSTITUTE(SUBSTITUTE(SUBSTITUTE(SUBSTITUTE(SUBSTITUTE(SUBSTITUTE(SUBSTITUTE(SUBSTITUTE(SUBSTITUTE(SUBSTITUTE(SUBSTITUTE(SUBSTITUTE(ASC(I219&amp;""),"約",""),"程度",""),"ほど",""),"回",""),"毎",""),"週",""),"月",""),"年",""),"日",""),"に",""),"/","")," ","")),""))</f>
        <v/>
      </c>
      <c r="AM219" s="34">
        <f>IF(I219="","",IF(ISNUMBER(I219),I219,IFERROR(VALUE(ASC(I219&amp;"")),IF(AL219&lt;&gt;"",AL219*IF(ISNUMBER(SEARCH("週",I219)),4.3,IF(ISNUMBER(SEARCH("年",I219)),1/12,IF(ISNUMBER(SEARCH("日",I219)),20,1))),IF(ISNUMBER(SEARCH("日",I219)),20,IF(ISNUMBER(SEARCH("週",I219)),4.3,IF(ISNUMBER(SEARCH("月",I219)),1,"")))))))</f>
        <v/>
      </c>
      <c r="AN219" s="34">
        <f>IF(J219="","",IF(ISNUMBER(J219),J219,IFERROR(VALUE(ASC(J219&amp;"")),IF(ISNUMBER(SEARCH("時間",J219)),IFERROR(VALUE(SUBSTITUTE(SUBSTITUTE(SUBSTITUTE(SUBSTITUTE(SUBSTITUTE(ASC(J219&amp;""),"約",""),"程度",""),"ほど",""),"時間","")," ",""))*60,""),IFERROR(VALUE(SUBSTITUTE(SUBSTITUTE(SUBSTITUTE(SUBSTITUTE(SUBSTITUTE(ASC(J219&amp;""),"約",""),"程度",""),"ほど",""),"分","")," ","")),"")))))</f>
        <v/>
      </c>
      <c r="AO219" s="34">
        <f>IF(K219="","",IF(ISNUMBER(K219),K219,IFERROR(VALUE(SUBSTITUTE(SUBSTITUTE(SUBSTITUTE(ASC(K219&amp;""),"約",""),"件","")," ","")),"")))</f>
        <v/>
      </c>
      <c r="AP219" s="34">
        <f>IF(W219&lt;&gt;"OK","",IF(COUNTIFS($D$5:$D$404,D219,$W$5:$W$404,"OK")&gt;1,"同名あり",""))</f>
        <v/>
      </c>
      <c r="AQ219" s="35">
        <f>IF(L219="","",IF(ISNUMBER(L219),L219,IFERROR(DATEVALUE(SUBSTITUTE(SUBSTITUTE(ASC(L219&amp;""),"-","/"),".","/")&amp;"/01"),"")))</f>
        <v/>
      </c>
      <c r="AR219" s="35">
        <f>IF(M219="","",IF(ISNUMBER(M219),M219,IFERROR(DATEVALUE(SUBSTITUTE(SUBSTITUTE(ASC(M219&amp;""),"-","/"),".","/")&amp;"/01"),"")))</f>
        <v/>
      </c>
      <c r="AS219" s="34">
        <f>IF(OR(W219&lt;&gt;"OK",AQ219=""),"",IF(AQ219&gt;='01_設定'!$C$26,1,0))</f>
        <v/>
      </c>
      <c r="AT219" s="34">
        <f>IF(AND(W219="OK",Y219&lt;&gt;"除外"),COUNTIFS($W$5:W219,"OK",$Y$5:Y219,"&lt;&gt;除外"),"")</f>
        <v/>
      </c>
      <c r="AU219" s="34">
        <f>IF(OR(AT219="",AD219=""),"",AD219+ROW()/1000000000)</f>
        <v/>
      </c>
    </row>
    <row r="220">
      <c r="W220">
        <f>IF(AND(A220="",D220=""),"",IF(ISNUMBER(SEARCH("##END",AH220)),"（終わりの印）",IF(ISNUMBER(SEARCH("##続き",AH220)),"（続きありの印）",IF(AH220="調査ID","（見出し行）",IF(AND(AH220&lt;&gt;"R1",AH220&lt;&gt;"R2"),"×表以外の行（集計されない）",IF(COUNTIF($AI$5:AI220,AI220)&gt;1,"△重複（集計されない）",IF(D220="","△タスク名なし",IF(ISNA(MATCH(AK220,'M1_類型マスタ'!$A$5:$A$19,0)),"△類型が不正",IF(OR(AM220="",AN220=""),"△回数・分が読めない",IF(SUMPRODUCT(--ISNUMBER(--O220:U220))&lt;7,"△採点が足りない",IF(SUMPRODUCT((--O220:U220&gt;2)+(--O220:U220&lt;0))&gt;0,"△採点が範囲外","OK")))))))))))</f>
        <v/>
      </c>
      <c r="X220">
        <f>IF(W220&lt;&gt;"OK","",TRIM(IF(AND(AO220&lt;&gt;"",N(AO220)&lt;=1),"根拠1件 ","")&amp;IF(AP220&lt;&gt;"","同名あり ","")&amp;IF(AND(NOT(ISNUMBER(I220)),I220&lt;&gt;""),"回数を換算 ","")))</f>
        <v/>
      </c>
      <c r="Y220" s="31" t="n"/>
      <c r="Z220" s="32" t="n"/>
      <c r="AA220" s="32" t="n"/>
      <c r="AB220" s="31" t="n"/>
      <c r="AC220">
        <f>IF(W220&lt;&gt;"OK","",IF(AB220&lt;&gt;"",AB220,AE220))</f>
        <v/>
      </c>
      <c r="AD220" s="33">
        <f>IF(W220&lt;&gt;"OK","",IFERROR(IF(Z220&lt;&gt;"",Z220,AM220)*IF(AA220&lt;&gt;"",AA220,AN220)/60,""))</f>
        <v/>
      </c>
      <c r="AE220">
        <f>IF(W220&lt;&gt;"OK","",IF(OR(VALUE(O220)=2,VALUE(P220)=2,VALUE(Q220)=2),"社内残置",IF(AND(VALUE(O220)=0,VALUE(R220)=0,VALUE(T220)=0),"自動化候補",IF(AND(VALUE(P220)=0,VALUE(R220)&lt;=1,VALUE(S220)&lt;=1,VALUE(T220)&lt;=1,VALUE(U220)&lt;=1),"オフショア候補",IF(AND(VALUE(T220)&lt;=1,VALUE(U220)&lt;=1),"ニアショア候補","社内で手順化→再評価")))))</f>
        <v/>
      </c>
      <c r="AF220">
        <f>IF(W220&lt;&gt;"OK","",14-SUMPRODUCT(--O220:U220))</f>
        <v/>
      </c>
      <c r="AG220" s="33">
        <f>IF(W220&lt;&gt;"OK","",AM220*AN220/60)</f>
        <v/>
      </c>
      <c r="AH220" s="34">
        <f>IF(A220="","",UPPER(TRIM(ASC(A220&amp;""))))</f>
        <v/>
      </c>
      <c r="AI220" s="34">
        <f>IF(AH220="","",AH220&amp;"-"&amp;B220)</f>
        <v/>
      </c>
      <c r="AJ220" s="34">
        <f>IF(C220="","",IFERROR(VALUE(ASC(SUBSTITUTE(C220&amp;"","観点",""))),""))</f>
        <v/>
      </c>
      <c r="AK220" s="34">
        <f>IF(E220="","",UPPER(LEFT(TRIM(ASC(E220&amp;"")),3)))</f>
        <v/>
      </c>
      <c r="AL220" s="34">
        <f>IF(I220="","",IFERROR(VALUE(SUBSTITUTE(SUBSTITUTE(SUBSTITUTE(SUBSTITUTE(SUBSTITUTE(SUBSTITUTE(SUBSTITUTE(SUBSTITUTE(SUBSTITUTE(SUBSTITUTE(SUBSTITUTE(SUBSTITUTE(ASC(I220&amp;""),"約",""),"程度",""),"ほど",""),"回",""),"毎",""),"週",""),"月",""),"年",""),"日",""),"に",""),"/","")," ","")),""))</f>
        <v/>
      </c>
      <c r="AM220" s="34">
        <f>IF(I220="","",IF(ISNUMBER(I220),I220,IFERROR(VALUE(ASC(I220&amp;"")),IF(AL220&lt;&gt;"",AL220*IF(ISNUMBER(SEARCH("週",I220)),4.3,IF(ISNUMBER(SEARCH("年",I220)),1/12,IF(ISNUMBER(SEARCH("日",I220)),20,1))),IF(ISNUMBER(SEARCH("日",I220)),20,IF(ISNUMBER(SEARCH("週",I220)),4.3,IF(ISNUMBER(SEARCH("月",I220)),1,"")))))))</f>
        <v/>
      </c>
      <c r="AN220" s="34">
        <f>IF(J220="","",IF(ISNUMBER(J220),J220,IFERROR(VALUE(ASC(J220&amp;"")),IF(ISNUMBER(SEARCH("時間",J220)),IFERROR(VALUE(SUBSTITUTE(SUBSTITUTE(SUBSTITUTE(SUBSTITUTE(SUBSTITUTE(ASC(J220&amp;""),"約",""),"程度",""),"ほど",""),"時間","")," ",""))*60,""),IFERROR(VALUE(SUBSTITUTE(SUBSTITUTE(SUBSTITUTE(SUBSTITUTE(SUBSTITUTE(ASC(J220&amp;""),"約",""),"程度",""),"ほど",""),"分","")," ","")),"")))))</f>
        <v/>
      </c>
      <c r="AO220" s="34">
        <f>IF(K220="","",IF(ISNUMBER(K220),K220,IFERROR(VALUE(SUBSTITUTE(SUBSTITUTE(SUBSTITUTE(ASC(K220&amp;""),"約",""),"件","")," ","")),"")))</f>
        <v/>
      </c>
      <c r="AP220" s="34">
        <f>IF(W220&lt;&gt;"OK","",IF(COUNTIFS($D$5:$D$404,D220,$W$5:$W$404,"OK")&gt;1,"同名あり",""))</f>
        <v/>
      </c>
      <c r="AQ220" s="35">
        <f>IF(L220="","",IF(ISNUMBER(L220),L220,IFERROR(DATEVALUE(SUBSTITUTE(SUBSTITUTE(ASC(L220&amp;""),"-","/"),".","/")&amp;"/01"),"")))</f>
        <v/>
      </c>
      <c r="AR220" s="35">
        <f>IF(M220="","",IF(ISNUMBER(M220),M220,IFERROR(DATEVALUE(SUBSTITUTE(SUBSTITUTE(ASC(M220&amp;""),"-","/"),".","/")&amp;"/01"),"")))</f>
        <v/>
      </c>
      <c r="AS220" s="34">
        <f>IF(OR(W220&lt;&gt;"OK",AQ220=""),"",IF(AQ220&gt;='01_設定'!$C$26,1,0))</f>
        <v/>
      </c>
      <c r="AT220" s="34">
        <f>IF(AND(W220="OK",Y220&lt;&gt;"除外"),COUNTIFS($W$5:W220,"OK",$Y$5:Y220,"&lt;&gt;除外"),"")</f>
        <v/>
      </c>
      <c r="AU220" s="34">
        <f>IF(OR(AT220="",AD220=""),"",AD220+ROW()/1000000000)</f>
        <v/>
      </c>
    </row>
    <row r="221">
      <c r="W221">
        <f>IF(AND(A221="",D221=""),"",IF(ISNUMBER(SEARCH("##END",AH221)),"（終わりの印）",IF(ISNUMBER(SEARCH("##続き",AH221)),"（続きありの印）",IF(AH221="調査ID","（見出し行）",IF(AND(AH221&lt;&gt;"R1",AH221&lt;&gt;"R2"),"×表以外の行（集計されない）",IF(COUNTIF($AI$5:AI221,AI221)&gt;1,"△重複（集計されない）",IF(D221="","△タスク名なし",IF(ISNA(MATCH(AK221,'M1_類型マスタ'!$A$5:$A$19,0)),"△類型が不正",IF(OR(AM221="",AN221=""),"△回数・分が読めない",IF(SUMPRODUCT(--ISNUMBER(--O221:U221))&lt;7,"△採点が足りない",IF(SUMPRODUCT((--O221:U221&gt;2)+(--O221:U221&lt;0))&gt;0,"△採点が範囲外","OK")))))))))))</f>
        <v/>
      </c>
      <c r="X221">
        <f>IF(W221&lt;&gt;"OK","",TRIM(IF(AND(AO221&lt;&gt;"",N(AO221)&lt;=1),"根拠1件 ","")&amp;IF(AP221&lt;&gt;"","同名あり ","")&amp;IF(AND(NOT(ISNUMBER(I221)),I221&lt;&gt;""),"回数を換算 ","")))</f>
        <v/>
      </c>
      <c r="Y221" s="31" t="n"/>
      <c r="Z221" s="32" t="n"/>
      <c r="AA221" s="32" t="n"/>
      <c r="AB221" s="31" t="n"/>
      <c r="AC221">
        <f>IF(W221&lt;&gt;"OK","",IF(AB221&lt;&gt;"",AB221,AE221))</f>
        <v/>
      </c>
      <c r="AD221" s="33">
        <f>IF(W221&lt;&gt;"OK","",IFERROR(IF(Z221&lt;&gt;"",Z221,AM221)*IF(AA221&lt;&gt;"",AA221,AN221)/60,""))</f>
        <v/>
      </c>
      <c r="AE221">
        <f>IF(W221&lt;&gt;"OK","",IF(OR(VALUE(O221)=2,VALUE(P221)=2,VALUE(Q221)=2),"社内残置",IF(AND(VALUE(O221)=0,VALUE(R221)=0,VALUE(T221)=0),"自動化候補",IF(AND(VALUE(P221)=0,VALUE(R221)&lt;=1,VALUE(S221)&lt;=1,VALUE(T221)&lt;=1,VALUE(U221)&lt;=1),"オフショア候補",IF(AND(VALUE(T221)&lt;=1,VALUE(U221)&lt;=1),"ニアショア候補","社内で手順化→再評価")))))</f>
        <v/>
      </c>
      <c r="AF221">
        <f>IF(W221&lt;&gt;"OK","",14-SUMPRODUCT(--O221:U221))</f>
        <v/>
      </c>
      <c r="AG221" s="33">
        <f>IF(W221&lt;&gt;"OK","",AM221*AN221/60)</f>
        <v/>
      </c>
      <c r="AH221" s="34">
        <f>IF(A221="","",UPPER(TRIM(ASC(A221&amp;""))))</f>
        <v/>
      </c>
      <c r="AI221" s="34">
        <f>IF(AH221="","",AH221&amp;"-"&amp;B221)</f>
        <v/>
      </c>
      <c r="AJ221" s="34">
        <f>IF(C221="","",IFERROR(VALUE(ASC(SUBSTITUTE(C221&amp;"","観点",""))),""))</f>
        <v/>
      </c>
      <c r="AK221" s="34">
        <f>IF(E221="","",UPPER(LEFT(TRIM(ASC(E221&amp;"")),3)))</f>
        <v/>
      </c>
      <c r="AL221" s="34">
        <f>IF(I221="","",IFERROR(VALUE(SUBSTITUTE(SUBSTITUTE(SUBSTITUTE(SUBSTITUTE(SUBSTITUTE(SUBSTITUTE(SUBSTITUTE(SUBSTITUTE(SUBSTITUTE(SUBSTITUTE(SUBSTITUTE(SUBSTITUTE(ASC(I221&amp;""),"約",""),"程度",""),"ほど",""),"回",""),"毎",""),"週",""),"月",""),"年",""),"日",""),"に",""),"/","")," ","")),""))</f>
        <v/>
      </c>
      <c r="AM221" s="34">
        <f>IF(I221="","",IF(ISNUMBER(I221),I221,IFERROR(VALUE(ASC(I221&amp;"")),IF(AL221&lt;&gt;"",AL221*IF(ISNUMBER(SEARCH("週",I221)),4.3,IF(ISNUMBER(SEARCH("年",I221)),1/12,IF(ISNUMBER(SEARCH("日",I221)),20,1))),IF(ISNUMBER(SEARCH("日",I221)),20,IF(ISNUMBER(SEARCH("週",I221)),4.3,IF(ISNUMBER(SEARCH("月",I221)),1,"")))))))</f>
        <v/>
      </c>
      <c r="AN221" s="34">
        <f>IF(J221="","",IF(ISNUMBER(J221),J221,IFERROR(VALUE(ASC(J221&amp;"")),IF(ISNUMBER(SEARCH("時間",J221)),IFERROR(VALUE(SUBSTITUTE(SUBSTITUTE(SUBSTITUTE(SUBSTITUTE(SUBSTITUTE(ASC(J221&amp;""),"約",""),"程度",""),"ほど",""),"時間","")," ",""))*60,""),IFERROR(VALUE(SUBSTITUTE(SUBSTITUTE(SUBSTITUTE(SUBSTITUTE(SUBSTITUTE(ASC(J221&amp;""),"約",""),"程度",""),"ほど",""),"分","")," ","")),"")))))</f>
        <v/>
      </c>
      <c r="AO221" s="34">
        <f>IF(K221="","",IF(ISNUMBER(K221),K221,IFERROR(VALUE(SUBSTITUTE(SUBSTITUTE(SUBSTITUTE(ASC(K221&amp;""),"約",""),"件","")," ","")),"")))</f>
        <v/>
      </c>
      <c r="AP221" s="34">
        <f>IF(W221&lt;&gt;"OK","",IF(COUNTIFS($D$5:$D$404,D221,$W$5:$W$404,"OK")&gt;1,"同名あり",""))</f>
        <v/>
      </c>
      <c r="AQ221" s="35">
        <f>IF(L221="","",IF(ISNUMBER(L221),L221,IFERROR(DATEVALUE(SUBSTITUTE(SUBSTITUTE(ASC(L221&amp;""),"-","/"),".","/")&amp;"/01"),"")))</f>
        <v/>
      </c>
      <c r="AR221" s="35">
        <f>IF(M221="","",IF(ISNUMBER(M221),M221,IFERROR(DATEVALUE(SUBSTITUTE(SUBSTITUTE(ASC(M221&amp;""),"-","/"),".","/")&amp;"/01"),"")))</f>
        <v/>
      </c>
      <c r="AS221" s="34">
        <f>IF(OR(W221&lt;&gt;"OK",AQ221=""),"",IF(AQ221&gt;='01_設定'!$C$26,1,0))</f>
        <v/>
      </c>
      <c r="AT221" s="34">
        <f>IF(AND(W221="OK",Y221&lt;&gt;"除外"),COUNTIFS($W$5:W221,"OK",$Y$5:Y221,"&lt;&gt;除外"),"")</f>
        <v/>
      </c>
      <c r="AU221" s="34">
        <f>IF(OR(AT221="",AD221=""),"",AD221+ROW()/1000000000)</f>
        <v/>
      </c>
    </row>
    <row r="222">
      <c r="W222">
        <f>IF(AND(A222="",D222=""),"",IF(ISNUMBER(SEARCH("##END",AH222)),"（終わりの印）",IF(ISNUMBER(SEARCH("##続き",AH222)),"（続きありの印）",IF(AH222="調査ID","（見出し行）",IF(AND(AH222&lt;&gt;"R1",AH222&lt;&gt;"R2"),"×表以外の行（集計されない）",IF(COUNTIF($AI$5:AI222,AI222)&gt;1,"△重複（集計されない）",IF(D222="","△タスク名なし",IF(ISNA(MATCH(AK222,'M1_類型マスタ'!$A$5:$A$19,0)),"△類型が不正",IF(OR(AM222="",AN222=""),"△回数・分が読めない",IF(SUMPRODUCT(--ISNUMBER(--O222:U222))&lt;7,"△採点が足りない",IF(SUMPRODUCT((--O222:U222&gt;2)+(--O222:U222&lt;0))&gt;0,"△採点が範囲外","OK")))))))))))</f>
        <v/>
      </c>
      <c r="X222">
        <f>IF(W222&lt;&gt;"OK","",TRIM(IF(AND(AO222&lt;&gt;"",N(AO222)&lt;=1),"根拠1件 ","")&amp;IF(AP222&lt;&gt;"","同名あり ","")&amp;IF(AND(NOT(ISNUMBER(I222)),I222&lt;&gt;""),"回数を換算 ","")))</f>
        <v/>
      </c>
      <c r="Y222" s="31" t="n"/>
      <c r="Z222" s="32" t="n"/>
      <c r="AA222" s="32" t="n"/>
      <c r="AB222" s="31" t="n"/>
      <c r="AC222">
        <f>IF(W222&lt;&gt;"OK","",IF(AB222&lt;&gt;"",AB222,AE222))</f>
        <v/>
      </c>
      <c r="AD222" s="33">
        <f>IF(W222&lt;&gt;"OK","",IFERROR(IF(Z222&lt;&gt;"",Z222,AM222)*IF(AA222&lt;&gt;"",AA222,AN222)/60,""))</f>
        <v/>
      </c>
      <c r="AE222">
        <f>IF(W222&lt;&gt;"OK","",IF(OR(VALUE(O222)=2,VALUE(P222)=2,VALUE(Q222)=2),"社内残置",IF(AND(VALUE(O222)=0,VALUE(R222)=0,VALUE(T222)=0),"自動化候補",IF(AND(VALUE(P222)=0,VALUE(R222)&lt;=1,VALUE(S222)&lt;=1,VALUE(T222)&lt;=1,VALUE(U222)&lt;=1),"オフショア候補",IF(AND(VALUE(T222)&lt;=1,VALUE(U222)&lt;=1),"ニアショア候補","社内で手順化→再評価")))))</f>
        <v/>
      </c>
      <c r="AF222">
        <f>IF(W222&lt;&gt;"OK","",14-SUMPRODUCT(--O222:U222))</f>
        <v/>
      </c>
      <c r="AG222" s="33">
        <f>IF(W222&lt;&gt;"OK","",AM222*AN222/60)</f>
        <v/>
      </c>
      <c r="AH222" s="34">
        <f>IF(A222="","",UPPER(TRIM(ASC(A222&amp;""))))</f>
        <v/>
      </c>
      <c r="AI222" s="34">
        <f>IF(AH222="","",AH222&amp;"-"&amp;B222)</f>
        <v/>
      </c>
      <c r="AJ222" s="34">
        <f>IF(C222="","",IFERROR(VALUE(ASC(SUBSTITUTE(C222&amp;"","観点",""))),""))</f>
        <v/>
      </c>
      <c r="AK222" s="34">
        <f>IF(E222="","",UPPER(LEFT(TRIM(ASC(E222&amp;"")),3)))</f>
        <v/>
      </c>
      <c r="AL222" s="34">
        <f>IF(I222="","",IFERROR(VALUE(SUBSTITUTE(SUBSTITUTE(SUBSTITUTE(SUBSTITUTE(SUBSTITUTE(SUBSTITUTE(SUBSTITUTE(SUBSTITUTE(SUBSTITUTE(SUBSTITUTE(SUBSTITUTE(SUBSTITUTE(ASC(I222&amp;""),"約",""),"程度",""),"ほど",""),"回",""),"毎",""),"週",""),"月",""),"年",""),"日",""),"に",""),"/","")," ","")),""))</f>
        <v/>
      </c>
      <c r="AM222" s="34">
        <f>IF(I222="","",IF(ISNUMBER(I222),I222,IFERROR(VALUE(ASC(I222&amp;"")),IF(AL222&lt;&gt;"",AL222*IF(ISNUMBER(SEARCH("週",I222)),4.3,IF(ISNUMBER(SEARCH("年",I222)),1/12,IF(ISNUMBER(SEARCH("日",I222)),20,1))),IF(ISNUMBER(SEARCH("日",I222)),20,IF(ISNUMBER(SEARCH("週",I222)),4.3,IF(ISNUMBER(SEARCH("月",I222)),1,"")))))))</f>
        <v/>
      </c>
      <c r="AN222" s="34">
        <f>IF(J222="","",IF(ISNUMBER(J222),J222,IFERROR(VALUE(ASC(J222&amp;"")),IF(ISNUMBER(SEARCH("時間",J222)),IFERROR(VALUE(SUBSTITUTE(SUBSTITUTE(SUBSTITUTE(SUBSTITUTE(SUBSTITUTE(ASC(J222&amp;""),"約",""),"程度",""),"ほど",""),"時間","")," ",""))*60,""),IFERROR(VALUE(SUBSTITUTE(SUBSTITUTE(SUBSTITUTE(SUBSTITUTE(SUBSTITUTE(ASC(J222&amp;""),"約",""),"程度",""),"ほど",""),"分","")," ","")),"")))))</f>
        <v/>
      </c>
      <c r="AO222" s="34">
        <f>IF(K222="","",IF(ISNUMBER(K222),K222,IFERROR(VALUE(SUBSTITUTE(SUBSTITUTE(SUBSTITUTE(ASC(K222&amp;""),"約",""),"件","")," ","")),"")))</f>
        <v/>
      </c>
      <c r="AP222" s="34">
        <f>IF(W222&lt;&gt;"OK","",IF(COUNTIFS($D$5:$D$404,D222,$W$5:$W$404,"OK")&gt;1,"同名あり",""))</f>
        <v/>
      </c>
      <c r="AQ222" s="35">
        <f>IF(L222="","",IF(ISNUMBER(L222),L222,IFERROR(DATEVALUE(SUBSTITUTE(SUBSTITUTE(ASC(L222&amp;""),"-","/"),".","/")&amp;"/01"),"")))</f>
        <v/>
      </c>
      <c r="AR222" s="35">
        <f>IF(M222="","",IF(ISNUMBER(M222),M222,IFERROR(DATEVALUE(SUBSTITUTE(SUBSTITUTE(ASC(M222&amp;""),"-","/"),".","/")&amp;"/01"),"")))</f>
        <v/>
      </c>
      <c r="AS222" s="34">
        <f>IF(OR(W222&lt;&gt;"OK",AQ222=""),"",IF(AQ222&gt;='01_設定'!$C$26,1,0))</f>
        <v/>
      </c>
      <c r="AT222" s="34">
        <f>IF(AND(W222="OK",Y222&lt;&gt;"除外"),COUNTIFS($W$5:W222,"OK",$Y$5:Y222,"&lt;&gt;除外"),"")</f>
        <v/>
      </c>
      <c r="AU222" s="34">
        <f>IF(OR(AT222="",AD222=""),"",AD222+ROW()/1000000000)</f>
        <v/>
      </c>
    </row>
    <row r="223">
      <c r="W223">
        <f>IF(AND(A223="",D223=""),"",IF(ISNUMBER(SEARCH("##END",AH223)),"（終わりの印）",IF(ISNUMBER(SEARCH("##続き",AH223)),"（続きありの印）",IF(AH223="調査ID","（見出し行）",IF(AND(AH223&lt;&gt;"R1",AH223&lt;&gt;"R2"),"×表以外の行（集計されない）",IF(COUNTIF($AI$5:AI223,AI223)&gt;1,"△重複（集計されない）",IF(D223="","△タスク名なし",IF(ISNA(MATCH(AK223,'M1_類型マスタ'!$A$5:$A$19,0)),"△類型が不正",IF(OR(AM223="",AN223=""),"△回数・分が読めない",IF(SUMPRODUCT(--ISNUMBER(--O223:U223))&lt;7,"△採点が足りない",IF(SUMPRODUCT((--O223:U223&gt;2)+(--O223:U223&lt;0))&gt;0,"△採点が範囲外","OK")))))))))))</f>
        <v/>
      </c>
      <c r="X223">
        <f>IF(W223&lt;&gt;"OK","",TRIM(IF(AND(AO223&lt;&gt;"",N(AO223)&lt;=1),"根拠1件 ","")&amp;IF(AP223&lt;&gt;"","同名あり ","")&amp;IF(AND(NOT(ISNUMBER(I223)),I223&lt;&gt;""),"回数を換算 ","")))</f>
        <v/>
      </c>
      <c r="Y223" s="31" t="n"/>
      <c r="Z223" s="32" t="n"/>
      <c r="AA223" s="32" t="n"/>
      <c r="AB223" s="31" t="n"/>
      <c r="AC223">
        <f>IF(W223&lt;&gt;"OK","",IF(AB223&lt;&gt;"",AB223,AE223))</f>
        <v/>
      </c>
      <c r="AD223" s="33">
        <f>IF(W223&lt;&gt;"OK","",IFERROR(IF(Z223&lt;&gt;"",Z223,AM223)*IF(AA223&lt;&gt;"",AA223,AN223)/60,""))</f>
        <v/>
      </c>
      <c r="AE223">
        <f>IF(W223&lt;&gt;"OK","",IF(OR(VALUE(O223)=2,VALUE(P223)=2,VALUE(Q223)=2),"社内残置",IF(AND(VALUE(O223)=0,VALUE(R223)=0,VALUE(T223)=0),"自動化候補",IF(AND(VALUE(P223)=0,VALUE(R223)&lt;=1,VALUE(S223)&lt;=1,VALUE(T223)&lt;=1,VALUE(U223)&lt;=1),"オフショア候補",IF(AND(VALUE(T223)&lt;=1,VALUE(U223)&lt;=1),"ニアショア候補","社内で手順化→再評価")))))</f>
        <v/>
      </c>
      <c r="AF223">
        <f>IF(W223&lt;&gt;"OK","",14-SUMPRODUCT(--O223:U223))</f>
        <v/>
      </c>
      <c r="AG223" s="33">
        <f>IF(W223&lt;&gt;"OK","",AM223*AN223/60)</f>
        <v/>
      </c>
      <c r="AH223" s="34">
        <f>IF(A223="","",UPPER(TRIM(ASC(A223&amp;""))))</f>
        <v/>
      </c>
      <c r="AI223" s="34">
        <f>IF(AH223="","",AH223&amp;"-"&amp;B223)</f>
        <v/>
      </c>
      <c r="AJ223" s="34">
        <f>IF(C223="","",IFERROR(VALUE(ASC(SUBSTITUTE(C223&amp;"","観点",""))),""))</f>
        <v/>
      </c>
      <c r="AK223" s="34">
        <f>IF(E223="","",UPPER(LEFT(TRIM(ASC(E223&amp;"")),3)))</f>
        <v/>
      </c>
      <c r="AL223" s="34">
        <f>IF(I223="","",IFERROR(VALUE(SUBSTITUTE(SUBSTITUTE(SUBSTITUTE(SUBSTITUTE(SUBSTITUTE(SUBSTITUTE(SUBSTITUTE(SUBSTITUTE(SUBSTITUTE(SUBSTITUTE(SUBSTITUTE(SUBSTITUTE(ASC(I223&amp;""),"約",""),"程度",""),"ほど",""),"回",""),"毎",""),"週",""),"月",""),"年",""),"日",""),"に",""),"/","")," ","")),""))</f>
        <v/>
      </c>
      <c r="AM223" s="34">
        <f>IF(I223="","",IF(ISNUMBER(I223),I223,IFERROR(VALUE(ASC(I223&amp;"")),IF(AL223&lt;&gt;"",AL223*IF(ISNUMBER(SEARCH("週",I223)),4.3,IF(ISNUMBER(SEARCH("年",I223)),1/12,IF(ISNUMBER(SEARCH("日",I223)),20,1))),IF(ISNUMBER(SEARCH("日",I223)),20,IF(ISNUMBER(SEARCH("週",I223)),4.3,IF(ISNUMBER(SEARCH("月",I223)),1,"")))))))</f>
        <v/>
      </c>
      <c r="AN223" s="34">
        <f>IF(J223="","",IF(ISNUMBER(J223),J223,IFERROR(VALUE(ASC(J223&amp;"")),IF(ISNUMBER(SEARCH("時間",J223)),IFERROR(VALUE(SUBSTITUTE(SUBSTITUTE(SUBSTITUTE(SUBSTITUTE(SUBSTITUTE(ASC(J223&amp;""),"約",""),"程度",""),"ほど",""),"時間","")," ",""))*60,""),IFERROR(VALUE(SUBSTITUTE(SUBSTITUTE(SUBSTITUTE(SUBSTITUTE(SUBSTITUTE(ASC(J223&amp;""),"約",""),"程度",""),"ほど",""),"分","")," ","")),"")))))</f>
        <v/>
      </c>
      <c r="AO223" s="34">
        <f>IF(K223="","",IF(ISNUMBER(K223),K223,IFERROR(VALUE(SUBSTITUTE(SUBSTITUTE(SUBSTITUTE(ASC(K223&amp;""),"約",""),"件","")," ","")),"")))</f>
        <v/>
      </c>
      <c r="AP223" s="34">
        <f>IF(W223&lt;&gt;"OK","",IF(COUNTIFS($D$5:$D$404,D223,$W$5:$W$404,"OK")&gt;1,"同名あり",""))</f>
        <v/>
      </c>
      <c r="AQ223" s="35">
        <f>IF(L223="","",IF(ISNUMBER(L223),L223,IFERROR(DATEVALUE(SUBSTITUTE(SUBSTITUTE(ASC(L223&amp;""),"-","/"),".","/")&amp;"/01"),"")))</f>
        <v/>
      </c>
      <c r="AR223" s="35">
        <f>IF(M223="","",IF(ISNUMBER(M223),M223,IFERROR(DATEVALUE(SUBSTITUTE(SUBSTITUTE(ASC(M223&amp;""),"-","/"),".","/")&amp;"/01"),"")))</f>
        <v/>
      </c>
      <c r="AS223" s="34">
        <f>IF(OR(W223&lt;&gt;"OK",AQ223=""),"",IF(AQ223&gt;='01_設定'!$C$26,1,0))</f>
        <v/>
      </c>
      <c r="AT223" s="34">
        <f>IF(AND(W223="OK",Y223&lt;&gt;"除外"),COUNTIFS($W$5:W223,"OK",$Y$5:Y223,"&lt;&gt;除外"),"")</f>
        <v/>
      </c>
      <c r="AU223" s="34">
        <f>IF(OR(AT223="",AD223=""),"",AD223+ROW()/1000000000)</f>
        <v/>
      </c>
    </row>
    <row r="224">
      <c r="W224">
        <f>IF(AND(A224="",D224=""),"",IF(ISNUMBER(SEARCH("##END",AH224)),"（終わりの印）",IF(ISNUMBER(SEARCH("##続き",AH224)),"（続きありの印）",IF(AH224="調査ID","（見出し行）",IF(AND(AH224&lt;&gt;"R1",AH224&lt;&gt;"R2"),"×表以外の行（集計されない）",IF(COUNTIF($AI$5:AI224,AI224)&gt;1,"△重複（集計されない）",IF(D224="","△タスク名なし",IF(ISNA(MATCH(AK224,'M1_類型マスタ'!$A$5:$A$19,0)),"△類型が不正",IF(OR(AM224="",AN224=""),"△回数・分が読めない",IF(SUMPRODUCT(--ISNUMBER(--O224:U224))&lt;7,"△採点が足りない",IF(SUMPRODUCT((--O224:U224&gt;2)+(--O224:U224&lt;0))&gt;0,"△採点が範囲外","OK")))))))))))</f>
        <v/>
      </c>
      <c r="X224">
        <f>IF(W224&lt;&gt;"OK","",TRIM(IF(AND(AO224&lt;&gt;"",N(AO224)&lt;=1),"根拠1件 ","")&amp;IF(AP224&lt;&gt;"","同名あり ","")&amp;IF(AND(NOT(ISNUMBER(I224)),I224&lt;&gt;""),"回数を換算 ","")))</f>
        <v/>
      </c>
      <c r="Y224" s="31" t="n"/>
      <c r="Z224" s="32" t="n"/>
      <c r="AA224" s="32" t="n"/>
      <c r="AB224" s="31" t="n"/>
      <c r="AC224">
        <f>IF(W224&lt;&gt;"OK","",IF(AB224&lt;&gt;"",AB224,AE224))</f>
        <v/>
      </c>
      <c r="AD224" s="33">
        <f>IF(W224&lt;&gt;"OK","",IFERROR(IF(Z224&lt;&gt;"",Z224,AM224)*IF(AA224&lt;&gt;"",AA224,AN224)/60,""))</f>
        <v/>
      </c>
      <c r="AE224">
        <f>IF(W224&lt;&gt;"OK","",IF(OR(VALUE(O224)=2,VALUE(P224)=2,VALUE(Q224)=2),"社内残置",IF(AND(VALUE(O224)=0,VALUE(R224)=0,VALUE(T224)=0),"自動化候補",IF(AND(VALUE(P224)=0,VALUE(R224)&lt;=1,VALUE(S224)&lt;=1,VALUE(T224)&lt;=1,VALUE(U224)&lt;=1),"オフショア候補",IF(AND(VALUE(T224)&lt;=1,VALUE(U224)&lt;=1),"ニアショア候補","社内で手順化→再評価")))))</f>
        <v/>
      </c>
      <c r="AF224">
        <f>IF(W224&lt;&gt;"OK","",14-SUMPRODUCT(--O224:U224))</f>
        <v/>
      </c>
      <c r="AG224" s="33">
        <f>IF(W224&lt;&gt;"OK","",AM224*AN224/60)</f>
        <v/>
      </c>
      <c r="AH224" s="34">
        <f>IF(A224="","",UPPER(TRIM(ASC(A224&amp;""))))</f>
        <v/>
      </c>
      <c r="AI224" s="34">
        <f>IF(AH224="","",AH224&amp;"-"&amp;B224)</f>
        <v/>
      </c>
      <c r="AJ224" s="34">
        <f>IF(C224="","",IFERROR(VALUE(ASC(SUBSTITUTE(C224&amp;"","観点",""))),""))</f>
        <v/>
      </c>
      <c r="AK224" s="34">
        <f>IF(E224="","",UPPER(LEFT(TRIM(ASC(E224&amp;"")),3)))</f>
        <v/>
      </c>
      <c r="AL224" s="34">
        <f>IF(I224="","",IFERROR(VALUE(SUBSTITUTE(SUBSTITUTE(SUBSTITUTE(SUBSTITUTE(SUBSTITUTE(SUBSTITUTE(SUBSTITUTE(SUBSTITUTE(SUBSTITUTE(SUBSTITUTE(SUBSTITUTE(SUBSTITUTE(ASC(I224&amp;""),"約",""),"程度",""),"ほど",""),"回",""),"毎",""),"週",""),"月",""),"年",""),"日",""),"に",""),"/","")," ","")),""))</f>
        <v/>
      </c>
      <c r="AM224" s="34">
        <f>IF(I224="","",IF(ISNUMBER(I224),I224,IFERROR(VALUE(ASC(I224&amp;"")),IF(AL224&lt;&gt;"",AL224*IF(ISNUMBER(SEARCH("週",I224)),4.3,IF(ISNUMBER(SEARCH("年",I224)),1/12,IF(ISNUMBER(SEARCH("日",I224)),20,1))),IF(ISNUMBER(SEARCH("日",I224)),20,IF(ISNUMBER(SEARCH("週",I224)),4.3,IF(ISNUMBER(SEARCH("月",I224)),1,"")))))))</f>
        <v/>
      </c>
      <c r="AN224" s="34">
        <f>IF(J224="","",IF(ISNUMBER(J224),J224,IFERROR(VALUE(ASC(J224&amp;"")),IF(ISNUMBER(SEARCH("時間",J224)),IFERROR(VALUE(SUBSTITUTE(SUBSTITUTE(SUBSTITUTE(SUBSTITUTE(SUBSTITUTE(ASC(J224&amp;""),"約",""),"程度",""),"ほど",""),"時間","")," ",""))*60,""),IFERROR(VALUE(SUBSTITUTE(SUBSTITUTE(SUBSTITUTE(SUBSTITUTE(SUBSTITUTE(ASC(J224&amp;""),"約",""),"程度",""),"ほど",""),"分","")," ","")),"")))))</f>
        <v/>
      </c>
      <c r="AO224" s="34">
        <f>IF(K224="","",IF(ISNUMBER(K224),K224,IFERROR(VALUE(SUBSTITUTE(SUBSTITUTE(SUBSTITUTE(ASC(K224&amp;""),"約",""),"件","")," ","")),"")))</f>
        <v/>
      </c>
      <c r="AP224" s="34">
        <f>IF(W224&lt;&gt;"OK","",IF(COUNTIFS($D$5:$D$404,D224,$W$5:$W$404,"OK")&gt;1,"同名あり",""))</f>
        <v/>
      </c>
      <c r="AQ224" s="35">
        <f>IF(L224="","",IF(ISNUMBER(L224),L224,IFERROR(DATEVALUE(SUBSTITUTE(SUBSTITUTE(ASC(L224&amp;""),"-","/"),".","/")&amp;"/01"),"")))</f>
        <v/>
      </c>
      <c r="AR224" s="35">
        <f>IF(M224="","",IF(ISNUMBER(M224),M224,IFERROR(DATEVALUE(SUBSTITUTE(SUBSTITUTE(ASC(M224&amp;""),"-","/"),".","/")&amp;"/01"),"")))</f>
        <v/>
      </c>
      <c r="AS224" s="34">
        <f>IF(OR(W224&lt;&gt;"OK",AQ224=""),"",IF(AQ224&gt;='01_設定'!$C$26,1,0))</f>
        <v/>
      </c>
      <c r="AT224" s="34">
        <f>IF(AND(W224="OK",Y224&lt;&gt;"除外"),COUNTIFS($W$5:W224,"OK",$Y$5:Y224,"&lt;&gt;除外"),"")</f>
        <v/>
      </c>
      <c r="AU224" s="34">
        <f>IF(OR(AT224="",AD224=""),"",AD224+ROW()/1000000000)</f>
        <v/>
      </c>
    </row>
    <row r="225">
      <c r="W225">
        <f>IF(AND(A225="",D225=""),"",IF(ISNUMBER(SEARCH("##END",AH225)),"（終わりの印）",IF(ISNUMBER(SEARCH("##続き",AH225)),"（続きありの印）",IF(AH225="調査ID","（見出し行）",IF(AND(AH225&lt;&gt;"R1",AH225&lt;&gt;"R2"),"×表以外の行（集計されない）",IF(COUNTIF($AI$5:AI225,AI225)&gt;1,"△重複（集計されない）",IF(D225="","△タスク名なし",IF(ISNA(MATCH(AK225,'M1_類型マスタ'!$A$5:$A$19,0)),"△類型が不正",IF(OR(AM225="",AN225=""),"△回数・分が読めない",IF(SUMPRODUCT(--ISNUMBER(--O225:U225))&lt;7,"△採点が足りない",IF(SUMPRODUCT((--O225:U225&gt;2)+(--O225:U225&lt;0))&gt;0,"△採点が範囲外","OK")))))))))))</f>
        <v/>
      </c>
      <c r="X225">
        <f>IF(W225&lt;&gt;"OK","",TRIM(IF(AND(AO225&lt;&gt;"",N(AO225)&lt;=1),"根拠1件 ","")&amp;IF(AP225&lt;&gt;"","同名あり ","")&amp;IF(AND(NOT(ISNUMBER(I225)),I225&lt;&gt;""),"回数を換算 ","")))</f>
        <v/>
      </c>
      <c r="Y225" s="31" t="n"/>
      <c r="Z225" s="32" t="n"/>
      <c r="AA225" s="32" t="n"/>
      <c r="AB225" s="31" t="n"/>
      <c r="AC225">
        <f>IF(W225&lt;&gt;"OK","",IF(AB225&lt;&gt;"",AB225,AE225))</f>
        <v/>
      </c>
      <c r="AD225" s="33">
        <f>IF(W225&lt;&gt;"OK","",IFERROR(IF(Z225&lt;&gt;"",Z225,AM225)*IF(AA225&lt;&gt;"",AA225,AN225)/60,""))</f>
        <v/>
      </c>
      <c r="AE225">
        <f>IF(W225&lt;&gt;"OK","",IF(OR(VALUE(O225)=2,VALUE(P225)=2,VALUE(Q225)=2),"社内残置",IF(AND(VALUE(O225)=0,VALUE(R225)=0,VALUE(T225)=0),"自動化候補",IF(AND(VALUE(P225)=0,VALUE(R225)&lt;=1,VALUE(S225)&lt;=1,VALUE(T225)&lt;=1,VALUE(U225)&lt;=1),"オフショア候補",IF(AND(VALUE(T225)&lt;=1,VALUE(U225)&lt;=1),"ニアショア候補","社内で手順化→再評価")))))</f>
        <v/>
      </c>
      <c r="AF225">
        <f>IF(W225&lt;&gt;"OK","",14-SUMPRODUCT(--O225:U225))</f>
        <v/>
      </c>
      <c r="AG225" s="33">
        <f>IF(W225&lt;&gt;"OK","",AM225*AN225/60)</f>
        <v/>
      </c>
      <c r="AH225" s="34">
        <f>IF(A225="","",UPPER(TRIM(ASC(A225&amp;""))))</f>
        <v/>
      </c>
      <c r="AI225" s="34">
        <f>IF(AH225="","",AH225&amp;"-"&amp;B225)</f>
        <v/>
      </c>
      <c r="AJ225" s="34">
        <f>IF(C225="","",IFERROR(VALUE(ASC(SUBSTITUTE(C225&amp;"","観点",""))),""))</f>
        <v/>
      </c>
      <c r="AK225" s="34">
        <f>IF(E225="","",UPPER(LEFT(TRIM(ASC(E225&amp;"")),3)))</f>
        <v/>
      </c>
      <c r="AL225" s="34">
        <f>IF(I225="","",IFERROR(VALUE(SUBSTITUTE(SUBSTITUTE(SUBSTITUTE(SUBSTITUTE(SUBSTITUTE(SUBSTITUTE(SUBSTITUTE(SUBSTITUTE(SUBSTITUTE(SUBSTITUTE(SUBSTITUTE(SUBSTITUTE(ASC(I225&amp;""),"約",""),"程度",""),"ほど",""),"回",""),"毎",""),"週",""),"月",""),"年",""),"日",""),"に",""),"/","")," ","")),""))</f>
        <v/>
      </c>
      <c r="AM225" s="34">
        <f>IF(I225="","",IF(ISNUMBER(I225),I225,IFERROR(VALUE(ASC(I225&amp;"")),IF(AL225&lt;&gt;"",AL225*IF(ISNUMBER(SEARCH("週",I225)),4.3,IF(ISNUMBER(SEARCH("年",I225)),1/12,IF(ISNUMBER(SEARCH("日",I225)),20,1))),IF(ISNUMBER(SEARCH("日",I225)),20,IF(ISNUMBER(SEARCH("週",I225)),4.3,IF(ISNUMBER(SEARCH("月",I225)),1,"")))))))</f>
        <v/>
      </c>
      <c r="AN225" s="34">
        <f>IF(J225="","",IF(ISNUMBER(J225),J225,IFERROR(VALUE(ASC(J225&amp;"")),IF(ISNUMBER(SEARCH("時間",J225)),IFERROR(VALUE(SUBSTITUTE(SUBSTITUTE(SUBSTITUTE(SUBSTITUTE(SUBSTITUTE(ASC(J225&amp;""),"約",""),"程度",""),"ほど",""),"時間","")," ",""))*60,""),IFERROR(VALUE(SUBSTITUTE(SUBSTITUTE(SUBSTITUTE(SUBSTITUTE(SUBSTITUTE(ASC(J225&amp;""),"約",""),"程度",""),"ほど",""),"分","")," ","")),"")))))</f>
        <v/>
      </c>
      <c r="AO225" s="34">
        <f>IF(K225="","",IF(ISNUMBER(K225),K225,IFERROR(VALUE(SUBSTITUTE(SUBSTITUTE(SUBSTITUTE(ASC(K225&amp;""),"約",""),"件","")," ","")),"")))</f>
        <v/>
      </c>
      <c r="AP225" s="34">
        <f>IF(W225&lt;&gt;"OK","",IF(COUNTIFS($D$5:$D$404,D225,$W$5:$W$404,"OK")&gt;1,"同名あり",""))</f>
        <v/>
      </c>
      <c r="AQ225" s="35">
        <f>IF(L225="","",IF(ISNUMBER(L225),L225,IFERROR(DATEVALUE(SUBSTITUTE(SUBSTITUTE(ASC(L225&amp;""),"-","/"),".","/")&amp;"/01"),"")))</f>
        <v/>
      </c>
      <c r="AR225" s="35">
        <f>IF(M225="","",IF(ISNUMBER(M225),M225,IFERROR(DATEVALUE(SUBSTITUTE(SUBSTITUTE(ASC(M225&amp;""),"-","/"),".","/")&amp;"/01"),"")))</f>
        <v/>
      </c>
      <c r="AS225" s="34">
        <f>IF(OR(W225&lt;&gt;"OK",AQ225=""),"",IF(AQ225&gt;='01_設定'!$C$26,1,0))</f>
        <v/>
      </c>
      <c r="AT225" s="34">
        <f>IF(AND(W225="OK",Y225&lt;&gt;"除外"),COUNTIFS($W$5:W225,"OK",$Y$5:Y225,"&lt;&gt;除外"),"")</f>
        <v/>
      </c>
      <c r="AU225" s="34">
        <f>IF(OR(AT225="",AD225=""),"",AD225+ROW()/1000000000)</f>
        <v/>
      </c>
    </row>
    <row r="226">
      <c r="W226">
        <f>IF(AND(A226="",D226=""),"",IF(ISNUMBER(SEARCH("##END",AH226)),"（終わりの印）",IF(ISNUMBER(SEARCH("##続き",AH226)),"（続きありの印）",IF(AH226="調査ID","（見出し行）",IF(AND(AH226&lt;&gt;"R1",AH226&lt;&gt;"R2"),"×表以外の行（集計されない）",IF(COUNTIF($AI$5:AI226,AI226)&gt;1,"△重複（集計されない）",IF(D226="","△タスク名なし",IF(ISNA(MATCH(AK226,'M1_類型マスタ'!$A$5:$A$19,0)),"△類型が不正",IF(OR(AM226="",AN226=""),"△回数・分が読めない",IF(SUMPRODUCT(--ISNUMBER(--O226:U226))&lt;7,"△採点が足りない",IF(SUMPRODUCT((--O226:U226&gt;2)+(--O226:U226&lt;0))&gt;0,"△採点が範囲外","OK")))))))))))</f>
        <v/>
      </c>
      <c r="X226">
        <f>IF(W226&lt;&gt;"OK","",TRIM(IF(AND(AO226&lt;&gt;"",N(AO226)&lt;=1),"根拠1件 ","")&amp;IF(AP226&lt;&gt;"","同名あり ","")&amp;IF(AND(NOT(ISNUMBER(I226)),I226&lt;&gt;""),"回数を換算 ","")))</f>
        <v/>
      </c>
      <c r="Y226" s="31" t="n"/>
      <c r="Z226" s="32" t="n"/>
      <c r="AA226" s="32" t="n"/>
      <c r="AB226" s="31" t="n"/>
      <c r="AC226">
        <f>IF(W226&lt;&gt;"OK","",IF(AB226&lt;&gt;"",AB226,AE226))</f>
        <v/>
      </c>
      <c r="AD226" s="33">
        <f>IF(W226&lt;&gt;"OK","",IFERROR(IF(Z226&lt;&gt;"",Z226,AM226)*IF(AA226&lt;&gt;"",AA226,AN226)/60,""))</f>
        <v/>
      </c>
      <c r="AE226">
        <f>IF(W226&lt;&gt;"OK","",IF(OR(VALUE(O226)=2,VALUE(P226)=2,VALUE(Q226)=2),"社内残置",IF(AND(VALUE(O226)=0,VALUE(R226)=0,VALUE(T226)=0),"自動化候補",IF(AND(VALUE(P226)=0,VALUE(R226)&lt;=1,VALUE(S226)&lt;=1,VALUE(T226)&lt;=1,VALUE(U226)&lt;=1),"オフショア候補",IF(AND(VALUE(T226)&lt;=1,VALUE(U226)&lt;=1),"ニアショア候補","社内で手順化→再評価")))))</f>
        <v/>
      </c>
      <c r="AF226">
        <f>IF(W226&lt;&gt;"OK","",14-SUMPRODUCT(--O226:U226))</f>
        <v/>
      </c>
      <c r="AG226" s="33">
        <f>IF(W226&lt;&gt;"OK","",AM226*AN226/60)</f>
        <v/>
      </c>
      <c r="AH226" s="34">
        <f>IF(A226="","",UPPER(TRIM(ASC(A226&amp;""))))</f>
        <v/>
      </c>
      <c r="AI226" s="34">
        <f>IF(AH226="","",AH226&amp;"-"&amp;B226)</f>
        <v/>
      </c>
      <c r="AJ226" s="34">
        <f>IF(C226="","",IFERROR(VALUE(ASC(SUBSTITUTE(C226&amp;"","観点",""))),""))</f>
        <v/>
      </c>
      <c r="AK226" s="34">
        <f>IF(E226="","",UPPER(LEFT(TRIM(ASC(E226&amp;"")),3)))</f>
        <v/>
      </c>
      <c r="AL226" s="34">
        <f>IF(I226="","",IFERROR(VALUE(SUBSTITUTE(SUBSTITUTE(SUBSTITUTE(SUBSTITUTE(SUBSTITUTE(SUBSTITUTE(SUBSTITUTE(SUBSTITUTE(SUBSTITUTE(SUBSTITUTE(SUBSTITUTE(SUBSTITUTE(ASC(I226&amp;""),"約",""),"程度",""),"ほど",""),"回",""),"毎",""),"週",""),"月",""),"年",""),"日",""),"に",""),"/","")," ","")),""))</f>
        <v/>
      </c>
      <c r="AM226" s="34">
        <f>IF(I226="","",IF(ISNUMBER(I226),I226,IFERROR(VALUE(ASC(I226&amp;"")),IF(AL226&lt;&gt;"",AL226*IF(ISNUMBER(SEARCH("週",I226)),4.3,IF(ISNUMBER(SEARCH("年",I226)),1/12,IF(ISNUMBER(SEARCH("日",I226)),20,1))),IF(ISNUMBER(SEARCH("日",I226)),20,IF(ISNUMBER(SEARCH("週",I226)),4.3,IF(ISNUMBER(SEARCH("月",I226)),1,"")))))))</f>
        <v/>
      </c>
      <c r="AN226" s="34">
        <f>IF(J226="","",IF(ISNUMBER(J226),J226,IFERROR(VALUE(ASC(J226&amp;"")),IF(ISNUMBER(SEARCH("時間",J226)),IFERROR(VALUE(SUBSTITUTE(SUBSTITUTE(SUBSTITUTE(SUBSTITUTE(SUBSTITUTE(ASC(J226&amp;""),"約",""),"程度",""),"ほど",""),"時間","")," ",""))*60,""),IFERROR(VALUE(SUBSTITUTE(SUBSTITUTE(SUBSTITUTE(SUBSTITUTE(SUBSTITUTE(ASC(J226&amp;""),"約",""),"程度",""),"ほど",""),"分","")," ","")),"")))))</f>
        <v/>
      </c>
      <c r="AO226" s="34">
        <f>IF(K226="","",IF(ISNUMBER(K226),K226,IFERROR(VALUE(SUBSTITUTE(SUBSTITUTE(SUBSTITUTE(ASC(K226&amp;""),"約",""),"件","")," ","")),"")))</f>
        <v/>
      </c>
      <c r="AP226" s="34">
        <f>IF(W226&lt;&gt;"OK","",IF(COUNTIFS($D$5:$D$404,D226,$W$5:$W$404,"OK")&gt;1,"同名あり",""))</f>
        <v/>
      </c>
      <c r="AQ226" s="35">
        <f>IF(L226="","",IF(ISNUMBER(L226),L226,IFERROR(DATEVALUE(SUBSTITUTE(SUBSTITUTE(ASC(L226&amp;""),"-","/"),".","/")&amp;"/01"),"")))</f>
        <v/>
      </c>
      <c r="AR226" s="35">
        <f>IF(M226="","",IF(ISNUMBER(M226),M226,IFERROR(DATEVALUE(SUBSTITUTE(SUBSTITUTE(ASC(M226&amp;""),"-","/"),".","/")&amp;"/01"),"")))</f>
        <v/>
      </c>
      <c r="AS226" s="34">
        <f>IF(OR(W226&lt;&gt;"OK",AQ226=""),"",IF(AQ226&gt;='01_設定'!$C$26,1,0))</f>
        <v/>
      </c>
      <c r="AT226" s="34">
        <f>IF(AND(W226="OK",Y226&lt;&gt;"除外"),COUNTIFS($W$5:W226,"OK",$Y$5:Y226,"&lt;&gt;除外"),"")</f>
        <v/>
      </c>
      <c r="AU226" s="34">
        <f>IF(OR(AT226="",AD226=""),"",AD226+ROW()/1000000000)</f>
        <v/>
      </c>
    </row>
    <row r="227">
      <c r="W227">
        <f>IF(AND(A227="",D227=""),"",IF(ISNUMBER(SEARCH("##END",AH227)),"（終わりの印）",IF(ISNUMBER(SEARCH("##続き",AH227)),"（続きありの印）",IF(AH227="調査ID","（見出し行）",IF(AND(AH227&lt;&gt;"R1",AH227&lt;&gt;"R2"),"×表以外の行（集計されない）",IF(COUNTIF($AI$5:AI227,AI227)&gt;1,"△重複（集計されない）",IF(D227="","△タスク名なし",IF(ISNA(MATCH(AK227,'M1_類型マスタ'!$A$5:$A$19,0)),"△類型が不正",IF(OR(AM227="",AN227=""),"△回数・分が読めない",IF(SUMPRODUCT(--ISNUMBER(--O227:U227))&lt;7,"△採点が足りない",IF(SUMPRODUCT((--O227:U227&gt;2)+(--O227:U227&lt;0))&gt;0,"△採点が範囲外","OK")))))))))))</f>
        <v/>
      </c>
      <c r="X227">
        <f>IF(W227&lt;&gt;"OK","",TRIM(IF(AND(AO227&lt;&gt;"",N(AO227)&lt;=1),"根拠1件 ","")&amp;IF(AP227&lt;&gt;"","同名あり ","")&amp;IF(AND(NOT(ISNUMBER(I227)),I227&lt;&gt;""),"回数を換算 ","")))</f>
        <v/>
      </c>
      <c r="Y227" s="31" t="n"/>
      <c r="Z227" s="32" t="n"/>
      <c r="AA227" s="32" t="n"/>
      <c r="AB227" s="31" t="n"/>
      <c r="AC227">
        <f>IF(W227&lt;&gt;"OK","",IF(AB227&lt;&gt;"",AB227,AE227))</f>
        <v/>
      </c>
      <c r="AD227" s="33">
        <f>IF(W227&lt;&gt;"OK","",IFERROR(IF(Z227&lt;&gt;"",Z227,AM227)*IF(AA227&lt;&gt;"",AA227,AN227)/60,""))</f>
        <v/>
      </c>
      <c r="AE227">
        <f>IF(W227&lt;&gt;"OK","",IF(OR(VALUE(O227)=2,VALUE(P227)=2,VALUE(Q227)=2),"社内残置",IF(AND(VALUE(O227)=0,VALUE(R227)=0,VALUE(T227)=0),"自動化候補",IF(AND(VALUE(P227)=0,VALUE(R227)&lt;=1,VALUE(S227)&lt;=1,VALUE(T227)&lt;=1,VALUE(U227)&lt;=1),"オフショア候補",IF(AND(VALUE(T227)&lt;=1,VALUE(U227)&lt;=1),"ニアショア候補","社内で手順化→再評価")))))</f>
        <v/>
      </c>
      <c r="AF227">
        <f>IF(W227&lt;&gt;"OK","",14-SUMPRODUCT(--O227:U227))</f>
        <v/>
      </c>
      <c r="AG227" s="33">
        <f>IF(W227&lt;&gt;"OK","",AM227*AN227/60)</f>
        <v/>
      </c>
      <c r="AH227" s="34">
        <f>IF(A227="","",UPPER(TRIM(ASC(A227&amp;""))))</f>
        <v/>
      </c>
      <c r="AI227" s="34">
        <f>IF(AH227="","",AH227&amp;"-"&amp;B227)</f>
        <v/>
      </c>
      <c r="AJ227" s="34">
        <f>IF(C227="","",IFERROR(VALUE(ASC(SUBSTITUTE(C227&amp;"","観点",""))),""))</f>
        <v/>
      </c>
      <c r="AK227" s="34">
        <f>IF(E227="","",UPPER(LEFT(TRIM(ASC(E227&amp;"")),3)))</f>
        <v/>
      </c>
      <c r="AL227" s="34">
        <f>IF(I227="","",IFERROR(VALUE(SUBSTITUTE(SUBSTITUTE(SUBSTITUTE(SUBSTITUTE(SUBSTITUTE(SUBSTITUTE(SUBSTITUTE(SUBSTITUTE(SUBSTITUTE(SUBSTITUTE(SUBSTITUTE(SUBSTITUTE(ASC(I227&amp;""),"約",""),"程度",""),"ほど",""),"回",""),"毎",""),"週",""),"月",""),"年",""),"日",""),"に",""),"/","")," ","")),""))</f>
        <v/>
      </c>
      <c r="AM227" s="34">
        <f>IF(I227="","",IF(ISNUMBER(I227),I227,IFERROR(VALUE(ASC(I227&amp;"")),IF(AL227&lt;&gt;"",AL227*IF(ISNUMBER(SEARCH("週",I227)),4.3,IF(ISNUMBER(SEARCH("年",I227)),1/12,IF(ISNUMBER(SEARCH("日",I227)),20,1))),IF(ISNUMBER(SEARCH("日",I227)),20,IF(ISNUMBER(SEARCH("週",I227)),4.3,IF(ISNUMBER(SEARCH("月",I227)),1,"")))))))</f>
        <v/>
      </c>
      <c r="AN227" s="34">
        <f>IF(J227="","",IF(ISNUMBER(J227),J227,IFERROR(VALUE(ASC(J227&amp;"")),IF(ISNUMBER(SEARCH("時間",J227)),IFERROR(VALUE(SUBSTITUTE(SUBSTITUTE(SUBSTITUTE(SUBSTITUTE(SUBSTITUTE(ASC(J227&amp;""),"約",""),"程度",""),"ほど",""),"時間","")," ",""))*60,""),IFERROR(VALUE(SUBSTITUTE(SUBSTITUTE(SUBSTITUTE(SUBSTITUTE(SUBSTITUTE(ASC(J227&amp;""),"約",""),"程度",""),"ほど",""),"分","")," ","")),"")))))</f>
        <v/>
      </c>
      <c r="AO227" s="34">
        <f>IF(K227="","",IF(ISNUMBER(K227),K227,IFERROR(VALUE(SUBSTITUTE(SUBSTITUTE(SUBSTITUTE(ASC(K227&amp;""),"約",""),"件","")," ","")),"")))</f>
        <v/>
      </c>
      <c r="AP227" s="34">
        <f>IF(W227&lt;&gt;"OK","",IF(COUNTIFS($D$5:$D$404,D227,$W$5:$W$404,"OK")&gt;1,"同名あり",""))</f>
        <v/>
      </c>
      <c r="AQ227" s="35">
        <f>IF(L227="","",IF(ISNUMBER(L227),L227,IFERROR(DATEVALUE(SUBSTITUTE(SUBSTITUTE(ASC(L227&amp;""),"-","/"),".","/")&amp;"/01"),"")))</f>
        <v/>
      </c>
      <c r="AR227" s="35">
        <f>IF(M227="","",IF(ISNUMBER(M227),M227,IFERROR(DATEVALUE(SUBSTITUTE(SUBSTITUTE(ASC(M227&amp;""),"-","/"),".","/")&amp;"/01"),"")))</f>
        <v/>
      </c>
      <c r="AS227" s="34">
        <f>IF(OR(W227&lt;&gt;"OK",AQ227=""),"",IF(AQ227&gt;='01_設定'!$C$26,1,0))</f>
        <v/>
      </c>
      <c r="AT227" s="34">
        <f>IF(AND(W227="OK",Y227&lt;&gt;"除外"),COUNTIFS($W$5:W227,"OK",$Y$5:Y227,"&lt;&gt;除外"),"")</f>
        <v/>
      </c>
      <c r="AU227" s="34">
        <f>IF(OR(AT227="",AD227=""),"",AD227+ROW()/1000000000)</f>
        <v/>
      </c>
    </row>
    <row r="228">
      <c r="W228">
        <f>IF(AND(A228="",D228=""),"",IF(ISNUMBER(SEARCH("##END",AH228)),"（終わりの印）",IF(ISNUMBER(SEARCH("##続き",AH228)),"（続きありの印）",IF(AH228="調査ID","（見出し行）",IF(AND(AH228&lt;&gt;"R1",AH228&lt;&gt;"R2"),"×表以外の行（集計されない）",IF(COUNTIF($AI$5:AI228,AI228)&gt;1,"△重複（集計されない）",IF(D228="","△タスク名なし",IF(ISNA(MATCH(AK228,'M1_類型マスタ'!$A$5:$A$19,0)),"△類型が不正",IF(OR(AM228="",AN228=""),"△回数・分が読めない",IF(SUMPRODUCT(--ISNUMBER(--O228:U228))&lt;7,"△採点が足りない",IF(SUMPRODUCT((--O228:U228&gt;2)+(--O228:U228&lt;0))&gt;0,"△採点が範囲外","OK")))))))))))</f>
        <v/>
      </c>
      <c r="X228">
        <f>IF(W228&lt;&gt;"OK","",TRIM(IF(AND(AO228&lt;&gt;"",N(AO228)&lt;=1),"根拠1件 ","")&amp;IF(AP228&lt;&gt;"","同名あり ","")&amp;IF(AND(NOT(ISNUMBER(I228)),I228&lt;&gt;""),"回数を換算 ","")))</f>
        <v/>
      </c>
      <c r="Y228" s="31" t="n"/>
      <c r="Z228" s="32" t="n"/>
      <c r="AA228" s="32" t="n"/>
      <c r="AB228" s="31" t="n"/>
      <c r="AC228">
        <f>IF(W228&lt;&gt;"OK","",IF(AB228&lt;&gt;"",AB228,AE228))</f>
        <v/>
      </c>
      <c r="AD228" s="33">
        <f>IF(W228&lt;&gt;"OK","",IFERROR(IF(Z228&lt;&gt;"",Z228,AM228)*IF(AA228&lt;&gt;"",AA228,AN228)/60,""))</f>
        <v/>
      </c>
      <c r="AE228">
        <f>IF(W228&lt;&gt;"OK","",IF(OR(VALUE(O228)=2,VALUE(P228)=2,VALUE(Q228)=2),"社内残置",IF(AND(VALUE(O228)=0,VALUE(R228)=0,VALUE(T228)=0),"自動化候補",IF(AND(VALUE(P228)=0,VALUE(R228)&lt;=1,VALUE(S228)&lt;=1,VALUE(T228)&lt;=1,VALUE(U228)&lt;=1),"オフショア候補",IF(AND(VALUE(T228)&lt;=1,VALUE(U228)&lt;=1),"ニアショア候補","社内で手順化→再評価")))))</f>
        <v/>
      </c>
      <c r="AF228">
        <f>IF(W228&lt;&gt;"OK","",14-SUMPRODUCT(--O228:U228))</f>
        <v/>
      </c>
      <c r="AG228" s="33">
        <f>IF(W228&lt;&gt;"OK","",AM228*AN228/60)</f>
        <v/>
      </c>
      <c r="AH228" s="34">
        <f>IF(A228="","",UPPER(TRIM(ASC(A228&amp;""))))</f>
        <v/>
      </c>
      <c r="AI228" s="34">
        <f>IF(AH228="","",AH228&amp;"-"&amp;B228)</f>
        <v/>
      </c>
      <c r="AJ228" s="34">
        <f>IF(C228="","",IFERROR(VALUE(ASC(SUBSTITUTE(C228&amp;"","観点",""))),""))</f>
        <v/>
      </c>
      <c r="AK228" s="34">
        <f>IF(E228="","",UPPER(LEFT(TRIM(ASC(E228&amp;"")),3)))</f>
        <v/>
      </c>
      <c r="AL228" s="34">
        <f>IF(I228="","",IFERROR(VALUE(SUBSTITUTE(SUBSTITUTE(SUBSTITUTE(SUBSTITUTE(SUBSTITUTE(SUBSTITUTE(SUBSTITUTE(SUBSTITUTE(SUBSTITUTE(SUBSTITUTE(SUBSTITUTE(SUBSTITUTE(ASC(I228&amp;""),"約",""),"程度",""),"ほど",""),"回",""),"毎",""),"週",""),"月",""),"年",""),"日",""),"に",""),"/","")," ","")),""))</f>
        <v/>
      </c>
      <c r="AM228" s="34">
        <f>IF(I228="","",IF(ISNUMBER(I228),I228,IFERROR(VALUE(ASC(I228&amp;"")),IF(AL228&lt;&gt;"",AL228*IF(ISNUMBER(SEARCH("週",I228)),4.3,IF(ISNUMBER(SEARCH("年",I228)),1/12,IF(ISNUMBER(SEARCH("日",I228)),20,1))),IF(ISNUMBER(SEARCH("日",I228)),20,IF(ISNUMBER(SEARCH("週",I228)),4.3,IF(ISNUMBER(SEARCH("月",I228)),1,"")))))))</f>
        <v/>
      </c>
      <c r="AN228" s="34">
        <f>IF(J228="","",IF(ISNUMBER(J228),J228,IFERROR(VALUE(ASC(J228&amp;"")),IF(ISNUMBER(SEARCH("時間",J228)),IFERROR(VALUE(SUBSTITUTE(SUBSTITUTE(SUBSTITUTE(SUBSTITUTE(SUBSTITUTE(ASC(J228&amp;""),"約",""),"程度",""),"ほど",""),"時間","")," ",""))*60,""),IFERROR(VALUE(SUBSTITUTE(SUBSTITUTE(SUBSTITUTE(SUBSTITUTE(SUBSTITUTE(ASC(J228&amp;""),"約",""),"程度",""),"ほど",""),"分","")," ","")),"")))))</f>
        <v/>
      </c>
      <c r="AO228" s="34">
        <f>IF(K228="","",IF(ISNUMBER(K228),K228,IFERROR(VALUE(SUBSTITUTE(SUBSTITUTE(SUBSTITUTE(ASC(K228&amp;""),"約",""),"件","")," ","")),"")))</f>
        <v/>
      </c>
      <c r="AP228" s="34">
        <f>IF(W228&lt;&gt;"OK","",IF(COUNTIFS($D$5:$D$404,D228,$W$5:$W$404,"OK")&gt;1,"同名あり",""))</f>
        <v/>
      </c>
      <c r="AQ228" s="35">
        <f>IF(L228="","",IF(ISNUMBER(L228),L228,IFERROR(DATEVALUE(SUBSTITUTE(SUBSTITUTE(ASC(L228&amp;""),"-","/"),".","/")&amp;"/01"),"")))</f>
        <v/>
      </c>
      <c r="AR228" s="35">
        <f>IF(M228="","",IF(ISNUMBER(M228),M228,IFERROR(DATEVALUE(SUBSTITUTE(SUBSTITUTE(ASC(M228&amp;""),"-","/"),".","/")&amp;"/01"),"")))</f>
        <v/>
      </c>
      <c r="AS228" s="34">
        <f>IF(OR(W228&lt;&gt;"OK",AQ228=""),"",IF(AQ228&gt;='01_設定'!$C$26,1,0))</f>
        <v/>
      </c>
      <c r="AT228" s="34">
        <f>IF(AND(W228="OK",Y228&lt;&gt;"除外"),COUNTIFS($W$5:W228,"OK",$Y$5:Y228,"&lt;&gt;除外"),"")</f>
        <v/>
      </c>
      <c r="AU228" s="34">
        <f>IF(OR(AT228="",AD228=""),"",AD228+ROW()/1000000000)</f>
        <v/>
      </c>
    </row>
    <row r="229">
      <c r="W229">
        <f>IF(AND(A229="",D229=""),"",IF(ISNUMBER(SEARCH("##END",AH229)),"（終わりの印）",IF(ISNUMBER(SEARCH("##続き",AH229)),"（続きありの印）",IF(AH229="調査ID","（見出し行）",IF(AND(AH229&lt;&gt;"R1",AH229&lt;&gt;"R2"),"×表以外の行（集計されない）",IF(COUNTIF($AI$5:AI229,AI229)&gt;1,"△重複（集計されない）",IF(D229="","△タスク名なし",IF(ISNA(MATCH(AK229,'M1_類型マスタ'!$A$5:$A$19,0)),"△類型が不正",IF(OR(AM229="",AN229=""),"△回数・分が読めない",IF(SUMPRODUCT(--ISNUMBER(--O229:U229))&lt;7,"△採点が足りない",IF(SUMPRODUCT((--O229:U229&gt;2)+(--O229:U229&lt;0))&gt;0,"△採点が範囲外","OK")))))))))))</f>
        <v/>
      </c>
      <c r="X229">
        <f>IF(W229&lt;&gt;"OK","",TRIM(IF(AND(AO229&lt;&gt;"",N(AO229)&lt;=1),"根拠1件 ","")&amp;IF(AP229&lt;&gt;"","同名あり ","")&amp;IF(AND(NOT(ISNUMBER(I229)),I229&lt;&gt;""),"回数を換算 ","")))</f>
        <v/>
      </c>
      <c r="Y229" s="31" t="n"/>
      <c r="Z229" s="32" t="n"/>
      <c r="AA229" s="32" t="n"/>
      <c r="AB229" s="31" t="n"/>
      <c r="AC229">
        <f>IF(W229&lt;&gt;"OK","",IF(AB229&lt;&gt;"",AB229,AE229))</f>
        <v/>
      </c>
      <c r="AD229" s="33">
        <f>IF(W229&lt;&gt;"OK","",IFERROR(IF(Z229&lt;&gt;"",Z229,AM229)*IF(AA229&lt;&gt;"",AA229,AN229)/60,""))</f>
        <v/>
      </c>
      <c r="AE229">
        <f>IF(W229&lt;&gt;"OK","",IF(OR(VALUE(O229)=2,VALUE(P229)=2,VALUE(Q229)=2),"社内残置",IF(AND(VALUE(O229)=0,VALUE(R229)=0,VALUE(T229)=0),"自動化候補",IF(AND(VALUE(P229)=0,VALUE(R229)&lt;=1,VALUE(S229)&lt;=1,VALUE(T229)&lt;=1,VALUE(U229)&lt;=1),"オフショア候補",IF(AND(VALUE(T229)&lt;=1,VALUE(U229)&lt;=1),"ニアショア候補","社内で手順化→再評価")))))</f>
        <v/>
      </c>
      <c r="AF229">
        <f>IF(W229&lt;&gt;"OK","",14-SUMPRODUCT(--O229:U229))</f>
        <v/>
      </c>
      <c r="AG229" s="33">
        <f>IF(W229&lt;&gt;"OK","",AM229*AN229/60)</f>
        <v/>
      </c>
      <c r="AH229" s="34">
        <f>IF(A229="","",UPPER(TRIM(ASC(A229&amp;""))))</f>
        <v/>
      </c>
      <c r="AI229" s="34">
        <f>IF(AH229="","",AH229&amp;"-"&amp;B229)</f>
        <v/>
      </c>
      <c r="AJ229" s="34">
        <f>IF(C229="","",IFERROR(VALUE(ASC(SUBSTITUTE(C229&amp;"","観点",""))),""))</f>
        <v/>
      </c>
      <c r="AK229" s="34">
        <f>IF(E229="","",UPPER(LEFT(TRIM(ASC(E229&amp;"")),3)))</f>
        <v/>
      </c>
      <c r="AL229" s="34">
        <f>IF(I229="","",IFERROR(VALUE(SUBSTITUTE(SUBSTITUTE(SUBSTITUTE(SUBSTITUTE(SUBSTITUTE(SUBSTITUTE(SUBSTITUTE(SUBSTITUTE(SUBSTITUTE(SUBSTITUTE(SUBSTITUTE(SUBSTITUTE(ASC(I229&amp;""),"約",""),"程度",""),"ほど",""),"回",""),"毎",""),"週",""),"月",""),"年",""),"日",""),"に",""),"/","")," ","")),""))</f>
        <v/>
      </c>
      <c r="AM229" s="34">
        <f>IF(I229="","",IF(ISNUMBER(I229),I229,IFERROR(VALUE(ASC(I229&amp;"")),IF(AL229&lt;&gt;"",AL229*IF(ISNUMBER(SEARCH("週",I229)),4.3,IF(ISNUMBER(SEARCH("年",I229)),1/12,IF(ISNUMBER(SEARCH("日",I229)),20,1))),IF(ISNUMBER(SEARCH("日",I229)),20,IF(ISNUMBER(SEARCH("週",I229)),4.3,IF(ISNUMBER(SEARCH("月",I229)),1,"")))))))</f>
        <v/>
      </c>
      <c r="AN229" s="34">
        <f>IF(J229="","",IF(ISNUMBER(J229),J229,IFERROR(VALUE(ASC(J229&amp;"")),IF(ISNUMBER(SEARCH("時間",J229)),IFERROR(VALUE(SUBSTITUTE(SUBSTITUTE(SUBSTITUTE(SUBSTITUTE(SUBSTITUTE(ASC(J229&amp;""),"約",""),"程度",""),"ほど",""),"時間","")," ",""))*60,""),IFERROR(VALUE(SUBSTITUTE(SUBSTITUTE(SUBSTITUTE(SUBSTITUTE(SUBSTITUTE(ASC(J229&amp;""),"約",""),"程度",""),"ほど",""),"分","")," ","")),"")))))</f>
        <v/>
      </c>
      <c r="AO229" s="34">
        <f>IF(K229="","",IF(ISNUMBER(K229),K229,IFERROR(VALUE(SUBSTITUTE(SUBSTITUTE(SUBSTITUTE(ASC(K229&amp;""),"約",""),"件","")," ","")),"")))</f>
        <v/>
      </c>
      <c r="AP229" s="34">
        <f>IF(W229&lt;&gt;"OK","",IF(COUNTIFS($D$5:$D$404,D229,$W$5:$W$404,"OK")&gt;1,"同名あり",""))</f>
        <v/>
      </c>
      <c r="AQ229" s="35">
        <f>IF(L229="","",IF(ISNUMBER(L229),L229,IFERROR(DATEVALUE(SUBSTITUTE(SUBSTITUTE(ASC(L229&amp;""),"-","/"),".","/")&amp;"/01"),"")))</f>
        <v/>
      </c>
      <c r="AR229" s="35">
        <f>IF(M229="","",IF(ISNUMBER(M229),M229,IFERROR(DATEVALUE(SUBSTITUTE(SUBSTITUTE(ASC(M229&amp;""),"-","/"),".","/")&amp;"/01"),"")))</f>
        <v/>
      </c>
      <c r="AS229" s="34">
        <f>IF(OR(W229&lt;&gt;"OK",AQ229=""),"",IF(AQ229&gt;='01_設定'!$C$26,1,0))</f>
        <v/>
      </c>
      <c r="AT229" s="34">
        <f>IF(AND(W229="OK",Y229&lt;&gt;"除外"),COUNTIFS($W$5:W229,"OK",$Y$5:Y229,"&lt;&gt;除外"),"")</f>
        <v/>
      </c>
      <c r="AU229" s="34">
        <f>IF(OR(AT229="",AD229=""),"",AD229+ROW()/1000000000)</f>
        <v/>
      </c>
    </row>
    <row r="230">
      <c r="W230">
        <f>IF(AND(A230="",D230=""),"",IF(ISNUMBER(SEARCH("##END",AH230)),"（終わりの印）",IF(ISNUMBER(SEARCH("##続き",AH230)),"（続きありの印）",IF(AH230="調査ID","（見出し行）",IF(AND(AH230&lt;&gt;"R1",AH230&lt;&gt;"R2"),"×表以外の行（集計されない）",IF(COUNTIF($AI$5:AI230,AI230)&gt;1,"△重複（集計されない）",IF(D230="","△タスク名なし",IF(ISNA(MATCH(AK230,'M1_類型マスタ'!$A$5:$A$19,0)),"△類型が不正",IF(OR(AM230="",AN230=""),"△回数・分が読めない",IF(SUMPRODUCT(--ISNUMBER(--O230:U230))&lt;7,"△採点が足りない",IF(SUMPRODUCT((--O230:U230&gt;2)+(--O230:U230&lt;0))&gt;0,"△採点が範囲外","OK")))))))))))</f>
        <v/>
      </c>
      <c r="X230">
        <f>IF(W230&lt;&gt;"OK","",TRIM(IF(AND(AO230&lt;&gt;"",N(AO230)&lt;=1),"根拠1件 ","")&amp;IF(AP230&lt;&gt;"","同名あり ","")&amp;IF(AND(NOT(ISNUMBER(I230)),I230&lt;&gt;""),"回数を換算 ","")))</f>
        <v/>
      </c>
      <c r="Y230" s="31" t="n"/>
      <c r="Z230" s="32" t="n"/>
      <c r="AA230" s="32" t="n"/>
      <c r="AB230" s="31" t="n"/>
      <c r="AC230">
        <f>IF(W230&lt;&gt;"OK","",IF(AB230&lt;&gt;"",AB230,AE230))</f>
        <v/>
      </c>
      <c r="AD230" s="33">
        <f>IF(W230&lt;&gt;"OK","",IFERROR(IF(Z230&lt;&gt;"",Z230,AM230)*IF(AA230&lt;&gt;"",AA230,AN230)/60,""))</f>
        <v/>
      </c>
      <c r="AE230">
        <f>IF(W230&lt;&gt;"OK","",IF(OR(VALUE(O230)=2,VALUE(P230)=2,VALUE(Q230)=2),"社内残置",IF(AND(VALUE(O230)=0,VALUE(R230)=0,VALUE(T230)=0),"自動化候補",IF(AND(VALUE(P230)=0,VALUE(R230)&lt;=1,VALUE(S230)&lt;=1,VALUE(T230)&lt;=1,VALUE(U230)&lt;=1),"オフショア候補",IF(AND(VALUE(T230)&lt;=1,VALUE(U230)&lt;=1),"ニアショア候補","社内で手順化→再評価")))))</f>
        <v/>
      </c>
      <c r="AF230">
        <f>IF(W230&lt;&gt;"OK","",14-SUMPRODUCT(--O230:U230))</f>
        <v/>
      </c>
      <c r="AG230" s="33">
        <f>IF(W230&lt;&gt;"OK","",AM230*AN230/60)</f>
        <v/>
      </c>
      <c r="AH230" s="34">
        <f>IF(A230="","",UPPER(TRIM(ASC(A230&amp;""))))</f>
        <v/>
      </c>
      <c r="AI230" s="34">
        <f>IF(AH230="","",AH230&amp;"-"&amp;B230)</f>
        <v/>
      </c>
      <c r="AJ230" s="34">
        <f>IF(C230="","",IFERROR(VALUE(ASC(SUBSTITUTE(C230&amp;"","観点",""))),""))</f>
        <v/>
      </c>
      <c r="AK230" s="34">
        <f>IF(E230="","",UPPER(LEFT(TRIM(ASC(E230&amp;"")),3)))</f>
        <v/>
      </c>
      <c r="AL230" s="34">
        <f>IF(I230="","",IFERROR(VALUE(SUBSTITUTE(SUBSTITUTE(SUBSTITUTE(SUBSTITUTE(SUBSTITUTE(SUBSTITUTE(SUBSTITUTE(SUBSTITUTE(SUBSTITUTE(SUBSTITUTE(SUBSTITUTE(SUBSTITUTE(ASC(I230&amp;""),"約",""),"程度",""),"ほど",""),"回",""),"毎",""),"週",""),"月",""),"年",""),"日",""),"に",""),"/","")," ","")),""))</f>
        <v/>
      </c>
      <c r="AM230" s="34">
        <f>IF(I230="","",IF(ISNUMBER(I230),I230,IFERROR(VALUE(ASC(I230&amp;"")),IF(AL230&lt;&gt;"",AL230*IF(ISNUMBER(SEARCH("週",I230)),4.3,IF(ISNUMBER(SEARCH("年",I230)),1/12,IF(ISNUMBER(SEARCH("日",I230)),20,1))),IF(ISNUMBER(SEARCH("日",I230)),20,IF(ISNUMBER(SEARCH("週",I230)),4.3,IF(ISNUMBER(SEARCH("月",I230)),1,"")))))))</f>
        <v/>
      </c>
      <c r="AN230" s="34">
        <f>IF(J230="","",IF(ISNUMBER(J230),J230,IFERROR(VALUE(ASC(J230&amp;"")),IF(ISNUMBER(SEARCH("時間",J230)),IFERROR(VALUE(SUBSTITUTE(SUBSTITUTE(SUBSTITUTE(SUBSTITUTE(SUBSTITUTE(ASC(J230&amp;""),"約",""),"程度",""),"ほど",""),"時間","")," ",""))*60,""),IFERROR(VALUE(SUBSTITUTE(SUBSTITUTE(SUBSTITUTE(SUBSTITUTE(SUBSTITUTE(ASC(J230&amp;""),"約",""),"程度",""),"ほど",""),"分","")," ","")),"")))))</f>
        <v/>
      </c>
      <c r="AO230" s="34">
        <f>IF(K230="","",IF(ISNUMBER(K230),K230,IFERROR(VALUE(SUBSTITUTE(SUBSTITUTE(SUBSTITUTE(ASC(K230&amp;""),"約",""),"件","")," ","")),"")))</f>
        <v/>
      </c>
      <c r="AP230" s="34">
        <f>IF(W230&lt;&gt;"OK","",IF(COUNTIFS($D$5:$D$404,D230,$W$5:$W$404,"OK")&gt;1,"同名あり",""))</f>
        <v/>
      </c>
      <c r="AQ230" s="35">
        <f>IF(L230="","",IF(ISNUMBER(L230),L230,IFERROR(DATEVALUE(SUBSTITUTE(SUBSTITUTE(ASC(L230&amp;""),"-","/"),".","/")&amp;"/01"),"")))</f>
        <v/>
      </c>
      <c r="AR230" s="35">
        <f>IF(M230="","",IF(ISNUMBER(M230),M230,IFERROR(DATEVALUE(SUBSTITUTE(SUBSTITUTE(ASC(M230&amp;""),"-","/"),".","/")&amp;"/01"),"")))</f>
        <v/>
      </c>
      <c r="AS230" s="34">
        <f>IF(OR(W230&lt;&gt;"OK",AQ230=""),"",IF(AQ230&gt;='01_設定'!$C$26,1,0))</f>
        <v/>
      </c>
      <c r="AT230" s="34">
        <f>IF(AND(W230="OK",Y230&lt;&gt;"除外"),COUNTIFS($W$5:W230,"OK",$Y$5:Y230,"&lt;&gt;除外"),"")</f>
        <v/>
      </c>
      <c r="AU230" s="34">
        <f>IF(OR(AT230="",AD230=""),"",AD230+ROW()/1000000000)</f>
        <v/>
      </c>
    </row>
    <row r="231">
      <c r="W231">
        <f>IF(AND(A231="",D231=""),"",IF(ISNUMBER(SEARCH("##END",AH231)),"（終わりの印）",IF(ISNUMBER(SEARCH("##続き",AH231)),"（続きありの印）",IF(AH231="調査ID","（見出し行）",IF(AND(AH231&lt;&gt;"R1",AH231&lt;&gt;"R2"),"×表以外の行（集計されない）",IF(COUNTIF($AI$5:AI231,AI231)&gt;1,"△重複（集計されない）",IF(D231="","△タスク名なし",IF(ISNA(MATCH(AK231,'M1_類型マスタ'!$A$5:$A$19,0)),"△類型が不正",IF(OR(AM231="",AN231=""),"△回数・分が読めない",IF(SUMPRODUCT(--ISNUMBER(--O231:U231))&lt;7,"△採点が足りない",IF(SUMPRODUCT((--O231:U231&gt;2)+(--O231:U231&lt;0))&gt;0,"△採点が範囲外","OK")))))))))))</f>
        <v/>
      </c>
      <c r="X231">
        <f>IF(W231&lt;&gt;"OK","",TRIM(IF(AND(AO231&lt;&gt;"",N(AO231)&lt;=1),"根拠1件 ","")&amp;IF(AP231&lt;&gt;"","同名あり ","")&amp;IF(AND(NOT(ISNUMBER(I231)),I231&lt;&gt;""),"回数を換算 ","")))</f>
        <v/>
      </c>
      <c r="Y231" s="31" t="n"/>
      <c r="Z231" s="32" t="n"/>
      <c r="AA231" s="32" t="n"/>
      <c r="AB231" s="31" t="n"/>
      <c r="AC231">
        <f>IF(W231&lt;&gt;"OK","",IF(AB231&lt;&gt;"",AB231,AE231))</f>
        <v/>
      </c>
      <c r="AD231" s="33">
        <f>IF(W231&lt;&gt;"OK","",IFERROR(IF(Z231&lt;&gt;"",Z231,AM231)*IF(AA231&lt;&gt;"",AA231,AN231)/60,""))</f>
        <v/>
      </c>
      <c r="AE231">
        <f>IF(W231&lt;&gt;"OK","",IF(OR(VALUE(O231)=2,VALUE(P231)=2,VALUE(Q231)=2),"社内残置",IF(AND(VALUE(O231)=0,VALUE(R231)=0,VALUE(T231)=0),"自動化候補",IF(AND(VALUE(P231)=0,VALUE(R231)&lt;=1,VALUE(S231)&lt;=1,VALUE(T231)&lt;=1,VALUE(U231)&lt;=1),"オフショア候補",IF(AND(VALUE(T231)&lt;=1,VALUE(U231)&lt;=1),"ニアショア候補","社内で手順化→再評価")))))</f>
        <v/>
      </c>
      <c r="AF231">
        <f>IF(W231&lt;&gt;"OK","",14-SUMPRODUCT(--O231:U231))</f>
        <v/>
      </c>
      <c r="AG231" s="33">
        <f>IF(W231&lt;&gt;"OK","",AM231*AN231/60)</f>
        <v/>
      </c>
      <c r="AH231" s="34">
        <f>IF(A231="","",UPPER(TRIM(ASC(A231&amp;""))))</f>
        <v/>
      </c>
      <c r="AI231" s="34">
        <f>IF(AH231="","",AH231&amp;"-"&amp;B231)</f>
        <v/>
      </c>
      <c r="AJ231" s="34">
        <f>IF(C231="","",IFERROR(VALUE(ASC(SUBSTITUTE(C231&amp;"","観点",""))),""))</f>
        <v/>
      </c>
      <c r="AK231" s="34">
        <f>IF(E231="","",UPPER(LEFT(TRIM(ASC(E231&amp;"")),3)))</f>
        <v/>
      </c>
      <c r="AL231" s="34">
        <f>IF(I231="","",IFERROR(VALUE(SUBSTITUTE(SUBSTITUTE(SUBSTITUTE(SUBSTITUTE(SUBSTITUTE(SUBSTITUTE(SUBSTITUTE(SUBSTITUTE(SUBSTITUTE(SUBSTITUTE(SUBSTITUTE(SUBSTITUTE(ASC(I231&amp;""),"約",""),"程度",""),"ほど",""),"回",""),"毎",""),"週",""),"月",""),"年",""),"日",""),"に",""),"/","")," ","")),""))</f>
        <v/>
      </c>
      <c r="AM231" s="34">
        <f>IF(I231="","",IF(ISNUMBER(I231),I231,IFERROR(VALUE(ASC(I231&amp;"")),IF(AL231&lt;&gt;"",AL231*IF(ISNUMBER(SEARCH("週",I231)),4.3,IF(ISNUMBER(SEARCH("年",I231)),1/12,IF(ISNUMBER(SEARCH("日",I231)),20,1))),IF(ISNUMBER(SEARCH("日",I231)),20,IF(ISNUMBER(SEARCH("週",I231)),4.3,IF(ISNUMBER(SEARCH("月",I231)),1,"")))))))</f>
        <v/>
      </c>
      <c r="AN231" s="34">
        <f>IF(J231="","",IF(ISNUMBER(J231),J231,IFERROR(VALUE(ASC(J231&amp;"")),IF(ISNUMBER(SEARCH("時間",J231)),IFERROR(VALUE(SUBSTITUTE(SUBSTITUTE(SUBSTITUTE(SUBSTITUTE(SUBSTITUTE(ASC(J231&amp;""),"約",""),"程度",""),"ほど",""),"時間","")," ",""))*60,""),IFERROR(VALUE(SUBSTITUTE(SUBSTITUTE(SUBSTITUTE(SUBSTITUTE(SUBSTITUTE(ASC(J231&amp;""),"約",""),"程度",""),"ほど",""),"分","")," ","")),"")))))</f>
        <v/>
      </c>
      <c r="AO231" s="34">
        <f>IF(K231="","",IF(ISNUMBER(K231),K231,IFERROR(VALUE(SUBSTITUTE(SUBSTITUTE(SUBSTITUTE(ASC(K231&amp;""),"約",""),"件","")," ","")),"")))</f>
        <v/>
      </c>
      <c r="AP231" s="34">
        <f>IF(W231&lt;&gt;"OK","",IF(COUNTIFS($D$5:$D$404,D231,$W$5:$W$404,"OK")&gt;1,"同名あり",""))</f>
        <v/>
      </c>
      <c r="AQ231" s="35">
        <f>IF(L231="","",IF(ISNUMBER(L231),L231,IFERROR(DATEVALUE(SUBSTITUTE(SUBSTITUTE(ASC(L231&amp;""),"-","/"),".","/")&amp;"/01"),"")))</f>
        <v/>
      </c>
      <c r="AR231" s="35">
        <f>IF(M231="","",IF(ISNUMBER(M231),M231,IFERROR(DATEVALUE(SUBSTITUTE(SUBSTITUTE(ASC(M231&amp;""),"-","/"),".","/")&amp;"/01"),"")))</f>
        <v/>
      </c>
      <c r="AS231" s="34">
        <f>IF(OR(W231&lt;&gt;"OK",AQ231=""),"",IF(AQ231&gt;='01_設定'!$C$26,1,0))</f>
        <v/>
      </c>
      <c r="AT231" s="34">
        <f>IF(AND(W231="OK",Y231&lt;&gt;"除外"),COUNTIFS($W$5:W231,"OK",$Y$5:Y231,"&lt;&gt;除外"),"")</f>
        <v/>
      </c>
      <c r="AU231" s="34">
        <f>IF(OR(AT231="",AD231=""),"",AD231+ROW()/1000000000)</f>
        <v/>
      </c>
    </row>
    <row r="232">
      <c r="W232">
        <f>IF(AND(A232="",D232=""),"",IF(ISNUMBER(SEARCH("##END",AH232)),"（終わりの印）",IF(ISNUMBER(SEARCH("##続き",AH232)),"（続きありの印）",IF(AH232="調査ID","（見出し行）",IF(AND(AH232&lt;&gt;"R1",AH232&lt;&gt;"R2"),"×表以外の行（集計されない）",IF(COUNTIF($AI$5:AI232,AI232)&gt;1,"△重複（集計されない）",IF(D232="","△タスク名なし",IF(ISNA(MATCH(AK232,'M1_類型マスタ'!$A$5:$A$19,0)),"△類型が不正",IF(OR(AM232="",AN232=""),"△回数・分が読めない",IF(SUMPRODUCT(--ISNUMBER(--O232:U232))&lt;7,"△採点が足りない",IF(SUMPRODUCT((--O232:U232&gt;2)+(--O232:U232&lt;0))&gt;0,"△採点が範囲外","OK")))))))))))</f>
        <v/>
      </c>
      <c r="X232">
        <f>IF(W232&lt;&gt;"OK","",TRIM(IF(AND(AO232&lt;&gt;"",N(AO232)&lt;=1),"根拠1件 ","")&amp;IF(AP232&lt;&gt;"","同名あり ","")&amp;IF(AND(NOT(ISNUMBER(I232)),I232&lt;&gt;""),"回数を換算 ","")))</f>
        <v/>
      </c>
      <c r="Y232" s="31" t="n"/>
      <c r="Z232" s="32" t="n"/>
      <c r="AA232" s="32" t="n"/>
      <c r="AB232" s="31" t="n"/>
      <c r="AC232">
        <f>IF(W232&lt;&gt;"OK","",IF(AB232&lt;&gt;"",AB232,AE232))</f>
        <v/>
      </c>
      <c r="AD232" s="33">
        <f>IF(W232&lt;&gt;"OK","",IFERROR(IF(Z232&lt;&gt;"",Z232,AM232)*IF(AA232&lt;&gt;"",AA232,AN232)/60,""))</f>
        <v/>
      </c>
      <c r="AE232">
        <f>IF(W232&lt;&gt;"OK","",IF(OR(VALUE(O232)=2,VALUE(P232)=2,VALUE(Q232)=2),"社内残置",IF(AND(VALUE(O232)=0,VALUE(R232)=0,VALUE(T232)=0),"自動化候補",IF(AND(VALUE(P232)=0,VALUE(R232)&lt;=1,VALUE(S232)&lt;=1,VALUE(T232)&lt;=1,VALUE(U232)&lt;=1),"オフショア候補",IF(AND(VALUE(T232)&lt;=1,VALUE(U232)&lt;=1),"ニアショア候補","社内で手順化→再評価")))))</f>
        <v/>
      </c>
      <c r="AF232">
        <f>IF(W232&lt;&gt;"OK","",14-SUMPRODUCT(--O232:U232))</f>
        <v/>
      </c>
      <c r="AG232" s="33">
        <f>IF(W232&lt;&gt;"OK","",AM232*AN232/60)</f>
        <v/>
      </c>
      <c r="AH232" s="34">
        <f>IF(A232="","",UPPER(TRIM(ASC(A232&amp;""))))</f>
        <v/>
      </c>
      <c r="AI232" s="34">
        <f>IF(AH232="","",AH232&amp;"-"&amp;B232)</f>
        <v/>
      </c>
      <c r="AJ232" s="34">
        <f>IF(C232="","",IFERROR(VALUE(ASC(SUBSTITUTE(C232&amp;"","観点",""))),""))</f>
        <v/>
      </c>
      <c r="AK232" s="34">
        <f>IF(E232="","",UPPER(LEFT(TRIM(ASC(E232&amp;"")),3)))</f>
        <v/>
      </c>
      <c r="AL232" s="34">
        <f>IF(I232="","",IFERROR(VALUE(SUBSTITUTE(SUBSTITUTE(SUBSTITUTE(SUBSTITUTE(SUBSTITUTE(SUBSTITUTE(SUBSTITUTE(SUBSTITUTE(SUBSTITUTE(SUBSTITUTE(SUBSTITUTE(SUBSTITUTE(ASC(I232&amp;""),"約",""),"程度",""),"ほど",""),"回",""),"毎",""),"週",""),"月",""),"年",""),"日",""),"に",""),"/","")," ","")),""))</f>
        <v/>
      </c>
      <c r="AM232" s="34">
        <f>IF(I232="","",IF(ISNUMBER(I232),I232,IFERROR(VALUE(ASC(I232&amp;"")),IF(AL232&lt;&gt;"",AL232*IF(ISNUMBER(SEARCH("週",I232)),4.3,IF(ISNUMBER(SEARCH("年",I232)),1/12,IF(ISNUMBER(SEARCH("日",I232)),20,1))),IF(ISNUMBER(SEARCH("日",I232)),20,IF(ISNUMBER(SEARCH("週",I232)),4.3,IF(ISNUMBER(SEARCH("月",I232)),1,"")))))))</f>
        <v/>
      </c>
      <c r="AN232" s="34">
        <f>IF(J232="","",IF(ISNUMBER(J232),J232,IFERROR(VALUE(ASC(J232&amp;"")),IF(ISNUMBER(SEARCH("時間",J232)),IFERROR(VALUE(SUBSTITUTE(SUBSTITUTE(SUBSTITUTE(SUBSTITUTE(SUBSTITUTE(ASC(J232&amp;""),"約",""),"程度",""),"ほど",""),"時間","")," ",""))*60,""),IFERROR(VALUE(SUBSTITUTE(SUBSTITUTE(SUBSTITUTE(SUBSTITUTE(SUBSTITUTE(ASC(J232&amp;""),"約",""),"程度",""),"ほど",""),"分","")," ","")),"")))))</f>
        <v/>
      </c>
      <c r="AO232" s="34">
        <f>IF(K232="","",IF(ISNUMBER(K232),K232,IFERROR(VALUE(SUBSTITUTE(SUBSTITUTE(SUBSTITUTE(ASC(K232&amp;""),"約",""),"件","")," ","")),"")))</f>
        <v/>
      </c>
      <c r="AP232" s="34">
        <f>IF(W232&lt;&gt;"OK","",IF(COUNTIFS($D$5:$D$404,D232,$W$5:$W$404,"OK")&gt;1,"同名あり",""))</f>
        <v/>
      </c>
      <c r="AQ232" s="35">
        <f>IF(L232="","",IF(ISNUMBER(L232),L232,IFERROR(DATEVALUE(SUBSTITUTE(SUBSTITUTE(ASC(L232&amp;""),"-","/"),".","/")&amp;"/01"),"")))</f>
        <v/>
      </c>
      <c r="AR232" s="35">
        <f>IF(M232="","",IF(ISNUMBER(M232),M232,IFERROR(DATEVALUE(SUBSTITUTE(SUBSTITUTE(ASC(M232&amp;""),"-","/"),".","/")&amp;"/01"),"")))</f>
        <v/>
      </c>
      <c r="AS232" s="34">
        <f>IF(OR(W232&lt;&gt;"OK",AQ232=""),"",IF(AQ232&gt;='01_設定'!$C$26,1,0))</f>
        <v/>
      </c>
      <c r="AT232" s="34">
        <f>IF(AND(W232="OK",Y232&lt;&gt;"除外"),COUNTIFS($W$5:W232,"OK",$Y$5:Y232,"&lt;&gt;除外"),"")</f>
        <v/>
      </c>
      <c r="AU232" s="34">
        <f>IF(OR(AT232="",AD232=""),"",AD232+ROW()/1000000000)</f>
        <v/>
      </c>
    </row>
    <row r="233">
      <c r="W233">
        <f>IF(AND(A233="",D233=""),"",IF(ISNUMBER(SEARCH("##END",AH233)),"（終わりの印）",IF(ISNUMBER(SEARCH("##続き",AH233)),"（続きありの印）",IF(AH233="調査ID","（見出し行）",IF(AND(AH233&lt;&gt;"R1",AH233&lt;&gt;"R2"),"×表以外の行（集計されない）",IF(COUNTIF($AI$5:AI233,AI233)&gt;1,"△重複（集計されない）",IF(D233="","△タスク名なし",IF(ISNA(MATCH(AK233,'M1_類型マスタ'!$A$5:$A$19,0)),"△類型が不正",IF(OR(AM233="",AN233=""),"△回数・分が読めない",IF(SUMPRODUCT(--ISNUMBER(--O233:U233))&lt;7,"△採点が足りない",IF(SUMPRODUCT((--O233:U233&gt;2)+(--O233:U233&lt;0))&gt;0,"△採点が範囲外","OK")))))))))))</f>
        <v/>
      </c>
      <c r="X233">
        <f>IF(W233&lt;&gt;"OK","",TRIM(IF(AND(AO233&lt;&gt;"",N(AO233)&lt;=1),"根拠1件 ","")&amp;IF(AP233&lt;&gt;"","同名あり ","")&amp;IF(AND(NOT(ISNUMBER(I233)),I233&lt;&gt;""),"回数を換算 ","")))</f>
        <v/>
      </c>
      <c r="Y233" s="31" t="n"/>
      <c r="Z233" s="32" t="n"/>
      <c r="AA233" s="32" t="n"/>
      <c r="AB233" s="31" t="n"/>
      <c r="AC233">
        <f>IF(W233&lt;&gt;"OK","",IF(AB233&lt;&gt;"",AB233,AE233))</f>
        <v/>
      </c>
      <c r="AD233" s="33">
        <f>IF(W233&lt;&gt;"OK","",IFERROR(IF(Z233&lt;&gt;"",Z233,AM233)*IF(AA233&lt;&gt;"",AA233,AN233)/60,""))</f>
        <v/>
      </c>
      <c r="AE233">
        <f>IF(W233&lt;&gt;"OK","",IF(OR(VALUE(O233)=2,VALUE(P233)=2,VALUE(Q233)=2),"社内残置",IF(AND(VALUE(O233)=0,VALUE(R233)=0,VALUE(T233)=0),"自動化候補",IF(AND(VALUE(P233)=0,VALUE(R233)&lt;=1,VALUE(S233)&lt;=1,VALUE(T233)&lt;=1,VALUE(U233)&lt;=1),"オフショア候補",IF(AND(VALUE(T233)&lt;=1,VALUE(U233)&lt;=1),"ニアショア候補","社内で手順化→再評価")))))</f>
        <v/>
      </c>
      <c r="AF233">
        <f>IF(W233&lt;&gt;"OK","",14-SUMPRODUCT(--O233:U233))</f>
        <v/>
      </c>
      <c r="AG233" s="33">
        <f>IF(W233&lt;&gt;"OK","",AM233*AN233/60)</f>
        <v/>
      </c>
      <c r="AH233" s="34">
        <f>IF(A233="","",UPPER(TRIM(ASC(A233&amp;""))))</f>
        <v/>
      </c>
      <c r="AI233" s="34">
        <f>IF(AH233="","",AH233&amp;"-"&amp;B233)</f>
        <v/>
      </c>
      <c r="AJ233" s="34">
        <f>IF(C233="","",IFERROR(VALUE(ASC(SUBSTITUTE(C233&amp;"","観点",""))),""))</f>
        <v/>
      </c>
      <c r="AK233" s="34">
        <f>IF(E233="","",UPPER(LEFT(TRIM(ASC(E233&amp;"")),3)))</f>
        <v/>
      </c>
      <c r="AL233" s="34">
        <f>IF(I233="","",IFERROR(VALUE(SUBSTITUTE(SUBSTITUTE(SUBSTITUTE(SUBSTITUTE(SUBSTITUTE(SUBSTITUTE(SUBSTITUTE(SUBSTITUTE(SUBSTITUTE(SUBSTITUTE(SUBSTITUTE(SUBSTITUTE(ASC(I233&amp;""),"約",""),"程度",""),"ほど",""),"回",""),"毎",""),"週",""),"月",""),"年",""),"日",""),"に",""),"/","")," ","")),""))</f>
        <v/>
      </c>
      <c r="AM233" s="34">
        <f>IF(I233="","",IF(ISNUMBER(I233),I233,IFERROR(VALUE(ASC(I233&amp;"")),IF(AL233&lt;&gt;"",AL233*IF(ISNUMBER(SEARCH("週",I233)),4.3,IF(ISNUMBER(SEARCH("年",I233)),1/12,IF(ISNUMBER(SEARCH("日",I233)),20,1))),IF(ISNUMBER(SEARCH("日",I233)),20,IF(ISNUMBER(SEARCH("週",I233)),4.3,IF(ISNUMBER(SEARCH("月",I233)),1,"")))))))</f>
        <v/>
      </c>
      <c r="AN233" s="34">
        <f>IF(J233="","",IF(ISNUMBER(J233),J233,IFERROR(VALUE(ASC(J233&amp;"")),IF(ISNUMBER(SEARCH("時間",J233)),IFERROR(VALUE(SUBSTITUTE(SUBSTITUTE(SUBSTITUTE(SUBSTITUTE(SUBSTITUTE(ASC(J233&amp;""),"約",""),"程度",""),"ほど",""),"時間","")," ",""))*60,""),IFERROR(VALUE(SUBSTITUTE(SUBSTITUTE(SUBSTITUTE(SUBSTITUTE(SUBSTITUTE(ASC(J233&amp;""),"約",""),"程度",""),"ほど",""),"分","")," ","")),"")))))</f>
        <v/>
      </c>
      <c r="AO233" s="34">
        <f>IF(K233="","",IF(ISNUMBER(K233),K233,IFERROR(VALUE(SUBSTITUTE(SUBSTITUTE(SUBSTITUTE(ASC(K233&amp;""),"約",""),"件","")," ","")),"")))</f>
        <v/>
      </c>
      <c r="AP233" s="34">
        <f>IF(W233&lt;&gt;"OK","",IF(COUNTIFS($D$5:$D$404,D233,$W$5:$W$404,"OK")&gt;1,"同名あり",""))</f>
        <v/>
      </c>
      <c r="AQ233" s="35">
        <f>IF(L233="","",IF(ISNUMBER(L233),L233,IFERROR(DATEVALUE(SUBSTITUTE(SUBSTITUTE(ASC(L233&amp;""),"-","/"),".","/")&amp;"/01"),"")))</f>
        <v/>
      </c>
      <c r="AR233" s="35">
        <f>IF(M233="","",IF(ISNUMBER(M233),M233,IFERROR(DATEVALUE(SUBSTITUTE(SUBSTITUTE(ASC(M233&amp;""),"-","/"),".","/")&amp;"/01"),"")))</f>
        <v/>
      </c>
      <c r="AS233" s="34">
        <f>IF(OR(W233&lt;&gt;"OK",AQ233=""),"",IF(AQ233&gt;='01_設定'!$C$26,1,0))</f>
        <v/>
      </c>
      <c r="AT233" s="34">
        <f>IF(AND(W233="OK",Y233&lt;&gt;"除外"),COUNTIFS($W$5:W233,"OK",$Y$5:Y233,"&lt;&gt;除外"),"")</f>
        <v/>
      </c>
      <c r="AU233" s="34">
        <f>IF(OR(AT233="",AD233=""),"",AD233+ROW()/1000000000)</f>
        <v/>
      </c>
    </row>
    <row r="234">
      <c r="W234">
        <f>IF(AND(A234="",D234=""),"",IF(ISNUMBER(SEARCH("##END",AH234)),"（終わりの印）",IF(ISNUMBER(SEARCH("##続き",AH234)),"（続きありの印）",IF(AH234="調査ID","（見出し行）",IF(AND(AH234&lt;&gt;"R1",AH234&lt;&gt;"R2"),"×表以外の行（集計されない）",IF(COUNTIF($AI$5:AI234,AI234)&gt;1,"△重複（集計されない）",IF(D234="","△タスク名なし",IF(ISNA(MATCH(AK234,'M1_類型マスタ'!$A$5:$A$19,0)),"△類型が不正",IF(OR(AM234="",AN234=""),"△回数・分が読めない",IF(SUMPRODUCT(--ISNUMBER(--O234:U234))&lt;7,"△採点が足りない",IF(SUMPRODUCT((--O234:U234&gt;2)+(--O234:U234&lt;0))&gt;0,"△採点が範囲外","OK")))))))))))</f>
        <v/>
      </c>
      <c r="X234">
        <f>IF(W234&lt;&gt;"OK","",TRIM(IF(AND(AO234&lt;&gt;"",N(AO234)&lt;=1),"根拠1件 ","")&amp;IF(AP234&lt;&gt;"","同名あり ","")&amp;IF(AND(NOT(ISNUMBER(I234)),I234&lt;&gt;""),"回数を換算 ","")))</f>
        <v/>
      </c>
      <c r="Y234" s="31" t="n"/>
      <c r="Z234" s="32" t="n"/>
      <c r="AA234" s="32" t="n"/>
      <c r="AB234" s="31" t="n"/>
      <c r="AC234">
        <f>IF(W234&lt;&gt;"OK","",IF(AB234&lt;&gt;"",AB234,AE234))</f>
        <v/>
      </c>
      <c r="AD234" s="33">
        <f>IF(W234&lt;&gt;"OK","",IFERROR(IF(Z234&lt;&gt;"",Z234,AM234)*IF(AA234&lt;&gt;"",AA234,AN234)/60,""))</f>
        <v/>
      </c>
      <c r="AE234">
        <f>IF(W234&lt;&gt;"OK","",IF(OR(VALUE(O234)=2,VALUE(P234)=2,VALUE(Q234)=2),"社内残置",IF(AND(VALUE(O234)=0,VALUE(R234)=0,VALUE(T234)=0),"自動化候補",IF(AND(VALUE(P234)=0,VALUE(R234)&lt;=1,VALUE(S234)&lt;=1,VALUE(T234)&lt;=1,VALUE(U234)&lt;=1),"オフショア候補",IF(AND(VALUE(T234)&lt;=1,VALUE(U234)&lt;=1),"ニアショア候補","社内で手順化→再評価")))))</f>
        <v/>
      </c>
      <c r="AF234">
        <f>IF(W234&lt;&gt;"OK","",14-SUMPRODUCT(--O234:U234))</f>
        <v/>
      </c>
      <c r="AG234" s="33">
        <f>IF(W234&lt;&gt;"OK","",AM234*AN234/60)</f>
        <v/>
      </c>
      <c r="AH234" s="34">
        <f>IF(A234="","",UPPER(TRIM(ASC(A234&amp;""))))</f>
        <v/>
      </c>
      <c r="AI234" s="34">
        <f>IF(AH234="","",AH234&amp;"-"&amp;B234)</f>
        <v/>
      </c>
      <c r="AJ234" s="34">
        <f>IF(C234="","",IFERROR(VALUE(ASC(SUBSTITUTE(C234&amp;"","観点",""))),""))</f>
        <v/>
      </c>
      <c r="AK234" s="34">
        <f>IF(E234="","",UPPER(LEFT(TRIM(ASC(E234&amp;"")),3)))</f>
        <v/>
      </c>
      <c r="AL234" s="34">
        <f>IF(I234="","",IFERROR(VALUE(SUBSTITUTE(SUBSTITUTE(SUBSTITUTE(SUBSTITUTE(SUBSTITUTE(SUBSTITUTE(SUBSTITUTE(SUBSTITUTE(SUBSTITUTE(SUBSTITUTE(SUBSTITUTE(SUBSTITUTE(ASC(I234&amp;""),"約",""),"程度",""),"ほど",""),"回",""),"毎",""),"週",""),"月",""),"年",""),"日",""),"に",""),"/","")," ","")),""))</f>
        <v/>
      </c>
      <c r="AM234" s="34">
        <f>IF(I234="","",IF(ISNUMBER(I234),I234,IFERROR(VALUE(ASC(I234&amp;"")),IF(AL234&lt;&gt;"",AL234*IF(ISNUMBER(SEARCH("週",I234)),4.3,IF(ISNUMBER(SEARCH("年",I234)),1/12,IF(ISNUMBER(SEARCH("日",I234)),20,1))),IF(ISNUMBER(SEARCH("日",I234)),20,IF(ISNUMBER(SEARCH("週",I234)),4.3,IF(ISNUMBER(SEARCH("月",I234)),1,"")))))))</f>
        <v/>
      </c>
      <c r="AN234" s="34">
        <f>IF(J234="","",IF(ISNUMBER(J234),J234,IFERROR(VALUE(ASC(J234&amp;"")),IF(ISNUMBER(SEARCH("時間",J234)),IFERROR(VALUE(SUBSTITUTE(SUBSTITUTE(SUBSTITUTE(SUBSTITUTE(SUBSTITUTE(ASC(J234&amp;""),"約",""),"程度",""),"ほど",""),"時間","")," ",""))*60,""),IFERROR(VALUE(SUBSTITUTE(SUBSTITUTE(SUBSTITUTE(SUBSTITUTE(SUBSTITUTE(ASC(J234&amp;""),"約",""),"程度",""),"ほど",""),"分","")," ","")),"")))))</f>
        <v/>
      </c>
      <c r="AO234" s="34">
        <f>IF(K234="","",IF(ISNUMBER(K234),K234,IFERROR(VALUE(SUBSTITUTE(SUBSTITUTE(SUBSTITUTE(ASC(K234&amp;""),"約",""),"件","")," ","")),"")))</f>
        <v/>
      </c>
      <c r="AP234" s="34">
        <f>IF(W234&lt;&gt;"OK","",IF(COUNTIFS($D$5:$D$404,D234,$W$5:$W$404,"OK")&gt;1,"同名あり",""))</f>
        <v/>
      </c>
      <c r="AQ234" s="35">
        <f>IF(L234="","",IF(ISNUMBER(L234),L234,IFERROR(DATEVALUE(SUBSTITUTE(SUBSTITUTE(ASC(L234&amp;""),"-","/"),".","/")&amp;"/01"),"")))</f>
        <v/>
      </c>
      <c r="AR234" s="35">
        <f>IF(M234="","",IF(ISNUMBER(M234),M234,IFERROR(DATEVALUE(SUBSTITUTE(SUBSTITUTE(ASC(M234&amp;""),"-","/"),".","/")&amp;"/01"),"")))</f>
        <v/>
      </c>
      <c r="AS234" s="34">
        <f>IF(OR(W234&lt;&gt;"OK",AQ234=""),"",IF(AQ234&gt;='01_設定'!$C$26,1,0))</f>
        <v/>
      </c>
      <c r="AT234" s="34">
        <f>IF(AND(W234="OK",Y234&lt;&gt;"除外"),COUNTIFS($W$5:W234,"OK",$Y$5:Y234,"&lt;&gt;除外"),"")</f>
        <v/>
      </c>
      <c r="AU234" s="34">
        <f>IF(OR(AT234="",AD234=""),"",AD234+ROW()/1000000000)</f>
        <v/>
      </c>
    </row>
    <row r="235">
      <c r="W235">
        <f>IF(AND(A235="",D235=""),"",IF(ISNUMBER(SEARCH("##END",AH235)),"（終わりの印）",IF(ISNUMBER(SEARCH("##続き",AH235)),"（続きありの印）",IF(AH235="調査ID","（見出し行）",IF(AND(AH235&lt;&gt;"R1",AH235&lt;&gt;"R2"),"×表以外の行（集計されない）",IF(COUNTIF($AI$5:AI235,AI235)&gt;1,"△重複（集計されない）",IF(D235="","△タスク名なし",IF(ISNA(MATCH(AK235,'M1_類型マスタ'!$A$5:$A$19,0)),"△類型が不正",IF(OR(AM235="",AN235=""),"△回数・分が読めない",IF(SUMPRODUCT(--ISNUMBER(--O235:U235))&lt;7,"△採点が足りない",IF(SUMPRODUCT((--O235:U235&gt;2)+(--O235:U235&lt;0))&gt;0,"△採点が範囲外","OK")))))))))))</f>
        <v/>
      </c>
      <c r="X235">
        <f>IF(W235&lt;&gt;"OK","",TRIM(IF(AND(AO235&lt;&gt;"",N(AO235)&lt;=1),"根拠1件 ","")&amp;IF(AP235&lt;&gt;"","同名あり ","")&amp;IF(AND(NOT(ISNUMBER(I235)),I235&lt;&gt;""),"回数を換算 ","")))</f>
        <v/>
      </c>
      <c r="Y235" s="31" t="n"/>
      <c r="Z235" s="32" t="n"/>
      <c r="AA235" s="32" t="n"/>
      <c r="AB235" s="31" t="n"/>
      <c r="AC235">
        <f>IF(W235&lt;&gt;"OK","",IF(AB235&lt;&gt;"",AB235,AE235))</f>
        <v/>
      </c>
      <c r="AD235" s="33">
        <f>IF(W235&lt;&gt;"OK","",IFERROR(IF(Z235&lt;&gt;"",Z235,AM235)*IF(AA235&lt;&gt;"",AA235,AN235)/60,""))</f>
        <v/>
      </c>
      <c r="AE235">
        <f>IF(W235&lt;&gt;"OK","",IF(OR(VALUE(O235)=2,VALUE(P235)=2,VALUE(Q235)=2),"社内残置",IF(AND(VALUE(O235)=0,VALUE(R235)=0,VALUE(T235)=0),"自動化候補",IF(AND(VALUE(P235)=0,VALUE(R235)&lt;=1,VALUE(S235)&lt;=1,VALUE(T235)&lt;=1,VALUE(U235)&lt;=1),"オフショア候補",IF(AND(VALUE(T235)&lt;=1,VALUE(U235)&lt;=1),"ニアショア候補","社内で手順化→再評価")))))</f>
        <v/>
      </c>
      <c r="AF235">
        <f>IF(W235&lt;&gt;"OK","",14-SUMPRODUCT(--O235:U235))</f>
        <v/>
      </c>
      <c r="AG235" s="33">
        <f>IF(W235&lt;&gt;"OK","",AM235*AN235/60)</f>
        <v/>
      </c>
      <c r="AH235" s="34">
        <f>IF(A235="","",UPPER(TRIM(ASC(A235&amp;""))))</f>
        <v/>
      </c>
      <c r="AI235" s="34">
        <f>IF(AH235="","",AH235&amp;"-"&amp;B235)</f>
        <v/>
      </c>
      <c r="AJ235" s="34">
        <f>IF(C235="","",IFERROR(VALUE(ASC(SUBSTITUTE(C235&amp;"","観点",""))),""))</f>
        <v/>
      </c>
      <c r="AK235" s="34">
        <f>IF(E235="","",UPPER(LEFT(TRIM(ASC(E235&amp;"")),3)))</f>
        <v/>
      </c>
      <c r="AL235" s="34">
        <f>IF(I235="","",IFERROR(VALUE(SUBSTITUTE(SUBSTITUTE(SUBSTITUTE(SUBSTITUTE(SUBSTITUTE(SUBSTITUTE(SUBSTITUTE(SUBSTITUTE(SUBSTITUTE(SUBSTITUTE(SUBSTITUTE(SUBSTITUTE(ASC(I235&amp;""),"約",""),"程度",""),"ほど",""),"回",""),"毎",""),"週",""),"月",""),"年",""),"日",""),"に",""),"/","")," ","")),""))</f>
        <v/>
      </c>
      <c r="AM235" s="34">
        <f>IF(I235="","",IF(ISNUMBER(I235),I235,IFERROR(VALUE(ASC(I235&amp;"")),IF(AL235&lt;&gt;"",AL235*IF(ISNUMBER(SEARCH("週",I235)),4.3,IF(ISNUMBER(SEARCH("年",I235)),1/12,IF(ISNUMBER(SEARCH("日",I235)),20,1))),IF(ISNUMBER(SEARCH("日",I235)),20,IF(ISNUMBER(SEARCH("週",I235)),4.3,IF(ISNUMBER(SEARCH("月",I235)),1,"")))))))</f>
        <v/>
      </c>
      <c r="AN235" s="34">
        <f>IF(J235="","",IF(ISNUMBER(J235),J235,IFERROR(VALUE(ASC(J235&amp;"")),IF(ISNUMBER(SEARCH("時間",J235)),IFERROR(VALUE(SUBSTITUTE(SUBSTITUTE(SUBSTITUTE(SUBSTITUTE(SUBSTITUTE(ASC(J235&amp;""),"約",""),"程度",""),"ほど",""),"時間","")," ",""))*60,""),IFERROR(VALUE(SUBSTITUTE(SUBSTITUTE(SUBSTITUTE(SUBSTITUTE(SUBSTITUTE(ASC(J235&amp;""),"約",""),"程度",""),"ほど",""),"分","")," ","")),"")))))</f>
        <v/>
      </c>
      <c r="AO235" s="34">
        <f>IF(K235="","",IF(ISNUMBER(K235),K235,IFERROR(VALUE(SUBSTITUTE(SUBSTITUTE(SUBSTITUTE(ASC(K235&amp;""),"約",""),"件","")," ","")),"")))</f>
        <v/>
      </c>
      <c r="AP235" s="34">
        <f>IF(W235&lt;&gt;"OK","",IF(COUNTIFS($D$5:$D$404,D235,$W$5:$W$404,"OK")&gt;1,"同名あり",""))</f>
        <v/>
      </c>
      <c r="AQ235" s="35">
        <f>IF(L235="","",IF(ISNUMBER(L235),L235,IFERROR(DATEVALUE(SUBSTITUTE(SUBSTITUTE(ASC(L235&amp;""),"-","/"),".","/")&amp;"/01"),"")))</f>
        <v/>
      </c>
      <c r="AR235" s="35">
        <f>IF(M235="","",IF(ISNUMBER(M235),M235,IFERROR(DATEVALUE(SUBSTITUTE(SUBSTITUTE(ASC(M235&amp;""),"-","/"),".","/")&amp;"/01"),"")))</f>
        <v/>
      </c>
      <c r="AS235" s="34">
        <f>IF(OR(W235&lt;&gt;"OK",AQ235=""),"",IF(AQ235&gt;='01_設定'!$C$26,1,0))</f>
        <v/>
      </c>
      <c r="AT235" s="34">
        <f>IF(AND(W235="OK",Y235&lt;&gt;"除外"),COUNTIFS($W$5:W235,"OK",$Y$5:Y235,"&lt;&gt;除外"),"")</f>
        <v/>
      </c>
      <c r="AU235" s="34">
        <f>IF(OR(AT235="",AD235=""),"",AD235+ROW()/1000000000)</f>
        <v/>
      </c>
    </row>
    <row r="236">
      <c r="W236">
        <f>IF(AND(A236="",D236=""),"",IF(ISNUMBER(SEARCH("##END",AH236)),"（終わりの印）",IF(ISNUMBER(SEARCH("##続き",AH236)),"（続きありの印）",IF(AH236="調査ID","（見出し行）",IF(AND(AH236&lt;&gt;"R1",AH236&lt;&gt;"R2"),"×表以外の行（集計されない）",IF(COUNTIF($AI$5:AI236,AI236)&gt;1,"△重複（集計されない）",IF(D236="","△タスク名なし",IF(ISNA(MATCH(AK236,'M1_類型マスタ'!$A$5:$A$19,0)),"△類型が不正",IF(OR(AM236="",AN236=""),"△回数・分が読めない",IF(SUMPRODUCT(--ISNUMBER(--O236:U236))&lt;7,"△採点が足りない",IF(SUMPRODUCT((--O236:U236&gt;2)+(--O236:U236&lt;0))&gt;0,"△採点が範囲外","OK")))))))))))</f>
        <v/>
      </c>
      <c r="X236">
        <f>IF(W236&lt;&gt;"OK","",TRIM(IF(AND(AO236&lt;&gt;"",N(AO236)&lt;=1),"根拠1件 ","")&amp;IF(AP236&lt;&gt;"","同名あり ","")&amp;IF(AND(NOT(ISNUMBER(I236)),I236&lt;&gt;""),"回数を換算 ","")))</f>
        <v/>
      </c>
      <c r="Y236" s="31" t="n"/>
      <c r="Z236" s="32" t="n"/>
      <c r="AA236" s="32" t="n"/>
      <c r="AB236" s="31" t="n"/>
      <c r="AC236">
        <f>IF(W236&lt;&gt;"OK","",IF(AB236&lt;&gt;"",AB236,AE236))</f>
        <v/>
      </c>
      <c r="AD236" s="33">
        <f>IF(W236&lt;&gt;"OK","",IFERROR(IF(Z236&lt;&gt;"",Z236,AM236)*IF(AA236&lt;&gt;"",AA236,AN236)/60,""))</f>
        <v/>
      </c>
      <c r="AE236">
        <f>IF(W236&lt;&gt;"OK","",IF(OR(VALUE(O236)=2,VALUE(P236)=2,VALUE(Q236)=2),"社内残置",IF(AND(VALUE(O236)=0,VALUE(R236)=0,VALUE(T236)=0),"自動化候補",IF(AND(VALUE(P236)=0,VALUE(R236)&lt;=1,VALUE(S236)&lt;=1,VALUE(T236)&lt;=1,VALUE(U236)&lt;=1),"オフショア候補",IF(AND(VALUE(T236)&lt;=1,VALUE(U236)&lt;=1),"ニアショア候補","社内で手順化→再評価")))))</f>
        <v/>
      </c>
      <c r="AF236">
        <f>IF(W236&lt;&gt;"OK","",14-SUMPRODUCT(--O236:U236))</f>
        <v/>
      </c>
      <c r="AG236" s="33">
        <f>IF(W236&lt;&gt;"OK","",AM236*AN236/60)</f>
        <v/>
      </c>
      <c r="AH236" s="34">
        <f>IF(A236="","",UPPER(TRIM(ASC(A236&amp;""))))</f>
        <v/>
      </c>
      <c r="AI236" s="34">
        <f>IF(AH236="","",AH236&amp;"-"&amp;B236)</f>
        <v/>
      </c>
      <c r="AJ236" s="34">
        <f>IF(C236="","",IFERROR(VALUE(ASC(SUBSTITUTE(C236&amp;"","観点",""))),""))</f>
        <v/>
      </c>
      <c r="AK236" s="34">
        <f>IF(E236="","",UPPER(LEFT(TRIM(ASC(E236&amp;"")),3)))</f>
        <v/>
      </c>
      <c r="AL236" s="34">
        <f>IF(I236="","",IFERROR(VALUE(SUBSTITUTE(SUBSTITUTE(SUBSTITUTE(SUBSTITUTE(SUBSTITUTE(SUBSTITUTE(SUBSTITUTE(SUBSTITUTE(SUBSTITUTE(SUBSTITUTE(SUBSTITUTE(SUBSTITUTE(ASC(I236&amp;""),"約",""),"程度",""),"ほど",""),"回",""),"毎",""),"週",""),"月",""),"年",""),"日",""),"に",""),"/","")," ","")),""))</f>
        <v/>
      </c>
      <c r="AM236" s="34">
        <f>IF(I236="","",IF(ISNUMBER(I236),I236,IFERROR(VALUE(ASC(I236&amp;"")),IF(AL236&lt;&gt;"",AL236*IF(ISNUMBER(SEARCH("週",I236)),4.3,IF(ISNUMBER(SEARCH("年",I236)),1/12,IF(ISNUMBER(SEARCH("日",I236)),20,1))),IF(ISNUMBER(SEARCH("日",I236)),20,IF(ISNUMBER(SEARCH("週",I236)),4.3,IF(ISNUMBER(SEARCH("月",I236)),1,"")))))))</f>
        <v/>
      </c>
      <c r="AN236" s="34">
        <f>IF(J236="","",IF(ISNUMBER(J236),J236,IFERROR(VALUE(ASC(J236&amp;"")),IF(ISNUMBER(SEARCH("時間",J236)),IFERROR(VALUE(SUBSTITUTE(SUBSTITUTE(SUBSTITUTE(SUBSTITUTE(SUBSTITUTE(ASC(J236&amp;""),"約",""),"程度",""),"ほど",""),"時間","")," ",""))*60,""),IFERROR(VALUE(SUBSTITUTE(SUBSTITUTE(SUBSTITUTE(SUBSTITUTE(SUBSTITUTE(ASC(J236&amp;""),"約",""),"程度",""),"ほど",""),"分","")," ","")),"")))))</f>
        <v/>
      </c>
      <c r="AO236" s="34">
        <f>IF(K236="","",IF(ISNUMBER(K236),K236,IFERROR(VALUE(SUBSTITUTE(SUBSTITUTE(SUBSTITUTE(ASC(K236&amp;""),"約",""),"件","")," ","")),"")))</f>
        <v/>
      </c>
      <c r="AP236" s="34">
        <f>IF(W236&lt;&gt;"OK","",IF(COUNTIFS($D$5:$D$404,D236,$W$5:$W$404,"OK")&gt;1,"同名あり",""))</f>
        <v/>
      </c>
      <c r="AQ236" s="35">
        <f>IF(L236="","",IF(ISNUMBER(L236),L236,IFERROR(DATEVALUE(SUBSTITUTE(SUBSTITUTE(ASC(L236&amp;""),"-","/"),".","/")&amp;"/01"),"")))</f>
        <v/>
      </c>
      <c r="AR236" s="35">
        <f>IF(M236="","",IF(ISNUMBER(M236),M236,IFERROR(DATEVALUE(SUBSTITUTE(SUBSTITUTE(ASC(M236&amp;""),"-","/"),".","/")&amp;"/01"),"")))</f>
        <v/>
      </c>
      <c r="AS236" s="34">
        <f>IF(OR(W236&lt;&gt;"OK",AQ236=""),"",IF(AQ236&gt;='01_設定'!$C$26,1,0))</f>
        <v/>
      </c>
      <c r="AT236" s="34">
        <f>IF(AND(W236="OK",Y236&lt;&gt;"除外"),COUNTIFS($W$5:W236,"OK",$Y$5:Y236,"&lt;&gt;除外"),"")</f>
        <v/>
      </c>
      <c r="AU236" s="34">
        <f>IF(OR(AT236="",AD236=""),"",AD236+ROW()/1000000000)</f>
        <v/>
      </c>
    </row>
    <row r="237">
      <c r="W237">
        <f>IF(AND(A237="",D237=""),"",IF(ISNUMBER(SEARCH("##END",AH237)),"（終わりの印）",IF(ISNUMBER(SEARCH("##続き",AH237)),"（続きありの印）",IF(AH237="調査ID","（見出し行）",IF(AND(AH237&lt;&gt;"R1",AH237&lt;&gt;"R2"),"×表以外の行（集計されない）",IF(COUNTIF($AI$5:AI237,AI237)&gt;1,"△重複（集計されない）",IF(D237="","△タスク名なし",IF(ISNA(MATCH(AK237,'M1_類型マスタ'!$A$5:$A$19,0)),"△類型が不正",IF(OR(AM237="",AN237=""),"△回数・分が読めない",IF(SUMPRODUCT(--ISNUMBER(--O237:U237))&lt;7,"△採点が足りない",IF(SUMPRODUCT((--O237:U237&gt;2)+(--O237:U237&lt;0))&gt;0,"△採点が範囲外","OK")))))))))))</f>
        <v/>
      </c>
      <c r="X237">
        <f>IF(W237&lt;&gt;"OK","",TRIM(IF(AND(AO237&lt;&gt;"",N(AO237)&lt;=1),"根拠1件 ","")&amp;IF(AP237&lt;&gt;"","同名あり ","")&amp;IF(AND(NOT(ISNUMBER(I237)),I237&lt;&gt;""),"回数を換算 ","")))</f>
        <v/>
      </c>
      <c r="Y237" s="31" t="n"/>
      <c r="Z237" s="32" t="n"/>
      <c r="AA237" s="32" t="n"/>
      <c r="AB237" s="31" t="n"/>
      <c r="AC237">
        <f>IF(W237&lt;&gt;"OK","",IF(AB237&lt;&gt;"",AB237,AE237))</f>
        <v/>
      </c>
      <c r="AD237" s="33">
        <f>IF(W237&lt;&gt;"OK","",IFERROR(IF(Z237&lt;&gt;"",Z237,AM237)*IF(AA237&lt;&gt;"",AA237,AN237)/60,""))</f>
        <v/>
      </c>
      <c r="AE237">
        <f>IF(W237&lt;&gt;"OK","",IF(OR(VALUE(O237)=2,VALUE(P237)=2,VALUE(Q237)=2),"社内残置",IF(AND(VALUE(O237)=0,VALUE(R237)=0,VALUE(T237)=0),"自動化候補",IF(AND(VALUE(P237)=0,VALUE(R237)&lt;=1,VALUE(S237)&lt;=1,VALUE(T237)&lt;=1,VALUE(U237)&lt;=1),"オフショア候補",IF(AND(VALUE(T237)&lt;=1,VALUE(U237)&lt;=1),"ニアショア候補","社内で手順化→再評価")))))</f>
        <v/>
      </c>
      <c r="AF237">
        <f>IF(W237&lt;&gt;"OK","",14-SUMPRODUCT(--O237:U237))</f>
        <v/>
      </c>
      <c r="AG237" s="33">
        <f>IF(W237&lt;&gt;"OK","",AM237*AN237/60)</f>
        <v/>
      </c>
      <c r="AH237" s="34">
        <f>IF(A237="","",UPPER(TRIM(ASC(A237&amp;""))))</f>
        <v/>
      </c>
      <c r="AI237" s="34">
        <f>IF(AH237="","",AH237&amp;"-"&amp;B237)</f>
        <v/>
      </c>
      <c r="AJ237" s="34">
        <f>IF(C237="","",IFERROR(VALUE(ASC(SUBSTITUTE(C237&amp;"","観点",""))),""))</f>
        <v/>
      </c>
      <c r="AK237" s="34">
        <f>IF(E237="","",UPPER(LEFT(TRIM(ASC(E237&amp;"")),3)))</f>
        <v/>
      </c>
      <c r="AL237" s="34">
        <f>IF(I237="","",IFERROR(VALUE(SUBSTITUTE(SUBSTITUTE(SUBSTITUTE(SUBSTITUTE(SUBSTITUTE(SUBSTITUTE(SUBSTITUTE(SUBSTITUTE(SUBSTITUTE(SUBSTITUTE(SUBSTITUTE(SUBSTITUTE(ASC(I237&amp;""),"約",""),"程度",""),"ほど",""),"回",""),"毎",""),"週",""),"月",""),"年",""),"日",""),"に",""),"/","")," ","")),""))</f>
        <v/>
      </c>
      <c r="AM237" s="34">
        <f>IF(I237="","",IF(ISNUMBER(I237),I237,IFERROR(VALUE(ASC(I237&amp;"")),IF(AL237&lt;&gt;"",AL237*IF(ISNUMBER(SEARCH("週",I237)),4.3,IF(ISNUMBER(SEARCH("年",I237)),1/12,IF(ISNUMBER(SEARCH("日",I237)),20,1))),IF(ISNUMBER(SEARCH("日",I237)),20,IF(ISNUMBER(SEARCH("週",I237)),4.3,IF(ISNUMBER(SEARCH("月",I237)),1,"")))))))</f>
        <v/>
      </c>
      <c r="AN237" s="34">
        <f>IF(J237="","",IF(ISNUMBER(J237),J237,IFERROR(VALUE(ASC(J237&amp;"")),IF(ISNUMBER(SEARCH("時間",J237)),IFERROR(VALUE(SUBSTITUTE(SUBSTITUTE(SUBSTITUTE(SUBSTITUTE(SUBSTITUTE(ASC(J237&amp;""),"約",""),"程度",""),"ほど",""),"時間","")," ",""))*60,""),IFERROR(VALUE(SUBSTITUTE(SUBSTITUTE(SUBSTITUTE(SUBSTITUTE(SUBSTITUTE(ASC(J237&amp;""),"約",""),"程度",""),"ほど",""),"分","")," ","")),"")))))</f>
        <v/>
      </c>
      <c r="AO237" s="34">
        <f>IF(K237="","",IF(ISNUMBER(K237),K237,IFERROR(VALUE(SUBSTITUTE(SUBSTITUTE(SUBSTITUTE(ASC(K237&amp;""),"約",""),"件","")," ","")),"")))</f>
        <v/>
      </c>
      <c r="AP237" s="34">
        <f>IF(W237&lt;&gt;"OK","",IF(COUNTIFS($D$5:$D$404,D237,$W$5:$W$404,"OK")&gt;1,"同名あり",""))</f>
        <v/>
      </c>
      <c r="AQ237" s="35">
        <f>IF(L237="","",IF(ISNUMBER(L237),L237,IFERROR(DATEVALUE(SUBSTITUTE(SUBSTITUTE(ASC(L237&amp;""),"-","/"),".","/")&amp;"/01"),"")))</f>
        <v/>
      </c>
      <c r="AR237" s="35">
        <f>IF(M237="","",IF(ISNUMBER(M237),M237,IFERROR(DATEVALUE(SUBSTITUTE(SUBSTITUTE(ASC(M237&amp;""),"-","/"),".","/")&amp;"/01"),"")))</f>
        <v/>
      </c>
      <c r="AS237" s="34">
        <f>IF(OR(W237&lt;&gt;"OK",AQ237=""),"",IF(AQ237&gt;='01_設定'!$C$26,1,0))</f>
        <v/>
      </c>
      <c r="AT237" s="34">
        <f>IF(AND(W237="OK",Y237&lt;&gt;"除外"),COUNTIFS($W$5:W237,"OK",$Y$5:Y237,"&lt;&gt;除外"),"")</f>
        <v/>
      </c>
      <c r="AU237" s="34">
        <f>IF(OR(AT237="",AD237=""),"",AD237+ROW()/1000000000)</f>
        <v/>
      </c>
    </row>
    <row r="238">
      <c r="W238">
        <f>IF(AND(A238="",D238=""),"",IF(ISNUMBER(SEARCH("##END",AH238)),"（終わりの印）",IF(ISNUMBER(SEARCH("##続き",AH238)),"（続きありの印）",IF(AH238="調査ID","（見出し行）",IF(AND(AH238&lt;&gt;"R1",AH238&lt;&gt;"R2"),"×表以外の行（集計されない）",IF(COUNTIF($AI$5:AI238,AI238)&gt;1,"△重複（集計されない）",IF(D238="","△タスク名なし",IF(ISNA(MATCH(AK238,'M1_類型マスタ'!$A$5:$A$19,0)),"△類型が不正",IF(OR(AM238="",AN238=""),"△回数・分が読めない",IF(SUMPRODUCT(--ISNUMBER(--O238:U238))&lt;7,"△採点が足りない",IF(SUMPRODUCT((--O238:U238&gt;2)+(--O238:U238&lt;0))&gt;0,"△採点が範囲外","OK")))))))))))</f>
        <v/>
      </c>
      <c r="X238">
        <f>IF(W238&lt;&gt;"OK","",TRIM(IF(AND(AO238&lt;&gt;"",N(AO238)&lt;=1),"根拠1件 ","")&amp;IF(AP238&lt;&gt;"","同名あり ","")&amp;IF(AND(NOT(ISNUMBER(I238)),I238&lt;&gt;""),"回数を換算 ","")))</f>
        <v/>
      </c>
      <c r="Y238" s="31" t="n"/>
      <c r="Z238" s="32" t="n"/>
      <c r="AA238" s="32" t="n"/>
      <c r="AB238" s="31" t="n"/>
      <c r="AC238">
        <f>IF(W238&lt;&gt;"OK","",IF(AB238&lt;&gt;"",AB238,AE238))</f>
        <v/>
      </c>
      <c r="AD238" s="33">
        <f>IF(W238&lt;&gt;"OK","",IFERROR(IF(Z238&lt;&gt;"",Z238,AM238)*IF(AA238&lt;&gt;"",AA238,AN238)/60,""))</f>
        <v/>
      </c>
      <c r="AE238">
        <f>IF(W238&lt;&gt;"OK","",IF(OR(VALUE(O238)=2,VALUE(P238)=2,VALUE(Q238)=2),"社内残置",IF(AND(VALUE(O238)=0,VALUE(R238)=0,VALUE(T238)=0),"自動化候補",IF(AND(VALUE(P238)=0,VALUE(R238)&lt;=1,VALUE(S238)&lt;=1,VALUE(T238)&lt;=1,VALUE(U238)&lt;=1),"オフショア候補",IF(AND(VALUE(T238)&lt;=1,VALUE(U238)&lt;=1),"ニアショア候補","社内で手順化→再評価")))))</f>
        <v/>
      </c>
      <c r="AF238">
        <f>IF(W238&lt;&gt;"OK","",14-SUMPRODUCT(--O238:U238))</f>
        <v/>
      </c>
      <c r="AG238" s="33">
        <f>IF(W238&lt;&gt;"OK","",AM238*AN238/60)</f>
        <v/>
      </c>
      <c r="AH238" s="34">
        <f>IF(A238="","",UPPER(TRIM(ASC(A238&amp;""))))</f>
        <v/>
      </c>
      <c r="AI238" s="34">
        <f>IF(AH238="","",AH238&amp;"-"&amp;B238)</f>
        <v/>
      </c>
      <c r="AJ238" s="34">
        <f>IF(C238="","",IFERROR(VALUE(ASC(SUBSTITUTE(C238&amp;"","観点",""))),""))</f>
        <v/>
      </c>
      <c r="AK238" s="34">
        <f>IF(E238="","",UPPER(LEFT(TRIM(ASC(E238&amp;"")),3)))</f>
        <v/>
      </c>
      <c r="AL238" s="34">
        <f>IF(I238="","",IFERROR(VALUE(SUBSTITUTE(SUBSTITUTE(SUBSTITUTE(SUBSTITUTE(SUBSTITUTE(SUBSTITUTE(SUBSTITUTE(SUBSTITUTE(SUBSTITUTE(SUBSTITUTE(SUBSTITUTE(SUBSTITUTE(ASC(I238&amp;""),"約",""),"程度",""),"ほど",""),"回",""),"毎",""),"週",""),"月",""),"年",""),"日",""),"に",""),"/","")," ","")),""))</f>
        <v/>
      </c>
      <c r="AM238" s="34">
        <f>IF(I238="","",IF(ISNUMBER(I238),I238,IFERROR(VALUE(ASC(I238&amp;"")),IF(AL238&lt;&gt;"",AL238*IF(ISNUMBER(SEARCH("週",I238)),4.3,IF(ISNUMBER(SEARCH("年",I238)),1/12,IF(ISNUMBER(SEARCH("日",I238)),20,1))),IF(ISNUMBER(SEARCH("日",I238)),20,IF(ISNUMBER(SEARCH("週",I238)),4.3,IF(ISNUMBER(SEARCH("月",I238)),1,"")))))))</f>
        <v/>
      </c>
      <c r="AN238" s="34">
        <f>IF(J238="","",IF(ISNUMBER(J238),J238,IFERROR(VALUE(ASC(J238&amp;"")),IF(ISNUMBER(SEARCH("時間",J238)),IFERROR(VALUE(SUBSTITUTE(SUBSTITUTE(SUBSTITUTE(SUBSTITUTE(SUBSTITUTE(ASC(J238&amp;""),"約",""),"程度",""),"ほど",""),"時間","")," ",""))*60,""),IFERROR(VALUE(SUBSTITUTE(SUBSTITUTE(SUBSTITUTE(SUBSTITUTE(SUBSTITUTE(ASC(J238&amp;""),"約",""),"程度",""),"ほど",""),"分","")," ","")),"")))))</f>
        <v/>
      </c>
      <c r="AO238" s="34">
        <f>IF(K238="","",IF(ISNUMBER(K238),K238,IFERROR(VALUE(SUBSTITUTE(SUBSTITUTE(SUBSTITUTE(ASC(K238&amp;""),"約",""),"件","")," ","")),"")))</f>
        <v/>
      </c>
      <c r="AP238" s="34">
        <f>IF(W238&lt;&gt;"OK","",IF(COUNTIFS($D$5:$D$404,D238,$W$5:$W$404,"OK")&gt;1,"同名あり",""))</f>
        <v/>
      </c>
      <c r="AQ238" s="35">
        <f>IF(L238="","",IF(ISNUMBER(L238),L238,IFERROR(DATEVALUE(SUBSTITUTE(SUBSTITUTE(ASC(L238&amp;""),"-","/"),".","/")&amp;"/01"),"")))</f>
        <v/>
      </c>
      <c r="AR238" s="35">
        <f>IF(M238="","",IF(ISNUMBER(M238),M238,IFERROR(DATEVALUE(SUBSTITUTE(SUBSTITUTE(ASC(M238&amp;""),"-","/"),".","/")&amp;"/01"),"")))</f>
        <v/>
      </c>
      <c r="AS238" s="34">
        <f>IF(OR(W238&lt;&gt;"OK",AQ238=""),"",IF(AQ238&gt;='01_設定'!$C$26,1,0))</f>
        <v/>
      </c>
      <c r="AT238" s="34">
        <f>IF(AND(W238="OK",Y238&lt;&gt;"除外"),COUNTIFS($W$5:W238,"OK",$Y$5:Y238,"&lt;&gt;除外"),"")</f>
        <v/>
      </c>
      <c r="AU238" s="34">
        <f>IF(OR(AT238="",AD238=""),"",AD238+ROW()/1000000000)</f>
        <v/>
      </c>
    </row>
    <row r="239">
      <c r="W239">
        <f>IF(AND(A239="",D239=""),"",IF(ISNUMBER(SEARCH("##END",AH239)),"（終わりの印）",IF(ISNUMBER(SEARCH("##続き",AH239)),"（続きありの印）",IF(AH239="調査ID","（見出し行）",IF(AND(AH239&lt;&gt;"R1",AH239&lt;&gt;"R2"),"×表以外の行（集計されない）",IF(COUNTIF($AI$5:AI239,AI239)&gt;1,"△重複（集計されない）",IF(D239="","△タスク名なし",IF(ISNA(MATCH(AK239,'M1_類型マスタ'!$A$5:$A$19,0)),"△類型が不正",IF(OR(AM239="",AN239=""),"△回数・分が読めない",IF(SUMPRODUCT(--ISNUMBER(--O239:U239))&lt;7,"△採点が足りない",IF(SUMPRODUCT((--O239:U239&gt;2)+(--O239:U239&lt;0))&gt;0,"△採点が範囲外","OK")))))))))))</f>
        <v/>
      </c>
      <c r="X239">
        <f>IF(W239&lt;&gt;"OK","",TRIM(IF(AND(AO239&lt;&gt;"",N(AO239)&lt;=1),"根拠1件 ","")&amp;IF(AP239&lt;&gt;"","同名あり ","")&amp;IF(AND(NOT(ISNUMBER(I239)),I239&lt;&gt;""),"回数を換算 ","")))</f>
        <v/>
      </c>
      <c r="Y239" s="31" t="n"/>
      <c r="Z239" s="32" t="n"/>
      <c r="AA239" s="32" t="n"/>
      <c r="AB239" s="31" t="n"/>
      <c r="AC239">
        <f>IF(W239&lt;&gt;"OK","",IF(AB239&lt;&gt;"",AB239,AE239))</f>
        <v/>
      </c>
      <c r="AD239" s="33">
        <f>IF(W239&lt;&gt;"OK","",IFERROR(IF(Z239&lt;&gt;"",Z239,AM239)*IF(AA239&lt;&gt;"",AA239,AN239)/60,""))</f>
        <v/>
      </c>
      <c r="AE239">
        <f>IF(W239&lt;&gt;"OK","",IF(OR(VALUE(O239)=2,VALUE(P239)=2,VALUE(Q239)=2),"社内残置",IF(AND(VALUE(O239)=0,VALUE(R239)=0,VALUE(T239)=0),"自動化候補",IF(AND(VALUE(P239)=0,VALUE(R239)&lt;=1,VALUE(S239)&lt;=1,VALUE(T239)&lt;=1,VALUE(U239)&lt;=1),"オフショア候補",IF(AND(VALUE(T239)&lt;=1,VALUE(U239)&lt;=1),"ニアショア候補","社内で手順化→再評価")))))</f>
        <v/>
      </c>
      <c r="AF239">
        <f>IF(W239&lt;&gt;"OK","",14-SUMPRODUCT(--O239:U239))</f>
        <v/>
      </c>
      <c r="AG239" s="33">
        <f>IF(W239&lt;&gt;"OK","",AM239*AN239/60)</f>
        <v/>
      </c>
      <c r="AH239" s="34">
        <f>IF(A239="","",UPPER(TRIM(ASC(A239&amp;""))))</f>
        <v/>
      </c>
      <c r="AI239" s="34">
        <f>IF(AH239="","",AH239&amp;"-"&amp;B239)</f>
        <v/>
      </c>
      <c r="AJ239" s="34">
        <f>IF(C239="","",IFERROR(VALUE(ASC(SUBSTITUTE(C239&amp;"","観点",""))),""))</f>
        <v/>
      </c>
      <c r="AK239" s="34">
        <f>IF(E239="","",UPPER(LEFT(TRIM(ASC(E239&amp;"")),3)))</f>
        <v/>
      </c>
      <c r="AL239" s="34">
        <f>IF(I239="","",IFERROR(VALUE(SUBSTITUTE(SUBSTITUTE(SUBSTITUTE(SUBSTITUTE(SUBSTITUTE(SUBSTITUTE(SUBSTITUTE(SUBSTITUTE(SUBSTITUTE(SUBSTITUTE(SUBSTITUTE(SUBSTITUTE(ASC(I239&amp;""),"約",""),"程度",""),"ほど",""),"回",""),"毎",""),"週",""),"月",""),"年",""),"日",""),"に",""),"/","")," ","")),""))</f>
        <v/>
      </c>
      <c r="AM239" s="34">
        <f>IF(I239="","",IF(ISNUMBER(I239),I239,IFERROR(VALUE(ASC(I239&amp;"")),IF(AL239&lt;&gt;"",AL239*IF(ISNUMBER(SEARCH("週",I239)),4.3,IF(ISNUMBER(SEARCH("年",I239)),1/12,IF(ISNUMBER(SEARCH("日",I239)),20,1))),IF(ISNUMBER(SEARCH("日",I239)),20,IF(ISNUMBER(SEARCH("週",I239)),4.3,IF(ISNUMBER(SEARCH("月",I239)),1,"")))))))</f>
        <v/>
      </c>
      <c r="AN239" s="34">
        <f>IF(J239="","",IF(ISNUMBER(J239),J239,IFERROR(VALUE(ASC(J239&amp;"")),IF(ISNUMBER(SEARCH("時間",J239)),IFERROR(VALUE(SUBSTITUTE(SUBSTITUTE(SUBSTITUTE(SUBSTITUTE(SUBSTITUTE(ASC(J239&amp;""),"約",""),"程度",""),"ほど",""),"時間","")," ",""))*60,""),IFERROR(VALUE(SUBSTITUTE(SUBSTITUTE(SUBSTITUTE(SUBSTITUTE(SUBSTITUTE(ASC(J239&amp;""),"約",""),"程度",""),"ほど",""),"分","")," ","")),"")))))</f>
        <v/>
      </c>
      <c r="AO239" s="34">
        <f>IF(K239="","",IF(ISNUMBER(K239),K239,IFERROR(VALUE(SUBSTITUTE(SUBSTITUTE(SUBSTITUTE(ASC(K239&amp;""),"約",""),"件","")," ","")),"")))</f>
        <v/>
      </c>
      <c r="AP239" s="34">
        <f>IF(W239&lt;&gt;"OK","",IF(COUNTIFS($D$5:$D$404,D239,$W$5:$W$404,"OK")&gt;1,"同名あり",""))</f>
        <v/>
      </c>
      <c r="AQ239" s="35">
        <f>IF(L239="","",IF(ISNUMBER(L239),L239,IFERROR(DATEVALUE(SUBSTITUTE(SUBSTITUTE(ASC(L239&amp;""),"-","/"),".","/")&amp;"/01"),"")))</f>
        <v/>
      </c>
      <c r="AR239" s="35">
        <f>IF(M239="","",IF(ISNUMBER(M239),M239,IFERROR(DATEVALUE(SUBSTITUTE(SUBSTITUTE(ASC(M239&amp;""),"-","/"),".","/")&amp;"/01"),"")))</f>
        <v/>
      </c>
      <c r="AS239" s="34">
        <f>IF(OR(W239&lt;&gt;"OK",AQ239=""),"",IF(AQ239&gt;='01_設定'!$C$26,1,0))</f>
        <v/>
      </c>
      <c r="AT239" s="34">
        <f>IF(AND(W239="OK",Y239&lt;&gt;"除外"),COUNTIFS($W$5:W239,"OK",$Y$5:Y239,"&lt;&gt;除外"),"")</f>
        <v/>
      </c>
      <c r="AU239" s="34">
        <f>IF(OR(AT239="",AD239=""),"",AD239+ROW()/1000000000)</f>
        <v/>
      </c>
    </row>
    <row r="240">
      <c r="W240">
        <f>IF(AND(A240="",D240=""),"",IF(ISNUMBER(SEARCH("##END",AH240)),"（終わりの印）",IF(ISNUMBER(SEARCH("##続き",AH240)),"（続きありの印）",IF(AH240="調査ID","（見出し行）",IF(AND(AH240&lt;&gt;"R1",AH240&lt;&gt;"R2"),"×表以外の行（集計されない）",IF(COUNTIF($AI$5:AI240,AI240)&gt;1,"△重複（集計されない）",IF(D240="","△タスク名なし",IF(ISNA(MATCH(AK240,'M1_類型マスタ'!$A$5:$A$19,0)),"△類型が不正",IF(OR(AM240="",AN240=""),"△回数・分が読めない",IF(SUMPRODUCT(--ISNUMBER(--O240:U240))&lt;7,"△採点が足りない",IF(SUMPRODUCT((--O240:U240&gt;2)+(--O240:U240&lt;0))&gt;0,"△採点が範囲外","OK")))))))))))</f>
        <v/>
      </c>
      <c r="X240">
        <f>IF(W240&lt;&gt;"OK","",TRIM(IF(AND(AO240&lt;&gt;"",N(AO240)&lt;=1),"根拠1件 ","")&amp;IF(AP240&lt;&gt;"","同名あり ","")&amp;IF(AND(NOT(ISNUMBER(I240)),I240&lt;&gt;""),"回数を換算 ","")))</f>
        <v/>
      </c>
      <c r="Y240" s="31" t="n"/>
      <c r="Z240" s="32" t="n"/>
      <c r="AA240" s="32" t="n"/>
      <c r="AB240" s="31" t="n"/>
      <c r="AC240">
        <f>IF(W240&lt;&gt;"OK","",IF(AB240&lt;&gt;"",AB240,AE240))</f>
        <v/>
      </c>
      <c r="AD240" s="33">
        <f>IF(W240&lt;&gt;"OK","",IFERROR(IF(Z240&lt;&gt;"",Z240,AM240)*IF(AA240&lt;&gt;"",AA240,AN240)/60,""))</f>
        <v/>
      </c>
      <c r="AE240">
        <f>IF(W240&lt;&gt;"OK","",IF(OR(VALUE(O240)=2,VALUE(P240)=2,VALUE(Q240)=2),"社内残置",IF(AND(VALUE(O240)=0,VALUE(R240)=0,VALUE(T240)=0),"自動化候補",IF(AND(VALUE(P240)=0,VALUE(R240)&lt;=1,VALUE(S240)&lt;=1,VALUE(T240)&lt;=1,VALUE(U240)&lt;=1),"オフショア候補",IF(AND(VALUE(T240)&lt;=1,VALUE(U240)&lt;=1),"ニアショア候補","社内で手順化→再評価")))))</f>
        <v/>
      </c>
      <c r="AF240">
        <f>IF(W240&lt;&gt;"OK","",14-SUMPRODUCT(--O240:U240))</f>
        <v/>
      </c>
      <c r="AG240" s="33">
        <f>IF(W240&lt;&gt;"OK","",AM240*AN240/60)</f>
        <v/>
      </c>
      <c r="AH240" s="34">
        <f>IF(A240="","",UPPER(TRIM(ASC(A240&amp;""))))</f>
        <v/>
      </c>
      <c r="AI240" s="34">
        <f>IF(AH240="","",AH240&amp;"-"&amp;B240)</f>
        <v/>
      </c>
      <c r="AJ240" s="34">
        <f>IF(C240="","",IFERROR(VALUE(ASC(SUBSTITUTE(C240&amp;"","観点",""))),""))</f>
        <v/>
      </c>
      <c r="AK240" s="34">
        <f>IF(E240="","",UPPER(LEFT(TRIM(ASC(E240&amp;"")),3)))</f>
        <v/>
      </c>
      <c r="AL240" s="34">
        <f>IF(I240="","",IFERROR(VALUE(SUBSTITUTE(SUBSTITUTE(SUBSTITUTE(SUBSTITUTE(SUBSTITUTE(SUBSTITUTE(SUBSTITUTE(SUBSTITUTE(SUBSTITUTE(SUBSTITUTE(SUBSTITUTE(SUBSTITUTE(ASC(I240&amp;""),"約",""),"程度",""),"ほど",""),"回",""),"毎",""),"週",""),"月",""),"年",""),"日",""),"に",""),"/","")," ","")),""))</f>
        <v/>
      </c>
      <c r="AM240" s="34">
        <f>IF(I240="","",IF(ISNUMBER(I240),I240,IFERROR(VALUE(ASC(I240&amp;"")),IF(AL240&lt;&gt;"",AL240*IF(ISNUMBER(SEARCH("週",I240)),4.3,IF(ISNUMBER(SEARCH("年",I240)),1/12,IF(ISNUMBER(SEARCH("日",I240)),20,1))),IF(ISNUMBER(SEARCH("日",I240)),20,IF(ISNUMBER(SEARCH("週",I240)),4.3,IF(ISNUMBER(SEARCH("月",I240)),1,"")))))))</f>
        <v/>
      </c>
      <c r="AN240" s="34">
        <f>IF(J240="","",IF(ISNUMBER(J240),J240,IFERROR(VALUE(ASC(J240&amp;"")),IF(ISNUMBER(SEARCH("時間",J240)),IFERROR(VALUE(SUBSTITUTE(SUBSTITUTE(SUBSTITUTE(SUBSTITUTE(SUBSTITUTE(ASC(J240&amp;""),"約",""),"程度",""),"ほど",""),"時間","")," ",""))*60,""),IFERROR(VALUE(SUBSTITUTE(SUBSTITUTE(SUBSTITUTE(SUBSTITUTE(SUBSTITUTE(ASC(J240&amp;""),"約",""),"程度",""),"ほど",""),"分","")," ","")),"")))))</f>
        <v/>
      </c>
      <c r="AO240" s="34">
        <f>IF(K240="","",IF(ISNUMBER(K240),K240,IFERROR(VALUE(SUBSTITUTE(SUBSTITUTE(SUBSTITUTE(ASC(K240&amp;""),"約",""),"件","")," ","")),"")))</f>
        <v/>
      </c>
      <c r="AP240" s="34">
        <f>IF(W240&lt;&gt;"OK","",IF(COUNTIFS($D$5:$D$404,D240,$W$5:$W$404,"OK")&gt;1,"同名あり",""))</f>
        <v/>
      </c>
      <c r="AQ240" s="35">
        <f>IF(L240="","",IF(ISNUMBER(L240),L240,IFERROR(DATEVALUE(SUBSTITUTE(SUBSTITUTE(ASC(L240&amp;""),"-","/"),".","/")&amp;"/01"),"")))</f>
        <v/>
      </c>
      <c r="AR240" s="35">
        <f>IF(M240="","",IF(ISNUMBER(M240),M240,IFERROR(DATEVALUE(SUBSTITUTE(SUBSTITUTE(ASC(M240&amp;""),"-","/"),".","/")&amp;"/01"),"")))</f>
        <v/>
      </c>
      <c r="AS240" s="34">
        <f>IF(OR(W240&lt;&gt;"OK",AQ240=""),"",IF(AQ240&gt;='01_設定'!$C$26,1,0))</f>
        <v/>
      </c>
      <c r="AT240" s="34">
        <f>IF(AND(W240="OK",Y240&lt;&gt;"除外"),COUNTIFS($W$5:W240,"OK",$Y$5:Y240,"&lt;&gt;除外"),"")</f>
        <v/>
      </c>
      <c r="AU240" s="34">
        <f>IF(OR(AT240="",AD240=""),"",AD240+ROW()/1000000000)</f>
        <v/>
      </c>
    </row>
    <row r="241">
      <c r="W241">
        <f>IF(AND(A241="",D241=""),"",IF(ISNUMBER(SEARCH("##END",AH241)),"（終わりの印）",IF(ISNUMBER(SEARCH("##続き",AH241)),"（続きありの印）",IF(AH241="調査ID","（見出し行）",IF(AND(AH241&lt;&gt;"R1",AH241&lt;&gt;"R2"),"×表以外の行（集計されない）",IF(COUNTIF($AI$5:AI241,AI241)&gt;1,"△重複（集計されない）",IF(D241="","△タスク名なし",IF(ISNA(MATCH(AK241,'M1_類型マスタ'!$A$5:$A$19,0)),"△類型が不正",IF(OR(AM241="",AN241=""),"△回数・分が読めない",IF(SUMPRODUCT(--ISNUMBER(--O241:U241))&lt;7,"△採点が足りない",IF(SUMPRODUCT((--O241:U241&gt;2)+(--O241:U241&lt;0))&gt;0,"△採点が範囲外","OK")))))))))))</f>
        <v/>
      </c>
      <c r="X241">
        <f>IF(W241&lt;&gt;"OK","",TRIM(IF(AND(AO241&lt;&gt;"",N(AO241)&lt;=1),"根拠1件 ","")&amp;IF(AP241&lt;&gt;"","同名あり ","")&amp;IF(AND(NOT(ISNUMBER(I241)),I241&lt;&gt;""),"回数を換算 ","")))</f>
        <v/>
      </c>
      <c r="Y241" s="31" t="n"/>
      <c r="Z241" s="32" t="n"/>
      <c r="AA241" s="32" t="n"/>
      <c r="AB241" s="31" t="n"/>
      <c r="AC241">
        <f>IF(W241&lt;&gt;"OK","",IF(AB241&lt;&gt;"",AB241,AE241))</f>
        <v/>
      </c>
      <c r="AD241" s="33">
        <f>IF(W241&lt;&gt;"OK","",IFERROR(IF(Z241&lt;&gt;"",Z241,AM241)*IF(AA241&lt;&gt;"",AA241,AN241)/60,""))</f>
        <v/>
      </c>
      <c r="AE241">
        <f>IF(W241&lt;&gt;"OK","",IF(OR(VALUE(O241)=2,VALUE(P241)=2,VALUE(Q241)=2),"社内残置",IF(AND(VALUE(O241)=0,VALUE(R241)=0,VALUE(T241)=0),"自動化候補",IF(AND(VALUE(P241)=0,VALUE(R241)&lt;=1,VALUE(S241)&lt;=1,VALUE(T241)&lt;=1,VALUE(U241)&lt;=1),"オフショア候補",IF(AND(VALUE(T241)&lt;=1,VALUE(U241)&lt;=1),"ニアショア候補","社内で手順化→再評価")))))</f>
        <v/>
      </c>
      <c r="AF241">
        <f>IF(W241&lt;&gt;"OK","",14-SUMPRODUCT(--O241:U241))</f>
        <v/>
      </c>
      <c r="AG241" s="33">
        <f>IF(W241&lt;&gt;"OK","",AM241*AN241/60)</f>
        <v/>
      </c>
      <c r="AH241" s="34">
        <f>IF(A241="","",UPPER(TRIM(ASC(A241&amp;""))))</f>
        <v/>
      </c>
      <c r="AI241" s="34">
        <f>IF(AH241="","",AH241&amp;"-"&amp;B241)</f>
        <v/>
      </c>
      <c r="AJ241" s="34">
        <f>IF(C241="","",IFERROR(VALUE(ASC(SUBSTITUTE(C241&amp;"","観点",""))),""))</f>
        <v/>
      </c>
      <c r="AK241" s="34">
        <f>IF(E241="","",UPPER(LEFT(TRIM(ASC(E241&amp;"")),3)))</f>
        <v/>
      </c>
      <c r="AL241" s="34">
        <f>IF(I241="","",IFERROR(VALUE(SUBSTITUTE(SUBSTITUTE(SUBSTITUTE(SUBSTITUTE(SUBSTITUTE(SUBSTITUTE(SUBSTITUTE(SUBSTITUTE(SUBSTITUTE(SUBSTITUTE(SUBSTITUTE(SUBSTITUTE(ASC(I241&amp;""),"約",""),"程度",""),"ほど",""),"回",""),"毎",""),"週",""),"月",""),"年",""),"日",""),"に",""),"/","")," ","")),""))</f>
        <v/>
      </c>
      <c r="AM241" s="34">
        <f>IF(I241="","",IF(ISNUMBER(I241),I241,IFERROR(VALUE(ASC(I241&amp;"")),IF(AL241&lt;&gt;"",AL241*IF(ISNUMBER(SEARCH("週",I241)),4.3,IF(ISNUMBER(SEARCH("年",I241)),1/12,IF(ISNUMBER(SEARCH("日",I241)),20,1))),IF(ISNUMBER(SEARCH("日",I241)),20,IF(ISNUMBER(SEARCH("週",I241)),4.3,IF(ISNUMBER(SEARCH("月",I241)),1,"")))))))</f>
        <v/>
      </c>
      <c r="AN241" s="34">
        <f>IF(J241="","",IF(ISNUMBER(J241),J241,IFERROR(VALUE(ASC(J241&amp;"")),IF(ISNUMBER(SEARCH("時間",J241)),IFERROR(VALUE(SUBSTITUTE(SUBSTITUTE(SUBSTITUTE(SUBSTITUTE(SUBSTITUTE(ASC(J241&amp;""),"約",""),"程度",""),"ほど",""),"時間","")," ",""))*60,""),IFERROR(VALUE(SUBSTITUTE(SUBSTITUTE(SUBSTITUTE(SUBSTITUTE(SUBSTITUTE(ASC(J241&amp;""),"約",""),"程度",""),"ほど",""),"分","")," ","")),"")))))</f>
        <v/>
      </c>
      <c r="AO241" s="34">
        <f>IF(K241="","",IF(ISNUMBER(K241),K241,IFERROR(VALUE(SUBSTITUTE(SUBSTITUTE(SUBSTITUTE(ASC(K241&amp;""),"約",""),"件","")," ","")),"")))</f>
        <v/>
      </c>
      <c r="AP241" s="34">
        <f>IF(W241&lt;&gt;"OK","",IF(COUNTIFS($D$5:$D$404,D241,$W$5:$W$404,"OK")&gt;1,"同名あり",""))</f>
        <v/>
      </c>
      <c r="AQ241" s="35">
        <f>IF(L241="","",IF(ISNUMBER(L241),L241,IFERROR(DATEVALUE(SUBSTITUTE(SUBSTITUTE(ASC(L241&amp;""),"-","/"),".","/")&amp;"/01"),"")))</f>
        <v/>
      </c>
      <c r="AR241" s="35">
        <f>IF(M241="","",IF(ISNUMBER(M241),M241,IFERROR(DATEVALUE(SUBSTITUTE(SUBSTITUTE(ASC(M241&amp;""),"-","/"),".","/")&amp;"/01"),"")))</f>
        <v/>
      </c>
      <c r="AS241" s="34">
        <f>IF(OR(W241&lt;&gt;"OK",AQ241=""),"",IF(AQ241&gt;='01_設定'!$C$26,1,0))</f>
        <v/>
      </c>
      <c r="AT241" s="34">
        <f>IF(AND(W241="OK",Y241&lt;&gt;"除外"),COUNTIFS($W$5:W241,"OK",$Y$5:Y241,"&lt;&gt;除外"),"")</f>
        <v/>
      </c>
      <c r="AU241" s="34">
        <f>IF(OR(AT241="",AD241=""),"",AD241+ROW()/1000000000)</f>
        <v/>
      </c>
    </row>
    <row r="242">
      <c r="W242">
        <f>IF(AND(A242="",D242=""),"",IF(ISNUMBER(SEARCH("##END",AH242)),"（終わりの印）",IF(ISNUMBER(SEARCH("##続き",AH242)),"（続きありの印）",IF(AH242="調査ID","（見出し行）",IF(AND(AH242&lt;&gt;"R1",AH242&lt;&gt;"R2"),"×表以外の行（集計されない）",IF(COUNTIF($AI$5:AI242,AI242)&gt;1,"△重複（集計されない）",IF(D242="","△タスク名なし",IF(ISNA(MATCH(AK242,'M1_類型マスタ'!$A$5:$A$19,0)),"△類型が不正",IF(OR(AM242="",AN242=""),"△回数・分が読めない",IF(SUMPRODUCT(--ISNUMBER(--O242:U242))&lt;7,"△採点が足りない",IF(SUMPRODUCT((--O242:U242&gt;2)+(--O242:U242&lt;0))&gt;0,"△採点が範囲外","OK")))))))))))</f>
        <v/>
      </c>
      <c r="X242">
        <f>IF(W242&lt;&gt;"OK","",TRIM(IF(AND(AO242&lt;&gt;"",N(AO242)&lt;=1),"根拠1件 ","")&amp;IF(AP242&lt;&gt;"","同名あり ","")&amp;IF(AND(NOT(ISNUMBER(I242)),I242&lt;&gt;""),"回数を換算 ","")))</f>
        <v/>
      </c>
      <c r="Y242" s="31" t="n"/>
      <c r="Z242" s="32" t="n"/>
      <c r="AA242" s="32" t="n"/>
      <c r="AB242" s="31" t="n"/>
      <c r="AC242">
        <f>IF(W242&lt;&gt;"OK","",IF(AB242&lt;&gt;"",AB242,AE242))</f>
        <v/>
      </c>
      <c r="AD242" s="33">
        <f>IF(W242&lt;&gt;"OK","",IFERROR(IF(Z242&lt;&gt;"",Z242,AM242)*IF(AA242&lt;&gt;"",AA242,AN242)/60,""))</f>
        <v/>
      </c>
      <c r="AE242">
        <f>IF(W242&lt;&gt;"OK","",IF(OR(VALUE(O242)=2,VALUE(P242)=2,VALUE(Q242)=2),"社内残置",IF(AND(VALUE(O242)=0,VALUE(R242)=0,VALUE(T242)=0),"自動化候補",IF(AND(VALUE(P242)=0,VALUE(R242)&lt;=1,VALUE(S242)&lt;=1,VALUE(T242)&lt;=1,VALUE(U242)&lt;=1),"オフショア候補",IF(AND(VALUE(T242)&lt;=1,VALUE(U242)&lt;=1),"ニアショア候補","社内で手順化→再評価")))))</f>
        <v/>
      </c>
      <c r="AF242">
        <f>IF(W242&lt;&gt;"OK","",14-SUMPRODUCT(--O242:U242))</f>
        <v/>
      </c>
      <c r="AG242" s="33">
        <f>IF(W242&lt;&gt;"OK","",AM242*AN242/60)</f>
        <v/>
      </c>
      <c r="AH242" s="34">
        <f>IF(A242="","",UPPER(TRIM(ASC(A242&amp;""))))</f>
        <v/>
      </c>
      <c r="AI242" s="34">
        <f>IF(AH242="","",AH242&amp;"-"&amp;B242)</f>
        <v/>
      </c>
      <c r="AJ242" s="34">
        <f>IF(C242="","",IFERROR(VALUE(ASC(SUBSTITUTE(C242&amp;"","観点",""))),""))</f>
        <v/>
      </c>
      <c r="AK242" s="34">
        <f>IF(E242="","",UPPER(LEFT(TRIM(ASC(E242&amp;"")),3)))</f>
        <v/>
      </c>
      <c r="AL242" s="34">
        <f>IF(I242="","",IFERROR(VALUE(SUBSTITUTE(SUBSTITUTE(SUBSTITUTE(SUBSTITUTE(SUBSTITUTE(SUBSTITUTE(SUBSTITUTE(SUBSTITUTE(SUBSTITUTE(SUBSTITUTE(SUBSTITUTE(SUBSTITUTE(ASC(I242&amp;""),"約",""),"程度",""),"ほど",""),"回",""),"毎",""),"週",""),"月",""),"年",""),"日",""),"に",""),"/","")," ","")),""))</f>
        <v/>
      </c>
      <c r="AM242" s="34">
        <f>IF(I242="","",IF(ISNUMBER(I242),I242,IFERROR(VALUE(ASC(I242&amp;"")),IF(AL242&lt;&gt;"",AL242*IF(ISNUMBER(SEARCH("週",I242)),4.3,IF(ISNUMBER(SEARCH("年",I242)),1/12,IF(ISNUMBER(SEARCH("日",I242)),20,1))),IF(ISNUMBER(SEARCH("日",I242)),20,IF(ISNUMBER(SEARCH("週",I242)),4.3,IF(ISNUMBER(SEARCH("月",I242)),1,"")))))))</f>
        <v/>
      </c>
      <c r="AN242" s="34">
        <f>IF(J242="","",IF(ISNUMBER(J242),J242,IFERROR(VALUE(ASC(J242&amp;"")),IF(ISNUMBER(SEARCH("時間",J242)),IFERROR(VALUE(SUBSTITUTE(SUBSTITUTE(SUBSTITUTE(SUBSTITUTE(SUBSTITUTE(ASC(J242&amp;""),"約",""),"程度",""),"ほど",""),"時間","")," ",""))*60,""),IFERROR(VALUE(SUBSTITUTE(SUBSTITUTE(SUBSTITUTE(SUBSTITUTE(SUBSTITUTE(ASC(J242&amp;""),"約",""),"程度",""),"ほど",""),"分","")," ","")),"")))))</f>
        <v/>
      </c>
      <c r="AO242" s="34">
        <f>IF(K242="","",IF(ISNUMBER(K242),K242,IFERROR(VALUE(SUBSTITUTE(SUBSTITUTE(SUBSTITUTE(ASC(K242&amp;""),"約",""),"件","")," ","")),"")))</f>
        <v/>
      </c>
      <c r="AP242" s="34">
        <f>IF(W242&lt;&gt;"OK","",IF(COUNTIFS($D$5:$D$404,D242,$W$5:$W$404,"OK")&gt;1,"同名あり",""))</f>
        <v/>
      </c>
      <c r="AQ242" s="35">
        <f>IF(L242="","",IF(ISNUMBER(L242),L242,IFERROR(DATEVALUE(SUBSTITUTE(SUBSTITUTE(ASC(L242&amp;""),"-","/"),".","/")&amp;"/01"),"")))</f>
        <v/>
      </c>
      <c r="AR242" s="35">
        <f>IF(M242="","",IF(ISNUMBER(M242),M242,IFERROR(DATEVALUE(SUBSTITUTE(SUBSTITUTE(ASC(M242&amp;""),"-","/"),".","/")&amp;"/01"),"")))</f>
        <v/>
      </c>
      <c r="AS242" s="34">
        <f>IF(OR(W242&lt;&gt;"OK",AQ242=""),"",IF(AQ242&gt;='01_設定'!$C$26,1,0))</f>
        <v/>
      </c>
      <c r="AT242" s="34">
        <f>IF(AND(W242="OK",Y242&lt;&gt;"除外"),COUNTIFS($W$5:W242,"OK",$Y$5:Y242,"&lt;&gt;除外"),"")</f>
        <v/>
      </c>
      <c r="AU242" s="34">
        <f>IF(OR(AT242="",AD242=""),"",AD242+ROW()/1000000000)</f>
        <v/>
      </c>
    </row>
    <row r="243">
      <c r="W243">
        <f>IF(AND(A243="",D243=""),"",IF(ISNUMBER(SEARCH("##END",AH243)),"（終わりの印）",IF(ISNUMBER(SEARCH("##続き",AH243)),"（続きありの印）",IF(AH243="調査ID","（見出し行）",IF(AND(AH243&lt;&gt;"R1",AH243&lt;&gt;"R2"),"×表以外の行（集計されない）",IF(COUNTIF($AI$5:AI243,AI243)&gt;1,"△重複（集計されない）",IF(D243="","△タスク名なし",IF(ISNA(MATCH(AK243,'M1_類型マスタ'!$A$5:$A$19,0)),"△類型が不正",IF(OR(AM243="",AN243=""),"△回数・分が読めない",IF(SUMPRODUCT(--ISNUMBER(--O243:U243))&lt;7,"△採点が足りない",IF(SUMPRODUCT((--O243:U243&gt;2)+(--O243:U243&lt;0))&gt;0,"△採点が範囲外","OK")))))))))))</f>
        <v/>
      </c>
      <c r="X243">
        <f>IF(W243&lt;&gt;"OK","",TRIM(IF(AND(AO243&lt;&gt;"",N(AO243)&lt;=1),"根拠1件 ","")&amp;IF(AP243&lt;&gt;"","同名あり ","")&amp;IF(AND(NOT(ISNUMBER(I243)),I243&lt;&gt;""),"回数を換算 ","")))</f>
        <v/>
      </c>
      <c r="Y243" s="31" t="n"/>
      <c r="Z243" s="32" t="n"/>
      <c r="AA243" s="32" t="n"/>
      <c r="AB243" s="31" t="n"/>
      <c r="AC243">
        <f>IF(W243&lt;&gt;"OK","",IF(AB243&lt;&gt;"",AB243,AE243))</f>
        <v/>
      </c>
      <c r="AD243" s="33">
        <f>IF(W243&lt;&gt;"OK","",IFERROR(IF(Z243&lt;&gt;"",Z243,AM243)*IF(AA243&lt;&gt;"",AA243,AN243)/60,""))</f>
        <v/>
      </c>
      <c r="AE243">
        <f>IF(W243&lt;&gt;"OK","",IF(OR(VALUE(O243)=2,VALUE(P243)=2,VALUE(Q243)=2),"社内残置",IF(AND(VALUE(O243)=0,VALUE(R243)=0,VALUE(T243)=0),"自動化候補",IF(AND(VALUE(P243)=0,VALUE(R243)&lt;=1,VALUE(S243)&lt;=1,VALUE(T243)&lt;=1,VALUE(U243)&lt;=1),"オフショア候補",IF(AND(VALUE(T243)&lt;=1,VALUE(U243)&lt;=1),"ニアショア候補","社内で手順化→再評価")))))</f>
        <v/>
      </c>
      <c r="AF243">
        <f>IF(W243&lt;&gt;"OK","",14-SUMPRODUCT(--O243:U243))</f>
        <v/>
      </c>
      <c r="AG243" s="33">
        <f>IF(W243&lt;&gt;"OK","",AM243*AN243/60)</f>
        <v/>
      </c>
      <c r="AH243" s="34">
        <f>IF(A243="","",UPPER(TRIM(ASC(A243&amp;""))))</f>
        <v/>
      </c>
      <c r="AI243" s="34">
        <f>IF(AH243="","",AH243&amp;"-"&amp;B243)</f>
        <v/>
      </c>
      <c r="AJ243" s="34">
        <f>IF(C243="","",IFERROR(VALUE(ASC(SUBSTITUTE(C243&amp;"","観点",""))),""))</f>
        <v/>
      </c>
      <c r="AK243" s="34">
        <f>IF(E243="","",UPPER(LEFT(TRIM(ASC(E243&amp;"")),3)))</f>
        <v/>
      </c>
      <c r="AL243" s="34">
        <f>IF(I243="","",IFERROR(VALUE(SUBSTITUTE(SUBSTITUTE(SUBSTITUTE(SUBSTITUTE(SUBSTITUTE(SUBSTITUTE(SUBSTITUTE(SUBSTITUTE(SUBSTITUTE(SUBSTITUTE(SUBSTITUTE(SUBSTITUTE(ASC(I243&amp;""),"約",""),"程度",""),"ほど",""),"回",""),"毎",""),"週",""),"月",""),"年",""),"日",""),"に",""),"/","")," ","")),""))</f>
        <v/>
      </c>
      <c r="AM243" s="34">
        <f>IF(I243="","",IF(ISNUMBER(I243),I243,IFERROR(VALUE(ASC(I243&amp;"")),IF(AL243&lt;&gt;"",AL243*IF(ISNUMBER(SEARCH("週",I243)),4.3,IF(ISNUMBER(SEARCH("年",I243)),1/12,IF(ISNUMBER(SEARCH("日",I243)),20,1))),IF(ISNUMBER(SEARCH("日",I243)),20,IF(ISNUMBER(SEARCH("週",I243)),4.3,IF(ISNUMBER(SEARCH("月",I243)),1,"")))))))</f>
        <v/>
      </c>
      <c r="AN243" s="34">
        <f>IF(J243="","",IF(ISNUMBER(J243),J243,IFERROR(VALUE(ASC(J243&amp;"")),IF(ISNUMBER(SEARCH("時間",J243)),IFERROR(VALUE(SUBSTITUTE(SUBSTITUTE(SUBSTITUTE(SUBSTITUTE(SUBSTITUTE(ASC(J243&amp;""),"約",""),"程度",""),"ほど",""),"時間","")," ",""))*60,""),IFERROR(VALUE(SUBSTITUTE(SUBSTITUTE(SUBSTITUTE(SUBSTITUTE(SUBSTITUTE(ASC(J243&amp;""),"約",""),"程度",""),"ほど",""),"分","")," ","")),"")))))</f>
        <v/>
      </c>
      <c r="AO243" s="34">
        <f>IF(K243="","",IF(ISNUMBER(K243),K243,IFERROR(VALUE(SUBSTITUTE(SUBSTITUTE(SUBSTITUTE(ASC(K243&amp;""),"約",""),"件","")," ","")),"")))</f>
        <v/>
      </c>
      <c r="AP243" s="34">
        <f>IF(W243&lt;&gt;"OK","",IF(COUNTIFS($D$5:$D$404,D243,$W$5:$W$404,"OK")&gt;1,"同名あり",""))</f>
        <v/>
      </c>
      <c r="AQ243" s="35">
        <f>IF(L243="","",IF(ISNUMBER(L243),L243,IFERROR(DATEVALUE(SUBSTITUTE(SUBSTITUTE(ASC(L243&amp;""),"-","/"),".","/")&amp;"/01"),"")))</f>
        <v/>
      </c>
      <c r="AR243" s="35">
        <f>IF(M243="","",IF(ISNUMBER(M243),M243,IFERROR(DATEVALUE(SUBSTITUTE(SUBSTITUTE(ASC(M243&amp;""),"-","/"),".","/")&amp;"/01"),"")))</f>
        <v/>
      </c>
      <c r="AS243" s="34">
        <f>IF(OR(W243&lt;&gt;"OK",AQ243=""),"",IF(AQ243&gt;='01_設定'!$C$26,1,0))</f>
        <v/>
      </c>
      <c r="AT243" s="34">
        <f>IF(AND(W243="OK",Y243&lt;&gt;"除外"),COUNTIFS($W$5:W243,"OK",$Y$5:Y243,"&lt;&gt;除外"),"")</f>
        <v/>
      </c>
      <c r="AU243" s="34">
        <f>IF(OR(AT243="",AD243=""),"",AD243+ROW()/1000000000)</f>
        <v/>
      </c>
    </row>
    <row r="244">
      <c r="W244">
        <f>IF(AND(A244="",D244=""),"",IF(ISNUMBER(SEARCH("##END",AH244)),"（終わりの印）",IF(ISNUMBER(SEARCH("##続き",AH244)),"（続きありの印）",IF(AH244="調査ID","（見出し行）",IF(AND(AH244&lt;&gt;"R1",AH244&lt;&gt;"R2"),"×表以外の行（集計されない）",IF(COUNTIF($AI$5:AI244,AI244)&gt;1,"△重複（集計されない）",IF(D244="","△タスク名なし",IF(ISNA(MATCH(AK244,'M1_類型マスタ'!$A$5:$A$19,0)),"△類型が不正",IF(OR(AM244="",AN244=""),"△回数・分が読めない",IF(SUMPRODUCT(--ISNUMBER(--O244:U244))&lt;7,"△採点が足りない",IF(SUMPRODUCT((--O244:U244&gt;2)+(--O244:U244&lt;0))&gt;0,"△採点が範囲外","OK")))))))))))</f>
        <v/>
      </c>
      <c r="X244">
        <f>IF(W244&lt;&gt;"OK","",TRIM(IF(AND(AO244&lt;&gt;"",N(AO244)&lt;=1),"根拠1件 ","")&amp;IF(AP244&lt;&gt;"","同名あり ","")&amp;IF(AND(NOT(ISNUMBER(I244)),I244&lt;&gt;""),"回数を換算 ","")))</f>
        <v/>
      </c>
      <c r="Y244" s="31" t="n"/>
      <c r="Z244" s="32" t="n"/>
      <c r="AA244" s="32" t="n"/>
      <c r="AB244" s="31" t="n"/>
      <c r="AC244">
        <f>IF(W244&lt;&gt;"OK","",IF(AB244&lt;&gt;"",AB244,AE244))</f>
        <v/>
      </c>
      <c r="AD244" s="33">
        <f>IF(W244&lt;&gt;"OK","",IFERROR(IF(Z244&lt;&gt;"",Z244,AM244)*IF(AA244&lt;&gt;"",AA244,AN244)/60,""))</f>
        <v/>
      </c>
      <c r="AE244">
        <f>IF(W244&lt;&gt;"OK","",IF(OR(VALUE(O244)=2,VALUE(P244)=2,VALUE(Q244)=2),"社内残置",IF(AND(VALUE(O244)=0,VALUE(R244)=0,VALUE(T244)=0),"自動化候補",IF(AND(VALUE(P244)=0,VALUE(R244)&lt;=1,VALUE(S244)&lt;=1,VALUE(T244)&lt;=1,VALUE(U244)&lt;=1),"オフショア候補",IF(AND(VALUE(T244)&lt;=1,VALUE(U244)&lt;=1),"ニアショア候補","社内で手順化→再評価")))))</f>
        <v/>
      </c>
      <c r="AF244">
        <f>IF(W244&lt;&gt;"OK","",14-SUMPRODUCT(--O244:U244))</f>
        <v/>
      </c>
      <c r="AG244" s="33">
        <f>IF(W244&lt;&gt;"OK","",AM244*AN244/60)</f>
        <v/>
      </c>
      <c r="AH244" s="34">
        <f>IF(A244="","",UPPER(TRIM(ASC(A244&amp;""))))</f>
        <v/>
      </c>
      <c r="AI244" s="34">
        <f>IF(AH244="","",AH244&amp;"-"&amp;B244)</f>
        <v/>
      </c>
      <c r="AJ244" s="34">
        <f>IF(C244="","",IFERROR(VALUE(ASC(SUBSTITUTE(C244&amp;"","観点",""))),""))</f>
        <v/>
      </c>
      <c r="AK244" s="34">
        <f>IF(E244="","",UPPER(LEFT(TRIM(ASC(E244&amp;"")),3)))</f>
        <v/>
      </c>
      <c r="AL244" s="34">
        <f>IF(I244="","",IFERROR(VALUE(SUBSTITUTE(SUBSTITUTE(SUBSTITUTE(SUBSTITUTE(SUBSTITUTE(SUBSTITUTE(SUBSTITUTE(SUBSTITUTE(SUBSTITUTE(SUBSTITUTE(SUBSTITUTE(SUBSTITUTE(ASC(I244&amp;""),"約",""),"程度",""),"ほど",""),"回",""),"毎",""),"週",""),"月",""),"年",""),"日",""),"に",""),"/","")," ","")),""))</f>
        <v/>
      </c>
      <c r="AM244" s="34">
        <f>IF(I244="","",IF(ISNUMBER(I244),I244,IFERROR(VALUE(ASC(I244&amp;"")),IF(AL244&lt;&gt;"",AL244*IF(ISNUMBER(SEARCH("週",I244)),4.3,IF(ISNUMBER(SEARCH("年",I244)),1/12,IF(ISNUMBER(SEARCH("日",I244)),20,1))),IF(ISNUMBER(SEARCH("日",I244)),20,IF(ISNUMBER(SEARCH("週",I244)),4.3,IF(ISNUMBER(SEARCH("月",I244)),1,"")))))))</f>
        <v/>
      </c>
      <c r="AN244" s="34">
        <f>IF(J244="","",IF(ISNUMBER(J244),J244,IFERROR(VALUE(ASC(J244&amp;"")),IF(ISNUMBER(SEARCH("時間",J244)),IFERROR(VALUE(SUBSTITUTE(SUBSTITUTE(SUBSTITUTE(SUBSTITUTE(SUBSTITUTE(ASC(J244&amp;""),"約",""),"程度",""),"ほど",""),"時間","")," ",""))*60,""),IFERROR(VALUE(SUBSTITUTE(SUBSTITUTE(SUBSTITUTE(SUBSTITUTE(SUBSTITUTE(ASC(J244&amp;""),"約",""),"程度",""),"ほど",""),"分","")," ","")),"")))))</f>
        <v/>
      </c>
      <c r="AO244" s="34">
        <f>IF(K244="","",IF(ISNUMBER(K244),K244,IFERROR(VALUE(SUBSTITUTE(SUBSTITUTE(SUBSTITUTE(ASC(K244&amp;""),"約",""),"件","")," ","")),"")))</f>
        <v/>
      </c>
      <c r="AP244" s="34">
        <f>IF(W244&lt;&gt;"OK","",IF(COUNTIFS($D$5:$D$404,D244,$W$5:$W$404,"OK")&gt;1,"同名あり",""))</f>
        <v/>
      </c>
      <c r="AQ244" s="35">
        <f>IF(L244="","",IF(ISNUMBER(L244),L244,IFERROR(DATEVALUE(SUBSTITUTE(SUBSTITUTE(ASC(L244&amp;""),"-","/"),".","/")&amp;"/01"),"")))</f>
        <v/>
      </c>
      <c r="AR244" s="35">
        <f>IF(M244="","",IF(ISNUMBER(M244),M244,IFERROR(DATEVALUE(SUBSTITUTE(SUBSTITUTE(ASC(M244&amp;""),"-","/"),".","/")&amp;"/01"),"")))</f>
        <v/>
      </c>
      <c r="AS244" s="34">
        <f>IF(OR(W244&lt;&gt;"OK",AQ244=""),"",IF(AQ244&gt;='01_設定'!$C$26,1,0))</f>
        <v/>
      </c>
      <c r="AT244" s="34">
        <f>IF(AND(W244="OK",Y244&lt;&gt;"除外"),COUNTIFS($W$5:W244,"OK",$Y$5:Y244,"&lt;&gt;除外"),"")</f>
        <v/>
      </c>
      <c r="AU244" s="34">
        <f>IF(OR(AT244="",AD244=""),"",AD244+ROW()/1000000000)</f>
        <v/>
      </c>
    </row>
    <row r="245">
      <c r="W245">
        <f>IF(AND(A245="",D245=""),"",IF(ISNUMBER(SEARCH("##END",AH245)),"（終わりの印）",IF(ISNUMBER(SEARCH("##続き",AH245)),"（続きありの印）",IF(AH245="調査ID","（見出し行）",IF(AND(AH245&lt;&gt;"R1",AH245&lt;&gt;"R2"),"×表以外の行（集計されない）",IF(COUNTIF($AI$5:AI245,AI245)&gt;1,"△重複（集計されない）",IF(D245="","△タスク名なし",IF(ISNA(MATCH(AK245,'M1_類型マスタ'!$A$5:$A$19,0)),"△類型が不正",IF(OR(AM245="",AN245=""),"△回数・分が読めない",IF(SUMPRODUCT(--ISNUMBER(--O245:U245))&lt;7,"△採点が足りない",IF(SUMPRODUCT((--O245:U245&gt;2)+(--O245:U245&lt;0))&gt;0,"△採点が範囲外","OK")))))))))))</f>
        <v/>
      </c>
      <c r="X245">
        <f>IF(W245&lt;&gt;"OK","",TRIM(IF(AND(AO245&lt;&gt;"",N(AO245)&lt;=1),"根拠1件 ","")&amp;IF(AP245&lt;&gt;"","同名あり ","")&amp;IF(AND(NOT(ISNUMBER(I245)),I245&lt;&gt;""),"回数を換算 ","")))</f>
        <v/>
      </c>
      <c r="Y245" s="31" t="n"/>
      <c r="Z245" s="32" t="n"/>
      <c r="AA245" s="32" t="n"/>
      <c r="AB245" s="31" t="n"/>
      <c r="AC245">
        <f>IF(W245&lt;&gt;"OK","",IF(AB245&lt;&gt;"",AB245,AE245))</f>
        <v/>
      </c>
      <c r="AD245" s="33">
        <f>IF(W245&lt;&gt;"OK","",IFERROR(IF(Z245&lt;&gt;"",Z245,AM245)*IF(AA245&lt;&gt;"",AA245,AN245)/60,""))</f>
        <v/>
      </c>
      <c r="AE245">
        <f>IF(W245&lt;&gt;"OK","",IF(OR(VALUE(O245)=2,VALUE(P245)=2,VALUE(Q245)=2),"社内残置",IF(AND(VALUE(O245)=0,VALUE(R245)=0,VALUE(T245)=0),"自動化候補",IF(AND(VALUE(P245)=0,VALUE(R245)&lt;=1,VALUE(S245)&lt;=1,VALUE(T245)&lt;=1,VALUE(U245)&lt;=1),"オフショア候補",IF(AND(VALUE(T245)&lt;=1,VALUE(U245)&lt;=1),"ニアショア候補","社内で手順化→再評価")))))</f>
        <v/>
      </c>
      <c r="AF245">
        <f>IF(W245&lt;&gt;"OK","",14-SUMPRODUCT(--O245:U245))</f>
        <v/>
      </c>
      <c r="AG245" s="33">
        <f>IF(W245&lt;&gt;"OK","",AM245*AN245/60)</f>
        <v/>
      </c>
      <c r="AH245" s="34">
        <f>IF(A245="","",UPPER(TRIM(ASC(A245&amp;""))))</f>
        <v/>
      </c>
      <c r="AI245" s="34">
        <f>IF(AH245="","",AH245&amp;"-"&amp;B245)</f>
        <v/>
      </c>
      <c r="AJ245" s="34">
        <f>IF(C245="","",IFERROR(VALUE(ASC(SUBSTITUTE(C245&amp;"","観点",""))),""))</f>
        <v/>
      </c>
      <c r="AK245" s="34">
        <f>IF(E245="","",UPPER(LEFT(TRIM(ASC(E245&amp;"")),3)))</f>
        <v/>
      </c>
      <c r="AL245" s="34">
        <f>IF(I245="","",IFERROR(VALUE(SUBSTITUTE(SUBSTITUTE(SUBSTITUTE(SUBSTITUTE(SUBSTITUTE(SUBSTITUTE(SUBSTITUTE(SUBSTITUTE(SUBSTITUTE(SUBSTITUTE(SUBSTITUTE(SUBSTITUTE(ASC(I245&amp;""),"約",""),"程度",""),"ほど",""),"回",""),"毎",""),"週",""),"月",""),"年",""),"日",""),"に",""),"/","")," ","")),""))</f>
        <v/>
      </c>
      <c r="AM245" s="34">
        <f>IF(I245="","",IF(ISNUMBER(I245),I245,IFERROR(VALUE(ASC(I245&amp;"")),IF(AL245&lt;&gt;"",AL245*IF(ISNUMBER(SEARCH("週",I245)),4.3,IF(ISNUMBER(SEARCH("年",I245)),1/12,IF(ISNUMBER(SEARCH("日",I245)),20,1))),IF(ISNUMBER(SEARCH("日",I245)),20,IF(ISNUMBER(SEARCH("週",I245)),4.3,IF(ISNUMBER(SEARCH("月",I245)),1,"")))))))</f>
        <v/>
      </c>
      <c r="AN245" s="34">
        <f>IF(J245="","",IF(ISNUMBER(J245),J245,IFERROR(VALUE(ASC(J245&amp;"")),IF(ISNUMBER(SEARCH("時間",J245)),IFERROR(VALUE(SUBSTITUTE(SUBSTITUTE(SUBSTITUTE(SUBSTITUTE(SUBSTITUTE(ASC(J245&amp;""),"約",""),"程度",""),"ほど",""),"時間","")," ",""))*60,""),IFERROR(VALUE(SUBSTITUTE(SUBSTITUTE(SUBSTITUTE(SUBSTITUTE(SUBSTITUTE(ASC(J245&amp;""),"約",""),"程度",""),"ほど",""),"分","")," ","")),"")))))</f>
        <v/>
      </c>
      <c r="AO245" s="34">
        <f>IF(K245="","",IF(ISNUMBER(K245),K245,IFERROR(VALUE(SUBSTITUTE(SUBSTITUTE(SUBSTITUTE(ASC(K245&amp;""),"約",""),"件","")," ","")),"")))</f>
        <v/>
      </c>
      <c r="AP245" s="34">
        <f>IF(W245&lt;&gt;"OK","",IF(COUNTIFS($D$5:$D$404,D245,$W$5:$W$404,"OK")&gt;1,"同名あり",""))</f>
        <v/>
      </c>
      <c r="AQ245" s="35">
        <f>IF(L245="","",IF(ISNUMBER(L245),L245,IFERROR(DATEVALUE(SUBSTITUTE(SUBSTITUTE(ASC(L245&amp;""),"-","/"),".","/")&amp;"/01"),"")))</f>
        <v/>
      </c>
      <c r="AR245" s="35">
        <f>IF(M245="","",IF(ISNUMBER(M245),M245,IFERROR(DATEVALUE(SUBSTITUTE(SUBSTITUTE(ASC(M245&amp;""),"-","/"),".","/")&amp;"/01"),"")))</f>
        <v/>
      </c>
      <c r="AS245" s="34">
        <f>IF(OR(W245&lt;&gt;"OK",AQ245=""),"",IF(AQ245&gt;='01_設定'!$C$26,1,0))</f>
        <v/>
      </c>
      <c r="AT245" s="34">
        <f>IF(AND(W245="OK",Y245&lt;&gt;"除外"),COUNTIFS($W$5:W245,"OK",$Y$5:Y245,"&lt;&gt;除外"),"")</f>
        <v/>
      </c>
      <c r="AU245" s="34">
        <f>IF(OR(AT245="",AD245=""),"",AD245+ROW()/1000000000)</f>
        <v/>
      </c>
    </row>
    <row r="246">
      <c r="W246">
        <f>IF(AND(A246="",D246=""),"",IF(ISNUMBER(SEARCH("##END",AH246)),"（終わりの印）",IF(ISNUMBER(SEARCH("##続き",AH246)),"（続きありの印）",IF(AH246="調査ID","（見出し行）",IF(AND(AH246&lt;&gt;"R1",AH246&lt;&gt;"R2"),"×表以外の行（集計されない）",IF(COUNTIF($AI$5:AI246,AI246)&gt;1,"△重複（集計されない）",IF(D246="","△タスク名なし",IF(ISNA(MATCH(AK246,'M1_類型マスタ'!$A$5:$A$19,0)),"△類型が不正",IF(OR(AM246="",AN246=""),"△回数・分が読めない",IF(SUMPRODUCT(--ISNUMBER(--O246:U246))&lt;7,"△採点が足りない",IF(SUMPRODUCT((--O246:U246&gt;2)+(--O246:U246&lt;0))&gt;0,"△採点が範囲外","OK")))))))))))</f>
        <v/>
      </c>
      <c r="X246">
        <f>IF(W246&lt;&gt;"OK","",TRIM(IF(AND(AO246&lt;&gt;"",N(AO246)&lt;=1),"根拠1件 ","")&amp;IF(AP246&lt;&gt;"","同名あり ","")&amp;IF(AND(NOT(ISNUMBER(I246)),I246&lt;&gt;""),"回数を換算 ","")))</f>
        <v/>
      </c>
      <c r="Y246" s="31" t="n"/>
      <c r="Z246" s="32" t="n"/>
      <c r="AA246" s="32" t="n"/>
      <c r="AB246" s="31" t="n"/>
      <c r="AC246">
        <f>IF(W246&lt;&gt;"OK","",IF(AB246&lt;&gt;"",AB246,AE246))</f>
        <v/>
      </c>
      <c r="AD246" s="33">
        <f>IF(W246&lt;&gt;"OK","",IFERROR(IF(Z246&lt;&gt;"",Z246,AM246)*IF(AA246&lt;&gt;"",AA246,AN246)/60,""))</f>
        <v/>
      </c>
      <c r="AE246">
        <f>IF(W246&lt;&gt;"OK","",IF(OR(VALUE(O246)=2,VALUE(P246)=2,VALUE(Q246)=2),"社内残置",IF(AND(VALUE(O246)=0,VALUE(R246)=0,VALUE(T246)=0),"自動化候補",IF(AND(VALUE(P246)=0,VALUE(R246)&lt;=1,VALUE(S246)&lt;=1,VALUE(T246)&lt;=1,VALUE(U246)&lt;=1),"オフショア候補",IF(AND(VALUE(T246)&lt;=1,VALUE(U246)&lt;=1),"ニアショア候補","社内で手順化→再評価")))))</f>
        <v/>
      </c>
      <c r="AF246">
        <f>IF(W246&lt;&gt;"OK","",14-SUMPRODUCT(--O246:U246))</f>
        <v/>
      </c>
      <c r="AG246" s="33">
        <f>IF(W246&lt;&gt;"OK","",AM246*AN246/60)</f>
        <v/>
      </c>
      <c r="AH246" s="34">
        <f>IF(A246="","",UPPER(TRIM(ASC(A246&amp;""))))</f>
        <v/>
      </c>
      <c r="AI246" s="34">
        <f>IF(AH246="","",AH246&amp;"-"&amp;B246)</f>
        <v/>
      </c>
      <c r="AJ246" s="34">
        <f>IF(C246="","",IFERROR(VALUE(ASC(SUBSTITUTE(C246&amp;"","観点",""))),""))</f>
        <v/>
      </c>
      <c r="AK246" s="34">
        <f>IF(E246="","",UPPER(LEFT(TRIM(ASC(E246&amp;"")),3)))</f>
        <v/>
      </c>
      <c r="AL246" s="34">
        <f>IF(I246="","",IFERROR(VALUE(SUBSTITUTE(SUBSTITUTE(SUBSTITUTE(SUBSTITUTE(SUBSTITUTE(SUBSTITUTE(SUBSTITUTE(SUBSTITUTE(SUBSTITUTE(SUBSTITUTE(SUBSTITUTE(SUBSTITUTE(ASC(I246&amp;""),"約",""),"程度",""),"ほど",""),"回",""),"毎",""),"週",""),"月",""),"年",""),"日",""),"に",""),"/","")," ","")),""))</f>
        <v/>
      </c>
      <c r="AM246" s="34">
        <f>IF(I246="","",IF(ISNUMBER(I246),I246,IFERROR(VALUE(ASC(I246&amp;"")),IF(AL246&lt;&gt;"",AL246*IF(ISNUMBER(SEARCH("週",I246)),4.3,IF(ISNUMBER(SEARCH("年",I246)),1/12,IF(ISNUMBER(SEARCH("日",I246)),20,1))),IF(ISNUMBER(SEARCH("日",I246)),20,IF(ISNUMBER(SEARCH("週",I246)),4.3,IF(ISNUMBER(SEARCH("月",I246)),1,"")))))))</f>
        <v/>
      </c>
      <c r="AN246" s="34">
        <f>IF(J246="","",IF(ISNUMBER(J246),J246,IFERROR(VALUE(ASC(J246&amp;"")),IF(ISNUMBER(SEARCH("時間",J246)),IFERROR(VALUE(SUBSTITUTE(SUBSTITUTE(SUBSTITUTE(SUBSTITUTE(SUBSTITUTE(ASC(J246&amp;""),"約",""),"程度",""),"ほど",""),"時間","")," ",""))*60,""),IFERROR(VALUE(SUBSTITUTE(SUBSTITUTE(SUBSTITUTE(SUBSTITUTE(SUBSTITUTE(ASC(J246&amp;""),"約",""),"程度",""),"ほど",""),"分","")," ","")),"")))))</f>
        <v/>
      </c>
      <c r="AO246" s="34">
        <f>IF(K246="","",IF(ISNUMBER(K246),K246,IFERROR(VALUE(SUBSTITUTE(SUBSTITUTE(SUBSTITUTE(ASC(K246&amp;""),"約",""),"件","")," ","")),"")))</f>
        <v/>
      </c>
      <c r="AP246" s="34">
        <f>IF(W246&lt;&gt;"OK","",IF(COUNTIFS($D$5:$D$404,D246,$W$5:$W$404,"OK")&gt;1,"同名あり",""))</f>
        <v/>
      </c>
      <c r="AQ246" s="35">
        <f>IF(L246="","",IF(ISNUMBER(L246),L246,IFERROR(DATEVALUE(SUBSTITUTE(SUBSTITUTE(ASC(L246&amp;""),"-","/"),".","/")&amp;"/01"),"")))</f>
        <v/>
      </c>
      <c r="AR246" s="35">
        <f>IF(M246="","",IF(ISNUMBER(M246),M246,IFERROR(DATEVALUE(SUBSTITUTE(SUBSTITUTE(ASC(M246&amp;""),"-","/"),".","/")&amp;"/01"),"")))</f>
        <v/>
      </c>
      <c r="AS246" s="34">
        <f>IF(OR(W246&lt;&gt;"OK",AQ246=""),"",IF(AQ246&gt;='01_設定'!$C$26,1,0))</f>
        <v/>
      </c>
      <c r="AT246" s="34">
        <f>IF(AND(W246="OK",Y246&lt;&gt;"除外"),COUNTIFS($W$5:W246,"OK",$Y$5:Y246,"&lt;&gt;除外"),"")</f>
        <v/>
      </c>
      <c r="AU246" s="34">
        <f>IF(OR(AT246="",AD246=""),"",AD246+ROW()/1000000000)</f>
        <v/>
      </c>
    </row>
    <row r="247">
      <c r="W247">
        <f>IF(AND(A247="",D247=""),"",IF(ISNUMBER(SEARCH("##END",AH247)),"（終わりの印）",IF(ISNUMBER(SEARCH("##続き",AH247)),"（続きありの印）",IF(AH247="調査ID","（見出し行）",IF(AND(AH247&lt;&gt;"R1",AH247&lt;&gt;"R2"),"×表以外の行（集計されない）",IF(COUNTIF($AI$5:AI247,AI247)&gt;1,"△重複（集計されない）",IF(D247="","△タスク名なし",IF(ISNA(MATCH(AK247,'M1_類型マスタ'!$A$5:$A$19,0)),"△類型が不正",IF(OR(AM247="",AN247=""),"△回数・分が読めない",IF(SUMPRODUCT(--ISNUMBER(--O247:U247))&lt;7,"△採点が足りない",IF(SUMPRODUCT((--O247:U247&gt;2)+(--O247:U247&lt;0))&gt;0,"△採点が範囲外","OK")))))))))))</f>
        <v/>
      </c>
      <c r="X247">
        <f>IF(W247&lt;&gt;"OK","",TRIM(IF(AND(AO247&lt;&gt;"",N(AO247)&lt;=1),"根拠1件 ","")&amp;IF(AP247&lt;&gt;"","同名あり ","")&amp;IF(AND(NOT(ISNUMBER(I247)),I247&lt;&gt;""),"回数を換算 ","")))</f>
        <v/>
      </c>
      <c r="Y247" s="31" t="n"/>
      <c r="Z247" s="32" t="n"/>
      <c r="AA247" s="32" t="n"/>
      <c r="AB247" s="31" t="n"/>
      <c r="AC247">
        <f>IF(W247&lt;&gt;"OK","",IF(AB247&lt;&gt;"",AB247,AE247))</f>
        <v/>
      </c>
      <c r="AD247" s="33">
        <f>IF(W247&lt;&gt;"OK","",IFERROR(IF(Z247&lt;&gt;"",Z247,AM247)*IF(AA247&lt;&gt;"",AA247,AN247)/60,""))</f>
        <v/>
      </c>
      <c r="AE247">
        <f>IF(W247&lt;&gt;"OK","",IF(OR(VALUE(O247)=2,VALUE(P247)=2,VALUE(Q247)=2),"社内残置",IF(AND(VALUE(O247)=0,VALUE(R247)=0,VALUE(T247)=0),"自動化候補",IF(AND(VALUE(P247)=0,VALUE(R247)&lt;=1,VALUE(S247)&lt;=1,VALUE(T247)&lt;=1,VALUE(U247)&lt;=1),"オフショア候補",IF(AND(VALUE(T247)&lt;=1,VALUE(U247)&lt;=1),"ニアショア候補","社内で手順化→再評価")))))</f>
        <v/>
      </c>
      <c r="AF247">
        <f>IF(W247&lt;&gt;"OK","",14-SUMPRODUCT(--O247:U247))</f>
        <v/>
      </c>
      <c r="AG247" s="33">
        <f>IF(W247&lt;&gt;"OK","",AM247*AN247/60)</f>
        <v/>
      </c>
      <c r="AH247" s="34">
        <f>IF(A247="","",UPPER(TRIM(ASC(A247&amp;""))))</f>
        <v/>
      </c>
      <c r="AI247" s="34">
        <f>IF(AH247="","",AH247&amp;"-"&amp;B247)</f>
        <v/>
      </c>
      <c r="AJ247" s="34">
        <f>IF(C247="","",IFERROR(VALUE(ASC(SUBSTITUTE(C247&amp;"","観点",""))),""))</f>
        <v/>
      </c>
      <c r="AK247" s="34">
        <f>IF(E247="","",UPPER(LEFT(TRIM(ASC(E247&amp;"")),3)))</f>
        <v/>
      </c>
      <c r="AL247" s="34">
        <f>IF(I247="","",IFERROR(VALUE(SUBSTITUTE(SUBSTITUTE(SUBSTITUTE(SUBSTITUTE(SUBSTITUTE(SUBSTITUTE(SUBSTITUTE(SUBSTITUTE(SUBSTITUTE(SUBSTITUTE(SUBSTITUTE(SUBSTITUTE(ASC(I247&amp;""),"約",""),"程度",""),"ほど",""),"回",""),"毎",""),"週",""),"月",""),"年",""),"日",""),"に",""),"/","")," ","")),""))</f>
        <v/>
      </c>
      <c r="AM247" s="34">
        <f>IF(I247="","",IF(ISNUMBER(I247),I247,IFERROR(VALUE(ASC(I247&amp;"")),IF(AL247&lt;&gt;"",AL247*IF(ISNUMBER(SEARCH("週",I247)),4.3,IF(ISNUMBER(SEARCH("年",I247)),1/12,IF(ISNUMBER(SEARCH("日",I247)),20,1))),IF(ISNUMBER(SEARCH("日",I247)),20,IF(ISNUMBER(SEARCH("週",I247)),4.3,IF(ISNUMBER(SEARCH("月",I247)),1,"")))))))</f>
        <v/>
      </c>
      <c r="AN247" s="34">
        <f>IF(J247="","",IF(ISNUMBER(J247),J247,IFERROR(VALUE(ASC(J247&amp;"")),IF(ISNUMBER(SEARCH("時間",J247)),IFERROR(VALUE(SUBSTITUTE(SUBSTITUTE(SUBSTITUTE(SUBSTITUTE(SUBSTITUTE(ASC(J247&amp;""),"約",""),"程度",""),"ほど",""),"時間","")," ",""))*60,""),IFERROR(VALUE(SUBSTITUTE(SUBSTITUTE(SUBSTITUTE(SUBSTITUTE(SUBSTITUTE(ASC(J247&amp;""),"約",""),"程度",""),"ほど",""),"分","")," ","")),"")))))</f>
        <v/>
      </c>
      <c r="AO247" s="34">
        <f>IF(K247="","",IF(ISNUMBER(K247),K247,IFERROR(VALUE(SUBSTITUTE(SUBSTITUTE(SUBSTITUTE(ASC(K247&amp;""),"約",""),"件","")," ","")),"")))</f>
        <v/>
      </c>
      <c r="AP247" s="34">
        <f>IF(W247&lt;&gt;"OK","",IF(COUNTIFS($D$5:$D$404,D247,$W$5:$W$404,"OK")&gt;1,"同名あり",""))</f>
        <v/>
      </c>
      <c r="AQ247" s="35">
        <f>IF(L247="","",IF(ISNUMBER(L247),L247,IFERROR(DATEVALUE(SUBSTITUTE(SUBSTITUTE(ASC(L247&amp;""),"-","/"),".","/")&amp;"/01"),"")))</f>
        <v/>
      </c>
      <c r="AR247" s="35">
        <f>IF(M247="","",IF(ISNUMBER(M247),M247,IFERROR(DATEVALUE(SUBSTITUTE(SUBSTITUTE(ASC(M247&amp;""),"-","/"),".","/")&amp;"/01"),"")))</f>
        <v/>
      </c>
      <c r="AS247" s="34">
        <f>IF(OR(W247&lt;&gt;"OK",AQ247=""),"",IF(AQ247&gt;='01_設定'!$C$26,1,0))</f>
        <v/>
      </c>
      <c r="AT247" s="34">
        <f>IF(AND(W247="OK",Y247&lt;&gt;"除外"),COUNTIFS($W$5:W247,"OK",$Y$5:Y247,"&lt;&gt;除外"),"")</f>
        <v/>
      </c>
      <c r="AU247" s="34">
        <f>IF(OR(AT247="",AD247=""),"",AD247+ROW()/1000000000)</f>
        <v/>
      </c>
    </row>
    <row r="248">
      <c r="W248">
        <f>IF(AND(A248="",D248=""),"",IF(ISNUMBER(SEARCH("##END",AH248)),"（終わりの印）",IF(ISNUMBER(SEARCH("##続き",AH248)),"（続きありの印）",IF(AH248="調査ID","（見出し行）",IF(AND(AH248&lt;&gt;"R1",AH248&lt;&gt;"R2"),"×表以外の行（集計されない）",IF(COUNTIF($AI$5:AI248,AI248)&gt;1,"△重複（集計されない）",IF(D248="","△タスク名なし",IF(ISNA(MATCH(AK248,'M1_類型マスタ'!$A$5:$A$19,0)),"△類型が不正",IF(OR(AM248="",AN248=""),"△回数・分が読めない",IF(SUMPRODUCT(--ISNUMBER(--O248:U248))&lt;7,"△採点が足りない",IF(SUMPRODUCT((--O248:U248&gt;2)+(--O248:U248&lt;0))&gt;0,"△採点が範囲外","OK")))))))))))</f>
        <v/>
      </c>
      <c r="X248">
        <f>IF(W248&lt;&gt;"OK","",TRIM(IF(AND(AO248&lt;&gt;"",N(AO248)&lt;=1),"根拠1件 ","")&amp;IF(AP248&lt;&gt;"","同名あり ","")&amp;IF(AND(NOT(ISNUMBER(I248)),I248&lt;&gt;""),"回数を換算 ","")))</f>
        <v/>
      </c>
      <c r="Y248" s="31" t="n"/>
      <c r="Z248" s="32" t="n"/>
      <c r="AA248" s="32" t="n"/>
      <c r="AB248" s="31" t="n"/>
      <c r="AC248">
        <f>IF(W248&lt;&gt;"OK","",IF(AB248&lt;&gt;"",AB248,AE248))</f>
        <v/>
      </c>
      <c r="AD248" s="33">
        <f>IF(W248&lt;&gt;"OK","",IFERROR(IF(Z248&lt;&gt;"",Z248,AM248)*IF(AA248&lt;&gt;"",AA248,AN248)/60,""))</f>
        <v/>
      </c>
      <c r="AE248">
        <f>IF(W248&lt;&gt;"OK","",IF(OR(VALUE(O248)=2,VALUE(P248)=2,VALUE(Q248)=2),"社内残置",IF(AND(VALUE(O248)=0,VALUE(R248)=0,VALUE(T248)=0),"自動化候補",IF(AND(VALUE(P248)=0,VALUE(R248)&lt;=1,VALUE(S248)&lt;=1,VALUE(T248)&lt;=1,VALUE(U248)&lt;=1),"オフショア候補",IF(AND(VALUE(T248)&lt;=1,VALUE(U248)&lt;=1),"ニアショア候補","社内で手順化→再評価")))))</f>
        <v/>
      </c>
      <c r="AF248">
        <f>IF(W248&lt;&gt;"OK","",14-SUMPRODUCT(--O248:U248))</f>
        <v/>
      </c>
      <c r="AG248" s="33">
        <f>IF(W248&lt;&gt;"OK","",AM248*AN248/60)</f>
        <v/>
      </c>
      <c r="AH248" s="34">
        <f>IF(A248="","",UPPER(TRIM(ASC(A248&amp;""))))</f>
        <v/>
      </c>
      <c r="AI248" s="34">
        <f>IF(AH248="","",AH248&amp;"-"&amp;B248)</f>
        <v/>
      </c>
      <c r="AJ248" s="34">
        <f>IF(C248="","",IFERROR(VALUE(ASC(SUBSTITUTE(C248&amp;"","観点",""))),""))</f>
        <v/>
      </c>
      <c r="AK248" s="34">
        <f>IF(E248="","",UPPER(LEFT(TRIM(ASC(E248&amp;"")),3)))</f>
        <v/>
      </c>
      <c r="AL248" s="34">
        <f>IF(I248="","",IFERROR(VALUE(SUBSTITUTE(SUBSTITUTE(SUBSTITUTE(SUBSTITUTE(SUBSTITUTE(SUBSTITUTE(SUBSTITUTE(SUBSTITUTE(SUBSTITUTE(SUBSTITUTE(SUBSTITUTE(SUBSTITUTE(ASC(I248&amp;""),"約",""),"程度",""),"ほど",""),"回",""),"毎",""),"週",""),"月",""),"年",""),"日",""),"に",""),"/","")," ","")),""))</f>
        <v/>
      </c>
      <c r="AM248" s="34">
        <f>IF(I248="","",IF(ISNUMBER(I248),I248,IFERROR(VALUE(ASC(I248&amp;"")),IF(AL248&lt;&gt;"",AL248*IF(ISNUMBER(SEARCH("週",I248)),4.3,IF(ISNUMBER(SEARCH("年",I248)),1/12,IF(ISNUMBER(SEARCH("日",I248)),20,1))),IF(ISNUMBER(SEARCH("日",I248)),20,IF(ISNUMBER(SEARCH("週",I248)),4.3,IF(ISNUMBER(SEARCH("月",I248)),1,"")))))))</f>
        <v/>
      </c>
      <c r="AN248" s="34">
        <f>IF(J248="","",IF(ISNUMBER(J248),J248,IFERROR(VALUE(ASC(J248&amp;"")),IF(ISNUMBER(SEARCH("時間",J248)),IFERROR(VALUE(SUBSTITUTE(SUBSTITUTE(SUBSTITUTE(SUBSTITUTE(SUBSTITUTE(ASC(J248&amp;""),"約",""),"程度",""),"ほど",""),"時間","")," ",""))*60,""),IFERROR(VALUE(SUBSTITUTE(SUBSTITUTE(SUBSTITUTE(SUBSTITUTE(SUBSTITUTE(ASC(J248&amp;""),"約",""),"程度",""),"ほど",""),"分","")," ","")),"")))))</f>
        <v/>
      </c>
      <c r="AO248" s="34">
        <f>IF(K248="","",IF(ISNUMBER(K248),K248,IFERROR(VALUE(SUBSTITUTE(SUBSTITUTE(SUBSTITUTE(ASC(K248&amp;""),"約",""),"件","")," ","")),"")))</f>
        <v/>
      </c>
      <c r="AP248" s="34">
        <f>IF(W248&lt;&gt;"OK","",IF(COUNTIFS($D$5:$D$404,D248,$W$5:$W$404,"OK")&gt;1,"同名あり",""))</f>
        <v/>
      </c>
      <c r="AQ248" s="35">
        <f>IF(L248="","",IF(ISNUMBER(L248),L248,IFERROR(DATEVALUE(SUBSTITUTE(SUBSTITUTE(ASC(L248&amp;""),"-","/"),".","/")&amp;"/01"),"")))</f>
        <v/>
      </c>
      <c r="AR248" s="35">
        <f>IF(M248="","",IF(ISNUMBER(M248),M248,IFERROR(DATEVALUE(SUBSTITUTE(SUBSTITUTE(ASC(M248&amp;""),"-","/"),".","/")&amp;"/01"),"")))</f>
        <v/>
      </c>
      <c r="AS248" s="34">
        <f>IF(OR(W248&lt;&gt;"OK",AQ248=""),"",IF(AQ248&gt;='01_設定'!$C$26,1,0))</f>
        <v/>
      </c>
      <c r="AT248" s="34">
        <f>IF(AND(W248="OK",Y248&lt;&gt;"除外"),COUNTIFS($W$5:W248,"OK",$Y$5:Y248,"&lt;&gt;除外"),"")</f>
        <v/>
      </c>
      <c r="AU248" s="34">
        <f>IF(OR(AT248="",AD248=""),"",AD248+ROW()/1000000000)</f>
        <v/>
      </c>
    </row>
    <row r="249">
      <c r="W249">
        <f>IF(AND(A249="",D249=""),"",IF(ISNUMBER(SEARCH("##END",AH249)),"（終わりの印）",IF(ISNUMBER(SEARCH("##続き",AH249)),"（続きありの印）",IF(AH249="調査ID","（見出し行）",IF(AND(AH249&lt;&gt;"R1",AH249&lt;&gt;"R2"),"×表以外の行（集計されない）",IF(COUNTIF($AI$5:AI249,AI249)&gt;1,"△重複（集計されない）",IF(D249="","△タスク名なし",IF(ISNA(MATCH(AK249,'M1_類型マスタ'!$A$5:$A$19,0)),"△類型が不正",IF(OR(AM249="",AN249=""),"△回数・分が読めない",IF(SUMPRODUCT(--ISNUMBER(--O249:U249))&lt;7,"△採点が足りない",IF(SUMPRODUCT((--O249:U249&gt;2)+(--O249:U249&lt;0))&gt;0,"△採点が範囲外","OK")))))))))))</f>
        <v/>
      </c>
      <c r="X249">
        <f>IF(W249&lt;&gt;"OK","",TRIM(IF(AND(AO249&lt;&gt;"",N(AO249)&lt;=1),"根拠1件 ","")&amp;IF(AP249&lt;&gt;"","同名あり ","")&amp;IF(AND(NOT(ISNUMBER(I249)),I249&lt;&gt;""),"回数を換算 ","")))</f>
        <v/>
      </c>
      <c r="Y249" s="31" t="n"/>
      <c r="Z249" s="32" t="n"/>
      <c r="AA249" s="32" t="n"/>
      <c r="AB249" s="31" t="n"/>
      <c r="AC249">
        <f>IF(W249&lt;&gt;"OK","",IF(AB249&lt;&gt;"",AB249,AE249))</f>
        <v/>
      </c>
      <c r="AD249" s="33">
        <f>IF(W249&lt;&gt;"OK","",IFERROR(IF(Z249&lt;&gt;"",Z249,AM249)*IF(AA249&lt;&gt;"",AA249,AN249)/60,""))</f>
        <v/>
      </c>
      <c r="AE249">
        <f>IF(W249&lt;&gt;"OK","",IF(OR(VALUE(O249)=2,VALUE(P249)=2,VALUE(Q249)=2),"社内残置",IF(AND(VALUE(O249)=0,VALUE(R249)=0,VALUE(T249)=0),"自動化候補",IF(AND(VALUE(P249)=0,VALUE(R249)&lt;=1,VALUE(S249)&lt;=1,VALUE(T249)&lt;=1,VALUE(U249)&lt;=1),"オフショア候補",IF(AND(VALUE(T249)&lt;=1,VALUE(U249)&lt;=1),"ニアショア候補","社内で手順化→再評価")))))</f>
        <v/>
      </c>
      <c r="AF249">
        <f>IF(W249&lt;&gt;"OK","",14-SUMPRODUCT(--O249:U249))</f>
        <v/>
      </c>
      <c r="AG249" s="33">
        <f>IF(W249&lt;&gt;"OK","",AM249*AN249/60)</f>
        <v/>
      </c>
      <c r="AH249" s="34">
        <f>IF(A249="","",UPPER(TRIM(ASC(A249&amp;""))))</f>
        <v/>
      </c>
      <c r="AI249" s="34">
        <f>IF(AH249="","",AH249&amp;"-"&amp;B249)</f>
        <v/>
      </c>
      <c r="AJ249" s="34">
        <f>IF(C249="","",IFERROR(VALUE(ASC(SUBSTITUTE(C249&amp;"","観点",""))),""))</f>
        <v/>
      </c>
      <c r="AK249" s="34">
        <f>IF(E249="","",UPPER(LEFT(TRIM(ASC(E249&amp;"")),3)))</f>
        <v/>
      </c>
      <c r="AL249" s="34">
        <f>IF(I249="","",IFERROR(VALUE(SUBSTITUTE(SUBSTITUTE(SUBSTITUTE(SUBSTITUTE(SUBSTITUTE(SUBSTITUTE(SUBSTITUTE(SUBSTITUTE(SUBSTITUTE(SUBSTITUTE(SUBSTITUTE(SUBSTITUTE(ASC(I249&amp;""),"約",""),"程度",""),"ほど",""),"回",""),"毎",""),"週",""),"月",""),"年",""),"日",""),"に",""),"/","")," ","")),""))</f>
        <v/>
      </c>
      <c r="AM249" s="34">
        <f>IF(I249="","",IF(ISNUMBER(I249),I249,IFERROR(VALUE(ASC(I249&amp;"")),IF(AL249&lt;&gt;"",AL249*IF(ISNUMBER(SEARCH("週",I249)),4.3,IF(ISNUMBER(SEARCH("年",I249)),1/12,IF(ISNUMBER(SEARCH("日",I249)),20,1))),IF(ISNUMBER(SEARCH("日",I249)),20,IF(ISNUMBER(SEARCH("週",I249)),4.3,IF(ISNUMBER(SEARCH("月",I249)),1,"")))))))</f>
        <v/>
      </c>
      <c r="AN249" s="34">
        <f>IF(J249="","",IF(ISNUMBER(J249),J249,IFERROR(VALUE(ASC(J249&amp;"")),IF(ISNUMBER(SEARCH("時間",J249)),IFERROR(VALUE(SUBSTITUTE(SUBSTITUTE(SUBSTITUTE(SUBSTITUTE(SUBSTITUTE(ASC(J249&amp;""),"約",""),"程度",""),"ほど",""),"時間","")," ",""))*60,""),IFERROR(VALUE(SUBSTITUTE(SUBSTITUTE(SUBSTITUTE(SUBSTITUTE(SUBSTITUTE(ASC(J249&amp;""),"約",""),"程度",""),"ほど",""),"分","")," ","")),"")))))</f>
        <v/>
      </c>
      <c r="AO249" s="34">
        <f>IF(K249="","",IF(ISNUMBER(K249),K249,IFERROR(VALUE(SUBSTITUTE(SUBSTITUTE(SUBSTITUTE(ASC(K249&amp;""),"約",""),"件","")," ","")),"")))</f>
        <v/>
      </c>
      <c r="AP249" s="34">
        <f>IF(W249&lt;&gt;"OK","",IF(COUNTIFS($D$5:$D$404,D249,$W$5:$W$404,"OK")&gt;1,"同名あり",""))</f>
        <v/>
      </c>
      <c r="AQ249" s="35">
        <f>IF(L249="","",IF(ISNUMBER(L249),L249,IFERROR(DATEVALUE(SUBSTITUTE(SUBSTITUTE(ASC(L249&amp;""),"-","/"),".","/")&amp;"/01"),"")))</f>
        <v/>
      </c>
      <c r="AR249" s="35">
        <f>IF(M249="","",IF(ISNUMBER(M249),M249,IFERROR(DATEVALUE(SUBSTITUTE(SUBSTITUTE(ASC(M249&amp;""),"-","/"),".","/")&amp;"/01"),"")))</f>
        <v/>
      </c>
      <c r="AS249" s="34">
        <f>IF(OR(W249&lt;&gt;"OK",AQ249=""),"",IF(AQ249&gt;='01_設定'!$C$26,1,0))</f>
        <v/>
      </c>
      <c r="AT249" s="34">
        <f>IF(AND(W249="OK",Y249&lt;&gt;"除外"),COUNTIFS($W$5:W249,"OK",$Y$5:Y249,"&lt;&gt;除外"),"")</f>
        <v/>
      </c>
      <c r="AU249" s="34">
        <f>IF(OR(AT249="",AD249=""),"",AD249+ROW()/1000000000)</f>
        <v/>
      </c>
    </row>
    <row r="250">
      <c r="W250">
        <f>IF(AND(A250="",D250=""),"",IF(ISNUMBER(SEARCH("##END",AH250)),"（終わりの印）",IF(ISNUMBER(SEARCH("##続き",AH250)),"（続きありの印）",IF(AH250="調査ID","（見出し行）",IF(AND(AH250&lt;&gt;"R1",AH250&lt;&gt;"R2"),"×表以外の行（集計されない）",IF(COUNTIF($AI$5:AI250,AI250)&gt;1,"△重複（集計されない）",IF(D250="","△タスク名なし",IF(ISNA(MATCH(AK250,'M1_類型マスタ'!$A$5:$A$19,0)),"△類型が不正",IF(OR(AM250="",AN250=""),"△回数・分が読めない",IF(SUMPRODUCT(--ISNUMBER(--O250:U250))&lt;7,"△採点が足りない",IF(SUMPRODUCT((--O250:U250&gt;2)+(--O250:U250&lt;0))&gt;0,"△採点が範囲外","OK")))))))))))</f>
        <v/>
      </c>
      <c r="X250">
        <f>IF(W250&lt;&gt;"OK","",TRIM(IF(AND(AO250&lt;&gt;"",N(AO250)&lt;=1),"根拠1件 ","")&amp;IF(AP250&lt;&gt;"","同名あり ","")&amp;IF(AND(NOT(ISNUMBER(I250)),I250&lt;&gt;""),"回数を換算 ","")))</f>
        <v/>
      </c>
      <c r="Y250" s="31" t="n"/>
      <c r="Z250" s="32" t="n"/>
      <c r="AA250" s="32" t="n"/>
      <c r="AB250" s="31" t="n"/>
      <c r="AC250">
        <f>IF(W250&lt;&gt;"OK","",IF(AB250&lt;&gt;"",AB250,AE250))</f>
        <v/>
      </c>
      <c r="AD250" s="33">
        <f>IF(W250&lt;&gt;"OK","",IFERROR(IF(Z250&lt;&gt;"",Z250,AM250)*IF(AA250&lt;&gt;"",AA250,AN250)/60,""))</f>
        <v/>
      </c>
      <c r="AE250">
        <f>IF(W250&lt;&gt;"OK","",IF(OR(VALUE(O250)=2,VALUE(P250)=2,VALUE(Q250)=2),"社内残置",IF(AND(VALUE(O250)=0,VALUE(R250)=0,VALUE(T250)=0),"自動化候補",IF(AND(VALUE(P250)=0,VALUE(R250)&lt;=1,VALUE(S250)&lt;=1,VALUE(T250)&lt;=1,VALUE(U250)&lt;=1),"オフショア候補",IF(AND(VALUE(T250)&lt;=1,VALUE(U250)&lt;=1),"ニアショア候補","社内で手順化→再評価")))))</f>
        <v/>
      </c>
      <c r="AF250">
        <f>IF(W250&lt;&gt;"OK","",14-SUMPRODUCT(--O250:U250))</f>
        <v/>
      </c>
      <c r="AG250" s="33">
        <f>IF(W250&lt;&gt;"OK","",AM250*AN250/60)</f>
        <v/>
      </c>
      <c r="AH250" s="34">
        <f>IF(A250="","",UPPER(TRIM(ASC(A250&amp;""))))</f>
        <v/>
      </c>
      <c r="AI250" s="34">
        <f>IF(AH250="","",AH250&amp;"-"&amp;B250)</f>
        <v/>
      </c>
      <c r="AJ250" s="34">
        <f>IF(C250="","",IFERROR(VALUE(ASC(SUBSTITUTE(C250&amp;"","観点",""))),""))</f>
        <v/>
      </c>
      <c r="AK250" s="34">
        <f>IF(E250="","",UPPER(LEFT(TRIM(ASC(E250&amp;"")),3)))</f>
        <v/>
      </c>
      <c r="AL250" s="34">
        <f>IF(I250="","",IFERROR(VALUE(SUBSTITUTE(SUBSTITUTE(SUBSTITUTE(SUBSTITUTE(SUBSTITUTE(SUBSTITUTE(SUBSTITUTE(SUBSTITUTE(SUBSTITUTE(SUBSTITUTE(SUBSTITUTE(SUBSTITUTE(ASC(I250&amp;""),"約",""),"程度",""),"ほど",""),"回",""),"毎",""),"週",""),"月",""),"年",""),"日",""),"に",""),"/","")," ","")),""))</f>
        <v/>
      </c>
      <c r="AM250" s="34">
        <f>IF(I250="","",IF(ISNUMBER(I250),I250,IFERROR(VALUE(ASC(I250&amp;"")),IF(AL250&lt;&gt;"",AL250*IF(ISNUMBER(SEARCH("週",I250)),4.3,IF(ISNUMBER(SEARCH("年",I250)),1/12,IF(ISNUMBER(SEARCH("日",I250)),20,1))),IF(ISNUMBER(SEARCH("日",I250)),20,IF(ISNUMBER(SEARCH("週",I250)),4.3,IF(ISNUMBER(SEARCH("月",I250)),1,"")))))))</f>
        <v/>
      </c>
      <c r="AN250" s="34">
        <f>IF(J250="","",IF(ISNUMBER(J250),J250,IFERROR(VALUE(ASC(J250&amp;"")),IF(ISNUMBER(SEARCH("時間",J250)),IFERROR(VALUE(SUBSTITUTE(SUBSTITUTE(SUBSTITUTE(SUBSTITUTE(SUBSTITUTE(ASC(J250&amp;""),"約",""),"程度",""),"ほど",""),"時間","")," ",""))*60,""),IFERROR(VALUE(SUBSTITUTE(SUBSTITUTE(SUBSTITUTE(SUBSTITUTE(SUBSTITUTE(ASC(J250&amp;""),"約",""),"程度",""),"ほど",""),"分","")," ","")),"")))))</f>
        <v/>
      </c>
      <c r="AO250" s="34">
        <f>IF(K250="","",IF(ISNUMBER(K250),K250,IFERROR(VALUE(SUBSTITUTE(SUBSTITUTE(SUBSTITUTE(ASC(K250&amp;""),"約",""),"件","")," ","")),"")))</f>
        <v/>
      </c>
      <c r="AP250" s="34">
        <f>IF(W250&lt;&gt;"OK","",IF(COUNTIFS($D$5:$D$404,D250,$W$5:$W$404,"OK")&gt;1,"同名あり",""))</f>
        <v/>
      </c>
      <c r="AQ250" s="35">
        <f>IF(L250="","",IF(ISNUMBER(L250),L250,IFERROR(DATEVALUE(SUBSTITUTE(SUBSTITUTE(ASC(L250&amp;""),"-","/"),".","/")&amp;"/01"),"")))</f>
        <v/>
      </c>
      <c r="AR250" s="35">
        <f>IF(M250="","",IF(ISNUMBER(M250),M250,IFERROR(DATEVALUE(SUBSTITUTE(SUBSTITUTE(ASC(M250&amp;""),"-","/"),".","/")&amp;"/01"),"")))</f>
        <v/>
      </c>
      <c r="AS250" s="34">
        <f>IF(OR(W250&lt;&gt;"OK",AQ250=""),"",IF(AQ250&gt;='01_設定'!$C$26,1,0))</f>
        <v/>
      </c>
      <c r="AT250" s="34">
        <f>IF(AND(W250="OK",Y250&lt;&gt;"除外"),COUNTIFS($W$5:W250,"OK",$Y$5:Y250,"&lt;&gt;除外"),"")</f>
        <v/>
      </c>
      <c r="AU250" s="34">
        <f>IF(OR(AT250="",AD250=""),"",AD250+ROW()/1000000000)</f>
        <v/>
      </c>
    </row>
    <row r="251">
      <c r="W251">
        <f>IF(AND(A251="",D251=""),"",IF(ISNUMBER(SEARCH("##END",AH251)),"（終わりの印）",IF(ISNUMBER(SEARCH("##続き",AH251)),"（続きありの印）",IF(AH251="調査ID","（見出し行）",IF(AND(AH251&lt;&gt;"R1",AH251&lt;&gt;"R2"),"×表以外の行（集計されない）",IF(COUNTIF($AI$5:AI251,AI251)&gt;1,"△重複（集計されない）",IF(D251="","△タスク名なし",IF(ISNA(MATCH(AK251,'M1_類型マスタ'!$A$5:$A$19,0)),"△類型が不正",IF(OR(AM251="",AN251=""),"△回数・分が読めない",IF(SUMPRODUCT(--ISNUMBER(--O251:U251))&lt;7,"△採点が足りない",IF(SUMPRODUCT((--O251:U251&gt;2)+(--O251:U251&lt;0))&gt;0,"△採点が範囲外","OK")))))))))))</f>
        <v/>
      </c>
      <c r="X251">
        <f>IF(W251&lt;&gt;"OK","",TRIM(IF(AND(AO251&lt;&gt;"",N(AO251)&lt;=1),"根拠1件 ","")&amp;IF(AP251&lt;&gt;"","同名あり ","")&amp;IF(AND(NOT(ISNUMBER(I251)),I251&lt;&gt;""),"回数を換算 ","")))</f>
        <v/>
      </c>
      <c r="Y251" s="31" t="n"/>
      <c r="Z251" s="32" t="n"/>
      <c r="AA251" s="32" t="n"/>
      <c r="AB251" s="31" t="n"/>
      <c r="AC251">
        <f>IF(W251&lt;&gt;"OK","",IF(AB251&lt;&gt;"",AB251,AE251))</f>
        <v/>
      </c>
      <c r="AD251" s="33">
        <f>IF(W251&lt;&gt;"OK","",IFERROR(IF(Z251&lt;&gt;"",Z251,AM251)*IF(AA251&lt;&gt;"",AA251,AN251)/60,""))</f>
        <v/>
      </c>
      <c r="AE251">
        <f>IF(W251&lt;&gt;"OK","",IF(OR(VALUE(O251)=2,VALUE(P251)=2,VALUE(Q251)=2),"社内残置",IF(AND(VALUE(O251)=0,VALUE(R251)=0,VALUE(T251)=0),"自動化候補",IF(AND(VALUE(P251)=0,VALUE(R251)&lt;=1,VALUE(S251)&lt;=1,VALUE(T251)&lt;=1,VALUE(U251)&lt;=1),"オフショア候補",IF(AND(VALUE(T251)&lt;=1,VALUE(U251)&lt;=1),"ニアショア候補","社内で手順化→再評価")))))</f>
        <v/>
      </c>
      <c r="AF251">
        <f>IF(W251&lt;&gt;"OK","",14-SUMPRODUCT(--O251:U251))</f>
        <v/>
      </c>
      <c r="AG251" s="33">
        <f>IF(W251&lt;&gt;"OK","",AM251*AN251/60)</f>
        <v/>
      </c>
      <c r="AH251" s="34">
        <f>IF(A251="","",UPPER(TRIM(ASC(A251&amp;""))))</f>
        <v/>
      </c>
      <c r="AI251" s="34">
        <f>IF(AH251="","",AH251&amp;"-"&amp;B251)</f>
        <v/>
      </c>
      <c r="AJ251" s="34">
        <f>IF(C251="","",IFERROR(VALUE(ASC(SUBSTITUTE(C251&amp;"","観点",""))),""))</f>
        <v/>
      </c>
      <c r="AK251" s="34">
        <f>IF(E251="","",UPPER(LEFT(TRIM(ASC(E251&amp;"")),3)))</f>
        <v/>
      </c>
      <c r="AL251" s="34">
        <f>IF(I251="","",IFERROR(VALUE(SUBSTITUTE(SUBSTITUTE(SUBSTITUTE(SUBSTITUTE(SUBSTITUTE(SUBSTITUTE(SUBSTITUTE(SUBSTITUTE(SUBSTITUTE(SUBSTITUTE(SUBSTITUTE(SUBSTITUTE(ASC(I251&amp;""),"約",""),"程度",""),"ほど",""),"回",""),"毎",""),"週",""),"月",""),"年",""),"日",""),"に",""),"/","")," ","")),""))</f>
        <v/>
      </c>
      <c r="AM251" s="34">
        <f>IF(I251="","",IF(ISNUMBER(I251),I251,IFERROR(VALUE(ASC(I251&amp;"")),IF(AL251&lt;&gt;"",AL251*IF(ISNUMBER(SEARCH("週",I251)),4.3,IF(ISNUMBER(SEARCH("年",I251)),1/12,IF(ISNUMBER(SEARCH("日",I251)),20,1))),IF(ISNUMBER(SEARCH("日",I251)),20,IF(ISNUMBER(SEARCH("週",I251)),4.3,IF(ISNUMBER(SEARCH("月",I251)),1,"")))))))</f>
        <v/>
      </c>
      <c r="AN251" s="34">
        <f>IF(J251="","",IF(ISNUMBER(J251),J251,IFERROR(VALUE(ASC(J251&amp;"")),IF(ISNUMBER(SEARCH("時間",J251)),IFERROR(VALUE(SUBSTITUTE(SUBSTITUTE(SUBSTITUTE(SUBSTITUTE(SUBSTITUTE(ASC(J251&amp;""),"約",""),"程度",""),"ほど",""),"時間","")," ",""))*60,""),IFERROR(VALUE(SUBSTITUTE(SUBSTITUTE(SUBSTITUTE(SUBSTITUTE(SUBSTITUTE(ASC(J251&amp;""),"約",""),"程度",""),"ほど",""),"分","")," ","")),"")))))</f>
        <v/>
      </c>
      <c r="AO251" s="34">
        <f>IF(K251="","",IF(ISNUMBER(K251),K251,IFERROR(VALUE(SUBSTITUTE(SUBSTITUTE(SUBSTITUTE(ASC(K251&amp;""),"約",""),"件","")," ","")),"")))</f>
        <v/>
      </c>
      <c r="AP251" s="34">
        <f>IF(W251&lt;&gt;"OK","",IF(COUNTIFS($D$5:$D$404,D251,$W$5:$W$404,"OK")&gt;1,"同名あり",""))</f>
        <v/>
      </c>
      <c r="AQ251" s="35">
        <f>IF(L251="","",IF(ISNUMBER(L251),L251,IFERROR(DATEVALUE(SUBSTITUTE(SUBSTITUTE(ASC(L251&amp;""),"-","/"),".","/")&amp;"/01"),"")))</f>
        <v/>
      </c>
      <c r="AR251" s="35">
        <f>IF(M251="","",IF(ISNUMBER(M251),M251,IFERROR(DATEVALUE(SUBSTITUTE(SUBSTITUTE(ASC(M251&amp;""),"-","/"),".","/")&amp;"/01"),"")))</f>
        <v/>
      </c>
      <c r="AS251" s="34">
        <f>IF(OR(W251&lt;&gt;"OK",AQ251=""),"",IF(AQ251&gt;='01_設定'!$C$26,1,0))</f>
        <v/>
      </c>
      <c r="AT251" s="34">
        <f>IF(AND(W251="OK",Y251&lt;&gt;"除外"),COUNTIFS($W$5:W251,"OK",$Y$5:Y251,"&lt;&gt;除外"),"")</f>
        <v/>
      </c>
      <c r="AU251" s="34">
        <f>IF(OR(AT251="",AD251=""),"",AD251+ROW()/1000000000)</f>
        <v/>
      </c>
    </row>
    <row r="252">
      <c r="W252">
        <f>IF(AND(A252="",D252=""),"",IF(ISNUMBER(SEARCH("##END",AH252)),"（終わりの印）",IF(ISNUMBER(SEARCH("##続き",AH252)),"（続きありの印）",IF(AH252="調査ID","（見出し行）",IF(AND(AH252&lt;&gt;"R1",AH252&lt;&gt;"R2"),"×表以外の行（集計されない）",IF(COUNTIF($AI$5:AI252,AI252)&gt;1,"△重複（集計されない）",IF(D252="","△タスク名なし",IF(ISNA(MATCH(AK252,'M1_類型マスタ'!$A$5:$A$19,0)),"△類型が不正",IF(OR(AM252="",AN252=""),"△回数・分が読めない",IF(SUMPRODUCT(--ISNUMBER(--O252:U252))&lt;7,"△採点が足りない",IF(SUMPRODUCT((--O252:U252&gt;2)+(--O252:U252&lt;0))&gt;0,"△採点が範囲外","OK")))))))))))</f>
        <v/>
      </c>
      <c r="X252">
        <f>IF(W252&lt;&gt;"OK","",TRIM(IF(AND(AO252&lt;&gt;"",N(AO252)&lt;=1),"根拠1件 ","")&amp;IF(AP252&lt;&gt;"","同名あり ","")&amp;IF(AND(NOT(ISNUMBER(I252)),I252&lt;&gt;""),"回数を換算 ","")))</f>
        <v/>
      </c>
      <c r="Y252" s="31" t="n"/>
      <c r="Z252" s="32" t="n"/>
      <c r="AA252" s="32" t="n"/>
      <c r="AB252" s="31" t="n"/>
      <c r="AC252">
        <f>IF(W252&lt;&gt;"OK","",IF(AB252&lt;&gt;"",AB252,AE252))</f>
        <v/>
      </c>
      <c r="AD252" s="33">
        <f>IF(W252&lt;&gt;"OK","",IFERROR(IF(Z252&lt;&gt;"",Z252,AM252)*IF(AA252&lt;&gt;"",AA252,AN252)/60,""))</f>
        <v/>
      </c>
      <c r="AE252">
        <f>IF(W252&lt;&gt;"OK","",IF(OR(VALUE(O252)=2,VALUE(P252)=2,VALUE(Q252)=2),"社内残置",IF(AND(VALUE(O252)=0,VALUE(R252)=0,VALUE(T252)=0),"自動化候補",IF(AND(VALUE(P252)=0,VALUE(R252)&lt;=1,VALUE(S252)&lt;=1,VALUE(T252)&lt;=1,VALUE(U252)&lt;=1),"オフショア候補",IF(AND(VALUE(T252)&lt;=1,VALUE(U252)&lt;=1),"ニアショア候補","社内で手順化→再評価")))))</f>
        <v/>
      </c>
      <c r="AF252">
        <f>IF(W252&lt;&gt;"OK","",14-SUMPRODUCT(--O252:U252))</f>
        <v/>
      </c>
      <c r="AG252" s="33">
        <f>IF(W252&lt;&gt;"OK","",AM252*AN252/60)</f>
        <v/>
      </c>
      <c r="AH252" s="34">
        <f>IF(A252="","",UPPER(TRIM(ASC(A252&amp;""))))</f>
        <v/>
      </c>
      <c r="AI252" s="34">
        <f>IF(AH252="","",AH252&amp;"-"&amp;B252)</f>
        <v/>
      </c>
      <c r="AJ252" s="34">
        <f>IF(C252="","",IFERROR(VALUE(ASC(SUBSTITUTE(C252&amp;"","観点",""))),""))</f>
        <v/>
      </c>
      <c r="AK252" s="34">
        <f>IF(E252="","",UPPER(LEFT(TRIM(ASC(E252&amp;"")),3)))</f>
        <v/>
      </c>
      <c r="AL252" s="34">
        <f>IF(I252="","",IFERROR(VALUE(SUBSTITUTE(SUBSTITUTE(SUBSTITUTE(SUBSTITUTE(SUBSTITUTE(SUBSTITUTE(SUBSTITUTE(SUBSTITUTE(SUBSTITUTE(SUBSTITUTE(SUBSTITUTE(SUBSTITUTE(ASC(I252&amp;""),"約",""),"程度",""),"ほど",""),"回",""),"毎",""),"週",""),"月",""),"年",""),"日",""),"に",""),"/","")," ","")),""))</f>
        <v/>
      </c>
      <c r="AM252" s="34">
        <f>IF(I252="","",IF(ISNUMBER(I252),I252,IFERROR(VALUE(ASC(I252&amp;"")),IF(AL252&lt;&gt;"",AL252*IF(ISNUMBER(SEARCH("週",I252)),4.3,IF(ISNUMBER(SEARCH("年",I252)),1/12,IF(ISNUMBER(SEARCH("日",I252)),20,1))),IF(ISNUMBER(SEARCH("日",I252)),20,IF(ISNUMBER(SEARCH("週",I252)),4.3,IF(ISNUMBER(SEARCH("月",I252)),1,"")))))))</f>
        <v/>
      </c>
      <c r="AN252" s="34">
        <f>IF(J252="","",IF(ISNUMBER(J252),J252,IFERROR(VALUE(ASC(J252&amp;"")),IF(ISNUMBER(SEARCH("時間",J252)),IFERROR(VALUE(SUBSTITUTE(SUBSTITUTE(SUBSTITUTE(SUBSTITUTE(SUBSTITUTE(ASC(J252&amp;""),"約",""),"程度",""),"ほど",""),"時間","")," ",""))*60,""),IFERROR(VALUE(SUBSTITUTE(SUBSTITUTE(SUBSTITUTE(SUBSTITUTE(SUBSTITUTE(ASC(J252&amp;""),"約",""),"程度",""),"ほど",""),"分","")," ","")),"")))))</f>
        <v/>
      </c>
      <c r="AO252" s="34">
        <f>IF(K252="","",IF(ISNUMBER(K252),K252,IFERROR(VALUE(SUBSTITUTE(SUBSTITUTE(SUBSTITUTE(ASC(K252&amp;""),"約",""),"件","")," ","")),"")))</f>
        <v/>
      </c>
      <c r="AP252" s="34">
        <f>IF(W252&lt;&gt;"OK","",IF(COUNTIFS($D$5:$D$404,D252,$W$5:$W$404,"OK")&gt;1,"同名あり",""))</f>
        <v/>
      </c>
      <c r="AQ252" s="35">
        <f>IF(L252="","",IF(ISNUMBER(L252),L252,IFERROR(DATEVALUE(SUBSTITUTE(SUBSTITUTE(ASC(L252&amp;""),"-","/"),".","/")&amp;"/01"),"")))</f>
        <v/>
      </c>
      <c r="AR252" s="35">
        <f>IF(M252="","",IF(ISNUMBER(M252),M252,IFERROR(DATEVALUE(SUBSTITUTE(SUBSTITUTE(ASC(M252&amp;""),"-","/"),".","/")&amp;"/01"),"")))</f>
        <v/>
      </c>
      <c r="AS252" s="34">
        <f>IF(OR(W252&lt;&gt;"OK",AQ252=""),"",IF(AQ252&gt;='01_設定'!$C$26,1,0))</f>
        <v/>
      </c>
      <c r="AT252" s="34">
        <f>IF(AND(W252="OK",Y252&lt;&gt;"除外"),COUNTIFS($W$5:W252,"OK",$Y$5:Y252,"&lt;&gt;除外"),"")</f>
        <v/>
      </c>
      <c r="AU252" s="34">
        <f>IF(OR(AT252="",AD252=""),"",AD252+ROW()/1000000000)</f>
        <v/>
      </c>
    </row>
    <row r="253">
      <c r="W253">
        <f>IF(AND(A253="",D253=""),"",IF(ISNUMBER(SEARCH("##END",AH253)),"（終わりの印）",IF(ISNUMBER(SEARCH("##続き",AH253)),"（続きありの印）",IF(AH253="調査ID","（見出し行）",IF(AND(AH253&lt;&gt;"R1",AH253&lt;&gt;"R2"),"×表以外の行（集計されない）",IF(COUNTIF($AI$5:AI253,AI253)&gt;1,"△重複（集計されない）",IF(D253="","△タスク名なし",IF(ISNA(MATCH(AK253,'M1_類型マスタ'!$A$5:$A$19,0)),"△類型が不正",IF(OR(AM253="",AN253=""),"△回数・分が読めない",IF(SUMPRODUCT(--ISNUMBER(--O253:U253))&lt;7,"△採点が足りない",IF(SUMPRODUCT((--O253:U253&gt;2)+(--O253:U253&lt;0))&gt;0,"△採点が範囲外","OK")))))))))))</f>
        <v/>
      </c>
      <c r="X253">
        <f>IF(W253&lt;&gt;"OK","",TRIM(IF(AND(AO253&lt;&gt;"",N(AO253)&lt;=1),"根拠1件 ","")&amp;IF(AP253&lt;&gt;"","同名あり ","")&amp;IF(AND(NOT(ISNUMBER(I253)),I253&lt;&gt;""),"回数を換算 ","")))</f>
        <v/>
      </c>
      <c r="Y253" s="31" t="n"/>
      <c r="Z253" s="32" t="n"/>
      <c r="AA253" s="32" t="n"/>
      <c r="AB253" s="31" t="n"/>
      <c r="AC253">
        <f>IF(W253&lt;&gt;"OK","",IF(AB253&lt;&gt;"",AB253,AE253))</f>
        <v/>
      </c>
      <c r="AD253" s="33">
        <f>IF(W253&lt;&gt;"OK","",IFERROR(IF(Z253&lt;&gt;"",Z253,AM253)*IF(AA253&lt;&gt;"",AA253,AN253)/60,""))</f>
        <v/>
      </c>
      <c r="AE253">
        <f>IF(W253&lt;&gt;"OK","",IF(OR(VALUE(O253)=2,VALUE(P253)=2,VALUE(Q253)=2),"社内残置",IF(AND(VALUE(O253)=0,VALUE(R253)=0,VALUE(T253)=0),"自動化候補",IF(AND(VALUE(P253)=0,VALUE(R253)&lt;=1,VALUE(S253)&lt;=1,VALUE(T253)&lt;=1,VALUE(U253)&lt;=1),"オフショア候補",IF(AND(VALUE(T253)&lt;=1,VALUE(U253)&lt;=1),"ニアショア候補","社内で手順化→再評価")))))</f>
        <v/>
      </c>
      <c r="AF253">
        <f>IF(W253&lt;&gt;"OK","",14-SUMPRODUCT(--O253:U253))</f>
        <v/>
      </c>
      <c r="AG253" s="33">
        <f>IF(W253&lt;&gt;"OK","",AM253*AN253/60)</f>
        <v/>
      </c>
      <c r="AH253" s="34">
        <f>IF(A253="","",UPPER(TRIM(ASC(A253&amp;""))))</f>
        <v/>
      </c>
      <c r="AI253" s="34">
        <f>IF(AH253="","",AH253&amp;"-"&amp;B253)</f>
        <v/>
      </c>
      <c r="AJ253" s="34">
        <f>IF(C253="","",IFERROR(VALUE(ASC(SUBSTITUTE(C253&amp;"","観点",""))),""))</f>
        <v/>
      </c>
      <c r="AK253" s="34">
        <f>IF(E253="","",UPPER(LEFT(TRIM(ASC(E253&amp;"")),3)))</f>
        <v/>
      </c>
      <c r="AL253" s="34">
        <f>IF(I253="","",IFERROR(VALUE(SUBSTITUTE(SUBSTITUTE(SUBSTITUTE(SUBSTITUTE(SUBSTITUTE(SUBSTITUTE(SUBSTITUTE(SUBSTITUTE(SUBSTITUTE(SUBSTITUTE(SUBSTITUTE(SUBSTITUTE(ASC(I253&amp;""),"約",""),"程度",""),"ほど",""),"回",""),"毎",""),"週",""),"月",""),"年",""),"日",""),"に",""),"/","")," ","")),""))</f>
        <v/>
      </c>
      <c r="AM253" s="34">
        <f>IF(I253="","",IF(ISNUMBER(I253),I253,IFERROR(VALUE(ASC(I253&amp;"")),IF(AL253&lt;&gt;"",AL253*IF(ISNUMBER(SEARCH("週",I253)),4.3,IF(ISNUMBER(SEARCH("年",I253)),1/12,IF(ISNUMBER(SEARCH("日",I253)),20,1))),IF(ISNUMBER(SEARCH("日",I253)),20,IF(ISNUMBER(SEARCH("週",I253)),4.3,IF(ISNUMBER(SEARCH("月",I253)),1,"")))))))</f>
        <v/>
      </c>
      <c r="AN253" s="34">
        <f>IF(J253="","",IF(ISNUMBER(J253),J253,IFERROR(VALUE(ASC(J253&amp;"")),IF(ISNUMBER(SEARCH("時間",J253)),IFERROR(VALUE(SUBSTITUTE(SUBSTITUTE(SUBSTITUTE(SUBSTITUTE(SUBSTITUTE(ASC(J253&amp;""),"約",""),"程度",""),"ほど",""),"時間","")," ",""))*60,""),IFERROR(VALUE(SUBSTITUTE(SUBSTITUTE(SUBSTITUTE(SUBSTITUTE(SUBSTITUTE(ASC(J253&amp;""),"約",""),"程度",""),"ほど",""),"分","")," ","")),"")))))</f>
        <v/>
      </c>
      <c r="AO253" s="34">
        <f>IF(K253="","",IF(ISNUMBER(K253),K253,IFERROR(VALUE(SUBSTITUTE(SUBSTITUTE(SUBSTITUTE(ASC(K253&amp;""),"約",""),"件","")," ","")),"")))</f>
        <v/>
      </c>
      <c r="AP253" s="34">
        <f>IF(W253&lt;&gt;"OK","",IF(COUNTIFS($D$5:$D$404,D253,$W$5:$W$404,"OK")&gt;1,"同名あり",""))</f>
        <v/>
      </c>
      <c r="AQ253" s="35">
        <f>IF(L253="","",IF(ISNUMBER(L253),L253,IFERROR(DATEVALUE(SUBSTITUTE(SUBSTITUTE(ASC(L253&amp;""),"-","/"),".","/")&amp;"/01"),"")))</f>
        <v/>
      </c>
      <c r="AR253" s="35">
        <f>IF(M253="","",IF(ISNUMBER(M253),M253,IFERROR(DATEVALUE(SUBSTITUTE(SUBSTITUTE(ASC(M253&amp;""),"-","/"),".","/")&amp;"/01"),"")))</f>
        <v/>
      </c>
      <c r="AS253" s="34">
        <f>IF(OR(W253&lt;&gt;"OK",AQ253=""),"",IF(AQ253&gt;='01_設定'!$C$26,1,0))</f>
        <v/>
      </c>
      <c r="AT253" s="34">
        <f>IF(AND(W253="OK",Y253&lt;&gt;"除外"),COUNTIFS($W$5:W253,"OK",$Y$5:Y253,"&lt;&gt;除外"),"")</f>
        <v/>
      </c>
      <c r="AU253" s="34">
        <f>IF(OR(AT253="",AD253=""),"",AD253+ROW()/1000000000)</f>
        <v/>
      </c>
    </row>
    <row r="254">
      <c r="W254">
        <f>IF(AND(A254="",D254=""),"",IF(ISNUMBER(SEARCH("##END",AH254)),"（終わりの印）",IF(ISNUMBER(SEARCH("##続き",AH254)),"（続きありの印）",IF(AH254="調査ID","（見出し行）",IF(AND(AH254&lt;&gt;"R1",AH254&lt;&gt;"R2"),"×表以外の行（集計されない）",IF(COUNTIF($AI$5:AI254,AI254)&gt;1,"△重複（集計されない）",IF(D254="","△タスク名なし",IF(ISNA(MATCH(AK254,'M1_類型マスタ'!$A$5:$A$19,0)),"△類型が不正",IF(OR(AM254="",AN254=""),"△回数・分が読めない",IF(SUMPRODUCT(--ISNUMBER(--O254:U254))&lt;7,"△採点が足りない",IF(SUMPRODUCT((--O254:U254&gt;2)+(--O254:U254&lt;0))&gt;0,"△採点が範囲外","OK")))))))))))</f>
        <v/>
      </c>
      <c r="X254">
        <f>IF(W254&lt;&gt;"OK","",TRIM(IF(AND(AO254&lt;&gt;"",N(AO254)&lt;=1),"根拠1件 ","")&amp;IF(AP254&lt;&gt;"","同名あり ","")&amp;IF(AND(NOT(ISNUMBER(I254)),I254&lt;&gt;""),"回数を換算 ","")))</f>
        <v/>
      </c>
      <c r="Y254" s="31" t="n"/>
      <c r="Z254" s="32" t="n"/>
      <c r="AA254" s="32" t="n"/>
      <c r="AB254" s="31" t="n"/>
      <c r="AC254">
        <f>IF(W254&lt;&gt;"OK","",IF(AB254&lt;&gt;"",AB254,AE254))</f>
        <v/>
      </c>
      <c r="AD254" s="33">
        <f>IF(W254&lt;&gt;"OK","",IFERROR(IF(Z254&lt;&gt;"",Z254,AM254)*IF(AA254&lt;&gt;"",AA254,AN254)/60,""))</f>
        <v/>
      </c>
      <c r="AE254">
        <f>IF(W254&lt;&gt;"OK","",IF(OR(VALUE(O254)=2,VALUE(P254)=2,VALUE(Q254)=2),"社内残置",IF(AND(VALUE(O254)=0,VALUE(R254)=0,VALUE(T254)=0),"自動化候補",IF(AND(VALUE(P254)=0,VALUE(R254)&lt;=1,VALUE(S254)&lt;=1,VALUE(T254)&lt;=1,VALUE(U254)&lt;=1),"オフショア候補",IF(AND(VALUE(T254)&lt;=1,VALUE(U254)&lt;=1),"ニアショア候補","社内で手順化→再評価")))))</f>
        <v/>
      </c>
      <c r="AF254">
        <f>IF(W254&lt;&gt;"OK","",14-SUMPRODUCT(--O254:U254))</f>
        <v/>
      </c>
      <c r="AG254" s="33">
        <f>IF(W254&lt;&gt;"OK","",AM254*AN254/60)</f>
        <v/>
      </c>
      <c r="AH254" s="34">
        <f>IF(A254="","",UPPER(TRIM(ASC(A254&amp;""))))</f>
        <v/>
      </c>
      <c r="AI254" s="34">
        <f>IF(AH254="","",AH254&amp;"-"&amp;B254)</f>
        <v/>
      </c>
      <c r="AJ254" s="34">
        <f>IF(C254="","",IFERROR(VALUE(ASC(SUBSTITUTE(C254&amp;"","観点",""))),""))</f>
        <v/>
      </c>
      <c r="AK254" s="34">
        <f>IF(E254="","",UPPER(LEFT(TRIM(ASC(E254&amp;"")),3)))</f>
        <v/>
      </c>
      <c r="AL254" s="34">
        <f>IF(I254="","",IFERROR(VALUE(SUBSTITUTE(SUBSTITUTE(SUBSTITUTE(SUBSTITUTE(SUBSTITUTE(SUBSTITUTE(SUBSTITUTE(SUBSTITUTE(SUBSTITUTE(SUBSTITUTE(SUBSTITUTE(SUBSTITUTE(ASC(I254&amp;""),"約",""),"程度",""),"ほど",""),"回",""),"毎",""),"週",""),"月",""),"年",""),"日",""),"に",""),"/","")," ","")),""))</f>
        <v/>
      </c>
      <c r="AM254" s="34">
        <f>IF(I254="","",IF(ISNUMBER(I254),I254,IFERROR(VALUE(ASC(I254&amp;"")),IF(AL254&lt;&gt;"",AL254*IF(ISNUMBER(SEARCH("週",I254)),4.3,IF(ISNUMBER(SEARCH("年",I254)),1/12,IF(ISNUMBER(SEARCH("日",I254)),20,1))),IF(ISNUMBER(SEARCH("日",I254)),20,IF(ISNUMBER(SEARCH("週",I254)),4.3,IF(ISNUMBER(SEARCH("月",I254)),1,"")))))))</f>
        <v/>
      </c>
      <c r="AN254" s="34">
        <f>IF(J254="","",IF(ISNUMBER(J254),J254,IFERROR(VALUE(ASC(J254&amp;"")),IF(ISNUMBER(SEARCH("時間",J254)),IFERROR(VALUE(SUBSTITUTE(SUBSTITUTE(SUBSTITUTE(SUBSTITUTE(SUBSTITUTE(ASC(J254&amp;""),"約",""),"程度",""),"ほど",""),"時間","")," ",""))*60,""),IFERROR(VALUE(SUBSTITUTE(SUBSTITUTE(SUBSTITUTE(SUBSTITUTE(SUBSTITUTE(ASC(J254&amp;""),"約",""),"程度",""),"ほど",""),"分","")," ","")),"")))))</f>
        <v/>
      </c>
      <c r="AO254" s="34">
        <f>IF(K254="","",IF(ISNUMBER(K254),K254,IFERROR(VALUE(SUBSTITUTE(SUBSTITUTE(SUBSTITUTE(ASC(K254&amp;""),"約",""),"件","")," ","")),"")))</f>
        <v/>
      </c>
      <c r="AP254" s="34">
        <f>IF(W254&lt;&gt;"OK","",IF(COUNTIFS($D$5:$D$404,D254,$W$5:$W$404,"OK")&gt;1,"同名あり",""))</f>
        <v/>
      </c>
      <c r="AQ254" s="35">
        <f>IF(L254="","",IF(ISNUMBER(L254),L254,IFERROR(DATEVALUE(SUBSTITUTE(SUBSTITUTE(ASC(L254&amp;""),"-","/"),".","/")&amp;"/01"),"")))</f>
        <v/>
      </c>
      <c r="AR254" s="35">
        <f>IF(M254="","",IF(ISNUMBER(M254),M254,IFERROR(DATEVALUE(SUBSTITUTE(SUBSTITUTE(ASC(M254&amp;""),"-","/"),".","/")&amp;"/01"),"")))</f>
        <v/>
      </c>
      <c r="AS254" s="34">
        <f>IF(OR(W254&lt;&gt;"OK",AQ254=""),"",IF(AQ254&gt;='01_設定'!$C$26,1,0))</f>
        <v/>
      </c>
      <c r="AT254" s="34">
        <f>IF(AND(W254="OK",Y254&lt;&gt;"除外"),COUNTIFS($W$5:W254,"OK",$Y$5:Y254,"&lt;&gt;除外"),"")</f>
        <v/>
      </c>
      <c r="AU254" s="34">
        <f>IF(OR(AT254="",AD254=""),"",AD254+ROW()/1000000000)</f>
        <v/>
      </c>
    </row>
    <row r="255">
      <c r="W255">
        <f>IF(AND(A255="",D255=""),"",IF(ISNUMBER(SEARCH("##END",AH255)),"（終わりの印）",IF(ISNUMBER(SEARCH("##続き",AH255)),"（続きありの印）",IF(AH255="調査ID","（見出し行）",IF(AND(AH255&lt;&gt;"R1",AH255&lt;&gt;"R2"),"×表以外の行（集計されない）",IF(COUNTIF($AI$5:AI255,AI255)&gt;1,"△重複（集計されない）",IF(D255="","△タスク名なし",IF(ISNA(MATCH(AK255,'M1_類型マスタ'!$A$5:$A$19,0)),"△類型が不正",IF(OR(AM255="",AN255=""),"△回数・分が読めない",IF(SUMPRODUCT(--ISNUMBER(--O255:U255))&lt;7,"△採点が足りない",IF(SUMPRODUCT((--O255:U255&gt;2)+(--O255:U255&lt;0))&gt;0,"△採点が範囲外","OK")))))))))))</f>
        <v/>
      </c>
      <c r="X255">
        <f>IF(W255&lt;&gt;"OK","",TRIM(IF(AND(AO255&lt;&gt;"",N(AO255)&lt;=1),"根拠1件 ","")&amp;IF(AP255&lt;&gt;"","同名あり ","")&amp;IF(AND(NOT(ISNUMBER(I255)),I255&lt;&gt;""),"回数を換算 ","")))</f>
        <v/>
      </c>
      <c r="Y255" s="31" t="n"/>
      <c r="Z255" s="32" t="n"/>
      <c r="AA255" s="32" t="n"/>
      <c r="AB255" s="31" t="n"/>
      <c r="AC255">
        <f>IF(W255&lt;&gt;"OK","",IF(AB255&lt;&gt;"",AB255,AE255))</f>
        <v/>
      </c>
      <c r="AD255" s="33">
        <f>IF(W255&lt;&gt;"OK","",IFERROR(IF(Z255&lt;&gt;"",Z255,AM255)*IF(AA255&lt;&gt;"",AA255,AN255)/60,""))</f>
        <v/>
      </c>
      <c r="AE255">
        <f>IF(W255&lt;&gt;"OK","",IF(OR(VALUE(O255)=2,VALUE(P255)=2,VALUE(Q255)=2),"社内残置",IF(AND(VALUE(O255)=0,VALUE(R255)=0,VALUE(T255)=0),"自動化候補",IF(AND(VALUE(P255)=0,VALUE(R255)&lt;=1,VALUE(S255)&lt;=1,VALUE(T255)&lt;=1,VALUE(U255)&lt;=1),"オフショア候補",IF(AND(VALUE(T255)&lt;=1,VALUE(U255)&lt;=1),"ニアショア候補","社内で手順化→再評価")))))</f>
        <v/>
      </c>
      <c r="AF255">
        <f>IF(W255&lt;&gt;"OK","",14-SUMPRODUCT(--O255:U255))</f>
        <v/>
      </c>
      <c r="AG255" s="33">
        <f>IF(W255&lt;&gt;"OK","",AM255*AN255/60)</f>
        <v/>
      </c>
      <c r="AH255" s="34">
        <f>IF(A255="","",UPPER(TRIM(ASC(A255&amp;""))))</f>
        <v/>
      </c>
      <c r="AI255" s="34">
        <f>IF(AH255="","",AH255&amp;"-"&amp;B255)</f>
        <v/>
      </c>
      <c r="AJ255" s="34">
        <f>IF(C255="","",IFERROR(VALUE(ASC(SUBSTITUTE(C255&amp;"","観点",""))),""))</f>
        <v/>
      </c>
      <c r="AK255" s="34">
        <f>IF(E255="","",UPPER(LEFT(TRIM(ASC(E255&amp;"")),3)))</f>
        <v/>
      </c>
      <c r="AL255" s="34">
        <f>IF(I255="","",IFERROR(VALUE(SUBSTITUTE(SUBSTITUTE(SUBSTITUTE(SUBSTITUTE(SUBSTITUTE(SUBSTITUTE(SUBSTITUTE(SUBSTITUTE(SUBSTITUTE(SUBSTITUTE(SUBSTITUTE(SUBSTITUTE(ASC(I255&amp;""),"約",""),"程度",""),"ほど",""),"回",""),"毎",""),"週",""),"月",""),"年",""),"日",""),"に",""),"/","")," ","")),""))</f>
        <v/>
      </c>
      <c r="AM255" s="34">
        <f>IF(I255="","",IF(ISNUMBER(I255),I255,IFERROR(VALUE(ASC(I255&amp;"")),IF(AL255&lt;&gt;"",AL255*IF(ISNUMBER(SEARCH("週",I255)),4.3,IF(ISNUMBER(SEARCH("年",I255)),1/12,IF(ISNUMBER(SEARCH("日",I255)),20,1))),IF(ISNUMBER(SEARCH("日",I255)),20,IF(ISNUMBER(SEARCH("週",I255)),4.3,IF(ISNUMBER(SEARCH("月",I255)),1,"")))))))</f>
        <v/>
      </c>
      <c r="AN255" s="34">
        <f>IF(J255="","",IF(ISNUMBER(J255),J255,IFERROR(VALUE(ASC(J255&amp;"")),IF(ISNUMBER(SEARCH("時間",J255)),IFERROR(VALUE(SUBSTITUTE(SUBSTITUTE(SUBSTITUTE(SUBSTITUTE(SUBSTITUTE(ASC(J255&amp;""),"約",""),"程度",""),"ほど",""),"時間","")," ",""))*60,""),IFERROR(VALUE(SUBSTITUTE(SUBSTITUTE(SUBSTITUTE(SUBSTITUTE(SUBSTITUTE(ASC(J255&amp;""),"約",""),"程度",""),"ほど",""),"分","")," ","")),"")))))</f>
        <v/>
      </c>
      <c r="AO255" s="34">
        <f>IF(K255="","",IF(ISNUMBER(K255),K255,IFERROR(VALUE(SUBSTITUTE(SUBSTITUTE(SUBSTITUTE(ASC(K255&amp;""),"約",""),"件","")," ","")),"")))</f>
        <v/>
      </c>
      <c r="AP255" s="34">
        <f>IF(W255&lt;&gt;"OK","",IF(COUNTIFS($D$5:$D$404,D255,$W$5:$W$404,"OK")&gt;1,"同名あり",""))</f>
        <v/>
      </c>
      <c r="AQ255" s="35">
        <f>IF(L255="","",IF(ISNUMBER(L255),L255,IFERROR(DATEVALUE(SUBSTITUTE(SUBSTITUTE(ASC(L255&amp;""),"-","/"),".","/")&amp;"/01"),"")))</f>
        <v/>
      </c>
      <c r="AR255" s="35">
        <f>IF(M255="","",IF(ISNUMBER(M255),M255,IFERROR(DATEVALUE(SUBSTITUTE(SUBSTITUTE(ASC(M255&amp;""),"-","/"),".","/")&amp;"/01"),"")))</f>
        <v/>
      </c>
      <c r="AS255" s="34">
        <f>IF(OR(W255&lt;&gt;"OK",AQ255=""),"",IF(AQ255&gt;='01_設定'!$C$26,1,0))</f>
        <v/>
      </c>
      <c r="AT255" s="34">
        <f>IF(AND(W255="OK",Y255&lt;&gt;"除外"),COUNTIFS($W$5:W255,"OK",$Y$5:Y255,"&lt;&gt;除外"),"")</f>
        <v/>
      </c>
      <c r="AU255" s="34">
        <f>IF(OR(AT255="",AD255=""),"",AD255+ROW()/1000000000)</f>
        <v/>
      </c>
    </row>
    <row r="256">
      <c r="W256">
        <f>IF(AND(A256="",D256=""),"",IF(ISNUMBER(SEARCH("##END",AH256)),"（終わりの印）",IF(ISNUMBER(SEARCH("##続き",AH256)),"（続きありの印）",IF(AH256="調査ID","（見出し行）",IF(AND(AH256&lt;&gt;"R1",AH256&lt;&gt;"R2"),"×表以外の行（集計されない）",IF(COUNTIF($AI$5:AI256,AI256)&gt;1,"△重複（集計されない）",IF(D256="","△タスク名なし",IF(ISNA(MATCH(AK256,'M1_類型マスタ'!$A$5:$A$19,0)),"△類型が不正",IF(OR(AM256="",AN256=""),"△回数・分が読めない",IF(SUMPRODUCT(--ISNUMBER(--O256:U256))&lt;7,"△採点が足りない",IF(SUMPRODUCT((--O256:U256&gt;2)+(--O256:U256&lt;0))&gt;0,"△採点が範囲外","OK")))))))))))</f>
        <v/>
      </c>
      <c r="X256">
        <f>IF(W256&lt;&gt;"OK","",TRIM(IF(AND(AO256&lt;&gt;"",N(AO256)&lt;=1),"根拠1件 ","")&amp;IF(AP256&lt;&gt;"","同名あり ","")&amp;IF(AND(NOT(ISNUMBER(I256)),I256&lt;&gt;""),"回数を換算 ","")))</f>
        <v/>
      </c>
      <c r="Y256" s="31" t="n"/>
      <c r="Z256" s="32" t="n"/>
      <c r="AA256" s="32" t="n"/>
      <c r="AB256" s="31" t="n"/>
      <c r="AC256">
        <f>IF(W256&lt;&gt;"OK","",IF(AB256&lt;&gt;"",AB256,AE256))</f>
        <v/>
      </c>
      <c r="AD256" s="33">
        <f>IF(W256&lt;&gt;"OK","",IFERROR(IF(Z256&lt;&gt;"",Z256,AM256)*IF(AA256&lt;&gt;"",AA256,AN256)/60,""))</f>
        <v/>
      </c>
      <c r="AE256">
        <f>IF(W256&lt;&gt;"OK","",IF(OR(VALUE(O256)=2,VALUE(P256)=2,VALUE(Q256)=2),"社内残置",IF(AND(VALUE(O256)=0,VALUE(R256)=0,VALUE(T256)=0),"自動化候補",IF(AND(VALUE(P256)=0,VALUE(R256)&lt;=1,VALUE(S256)&lt;=1,VALUE(T256)&lt;=1,VALUE(U256)&lt;=1),"オフショア候補",IF(AND(VALUE(T256)&lt;=1,VALUE(U256)&lt;=1),"ニアショア候補","社内で手順化→再評価")))))</f>
        <v/>
      </c>
      <c r="AF256">
        <f>IF(W256&lt;&gt;"OK","",14-SUMPRODUCT(--O256:U256))</f>
        <v/>
      </c>
      <c r="AG256" s="33">
        <f>IF(W256&lt;&gt;"OK","",AM256*AN256/60)</f>
        <v/>
      </c>
      <c r="AH256" s="34">
        <f>IF(A256="","",UPPER(TRIM(ASC(A256&amp;""))))</f>
        <v/>
      </c>
      <c r="AI256" s="34">
        <f>IF(AH256="","",AH256&amp;"-"&amp;B256)</f>
        <v/>
      </c>
      <c r="AJ256" s="34">
        <f>IF(C256="","",IFERROR(VALUE(ASC(SUBSTITUTE(C256&amp;"","観点",""))),""))</f>
        <v/>
      </c>
      <c r="AK256" s="34">
        <f>IF(E256="","",UPPER(LEFT(TRIM(ASC(E256&amp;"")),3)))</f>
        <v/>
      </c>
      <c r="AL256" s="34">
        <f>IF(I256="","",IFERROR(VALUE(SUBSTITUTE(SUBSTITUTE(SUBSTITUTE(SUBSTITUTE(SUBSTITUTE(SUBSTITUTE(SUBSTITUTE(SUBSTITUTE(SUBSTITUTE(SUBSTITUTE(SUBSTITUTE(SUBSTITUTE(ASC(I256&amp;""),"約",""),"程度",""),"ほど",""),"回",""),"毎",""),"週",""),"月",""),"年",""),"日",""),"に",""),"/","")," ","")),""))</f>
        <v/>
      </c>
      <c r="AM256" s="34">
        <f>IF(I256="","",IF(ISNUMBER(I256),I256,IFERROR(VALUE(ASC(I256&amp;"")),IF(AL256&lt;&gt;"",AL256*IF(ISNUMBER(SEARCH("週",I256)),4.3,IF(ISNUMBER(SEARCH("年",I256)),1/12,IF(ISNUMBER(SEARCH("日",I256)),20,1))),IF(ISNUMBER(SEARCH("日",I256)),20,IF(ISNUMBER(SEARCH("週",I256)),4.3,IF(ISNUMBER(SEARCH("月",I256)),1,"")))))))</f>
        <v/>
      </c>
      <c r="AN256" s="34">
        <f>IF(J256="","",IF(ISNUMBER(J256),J256,IFERROR(VALUE(ASC(J256&amp;"")),IF(ISNUMBER(SEARCH("時間",J256)),IFERROR(VALUE(SUBSTITUTE(SUBSTITUTE(SUBSTITUTE(SUBSTITUTE(SUBSTITUTE(ASC(J256&amp;""),"約",""),"程度",""),"ほど",""),"時間","")," ",""))*60,""),IFERROR(VALUE(SUBSTITUTE(SUBSTITUTE(SUBSTITUTE(SUBSTITUTE(SUBSTITUTE(ASC(J256&amp;""),"約",""),"程度",""),"ほど",""),"分","")," ","")),"")))))</f>
        <v/>
      </c>
      <c r="AO256" s="34">
        <f>IF(K256="","",IF(ISNUMBER(K256),K256,IFERROR(VALUE(SUBSTITUTE(SUBSTITUTE(SUBSTITUTE(ASC(K256&amp;""),"約",""),"件","")," ","")),"")))</f>
        <v/>
      </c>
      <c r="AP256" s="34">
        <f>IF(W256&lt;&gt;"OK","",IF(COUNTIFS($D$5:$D$404,D256,$W$5:$W$404,"OK")&gt;1,"同名あり",""))</f>
        <v/>
      </c>
      <c r="AQ256" s="35">
        <f>IF(L256="","",IF(ISNUMBER(L256),L256,IFERROR(DATEVALUE(SUBSTITUTE(SUBSTITUTE(ASC(L256&amp;""),"-","/"),".","/")&amp;"/01"),"")))</f>
        <v/>
      </c>
      <c r="AR256" s="35">
        <f>IF(M256="","",IF(ISNUMBER(M256),M256,IFERROR(DATEVALUE(SUBSTITUTE(SUBSTITUTE(ASC(M256&amp;""),"-","/"),".","/")&amp;"/01"),"")))</f>
        <v/>
      </c>
      <c r="AS256" s="34">
        <f>IF(OR(W256&lt;&gt;"OK",AQ256=""),"",IF(AQ256&gt;='01_設定'!$C$26,1,0))</f>
        <v/>
      </c>
      <c r="AT256" s="34">
        <f>IF(AND(W256="OK",Y256&lt;&gt;"除外"),COUNTIFS($W$5:W256,"OK",$Y$5:Y256,"&lt;&gt;除外"),"")</f>
        <v/>
      </c>
      <c r="AU256" s="34">
        <f>IF(OR(AT256="",AD256=""),"",AD256+ROW()/1000000000)</f>
        <v/>
      </c>
    </row>
    <row r="257">
      <c r="W257">
        <f>IF(AND(A257="",D257=""),"",IF(ISNUMBER(SEARCH("##END",AH257)),"（終わりの印）",IF(ISNUMBER(SEARCH("##続き",AH257)),"（続きありの印）",IF(AH257="調査ID","（見出し行）",IF(AND(AH257&lt;&gt;"R1",AH257&lt;&gt;"R2"),"×表以外の行（集計されない）",IF(COUNTIF($AI$5:AI257,AI257)&gt;1,"△重複（集計されない）",IF(D257="","△タスク名なし",IF(ISNA(MATCH(AK257,'M1_類型マスタ'!$A$5:$A$19,0)),"△類型が不正",IF(OR(AM257="",AN257=""),"△回数・分が読めない",IF(SUMPRODUCT(--ISNUMBER(--O257:U257))&lt;7,"△採点が足りない",IF(SUMPRODUCT((--O257:U257&gt;2)+(--O257:U257&lt;0))&gt;0,"△採点が範囲外","OK")))))))))))</f>
        <v/>
      </c>
      <c r="X257">
        <f>IF(W257&lt;&gt;"OK","",TRIM(IF(AND(AO257&lt;&gt;"",N(AO257)&lt;=1),"根拠1件 ","")&amp;IF(AP257&lt;&gt;"","同名あり ","")&amp;IF(AND(NOT(ISNUMBER(I257)),I257&lt;&gt;""),"回数を換算 ","")))</f>
        <v/>
      </c>
      <c r="Y257" s="31" t="n"/>
      <c r="Z257" s="32" t="n"/>
      <c r="AA257" s="32" t="n"/>
      <c r="AB257" s="31" t="n"/>
      <c r="AC257">
        <f>IF(W257&lt;&gt;"OK","",IF(AB257&lt;&gt;"",AB257,AE257))</f>
        <v/>
      </c>
      <c r="AD257" s="33">
        <f>IF(W257&lt;&gt;"OK","",IFERROR(IF(Z257&lt;&gt;"",Z257,AM257)*IF(AA257&lt;&gt;"",AA257,AN257)/60,""))</f>
        <v/>
      </c>
      <c r="AE257">
        <f>IF(W257&lt;&gt;"OK","",IF(OR(VALUE(O257)=2,VALUE(P257)=2,VALUE(Q257)=2),"社内残置",IF(AND(VALUE(O257)=0,VALUE(R257)=0,VALUE(T257)=0),"自動化候補",IF(AND(VALUE(P257)=0,VALUE(R257)&lt;=1,VALUE(S257)&lt;=1,VALUE(T257)&lt;=1,VALUE(U257)&lt;=1),"オフショア候補",IF(AND(VALUE(T257)&lt;=1,VALUE(U257)&lt;=1),"ニアショア候補","社内で手順化→再評価")))))</f>
        <v/>
      </c>
      <c r="AF257">
        <f>IF(W257&lt;&gt;"OK","",14-SUMPRODUCT(--O257:U257))</f>
        <v/>
      </c>
      <c r="AG257" s="33">
        <f>IF(W257&lt;&gt;"OK","",AM257*AN257/60)</f>
        <v/>
      </c>
      <c r="AH257" s="34">
        <f>IF(A257="","",UPPER(TRIM(ASC(A257&amp;""))))</f>
        <v/>
      </c>
      <c r="AI257" s="34">
        <f>IF(AH257="","",AH257&amp;"-"&amp;B257)</f>
        <v/>
      </c>
      <c r="AJ257" s="34">
        <f>IF(C257="","",IFERROR(VALUE(ASC(SUBSTITUTE(C257&amp;"","観点",""))),""))</f>
        <v/>
      </c>
      <c r="AK257" s="34">
        <f>IF(E257="","",UPPER(LEFT(TRIM(ASC(E257&amp;"")),3)))</f>
        <v/>
      </c>
      <c r="AL257" s="34">
        <f>IF(I257="","",IFERROR(VALUE(SUBSTITUTE(SUBSTITUTE(SUBSTITUTE(SUBSTITUTE(SUBSTITUTE(SUBSTITUTE(SUBSTITUTE(SUBSTITUTE(SUBSTITUTE(SUBSTITUTE(SUBSTITUTE(SUBSTITUTE(ASC(I257&amp;""),"約",""),"程度",""),"ほど",""),"回",""),"毎",""),"週",""),"月",""),"年",""),"日",""),"に",""),"/","")," ","")),""))</f>
        <v/>
      </c>
      <c r="AM257" s="34">
        <f>IF(I257="","",IF(ISNUMBER(I257),I257,IFERROR(VALUE(ASC(I257&amp;"")),IF(AL257&lt;&gt;"",AL257*IF(ISNUMBER(SEARCH("週",I257)),4.3,IF(ISNUMBER(SEARCH("年",I257)),1/12,IF(ISNUMBER(SEARCH("日",I257)),20,1))),IF(ISNUMBER(SEARCH("日",I257)),20,IF(ISNUMBER(SEARCH("週",I257)),4.3,IF(ISNUMBER(SEARCH("月",I257)),1,"")))))))</f>
        <v/>
      </c>
      <c r="AN257" s="34">
        <f>IF(J257="","",IF(ISNUMBER(J257),J257,IFERROR(VALUE(ASC(J257&amp;"")),IF(ISNUMBER(SEARCH("時間",J257)),IFERROR(VALUE(SUBSTITUTE(SUBSTITUTE(SUBSTITUTE(SUBSTITUTE(SUBSTITUTE(ASC(J257&amp;""),"約",""),"程度",""),"ほど",""),"時間","")," ",""))*60,""),IFERROR(VALUE(SUBSTITUTE(SUBSTITUTE(SUBSTITUTE(SUBSTITUTE(SUBSTITUTE(ASC(J257&amp;""),"約",""),"程度",""),"ほど",""),"分","")," ","")),"")))))</f>
        <v/>
      </c>
      <c r="AO257" s="34">
        <f>IF(K257="","",IF(ISNUMBER(K257),K257,IFERROR(VALUE(SUBSTITUTE(SUBSTITUTE(SUBSTITUTE(ASC(K257&amp;""),"約",""),"件","")," ","")),"")))</f>
        <v/>
      </c>
      <c r="AP257" s="34">
        <f>IF(W257&lt;&gt;"OK","",IF(COUNTIFS($D$5:$D$404,D257,$W$5:$W$404,"OK")&gt;1,"同名あり",""))</f>
        <v/>
      </c>
      <c r="AQ257" s="35">
        <f>IF(L257="","",IF(ISNUMBER(L257),L257,IFERROR(DATEVALUE(SUBSTITUTE(SUBSTITUTE(ASC(L257&amp;""),"-","/"),".","/")&amp;"/01"),"")))</f>
        <v/>
      </c>
      <c r="AR257" s="35">
        <f>IF(M257="","",IF(ISNUMBER(M257),M257,IFERROR(DATEVALUE(SUBSTITUTE(SUBSTITUTE(ASC(M257&amp;""),"-","/"),".","/")&amp;"/01"),"")))</f>
        <v/>
      </c>
      <c r="AS257" s="34">
        <f>IF(OR(W257&lt;&gt;"OK",AQ257=""),"",IF(AQ257&gt;='01_設定'!$C$26,1,0))</f>
        <v/>
      </c>
      <c r="AT257" s="34">
        <f>IF(AND(W257="OK",Y257&lt;&gt;"除外"),COUNTIFS($W$5:W257,"OK",$Y$5:Y257,"&lt;&gt;除外"),"")</f>
        <v/>
      </c>
      <c r="AU257" s="34">
        <f>IF(OR(AT257="",AD257=""),"",AD257+ROW()/1000000000)</f>
        <v/>
      </c>
    </row>
    <row r="258">
      <c r="W258">
        <f>IF(AND(A258="",D258=""),"",IF(ISNUMBER(SEARCH("##END",AH258)),"（終わりの印）",IF(ISNUMBER(SEARCH("##続き",AH258)),"（続きありの印）",IF(AH258="調査ID","（見出し行）",IF(AND(AH258&lt;&gt;"R1",AH258&lt;&gt;"R2"),"×表以外の行（集計されない）",IF(COUNTIF($AI$5:AI258,AI258)&gt;1,"△重複（集計されない）",IF(D258="","△タスク名なし",IF(ISNA(MATCH(AK258,'M1_類型マスタ'!$A$5:$A$19,0)),"△類型が不正",IF(OR(AM258="",AN258=""),"△回数・分が読めない",IF(SUMPRODUCT(--ISNUMBER(--O258:U258))&lt;7,"△採点が足りない",IF(SUMPRODUCT((--O258:U258&gt;2)+(--O258:U258&lt;0))&gt;0,"△採点が範囲外","OK")))))))))))</f>
        <v/>
      </c>
      <c r="X258">
        <f>IF(W258&lt;&gt;"OK","",TRIM(IF(AND(AO258&lt;&gt;"",N(AO258)&lt;=1),"根拠1件 ","")&amp;IF(AP258&lt;&gt;"","同名あり ","")&amp;IF(AND(NOT(ISNUMBER(I258)),I258&lt;&gt;""),"回数を換算 ","")))</f>
        <v/>
      </c>
      <c r="Y258" s="31" t="n"/>
      <c r="Z258" s="32" t="n"/>
      <c r="AA258" s="32" t="n"/>
      <c r="AB258" s="31" t="n"/>
      <c r="AC258">
        <f>IF(W258&lt;&gt;"OK","",IF(AB258&lt;&gt;"",AB258,AE258))</f>
        <v/>
      </c>
      <c r="AD258" s="33">
        <f>IF(W258&lt;&gt;"OK","",IFERROR(IF(Z258&lt;&gt;"",Z258,AM258)*IF(AA258&lt;&gt;"",AA258,AN258)/60,""))</f>
        <v/>
      </c>
      <c r="AE258">
        <f>IF(W258&lt;&gt;"OK","",IF(OR(VALUE(O258)=2,VALUE(P258)=2,VALUE(Q258)=2),"社内残置",IF(AND(VALUE(O258)=0,VALUE(R258)=0,VALUE(T258)=0),"自動化候補",IF(AND(VALUE(P258)=0,VALUE(R258)&lt;=1,VALUE(S258)&lt;=1,VALUE(T258)&lt;=1,VALUE(U258)&lt;=1),"オフショア候補",IF(AND(VALUE(T258)&lt;=1,VALUE(U258)&lt;=1),"ニアショア候補","社内で手順化→再評価")))))</f>
        <v/>
      </c>
      <c r="AF258">
        <f>IF(W258&lt;&gt;"OK","",14-SUMPRODUCT(--O258:U258))</f>
        <v/>
      </c>
      <c r="AG258" s="33">
        <f>IF(W258&lt;&gt;"OK","",AM258*AN258/60)</f>
        <v/>
      </c>
      <c r="AH258" s="34">
        <f>IF(A258="","",UPPER(TRIM(ASC(A258&amp;""))))</f>
        <v/>
      </c>
      <c r="AI258" s="34">
        <f>IF(AH258="","",AH258&amp;"-"&amp;B258)</f>
        <v/>
      </c>
      <c r="AJ258" s="34">
        <f>IF(C258="","",IFERROR(VALUE(ASC(SUBSTITUTE(C258&amp;"","観点",""))),""))</f>
        <v/>
      </c>
      <c r="AK258" s="34">
        <f>IF(E258="","",UPPER(LEFT(TRIM(ASC(E258&amp;"")),3)))</f>
        <v/>
      </c>
      <c r="AL258" s="34">
        <f>IF(I258="","",IFERROR(VALUE(SUBSTITUTE(SUBSTITUTE(SUBSTITUTE(SUBSTITUTE(SUBSTITUTE(SUBSTITUTE(SUBSTITUTE(SUBSTITUTE(SUBSTITUTE(SUBSTITUTE(SUBSTITUTE(SUBSTITUTE(ASC(I258&amp;""),"約",""),"程度",""),"ほど",""),"回",""),"毎",""),"週",""),"月",""),"年",""),"日",""),"に",""),"/","")," ","")),""))</f>
        <v/>
      </c>
      <c r="AM258" s="34">
        <f>IF(I258="","",IF(ISNUMBER(I258),I258,IFERROR(VALUE(ASC(I258&amp;"")),IF(AL258&lt;&gt;"",AL258*IF(ISNUMBER(SEARCH("週",I258)),4.3,IF(ISNUMBER(SEARCH("年",I258)),1/12,IF(ISNUMBER(SEARCH("日",I258)),20,1))),IF(ISNUMBER(SEARCH("日",I258)),20,IF(ISNUMBER(SEARCH("週",I258)),4.3,IF(ISNUMBER(SEARCH("月",I258)),1,"")))))))</f>
        <v/>
      </c>
      <c r="AN258" s="34">
        <f>IF(J258="","",IF(ISNUMBER(J258),J258,IFERROR(VALUE(ASC(J258&amp;"")),IF(ISNUMBER(SEARCH("時間",J258)),IFERROR(VALUE(SUBSTITUTE(SUBSTITUTE(SUBSTITUTE(SUBSTITUTE(SUBSTITUTE(ASC(J258&amp;""),"約",""),"程度",""),"ほど",""),"時間","")," ",""))*60,""),IFERROR(VALUE(SUBSTITUTE(SUBSTITUTE(SUBSTITUTE(SUBSTITUTE(SUBSTITUTE(ASC(J258&amp;""),"約",""),"程度",""),"ほど",""),"分","")," ","")),"")))))</f>
        <v/>
      </c>
      <c r="AO258" s="34">
        <f>IF(K258="","",IF(ISNUMBER(K258),K258,IFERROR(VALUE(SUBSTITUTE(SUBSTITUTE(SUBSTITUTE(ASC(K258&amp;""),"約",""),"件","")," ","")),"")))</f>
        <v/>
      </c>
      <c r="AP258" s="34">
        <f>IF(W258&lt;&gt;"OK","",IF(COUNTIFS($D$5:$D$404,D258,$W$5:$W$404,"OK")&gt;1,"同名あり",""))</f>
        <v/>
      </c>
      <c r="AQ258" s="35">
        <f>IF(L258="","",IF(ISNUMBER(L258),L258,IFERROR(DATEVALUE(SUBSTITUTE(SUBSTITUTE(ASC(L258&amp;""),"-","/"),".","/")&amp;"/01"),"")))</f>
        <v/>
      </c>
      <c r="AR258" s="35">
        <f>IF(M258="","",IF(ISNUMBER(M258),M258,IFERROR(DATEVALUE(SUBSTITUTE(SUBSTITUTE(ASC(M258&amp;""),"-","/"),".","/")&amp;"/01"),"")))</f>
        <v/>
      </c>
      <c r="AS258" s="34">
        <f>IF(OR(W258&lt;&gt;"OK",AQ258=""),"",IF(AQ258&gt;='01_設定'!$C$26,1,0))</f>
        <v/>
      </c>
      <c r="AT258" s="34">
        <f>IF(AND(W258="OK",Y258&lt;&gt;"除外"),COUNTIFS($W$5:W258,"OK",$Y$5:Y258,"&lt;&gt;除外"),"")</f>
        <v/>
      </c>
      <c r="AU258" s="34">
        <f>IF(OR(AT258="",AD258=""),"",AD258+ROW()/1000000000)</f>
        <v/>
      </c>
    </row>
    <row r="259">
      <c r="W259">
        <f>IF(AND(A259="",D259=""),"",IF(ISNUMBER(SEARCH("##END",AH259)),"（終わりの印）",IF(ISNUMBER(SEARCH("##続き",AH259)),"（続きありの印）",IF(AH259="調査ID","（見出し行）",IF(AND(AH259&lt;&gt;"R1",AH259&lt;&gt;"R2"),"×表以外の行（集計されない）",IF(COUNTIF($AI$5:AI259,AI259)&gt;1,"△重複（集計されない）",IF(D259="","△タスク名なし",IF(ISNA(MATCH(AK259,'M1_類型マスタ'!$A$5:$A$19,0)),"△類型が不正",IF(OR(AM259="",AN259=""),"△回数・分が読めない",IF(SUMPRODUCT(--ISNUMBER(--O259:U259))&lt;7,"△採点が足りない",IF(SUMPRODUCT((--O259:U259&gt;2)+(--O259:U259&lt;0))&gt;0,"△採点が範囲外","OK")))))))))))</f>
        <v/>
      </c>
      <c r="X259">
        <f>IF(W259&lt;&gt;"OK","",TRIM(IF(AND(AO259&lt;&gt;"",N(AO259)&lt;=1),"根拠1件 ","")&amp;IF(AP259&lt;&gt;"","同名あり ","")&amp;IF(AND(NOT(ISNUMBER(I259)),I259&lt;&gt;""),"回数を換算 ","")))</f>
        <v/>
      </c>
      <c r="Y259" s="31" t="n"/>
      <c r="Z259" s="32" t="n"/>
      <c r="AA259" s="32" t="n"/>
      <c r="AB259" s="31" t="n"/>
      <c r="AC259">
        <f>IF(W259&lt;&gt;"OK","",IF(AB259&lt;&gt;"",AB259,AE259))</f>
        <v/>
      </c>
      <c r="AD259" s="33">
        <f>IF(W259&lt;&gt;"OK","",IFERROR(IF(Z259&lt;&gt;"",Z259,AM259)*IF(AA259&lt;&gt;"",AA259,AN259)/60,""))</f>
        <v/>
      </c>
      <c r="AE259">
        <f>IF(W259&lt;&gt;"OK","",IF(OR(VALUE(O259)=2,VALUE(P259)=2,VALUE(Q259)=2),"社内残置",IF(AND(VALUE(O259)=0,VALUE(R259)=0,VALUE(T259)=0),"自動化候補",IF(AND(VALUE(P259)=0,VALUE(R259)&lt;=1,VALUE(S259)&lt;=1,VALUE(T259)&lt;=1,VALUE(U259)&lt;=1),"オフショア候補",IF(AND(VALUE(T259)&lt;=1,VALUE(U259)&lt;=1),"ニアショア候補","社内で手順化→再評価")))))</f>
        <v/>
      </c>
      <c r="AF259">
        <f>IF(W259&lt;&gt;"OK","",14-SUMPRODUCT(--O259:U259))</f>
        <v/>
      </c>
      <c r="AG259" s="33">
        <f>IF(W259&lt;&gt;"OK","",AM259*AN259/60)</f>
        <v/>
      </c>
      <c r="AH259" s="34">
        <f>IF(A259="","",UPPER(TRIM(ASC(A259&amp;""))))</f>
        <v/>
      </c>
      <c r="AI259" s="34">
        <f>IF(AH259="","",AH259&amp;"-"&amp;B259)</f>
        <v/>
      </c>
      <c r="AJ259" s="34">
        <f>IF(C259="","",IFERROR(VALUE(ASC(SUBSTITUTE(C259&amp;"","観点",""))),""))</f>
        <v/>
      </c>
      <c r="AK259" s="34">
        <f>IF(E259="","",UPPER(LEFT(TRIM(ASC(E259&amp;"")),3)))</f>
        <v/>
      </c>
      <c r="AL259" s="34">
        <f>IF(I259="","",IFERROR(VALUE(SUBSTITUTE(SUBSTITUTE(SUBSTITUTE(SUBSTITUTE(SUBSTITUTE(SUBSTITUTE(SUBSTITUTE(SUBSTITUTE(SUBSTITUTE(SUBSTITUTE(SUBSTITUTE(SUBSTITUTE(ASC(I259&amp;""),"約",""),"程度",""),"ほど",""),"回",""),"毎",""),"週",""),"月",""),"年",""),"日",""),"に",""),"/","")," ","")),""))</f>
        <v/>
      </c>
      <c r="AM259" s="34">
        <f>IF(I259="","",IF(ISNUMBER(I259),I259,IFERROR(VALUE(ASC(I259&amp;"")),IF(AL259&lt;&gt;"",AL259*IF(ISNUMBER(SEARCH("週",I259)),4.3,IF(ISNUMBER(SEARCH("年",I259)),1/12,IF(ISNUMBER(SEARCH("日",I259)),20,1))),IF(ISNUMBER(SEARCH("日",I259)),20,IF(ISNUMBER(SEARCH("週",I259)),4.3,IF(ISNUMBER(SEARCH("月",I259)),1,"")))))))</f>
        <v/>
      </c>
      <c r="AN259" s="34">
        <f>IF(J259="","",IF(ISNUMBER(J259),J259,IFERROR(VALUE(ASC(J259&amp;"")),IF(ISNUMBER(SEARCH("時間",J259)),IFERROR(VALUE(SUBSTITUTE(SUBSTITUTE(SUBSTITUTE(SUBSTITUTE(SUBSTITUTE(ASC(J259&amp;""),"約",""),"程度",""),"ほど",""),"時間","")," ",""))*60,""),IFERROR(VALUE(SUBSTITUTE(SUBSTITUTE(SUBSTITUTE(SUBSTITUTE(SUBSTITUTE(ASC(J259&amp;""),"約",""),"程度",""),"ほど",""),"分","")," ","")),"")))))</f>
        <v/>
      </c>
      <c r="AO259" s="34">
        <f>IF(K259="","",IF(ISNUMBER(K259),K259,IFERROR(VALUE(SUBSTITUTE(SUBSTITUTE(SUBSTITUTE(ASC(K259&amp;""),"約",""),"件","")," ","")),"")))</f>
        <v/>
      </c>
      <c r="AP259" s="34">
        <f>IF(W259&lt;&gt;"OK","",IF(COUNTIFS($D$5:$D$404,D259,$W$5:$W$404,"OK")&gt;1,"同名あり",""))</f>
        <v/>
      </c>
      <c r="AQ259" s="35">
        <f>IF(L259="","",IF(ISNUMBER(L259),L259,IFERROR(DATEVALUE(SUBSTITUTE(SUBSTITUTE(ASC(L259&amp;""),"-","/"),".","/")&amp;"/01"),"")))</f>
        <v/>
      </c>
      <c r="AR259" s="35">
        <f>IF(M259="","",IF(ISNUMBER(M259),M259,IFERROR(DATEVALUE(SUBSTITUTE(SUBSTITUTE(ASC(M259&amp;""),"-","/"),".","/")&amp;"/01"),"")))</f>
        <v/>
      </c>
      <c r="AS259" s="34">
        <f>IF(OR(W259&lt;&gt;"OK",AQ259=""),"",IF(AQ259&gt;='01_設定'!$C$26,1,0))</f>
        <v/>
      </c>
      <c r="AT259" s="34">
        <f>IF(AND(W259="OK",Y259&lt;&gt;"除外"),COUNTIFS($W$5:W259,"OK",$Y$5:Y259,"&lt;&gt;除外"),"")</f>
        <v/>
      </c>
      <c r="AU259" s="34">
        <f>IF(OR(AT259="",AD259=""),"",AD259+ROW()/1000000000)</f>
        <v/>
      </c>
    </row>
    <row r="260">
      <c r="W260">
        <f>IF(AND(A260="",D260=""),"",IF(ISNUMBER(SEARCH("##END",AH260)),"（終わりの印）",IF(ISNUMBER(SEARCH("##続き",AH260)),"（続きありの印）",IF(AH260="調査ID","（見出し行）",IF(AND(AH260&lt;&gt;"R1",AH260&lt;&gt;"R2"),"×表以外の行（集計されない）",IF(COUNTIF($AI$5:AI260,AI260)&gt;1,"△重複（集計されない）",IF(D260="","△タスク名なし",IF(ISNA(MATCH(AK260,'M1_類型マスタ'!$A$5:$A$19,0)),"△類型が不正",IF(OR(AM260="",AN260=""),"△回数・分が読めない",IF(SUMPRODUCT(--ISNUMBER(--O260:U260))&lt;7,"△採点が足りない",IF(SUMPRODUCT((--O260:U260&gt;2)+(--O260:U260&lt;0))&gt;0,"△採点が範囲外","OK")))))))))))</f>
        <v/>
      </c>
      <c r="X260">
        <f>IF(W260&lt;&gt;"OK","",TRIM(IF(AND(AO260&lt;&gt;"",N(AO260)&lt;=1),"根拠1件 ","")&amp;IF(AP260&lt;&gt;"","同名あり ","")&amp;IF(AND(NOT(ISNUMBER(I260)),I260&lt;&gt;""),"回数を換算 ","")))</f>
        <v/>
      </c>
      <c r="Y260" s="31" t="n"/>
      <c r="Z260" s="32" t="n"/>
      <c r="AA260" s="32" t="n"/>
      <c r="AB260" s="31" t="n"/>
      <c r="AC260">
        <f>IF(W260&lt;&gt;"OK","",IF(AB260&lt;&gt;"",AB260,AE260))</f>
        <v/>
      </c>
      <c r="AD260" s="33">
        <f>IF(W260&lt;&gt;"OK","",IFERROR(IF(Z260&lt;&gt;"",Z260,AM260)*IF(AA260&lt;&gt;"",AA260,AN260)/60,""))</f>
        <v/>
      </c>
      <c r="AE260">
        <f>IF(W260&lt;&gt;"OK","",IF(OR(VALUE(O260)=2,VALUE(P260)=2,VALUE(Q260)=2),"社内残置",IF(AND(VALUE(O260)=0,VALUE(R260)=0,VALUE(T260)=0),"自動化候補",IF(AND(VALUE(P260)=0,VALUE(R260)&lt;=1,VALUE(S260)&lt;=1,VALUE(T260)&lt;=1,VALUE(U260)&lt;=1),"オフショア候補",IF(AND(VALUE(T260)&lt;=1,VALUE(U260)&lt;=1),"ニアショア候補","社内で手順化→再評価")))))</f>
        <v/>
      </c>
      <c r="AF260">
        <f>IF(W260&lt;&gt;"OK","",14-SUMPRODUCT(--O260:U260))</f>
        <v/>
      </c>
      <c r="AG260" s="33">
        <f>IF(W260&lt;&gt;"OK","",AM260*AN260/60)</f>
        <v/>
      </c>
      <c r="AH260" s="34">
        <f>IF(A260="","",UPPER(TRIM(ASC(A260&amp;""))))</f>
        <v/>
      </c>
      <c r="AI260" s="34">
        <f>IF(AH260="","",AH260&amp;"-"&amp;B260)</f>
        <v/>
      </c>
      <c r="AJ260" s="34">
        <f>IF(C260="","",IFERROR(VALUE(ASC(SUBSTITUTE(C260&amp;"","観点",""))),""))</f>
        <v/>
      </c>
      <c r="AK260" s="34">
        <f>IF(E260="","",UPPER(LEFT(TRIM(ASC(E260&amp;"")),3)))</f>
        <v/>
      </c>
      <c r="AL260" s="34">
        <f>IF(I260="","",IFERROR(VALUE(SUBSTITUTE(SUBSTITUTE(SUBSTITUTE(SUBSTITUTE(SUBSTITUTE(SUBSTITUTE(SUBSTITUTE(SUBSTITUTE(SUBSTITUTE(SUBSTITUTE(SUBSTITUTE(SUBSTITUTE(ASC(I260&amp;""),"約",""),"程度",""),"ほど",""),"回",""),"毎",""),"週",""),"月",""),"年",""),"日",""),"に",""),"/","")," ","")),""))</f>
        <v/>
      </c>
      <c r="AM260" s="34">
        <f>IF(I260="","",IF(ISNUMBER(I260),I260,IFERROR(VALUE(ASC(I260&amp;"")),IF(AL260&lt;&gt;"",AL260*IF(ISNUMBER(SEARCH("週",I260)),4.3,IF(ISNUMBER(SEARCH("年",I260)),1/12,IF(ISNUMBER(SEARCH("日",I260)),20,1))),IF(ISNUMBER(SEARCH("日",I260)),20,IF(ISNUMBER(SEARCH("週",I260)),4.3,IF(ISNUMBER(SEARCH("月",I260)),1,"")))))))</f>
        <v/>
      </c>
      <c r="AN260" s="34">
        <f>IF(J260="","",IF(ISNUMBER(J260),J260,IFERROR(VALUE(ASC(J260&amp;"")),IF(ISNUMBER(SEARCH("時間",J260)),IFERROR(VALUE(SUBSTITUTE(SUBSTITUTE(SUBSTITUTE(SUBSTITUTE(SUBSTITUTE(ASC(J260&amp;""),"約",""),"程度",""),"ほど",""),"時間","")," ",""))*60,""),IFERROR(VALUE(SUBSTITUTE(SUBSTITUTE(SUBSTITUTE(SUBSTITUTE(SUBSTITUTE(ASC(J260&amp;""),"約",""),"程度",""),"ほど",""),"分","")," ","")),"")))))</f>
        <v/>
      </c>
      <c r="AO260" s="34">
        <f>IF(K260="","",IF(ISNUMBER(K260),K260,IFERROR(VALUE(SUBSTITUTE(SUBSTITUTE(SUBSTITUTE(ASC(K260&amp;""),"約",""),"件","")," ","")),"")))</f>
        <v/>
      </c>
      <c r="AP260" s="34">
        <f>IF(W260&lt;&gt;"OK","",IF(COUNTIFS($D$5:$D$404,D260,$W$5:$W$404,"OK")&gt;1,"同名あり",""))</f>
        <v/>
      </c>
      <c r="AQ260" s="35">
        <f>IF(L260="","",IF(ISNUMBER(L260),L260,IFERROR(DATEVALUE(SUBSTITUTE(SUBSTITUTE(ASC(L260&amp;""),"-","/"),".","/")&amp;"/01"),"")))</f>
        <v/>
      </c>
      <c r="AR260" s="35">
        <f>IF(M260="","",IF(ISNUMBER(M260),M260,IFERROR(DATEVALUE(SUBSTITUTE(SUBSTITUTE(ASC(M260&amp;""),"-","/"),".","/")&amp;"/01"),"")))</f>
        <v/>
      </c>
      <c r="AS260" s="34">
        <f>IF(OR(W260&lt;&gt;"OK",AQ260=""),"",IF(AQ260&gt;='01_設定'!$C$26,1,0))</f>
        <v/>
      </c>
      <c r="AT260" s="34">
        <f>IF(AND(W260="OK",Y260&lt;&gt;"除外"),COUNTIFS($W$5:W260,"OK",$Y$5:Y260,"&lt;&gt;除外"),"")</f>
        <v/>
      </c>
      <c r="AU260" s="34">
        <f>IF(OR(AT260="",AD260=""),"",AD260+ROW()/1000000000)</f>
        <v/>
      </c>
    </row>
    <row r="261">
      <c r="W261">
        <f>IF(AND(A261="",D261=""),"",IF(ISNUMBER(SEARCH("##END",AH261)),"（終わりの印）",IF(ISNUMBER(SEARCH("##続き",AH261)),"（続きありの印）",IF(AH261="調査ID","（見出し行）",IF(AND(AH261&lt;&gt;"R1",AH261&lt;&gt;"R2"),"×表以外の行（集計されない）",IF(COUNTIF($AI$5:AI261,AI261)&gt;1,"△重複（集計されない）",IF(D261="","△タスク名なし",IF(ISNA(MATCH(AK261,'M1_類型マスタ'!$A$5:$A$19,0)),"△類型が不正",IF(OR(AM261="",AN261=""),"△回数・分が読めない",IF(SUMPRODUCT(--ISNUMBER(--O261:U261))&lt;7,"△採点が足りない",IF(SUMPRODUCT((--O261:U261&gt;2)+(--O261:U261&lt;0))&gt;0,"△採点が範囲外","OK")))))))))))</f>
        <v/>
      </c>
      <c r="X261">
        <f>IF(W261&lt;&gt;"OK","",TRIM(IF(AND(AO261&lt;&gt;"",N(AO261)&lt;=1),"根拠1件 ","")&amp;IF(AP261&lt;&gt;"","同名あり ","")&amp;IF(AND(NOT(ISNUMBER(I261)),I261&lt;&gt;""),"回数を換算 ","")))</f>
        <v/>
      </c>
      <c r="Y261" s="31" t="n"/>
      <c r="Z261" s="32" t="n"/>
      <c r="AA261" s="32" t="n"/>
      <c r="AB261" s="31" t="n"/>
      <c r="AC261">
        <f>IF(W261&lt;&gt;"OK","",IF(AB261&lt;&gt;"",AB261,AE261))</f>
        <v/>
      </c>
      <c r="AD261" s="33">
        <f>IF(W261&lt;&gt;"OK","",IFERROR(IF(Z261&lt;&gt;"",Z261,AM261)*IF(AA261&lt;&gt;"",AA261,AN261)/60,""))</f>
        <v/>
      </c>
      <c r="AE261">
        <f>IF(W261&lt;&gt;"OK","",IF(OR(VALUE(O261)=2,VALUE(P261)=2,VALUE(Q261)=2),"社内残置",IF(AND(VALUE(O261)=0,VALUE(R261)=0,VALUE(T261)=0),"自動化候補",IF(AND(VALUE(P261)=0,VALUE(R261)&lt;=1,VALUE(S261)&lt;=1,VALUE(T261)&lt;=1,VALUE(U261)&lt;=1),"オフショア候補",IF(AND(VALUE(T261)&lt;=1,VALUE(U261)&lt;=1),"ニアショア候補","社内で手順化→再評価")))))</f>
        <v/>
      </c>
      <c r="AF261">
        <f>IF(W261&lt;&gt;"OK","",14-SUMPRODUCT(--O261:U261))</f>
        <v/>
      </c>
      <c r="AG261" s="33">
        <f>IF(W261&lt;&gt;"OK","",AM261*AN261/60)</f>
        <v/>
      </c>
      <c r="AH261" s="34">
        <f>IF(A261="","",UPPER(TRIM(ASC(A261&amp;""))))</f>
        <v/>
      </c>
      <c r="AI261" s="34">
        <f>IF(AH261="","",AH261&amp;"-"&amp;B261)</f>
        <v/>
      </c>
      <c r="AJ261" s="34">
        <f>IF(C261="","",IFERROR(VALUE(ASC(SUBSTITUTE(C261&amp;"","観点",""))),""))</f>
        <v/>
      </c>
      <c r="AK261" s="34">
        <f>IF(E261="","",UPPER(LEFT(TRIM(ASC(E261&amp;"")),3)))</f>
        <v/>
      </c>
      <c r="AL261" s="34">
        <f>IF(I261="","",IFERROR(VALUE(SUBSTITUTE(SUBSTITUTE(SUBSTITUTE(SUBSTITUTE(SUBSTITUTE(SUBSTITUTE(SUBSTITUTE(SUBSTITUTE(SUBSTITUTE(SUBSTITUTE(SUBSTITUTE(SUBSTITUTE(ASC(I261&amp;""),"約",""),"程度",""),"ほど",""),"回",""),"毎",""),"週",""),"月",""),"年",""),"日",""),"に",""),"/","")," ","")),""))</f>
        <v/>
      </c>
      <c r="AM261" s="34">
        <f>IF(I261="","",IF(ISNUMBER(I261),I261,IFERROR(VALUE(ASC(I261&amp;"")),IF(AL261&lt;&gt;"",AL261*IF(ISNUMBER(SEARCH("週",I261)),4.3,IF(ISNUMBER(SEARCH("年",I261)),1/12,IF(ISNUMBER(SEARCH("日",I261)),20,1))),IF(ISNUMBER(SEARCH("日",I261)),20,IF(ISNUMBER(SEARCH("週",I261)),4.3,IF(ISNUMBER(SEARCH("月",I261)),1,"")))))))</f>
        <v/>
      </c>
      <c r="AN261" s="34">
        <f>IF(J261="","",IF(ISNUMBER(J261),J261,IFERROR(VALUE(ASC(J261&amp;"")),IF(ISNUMBER(SEARCH("時間",J261)),IFERROR(VALUE(SUBSTITUTE(SUBSTITUTE(SUBSTITUTE(SUBSTITUTE(SUBSTITUTE(ASC(J261&amp;""),"約",""),"程度",""),"ほど",""),"時間","")," ",""))*60,""),IFERROR(VALUE(SUBSTITUTE(SUBSTITUTE(SUBSTITUTE(SUBSTITUTE(SUBSTITUTE(ASC(J261&amp;""),"約",""),"程度",""),"ほど",""),"分","")," ","")),"")))))</f>
        <v/>
      </c>
      <c r="AO261" s="34">
        <f>IF(K261="","",IF(ISNUMBER(K261),K261,IFERROR(VALUE(SUBSTITUTE(SUBSTITUTE(SUBSTITUTE(ASC(K261&amp;""),"約",""),"件","")," ","")),"")))</f>
        <v/>
      </c>
      <c r="AP261" s="34">
        <f>IF(W261&lt;&gt;"OK","",IF(COUNTIFS($D$5:$D$404,D261,$W$5:$W$404,"OK")&gt;1,"同名あり",""))</f>
        <v/>
      </c>
      <c r="AQ261" s="35">
        <f>IF(L261="","",IF(ISNUMBER(L261),L261,IFERROR(DATEVALUE(SUBSTITUTE(SUBSTITUTE(ASC(L261&amp;""),"-","/"),".","/")&amp;"/01"),"")))</f>
        <v/>
      </c>
      <c r="AR261" s="35">
        <f>IF(M261="","",IF(ISNUMBER(M261),M261,IFERROR(DATEVALUE(SUBSTITUTE(SUBSTITUTE(ASC(M261&amp;""),"-","/"),".","/")&amp;"/01"),"")))</f>
        <v/>
      </c>
      <c r="AS261" s="34">
        <f>IF(OR(W261&lt;&gt;"OK",AQ261=""),"",IF(AQ261&gt;='01_設定'!$C$26,1,0))</f>
        <v/>
      </c>
      <c r="AT261" s="34">
        <f>IF(AND(W261="OK",Y261&lt;&gt;"除外"),COUNTIFS($W$5:W261,"OK",$Y$5:Y261,"&lt;&gt;除外"),"")</f>
        <v/>
      </c>
      <c r="AU261" s="34">
        <f>IF(OR(AT261="",AD261=""),"",AD261+ROW()/1000000000)</f>
        <v/>
      </c>
    </row>
    <row r="262">
      <c r="W262">
        <f>IF(AND(A262="",D262=""),"",IF(ISNUMBER(SEARCH("##END",AH262)),"（終わりの印）",IF(ISNUMBER(SEARCH("##続き",AH262)),"（続きありの印）",IF(AH262="調査ID","（見出し行）",IF(AND(AH262&lt;&gt;"R1",AH262&lt;&gt;"R2"),"×表以外の行（集計されない）",IF(COUNTIF($AI$5:AI262,AI262)&gt;1,"△重複（集計されない）",IF(D262="","△タスク名なし",IF(ISNA(MATCH(AK262,'M1_類型マスタ'!$A$5:$A$19,0)),"△類型が不正",IF(OR(AM262="",AN262=""),"△回数・分が読めない",IF(SUMPRODUCT(--ISNUMBER(--O262:U262))&lt;7,"△採点が足りない",IF(SUMPRODUCT((--O262:U262&gt;2)+(--O262:U262&lt;0))&gt;0,"△採点が範囲外","OK")))))))))))</f>
        <v/>
      </c>
      <c r="X262">
        <f>IF(W262&lt;&gt;"OK","",TRIM(IF(AND(AO262&lt;&gt;"",N(AO262)&lt;=1),"根拠1件 ","")&amp;IF(AP262&lt;&gt;"","同名あり ","")&amp;IF(AND(NOT(ISNUMBER(I262)),I262&lt;&gt;""),"回数を換算 ","")))</f>
        <v/>
      </c>
      <c r="Y262" s="31" t="n"/>
      <c r="Z262" s="32" t="n"/>
      <c r="AA262" s="32" t="n"/>
      <c r="AB262" s="31" t="n"/>
      <c r="AC262">
        <f>IF(W262&lt;&gt;"OK","",IF(AB262&lt;&gt;"",AB262,AE262))</f>
        <v/>
      </c>
      <c r="AD262" s="33">
        <f>IF(W262&lt;&gt;"OK","",IFERROR(IF(Z262&lt;&gt;"",Z262,AM262)*IF(AA262&lt;&gt;"",AA262,AN262)/60,""))</f>
        <v/>
      </c>
      <c r="AE262">
        <f>IF(W262&lt;&gt;"OK","",IF(OR(VALUE(O262)=2,VALUE(P262)=2,VALUE(Q262)=2),"社内残置",IF(AND(VALUE(O262)=0,VALUE(R262)=0,VALUE(T262)=0),"自動化候補",IF(AND(VALUE(P262)=0,VALUE(R262)&lt;=1,VALUE(S262)&lt;=1,VALUE(T262)&lt;=1,VALUE(U262)&lt;=1),"オフショア候補",IF(AND(VALUE(T262)&lt;=1,VALUE(U262)&lt;=1),"ニアショア候補","社内で手順化→再評価")))))</f>
        <v/>
      </c>
      <c r="AF262">
        <f>IF(W262&lt;&gt;"OK","",14-SUMPRODUCT(--O262:U262))</f>
        <v/>
      </c>
      <c r="AG262" s="33">
        <f>IF(W262&lt;&gt;"OK","",AM262*AN262/60)</f>
        <v/>
      </c>
      <c r="AH262" s="34">
        <f>IF(A262="","",UPPER(TRIM(ASC(A262&amp;""))))</f>
        <v/>
      </c>
      <c r="AI262" s="34">
        <f>IF(AH262="","",AH262&amp;"-"&amp;B262)</f>
        <v/>
      </c>
      <c r="AJ262" s="34">
        <f>IF(C262="","",IFERROR(VALUE(ASC(SUBSTITUTE(C262&amp;"","観点",""))),""))</f>
        <v/>
      </c>
      <c r="AK262" s="34">
        <f>IF(E262="","",UPPER(LEFT(TRIM(ASC(E262&amp;"")),3)))</f>
        <v/>
      </c>
      <c r="AL262" s="34">
        <f>IF(I262="","",IFERROR(VALUE(SUBSTITUTE(SUBSTITUTE(SUBSTITUTE(SUBSTITUTE(SUBSTITUTE(SUBSTITUTE(SUBSTITUTE(SUBSTITUTE(SUBSTITUTE(SUBSTITUTE(SUBSTITUTE(SUBSTITUTE(ASC(I262&amp;""),"約",""),"程度",""),"ほど",""),"回",""),"毎",""),"週",""),"月",""),"年",""),"日",""),"に",""),"/","")," ","")),""))</f>
        <v/>
      </c>
      <c r="AM262" s="34">
        <f>IF(I262="","",IF(ISNUMBER(I262),I262,IFERROR(VALUE(ASC(I262&amp;"")),IF(AL262&lt;&gt;"",AL262*IF(ISNUMBER(SEARCH("週",I262)),4.3,IF(ISNUMBER(SEARCH("年",I262)),1/12,IF(ISNUMBER(SEARCH("日",I262)),20,1))),IF(ISNUMBER(SEARCH("日",I262)),20,IF(ISNUMBER(SEARCH("週",I262)),4.3,IF(ISNUMBER(SEARCH("月",I262)),1,"")))))))</f>
        <v/>
      </c>
      <c r="AN262" s="34">
        <f>IF(J262="","",IF(ISNUMBER(J262),J262,IFERROR(VALUE(ASC(J262&amp;"")),IF(ISNUMBER(SEARCH("時間",J262)),IFERROR(VALUE(SUBSTITUTE(SUBSTITUTE(SUBSTITUTE(SUBSTITUTE(SUBSTITUTE(ASC(J262&amp;""),"約",""),"程度",""),"ほど",""),"時間","")," ",""))*60,""),IFERROR(VALUE(SUBSTITUTE(SUBSTITUTE(SUBSTITUTE(SUBSTITUTE(SUBSTITUTE(ASC(J262&amp;""),"約",""),"程度",""),"ほど",""),"分","")," ","")),"")))))</f>
        <v/>
      </c>
      <c r="AO262" s="34">
        <f>IF(K262="","",IF(ISNUMBER(K262),K262,IFERROR(VALUE(SUBSTITUTE(SUBSTITUTE(SUBSTITUTE(ASC(K262&amp;""),"約",""),"件","")," ","")),"")))</f>
        <v/>
      </c>
      <c r="AP262" s="34">
        <f>IF(W262&lt;&gt;"OK","",IF(COUNTIFS($D$5:$D$404,D262,$W$5:$W$404,"OK")&gt;1,"同名あり",""))</f>
        <v/>
      </c>
      <c r="AQ262" s="35">
        <f>IF(L262="","",IF(ISNUMBER(L262),L262,IFERROR(DATEVALUE(SUBSTITUTE(SUBSTITUTE(ASC(L262&amp;""),"-","/"),".","/")&amp;"/01"),"")))</f>
        <v/>
      </c>
      <c r="AR262" s="35">
        <f>IF(M262="","",IF(ISNUMBER(M262),M262,IFERROR(DATEVALUE(SUBSTITUTE(SUBSTITUTE(ASC(M262&amp;""),"-","/"),".","/")&amp;"/01"),"")))</f>
        <v/>
      </c>
      <c r="AS262" s="34">
        <f>IF(OR(W262&lt;&gt;"OK",AQ262=""),"",IF(AQ262&gt;='01_設定'!$C$26,1,0))</f>
        <v/>
      </c>
      <c r="AT262" s="34">
        <f>IF(AND(W262="OK",Y262&lt;&gt;"除外"),COUNTIFS($W$5:W262,"OK",$Y$5:Y262,"&lt;&gt;除外"),"")</f>
        <v/>
      </c>
      <c r="AU262" s="34">
        <f>IF(OR(AT262="",AD262=""),"",AD262+ROW()/1000000000)</f>
        <v/>
      </c>
    </row>
    <row r="263">
      <c r="W263">
        <f>IF(AND(A263="",D263=""),"",IF(ISNUMBER(SEARCH("##END",AH263)),"（終わりの印）",IF(ISNUMBER(SEARCH("##続き",AH263)),"（続きありの印）",IF(AH263="調査ID","（見出し行）",IF(AND(AH263&lt;&gt;"R1",AH263&lt;&gt;"R2"),"×表以外の行（集計されない）",IF(COUNTIF($AI$5:AI263,AI263)&gt;1,"△重複（集計されない）",IF(D263="","△タスク名なし",IF(ISNA(MATCH(AK263,'M1_類型マスタ'!$A$5:$A$19,0)),"△類型が不正",IF(OR(AM263="",AN263=""),"△回数・分が読めない",IF(SUMPRODUCT(--ISNUMBER(--O263:U263))&lt;7,"△採点が足りない",IF(SUMPRODUCT((--O263:U263&gt;2)+(--O263:U263&lt;0))&gt;0,"△採点が範囲外","OK")))))))))))</f>
        <v/>
      </c>
      <c r="X263">
        <f>IF(W263&lt;&gt;"OK","",TRIM(IF(AND(AO263&lt;&gt;"",N(AO263)&lt;=1),"根拠1件 ","")&amp;IF(AP263&lt;&gt;"","同名あり ","")&amp;IF(AND(NOT(ISNUMBER(I263)),I263&lt;&gt;""),"回数を換算 ","")))</f>
        <v/>
      </c>
      <c r="Y263" s="31" t="n"/>
      <c r="Z263" s="32" t="n"/>
      <c r="AA263" s="32" t="n"/>
      <c r="AB263" s="31" t="n"/>
      <c r="AC263">
        <f>IF(W263&lt;&gt;"OK","",IF(AB263&lt;&gt;"",AB263,AE263))</f>
        <v/>
      </c>
      <c r="AD263" s="33">
        <f>IF(W263&lt;&gt;"OK","",IFERROR(IF(Z263&lt;&gt;"",Z263,AM263)*IF(AA263&lt;&gt;"",AA263,AN263)/60,""))</f>
        <v/>
      </c>
      <c r="AE263">
        <f>IF(W263&lt;&gt;"OK","",IF(OR(VALUE(O263)=2,VALUE(P263)=2,VALUE(Q263)=2),"社内残置",IF(AND(VALUE(O263)=0,VALUE(R263)=0,VALUE(T263)=0),"自動化候補",IF(AND(VALUE(P263)=0,VALUE(R263)&lt;=1,VALUE(S263)&lt;=1,VALUE(T263)&lt;=1,VALUE(U263)&lt;=1),"オフショア候補",IF(AND(VALUE(T263)&lt;=1,VALUE(U263)&lt;=1),"ニアショア候補","社内で手順化→再評価")))))</f>
        <v/>
      </c>
      <c r="AF263">
        <f>IF(W263&lt;&gt;"OK","",14-SUMPRODUCT(--O263:U263))</f>
        <v/>
      </c>
      <c r="AG263" s="33">
        <f>IF(W263&lt;&gt;"OK","",AM263*AN263/60)</f>
        <v/>
      </c>
      <c r="AH263" s="34">
        <f>IF(A263="","",UPPER(TRIM(ASC(A263&amp;""))))</f>
        <v/>
      </c>
      <c r="AI263" s="34">
        <f>IF(AH263="","",AH263&amp;"-"&amp;B263)</f>
        <v/>
      </c>
      <c r="AJ263" s="34">
        <f>IF(C263="","",IFERROR(VALUE(ASC(SUBSTITUTE(C263&amp;"","観点",""))),""))</f>
        <v/>
      </c>
      <c r="AK263" s="34">
        <f>IF(E263="","",UPPER(LEFT(TRIM(ASC(E263&amp;"")),3)))</f>
        <v/>
      </c>
      <c r="AL263" s="34">
        <f>IF(I263="","",IFERROR(VALUE(SUBSTITUTE(SUBSTITUTE(SUBSTITUTE(SUBSTITUTE(SUBSTITUTE(SUBSTITUTE(SUBSTITUTE(SUBSTITUTE(SUBSTITUTE(SUBSTITUTE(SUBSTITUTE(SUBSTITUTE(ASC(I263&amp;""),"約",""),"程度",""),"ほど",""),"回",""),"毎",""),"週",""),"月",""),"年",""),"日",""),"に",""),"/","")," ","")),""))</f>
        <v/>
      </c>
      <c r="AM263" s="34">
        <f>IF(I263="","",IF(ISNUMBER(I263),I263,IFERROR(VALUE(ASC(I263&amp;"")),IF(AL263&lt;&gt;"",AL263*IF(ISNUMBER(SEARCH("週",I263)),4.3,IF(ISNUMBER(SEARCH("年",I263)),1/12,IF(ISNUMBER(SEARCH("日",I263)),20,1))),IF(ISNUMBER(SEARCH("日",I263)),20,IF(ISNUMBER(SEARCH("週",I263)),4.3,IF(ISNUMBER(SEARCH("月",I263)),1,"")))))))</f>
        <v/>
      </c>
      <c r="AN263" s="34">
        <f>IF(J263="","",IF(ISNUMBER(J263),J263,IFERROR(VALUE(ASC(J263&amp;"")),IF(ISNUMBER(SEARCH("時間",J263)),IFERROR(VALUE(SUBSTITUTE(SUBSTITUTE(SUBSTITUTE(SUBSTITUTE(SUBSTITUTE(ASC(J263&amp;""),"約",""),"程度",""),"ほど",""),"時間","")," ",""))*60,""),IFERROR(VALUE(SUBSTITUTE(SUBSTITUTE(SUBSTITUTE(SUBSTITUTE(SUBSTITUTE(ASC(J263&amp;""),"約",""),"程度",""),"ほど",""),"分","")," ","")),"")))))</f>
        <v/>
      </c>
      <c r="AO263" s="34">
        <f>IF(K263="","",IF(ISNUMBER(K263),K263,IFERROR(VALUE(SUBSTITUTE(SUBSTITUTE(SUBSTITUTE(ASC(K263&amp;""),"約",""),"件","")," ","")),"")))</f>
        <v/>
      </c>
      <c r="AP263" s="34">
        <f>IF(W263&lt;&gt;"OK","",IF(COUNTIFS($D$5:$D$404,D263,$W$5:$W$404,"OK")&gt;1,"同名あり",""))</f>
        <v/>
      </c>
      <c r="AQ263" s="35">
        <f>IF(L263="","",IF(ISNUMBER(L263),L263,IFERROR(DATEVALUE(SUBSTITUTE(SUBSTITUTE(ASC(L263&amp;""),"-","/"),".","/")&amp;"/01"),"")))</f>
        <v/>
      </c>
      <c r="AR263" s="35">
        <f>IF(M263="","",IF(ISNUMBER(M263),M263,IFERROR(DATEVALUE(SUBSTITUTE(SUBSTITUTE(ASC(M263&amp;""),"-","/"),".","/")&amp;"/01"),"")))</f>
        <v/>
      </c>
      <c r="AS263" s="34">
        <f>IF(OR(W263&lt;&gt;"OK",AQ263=""),"",IF(AQ263&gt;='01_設定'!$C$26,1,0))</f>
        <v/>
      </c>
      <c r="AT263" s="34">
        <f>IF(AND(W263="OK",Y263&lt;&gt;"除外"),COUNTIFS($W$5:W263,"OK",$Y$5:Y263,"&lt;&gt;除外"),"")</f>
        <v/>
      </c>
      <c r="AU263" s="34">
        <f>IF(OR(AT263="",AD263=""),"",AD263+ROW()/1000000000)</f>
        <v/>
      </c>
    </row>
    <row r="264">
      <c r="W264">
        <f>IF(AND(A264="",D264=""),"",IF(ISNUMBER(SEARCH("##END",AH264)),"（終わりの印）",IF(ISNUMBER(SEARCH("##続き",AH264)),"（続きありの印）",IF(AH264="調査ID","（見出し行）",IF(AND(AH264&lt;&gt;"R1",AH264&lt;&gt;"R2"),"×表以外の行（集計されない）",IF(COUNTIF($AI$5:AI264,AI264)&gt;1,"△重複（集計されない）",IF(D264="","△タスク名なし",IF(ISNA(MATCH(AK264,'M1_類型マスタ'!$A$5:$A$19,0)),"△類型が不正",IF(OR(AM264="",AN264=""),"△回数・分が読めない",IF(SUMPRODUCT(--ISNUMBER(--O264:U264))&lt;7,"△採点が足りない",IF(SUMPRODUCT((--O264:U264&gt;2)+(--O264:U264&lt;0))&gt;0,"△採点が範囲外","OK")))))))))))</f>
        <v/>
      </c>
      <c r="X264">
        <f>IF(W264&lt;&gt;"OK","",TRIM(IF(AND(AO264&lt;&gt;"",N(AO264)&lt;=1),"根拠1件 ","")&amp;IF(AP264&lt;&gt;"","同名あり ","")&amp;IF(AND(NOT(ISNUMBER(I264)),I264&lt;&gt;""),"回数を換算 ","")))</f>
        <v/>
      </c>
      <c r="Y264" s="31" t="n"/>
      <c r="Z264" s="32" t="n"/>
      <c r="AA264" s="32" t="n"/>
      <c r="AB264" s="31" t="n"/>
      <c r="AC264">
        <f>IF(W264&lt;&gt;"OK","",IF(AB264&lt;&gt;"",AB264,AE264))</f>
        <v/>
      </c>
      <c r="AD264" s="33">
        <f>IF(W264&lt;&gt;"OK","",IFERROR(IF(Z264&lt;&gt;"",Z264,AM264)*IF(AA264&lt;&gt;"",AA264,AN264)/60,""))</f>
        <v/>
      </c>
      <c r="AE264">
        <f>IF(W264&lt;&gt;"OK","",IF(OR(VALUE(O264)=2,VALUE(P264)=2,VALUE(Q264)=2),"社内残置",IF(AND(VALUE(O264)=0,VALUE(R264)=0,VALUE(T264)=0),"自動化候補",IF(AND(VALUE(P264)=0,VALUE(R264)&lt;=1,VALUE(S264)&lt;=1,VALUE(T264)&lt;=1,VALUE(U264)&lt;=1),"オフショア候補",IF(AND(VALUE(T264)&lt;=1,VALUE(U264)&lt;=1),"ニアショア候補","社内で手順化→再評価")))))</f>
        <v/>
      </c>
      <c r="AF264">
        <f>IF(W264&lt;&gt;"OK","",14-SUMPRODUCT(--O264:U264))</f>
        <v/>
      </c>
      <c r="AG264" s="33">
        <f>IF(W264&lt;&gt;"OK","",AM264*AN264/60)</f>
        <v/>
      </c>
      <c r="AH264" s="34">
        <f>IF(A264="","",UPPER(TRIM(ASC(A264&amp;""))))</f>
        <v/>
      </c>
      <c r="AI264" s="34">
        <f>IF(AH264="","",AH264&amp;"-"&amp;B264)</f>
        <v/>
      </c>
      <c r="AJ264" s="34">
        <f>IF(C264="","",IFERROR(VALUE(ASC(SUBSTITUTE(C264&amp;"","観点",""))),""))</f>
        <v/>
      </c>
      <c r="AK264" s="34">
        <f>IF(E264="","",UPPER(LEFT(TRIM(ASC(E264&amp;"")),3)))</f>
        <v/>
      </c>
      <c r="AL264" s="34">
        <f>IF(I264="","",IFERROR(VALUE(SUBSTITUTE(SUBSTITUTE(SUBSTITUTE(SUBSTITUTE(SUBSTITUTE(SUBSTITUTE(SUBSTITUTE(SUBSTITUTE(SUBSTITUTE(SUBSTITUTE(SUBSTITUTE(SUBSTITUTE(ASC(I264&amp;""),"約",""),"程度",""),"ほど",""),"回",""),"毎",""),"週",""),"月",""),"年",""),"日",""),"に",""),"/","")," ","")),""))</f>
        <v/>
      </c>
      <c r="AM264" s="34">
        <f>IF(I264="","",IF(ISNUMBER(I264),I264,IFERROR(VALUE(ASC(I264&amp;"")),IF(AL264&lt;&gt;"",AL264*IF(ISNUMBER(SEARCH("週",I264)),4.3,IF(ISNUMBER(SEARCH("年",I264)),1/12,IF(ISNUMBER(SEARCH("日",I264)),20,1))),IF(ISNUMBER(SEARCH("日",I264)),20,IF(ISNUMBER(SEARCH("週",I264)),4.3,IF(ISNUMBER(SEARCH("月",I264)),1,"")))))))</f>
        <v/>
      </c>
      <c r="AN264" s="34">
        <f>IF(J264="","",IF(ISNUMBER(J264),J264,IFERROR(VALUE(ASC(J264&amp;"")),IF(ISNUMBER(SEARCH("時間",J264)),IFERROR(VALUE(SUBSTITUTE(SUBSTITUTE(SUBSTITUTE(SUBSTITUTE(SUBSTITUTE(ASC(J264&amp;""),"約",""),"程度",""),"ほど",""),"時間","")," ",""))*60,""),IFERROR(VALUE(SUBSTITUTE(SUBSTITUTE(SUBSTITUTE(SUBSTITUTE(SUBSTITUTE(ASC(J264&amp;""),"約",""),"程度",""),"ほど",""),"分","")," ","")),"")))))</f>
        <v/>
      </c>
      <c r="AO264" s="34">
        <f>IF(K264="","",IF(ISNUMBER(K264),K264,IFERROR(VALUE(SUBSTITUTE(SUBSTITUTE(SUBSTITUTE(ASC(K264&amp;""),"約",""),"件","")," ","")),"")))</f>
        <v/>
      </c>
      <c r="AP264" s="34">
        <f>IF(W264&lt;&gt;"OK","",IF(COUNTIFS($D$5:$D$404,D264,$W$5:$W$404,"OK")&gt;1,"同名あり",""))</f>
        <v/>
      </c>
      <c r="AQ264" s="35">
        <f>IF(L264="","",IF(ISNUMBER(L264),L264,IFERROR(DATEVALUE(SUBSTITUTE(SUBSTITUTE(ASC(L264&amp;""),"-","/"),".","/")&amp;"/01"),"")))</f>
        <v/>
      </c>
      <c r="AR264" s="35">
        <f>IF(M264="","",IF(ISNUMBER(M264),M264,IFERROR(DATEVALUE(SUBSTITUTE(SUBSTITUTE(ASC(M264&amp;""),"-","/"),".","/")&amp;"/01"),"")))</f>
        <v/>
      </c>
      <c r="AS264" s="34">
        <f>IF(OR(W264&lt;&gt;"OK",AQ264=""),"",IF(AQ264&gt;='01_設定'!$C$26,1,0))</f>
        <v/>
      </c>
      <c r="AT264" s="34">
        <f>IF(AND(W264="OK",Y264&lt;&gt;"除外"),COUNTIFS($W$5:W264,"OK",$Y$5:Y264,"&lt;&gt;除外"),"")</f>
        <v/>
      </c>
      <c r="AU264" s="34">
        <f>IF(OR(AT264="",AD264=""),"",AD264+ROW()/1000000000)</f>
        <v/>
      </c>
    </row>
    <row r="265">
      <c r="W265">
        <f>IF(AND(A265="",D265=""),"",IF(ISNUMBER(SEARCH("##END",AH265)),"（終わりの印）",IF(ISNUMBER(SEARCH("##続き",AH265)),"（続きありの印）",IF(AH265="調査ID","（見出し行）",IF(AND(AH265&lt;&gt;"R1",AH265&lt;&gt;"R2"),"×表以外の行（集計されない）",IF(COUNTIF($AI$5:AI265,AI265)&gt;1,"△重複（集計されない）",IF(D265="","△タスク名なし",IF(ISNA(MATCH(AK265,'M1_類型マスタ'!$A$5:$A$19,0)),"△類型が不正",IF(OR(AM265="",AN265=""),"△回数・分が読めない",IF(SUMPRODUCT(--ISNUMBER(--O265:U265))&lt;7,"△採点が足りない",IF(SUMPRODUCT((--O265:U265&gt;2)+(--O265:U265&lt;0))&gt;0,"△採点が範囲外","OK")))))))))))</f>
        <v/>
      </c>
      <c r="X265">
        <f>IF(W265&lt;&gt;"OK","",TRIM(IF(AND(AO265&lt;&gt;"",N(AO265)&lt;=1),"根拠1件 ","")&amp;IF(AP265&lt;&gt;"","同名あり ","")&amp;IF(AND(NOT(ISNUMBER(I265)),I265&lt;&gt;""),"回数を換算 ","")))</f>
        <v/>
      </c>
      <c r="Y265" s="31" t="n"/>
      <c r="Z265" s="32" t="n"/>
      <c r="AA265" s="32" t="n"/>
      <c r="AB265" s="31" t="n"/>
      <c r="AC265">
        <f>IF(W265&lt;&gt;"OK","",IF(AB265&lt;&gt;"",AB265,AE265))</f>
        <v/>
      </c>
      <c r="AD265" s="33">
        <f>IF(W265&lt;&gt;"OK","",IFERROR(IF(Z265&lt;&gt;"",Z265,AM265)*IF(AA265&lt;&gt;"",AA265,AN265)/60,""))</f>
        <v/>
      </c>
      <c r="AE265">
        <f>IF(W265&lt;&gt;"OK","",IF(OR(VALUE(O265)=2,VALUE(P265)=2,VALUE(Q265)=2),"社内残置",IF(AND(VALUE(O265)=0,VALUE(R265)=0,VALUE(T265)=0),"自動化候補",IF(AND(VALUE(P265)=0,VALUE(R265)&lt;=1,VALUE(S265)&lt;=1,VALUE(T265)&lt;=1,VALUE(U265)&lt;=1),"オフショア候補",IF(AND(VALUE(T265)&lt;=1,VALUE(U265)&lt;=1),"ニアショア候補","社内で手順化→再評価")))))</f>
        <v/>
      </c>
      <c r="AF265">
        <f>IF(W265&lt;&gt;"OK","",14-SUMPRODUCT(--O265:U265))</f>
        <v/>
      </c>
      <c r="AG265" s="33">
        <f>IF(W265&lt;&gt;"OK","",AM265*AN265/60)</f>
        <v/>
      </c>
      <c r="AH265" s="34">
        <f>IF(A265="","",UPPER(TRIM(ASC(A265&amp;""))))</f>
        <v/>
      </c>
      <c r="AI265" s="34">
        <f>IF(AH265="","",AH265&amp;"-"&amp;B265)</f>
        <v/>
      </c>
      <c r="AJ265" s="34">
        <f>IF(C265="","",IFERROR(VALUE(ASC(SUBSTITUTE(C265&amp;"","観点",""))),""))</f>
        <v/>
      </c>
      <c r="AK265" s="34">
        <f>IF(E265="","",UPPER(LEFT(TRIM(ASC(E265&amp;"")),3)))</f>
        <v/>
      </c>
      <c r="AL265" s="34">
        <f>IF(I265="","",IFERROR(VALUE(SUBSTITUTE(SUBSTITUTE(SUBSTITUTE(SUBSTITUTE(SUBSTITUTE(SUBSTITUTE(SUBSTITUTE(SUBSTITUTE(SUBSTITUTE(SUBSTITUTE(SUBSTITUTE(SUBSTITUTE(ASC(I265&amp;""),"約",""),"程度",""),"ほど",""),"回",""),"毎",""),"週",""),"月",""),"年",""),"日",""),"に",""),"/","")," ","")),""))</f>
        <v/>
      </c>
      <c r="AM265" s="34">
        <f>IF(I265="","",IF(ISNUMBER(I265),I265,IFERROR(VALUE(ASC(I265&amp;"")),IF(AL265&lt;&gt;"",AL265*IF(ISNUMBER(SEARCH("週",I265)),4.3,IF(ISNUMBER(SEARCH("年",I265)),1/12,IF(ISNUMBER(SEARCH("日",I265)),20,1))),IF(ISNUMBER(SEARCH("日",I265)),20,IF(ISNUMBER(SEARCH("週",I265)),4.3,IF(ISNUMBER(SEARCH("月",I265)),1,"")))))))</f>
        <v/>
      </c>
      <c r="AN265" s="34">
        <f>IF(J265="","",IF(ISNUMBER(J265),J265,IFERROR(VALUE(ASC(J265&amp;"")),IF(ISNUMBER(SEARCH("時間",J265)),IFERROR(VALUE(SUBSTITUTE(SUBSTITUTE(SUBSTITUTE(SUBSTITUTE(SUBSTITUTE(ASC(J265&amp;""),"約",""),"程度",""),"ほど",""),"時間","")," ",""))*60,""),IFERROR(VALUE(SUBSTITUTE(SUBSTITUTE(SUBSTITUTE(SUBSTITUTE(SUBSTITUTE(ASC(J265&amp;""),"約",""),"程度",""),"ほど",""),"分","")," ","")),"")))))</f>
        <v/>
      </c>
      <c r="AO265" s="34">
        <f>IF(K265="","",IF(ISNUMBER(K265),K265,IFERROR(VALUE(SUBSTITUTE(SUBSTITUTE(SUBSTITUTE(ASC(K265&amp;""),"約",""),"件","")," ","")),"")))</f>
        <v/>
      </c>
      <c r="AP265" s="34">
        <f>IF(W265&lt;&gt;"OK","",IF(COUNTIFS($D$5:$D$404,D265,$W$5:$W$404,"OK")&gt;1,"同名あり",""))</f>
        <v/>
      </c>
      <c r="AQ265" s="35">
        <f>IF(L265="","",IF(ISNUMBER(L265),L265,IFERROR(DATEVALUE(SUBSTITUTE(SUBSTITUTE(ASC(L265&amp;""),"-","/"),".","/")&amp;"/01"),"")))</f>
        <v/>
      </c>
      <c r="AR265" s="35">
        <f>IF(M265="","",IF(ISNUMBER(M265),M265,IFERROR(DATEVALUE(SUBSTITUTE(SUBSTITUTE(ASC(M265&amp;""),"-","/"),".","/")&amp;"/01"),"")))</f>
        <v/>
      </c>
      <c r="AS265" s="34">
        <f>IF(OR(W265&lt;&gt;"OK",AQ265=""),"",IF(AQ265&gt;='01_設定'!$C$26,1,0))</f>
        <v/>
      </c>
      <c r="AT265" s="34">
        <f>IF(AND(W265="OK",Y265&lt;&gt;"除外"),COUNTIFS($W$5:W265,"OK",$Y$5:Y265,"&lt;&gt;除外"),"")</f>
        <v/>
      </c>
      <c r="AU265" s="34">
        <f>IF(OR(AT265="",AD265=""),"",AD265+ROW()/1000000000)</f>
        <v/>
      </c>
    </row>
    <row r="266">
      <c r="W266">
        <f>IF(AND(A266="",D266=""),"",IF(ISNUMBER(SEARCH("##END",AH266)),"（終わりの印）",IF(ISNUMBER(SEARCH("##続き",AH266)),"（続きありの印）",IF(AH266="調査ID","（見出し行）",IF(AND(AH266&lt;&gt;"R1",AH266&lt;&gt;"R2"),"×表以外の行（集計されない）",IF(COUNTIF($AI$5:AI266,AI266)&gt;1,"△重複（集計されない）",IF(D266="","△タスク名なし",IF(ISNA(MATCH(AK266,'M1_類型マスタ'!$A$5:$A$19,0)),"△類型が不正",IF(OR(AM266="",AN266=""),"△回数・分が読めない",IF(SUMPRODUCT(--ISNUMBER(--O266:U266))&lt;7,"△採点が足りない",IF(SUMPRODUCT((--O266:U266&gt;2)+(--O266:U266&lt;0))&gt;0,"△採点が範囲外","OK")))))))))))</f>
        <v/>
      </c>
      <c r="X266">
        <f>IF(W266&lt;&gt;"OK","",TRIM(IF(AND(AO266&lt;&gt;"",N(AO266)&lt;=1),"根拠1件 ","")&amp;IF(AP266&lt;&gt;"","同名あり ","")&amp;IF(AND(NOT(ISNUMBER(I266)),I266&lt;&gt;""),"回数を換算 ","")))</f>
        <v/>
      </c>
      <c r="Y266" s="31" t="n"/>
      <c r="Z266" s="32" t="n"/>
      <c r="AA266" s="32" t="n"/>
      <c r="AB266" s="31" t="n"/>
      <c r="AC266">
        <f>IF(W266&lt;&gt;"OK","",IF(AB266&lt;&gt;"",AB266,AE266))</f>
        <v/>
      </c>
      <c r="AD266" s="33">
        <f>IF(W266&lt;&gt;"OK","",IFERROR(IF(Z266&lt;&gt;"",Z266,AM266)*IF(AA266&lt;&gt;"",AA266,AN266)/60,""))</f>
        <v/>
      </c>
      <c r="AE266">
        <f>IF(W266&lt;&gt;"OK","",IF(OR(VALUE(O266)=2,VALUE(P266)=2,VALUE(Q266)=2),"社内残置",IF(AND(VALUE(O266)=0,VALUE(R266)=0,VALUE(T266)=0),"自動化候補",IF(AND(VALUE(P266)=0,VALUE(R266)&lt;=1,VALUE(S266)&lt;=1,VALUE(T266)&lt;=1,VALUE(U266)&lt;=1),"オフショア候補",IF(AND(VALUE(T266)&lt;=1,VALUE(U266)&lt;=1),"ニアショア候補","社内で手順化→再評価")))))</f>
        <v/>
      </c>
      <c r="AF266">
        <f>IF(W266&lt;&gt;"OK","",14-SUMPRODUCT(--O266:U266))</f>
        <v/>
      </c>
      <c r="AG266" s="33">
        <f>IF(W266&lt;&gt;"OK","",AM266*AN266/60)</f>
        <v/>
      </c>
      <c r="AH266" s="34">
        <f>IF(A266="","",UPPER(TRIM(ASC(A266&amp;""))))</f>
        <v/>
      </c>
      <c r="AI266" s="34">
        <f>IF(AH266="","",AH266&amp;"-"&amp;B266)</f>
        <v/>
      </c>
      <c r="AJ266" s="34">
        <f>IF(C266="","",IFERROR(VALUE(ASC(SUBSTITUTE(C266&amp;"","観点",""))),""))</f>
        <v/>
      </c>
      <c r="AK266" s="34">
        <f>IF(E266="","",UPPER(LEFT(TRIM(ASC(E266&amp;"")),3)))</f>
        <v/>
      </c>
      <c r="AL266" s="34">
        <f>IF(I266="","",IFERROR(VALUE(SUBSTITUTE(SUBSTITUTE(SUBSTITUTE(SUBSTITUTE(SUBSTITUTE(SUBSTITUTE(SUBSTITUTE(SUBSTITUTE(SUBSTITUTE(SUBSTITUTE(SUBSTITUTE(SUBSTITUTE(ASC(I266&amp;""),"約",""),"程度",""),"ほど",""),"回",""),"毎",""),"週",""),"月",""),"年",""),"日",""),"に",""),"/","")," ","")),""))</f>
        <v/>
      </c>
      <c r="AM266" s="34">
        <f>IF(I266="","",IF(ISNUMBER(I266),I266,IFERROR(VALUE(ASC(I266&amp;"")),IF(AL266&lt;&gt;"",AL266*IF(ISNUMBER(SEARCH("週",I266)),4.3,IF(ISNUMBER(SEARCH("年",I266)),1/12,IF(ISNUMBER(SEARCH("日",I266)),20,1))),IF(ISNUMBER(SEARCH("日",I266)),20,IF(ISNUMBER(SEARCH("週",I266)),4.3,IF(ISNUMBER(SEARCH("月",I266)),1,"")))))))</f>
        <v/>
      </c>
      <c r="AN266" s="34">
        <f>IF(J266="","",IF(ISNUMBER(J266),J266,IFERROR(VALUE(ASC(J266&amp;"")),IF(ISNUMBER(SEARCH("時間",J266)),IFERROR(VALUE(SUBSTITUTE(SUBSTITUTE(SUBSTITUTE(SUBSTITUTE(SUBSTITUTE(ASC(J266&amp;""),"約",""),"程度",""),"ほど",""),"時間","")," ",""))*60,""),IFERROR(VALUE(SUBSTITUTE(SUBSTITUTE(SUBSTITUTE(SUBSTITUTE(SUBSTITUTE(ASC(J266&amp;""),"約",""),"程度",""),"ほど",""),"分","")," ","")),"")))))</f>
        <v/>
      </c>
      <c r="AO266" s="34">
        <f>IF(K266="","",IF(ISNUMBER(K266),K266,IFERROR(VALUE(SUBSTITUTE(SUBSTITUTE(SUBSTITUTE(ASC(K266&amp;""),"約",""),"件","")," ","")),"")))</f>
        <v/>
      </c>
      <c r="AP266" s="34">
        <f>IF(W266&lt;&gt;"OK","",IF(COUNTIFS($D$5:$D$404,D266,$W$5:$W$404,"OK")&gt;1,"同名あり",""))</f>
        <v/>
      </c>
      <c r="AQ266" s="35">
        <f>IF(L266="","",IF(ISNUMBER(L266),L266,IFERROR(DATEVALUE(SUBSTITUTE(SUBSTITUTE(ASC(L266&amp;""),"-","/"),".","/")&amp;"/01"),"")))</f>
        <v/>
      </c>
      <c r="AR266" s="35">
        <f>IF(M266="","",IF(ISNUMBER(M266),M266,IFERROR(DATEVALUE(SUBSTITUTE(SUBSTITUTE(ASC(M266&amp;""),"-","/"),".","/")&amp;"/01"),"")))</f>
        <v/>
      </c>
      <c r="AS266" s="34">
        <f>IF(OR(W266&lt;&gt;"OK",AQ266=""),"",IF(AQ266&gt;='01_設定'!$C$26,1,0))</f>
        <v/>
      </c>
      <c r="AT266" s="34">
        <f>IF(AND(W266="OK",Y266&lt;&gt;"除外"),COUNTIFS($W$5:W266,"OK",$Y$5:Y266,"&lt;&gt;除外"),"")</f>
        <v/>
      </c>
      <c r="AU266" s="34">
        <f>IF(OR(AT266="",AD266=""),"",AD266+ROW()/1000000000)</f>
        <v/>
      </c>
    </row>
    <row r="267">
      <c r="W267">
        <f>IF(AND(A267="",D267=""),"",IF(ISNUMBER(SEARCH("##END",AH267)),"（終わりの印）",IF(ISNUMBER(SEARCH("##続き",AH267)),"（続きありの印）",IF(AH267="調査ID","（見出し行）",IF(AND(AH267&lt;&gt;"R1",AH267&lt;&gt;"R2"),"×表以外の行（集計されない）",IF(COUNTIF($AI$5:AI267,AI267)&gt;1,"△重複（集計されない）",IF(D267="","△タスク名なし",IF(ISNA(MATCH(AK267,'M1_類型マスタ'!$A$5:$A$19,0)),"△類型が不正",IF(OR(AM267="",AN267=""),"△回数・分が読めない",IF(SUMPRODUCT(--ISNUMBER(--O267:U267))&lt;7,"△採点が足りない",IF(SUMPRODUCT((--O267:U267&gt;2)+(--O267:U267&lt;0))&gt;0,"△採点が範囲外","OK")))))))))))</f>
        <v/>
      </c>
      <c r="X267">
        <f>IF(W267&lt;&gt;"OK","",TRIM(IF(AND(AO267&lt;&gt;"",N(AO267)&lt;=1),"根拠1件 ","")&amp;IF(AP267&lt;&gt;"","同名あり ","")&amp;IF(AND(NOT(ISNUMBER(I267)),I267&lt;&gt;""),"回数を換算 ","")))</f>
        <v/>
      </c>
      <c r="Y267" s="31" t="n"/>
      <c r="Z267" s="32" t="n"/>
      <c r="AA267" s="32" t="n"/>
      <c r="AB267" s="31" t="n"/>
      <c r="AC267">
        <f>IF(W267&lt;&gt;"OK","",IF(AB267&lt;&gt;"",AB267,AE267))</f>
        <v/>
      </c>
      <c r="AD267" s="33">
        <f>IF(W267&lt;&gt;"OK","",IFERROR(IF(Z267&lt;&gt;"",Z267,AM267)*IF(AA267&lt;&gt;"",AA267,AN267)/60,""))</f>
        <v/>
      </c>
      <c r="AE267">
        <f>IF(W267&lt;&gt;"OK","",IF(OR(VALUE(O267)=2,VALUE(P267)=2,VALUE(Q267)=2),"社内残置",IF(AND(VALUE(O267)=0,VALUE(R267)=0,VALUE(T267)=0),"自動化候補",IF(AND(VALUE(P267)=0,VALUE(R267)&lt;=1,VALUE(S267)&lt;=1,VALUE(T267)&lt;=1,VALUE(U267)&lt;=1),"オフショア候補",IF(AND(VALUE(T267)&lt;=1,VALUE(U267)&lt;=1),"ニアショア候補","社内で手順化→再評価")))))</f>
        <v/>
      </c>
      <c r="AF267">
        <f>IF(W267&lt;&gt;"OK","",14-SUMPRODUCT(--O267:U267))</f>
        <v/>
      </c>
      <c r="AG267" s="33">
        <f>IF(W267&lt;&gt;"OK","",AM267*AN267/60)</f>
        <v/>
      </c>
      <c r="AH267" s="34">
        <f>IF(A267="","",UPPER(TRIM(ASC(A267&amp;""))))</f>
        <v/>
      </c>
      <c r="AI267" s="34">
        <f>IF(AH267="","",AH267&amp;"-"&amp;B267)</f>
        <v/>
      </c>
      <c r="AJ267" s="34">
        <f>IF(C267="","",IFERROR(VALUE(ASC(SUBSTITUTE(C267&amp;"","観点",""))),""))</f>
        <v/>
      </c>
      <c r="AK267" s="34">
        <f>IF(E267="","",UPPER(LEFT(TRIM(ASC(E267&amp;"")),3)))</f>
        <v/>
      </c>
      <c r="AL267" s="34">
        <f>IF(I267="","",IFERROR(VALUE(SUBSTITUTE(SUBSTITUTE(SUBSTITUTE(SUBSTITUTE(SUBSTITUTE(SUBSTITUTE(SUBSTITUTE(SUBSTITUTE(SUBSTITUTE(SUBSTITUTE(SUBSTITUTE(SUBSTITUTE(ASC(I267&amp;""),"約",""),"程度",""),"ほど",""),"回",""),"毎",""),"週",""),"月",""),"年",""),"日",""),"に",""),"/","")," ","")),""))</f>
        <v/>
      </c>
      <c r="AM267" s="34">
        <f>IF(I267="","",IF(ISNUMBER(I267),I267,IFERROR(VALUE(ASC(I267&amp;"")),IF(AL267&lt;&gt;"",AL267*IF(ISNUMBER(SEARCH("週",I267)),4.3,IF(ISNUMBER(SEARCH("年",I267)),1/12,IF(ISNUMBER(SEARCH("日",I267)),20,1))),IF(ISNUMBER(SEARCH("日",I267)),20,IF(ISNUMBER(SEARCH("週",I267)),4.3,IF(ISNUMBER(SEARCH("月",I267)),1,"")))))))</f>
        <v/>
      </c>
      <c r="AN267" s="34">
        <f>IF(J267="","",IF(ISNUMBER(J267),J267,IFERROR(VALUE(ASC(J267&amp;"")),IF(ISNUMBER(SEARCH("時間",J267)),IFERROR(VALUE(SUBSTITUTE(SUBSTITUTE(SUBSTITUTE(SUBSTITUTE(SUBSTITUTE(ASC(J267&amp;""),"約",""),"程度",""),"ほど",""),"時間","")," ",""))*60,""),IFERROR(VALUE(SUBSTITUTE(SUBSTITUTE(SUBSTITUTE(SUBSTITUTE(SUBSTITUTE(ASC(J267&amp;""),"約",""),"程度",""),"ほど",""),"分","")," ","")),"")))))</f>
        <v/>
      </c>
      <c r="AO267" s="34">
        <f>IF(K267="","",IF(ISNUMBER(K267),K267,IFERROR(VALUE(SUBSTITUTE(SUBSTITUTE(SUBSTITUTE(ASC(K267&amp;""),"約",""),"件","")," ","")),"")))</f>
        <v/>
      </c>
      <c r="AP267" s="34">
        <f>IF(W267&lt;&gt;"OK","",IF(COUNTIFS($D$5:$D$404,D267,$W$5:$W$404,"OK")&gt;1,"同名あり",""))</f>
        <v/>
      </c>
      <c r="AQ267" s="35">
        <f>IF(L267="","",IF(ISNUMBER(L267),L267,IFERROR(DATEVALUE(SUBSTITUTE(SUBSTITUTE(ASC(L267&amp;""),"-","/"),".","/")&amp;"/01"),"")))</f>
        <v/>
      </c>
      <c r="AR267" s="35">
        <f>IF(M267="","",IF(ISNUMBER(M267),M267,IFERROR(DATEVALUE(SUBSTITUTE(SUBSTITUTE(ASC(M267&amp;""),"-","/"),".","/")&amp;"/01"),"")))</f>
        <v/>
      </c>
      <c r="AS267" s="34">
        <f>IF(OR(W267&lt;&gt;"OK",AQ267=""),"",IF(AQ267&gt;='01_設定'!$C$26,1,0))</f>
        <v/>
      </c>
      <c r="AT267" s="34">
        <f>IF(AND(W267="OK",Y267&lt;&gt;"除外"),COUNTIFS($W$5:W267,"OK",$Y$5:Y267,"&lt;&gt;除外"),"")</f>
        <v/>
      </c>
      <c r="AU267" s="34">
        <f>IF(OR(AT267="",AD267=""),"",AD267+ROW()/1000000000)</f>
        <v/>
      </c>
    </row>
    <row r="268">
      <c r="W268">
        <f>IF(AND(A268="",D268=""),"",IF(ISNUMBER(SEARCH("##END",AH268)),"（終わりの印）",IF(ISNUMBER(SEARCH("##続き",AH268)),"（続きありの印）",IF(AH268="調査ID","（見出し行）",IF(AND(AH268&lt;&gt;"R1",AH268&lt;&gt;"R2"),"×表以外の行（集計されない）",IF(COUNTIF($AI$5:AI268,AI268)&gt;1,"△重複（集計されない）",IF(D268="","△タスク名なし",IF(ISNA(MATCH(AK268,'M1_類型マスタ'!$A$5:$A$19,0)),"△類型が不正",IF(OR(AM268="",AN268=""),"△回数・分が読めない",IF(SUMPRODUCT(--ISNUMBER(--O268:U268))&lt;7,"△採点が足りない",IF(SUMPRODUCT((--O268:U268&gt;2)+(--O268:U268&lt;0))&gt;0,"△採点が範囲外","OK")))))))))))</f>
        <v/>
      </c>
      <c r="X268">
        <f>IF(W268&lt;&gt;"OK","",TRIM(IF(AND(AO268&lt;&gt;"",N(AO268)&lt;=1),"根拠1件 ","")&amp;IF(AP268&lt;&gt;"","同名あり ","")&amp;IF(AND(NOT(ISNUMBER(I268)),I268&lt;&gt;""),"回数を換算 ","")))</f>
        <v/>
      </c>
      <c r="Y268" s="31" t="n"/>
      <c r="Z268" s="32" t="n"/>
      <c r="AA268" s="32" t="n"/>
      <c r="AB268" s="31" t="n"/>
      <c r="AC268">
        <f>IF(W268&lt;&gt;"OK","",IF(AB268&lt;&gt;"",AB268,AE268))</f>
        <v/>
      </c>
      <c r="AD268" s="33">
        <f>IF(W268&lt;&gt;"OK","",IFERROR(IF(Z268&lt;&gt;"",Z268,AM268)*IF(AA268&lt;&gt;"",AA268,AN268)/60,""))</f>
        <v/>
      </c>
      <c r="AE268">
        <f>IF(W268&lt;&gt;"OK","",IF(OR(VALUE(O268)=2,VALUE(P268)=2,VALUE(Q268)=2),"社内残置",IF(AND(VALUE(O268)=0,VALUE(R268)=0,VALUE(T268)=0),"自動化候補",IF(AND(VALUE(P268)=0,VALUE(R268)&lt;=1,VALUE(S268)&lt;=1,VALUE(T268)&lt;=1,VALUE(U268)&lt;=1),"オフショア候補",IF(AND(VALUE(T268)&lt;=1,VALUE(U268)&lt;=1),"ニアショア候補","社内で手順化→再評価")))))</f>
        <v/>
      </c>
      <c r="AF268">
        <f>IF(W268&lt;&gt;"OK","",14-SUMPRODUCT(--O268:U268))</f>
        <v/>
      </c>
      <c r="AG268" s="33">
        <f>IF(W268&lt;&gt;"OK","",AM268*AN268/60)</f>
        <v/>
      </c>
      <c r="AH268" s="34">
        <f>IF(A268="","",UPPER(TRIM(ASC(A268&amp;""))))</f>
        <v/>
      </c>
      <c r="AI268" s="34">
        <f>IF(AH268="","",AH268&amp;"-"&amp;B268)</f>
        <v/>
      </c>
      <c r="AJ268" s="34">
        <f>IF(C268="","",IFERROR(VALUE(ASC(SUBSTITUTE(C268&amp;"","観点",""))),""))</f>
        <v/>
      </c>
      <c r="AK268" s="34">
        <f>IF(E268="","",UPPER(LEFT(TRIM(ASC(E268&amp;"")),3)))</f>
        <v/>
      </c>
      <c r="AL268" s="34">
        <f>IF(I268="","",IFERROR(VALUE(SUBSTITUTE(SUBSTITUTE(SUBSTITUTE(SUBSTITUTE(SUBSTITUTE(SUBSTITUTE(SUBSTITUTE(SUBSTITUTE(SUBSTITUTE(SUBSTITUTE(SUBSTITUTE(SUBSTITUTE(ASC(I268&amp;""),"約",""),"程度",""),"ほど",""),"回",""),"毎",""),"週",""),"月",""),"年",""),"日",""),"に",""),"/","")," ","")),""))</f>
        <v/>
      </c>
      <c r="AM268" s="34">
        <f>IF(I268="","",IF(ISNUMBER(I268),I268,IFERROR(VALUE(ASC(I268&amp;"")),IF(AL268&lt;&gt;"",AL268*IF(ISNUMBER(SEARCH("週",I268)),4.3,IF(ISNUMBER(SEARCH("年",I268)),1/12,IF(ISNUMBER(SEARCH("日",I268)),20,1))),IF(ISNUMBER(SEARCH("日",I268)),20,IF(ISNUMBER(SEARCH("週",I268)),4.3,IF(ISNUMBER(SEARCH("月",I268)),1,"")))))))</f>
        <v/>
      </c>
      <c r="AN268" s="34">
        <f>IF(J268="","",IF(ISNUMBER(J268),J268,IFERROR(VALUE(ASC(J268&amp;"")),IF(ISNUMBER(SEARCH("時間",J268)),IFERROR(VALUE(SUBSTITUTE(SUBSTITUTE(SUBSTITUTE(SUBSTITUTE(SUBSTITUTE(ASC(J268&amp;""),"約",""),"程度",""),"ほど",""),"時間","")," ",""))*60,""),IFERROR(VALUE(SUBSTITUTE(SUBSTITUTE(SUBSTITUTE(SUBSTITUTE(SUBSTITUTE(ASC(J268&amp;""),"約",""),"程度",""),"ほど",""),"分","")," ","")),"")))))</f>
        <v/>
      </c>
      <c r="AO268" s="34">
        <f>IF(K268="","",IF(ISNUMBER(K268),K268,IFERROR(VALUE(SUBSTITUTE(SUBSTITUTE(SUBSTITUTE(ASC(K268&amp;""),"約",""),"件","")," ","")),"")))</f>
        <v/>
      </c>
      <c r="AP268" s="34">
        <f>IF(W268&lt;&gt;"OK","",IF(COUNTIFS($D$5:$D$404,D268,$W$5:$W$404,"OK")&gt;1,"同名あり",""))</f>
        <v/>
      </c>
      <c r="AQ268" s="35">
        <f>IF(L268="","",IF(ISNUMBER(L268),L268,IFERROR(DATEVALUE(SUBSTITUTE(SUBSTITUTE(ASC(L268&amp;""),"-","/"),".","/")&amp;"/01"),"")))</f>
        <v/>
      </c>
      <c r="AR268" s="35">
        <f>IF(M268="","",IF(ISNUMBER(M268),M268,IFERROR(DATEVALUE(SUBSTITUTE(SUBSTITUTE(ASC(M268&amp;""),"-","/"),".","/")&amp;"/01"),"")))</f>
        <v/>
      </c>
      <c r="AS268" s="34">
        <f>IF(OR(W268&lt;&gt;"OK",AQ268=""),"",IF(AQ268&gt;='01_設定'!$C$26,1,0))</f>
        <v/>
      </c>
      <c r="AT268" s="34">
        <f>IF(AND(W268="OK",Y268&lt;&gt;"除外"),COUNTIFS($W$5:W268,"OK",$Y$5:Y268,"&lt;&gt;除外"),"")</f>
        <v/>
      </c>
      <c r="AU268" s="34">
        <f>IF(OR(AT268="",AD268=""),"",AD268+ROW()/1000000000)</f>
        <v/>
      </c>
    </row>
    <row r="269">
      <c r="W269">
        <f>IF(AND(A269="",D269=""),"",IF(ISNUMBER(SEARCH("##END",AH269)),"（終わりの印）",IF(ISNUMBER(SEARCH("##続き",AH269)),"（続きありの印）",IF(AH269="調査ID","（見出し行）",IF(AND(AH269&lt;&gt;"R1",AH269&lt;&gt;"R2"),"×表以外の行（集計されない）",IF(COUNTIF($AI$5:AI269,AI269)&gt;1,"△重複（集計されない）",IF(D269="","△タスク名なし",IF(ISNA(MATCH(AK269,'M1_類型マスタ'!$A$5:$A$19,0)),"△類型が不正",IF(OR(AM269="",AN269=""),"△回数・分が読めない",IF(SUMPRODUCT(--ISNUMBER(--O269:U269))&lt;7,"△採点が足りない",IF(SUMPRODUCT((--O269:U269&gt;2)+(--O269:U269&lt;0))&gt;0,"△採点が範囲外","OK")))))))))))</f>
        <v/>
      </c>
      <c r="X269">
        <f>IF(W269&lt;&gt;"OK","",TRIM(IF(AND(AO269&lt;&gt;"",N(AO269)&lt;=1),"根拠1件 ","")&amp;IF(AP269&lt;&gt;"","同名あり ","")&amp;IF(AND(NOT(ISNUMBER(I269)),I269&lt;&gt;""),"回数を換算 ","")))</f>
        <v/>
      </c>
      <c r="Y269" s="31" t="n"/>
      <c r="Z269" s="32" t="n"/>
      <c r="AA269" s="32" t="n"/>
      <c r="AB269" s="31" t="n"/>
      <c r="AC269">
        <f>IF(W269&lt;&gt;"OK","",IF(AB269&lt;&gt;"",AB269,AE269))</f>
        <v/>
      </c>
      <c r="AD269" s="33">
        <f>IF(W269&lt;&gt;"OK","",IFERROR(IF(Z269&lt;&gt;"",Z269,AM269)*IF(AA269&lt;&gt;"",AA269,AN269)/60,""))</f>
        <v/>
      </c>
      <c r="AE269">
        <f>IF(W269&lt;&gt;"OK","",IF(OR(VALUE(O269)=2,VALUE(P269)=2,VALUE(Q269)=2),"社内残置",IF(AND(VALUE(O269)=0,VALUE(R269)=0,VALUE(T269)=0),"自動化候補",IF(AND(VALUE(P269)=0,VALUE(R269)&lt;=1,VALUE(S269)&lt;=1,VALUE(T269)&lt;=1,VALUE(U269)&lt;=1),"オフショア候補",IF(AND(VALUE(T269)&lt;=1,VALUE(U269)&lt;=1),"ニアショア候補","社内で手順化→再評価")))))</f>
        <v/>
      </c>
      <c r="AF269">
        <f>IF(W269&lt;&gt;"OK","",14-SUMPRODUCT(--O269:U269))</f>
        <v/>
      </c>
      <c r="AG269" s="33">
        <f>IF(W269&lt;&gt;"OK","",AM269*AN269/60)</f>
        <v/>
      </c>
      <c r="AH269" s="34">
        <f>IF(A269="","",UPPER(TRIM(ASC(A269&amp;""))))</f>
        <v/>
      </c>
      <c r="AI269" s="34">
        <f>IF(AH269="","",AH269&amp;"-"&amp;B269)</f>
        <v/>
      </c>
      <c r="AJ269" s="34">
        <f>IF(C269="","",IFERROR(VALUE(ASC(SUBSTITUTE(C269&amp;"","観点",""))),""))</f>
        <v/>
      </c>
      <c r="AK269" s="34">
        <f>IF(E269="","",UPPER(LEFT(TRIM(ASC(E269&amp;"")),3)))</f>
        <v/>
      </c>
      <c r="AL269" s="34">
        <f>IF(I269="","",IFERROR(VALUE(SUBSTITUTE(SUBSTITUTE(SUBSTITUTE(SUBSTITUTE(SUBSTITUTE(SUBSTITUTE(SUBSTITUTE(SUBSTITUTE(SUBSTITUTE(SUBSTITUTE(SUBSTITUTE(SUBSTITUTE(ASC(I269&amp;""),"約",""),"程度",""),"ほど",""),"回",""),"毎",""),"週",""),"月",""),"年",""),"日",""),"に",""),"/","")," ","")),""))</f>
        <v/>
      </c>
      <c r="AM269" s="34">
        <f>IF(I269="","",IF(ISNUMBER(I269),I269,IFERROR(VALUE(ASC(I269&amp;"")),IF(AL269&lt;&gt;"",AL269*IF(ISNUMBER(SEARCH("週",I269)),4.3,IF(ISNUMBER(SEARCH("年",I269)),1/12,IF(ISNUMBER(SEARCH("日",I269)),20,1))),IF(ISNUMBER(SEARCH("日",I269)),20,IF(ISNUMBER(SEARCH("週",I269)),4.3,IF(ISNUMBER(SEARCH("月",I269)),1,"")))))))</f>
        <v/>
      </c>
      <c r="AN269" s="34">
        <f>IF(J269="","",IF(ISNUMBER(J269),J269,IFERROR(VALUE(ASC(J269&amp;"")),IF(ISNUMBER(SEARCH("時間",J269)),IFERROR(VALUE(SUBSTITUTE(SUBSTITUTE(SUBSTITUTE(SUBSTITUTE(SUBSTITUTE(ASC(J269&amp;""),"約",""),"程度",""),"ほど",""),"時間","")," ",""))*60,""),IFERROR(VALUE(SUBSTITUTE(SUBSTITUTE(SUBSTITUTE(SUBSTITUTE(SUBSTITUTE(ASC(J269&amp;""),"約",""),"程度",""),"ほど",""),"分","")," ","")),"")))))</f>
        <v/>
      </c>
      <c r="AO269" s="34">
        <f>IF(K269="","",IF(ISNUMBER(K269),K269,IFERROR(VALUE(SUBSTITUTE(SUBSTITUTE(SUBSTITUTE(ASC(K269&amp;""),"約",""),"件","")," ","")),"")))</f>
        <v/>
      </c>
      <c r="AP269" s="34">
        <f>IF(W269&lt;&gt;"OK","",IF(COUNTIFS($D$5:$D$404,D269,$W$5:$W$404,"OK")&gt;1,"同名あり",""))</f>
        <v/>
      </c>
      <c r="AQ269" s="35">
        <f>IF(L269="","",IF(ISNUMBER(L269),L269,IFERROR(DATEVALUE(SUBSTITUTE(SUBSTITUTE(ASC(L269&amp;""),"-","/"),".","/")&amp;"/01"),"")))</f>
        <v/>
      </c>
      <c r="AR269" s="35">
        <f>IF(M269="","",IF(ISNUMBER(M269),M269,IFERROR(DATEVALUE(SUBSTITUTE(SUBSTITUTE(ASC(M269&amp;""),"-","/"),".","/")&amp;"/01"),"")))</f>
        <v/>
      </c>
      <c r="AS269" s="34">
        <f>IF(OR(W269&lt;&gt;"OK",AQ269=""),"",IF(AQ269&gt;='01_設定'!$C$26,1,0))</f>
        <v/>
      </c>
      <c r="AT269" s="34">
        <f>IF(AND(W269="OK",Y269&lt;&gt;"除外"),COUNTIFS($W$5:W269,"OK",$Y$5:Y269,"&lt;&gt;除外"),"")</f>
        <v/>
      </c>
      <c r="AU269" s="34">
        <f>IF(OR(AT269="",AD269=""),"",AD269+ROW()/1000000000)</f>
        <v/>
      </c>
    </row>
    <row r="270">
      <c r="W270">
        <f>IF(AND(A270="",D270=""),"",IF(ISNUMBER(SEARCH("##END",AH270)),"（終わりの印）",IF(ISNUMBER(SEARCH("##続き",AH270)),"（続きありの印）",IF(AH270="調査ID","（見出し行）",IF(AND(AH270&lt;&gt;"R1",AH270&lt;&gt;"R2"),"×表以外の行（集計されない）",IF(COUNTIF($AI$5:AI270,AI270)&gt;1,"△重複（集計されない）",IF(D270="","△タスク名なし",IF(ISNA(MATCH(AK270,'M1_類型マスタ'!$A$5:$A$19,0)),"△類型が不正",IF(OR(AM270="",AN270=""),"△回数・分が読めない",IF(SUMPRODUCT(--ISNUMBER(--O270:U270))&lt;7,"△採点が足りない",IF(SUMPRODUCT((--O270:U270&gt;2)+(--O270:U270&lt;0))&gt;0,"△採点が範囲外","OK")))))))))))</f>
        <v/>
      </c>
      <c r="X270">
        <f>IF(W270&lt;&gt;"OK","",TRIM(IF(AND(AO270&lt;&gt;"",N(AO270)&lt;=1),"根拠1件 ","")&amp;IF(AP270&lt;&gt;"","同名あり ","")&amp;IF(AND(NOT(ISNUMBER(I270)),I270&lt;&gt;""),"回数を換算 ","")))</f>
        <v/>
      </c>
      <c r="Y270" s="31" t="n"/>
      <c r="Z270" s="32" t="n"/>
      <c r="AA270" s="32" t="n"/>
      <c r="AB270" s="31" t="n"/>
      <c r="AC270">
        <f>IF(W270&lt;&gt;"OK","",IF(AB270&lt;&gt;"",AB270,AE270))</f>
        <v/>
      </c>
      <c r="AD270" s="33">
        <f>IF(W270&lt;&gt;"OK","",IFERROR(IF(Z270&lt;&gt;"",Z270,AM270)*IF(AA270&lt;&gt;"",AA270,AN270)/60,""))</f>
        <v/>
      </c>
      <c r="AE270">
        <f>IF(W270&lt;&gt;"OK","",IF(OR(VALUE(O270)=2,VALUE(P270)=2,VALUE(Q270)=2),"社内残置",IF(AND(VALUE(O270)=0,VALUE(R270)=0,VALUE(T270)=0),"自動化候補",IF(AND(VALUE(P270)=0,VALUE(R270)&lt;=1,VALUE(S270)&lt;=1,VALUE(T270)&lt;=1,VALUE(U270)&lt;=1),"オフショア候補",IF(AND(VALUE(T270)&lt;=1,VALUE(U270)&lt;=1),"ニアショア候補","社内で手順化→再評価")))))</f>
        <v/>
      </c>
      <c r="AF270">
        <f>IF(W270&lt;&gt;"OK","",14-SUMPRODUCT(--O270:U270))</f>
        <v/>
      </c>
      <c r="AG270" s="33">
        <f>IF(W270&lt;&gt;"OK","",AM270*AN270/60)</f>
        <v/>
      </c>
      <c r="AH270" s="34">
        <f>IF(A270="","",UPPER(TRIM(ASC(A270&amp;""))))</f>
        <v/>
      </c>
      <c r="AI270" s="34">
        <f>IF(AH270="","",AH270&amp;"-"&amp;B270)</f>
        <v/>
      </c>
      <c r="AJ270" s="34">
        <f>IF(C270="","",IFERROR(VALUE(ASC(SUBSTITUTE(C270&amp;"","観点",""))),""))</f>
        <v/>
      </c>
      <c r="AK270" s="34">
        <f>IF(E270="","",UPPER(LEFT(TRIM(ASC(E270&amp;"")),3)))</f>
        <v/>
      </c>
      <c r="AL270" s="34">
        <f>IF(I270="","",IFERROR(VALUE(SUBSTITUTE(SUBSTITUTE(SUBSTITUTE(SUBSTITUTE(SUBSTITUTE(SUBSTITUTE(SUBSTITUTE(SUBSTITUTE(SUBSTITUTE(SUBSTITUTE(SUBSTITUTE(SUBSTITUTE(ASC(I270&amp;""),"約",""),"程度",""),"ほど",""),"回",""),"毎",""),"週",""),"月",""),"年",""),"日",""),"に",""),"/","")," ","")),""))</f>
        <v/>
      </c>
      <c r="AM270" s="34">
        <f>IF(I270="","",IF(ISNUMBER(I270),I270,IFERROR(VALUE(ASC(I270&amp;"")),IF(AL270&lt;&gt;"",AL270*IF(ISNUMBER(SEARCH("週",I270)),4.3,IF(ISNUMBER(SEARCH("年",I270)),1/12,IF(ISNUMBER(SEARCH("日",I270)),20,1))),IF(ISNUMBER(SEARCH("日",I270)),20,IF(ISNUMBER(SEARCH("週",I270)),4.3,IF(ISNUMBER(SEARCH("月",I270)),1,"")))))))</f>
        <v/>
      </c>
      <c r="AN270" s="34">
        <f>IF(J270="","",IF(ISNUMBER(J270),J270,IFERROR(VALUE(ASC(J270&amp;"")),IF(ISNUMBER(SEARCH("時間",J270)),IFERROR(VALUE(SUBSTITUTE(SUBSTITUTE(SUBSTITUTE(SUBSTITUTE(SUBSTITUTE(ASC(J270&amp;""),"約",""),"程度",""),"ほど",""),"時間","")," ",""))*60,""),IFERROR(VALUE(SUBSTITUTE(SUBSTITUTE(SUBSTITUTE(SUBSTITUTE(SUBSTITUTE(ASC(J270&amp;""),"約",""),"程度",""),"ほど",""),"分","")," ","")),"")))))</f>
        <v/>
      </c>
      <c r="AO270" s="34">
        <f>IF(K270="","",IF(ISNUMBER(K270),K270,IFERROR(VALUE(SUBSTITUTE(SUBSTITUTE(SUBSTITUTE(ASC(K270&amp;""),"約",""),"件","")," ","")),"")))</f>
        <v/>
      </c>
      <c r="AP270" s="34">
        <f>IF(W270&lt;&gt;"OK","",IF(COUNTIFS($D$5:$D$404,D270,$W$5:$W$404,"OK")&gt;1,"同名あり",""))</f>
        <v/>
      </c>
      <c r="AQ270" s="35">
        <f>IF(L270="","",IF(ISNUMBER(L270),L270,IFERROR(DATEVALUE(SUBSTITUTE(SUBSTITUTE(ASC(L270&amp;""),"-","/"),".","/")&amp;"/01"),"")))</f>
        <v/>
      </c>
      <c r="AR270" s="35">
        <f>IF(M270="","",IF(ISNUMBER(M270),M270,IFERROR(DATEVALUE(SUBSTITUTE(SUBSTITUTE(ASC(M270&amp;""),"-","/"),".","/")&amp;"/01"),"")))</f>
        <v/>
      </c>
      <c r="AS270" s="34">
        <f>IF(OR(W270&lt;&gt;"OK",AQ270=""),"",IF(AQ270&gt;='01_設定'!$C$26,1,0))</f>
        <v/>
      </c>
      <c r="AT270" s="34">
        <f>IF(AND(W270="OK",Y270&lt;&gt;"除外"),COUNTIFS($W$5:W270,"OK",$Y$5:Y270,"&lt;&gt;除外"),"")</f>
        <v/>
      </c>
      <c r="AU270" s="34">
        <f>IF(OR(AT270="",AD270=""),"",AD270+ROW()/1000000000)</f>
        <v/>
      </c>
    </row>
    <row r="271">
      <c r="W271">
        <f>IF(AND(A271="",D271=""),"",IF(ISNUMBER(SEARCH("##END",AH271)),"（終わりの印）",IF(ISNUMBER(SEARCH("##続き",AH271)),"（続きありの印）",IF(AH271="調査ID","（見出し行）",IF(AND(AH271&lt;&gt;"R1",AH271&lt;&gt;"R2"),"×表以外の行（集計されない）",IF(COUNTIF($AI$5:AI271,AI271)&gt;1,"△重複（集計されない）",IF(D271="","△タスク名なし",IF(ISNA(MATCH(AK271,'M1_類型マスタ'!$A$5:$A$19,0)),"△類型が不正",IF(OR(AM271="",AN271=""),"△回数・分が読めない",IF(SUMPRODUCT(--ISNUMBER(--O271:U271))&lt;7,"△採点が足りない",IF(SUMPRODUCT((--O271:U271&gt;2)+(--O271:U271&lt;0))&gt;0,"△採点が範囲外","OK")))))))))))</f>
        <v/>
      </c>
      <c r="X271">
        <f>IF(W271&lt;&gt;"OK","",TRIM(IF(AND(AO271&lt;&gt;"",N(AO271)&lt;=1),"根拠1件 ","")&amp;IF(AP271&lt;&gt;"","同名あり ","")&amp;IF(AND(NOT(ISNUMBER(I271)),I271&lt;&gt;""),"回数を換算 ","")))</f>
        <v/>
      </c>
      <c r="Y271" s="31" t="n"/>
      <c r="Z271" s="32" t="n"/>
      <c r="AA271" s="32" t="n"/>
      <c r="AB271" s="31" t="n"/>
      <c r="AC271">
        <f>IF(W271&lt;&gt;"OK","",IF(AB271&lt;&gt;"",AB271,AE271))</f>
        <v/>
      </c>
      <c r="AD271" s="33">
        <f>IF(W271&lt;&gt;"OK","",IFERROR(IF(Z271&lt;&gt;"",Z271,AM271)*IF(AA271&lt;&gt;"",AA271,AN271)/60,""))</f>
        <v/>
      </c>
      <c r="AE271">
        <f>IF(W271&lt;&gt;"OK","",IF(OR(VALUE(O271)=2,VALUE(P271)=2,VALUE(Q271)=2),"社内残置",IF(AND(VALUE(O271)=0,VALUE(R271)=0,VALUE(T271)=0),"自動化候補",IF(AND(VALUE(P271)=0,VALUE(R271)&lt;=1,VALUE(S271)&lt;=1,VALUE(T271)&lt;=1,VALUE(U271)&lt;=1),"オフショア候補",IF(AND(VALUE(T271)&lt;=1,VALUE(U271)&lt;=1),"ニアショア候補","社内で手順化→再評価")))))</f>
        <v/>
      </c>
      <c r="AF271">
        <f>IF(W271&lt;&gt;"OK","",14-SUMPRODUCT(--O271:U271))</f>
        <v/>
      </c>
      <c r="AG271" s="33">
        <f>IF(W271&lt;&gt;"OK","",AM271*AN271/60)</f>
        <v/>
      </c>
      <c r="AH271" s="34">
        <f>IF(A271="","",UPPER(TRIM(ASC(A271&amp;""))))</f>
        <v/>
      </c>
      <c r="AI271" s="34">
        <f>IF(AH271="","",AH271&amp;"-"&amp;B271)</f>
        <v/>
      </c>
      <c r="AJ271" s="34">
        <f>IF(C271="","",IFERROR(VALUE(ASC(SUBSTITUTE(C271&amp;"","観点",""))),""))</f>
        <v/>
      </c>
      <c r="AK271" s="34">
        <f>IF(E271="","",UPPER(LEFT(TRIM(ASC(E271&amp;"")),3)))</f>
        <v/>
      </c>
      <c r="AL271" s="34">
        <f>IF(I271="","",IFERROR(VALUE(SUBSTITUTE(SUBSTITUTE(SUBSTITUTE(SUBSTITUTE(SUBSTITUTE(SUBSTITUTE(SUBSTITUTE(SUBSTITUTE(SUBSTITUTE(SUBSTITUTE(SUBSTITUTE(SUBSTITUTE(ASC(I271&amp;""),"約",""),"程度",""),"ほど",""),"回",""),"毎",""),"週",""),"月",""),"年",""),"日",""),"に",""),"/","")," ","")),""))</f>
        <v/>
      </c>
      <c r="AM271" s="34">
        <f>IF(I271="","",IF(ISNUMBER(I271),I271,IFERROR(VALUE(ASC(I271&amp;"")),IF(AL271&lt;&gt;"",AL271*IF(ISNUMBER(SEARCH("週",I271)),4.3,IF(ISNUMBER(SEARCH("年",I271)),1/12,IF(ISNUMBER(SEARCH("日",I271)),20,1))),IF(ISNUMBER(SEARCH("日",I271)),20,IF(ISNUMBER(SEARCH("週",I271)),4.3,IF(ISNUMBER(SEARCH("月",I271)),1,"")))))))</f>
        <v/>
      </c>
      <c r="AN271" s="34">
        <f>IF(J271="","",IF(ISNUMBER(J271),J271,IFERROR(VALUE(ASC(J271&amp;"")),IF(ISNUMBER(SEARCH("時間",J271)),IFERROR(VALUE(SUBSTITUTE(SUBSTITUTE(SUBSTITUTE(SUBSTITUTE(SUBSTITUTE(ASC(J271&amp;""),"約",""),"程度",""),"ほど",""),"時間","")," ",""))*60,""),IFERROR(VALUE(SUBSTITUTE(SUBSTITUTE(SUBSTITUTE(SUBSTITUTE(SUBSTITUTE(ASC(J271&amp;""),"約",""),"程度",""),"ほど",""),"分","")," ","")),"")))))</f>
        <v/>
      </c>
      <c r="AO271" s="34">
        <f>IF(K271="","",IF(ISNUMBER(K271),K271,IFERROR(VALUE(SUBSTITUTE(SUBSTITUTE(SUBSTITUTE(ASC(K271&amp;""),"約",""),"件","")," ","")),"")))</f>
        <v/>
      </c>
      <c r="AP271" s="34">
        <f>IF(W271&lt;&gt;"OK","",IF(COUNTIFS($D$5:$D$404,D271,$W$5:$W$404,"OK")&gt;1,"同名あり",""))</f>
        <v/>
      </c>
      <c r="AQ271" s="35">
        <f>IF(L271="","",IF(ISNUMBER(L271),L271,IFERROR(DATEVALUE(SUBSTITUTE(SUBSTITUTE(ASC(L271&amp;""),"-","/"),".","/")&amp;"/01"),"")))</f>
        <v/>
      </c>
      <c r="AR271" s="35">
        <f>IF(M271="","",IF(ISNUMBER(M271),M271,IFERROR(DATEVALUE(SUBSTITUTE(SUBSTITUTE(ASC(M271&amp;""),"-","/"),".","/")&amp;"/01"),"")))</f>
        <v/>
      </c>
      <c r="AS271" s="34">
        <f>IF(OR(W271&lt;&gt;"OK",AQ271=""),"",IF(AQ271&gt;='01_設定'!$C$26,1,0))</f>
        <v/>
      </c>
      <c r="AT271" s="34">
        <f>IF(AND(W271="OK",Y271&lt;&gt;"除外"),COUNTIFS($W$5:W271,"OK",$Y$5:Y271,"&lt;&gt;除外"),"")</f>
        <v/>
      </c>
      <c r="AU271" s="34">
        <f>IF(OR(AT271="",AD271=""),"",AD271+ROW()/1000000000)</f>
        <v/>
      </c>
    </row>
    <row r="272">
      <c r="W272">
        <f>IF(AND(A272="",D272=""),"",IF(ISNUMBER(SEARCH("##END",AH272)),"（終わりの印）",IF(ISNUMBER(SEARCH("##続き",AH272)),"（続きありの印）",IF(AH272="調査ID","（見出し行）",IF(AND(AH272&lt;&gt;"R1",AH272&lt;&gt;"R2"),"×表以外の行（集計されない）",IF(COUNTIF($AI$5:AI272,AI272)&gt;1,"△重複（集計されない）",IF(D272="","△タスク名なし",IF(ISNA(MATCH(AK272,'M1_類型マスタ'!$A$5:$A$19,0)),"△類型が不正",IF(OR(AM272="",AN272=""),"△回数・分が読めない",IF(SUMPRODUCT(--ISNUMBER(--O272:U272))&lt;7,"△採点が足りない",IF(SUMPRODUCT((--O272:U272&gt;2)+(--O272:U272&lt;0))&gt;0,"△採点が範囲外","OK")))))))))))</f>
        <v/>
      </c>
      <c r="X272">
        <f>IF(W272&lt;&gt;"OK","",TRIM(IF(AND(AO272&lt;&gt;"",N(AO272)&lt;=1),"根拠1件 ","")&amp;IF(AP272&lt;&gt;"","同名あり ","")&amp;IF(AND(NOT(ISNUMBER(I272)),I272&lt;&gt;""),"回数を換算 ","")))</f>
        <v/>
      </c>
      <c r="Y272" s="31" t="n"/>
      <c r="Z272" s="32" t="n"/>
      <c r="AA272" s="32" t="n"/>
      <c r="AB272" s="31" t="n"/>
      <c r="AC272">
        <f>IF(W272&lt;&gt;"OK","",IF(AB272&lt;&gt;"",AB272,AE272))</f>
        <v/>
      </c>
      <c r="AD272" s="33">
        <f>IF(W272&lt;&gt;"OK","",IFERROR(IF(Z272&lt;&gt;"",Z272,AM272)*IF(AA272&lt;&gt;"",AA272,AN272)/60,""))</f>
        <v/>
      </c>
      <c r="AE272">
        <f>IF(W272&lt;&gt;"OK","",IF(OR(VALUE(O272)=2,VALUE(P272)=2,VALUE(Q272)=2),"社内残置",IF(AND(VALUE(O272)=0,VALUE(R272)=0,VALUE(T272)=0),"自動化候補",IF(AND(VALUE(P272)=0,VALUE(R272)&lt;=1,VALUE(S272)&lt;=1,VALUE(T272)&lt;=1,VALUE(U272)&lt;=1),"オフショア候補",IF(AND(VALUE(T272)&lt;=1,VALUE(U272)&lt;=1),"ニアショア候補","社内で手順化→再評価")))))</f>
        <v/>
      </c>
      <c r="AF272">
        <f>IF(W272&lt;&gt;"OK","",14-SUMPRODUCT(--O272:U272))</f>
        <v/>
      </c>
      <c r="AG272" s="33">
        <f>IF(W272&lt;&gt;"OK","",AM272*AN272/60)</f>
        <v/>
      </c>
      <c r="AH272" s="34">
        <f>IF(A272="","",UPPER(TRIM(ASC(A272&amp;""))))</f>
        <v/>
      </c>
      <c r="AI272" s="34">
        <f>IF(AH272="","",AH272&amp;"-"&amp;B272)</f>
        <v/>
      </c>
      <c r="AJ272" s="34">
        <f>IF(C272="","",IFERROR(VALUE(ASC(SUBSTITUTE(C272&amp;"","観点",""))),""))</f>
        <v/>
      </c>
      <c r="AK272" s="34">
        <f>IF(E272="","",UPPER(LEFT(TRIM(ASC(E272&amp;"")),3)))</f>
        <v/>
      </c>
      <c r="AL272" s="34">
        <f>IF(I272="","",IFERROR(VALUE(SUBSTITUTE(SUBSTITUTE(SUBSTITUTE(SUBSTITUTE(SUBSTITUTE(SUBSTITUTE(SUBSTITUTE(SUBSTITUTE(SUBSTITUTE(SUBSTITUTE(SUBSTITUTE(SUBSTITUTE(ASC(I272&amp;""),"約",""),"程度",""),"ほど",""),"回",""),"毎",""),"週",""),"月",""),"年",""),"日",""),"に",""),"/","")," ","")),""))</f>
        <v/>
      </c>
      <c r="AM272" s="34">
        <f>IF(I272="","",IF(ISNUMBER(I272),I272,IFERROR(VALUE(ASC(I272&amp;"")),IF(AL272&lt;&gt;"",AL272*IF(ISNUMBER(SEARCH("週",I272)),4.3,IF(ISNUMBER(SEARCH("年",I272)),1/12,IF(ISNUMBER(SEARCH("日",I272)),20,1))),IF(ISNUMBER(SEARCH("日",I272)),20,IF(ISNUMBER(SEARCH("週",I272)),4.3,IF(ISNUMBER(SEARCH("月",I272)),1,"")))))))</f>
        <v/>
      </c>
      <c r="AN272" s="34">
        <f>IF(J272="","",IF(ISNUMBER(J272),J272,IFERROR(VALUE(ASC(J272&amp;"")),IF(ISNUMBER(SEARCH("時間",J272)),IFERROR(VALUE(SUBSTITUTE(SUBSTITUTE(SUBSTITUTE(SUBSTITUTE(SUBSTITUTE(ASC(J272&amp;""),"約",""),"程度",""),"ほど",""),"時間","")," ",""))*60,""),IFERROR(VALUE(SUBSTITUTE(SUBSTITUTE(SUBSTITUTE(SUBSTITUTE(SUBSTITUTE(ASC(J272&amp;""),"約",""),"程度",""),"ほど",""),"分","")," ","")),"")))))</f>
        <v/>
      </c>
      <c r="AO272" s="34">
        <f>IF(K272="","",IF(ISNUMBER(K272),K272,IFERROR(VALUE(SUBSTITUTE(SUBSTITUTE(SUBSTITUTE(ASC(K272&amp;""),"約",""),"件","")," ","")),"")))</f>
        <v/>
      </c>
      <c r="AP272" s="34">
        <f>IF(W272&lt;&gt;"OK","",IF(COUNTIFS($D$5:$D$404,D272,$W$5:$W$404,"OK")&gt;1,"同名あり",""))</f>
        <v/>
      </c>
      <c r="AQ272" s="35">
        <f>IF(L272="","",IF(ISNUMBER(L272),L272,IFERROR(DATEVALUE(SUBSTITUTE(SUBSTITUTE(ASC(L272&amp;""),"-","/"),".","/")&amp;"/01"),"")))</f>
        <v/>
      </c>
      <c r="AR272" s="35">
        <f>IF(M272="","",IF(ISNUMBER(M272),M272,IFERROR(DATEVALUE(SUBSTITUTE(SUBSTITUTE(ASC(M272&amp;""),"-","/"),".","/")&amp;"/01"),"")))</f>
        <v/>
      </c>
      <c r="AS272" s="34">
        <f>IF(OR(W272&lt;&gt;"OK",AQ272=""),"",IF(AQ272&gt;='01_設定'!$C$26,1,0))</f>
        <v/>
      </c>
      <c r="AT272" s="34">
        <f>IF(AND(W272="OK",Y272&lt;&gt;"除外"),COUNTIFS($W$5:W272,"OK",$Y$5:Y272,"&lt;&gt;除外"),"")</f>
        <v/>
      </c>
      <c r="AU272" s="34">
        <f>IF(OR(AT272="",AD272=""),"",AD272+ROW()/1000000000)</f>
        <v/>
      </c>
    </row>
    <row r="273">
      <c r="W273">
        <f>IF(AND(A273="",D273=""),"",IF(ISNUMBER(SEARCH("##END",AH273)),"（終わりの印）",IF(ISNUMBER(SEARCH("##続き",AH273)),"（続きありの印）",IF(AH273="調査ID","（見出し行）",IF(AND(AH273&lt;&gt;"R1",AH273&lt;&gt;"R2"),"×表以外の行（集計されない）",IF(COUNTIF($AI$5:AI273,AI273)&gt;1,"△重複（集計されない）",IF(D273="","△タスク名なし",IF(ISNA(MATCH(AK273,'M1_類型マスタ'!$A$5:$A$19,0)),"△類型が不正",IF(OR(AM273="",AN273=""),"△回数・分が読めない",IF(SUMPRODUCT(--ISNUMBER(--O273:U273))&lt;7,"△採点が足りない",IF(SUMPRODUCT((--O273:U273&gt;2)+(--O273:U273&lt;0))&gt;0,"△採点が範囲外","OK")))))))))))</f>
        <v/>
      </c>
      <c r="X273">
        <f>IF(W273&lt;&gt;"OK","",TRIM(IF(AND(AO273&lt;&gt;"",N(AO273)&lt;=1),"根拠1件 ","")&amp;IF(AP273&lt;&gt;"","同名あり ","")&amp;IF(AND(NOT(ISNUMBER(I273)),I273&lt;&gt;""),"回数を換算 ","")))</f>
        <v/>
      </c>
      <c r="Y273" s="31" t="n"/>
      <c r="Z273" s="32" t="n"/>
      <c r="AA273" s="32" t="n"/>
      <c r="AB273" s="31" t="n"/>
      <c r="AC273">
        <f>IF(W273&lt;&gt;"OK","",IF(AB273&lt;&gt;"",AB273,AE273))</f>
        <v/>
      </c>
      <c r="AD273" s="33">
        <f>IF(W273&lt;&gt;"OK","",IFERROR(IF(Z273&lt;&gt;"",Z273,AM273)*IF(AA273&lt;&gt;"",AA273,AN273)/60,""))</f>
        <v/>
      </c>
      <c r="AE273">
        <f>IF(W273&lt;&gt;"OK","",IF(OR(VALUE(O273)=2,VALUE(P273)=2,VALUE(Q273)=2),"社内残置",IF(AND(VALUE(O273)=0,VALUE(R273)=0,VALUE(T273)=0),"自動化候補",IF(AND(VALUE(P273)=0,VALUE(R273)&lt;=1,VALUE(S273)&lt;=1,VALUE(T273)&lt;=1,VALUE(U273)&lt;=1),"オフショア候補",IF(AND(VALUE(T273)&lt;=1,VALUE(U273)&lt;=1),"ニアショア候補","社内で手順化→再評価")))))</f>
        <v/>
      </c>
      <c r="AF273">
        <f>IF(W273&lt;&gt;"OK","",14-SUMPRODUCT(--O273:U273))</f>
        <v/>
      </c>
      <c r="AG273" s="33">
        <f>IF(W273&lt;&gt;"OK","",AM273*AN273/60)</f>
        <v/>
      </c>
      <c r="AH273" s="34">
        <f>IF(A273="","",UPPER(TRIM(ASC(A273&amp;""))))</f>
        <v/>
      </c>
      <c r="AI273" s="34">
        <f>IF(AH273="","",AH273&amp;"-"&amp;B273)</f>
        <v/>
      </c>
      <c r="AJ273" s="34">
        <f>IF(C273="","",IFERROR(VALUE(ASC(SUBSTITUTE(C273&amp;"","観点",""))),""))</f>
        <v/>
      </c>
      <c r="AK273" s="34">
        <f>IF(E273="","",UPPER(LEFT(TRIM(ASC(E273&amp;"")),3)))</f>
        <v/>
      </c>
      <c r="AL273" s="34">
        <f>IF(I273="","",IFERROR(VALUE(SUBSTITUTE(SUBSTITUTE(SUBSTITUTE(SUBSTITUTE(SUBSTITUTE(SUBSTITUTE(SUBSTITUTE(SUBSTITUTE(SUBSTITUTE(SUBSTITUTE(SUBSTITUTE(SUBSTITUTE(ASC(I273&amp;""),"約",""),"程度",""),"ほど",""),"回",""),"毎",""),"週",""),"月",""),"年",""),"日",""),"に",""),"/","")," ","")),""))</f>
        <v/>
      </c>
      <c r="AM273" s="34">
        <f>IF(I273="","",IF(ISNUMBER(I273),I273,IFERROR(VALUE(ASC(I273&amp;"")),IF(AL273&lt;&gt;"",AL273*IF(ISNUMBER(SEARCH("週",I273)),4.3,IF(ISNUMBER(SEARCH("年",I273)),1/12,IF(ISNUMBER(SEARCH("日",I273)),20,1))),IF(ISNUMBER(SEARCH("日",I273)),20,IF(ISNUMBER(SEARCH("週",I273)),4.3,IF(ISNUMBER(SEARCH("月",I273)),1,"")))))))</f>
        <v/>
      </c>
      <c r="AN273" s="34">
        <f>IF(J273="","",IF(ISNUMBER(J273),J273,IFERROR(VALUE(ASC(J273&amp;"")),IF(ISNUMBER(SEARCH("時間",J273)),IFERROR(VALUE(SUBSTITUTE(SUBSTITUTE(SUBSTITUTE(SUBSTITUTE(SUBSTITUTE(ASC(J273&amp;""),"約",""),"程度",""),"ほど",""),"時間","")," ",""))*60,""),IFERROR(VALUE(SUBSTITUTE(SUBSTITUTE(SUBSTITUTE(SUBSTITUTE(SUBSTITUTE(ASC(J273&amp;""),"約",""),"程度",""),"ほど",""),"分","")," ","")),"")))))</f>
        <v/>
      </c>
      <c r="AO273" s="34">
        <f>IF(K273="","",IF(ISNUMBER(K273),K273,IFERROR(VALUE(SUBSTITUTE(SUBSTITUTE(SUBSTITUTE(ASC(K273&amp;""),"約",""),"件","")," ","")),"")))</f>
        <v/>
      </c>
      <c r="AP273" s="34">
        <f>IF(W273&lt;&gt;"OK","",IF(COUNTIFS($D$5:$D$404,D273,$W$5:$W$404,"OK")&gt;1,"同名あり",""))</f>
        <v/>
      </c>
      <c r="AQ273" s="35">
        <f>IF(L273="","",IF(ISNUMBER(L273),L273,IFERROR(DATEVALUE(SUBSTITUTE(SUBSTITUTE(ASC(L273&amp;""),"-","/"),".","/")&amp;"/01"),"")))</f>
        <v/>
      </c>
      <c r="AR273" s="35">
        <f>IF(M273="","",IF(ISNUMBER(M273),M273,IFERROR(DATEVALUE(SUBSTITUTE(SUBSTITUTE(ASC(M273&amp;""),"-","/"),".","/")&amp;"/01"),"")))</f>
        <v/>
      </c>
      <c r="AS273" s="34">
        <f>IF(OR(W273&lt;&gt;"OK",AQ273=""),"",IF(AQ273&gt;='01_設定'!$C$26,1,0))</f>
        <v/>
      </c>
      <c r="AT273" s="34">
        <f>IF(AND(W273="OK",Y273&lt;&gt;"除外"),COUNTIFS($W$5:W273,"OK",$Y$5:Y273,"&lt;&gt;除外"),"")</f>
        <v/>
      </c>
      <c r="AU273" s="34">
        <f>IF(OR(AT273="",AD273=""),"",AD273+ROW()/1000000000)</f>
        <v/>
      </c>
    </row>
    <row r="274">
      <c r="W274">
        <f>IF(AND(A274="",D274=""),"",IF(ISNUMBER(SEARCH("##END",AH274)),"（終わりの印）",IF(ISNUMBER(SEARCH("##続き",AH274)),"（続きありの印）",IF(AH274="調査ID","（見出し行）",IF(AND(AH274&lt;&gt;"R1",AH274&lt;&gt;"R2"),"×表以外の行（集計されない）",IF(COUNTIF($AI$5:AI274,AI274)&gt;1,"△重複（集計されない）",IF(D274="","△タスク名なし",IF(ISNA(MATCH(AK274,'M1_類型マスタ'!$A$5:$A$19,0)),"△類型が不正",IF(OR(AM274="",AN274=""),"△回数・分が読めない",IF(SUMPRODUCT(--ISNUMBER(--O274:U274))&lt;7,"△採点が足りない",IF(SUMPRODUCT((--O274:U274&gt;2)+(--O274:U274&lt;0))&gt;0,"△採点が範囲外","OK")))))))))))</f>
        <v/>
      </c>
      <c r="X274">
        <f>IF(W274&lt;&gt;"OK","",TRIM(IF(AND(AO274&lt;&gt;"",N(AO274)&lt;=1),"根拠1件 ","")&amp;IF(AP274&lt;&gt;"","同名あり ","")&amp;IF(AND(NOT(ISNUMBER(I274)),I274&lt;&gt;""),"回数を換算 ","")))</f>
        <v/>
      </c>
      <c r="Y274" s="31" t="n"/>
      <c r="Z274" s="32" t="n"/>
      <c r="AA274" s="32" t="n"/>
      <c r="AB274" s="31" t="n"/>
      <c r="AC274">
        <f>IF(W274&lt;&gt;"OK","",IF(AB274&lt;&gt;"",AB274,AE274))</f>
        <v/>
      </c>
      <c r="AD274" s="33">
        <f>IF(W274&lt;&gt;"OK","",IFERROR(IF(Z274&lt;&gt;"",Z274,AM274)*IF(AA274&lt;&gt;"",AA274,AN274)/60,""))</f>
        <v/>
      </c>
      <c r="AE274">
        <f>IF(W274&lt;&gt;"OK","",IF(OR(VALUE(O274)=2,VALUE(P274)=2,VALUE(Q274)=2),"社内残置",IF(AND(VALUE(O274)=0,VALUE(R274)=0,VALUE(T274)=0),"自動化候補",IF(AND(VALUE(P274)=0,VALUE(R274)&lt;=1,VALUE(S274)&lt;=1,VALUE(T274)&lt;=1,VALUE(U274)&lt;=1),"オフショア候補",IF(AND(VALUE(T274)&lt;=1,VALUE(U274)&lt;=1),"ニアショア候補","社内で手順化→再評価")))))</f>
        <v/>
      </c>
      <c r="AF274">
        <f>IF(W274&lt;&gt;"OK","",14-SUMPRODUCT(--O274:U274))</f>
        <v/>
      </c>
      <c r="AG274" s="33">
        <f>IF(W274&lt;&gt;"OK","",AM274*AN274/60)</f>
        <v/>
      </c>
      <c r="AH274" s="34">
        <f>IF(A274="","",UPPER(TRIM(ASC(A274&amp;""))))</f>
        <v/>
      </c>
      <c r="AI274" s="34">
        <f>IF(AH274="","",AH274&amp;"-"&amp;B274)</f>
        <v/>
      </c>
      <c r="AJ274" s="34">
        <f>IF(C274="","",IFERROR(VALUE(ASC(SUBSTITUTE(C274&amp;"","観点",""))),""))</f>
        <v/>
      </c>
      <c r="AK274" s="34">
        <f>IF(E274="","",UPPER(LEFT(TRIM(ASC(E274&amp;"")),3)))</f>
        <v/>
      </c>
      <c r="AL274" s="34">
        <f>IF(I274="","",IFERROR(VALUE(SUBSTITUTE(SUBSTITUTE(SUBSTITUTE(SUBSTITUTE(SUBSTITUTE(SUBSTITUTE(SUBSTITUTE(SUBSTITUTE(SUBSTITUTE(SUBSTITUTE(SUBSTITUTE(SUBSTITUTE(ASC(I274&amp;""),"約",""),"程度",""),"ほど",""),"回",""),"毎",""),"週",""),"月",""),"年",""),"日",""),"に",""),"/","")," ","")),""))</f>
        <v/>
      </c>
      <c r="AM274" s="34">
        <f>IF(I274="","",IF(ISNUMBER(I274),I274,IFERROR(VALUE(ASC(I274&amp;"")),IF(AL274&lt;&gt;"",AL274*IF(ISNUMBER(SEARCH("週",I274)),4.3,IF(ISNUMBER(SEARCH("年",I274)),1/12,IF(ISNUMBER(SEARCH("日",I274)),20,1))),IF(ISNUMBER(SEARCH("日",I274)),20,IF(ISNUMBER(SEARCH("週",I274)),4.3,IF(ISNUMBER(SEARCH("月",I274)),1,"")))))))</f>
        <v/>
      </c>
      <c r="AN274" s="34">
        <f>IF(J274="","",IF(ISNUMBER(J274),J274,IFERROR(VALUE(ASC(J274&amp;"")),IF(ISNUMBER(SEARCH("時間",J274)),IFERROR(VALUE(SUBSTITUTE(SUBSTITUTE(SUBSTITUTE(SUBSTITUTE(SUBSTITUTE(ASC(J274&amp;""),"約",""),"程度",""),"ほど",""),"時間","")," ",""))*60,""),IFERROR(VALUE(SUBSTITUTE(SUBSTITUTE(SUBSTITUTE(SUBSTITUTE(SUBSTITUTE(ASC(J274&amp;""),"約",""),"程度",""),"ほど",""),"分","")," ","")),"")))))</f>
        <v/>
      </c>
      <c r="AO274" s="34">
        <f>IF(K274="","",IF(ISNUMBER(K274),K274,IFERROR(VALUE(SUBSTITUTE(SUBSTITUTE(SUBSTITUTE(ASC(K274&amp;""),"約",""),"件","")," ","")),"")))</f>
        <v/>
      </c>
      <c r="AP274" s="34">
        <f>IF(W274&lt;&gt;"OK","",IF(COUNTIFS($D$5:$D$404,D274,$W$5:$W$404,"OK")&gt;1,"同名あり",""))</f>
        <v/>
      </c>
      <c r="AQ274" s="35">
        <f>IF(L274="","",IF(ISNUMBER(L274),L274,IFERROR(DATEVALUE(SUBSTITUTE(SUBSTITUTE(ASC(L274&amp;""),"-","/"),".","/")&amp;"/01"),"")))</f>
        <v/>
      </c>
      <c r="AR274" s="35">
        <f>IF(M274="","",IF(ISNUMBER(M274),M274,IFERROR(DATEVALUE(SUBSTITUTE(SUBSTITUTE(ASC(M274&amp;""),"-","/"),".","/")&amp;"/01"),"")))</f>
        <v/>
      </c>
      <c r="AS274" s="34">
        <f>IF(OR(W274&lt;&gt;"OK",AQ274=""),"",IF(AQ274&gt;='01_設定'!$C$26,1,0))</f>
        <v/>
      </c>
      <c r="AT274" s="34">
        <f>IF(AND(W274="OK",Y274&lt;&gt;"除外"),COUNTIFS($W$5:W274,"OK",$Y$5:Y274,"&lt;&gt;除外"),"")</f>
        <v/>
      </c>
      <c r="AU274" s="34">
        <f>IF(OR(AT274="",AD274=""),"",AD274+ROW()/1000000000)</f>
        <v/>
      </c>
    </row>
    <row r="275">
      <c r="W275">
        <f>IF(AND(A275="",D275=""),"",IF(ISNUMBER(SEARCH("##END",AH275)),"（終わりの印）",IF(ISNUMBER(SEARCH("##続き",AH275)),"（続きありの印）",IF(AH275="調査ID","（見出し行）",IF(AND(AH275&lt;&gt;"R1",AH275&lt;&gt;"R2"),"×表以外の行（集計されない）",IF(COUNTIF($AI$5:AI275,AI275)&gt;1,"△重複（集計されない）",IF(D275="","△タスク名なし",IF(ISNA(MATCH(AK275,'M1_類型マスタ'!$A$5:$A$19,0)),"△類型が不正",IF(OR(AM275="",AN275=""),"△回数・分が読めない",IF(SUMPRODUCT(--ISNUMBER(--O275:U275))&lt;7,"△採点が足りない",IF(SUMPRODUCT((--O275:U275&gt;2)+(--O275:U275&lt;0))&gt;0,"△採点が範囲外","OK")))))))))))</f>
        <v/>
      </c>
      <c r="X275">
        <f>IF(W275&lt;&gt;"OK","",TRIM(IF(AND(AO275&lt;&gt;"",N(AO275)&lt;=1),"根拠1件 ","")&amp;IF(AP275&lt;&gt;"","同名あり ","")&amp;IF(AND(NOT(ISNUMBER(I275)),I275&lt;&gt;""),"回数を換算 ","")))</f>
        <v/>
      </c>
      <c r="Y275" s="31" t="n"/>
      <c r="Z275" s="32" t="n"/>
      <c r="AA275" s="32" t="n"/>
      <c r="AB275" s="31" t="n"/>
      <c r="AC275">
        <f>IF(W275&lt;&gt;"OK","",IF(AB275&lt;&gt;"",AB275,AE275))</f>
        <v/>
      </c>
      <c r="AD275" s="33">
        <f>IF(W275&lt;&gt;"OK","",IFERROR(IF(Z275&lt;&gt;"",Z275,AM275)*IF(AA275&lt;&gt;"",AA275,AN275)/60,""))</f>
        <v/>
      </c>
      <c r="AE275">
        <f>IF(W275&lt;&gt;"OK","",IF(OR(VALUE(O275)=2,VALUE(P275)=2,VALUE(Q275)=2),"社内残置",IF(AND(VALUE(O275)=0,VALUE(R275)=0,VALUE(T275)=0),"自動化候補",IF(AND(VALUE(P275)=0,VALUE(R275)&lt;=1,VALUE(S275)&lt;=1,VALUE(T275)&lt;=1,VALUE(U275)&lt;=1),"オフショア候補",IF(AND(VALUE(T275)&lt;=1,VALUE(U275)&lt;=1),"ニアショア候補","社内で手順化→再評価")))))</f>
        <v/>
      </c>
      <c r="AF275">
        <f>IF(W275&lt;&gt;"OK","",14-SUMPRODUCT(--O275:U275))</f>
        <v/>
      </c>
      <c r="AG275" s="33">
        <f>IF(W275&lt;&gt;"OK","",AM275*AN275/60)</f>
        <v/>
      </c>
      <c r="AH275" s="34">
        <f>IF(A275="","",UPPER(TRIM(ASC(A275&amp;""))))</f>
        <v/>
      </c>
      <c r="AI275" s="34">
        <f>IF(AH275="","",AH275&amp;"-"&amp;B275)</f>
        <v/>
      </c>
      <c r="AJ275" s="34">
        <f>IF(C275="","",IFERROR(VALUE(ASC(SUBSTITUTE(C275&amp;"","観点",""))),""))</f>
        <v/>
      </c>
      <c r="AK275" s="34">
        <f>IF(E275="","",UPPER(LEFT(TRIM(ASC(E275&amp;"")),3)))</f>
        <v/>
      </c>
      <c r="AL275" s="34">
        <f>IF(I275="","",IFERROR(VALUE(SUBSTITUTE(SUBSTITUTE(SUBSTITUTE(SUBSTITUTE(SUBSTITUTE(SUBSTITUTE(SUBSTITUTE(SUBSTITUTE(SUBSTITUTE(SUBSTITUTE(SUBSTITUTE(SUBSTITUTE(ASC(I275&amp;""),"約",""),"程度",""),"ほど",""),"回",""),"毎",""),"週",""),"月",""),"年",""),"日",""),"に",""),"/","")," ","")),""))</f>
        <v/>
      </c>
      <c r="AM275" s="34">
        <f>IF(I275="","",IF(ISNUMBER(I275),I275,IFERROR(VALUE(ASC(I275&amp;"")),IF(AL275&lt;&gt;"",AL275*IF(ISNUMBER(SEARCH("週",I275)),4.3,IF(ISNUMBER(SEARCH("年",I275)),1/12,IF(ISNUMBER(SEARCH("日",I275)),20,1))),IF(ISNUMBER(SEARCH("日",I275)),20,IF(ISNUMBER(SEARCH("週",I275)),4.3,IF(ISNUMBER(SEARCH("月",I275)),1,"")))))))</f>
        <v/>
      </c>
      <c r="AN275" s="34">
        <f>IF(J275="","",IF(ISNUMBER(J275),J275,IFERROR(VALUE(ASC(J275&amp;"")),IF(ISNUMBER(SEARCH("時間",J275)),IFERROR(VALUE(SUBSTITUTE(SUBSTITUTE(SUBSTITUTE(SUBSTITUTE(SUBSTITUTE(ASC(J275&amp;""),"約",""),"程度",""),"ほど",""),"時間","")," ",""))*60,""),IFERROR(VALUE(SUBSTITUTE(SUBSTITUTE(SUBSTITUTE(SUBSTITUTE(SUBSTITUTE(ASC(J275&amp;""),"約",""),"程度",""),"ほど",""),"分","")," ","")),"")))))</f>
        <v/>
      </c>
      <c r="AO275" s="34">
        <f>IF(K275="","",IF(ISNUMBER(K275),K275,IFERROR(VALUE(SUBSTITUTE(SUBSTITUTE(SUBSTITUTE(ASC(K275&amp;""),"約",""),"件","")," ","")),"")))</f>
        <v/>
      </c>
      <c r="AP275" s="34">
        <f>IF(W275&lt;&gt;"OK","",IF(COUNTIFS($D$5:$D$404,D275,$W$5:$W$404,"OK")&gt;1,"同名あり",""))</f>
        <v/>
      </c>
      <c r="AQ275" s="35">
        <f>IF(L275="","",IF(ISNUMBER(L275),L275,IFERROR(DATEVALUE(SUBSTITUTE(SUBSTITUTE(ASC(L275&amp;""),"-","/"),".","/")&amp;"/01"),"")))</f>
        <v/>
      </c>
      <c r="AR275" s="35">
        <f>IF(M275="","",IF(ISNUMBER(M275),M275,IFERROR(DATEVALUE(SUBSTITUTE(SUBSTITUTE(ASC(M275&amp;""),"-","/"),".","/")&amp;"/01"),"")))</f>
        <v/>
      </c>
      <c r="AS275" s="34">
        <f>IF(OR(W275&lt;&gt;"OK",AQ275=""),"",IF(AQ275&gt;='01_設定'!$C$26,1,0))</f>
        <v/>
      </c>
      <c r="AT275" s="34">
        <f>IF(AND(W275="OK",Y275&lt;&gt;"除外"),COUNTIFS($W$5:W275,"OK",$Y$5:Y275,"&lt;&gt;除外"),"")</f>
        <v/>
      </c>
      <c r="AU275" s="34">
        <f>IF(OR(AT275="",AD275=""),"",AD275+ROW()/1000000000)</f>
        <v/>
      </c>
    </row>
    <row r="276">
      <c r="W276">
        <f>IF(AND(A276="",D276=""),"",IF(ISNUMBER(SEARCH("##END",AH276)),"（終わりの印）",IF(ISNUMBER(SEARCH("##続き",AH276)),"（続きありの印）",IF(AH276="調査ID","（見出し行）",IF(AND(AH276&lt;&gt;"R1",AH276&lt;&gt;"R2"),"×表以外の行（集計されない）",IF(COUNTIF($AI$5:AI276,AI276)&gt;1,"△重複（集計されない）",IF(D276="","△タスク名なし",IF(ISNA(MATCH(AK276,'M1_類型マスタ'!$A$5:$A$19,0)),"△類型が不正",IF(OR(AM276="",AN276=""),"△回数・分が読めない",IF(SUMPRODUCT(--ISNUMBER(--O276:U276))&lt;7,"△採点が足りない",IF(SUMPRODUCT((--O276:U276&gt;2)+(--O276:U276&lt;0))&gt;0,"△採点が範囲外","OK")))))))))))</f>
        <v/>
      </c>
      <c r="X276">
        <f>IF(W276&lt;&gt;"OK","",TRIM(IF(AND(AO276&lt;&gt;"",N(AO276)&lt;=1),"根拠1件 ","")&amp;IF(AP276&lt;&gt;"","同名あり ","")&amp;IF(AND(NOT(ISNUMBER(I276)),I276&lt;&gt;""),"回数を換算 ","")))</f>
        <v/>
      </c>
      <c r="Y276" s="31" t="n"/>
      <c r="Z276" s="32" t="n"/>
      <c r="AA276" s="32" t="n"/>
      <c r="AB276" s="31" t="n"/>
      <c r="AC276">
        <f>IF(W276&lt;&gt;"OK","",IF(AB276&lt;&gt;"",AB276,AE276))</f>
        <v/>
      </c>
      <c r="AD276" s="33">
        <f>IF(W276&lt;&gt;"OK","",IFERROR(IF(Z276&lt;&gt;"",Z276,AM276)*IF(AA276&lt;&gt;"",AA276,AN276)/60,""))</f>
        <v/>
      </c>
      <c r="AE276">
        <f>IF(W276&lt;&gt;"OK","",IF(OR(VALUE(O276)=2,VALUE(P276)=2,VALUE(Q276)=2),"社内残置",IF(AND(VALUE(O276)=0,VALUE(R276)=0,VALUE(T276)=0),"自動化候補",IF(AND(VALUE(P276)=0,VALUE(R276)&lt;=1,VALUE(S276)&lt;=1,VALUE(T276)&lt;=1,VALUE(U276)&lt;=1),"オフショア候補",IF(AND(VALUE(T276)&lt;=1,VALUE(U276)&lt;=1),"ニアショア候補","社内で手順化→再評価")))))</f>
        <v/>
      </c>
      <c r="AF276">
        <f>IF(W276&lt;&gt;"OK","",14-SUMPRODUCT(--O276:U276))</f>
        <v/>
      </c>
      <c r="AG276" s="33">
        <f>IF(W276&lt;&gt;"OK","",AM276*AN276/60)</f>
        <v/>
      </c>
      <c r="AH276" s="34">
        <f>IF(A276="","",UPPER(TRIM(ASC(A276&amp;""))))</f>
        <v/>
      </c>
      <c r="AI276" s="34">
        <f>IF(AH276="","",AH276&amp;"-"&amp;B276)</f>
        <v/>
      </c>
      <c r="AJ276" s="34">
        <f>IF(C276="","",IFERROR(VALUE(ASC(SUBSTITUTE(C276&amp;"","観点",""))),""))</f>
        <v/>
      </c>
      <c r="AK276" s="34">
        <f>IF(E276="","",UPPER(LEFT(TRIM(ASC(E276&amp;"")),3)))</f>
        <v/>
      </c>
      <c r="AL276" s="34">
        <f>IF(I276="","",IFERROR(VALUE(SUBSTITUTE(SUBSTITUTE(SUBSTITUTE(SUBSTITUTE(SUBSTITUTE(SUBSTITUTE(SUBSTITUTE(SUBSTITUTE(SUBSTITUTE(SUBSTITUTE(SUBSTITUTE(SUBSTITUTE(ASC(I276&amp;""),"約",""),"程度",""),"ほど",""),"回",""),"毎",""),"週",""),"月",""),"年",""),"日",""),"に",""),"/","")," ","")),""))</f>
        <v/>
      </c>
      <c r="AM276" s="34">
        <f>IF(I276="","",IF(ISNUMBER(I276),I276,IFERROR(VALUE(ASC(I276&amp;"")),IF(AL276&lt;&gt;"",AL276*IF(ISNUMBER(SEARCH("週",I276)),4.3,IF(ISNUMBER(SEARCH("年",I276)),1/12,IF(ISNUMBER(SEARCH("日",I276)),20,1))),IF(ISNUMBER(SEARCH("日",I276)),20,IF(ISNUMBER(SEARCH("週",I276)),4.3,IF(ISNUMBER(SEARCH("月",I276)),1,"")))))))</f>
        <v/>
      </c>
      <c r="AN276" s="34">
        <f>IF(J276="","",IF(ISNUMBER(J276),J276,IFERROR(VALUE(ASC(J276&amp;"")),IF(ISNUMBER(SEARCH("時間",J276)),IFERROR(VALUE(SUBSTITUTE(SUBSTITUTE(SUBSTITUTE(SUBSTITUTE(SUBSTITUTE(ASC(J276&amp;""),"約",""),"程度",""),"ほど",""),"時間","")," ",""))*60,""),IFERROR(VALUE(SUBSTITUTE(SUBSTITUTE(SUBSTITUTE(SUBSTITUTE(SUBSTITUTE(ASC(J276&amp;""),"約",""),"程度",""),"ほど",""),"分","")," ","")),"")))))</f>
        <v/>
      </c>
      <c r="AO276" s="34">
        <f>IF(K276="","",IF(ISNUMBER(K276),K276,IFERROR(VALUE(SUBSTITUTE(SUBSTITUTE(SUBSTITUTE(ASC(K276&amp;""),"約",""),"件","")," ","")),"")))</f>
        <v/>
      </c>
      <c r="AP276" s="34">
        <f>IF(W276&lt;&gt;"OK","",IF(COUNTIFS($D$5:$D$404,D276,$W$5:$W$404,"OK")&gt;1,"同名あり",""))</f>
        <v/>
      </c>
      <c r="AQ276" s="35">
        <f>IF(L276="","",IF(ISNUMBER(L276),L276,IFERROR(DATEVALUE(SUBSTITUTE(SUBSTITUTE(ASC(L276&amp;""),"-","/"),".","/")&amp;"/01"),"")))</f>
        <v/>
      </c>
      <c r="AR276" s="35">
        <f>IF(M276="","",IF(ISNUMBER(M276),M276,IFERROR(DATEVALUE(SUBSTITUTE(SUBSTITUTE(ASC(M276&amp;""),"-","/"),".","/")&amp;"/01"),"")))</f>
        <v/>
      </c>
      <c r="AS276" s="34">
        <f>IF(OR(W276&lt;&gt;"OK",AQ276=""),"",IF(AQ276&gt;='01_設定'!$C$26,1,0))</f>
        <v/>
      </c>
      <c r="AT276" s="34">
        <f>IF(AND(W276="OK",Y276&lt;&gt;"除外"),COUNTIFS($W$5:W276,"OK",$Y$5:Y276,"&lt;&gt;除外"),"")</f>
        <v/>
      </c>
      <c r="AU276" s="34">
        <f>IF(OR(AT276="",AD276=""),"",AD276+ROW()/1000000000)</f>
        <v/>
      </c>
    </row>
    <row r="277">
      <c r="W277">
        <f>IF(AND(A277="",D277=""),"",IF(ISNUMBER(SEARCH("##END",AH277)),"（終わりの印）",IF(ISNUMBER(SEARCH("##続き",AH277)),"（続きありの印）",IF(AH277="調査ID","（見出し行）",IF(AND(AH277&lt;&gt;"R1",AH277&lt;&gt;"R2"),"×表以外の行（集計されない）",IF(COUNTIF($AI$5:AI277,AI277)&gt;1,"△重複（集計されない）",IF(D277="","△タスク名なし",IF(ISNA(MATCH(AK277,'M1_類型マスタ'!$A$5:$A$19,0)),"△類型が不正",IF(OR(AM277="",AN277=""),"△回数・分が読めない",IF(SUMPRODUCT(--ISNUMBER(--O277:U277))&lt;7,"△採点が足りない",IF(SUMPRODUCT((--O277:U277&gt;2)+(--O277:U277&lt;0))&gt;0,"△採点が範囲外","OK")))))))))))</f>
        <v/>
      </c>
      <c r="X277">
        <f>IF(W277&lt;&gt;"OK","",TRIM(IF(AND(AO277&lt;&gt;"",N(AO277)&lt;=1),"根拠1件 ","")&amp;IF(AP277&lt;&gt;"","同名あり ","")&amp;IF(AND(NOT(ISNUMBER(I277)),I277&lt;&gt;""),"回数を換算 ","")))</f>
        <v/>
      </c>
      <c r="Y277" s="31" t="n"/>
      <c r="Z277" s="32" t="n"/>
      <c r="AA277" s="32" t="n"/>
      <c r="AB277" s="31" t="n"/>
      <c r="AC277">
        <f>IF(W277&lt;&gt;"OK","",IF(AB277&lt;&gt;"",AB277,AE277))</f>
        <v/>
      </c>
      <c r="AD277" s="33">
        <f>IF(W277&lt;&gt;"OK","",IFERROR(IF(Z277&lt;&gt;"",Z277,AM277)*IF(AA277&lt;&gt;"",AA277,AN277)/60,""))</f>
        <v/>
      </c>
      <c r="AE277">
        <f>IF(W277&lt;&gt;"OK","",IF(OR(VALUE(O277)=2,VALUE(P277)=2,VALUE(Q277)=2),"社内残置",IF(AND(VALUE(O277)=0,VALUE(R277)=0,VALUE(T277)=0),"自動化候補",IF(AND(VALUE(P277)=0,VALUE(R277)&lt;=1,VALUE(S277)&lt;=1,VALUE(T277)&lt;=1,VALUE(U277)&lt;=1),"オフショア候補",IF(AND(VALUE(T277)&lt;=1,VALUE(U277)&lt;=1),"ニアショア候補","社内で手順化→再評価")))))</f>
        <v/>
      </c>
      <c r="AF277">
        <f>IF(W277&lt;&gt;"OK","",14-SUMPRODUCT(--O277:U277))</f>
        <v/>
      </c>
      <c r="AG277" s="33">
        <f>IF(W277&lt;&gt;"OK","",AM277*AN277/60)</f>
        <v/>
      </c>
      <c r="AH277" s="34">
        <f>IF(A277="","",UPPER(TRIM(ASC(A277&amp;""))))</f>
        <v/>
      </c>
      <c r="AI277" s="34">
        <f>IF(AH277="","",AH277&amp;"-"&amp;B277)</f>
        <v/>
      </c>
      <c r="AJ277" s="34">
        <f>IF(C277="","",IFERROR(VALUE(ASC(SUBSTITUTE(C277&amp;"","観点",""))),""))</f>
        <v/>
      </c>
      <c r="AK277" s="34">
        <f>IF(E277="","",UPPER(LEFT(TRIM(ASC(E277&amp;"")),3)))</f>
        <v/>
      </c>
      <c r="AL277" s="34">
        <f>IF(I277="","",IFERROR(VALUE(SUBSTITUTE(SUBSTITUTE(SUBSTITUTE(SUBSTITUTE(SUBSTITUTE(SUBSTITUTE(SUBSTITUTE(SUBSTITUTE(SUBSTITUTE(SUBSTITUTE(SUBSTITUTE(SUBSTITUTE(ASC(I277&amp;""),"約",""),"程度",""),"ほど",""),"回",""),"毎",""),"週",""),"月",""),"年",""),"日",""),"に",""),"/","")," ","")),""))</f>
        <v/>
      </c>
      <c r="AM277" s="34">
        <f>IF(I277="","",IF(ISNUMBER(I277),I277,IFERROR(VALUE(ASC(I277&amp;"")),IF(AL277&lt;&gt;"",AL277*IF(ISNUMBER(SEARCH("週",I277)),4.3,IF(ISNUMBER(SEARCH("年",I277)),1/12,IF(ISNUMBER(SEARCH("日",I277)),20,1))),IF(ISNUMBER(SEARCH("日",I277)),20,IF(ISNUMBER(SEARCH("週",I277)),4.3,IF(ISNUMBER(SEARCH("月",I277)),1,"")))))))</f>
        <v/>
      </c>
      <c r="AN277" s="34">
        <f>IF(J277="","",IF(ISNUMBER(J277),J277,IFERROR(VALUE(ASC(J277&amp;"")),IF(ISNUMBER(SEARCH("時間",J277)),IFERROR(VALUE(SUBSTITUTE(SUBSTITUTE(SUBSTITUTE(SUBSTITUTE(SUBSTITUTE(ASC(J277&amp;""),"約",""),"程度",""),"ほど",""),"時間","")," ",""))*60,""),IFERROR(VALUE(SUBSTITUTE(SUBSTITUTE(SUBSTITUTE(SUBSTITUTE(SUBSTITUTE(ASC(J277&amp;""),"約",""),"程度",""),"ほど",""),"分","")," ","")),"")))))</f>
        <v/>
      </c>
      <c r="AO277" s="34">
        <f>IF(K277="","",IF(ISNUMBER(K277),K277,IFERROR(VALUE(SUBSTITUTE(SUBSTITUTE(SUBSTITUTE(ASC(K277&amp;""),"約",""),"件","")," ","")),"")))</f>
        <v/>
      </c>
      <c r="AP277" s="34">
        <f>IF(W277&lt;&gt;"OK","",IF(COUNTIFS($D$5:$D$404,D277,$W$5:$W$404,"OK")&gt;1,"同名あり",""))</f>
        <v/>
      </c>
      <c r="AQ277" s="35">
        <f>IF(L277="","",IF(ISNUMBER(L277),L277,IFERROR(DATEVALUE(SUBSTITUTE(SUBSTITUTE(ASC(L277&amp;""),"-","/"),".","/")&amp;"/01"),"")))</f>
        <v/>
      </c>
      <c r="AR277" s="35">
        <f>IF(M277="","",IF(ISNUMBER(M277),M277,IFERROR(DATEVALUE(SUBSTITUTE(SUBSTITUTE(ASC(M277&amp;""),"-","/"),".","/")&amp;"/01"),"")))</f>
        <v/>
      </c>
      <c r="AS277" s="34">
        <f>IF(OR(W277&lt;&gt;"OK",AQ277=""),"",IF(AQ277&gt;='01_設定'!$C$26,1,0))</f>
        <v/>
      </c>
      <c r="AT277" s="34">
        <f>IF(AND(W277="OK",Y277&lt;&gt;"除外"),COUNTIFS($W$5:W277,"OK",$Y$5:Y277,"&lt;&gt;除外"),"")</f>
        <v/>
      </c>
      <c r="AU277" s="34">
        <f>IF(OR(AT277="",AD277=""),"",AD277+ROW()/1000000000)</f>
        <v/>
      </c>
    </row>
    <row r="278">
      <c r="W278">
        <f>IF(AND(A278="",D278=""),"",IF(ISNUMBER(SEARCH("##END",AH278)),"（終わりの印）",IF(ISNUMBER(SEARCH("##続き",AH278)),"（続きありの印）",IF(AH278="調査ID","（見出し行）",IF(AND(AH278&lt;&gt;"R1",AH278&lt;&gt;"R2"),"×表以外の行（集計されない）",IF(COUNTIF($AI$5:AI278,AI278)&gt;1,"△重複（集計されない）",IF(D278="","△タスク名なし",IF(ISNA(MATCH(AK278,'M1_類型マスタ'!$A$5:$A$19,0)),"△類型が不正",IF(OR(AM278="",AN278=""),"△回数・分が読めない",IF(SUMPRODUCT(--ISNUMBER(--O278:U278))&lt;7,"△採点が足りない",IF(SUMPRODUCT((--O278:U278&gt;2)+(--O278:U278&lt;0))&gt;0,"△採点が範囲外","OK")))))))))))</f>
        <v/>
      </c>
      <c r="X278">
        <f>IF(W278&lt;&gt;"OK","",TRIM(IF(AND(AO278&lt;&gt;"",N(AO278)&lt;=1),"根拠1件 ","")&amp;IF(AP278&lt;&gt;"","同名あり ","")&amp;IF(AND(NOT(ISNUMBER(I278)),I278&lt;&gt;""),"回数を換算 ","")))</f>
        <v/>
      </c>
      <c r="Y278" s="31" t="n"/>
      <c r="Z278" s="32" t="n"/>
      <c r="AA278" s="32" t="n"/>
      <c r="AB278" s="31" t="n"/>
      <c r="AC278">
        <f>IF(W278&lt;&gt;"OK","",IF(AB278&lt;&gt;"",AB278,AE278))</f>
        <v/>
      </c>
      <c r="AD278" s="33">
        <f>IF(W278&lt;&gt;"OK","",IFERROR(IF(Z278&lt;&gt;"",Z278,AM278)*IF(AA278&lt;&gt;"",AA278,AN278)/60,""))</f>
        <v/>
      </c>
      <c r="AE278">
        <f>IF(W278&lt;&gt;"OK","",IF(OR(VALUE(O278)=2,VALUE(P278)=2,VALUE(Q278)=2),"社内残置",IF(AND(VALUE(O278)=0,VALUE(R278)=0,VALUE(T278)=0),"自動化候補",IF(AND(VALUE(P278)=0,VALUE(R278)&lt;=1,VALUE(S278)&lt;=1,VALUE(T278)&lt;=1,VALUE(U278)&lt;=1),"オフショア候補",IF(AND(VALUE(T278)&lt;=1,VALUE(U278)&lt;=1),"ニアショア候補","社内で手順化→再評価")))))</f>
        <v/>
      </c>
      <c r="AF278">
        <f>IF(W278&lt;&gt;"OK","",14-SUMPRODUCT(--O278:U278))</f>
        <v/>
      </c>
      <c r="AG278" s="33">
        <f>IF(W278&lt;&gt;"OK","",AM278*AN278/60)</f>
        <v/>
      </c>
      <c r="AH278" s="34">
        <f>IF(A278="","",UPPER(TRIM(ASC(A278&amp;""))))</f>
        <v/>
      </c>
      <c r="AI278" s="34">
        <f>IF(AH278="","",AH278&amp;"-"&amp;B278)</f>
        <v/>
      </c>
      <c r="AJ278" s="34">
        <f>IF(C278="","",IFERROR(VALUE(ASC(SUBSTITUTE(C278&amp;"","観点",""))),""))</f>
        <v/>
      </c>
      <c r="AK278" s="34">
        <f>IF(E278="","",UPPER(LEFT(TRIM(ASC(E278&amp;"")),3)))</f>
        <v/>
      </c>
      <c r="AL278" s="34">
        <f>IF(I278="","",IFERROR(VALUE(SUBSTITUTE(SUBSTITUTE(SUBSTITUTE(SUBSTITUTE(SUBSTITUTE(SUBSTITUTE(SUBSTITUTE(SUBSTITUTE(SUBSTITUTE(SUBSTITUTE(SUBSTITUTE(SUBSTITUTE(ASC(I278&amp;""),"約",""),"程度",""),"ほど",""),"回",""),"毎",""),"週",""),"月",""),"年",""),"日",""),"に",""),"/","")," ","")),""))</f>
        <v/>
      </c>
      <c r="AM278" s="34">
        <f>IF(I278="","",IF(ISNUMBER(I278),I278,IFERROR(VALUE(ASC(I278&amp;"")),IF(AL278&lt;&gt;"",AL278*IF(ISNUMBER(SEARCH("週",I278)),4.3,IF(ISNUMBER(SEARCH("年",I278)),1/12,IF(ISNUMBER(SEARCH("日",I278)),20,1))),IF(ISNUMBER(SEARCH("日",I278)),20,IF(ISNUMBER(SEARCH("週",I278)),4.3,IF(ISNUMBER(SEARCH("月",I278)),1,"")))))))</f>
        <v/>
      </c>
      <c r="AN278" s="34">
        <f>IF(J278="","",IF(ISNUMBER(J278),J278,IFERROR(VALUE(ASC(J278&amp;"")),IF(ISNUMBER(SEARCH("時間",J278)),IFERROR(VALUE(SUBSTITUTE(SUBSTITUTE(SUBSTITUTE(SUBSTITUTE(SUBSTITUTE(ASC(J278&amp;""),"約",""),"程度",""),"ほど",""),"時間","")," ",""))*60,""),IFERROR(VALUE(SUBSTITUTE(SUBSTITUTE(SUBSTITUTE(SUBSTITUTE(SUBSTITUTE(ASC(J278&amp;""),"約",""),"程度",""),"ほど",""),"分","")," ","")),"")))))</f>
        <v/>
      </c>
      <c r="AO278" s="34">
        <f>IF(K278="","",IF(ISNUMBER(K278),K278,IFERROR(VALUE(SUBSTITUTE(SUBSTITUTE(SUBSTITUTE(ASC(K278&amp;""),"約",""),"件","")," ","")),"")))</f>
        <v/>
      </c>
      <c r="AP278" s="34">
        <f>IF(W278&lt;&gt;"OK","",IF(COUNTIFS($D$5:$D$404,D278,$W$5:$W$404,"OK")&gt;1,"同名あり",""))</f>
        <v/>
      </c>
      <c r="AQ278" s="35">
        <f>IF(L278="","",IF(ISNUMBER(L278),L278,IFERROR(DATEVALUE(SUBSTITUTE(SUBSTITUTE(ASC(L278&amp;""),"-","/"),".","/")&amp;"/01"),"")))</f>
        <v/>
      </c>
      <c r="AR278" s="35">
        <f>IF(M278="","",IF(ISNUMBER(M278),M278,IFERROR(DATEVALUE(SUBSTITUTE(SUBSTITUTE(ASC(M278&amp;""),"-","/"),".","/")&amp;"/01"),"")))</f>
        <v/>
      </c>
      <c r="AS278" s="34">
        <f>IF(OR(W278&lt;&gt;"OK",AQ278=""),"",IF(AQ278&gt;='01_設定'!$C$26,1,0))</f>
        <v/>
      </c>
      <c r="AT278" s="34">
        <f>IF(AND(W278="OK",Y278&lt;&gt;"除外"),COUNTIFS($W$5:W278,"OK",$Y$5:Y278,"&lt;&gt;除外"),"")</f>
        <v/>
      </c>
      <c r="AU278" s="34">
        <f>IF(OR(AT278="",AD278=""),"",AD278+ROW()/1000000000)</f>
        <v/>
      </c>
    </row>
    <row r="279">
      <c r="W279">
        <f>IF(AND(A279="",D279=""),"",IF(ISNUMBER(SEARCH("##END",AH279)),"（終わりの印）",IF(ISNUMBER(SEARCH("##続き",AH279)),"（続きありの印）",IF(AH279="調査ID","（見出し行）",IF(AND(AH279&lt;&gt;"R1",AH279&lt;&gt;"R2"),"×表以外の行（集計されない）",IF(COUNTIF($AI$5:AI279,AI279)&gt;1,"△重複（集計されない）",IF(D279="","△タスク名なし",IF(ISNA(MATCH(AK279,'M1_類型マスタ'!$A$5:$A$19,0)),"△類型が不正",IF(OR(AM279="",AN279=""),"△回数・分が読めない",IF(SUMPRODUCT(--ISNUMBER(--O279:U279))&lt;7,"△採点が足りない",IF(SUMPRODUCT((--O279:U279&gt;2)+(--O279:U279&lt;0))&gt;0,"△採点が範囲外","OK")))))))))))</f>
        <v/>
      </c>
      <c r="X279">
        <f>IF(W279&lt;&gt;"OK","",TRIM(IF(AND(AO279&lt;&gt;"",N(AO279)&lt;=1),"根拠1件 ","")&amp;IF(AP279&lt;&gt;"","同名あり ","")&amp;IF(AND(NOT(ISNUMBER(I279)),I279&lt;&gt;""),"回数を換算 ","")))</f>
        <v/>
      </c>
      <c r="Y279" s="31" t="n"/>
      <c r="Z279" s="32" t="n"/>
      <c r="AA279" s="32" t="n"/>
      <c r="AB279" s="31" t="n"/>
      <c r="AC279">
        <f>IF(W279&lt;&gt;"OK","",IF(AB279&lt;&gt;"",AB279,AE279))</f>
        <v/>
      </c>
      <c r="AD279" s="33">
        <f>IF(W279&lt;&gt;"OK","",IFERROR(IF(Z279&lt;&gt;"",Z279,AM279)*IF(AA279&lt;&gt;"",AA279,AN279)/60,""))</f>
        <v/>
      </c>
      <c r="AE279">
        <f>IF(W279&lt;&gt;"OK","",IF(OR(VALUE(O279)=2,VALUE(P279)=2,VALUE(Q279)=2),"社内残置",IF(AND(VALUE(O279)=0,VALUE(R279)=0,VALUE(T279)=0),"自動化候補",IF(AND(VALUE(P279)=0,VALUE(R279)&lt;=1,VALUE(S279)&lt;=1,VALUE(T279)&lt;=1,VALUE(U279)&lt;=1),"オフショア候補",IF(AND(VALUE(T279)&lt;=1,VALUE(U279)&lt;=1),"ニアショア候補","社内で手順化→再評価")))))</f>
        <v/>
      </c>
      <c r="AF279">
        <f>IF(W279&lt;&gt;"OK","",14-SUMPRODUCT(--O279:U279))</f>
        <v/>
      </c>
      <c r="AG279" s="33">
        <f>IF(W279&lt;&gt;"OK","",AM279*AN279/60)</f>
        <v/>
      </c>
      <c r="AH279" s="34">
        <f>IF(A279="","",UPPER(TRIM(ASC(A279&amp;""))))</f>
        <v/>
      </c>
      <c r="AI279" s="34">
        <f>IF(AH279="","",AH279&amp;"-"&amp;B279)</f>
        <v/>
      </c>
      <c r="AJ279" s="34">
        <f>IF(C279="","",IFERROR(VALUE(ASC(SUBSTITUTE(C279&amp;"","観点",""))),""))</f>
        <v/>
      </c>
      <c r="AK279" s="34">
        <f>IF(E279="","",UPPER(LEFT(TRIM(ASC(E279&amp;"")),3)))</f>
        <v/>
      </c>
      <c r="AL279" s="34">
        <f>IF(I279="","",IFERROR(VALUE(SUBSTITUTE(SUBSTITUTE(SUBSTITUTE(SUBSTITUTE(SUBSTITUTE(SUBSTITUTE(SUBSTITUTE(SUBSTITUTE(SUBSTITUTE(SUBSTITUTE(SUBSTITUTE(SUBSTITUTE(ASC(I279&amp;""),"約",""),"程度",""),"ほど",""),"回",""),"毎",""),"週",""),"月",""),"年",""),"日",""),"に",""),"/","")," ","")),""))</f>
        <v/>
      </c>
      <c r="AM279" s="34">
        <f>IF(I279="","",IF(ISNUMBER(I279),I279,IFERROR(VALUE(ASC(I279&amp;"")),IF(AL279&lt;&gt;"",AL279*IF(ISNUMBER(SEARCH("週",I279)),4.3,IF(ISNUMBER(SEARCH("年",I279)),1/12,IF(ISNUMBER(SEARCH("日",I279)),20,1))),IF(ISNUMBER(SEARCH("日",I279)),20,IF(ISNUMBER(SEARCH("週",I279)),4.3,IF(ISNUMBER(SEARCH("月",I279)),1,"")))))))</f>
        <v/>
      </c>
      <c r="AN279" s="34">
        <f>IF(J279="","",IF(ISNUMBER(J279),J279,IFERROR(VALUE(ASC(J279&amp;"")),IF(ISNUMBER(SEARCH("時間",J279)),IFERROR(VALUE(SUBSTITUTE(SUBSTITUTE(SUBSTITUTE(SUBSTITUTE(SUBSTITUTE(ASC(J279&amp;""),"約",""),"程度",""),"ほど",""),"時間","")," ",""))*60,""),IFERROR(VALUE(SUBSTITUTE(SUBSTITUTE(SUBSTITUTE(SUBSTITUTE(SUBSTITUTE(ASC(J279&amp;""),"約",""),"程度",""),"ほど",""),"分","")," ","")),"")))))</f>
        <v/>
      </c>
      <c r="AO279" s="34">
        <f>IF(K279="","",IF(ISNUMBER(K279),K279,IFERROR(VALUE(SUBSTITUTE(SUBSTITUTE(SUBSTITUTE(ASC(K279&amp;""),"約",""),"件","")," ","")),"")))</f>
        <v/>
      </c>
      <c r="AP279" s="34">
        <f>IF(W279&lt;&gt;"OK","",IF(COUNTIFS($D$5:$D$404,D279,$W$5:$W$404,"OK")&gt;1,"同名あり",""))</f>
        <v/>
      </c>
      <c r="AQ279" s="35">
        <f>IF(L279="","",IF(ISNUMBER(L279),L279,IFERROR(DATEVALUE(SUBSTITUTE(SUBSTITUTE(ASC(L279&amp;""),"-","/"),".","/")&amp;"/01"),"")))</f>
        <v/>
      </c>
      <c r="AR279" s="35">
        <f>IF(M279="","",IF(ISNUMBER(M279),M279,IFERROR(DATEVALUE(SUBSTITUTE(SUBSTITUTE(ASC(M279&amp;""),"-","/"),".","/")&amp;"/01"),"")))</f>
        <v/>
      </c>
      <c r="AS279" s="34">
        <f>IF(OR(W279&lt;&gt;"OK",AQ279=""),"",IF(AQ279&gt;='01_設定'!$C$26,1,0))</f>
        <v/>
      </c>
      <c r="AT279" s="34">
        <f>IF(AND(W279="OK",Y279&lt;&gt;"除外"),COUNTIFS($W$5:W279,"OK",$Y$5:Y279,"&lt;&gt;除外"),"")</f>
        <v/>
      </c>
      <c r="AU279" s="34">
        <f>IF(OR(AT279="",AD279=""),"",AD279+ROW()/1000000000)</f>
        <v/>
      </c>
    </row>
    <row r="280">
      <c r="W280">
        <f>IF(AND(A280="",D280=""),"",IF(ISNUMBER(SEARCH("##END",AH280)),"（終わりの印）",IF(ISNUMBER(SEARCH("##続き",AH280)),"（続きありの印）",IF(AH280="調査ID","（見出し行）",IF(AND(AH280&lt;&gt;"R1",AH280&lt;&gt;"R2"),"×表以外の行（集計されない）",IF(COUNTIF($AI$5:AI280,AI280)&gt;1,"△重複（集計されない）",IF(D280="","△タスク名なし",IF(ISNA(MATCH(AK280,'M1_類型マスタ'!$A$5:$A$19,0)),"△類型が不正",IF(OR(AM280="",AN280=""),"△回数・分が読めない",IF(SUMPRODUCT(--ISNUMBER(--O280:U280))&lt;7,"△採点が足りない",IF(SUMPRODUCT((--O280:U280&gt;2)+(--O280:U280&lt;0))&gt;0,"△採点が範囲外","OK")))))))))))</f>
        <v/>
      </c>
      <c r="X280">
        <f>IF(W280&lt;&gt;"OK","",TRIM(IF(AND(AO280&lt;&gt;"",N(AO280)&lt;=1),"根拠1件 ","")&amp;IF(AP280&lt;&gt;"","同名あり ","")&amp;IF(AND(NOT(ISNUMBER(I280)),I280&lt;&gt;""),"回数を換算 ","")))</f>
        <v/>
      </c>
      <c r="Y280" s="31" t="n"/>
      <c r="Z280" s="32" t="n"/>
      <c r="AA280" s="32" t="n"/>
      <c r="AB280" s="31" t="n"/>
      <c r="AC280">
        <f>IF(W280&lt;&gt;"OK","",IF(AB280&lt;&gt;"",AB280,AE280))</f>
        <v/>
      </c>
      <c r="AD280" s="33">
        <f>IF(W280&lt;&gt;"OK","",IFERROR(IF(Z280&lt;&gt;"",Z280,AM280)*IF(AA280&lt;&gt;"",AA280,AN280)/60,""))</f>
        <v/>
      </c>
      <c r="AE280">
        <f>IF(W280&lt;&gt;"OK","",IF(OR(VALUE(O280)=2,VALUE(P280)=2,VALUE(Q280)=2),"社内残置",IF(AND(VALUE(O280)=0,VALUE(R280)=0,VALUE(T280)=0),"自動化候補",IF(AND(VALUE(P280)=0,VALUE(R280)&lt;=1,VALUE(S280)&lt;=1,VALUE(T280)&lt;=1,VALUE(U280)&lt;=1),"オフショア候補",IF(AND(VALUE(T280)&lt;=1,VALUE(U280)&lt;=1),"ニアショア候補","社内で手順化→再評価")))))</f>
        <v/>
      </c>
      <c r="AF280">
        <f>IF(W280&lt;&gt;"OK","",14-SUMPRODUCT(--O280:U280))</f>
        <v/>
      </c>
      <c r="AG280" s="33">
        <f>IF(W280&lt;&gt;"OK","",AM280*AN280/60)</f>
        <v/>
      </c>
      <c r="AH280" s="34">
        <f>IF(A280="","",UPPER(TRIM(ASC(A280&amp;""))))</f>
        <v/>
      </c>
      <c r="AI280" s="34">
        <f>IF(AH280="","",AH280&amp;"-"&amp;B280)</f>
        <v/>
      </c>
      <c r="AJ280" s="34">
        <f>IF(C280="","",IFERROR(VALUE(ASC(SUBSTITUTE(C280&amp;"","観点",""))),""))</f>
        <v/>
      </c>
      <c r="AK280" s="34">
        <f>IF(E280="","",UPPER(LEFT(TRIM(ASC(E280&amp;"")),3)))</f>
        <v/>
      </c>
      <c r="AL280" s="34">
        <f>IF(I280="","",IFERROR(VALUE(SUBSTITUTE(SUBSTITUTE(SUBSTITUTE(SUBSTITUTE(SUBSTITUTE(SUBSTITUTE(SUBSTITUTE(SUBSTITUTE(SUBSTITUTE(SUBSTITUTE(SUBSTITUTE(SUBSTITUTE(ASC(I280&amp;""),"約",""),"程度",""),"ほど",""),"回",""),"毎",""),"週",""),"月",""),"年",""),"日",""),"に",""),"/","")," ","")),""))</f>
        <v/>
      </c>
      <c r="AM280" s="34">
        <f>IF(I280="","",IF(ISNUMBER(I280),I280,IFERROR(VALUE(ASC(I280&amp;"")),IF(AL280&lt;&gt;"",AL280*IF(ISNUMBER(SEARCH("週",I280)),4.3,IF(ISNUMBER(SEARCH("年",I280)),1/12,IF(ISNUMBER(SEARCH("日",I280)),20,1))),IF(ISNUMBER(SEARCH("日",I280)),20,IF(ISNUMBER(SEARCH("週",I280)),4.3,IF(ISNUMBER(SEARCH("月",I280)),1,"")))))))</f>
        <v/>
      </c>
      <c r="AN280" s="34">
        <f>IF(J280="","",IF(ISNUMBER(J280),J280,IFERROR(VALUE(ASC(J280&amp;"")),IF(ISNUMBER(SEARCH("時間",J280)),IFERROR(VALUE(SUBSTITUTE(SUBSTITUTE(SUBSTITUTE(SUBSTITUTE(SUBSTITUTE(ASC(J280&amp;""),"約",""),"程度",""),"ほど",""),"時間","")," ",""))*60,""),IFERROR(VALUE(SUBSTITUTE(SUBSTITUTE(SUBSTITUTE(SUBSTITUTE(SUBSTITUTE(ASC(J280&amp;""),"約",""),"程度",""),"ほど",""),"分","")," ","")),"")))))</f>
        <v/>
      </c>
      <c r="AO280" s="34">
        <f>IF(K280="","",IF(ISNUMBER(K280),K280,IFERROR(VALUE(SUBSTITUTE(SUBSTITUTE(SUBSTITUTE(ASC(K280&amp;""),"約",""),"件","")," ","")),"")))</f>
        <v/>
      </c>
      <c r="AP280" s="34">
        <f>IF(W280&lt;&gt;"OK","",IF(COUNTIFS($D$5:$D$404,D280,$W$5:$W$404,"OK")&gt;1,"同名あり",""))</f>
        <v/>
      </c>
      <c r="AQ280" s="35">
        <f>IF(L280="","",IF(ISNUMBER(L280),L280,IFERROR(DATEVALUE(SUBSTITUTE(SUBSTITUTE(ASC(L280&amp;""),"-","/"),".","/")&amp;"/01"),"")))</f>
        <v/>
      </c>
      <c r="AR280" s="35">
        <f>IF(M280="","",IF(ISNUMBER(M280),M280,IFERROR(DATEVALUE(SUBSTITUTE(SUBSTITUTE(ASC(M280&amp;""),"-","/"),".","/")&amp;"/01"),"")))</f>
        <v/>
      </c>
      <c r="AS280" s="34">
        <f>IF(OR(W280&lt;&gt;"OK",AQ280=""),"",IF(AQ280&gt;='01_設定'!$C$26,1,0))</f>
        <v/>
      </c>
      <c r="AT280" s="34">
        <f>IF(AND(W280="OK",Y280&lt;&gt;"除外"),COUNTIFS($W$5:W280,"OK",$Y$5:Y280,"&lt;&gt;除外"),"")</f>
        <v/>
      </c>
      <c r="AU280" s="34">
        <f>IF(OR(AT280="",AD280=""),"",AD280+ROW()/1000000000)</f>
        <v/>
      </c>
    </row>
    <row r="281">
      <c r="W281">
        <f>IF(AND(A281="",D281=""),"",IF(ISNUMBER(SEARCH("##END",AH281)),"（終わりの印）",IF(ISNUMBER(SEARCH("##続き",AH281)),"（続きありの印）",IF(AH281="調査ID","（見出し行）",IF(AND(AH281&lt;&gt;"R1",AH281&lt;&gt;"R2"),"×表以外の行（集計されない）",IF(COUNTIF($AI$5:AI281,AI281)&gt;1,"△重複（集計されない）",IF(D281="","△タスク名なし",IF(ISNA(MATCH(AK281,'M1_類型マスタ'!$A$5:$A$19,0)),"△類型が不正",IF(OR(AM281="",AN281=""),"△回数・分が読めない",IF(SUMPRODUCT(--ISNUMBER(--O281:U281))&lt;7,"△採点が足りない",IF(SUMPRODUCT((--O281:U281&gt;2)+(--O281:U281&lt;0))&gt;0,"△採点が範囲外","OK")))))))))))</f>
        <v/>
      </c>
      <c r="X281">
        <f>IF(W281&lt;&gt;"OK","",TRIM(IF(AND(AO281&lt;&gt;"",N(AO281)&lt;=1),"根拠1件 ","")&amp;IF(AP281&lt;&gt;"","同名あり ","")&amp;IF(AND(NOT(ISNUMBER(I281)),I281&lt;&gt;""),"回数を換算 ","")))</f>
        <v/>
      </c>
      <c r="Y281" s="31" t="n"/>
      <c r="Z281" s="32" t="n"/>
      <c r="AA281" s="32" t="n"/>
      <c r="AB281" s="31" t="n"/>
      <c r="AC281">
        <f>IF(W281&lt;&gt;"OK","",IF(AB281&lt;&gt;"",AB281,AE281))</f>
        <v/>
      </c>
      <c r="AD281" s="33">
        <f>IF(W281&lt;&gt;"OK","",IFERROR(IF(Z281&lt;&gt;"",Z281,AM281)*IF(AA281&lt;&gt;"",AA281,AN281)/60,""))</f>
        <v/>
      </c>
      <c r="AE281">
        <f>IF(W281&lt;&gt;"OK","",IF(OR(VALUE(O281)=2,VALUE(P281)=2,VALUE(Q281)=2),"社内残置",IF(AND(VALUE(O281)=0,VALUE(R281)=0,VALUE(T281)=0),"自動化候補",IF(AND(VALUE(P281)=0,VALUE(R281)&lt;=1,VALUE(S281)&lt;=1,VALUE(T281)&lt;=1,VALUE(U281)&lt;=1),"オフショア候補",IF(AND(VALUE(T281)&lt;=1,VALUE(U281)&lt;=1),"ニアショア候補","社内で手順化→再評価")))))</f>
        <v/>
      </c>
      <c r="AF281">
        <f>IF(W281&lt;&gt;"OK","",14-SUMPRODUCT(--O281:U281))</f>
        <v/>
      </c>
      <c r="AG281" s="33">
        <f>IF(W281&lt;&gt;"OK","",AM281*AN281/60)</f>
        <v/>
      </c>
      <c r="AH281" s="34">
        <f>IF(A281="","",UPPER(TRIM(ASC(A281&amp;""))))</f>
        <v/>
      </c>
      <c r="AI281" s="34">
        <f>IF(AH281="","",AH281&amp;"-"&amp;B281)</f>
        <v/>
      </c>
      <c r="AJ281" s="34">
        <f>IF(C281="","",IFERROR(VALUE(ASC(SUBSTITUTE(C281&amp;"","観点",""))),""))</f>
        <v/>
      </c>
      <c r="AK281" s="34">
        <f>IF(E281="","",UPPER(LEFT(TRIM(ASC(E281&amp;"")),3)))</f>
        <v/>
      </c>
      <c r="AL281" s="34">
        <f>IF(I281="","",IFERROR(VALUE(SUBSTITUTE(SUBSTITUTE(SUBSTITUTE(SUBSTITUTE(SUBSTITUTE(SUBSTITUTE(SUBSTITUTE(SUBSTITUTE(SUBSTITUTE(SUBSTITUTE(SUBSTITUTE(SUBSTITUTE(ASC(I281&amp;""),"約",""),"程度",""),"ほど",""),"回",""),"毎",""),"週",""),"月",""),"年",""),"日",""),"に",""),"/","")," ","")),""))</f>
        <v/>
      </c>
      <c r="AM281" s="34">
        <f>IF(I281="","",IF(ISNUMBER(I281),I281,IFERROR(VALUE(ASC(I281&amp;"")),IF(AL281&lt;&gt;"",AL281*IF(ISNUMBER(SEARCH("週",I281)),4.3,IF(ISNUMBER(SEARCH("年",I281)),1/12,IF(ISNUMBER(SEARCH("日",I281)),20,1))),IF(ISNUMBER(SEARCH("日",I281)),20,IF(ISNUMBER(SEARCH("週",I281)),4.3,IF(ISNUMBER(SEARCH("月",I281)),1,"")))))))</f>
        <v/>
      </c>
      <c r="AN281" s="34">
        <f>IF(J281="","",IF(ISNUMBER(J281),J281,IFERROR(VALUE(ASC(J281&amp;"")),IF(ISNUMBER(SEARCH("時間",J281)),IFERROR(VALUE(SUBSTITUTE(SUBSTITUTE(SUBSTITUTE(SUBSTITUTE(SUBSTITUTE(ASC(J281&amp;""),"約",""),"程度",""),"ほど",""),"時間","")," ",""))*60,""),IFERROR(VALUE(SUBSTITUTE(SUBSTITUTE(SUBSTITUTE(SUBSTITUTE(SUBSTITUTE(ASC(J281&amp;""),"約",""),"程度",""),"ほど",""),"分","")," ","")),"")))))</f>
        <v/>
      </c>
      <c r="AO281" s="34">
        <f>IF(K281="","",IF(ISNUMBER(K281),K281,IFERROR(VALUE(SUBSTITUTE(SUBSTITUTE(SUBSTITUTE(ASC(K281&amp;""),"約",""),"件","")," ","")),"")))</f>
        <v/>
      </c>
      <c r="AP281" s="34">
        <f>IF(W281&lt;&gt;"OK","",IF(COUNTIFS($D$5:$D$404,D281,$W$5:$W$404,"OK")&gt;1,"同名あり",""))</f>
        <v/>
      </c>
      <c r="AQ281" s="35">
        <f>IF(L281="","",IF(ISNUMBER(L281),L281,IFERROR(DATEVALUE(SUBSTITUTE(SUBSTITUTE(ASC(L281&amp;""),"-","/"),".","/")&amp;"/01"),"")))</f>
        <v/>
      </c>
      <c r="AR281" s="35">
        <f>IF(M281="","",IF(ISNUMBER(M281),M281,IFERROR(DATEVALUE(SUBSTITUTE(SUBSTITUTE(ASC(M281&amp;""),"-","/"),".","/")&amp;"/01"),"")))</f>
        <v/>
      </c>
      <c r="AS281" s="34">
        <f>IF(OR(W281&lt;&gt;"OK",AQ281=""),"",IF(AQ281&gt;='01_設定'!$C$26,1,0))</f>
        <v/>
      </c>
      <c r="AT281" s="34">
        <f>IF(AND(W281="OK",Y281&lt;&gt;"除外"),COUNTIFS($W$5:W281,"OK",$Y$5:Y281,"&lt;&gt;除外"),"")</f>
        <v/>
      </c>
      <c r="AU281" s="34">
        <f>IF(OR(AT281="",AD281=""),"",AD281+ROW()/1000000000)</f>
        <v/>
      </c>
    </row>
    <row r="282">
      <c r="W282">
        <f>IF(AND(A282="",D282=""),"",IF(ISNUMBER(SEARCH("##END",AH282)),"（終わりの印）",IF(ISNUMBER(SEARCH("##続き",AH282)),"（続きありの印）",IF(AH282="調査ID","（見出し行）",IF(AND(AH282&lt;&gt;"R1",AH282&lt;&gt;"R2"),"×表以外の行（集計されない）",IF(COUNTIF($AI$5:AI282,AI282)&gt;1,"△重複（集計されない）",IF(D282="","△タスク名なし",IF(ISNA(MATCH(AK282,'M1_類型マスタ'!$A$5:$A$19,0)),"△類型が不正",IF(OR(AM282="",AN282=""),"△回数・分が読めない",IF(SUMPRODUCT(--ISNUMBER(--O282:U282))&lt;7,"△採点が足りない",IF(SUMPRODUCT((--O282:U282&gt;2)+(--O282:U282&lt;0))&gt;0,"△採点が範囲外","OK")))))))))))</f>
        <v/>
      </c>
      <c r="X282">
        <f>IF(W282&lt;&gt;"OK","",TRIM(IF(AND(AO282&lt;&gt;"",N(AO282)&lt;=1),"根拠1件 ","")&amp;IF(AP282&lt;&gt;"","同名あり ","")&amp;IF(AND(NOT(ISNUMBER(I282)),I282&lt;&gt;""),"回数を換算 ","")))</f>
        <v/>
      </c>
      <c r="Y282" s="31" t="n"/>
      <c r="Z282" s="32" t="n"/>
      <c r="AA282" s="32" t="n"/>
      <c r="AB282" s="31" t="n"/>
      <c r="AC282">
        <f>IF(W282&lt;&gt;"OK","",IF(AB282&lt;&gt;"",AB282,AE282))</f>
        <v/>
      </c>
      <c r="AD282" s="33">
        <f>IF(W282&lt;&gt;"OK","",IFERROR(IF(Z282&lt;&gt;"",Z282,AM282)*IF(AA282&lt;&gt;"",AA282,AN282)/60,""))</f>
        <v/>
      </c>
      <c r="AE282">
        <f>IF(W282&lt;&gt;"OK","",IF(OR(VALUE(O282)=2,VALUE(P282)=2,VALUE(Q282)=2),"社内残置",IF(AND(VALUE(O282)=0,VALUE(R282)=0,VALUE(T282)=0),"自動化候補",IF(AND(VALUE(P282)=0,VALUE(R282)&lt;=1,VALUE(S282)&lt;=1,VALUE(T282)&lt;=1,VALUE(U282)&lt;=1),"オフショア候補",IF(AND(VALUE(T282)&lt;=1,VALUE(U282)&lt;=1),"ニアショア候補","社内で手順化→再評価")))))</f>
        <v/>
      </c>
      <c r="AF282">
        <f>IF(W282&lt;&gt;"OK","",14-SUMPRODUCT(--O282:U282))</f>
        <v/>
      </c>
      <c r="AG282" s="33">
        <f>IF(W282&lt;&gt;"OK","",AM282*AN282/60)</f>
        <v/>
      </c>
      <c r="AH282" s="34">
        <f>IF(A282="","",UPPER(TRIM(ASC(A282&amp;""))))</f>
        <v/>
      </c>
      <c r="AI282" s="34">
        <f>IF(AH282="","",AH282&amp;"-"&amp;B282)</f>
        <v/>
      </c>
      <c r="AJ282" s="34">
        <f>IF(C282="","",IFERROR(VALUE(ASC(SUBSTITUTE(C282&amp;"","観点",""))),""))</f>
        <v/>
      </c>
      <c r="AK282" s="34">
        <f>IF(E282="","",UPPER(LEFT(TRIM(ASC(E282&amp;"")),3)))</f>
        <v/>
      </c>
      <c r="AL282" s="34">
        <f>IF(I282="","",IFERROR(VALUE(SUBSTITUTE(SUBSTITUTE(SUBSTITUTE(SUBSTITUTE(SUBSTITUTE(SUBSTITUTE(SUBSTITUTE(SUBSTITUTE(SUBSTITUTE(SUBSTITUTE(SUBSTITUTE(SUBSTITUTE(ASC(I282&amp;""),"約",""),"程度",""),"ほど",""),"回",""),"毎",""),"週",""),"月",""),"年",""),"日",""),"に",""),"/","")," ","")),""))</f>
        <v/>
      </c>
      <c r="AM282" s="34">
        <f>IF(I282="","",IF(ISNUMBER(I282),I282,IFERROR(VALUE(ASC(I282&amp;"")),IF(AL282&lt;&gt;"",AL282*IF(ISNUMBER(SEARCH("週",I282)),4.3,IF(ISNUMBER(SEARCH("年",I282)),1/12,IF(ISNUMBER(SEARCH("日",I282)),20,1))),IF(ISNUMBER(SEARCH("日",I282)),20,IF(ISNUMBER(SEARCH("週",I282)),4.3,IF(ISNUMBER(SEARCH("月",I282)),1,"")))))))</f>
        <v/>
      </c>
      <c r="AN282" s="34">
        <f>IF(J282="","",IF(ISNUMBER(J282),J282,IFERROR(VALUE(ASC(J282&amp;"")),IF(ISNUMBER(SEARCH("時間",J282)),IFERROR(VALUE(SUBSTITUTE(SUBSTITUTE(SUBSTITUTE(SUBSTITUTE(SUBSTITUTE(ASC(J282&amp;""),"約",""),"程度",""),"ほど",""),"時間","")," ",""))*60,""),IFERROR(VALUE(SUBSTITUTE(SUBSTITUTE(SUBSTITUTE(SUBSTITUTE(SUBSTITUTE(ASC(J282&amp;""),"約",""),"程度",""),"ほど",""),"分","")," ","")),"")))))</f>
        <v/>
      </c>
      <c r="AO282" s="34">
        <f>IF(K282="","",IF(ISNUMBER(K282),K282,IFERROR(VALUE(SUBSTITUTE(SUBSTITUTE(SUBSTITUTE(ASC(K282&amp;""),"約",""),"件","")," ","")),"")))</f>
        <v/>
      </c>
      <c r="AP282" s="34">
        <f>IF(W282&lt;&gt;"OK","",IF(COUNTIFS($D$5:$D$404,D282,$W$5:$W$404,"OK")&gt;1,"同名あり",""))</f>
        <v/>
      </c>
      <c r="AQ282" s="35">
        <f>IF(L282="","",IF(ISNUMBER(L282),L282,IFERROR(DATEVALUE(SUBSTITUTE(SUBSTITUTE(ASC(L282&amp;""),"-","/"),".","/")&amp;"/01"),"")))</f>
        <v/>
      </c>
      <c r="AR282" s="35">
        <f>IF(M282="","",IF(ISNUMBER(M282),M282,IFERROR(DATEVALUE(SUBSTITUTE(SUBSTITUTE(ASC(M282&amp;""),"-","/"),".","/")&amp;"/01"),"")))</f>
        <v/>
      </c>
      <c r="AS282" s="34">
        <f>IF(OR(W282&lt;&gt;"OK",AQ282=""),"",IF(AQ282&gt;='01_設定'!$C$26,1,0))</f>
        <v/>
      </c>
      <c r="AT282" s="34">
        <f>IF(AND(W282="OK",Y282&lt;&gt;"除外"),COUNTIFS($W$5:W282,"OK",$Y$5:Y282,"&lt;&gt;除外"),"")</f>
        <v/>
      </c>
      <c r="AU282" s="34">
        <f>IF(OR(AT282="",AD282=""),"",AD282+ROW()/1000000000)</f>
        <v/>
      </c>
    </row>
    <row r="283">
      <c r="W283">
        <f>IF(AND(A283="",D283=""),"",IF(ISNUMBER(SEARCH("##END",AH283)),"（終わりの印）",IF(ISNUMBER(SEARCH("##続き",AH283)),"（続きありの印）",IF(AH283="調査ID","（見出し行）",IF(AND(AH283&lt;&gt;"R1",AH283&lt;&gt;"R2"),"×表以外の行（集計されない）",IF(COUNTIF($AI$5:AI283,AI283)&gt;1,"△重複（集計されない）",IF(D283="","△タスク名なし",IF(ISNA(MATCH(AK283,'M1_類型マスタ'!$A$5:$A$19,0)),"△類型が不正",IF(OR(AM283="",AN283=""),"△回数・分が読めない",IF(SUMPRODUCT(--ISNUMBER(--O283:U283))&lt;7,"△採点が足りない",IF(SUMPRODUCT((--O283:U283&gt;2)+(--O283:U283&lt;0))&gt;0,"△採点が範囲外","OK")))))))))))</f>
        <v/>
      </c>
      <c r="X283">
        <f>IF(W283&lt;&gt;"OK","",TRIM(IF(AND(AO283&lt;&gt;"",N(AO283)&lt;=1),"根拠1件 ","")&amp;IF(AP283&lt;&gt;"","同名あり ","")&amp;IF(AND(NOT(ISNUMBER(I283)),I283&lt;&gt;""),"回数を換算 ","")))</f>
        <v/>
      </c>
      <c r="Y283" s="31" t="n"/>
      <c r="Z283" s="32" t="n"/>
      <c r="AA283" s="32" t="n"/>
      <c r="AB283" s="31" t="n"/>
      <c r="AC283">
        <f>IF(W283&lt;&gt;"OK","",IF(AB283&lt;&gt;"",AB283,AE283))</f>
        <v/>
      </c>
      <c r="AD283" s="33">
        <f>IF(W283&lt;&gt;"OK","",IFERROR(IF(Z283&lt;&gt;"",Z283,AM283)*IF(AA283&lt;&gt;"",AA283,AN283)/60,""))</f>
        <v/>
      </c>
      <c r="AE283">
        <f>IF(W283&lt;&gt;"OK","",IF(OR(VALUE(O283)=2,VALUE(P283)=2,VALUE(Q283)=2),"社内残置",IF(AND(VALUE(O283)=0,VALUE(R283)=0,VALUE(T283)=0),"自動化候補",IF(AND(VALUE(P283)=0,VALUE(R283)&lt;=1,VALUE(S283)&lt;=1,VALUE(T283)&lt;=1,VALUE(U283)&lt;=1),"オフショア候補",IF(AND(VALUE(T283)&lt;=1,VALUE(U283)&lt;=1),"ニアショア候補","社内で手順化→再評価")))))</f>
        <v/>
      </c>
      <c r="AF283">
        <f>IF(W283&lt;&gt;"OK","",14-SUMPRODUCT(--O283:U283))</f>
        <v/>
      </c>
      <c r="AG283" s="33">
        <f>IF(W283&lt;&gt;"OK","",AM283*AN283/60)</f>
        <v/>
      </c>
      <c r="AH283" s="34">
        <f>IF(A283="","",UPPER(TRIM(ASC(A283&amp;""))))</f>
        <v/>
      </c>
      <c r="AI283" s="34">
        <f>IF(AH283="","",AH283&amp;"-"&amp;B283)</f>
        <v/>
      </c>
      <c r="AJ283" s="34">
        <f>IF(C283="","",IFERROR(VALUE(ASC(SUBSTITUTE(C283&amp;"","観点",""))),""))</f>
        <v/>
      </c>
      <c r="AK283" s="34">
        <f>IF(E283="","",UPPER(LEFT(TRIM(ASC(E283&amp;"")),3)))</f>
        <v/>
      </c>
      <c r="AL283" s="34">
        <f>IF(I283="","",IFERROR(VALUE(SUBSTITUTE(SUBSTITUTE(SUBSTITUTE(SUBSTITUTE(SUBSTITUTE(SUBSTITUTE(SUBSTITUTE(SUBSTITUTE(SUBSTITUTE(SUBSTITUTE(SUBSTITUTE(SUBSTITUTE(ASC(I283&amp;""),"約",""),"程度",""),"ほど",""),"回",""),"毎",""),"週",""),"月",""),"年",""),"日",""),"に",""),"/","")," ","")),""))</f>
        <v/>
      </c>
      <c r="AM283" s="34">
        <f>IF(I283="","",IF(ISNUMBER(I283),I283,IFERROR(VALUE(ASC(I283&amp;"")),IF(AL283&lt;&gt;"",AL283*IF(ISNUMBER(SEARCH("週",I283)),4.3,IF(ISNUMBER(SEARCH("年",I283)),1/12,IF(ISNUMBER(SEARCH("日",I283)),20,1))),IF(ISNUMBER(SEARCH("日",I283)),20,IF(ISNUMBER(SEARCH("週",I283)),4.3,IF(ISNUMBER(SEARCH("月",I283)),1,"")))))))</f>
        <v/>
      </c>
      <c r="AN283" s="34">
        <f>IF(J283="","",IF(ISNUMBER(J283),J283,IFERROR(VALUE(ASC(J283&amp;"")),IF(ISNUMBER(SEARCH("時間",J283)),IFERROR(VALUE(SUBSTITUTE(SUBSTITUTE(SUBSTITUTE(SUBSTITUTE(SUBSTITUTE(ASC(J283&amp;""),"約",""),"程度",""),"ほど",""),"時間","")," ",""))*60,""),IFERROR(VALUE(SUBSTITUTE(SUBSTITUTE(SUBSTITUTE(SUBSTITUTE(SUBSTITUTE(ASC(J283&amp;""),"約",""),"程度",""),"ほど",""),"分","")," ","")),"")))))</f>
        <v/>
      </c>
      <c r="AO283" s="34">
        <f>IF(K283="","",IF(ISNUMBER(K283),K283,IFERROR(VALUE(SUBSTITUTE(SUBSTITUTE(SUBSTITUTE(ASC(K283&amp;""),"約",""),"件","")," ","")),"")))</f>
        <v/>
      </c>
      <c r="AP283" s="34">
        <f>IF(W283&lt;&gt;"OK","",IF(COUNTIFS($D$5:$D$404,D283,$W$5:$W$404,"OK")&gt;1,"同名あり",""))</f>
        <v/>
      </c>
      <c r="AQ283" s="35">
        <f>IF(L283="","",IF(ISNUMBER(L283),L283,IFERROR(DATEVALUE(SUBSTITUTE(SUBSTITUTE(ASC(L283&amp;""),"-","/"),".","/")&amp;"/01"),"")))</f>
        <v/>
      </c>
      <c r="AR283" s="35">
        <f>IF(M283="","",IF(ISNUMBER(M283),M283,IFERROR(DATEVALUE(SUBSTITUTE(SUBSTITUTE(ASC(M283&amp;""),"-","/"),".","/")&amp;"/01"),"")))</f>
        <v/>
      </c>
      <c r="AS283" s="34">
        <f>IF(OR(W283&lt;&gt;"OK",AQ283=""),"",IF(AQ283&gt;='01_設定'!$C$26,1,0))</f>
        <v/>
      </c>
      <c r="AT283" s="34">
        <f>IF(AND(W283="OK",Y283&lt;&gt;"除外"),COUNTIFS($W$5:W283,"OK",$Y$5:Y283,"&lt;&gt;除外"),"")</f>
        <v/>
      </c>
      <c r="AU283" s="34">
        <f>IF(OR(AT283="",AD283=""),"",AD283+ROW()/1000000000)</f>
        <v/>
      </c>
    </row>
    <row r="284">
      <c r="W284">
        <f>IF(AND(A284="",D284=""),"",IF(ISNUMBER(SEARCH("##END",AH284)),"（終わりの印）",IF(ISNUMBER(SEARCH("##続き",AH284)),"（続きありの印）",IF(AH284="調査ID","（見出し行）",IF(AND(AH284&lt;&gt;"R1",AH284&lt;&gt;"R2"),"×表以外の行（集計されない）",IF(COUNTIF($AI$5:AI284,AI284)&gt;1,"△重複（集計されない）",IF(D284="","△タスク名なし",IF(ISNA(MATCH(AK284,'M1_類型マスタ'!$A$5:$A$19,0)),"△類型が不正",IF(OR(AM284="",AN284=""),"△回数・分が読めない",IF(SUMPRODUCT(--ISNUMBER(--O284:U284))&lt;7,"△採点が足りない",IF(SUMPRODUCT((--O284:U284&gt;2)+(--O284:U284&lt;0))&gt;0,"△採点が範囲外","OK")))))))))))</f>
        <v/>
      </c>
      <c r="X284">
        <f>IF(W284&lt;&gt;"OK","",TRIM(IF(AND(AO284&lt;&gt;"",N(AO284)&lt;=1),"根拠1件 ","")&amp;IF(AP284&lt;&gt;"","同名あり ","")&amp;IF(AND(NOT(ISNUMBER(I284)),I284&lt;&gt;""),"回数を換算 ","")))</f>
        <v/>
      </c>
      <c r="Y284" s="31" t="n"/>
      <c r="Z284" s="32" t="n"/>
      <c r="AA284" s="32" t="n"/>
      <c r="AB284" s="31" t="n"/>
      <c r="AC284">
        <f>IF(W284&lt;&gt;"OK","",IF(AB284&lt;&gt;"",AB284,AE284))</f>
        <v/>
      </c>
      <c r="AD284" s="33">
        <f>IF(W284&lt;&gt;"OK","",IFERROR(IF(Z284&lt;&gt;"",Z284,AM284)*IF(AA284&lt;&gt;"",AA284,AN284)/60,""))</f>
        <v/>
      </c>
      <c r="AE284">
        <f>IF(W284&lt;&gt;"OK","",IF(OR(VALUE(O284)=2,VALUE(P284)=2,VALUE(Q284)=2),"社内残置",IF(AND(VALUE(O284)=0,VALUE(R284)=0,VALUE(T284)=0),"自動化候補",IF(AND(VALUE(P284)=0,VALUE(R284)&lt;=1,VALUE(S284)&lt;=1,VALUE(T284)&lt;=1,VALUE(U284)&lt;=1),"オフショア候補",IF(AND(VALUE(T284)&lt;=1,VALUE(U284)&lt;=1),"ニアショア候補","社内で手順化→再評価")))))</f>
        <v/>
      </c>
      <c r="AF284">
        <f>IF(W284&lt;&gt;"OK","",14-SUMPRODUCT(--O284:U284))</f>
        <v/>
      </c>
      <c r="AG284" s="33">
        <f>IF(W284&lt;&gt;"OK","",AM284*AN284/60)</f>
        <v/>
      </c>
      <c r="AH284" s="34">
        <f>IF(A284="","",UPPER(TRIM(ASC(A284&amp;""))))</f>
        <v/>
      </c>
      <c r="AI284" s="34">
        <f>IF(AH284="","",AH284&amp;"-"&amp;B284)</f>
        <v/>
      </c>
      <c r="AJ284" s="34">
        <f>IF(C284="","",IFERROR(VALUE(ASC(SUBSTITUTE(C284&amp;"","観点",""))),""))</f>
        <v/>
      </c>
      <c r="AK284" s="34">
        <f>IF(E284="","",UPPER(LEFT(TRIM(ASC(E284&amp;"")),3)))</f>
        <v/>
      </c>
      <c r="AL284" s="34">
        <f>IF(I284="","",IFERROR(VALUE(SUBSTITUTE(SUBSTITUTE(SUBSTITUTE(SUBSTITUTE(SUBSTITUTE(SUBSTITUTE(SUBSTITUTE(SUBSTITUTE(SUBSTITUTE(SUBSTITUTE(SUBSTITUTE(SUBSTITUTE(ASC(I284&amp;""),"約",""),"程度",""),"ほど",""),"回",""),"毎",""),"週",""),"月",""),"年",""),"日",""),"に",""),"/","")," ","")),""))</f>
        <v/>
      </c>
      <c r="AM284" s="34">
        <f>IF(I284="","",IF(ISNUMBER(I284),I284,IFERROR(VALUE(ASC(I284&amp;"")),IF(AL284&lt;&gt;"",AL284*IF(ISNUMBER(SEARCH("週",I284)),4.3,IF(ISNUMBER(SEARCH("年",I284)),1/12,IF(ISNUMBER(SEARCH("日",I284)),20,1))),IF(ISNUMBER(SEARCH("日",I284)),20,IF(ISNUMBER(SEARCH("週",I284)),4.3,IF(ISNUMBER(SEARCH("月",I284)),1,"")))))))</f>
        <v/>
      </c>
      <c r="AN284" s="34">
        <f>IF(J284="","",IF(ISNUMBER(J284),J284,IFERROR(VALUE(ASC(J284&amp;"")),IF(ISNUMBER(SEARCH("時間",J284)),IFERROR(VALUE(SUBSTITUTE(SUBSTITUTE(SUBSTITUTE(SUBSTITUTE(SUBSTITUTE(ASC(J284&amp;""),"約",""),"程度",""),"ほど",""),"時間","")," ",""))*60,""),IFERROR(VALUE(SUBSTITUTE(SUBSTITUTE(SUBSTITUTE(SUBSTITUTE(SUBSTITUTE(ASC(J284&amp;""),"約",""),"程度",""),"ほど",""),"分","")," ","")),"")))))</f>
        <v/>
      </c>
      <c r="AO284" s="34">
        <f>IF(K284="","",IF(ISNUMBER(K284),K284,IFERROR(VALUE(SUBSTITUTE(SUBSTITUTE(SUBSTITUTE(ASC(K284&amp;""),"約",""),"件","")," ","")),"")))</f>
        <v/>
      </c>
      <c r="AP284" s="34">
        <f>IF(W284&lt;&gt;"OK","",IF(COUNTIFS($D$5:$D$404,D284,$W$5:$W$404,"OK")&gt;1,"同名あり",""))</f>
        <v/>
      </c>
      <c r="AQ284" s="35">
        <f>IF(L284="","",IF(ISNUMBER(L284),L284,IFERROR(DATEVALUE(SUBSTITUTE(SUBSTITUTE(ASC(L284&amp;""),"-","/"),".","/")&amp;"/01"),"")))</f>
        <v/>
      </c>
      <c r="AR284" s="35">
        <f>IF(M284="","",IF(ISNUMBER(M284),M284,IFERROR(DATEVALUE(SUBSTITUTE(SUBSTITUTE(ASC(M284&amp;""),"-","/"),".","/")&amp;"/01"),"")))</f>
        <v/>
      </c>
      <c r="AS284" s="34">
        <f>IF(OR(W284&lt;&gt;"OK",AQ284=""),"",IF(AQ284&gt;='01_設定'!$C$26,1,0))</f>
        <v/>
      </c>
      <c r="AT284" s="34">
        <f>IF(AND(W284="OK",Y284&lt;&gt;"除外"),COUNTIFS($W$5:W284,"OK",$Y$5:Y284,"&lt;&gt;除外"),"")</f>
        <v/>
      </c>
      <c r="AU284" s="34">
        <f>IF(OR(AT284="",AD284=""),"",AD284+ROW()/1000000000)</f>
        <v/>
      </c>
    </row>
    <row r="285">
      <c r="W285">
        <f>IF(AND(A285="",D285=""),"",IF(ISNUMBER(SEARCH("##END",AH285)),"（終わりの印）",IF(ISNUMBER(SEARCH("##続き",AH285)),"（続きありの印）",IF(AH285="調査ID","（見出し行）",IF(AND(AH285&lt;&gt;"R1",AH285&lt;&gt;"R2"),"×表以外の行（集計されない）",IF(COUNTIF($AI$5:AI285,AI285)&gt;1,"△重複（集計されない）",IF(D285="","△タスク名なし",IF(ISNA(MATCH(AK285,'M1_類型マスタ'!$A$5:$A$19,0)),"△類型が不正",IF(OR(AM285="",AN285=""),"△回数・分が読めない",IF(SUMPRODUCT(--ISNUMBER(--O285:U285))&lt;7,"△採点が足りない",IF(SUMPRODUCT((--O285:U285&gt;2)+(--O285:U285&lt;0))&gt;0,"△採点が範囲外","OK")))))))))))</f>
        <v/>
      </c>
      <c r="X285">
        <f>IF(W285&lt;&gt;"OK","",TRIM(IF(AND(AO285&lt;&gt;"",N(AO285)&lt;=1),"根拠1件 ","")&amp;IF(AP285&lt;&gt;"","同名あり ","")&amp;IF(AND(NOT(ISNUMBER(I285)),I285&lt;&gt;""),"回数を換算 ","")))</f>
        <v/>
      </c>
      <c r="Y285" s="31" t="n"/>
      <c r="Z285" s="32" t="n"/>
      <c r="AA285" s="32" t="n"/>
      <c r="AB285" s="31" t="n"/>
      <c r="AC285">
        <f>IF(W285&lt;&gt;"OK","",IF(AB285&lt;&gt;"",AB285,AE285))</f>
        <v/>
      </c>
      <c r="AD285" s="33">
        <f>IF(W285&lt;&gt;"OK","",IFERROR(IF(Z285&lt;&gt;"",Z285,AM285)*IF(AA285&lt;&gt;"",AA285,AN285)/60,""))</f>
        <v/>
      </c>
      <c r="AE285">
        <f>IF(W285&lt;&gt;"OK","",IF(OR(VALUE(O285)=2,VALUE(P285)=2,VALUE(Q285)=2),"社内残置",IF(AND(VALUE(O285)=0,VALUE(R285)=0,VALUE(T285)=0),"自動化候補",IF(AND(VALUE(P285)=0,VALUE(R285)&lt;=1,VALUE(S285)&lt;=1,VALUE(T285)&lt;=1,VALUE(U285)&lt;=1),"オフショア候補",IF(AND(VALUE(T285)&lt;=1,VALUE(U285)&lt;=1),"ニアショア候補","社内で手順化→再評価")))))</f>
        <v/>
      </c>
      <c r="AF285">
        <f>IF(W285&lt;&gt;"OK","",14-SUMPRODUCT(--O285:U285))</f>
        <v/>
      </c>
      <c r="AG285" s="33">
        <f>IF(W285&lt;&gt;"OK","",AM285*AN285/60)</f>
        <v/>
      </c>
      <c r="AH285" s="34">
        <f>IF(A285="","",UPPER(TRIM(ASC(A285&amp;""))))</f>
        <v/>
      </c>
      <c r="AI285" s="34">
        <f>IF(AH285="","",AH285&amp;"-"&amp;B285)</f>
        <v/>
      </c>
      <c r="AJ285" s="34">
        <f>IF(C285="","",IFERROR(VALUE(ASC(SUBSTITUTE(C285&amp;"","観点",""))),""))</f>
        <v/>
      </c>
      <c r="AK285" s="34">
        <f>IF(E285="","",UPPER(LEFT(TRIM(ASC(E285&amp;"")),3)))</f>
        <v/>
      </c>
      <c r="AL285" s="34">
        <f>IF(I285="","",IFERROR(VALUE(SUBSTITUTE(SUBSTITUTE(SUBSTITUTE(SUBSTITUTE(SUBSTITUTE(SUBSTITUTE(SUBSTITUTE(SUBSTITUTE(SUBSTITUTE(SUBSTITUTE(SUBSTITUTE(SUBSTITUTE(ASC(I285&amp;""),"約",""),"程度",""),"ほど",""),"回",""),"毎",""),"週",""),"月",""),"年",""),"日",""),"に",""),"/","")," ","")),""))</f>
        <v/>
      </c>
      <c r="AM285" s="34">
        <f>IF(I285="","",IF(ISNUMBER(I285),I285,IFERROR(VALUE(ASC(I285&amp;"")),IF(AL285&lt;&gt;"",AL285*IF(ISNUMBER(SEARCH("週",I285)),4.3,IF(ISNUMBER(SEARCH("年",I285)),1/12,IF(ISNUMBER(SEARCH("日",I285)),20,1))),IF(ISNUMBER(SEARCH("日",I285)),20,IF(ISNUMBER(SEARCH("週",I285)),4.3,IF(ISNUMBER(SEARCH("月",I285)),1,"")))))))</f>
        <v/>
      </c>
      <c r="AN285" s="34">
        <f>IF(J285="","",IF(ISNUMBER(J285),J285,IFERROR(VALUE(ASC(J285&amp;"")),IF(ISNUMBER(SEARCH("時間",J285)),IFERROR(VALUE(SUBSTITUTE(SUBSTITUTE(SUBSTITUTE(SUBSTITUTE(SUBSTITUTE(ASC(J285&amp;""),"約",""),"程度",""),"ほど",""),"時間","")," ",""))*60,""),IFERROR(VALUE(SUBSTITUTE(SUBSTITUTE(SUBSTITUTE(SUBSTITUTE(SUBSTITUTE(ASC(J285&amp;""),"約",""),"程度",""),"ほど",""),"分","")," ","")),"")))))</f>
        <v/>
      </c>
      <c r="AO285" s="34">
        <f>IF(K285="","",IF(ISNUMBER(K285),K285,IFERROR(VALUE(SUBSTITUTE(SUBSTITUTE(SUBSTITUTE(ASC(K285&amp;""),"約",""),"件","")," ","")),"")))</f>
        <v/>
      </c>
      <c r="AP285" s="34">
        <f>IF(W285&lt;&gt;"OK","",IF(COUNTIFS($D$5:$D$404,D285,$W$5:$W$404,"OK")&gt;1,"同名あり",""))</f>
        <v/>
      </c>
      <c r="AQ285" s="35">
        <f>IF(L285="","",IF(ISNUMBER(L285),L285,IFERROR(DATEVALUE(SUBSTITUTE(SUBSTITUTE(ASC(L285&amp;""),"-","/"),".","/")&amp;"/01"),"")))</f>
        <v/>
      </c>
      <c r="AR285" s="35">
        <f>IF(M285="","",IF(ISNUMBER(M285),M285,IFERROR(DATEVALUE(SUBSTITUTE(SUBSTITUTE(ASC(M285&amp;""),"-","/"),".","/")&amp;"/01"),"")))</f>
        <v/>
      </c>
      <c r="AS285" s="34">
        <f>IF(OR(W285&lt;&gt;"OK",AQ285=""),"",IF(AQ285&gt;='01_設定'!$C$26,1,0))</f>
        <v/>
      </c>
      <c r="AT285" s="34">
        <f>IF(AND(W285="OK",Y285&lt;&gt;"除外"),COUNTIFS($W$5:W285,"OK",$Y$5:Y285,"&lt;&gt;除外"),"")</f>
        <v/>
      </c>
      <c r="AU285" s="34">
        <f>IF(OR(AT285="",AD285=""),"",AD285+ROW()/1000000000)</f>
        <v/>
      </c>
    </row>
    <row r="286">
      <c r="W286">
        <f>IF(AND(A286="",D286=""),"",IF(ISNUMBER(SEARCH("##END",AH286)),"（終わりの印）",IF(ISNUMBER(SEARCH("##続き",AH286)),"（続きありの印）",IF(AH286="調査ID","（見出し行）",IF(AND(AH286&lt;&gt;"R1",AH286&lt;&gt;"R2"),"×表以外の行（集計されない）",IF(COUNTIF($AI$5:AI286,AI286)&gt;1,"△重複（集計されない）",IF(D286="","△タスク名なし",IF(ISNA(MATCH(AK286,'M1_類型マスタ'!$A$5:$A$19,0)),"△類型が不正",IF(OR(AM286="",AN286=""),"△回数・分が読めない",IF(SUMPRODUCT(--ISNUMBER(--O286:U286))&lt;7,"△採点が足りない",IF(SUMPRODUCT((--O286:U286&gt;2)+(--O286:U286&lt;0))&gt;0,"△採点が範囲外","OK")))))))))))</f>
        <v/>
      </c>
      <c r="X286">
        <f>IF(W286&lt;&gt;"OK","",TRIM(IF(AND(AO286&lt;&gt;"",N(AO286)&lt;=1),"根拠1件 ","")&amp;IF(AP286&lt;&gt;"","同名あり ","")&amp;IF(AND(NOT(ISNUMBER(I286)),I286&lt;&gt;""),"回数を換算 ","")))</f>
        <v/>
      </c>
      <c r="Y286" s="31" t="n"/>
      <c r="Z286" s="32" t="n"/>
      <c r="AA286" s="32" t="n"/>
      <c r="AB286" s="31" t="n"/>
      <c r="AC286">
        <f>IF(W286&lt;&gt;"OK","",IF(AB286&lt;&gt;"",AB286,AE286))</f>
        <v/>
      </c>
      <c r="AD286" s="33">
        <f>IF(W286&lt;&gt;"OK","",IFERROR(IF(Z286&lt;&gt;"",Z286,AM286)*IF(AA286&lt;&gt;"",AA286,AN286)/60,""))</f>
        <v/>
      </c>
      <c r="AE286">
        <f>IF(W286&lt;&gt;"OK","",IF(OR(VALUE(O286)=2,VALUE(P286)=2,VALUE(Q286)=2),"社内残置",IF(AND(VALUE(O286)=0,VALUE(R286)=0,VALUE(T286)=0),"自動化候補",IF(AND(VALUE(P286)=0,VALUE(R286)&lt;=1,VALUE(S286)&lt;=1,VALUE(T286)&lt;=1,VALUE(U286)&lt;=1),"オフショア候補",IF(AND(VALUE(T286)&lt;=1,VALUE(U286)&lt;=1),"ニアショア候補","社内で手順化→再評価")))))</f>
        <v/>
      </c>
      <c r="AF286">
        <f>IF(W286&lt;&gt;"OK","",14-SUMPRODUCT(--O286:U286))</f>
        <v/>
      </c>
      <c r="AG286" s="33">
        <f>IF(W286&lt;&gt;"OK","",AM286*AN286/60)</f>
        <v/>
      </c>
      <c r="AH286" s="34">
        <f>IF(A286="","",UPPER(TRIM(ASC(A286&amp;""))))</f>
        <v/>
      </c>
      <c r="AI286" s="34">
        <f>IF(AH286="","",AH286&amp;"-"&amp;B286)</f>
        <v/>
      </c>
      <c r="AJ286" s="34">
        <f>IF(C286="","",IFERROR(VALUE(ASC(SUBSTITUTE(C286&amp;"","観点",""))),""))</f>
        <v/>
      </c>
      <c r="AK286" s="34">
        <f>IF(E286="","",UPPER(LEFT(TRIM(ASC(E286&amp;"")),3)))</f>
        <v/>
      </c>
      <c r="AL286" s="34">
        <f>IF(I286="","",IFERROR(VALUE(SUBSTITUTE(SUBSTITUTE(SUBSTITUTE(SUBSTITUTE(SUBSTITUTE(SUBSTITUTE(SUBSTITUTE(SUBSTITUTE(SUBSTITUTE(SUBSTITUTE(SUBSTITUTE(SUBSTITUTE(ASC(I286&amp;""),"約",""),"程度",""),"ほど",""),"回",""),"毎",""),"週",""),"月",""),"年",""),"日",""),"に",""),"/","")," ","")),""))</f>
        <v/>
      </c>
      <c r="AM286" s="34">
        <f>IF(I286="","",IF(ISNUMBER(I286),I286,IFERROR(VALUE(ASC(I286&amp;"")),IF(AL286&lt;&gt;"",AL286*IF(ISNUMBER(SEARCH("週",I286)),4.3,IF(ISNUMBER(SEARCH("年",I286)),1/12,IF(ISNUMBER(SEARCH("日",I286)),20,1))),IF(ISNUMBER(SEARCH("日",I286)),20,IF(ISNUMBER(SEARCH("週",I286)),4.3,IF(ISNUMBER(SEARCH("月",I286)),1,"")))))))</f>
        <v/>
      </c>
      <c r="AN286" s="34">
        <f>IF(J286="","",IF(ISNUMBER(J286),J286,IFERROR(VALUE(ASC(J286&amp;"")),IF(ISNUMBER(SEARCH("時間",J286)),IFERROR(VALUE(SUBSTITUTE(SUBSTITUTE(SUBSTITUTE(SUBSTITUTE(SUBSTITUTE(ASC(J286&amp;""),"約",""),"程度",""),"ほど",""),"時間","")," ",""))*60,""),IFERROR(VALUE(SUBSTITUTE(SUBSTITUTE(SUBSTITUTE(SUBSTITUTE(SUBSTITUTE(ASC(J286&amp;""),"約",""),"程度",""),"ほど",""),"分","")," ","")),"")))))</f>
        <v/>
      </c>
      <c r="AO286" s="34">
        <f>IF(K286="","",IF(ISNUMBER(K286),K286,IFERROR(VALUE(SUBSTITUTE(SUBSTITUTE(SUBSTITUTE(ASC(K286&amp;""),"約",""),"件","")," ","")),"")))</f>
        <v/>
      </c>
      <c r="AP286" s="34">
        <f>IF(W286&lt;&gt;"OK","",IF(COUNTIFS($D$5:$D$404,D286,$W$5:$W$404,"OK")&gt;1,"同名あり",""))</f>
        <v/>
      </c>
      <c r="AQ286" s="35">
        <f>IF(L286="","",IF(ISNUMBER(L286),L286,IFERROR(DATEVALUE(SUBSTITUTE(SUBSTITUTE(ASC(L286&amp;""),"-","/"),".","/")&amp;"/01"),"")))</f>
        <v/>
      </c>
      <c r="AR286" s="35">
        <f>IF(M286="","",IF(ISNUMBER(M286),M286,IFERROR(DATEVALUE(SUBSTITUTE(SUBSTITUTE(ASC(M286&amp;""),"-","/"),".","/")&amp;"/01"),"")))</f>
        <v/>
      </c>
      <c r="AS286" s="34">
        <f>IF(OR(W286&lt;&gt;"OK",AQ286=""),"",IF(AQ286&gt;='01_設定'!$C$26,1,0))</f>
        <v/>
      </c>
      <c r="AT286" s="34">
        <f>IF(AND(W286="OK",Y286&lt;&gt;"除外"),COUNTIFS($W$5:W286,"OK",$Y$5:Y286,"&lt;&gt;除外"),"")</f>
        <v/>
      </c>
      <c r="AU286" s="34">
        <f>IF(OR(AT286="",AD286=""),"",AD286+ROW()/1000000000)</f>
        <v/>
      </c>
    </row>
    <row r="287">
      <c r="W287">
        <f>IF(AND(A287="",D287=""),"",IF(ISNUMBER(SEARCH("##END",AH287)),"（終わりの印）",IF(ISNUMBER(SEARCH("##続き",AH287)),"（続きありの印）",IF(AH287="調査ID","（見出し行）",IF(AND(AH287&lt;&gt;"R1",AH287&lt;&gt;"R2"),"×表以外の行（集計されない）",IF(COUNTIF($AI$5:AI287,AI287)&gt;1,"△重複（集計されない）",IF(D287="","△タスク名なし",IF(ISNA(MATCH(AK287,'M1_類型マスタ'!$A$5:$A$19,0)),"△類型が不正",IF(OR(AM287="",AN287=""),"△回数・分が読めない",IF(SUMPRODUCT(--ISNUMBER(--O287:U287))&lt;7,"△採点が足りない",IF(SUMPRODUCT((--O287:U287&gt;2)+(--O287:U287&lt;0))&gt;0,"△採点が範囲外","OK")))))))))))</f>
        <v/>
      </c>
      <c r="X287">
        <f>IF(W287&lt;&gt;"OK","",TRIM(IF(AND(AO287&lt;&gt;"",N(AO287)&lt;=1),"根拠1件 ","")&amp;IF(AP287&lt;&gt;"","同名あり ","")&amp;IF(AND(NOT(ISNUMBER(I287)),I287&lt;&gt;""),"回数を換算 ","")))</f>
        <v/>
      </c>
      <c r="Y287" s="31" t="n"/>
      <c r="Z287" s="32" t="n"/>
      <c r="AA287" s="32" t="n"/>
      <c r="AB287" s="31" t="n"/>
      <c r="AC287">
        <f>IF(W287&lt;&gt;"OK","",IF(AB287&lt;&gt;"",AB287,AE287))</f>
        <v/>
      </c>
      <c r="AD287" s="33">
        <f>IF(W287&lt;&gt;"OK","",IFERROR(IF(Z287&lt;&gt;"",Z287,AM287)*IF(AA287&lt;&gt;"",AA287,AN287)/60,""))</f>
        <v/>
      </c>
      <c r="AE287">
        <f>IF(W287&lt;&gt;"OK","",IF(OR(VALUE(O287)=2,VALUE(P287)=2,VALUE(Q287)=2),"社内残置",IF(AND(VALUE(O287)=0,VALUE(R287)=0,VALUE(T287)=0),"自動化候補",IF(AND(VALUE(P287)=0,VALUE(R287)&lt;=1,VALUE(S287)&lt;=1,VALUE(T287)&lt;=1,VALUE(U287)&lt;=1),"オフショア候補",IF(AND(VALUE(T287)&lt;=1,VALUE(U287)&lt;=1),"ニアショア候補","社内で手順化→再評価")))))</f>
        <v/>
      </c>
      <c r="AF287">
        <f>IF(W287&lt;&gt;"OK","",14-SUMPRODUCT(--O287:U287))</f>
        <v/>
      </c>
      <c r="AG287" s="33">
        <f>IF(W287&lt;&gt;"OK","",AM287*AN287/60)</f>
        <v/>
      </c>
      <c r="AH287" s="34">
        <f>IF(A287="","",UPPER(TRIM(ASC(A287&amp;""))))</f>
        <v/>
      </c>
      <c r="AI287" s="34">
        <f>IF(AH287="","",AH287&amp;"-"&amp;B287)</f>
        <v/>
      </c>
      <c r="AJ287" s="34">
        <f>IF(C287="","",IFERROR(VALUE(ASC(SUBSTITUTE(C287&amp;"","観点",""))),""))</f>
        <v/>
      </c>
      <c r="AK287" s="34">
        <f>IF(E287="","",UPPER(LEFT(TRIM(ASC(E287&amp;"")),3)))</f>
        <v/>
      </c>
      <c r="AL287" s="34">
        <f>IF(I287="","",IFERROR(VALUE(SUBSTITUTE(SUBSTITUTE(SUBSTITUTE(SUBSTITUTE(SUBSTITUTE(SUBSTITUTE(SUBSTITUTE(SUBSTITUTE(SUBSTITUTE(SUBSTITUTE(SUBSTITUTE(SUBSTITUTE(ASC(I287&amp;""),"約",""),"程度",""),"ほど",""),"回",""),"毎",""),"週",""),"月",""),"年",""),"日",""),"に",""),"/","")," ","")),""))</f>
        <v/>
      </c>
      <c r="AM287" s="34">
        <f>IF(I287="","",IF(ISNUMBER(I287),I287,IFERROR(VALUE(ASC(I287&amp;"")),IF(AL287&lt;&gt;"",AL287*IF(ISNUMBER(SEARCH("週",I287)),4.3,IF(ISNUMBER(SEARCH("年",I287)),1/12,IF(ISNUMBER(SEARCH("日",I287)),20,1))),IF(ISNUMBER(SEARCH("日",I287)),20,IF(ISNUMBER(SEARCH("週",I287)),4.3,IF(ISNUMBER(SEARCH("月",I287)),1,"")))))))</f>
        <v/>
      </c>
      <c r="AN287" s="34">
        <f>IF(J287="","",IF(ISNUMBER(J287),J287,IFERROR(VALUE(ASC(J287&amp;"")),IF(ISNUMBER(SEARCH("時間",J287)),IFERROR(VALUE(SUBSTITUTE(SUBSTITUTE(SUBSTITUTE(SUBSTITUTE(SUBSTITUTE(ASC(J287&amp;""),"約",""),"程度",""),"ほど",""),"時間","")," ",""))*60,""),IFERROR(VALUE(SUBSTITUTE(SUBSTITUTE(SUBSTITUTE(SUBSTITUTE(SUBSTITUTE(ASC(J287&amp;""),"約",""),"程度",""),"ほど",""),"分","")," ","")),"")))))</f>
        <v/>
      </c>
      <c r="AO287" s="34">
        <f>IF(K287="","",IF(ISNUMBER(K287),K287,IFERROR(VALUE(SUBSTITUTE(SUBSTITUTE(SUBSTITUTE(ASC(K287&amp;""),"約",""),"件","")," ","")),"")))</f>
        <v/>
      </c>
      <c r="AP287" s="34">
        <f>IF(W287&lt;&gt;"OK","",IF(COUNTIFS($D$5:$D$404,D287,$W$5:$W$404,"OK")&gt;1,"同名あり",""))</f>
        <v/>
      </c>
      <c r="AQ287" s="35">
        <f>IF(L287="","",IF(ISNUMBER(L287),L287,IFERROR(DATEVALUE(SUBSTITUTE(SUBSTITUTE(ASC(L287&amp;""),"-","/"),".","/")&amp;"/01"),"")))</f>
        <v/>
      </c>
      <c r="AR287" s="35">
        <f>IF(M287="","",IF(ISNUMBER(M287),M287,IFERROR(DATEVALUE(SUBSTITUTE(SUBSTITUTE(ASC(M287&amp;""),"-","/"),".","/")&amp;"/01"),"")))</f>
        <v/>
      </c>
      <c r="AS287" s="34">
        <f>IF(OR(W287&lt;&gt;"OK",AQ287=""),"",IF(AQ287&gt;='01_設定'!$C$26,1,0))</f>
        <v/>
      </c>
      <c r="AT287" s="34">
        <f>IF(AND(W287="OK",Y287&lt;&gt;"除外"),COUNTIFS($W$5:W287,"OK",$Y$5:Y287,"&lt;&gt;除外"),"")</f>
        <v/>
      </c>
      <c r="AU287" s="34">
        <f>IF(OR(AT287="",AD287=""),"",AD287+ROW()/1000000000)</f>
        <v/>
      </c>
    </row>
    <row r="288">
      <c r="W288">
        <f>IF(AND(A288="",D288=""),"",IF(ISNUMBER(SEARCH("##END",AH288)),"（終わりの印）",IF(ISNUMBER(SEARCH("##続き",AH288)),"（続きありの印）",IF(AH288="調査ID","（見出し行）",IF(AND(AH288&lt;&gt;"R1",AH288&lt;&gt;"R2"),"×表以外の行（集計されない）",IF(COUNTIF($AI$5:AI288,AI288)&gt;1,"△重複（集計されない）",IF(D288="","△タスク名なし",IF(ISNA(MATCH(AK288,'M1_類型マスタ'!$A$5:$A$19,0)),"△類型が不正",IF(OR(AM288="",AN288=""),"△回数・分が読めない",IF(SUMPRODUCT(--ISNUMBER(--O288:U288))&lt;7,"△採点が足りない",IF(SUMPRODUCT((--O288:U288&gt;2)+(--O288:U288&lt;0))&gt;0,"△採点が範囲外","OK")))))))))))</f>
        <v/>
      </c>
      <c r="X288">
        <f>IF(W288&lt;&gt;"OK","",TRIM(IF(AND(AO288&lt;&gt;"",N(AO288)&lt;=1),"根拠1件 ","")&amp;IF(AP288&lt;&gt;"","同名あり ","")&amp;IF(AND(NOT(ISNUMBER(I288)),I288&lt;&gt;""),"回数を換算 ","")))</f>
        <v/>
      </c>
      <c r="Y288" s="31" t="n"/>
      <c r="Z288" s="32" t="n"/>
      <c r="AA288" s="32" t="n"/>
      <c r="AB288" s="31" t="n"/>
      <c r="AC288">
        <f>IF(W288&lt;&gt;"OK","",IF(AB288&lt;&gt;"",AB288,AE288))</f>
        <v/>
      </c>
      <c r="AD288" s="33">
        <f>IF(W288&lt;&gt;"OK","",IFERROR(IF(Z288&lt;&gt;"",Z288,AM288)*IF(AA288&lt;&gt;"",AA288,AN288)/60,""))</f>
        <v/>
      </c>
      <c r="AE288">
        <f>IF(W288&lt;&gt;"OK","",IF(OR(VALUE(O288)=2,VALUE(P288)=2,VALUE(Q288)=2),"社内残置",IF(AND(VALUE(O288)=0,VALUE(R288)=0,VALUE(T288)=0),"自動化候補",IF(AND(VALUE(P288)=0,VALUE(R288)&lt;=1,VALUE(S288)&lt;=1,VALUE(T288)&lt;=1,VALUE(U288)&lt;=1),"オフショア候補",IF(AND(VALUE(T288)&lt;=1,VALUE(U288)&lt;=1),"ニアショア候補","社内で手順化→再評価")))))</f>
        <v/>
      </c>
      <c r="AF288">
        <f>IF(W288&lt;&gt;"OK","",14-SUMPRODUCT(--O288:U288))</f>
        <v/>
      </c>
      <c r="AG288" s="33">
        <f>IF(W288&lt;&gt;"OK","",AM288*AN288/60)</f>
        <v/>
      </c>
      <c r="AH288" s="34">
        <f>IF(A288="","",UPPER(TRIM(ASC(A288&amp;""))))</f>
        <v/>
      </c>
      <c r="AI288" s="34">
        <f>IF(AH288="","",AH288&amp;"-"&amp;B288)</f>
        <v/>
      </c>
      <c r="AJ288" s="34">
        <f>IF(C288="","",IFERROR(VALUE(ASC(SUBSTITUTE(C288&amp;"","観点",""))),""))</f>
        <v/>
      </c>
      <c r="AK288" s="34">
        <f>IF(E288="","",UPPER(LEFT(TRIM(ASC(E288&amp;"")),3)))</f>
        <v/>
      </c>
      <c r="AL288" s="34">
        <f>IF(I288="","",IFERROR(VALUE(SUBSTITUTE(SUBSTITUTE(SUBSTITUTE(SUBSTITUTE(SUBSTITUTE(SUBSTITUTE(SUBSTITUTE(SUBSTITUTE(SUBSTITUTE(SUBSTITUTE(SUBSTITUTE(SUBSTITUTE(ASC(I288&amp;""),"約",""),"程度",""),"ほど",""),"回",""),"毎",""),"週",""),"月",""),"年",""),"日",""),"に",""),"/","")," ","")),""))</f>
        <v/>
      </c>
      <c r="AM288" s="34">
        <f>IF(I288="","",IF(ISNUMBER(I288),I288,IFERROR(VALUE(ASC(I288&amp;"")),IF(AL288&lt;&gt;"",AL288*IF(ISNUMBER(SEARCH("週",I288)),4.3,IF(ISNUMBER(SEARCH("年",I288)),1/12,IF(ISNUMBER(SEARCH("日",I288)),20,1))),IF(ISNUMBER(SEARCH("日",I288)),20,IF(ISNUMBER(SEARCH("週",I288)),4.3,IF(ISNUMBER(SEARCH("月",I288)),1,"")))))))</f>
        <v/>
      </c>
      <c r="AN288" s="34">
        <f>IF(J288="","",IF(ISNUMBER(J288),J288,IFERROR(VALUE(ASC(J288&amp;"")),IF(ISNUMBER(SEARCH("時間",J288)),IFERROR(VALUE(SUBSTITUTE(SUBSTITUTE(SUBSTITUTE(SUBSTITUTE(SUBSTITUTE(ASC(J288&amp;""),"約",""),"程度",""),"ほど",""),"時間","")," ",""))*60,""),IFERROR(VALUE(SUBSTITUTE(SUBSTITUTE(SUBSTITUTE(SUBSTITUTE(SUBSTITUTE(ASC(J288&amp;""),"約",""),"程度",""),"ほど",""),"分","")," ","")),"")))))</f>
        <v/>
      </c>
      <c r="AO288" s="34">
        <f>IF(K288="","",IF(ISNUMBER(K288),K288,IFERROR(VALUE(SUBSTITUTE(SUBSTITUTE(SUBSTITUTE(ASC(K288&amp;""),"約",""),"件","")," ","")),"")))</f>
        <v/>
      </c>
      <c r="AP288" s="34">
        <f>IF(W288&lt;&gt;"OK","",IF(COUNTIFS($D$5:$D$404,D288,$W$5:$W$404,"OK")&gt;1,"同名あり",""))</f>
        <v/>
      </c>
      <c r="AQ288" s="35">
        <f>IF(L288="","",IF(ISNUMBER(L288),L288,IFERROR(DATEVALUE(SUBSTITUTE(SUBSTITUTE(ASC(L288&amp;""),"-","/"),".","/")&amp;"/01"),"")))</f>
        <v/>
      </c>
      <c r="AR288" s="35">
        <f>IF(M288="","",IF(ISNUMBER(M288),M288,IFERROR(DATEVALUE(SUBSTITUTE(SUBSTITUTE(ASC(M288&amp;""),"-","/"),".","/")&amp;"/01"),"")))</f>
        <v/>
      </c>
      <c r="AS288" s="34">
        <f>IF(OR(W288&lt;&gt;"OK",AQ288=""),"",IF(AQ288&gt;='01_設定'!$C$26,1,0))</f>
        <v/>
      </c>
      <c r="AT288" s="34">
        <f>IF(AND(W288="OK",Y288&lt;&gt;"除外"),COUNTIFS($W$5:W288,"OK",$Y$5:Y288,"&lt;&gt;除外"),"")</f>
        <v/>
      </c>
      <c r="AU288" s="34">
        <f>IF(OR(AT288="",AD288=""),"",AD288+ROW()/1000000000)</f>
        <v/>
      </c>
    </row>
    <row r="289">
      <c r="W289">
        <f>IF(AND(A289="",D289=""),"",IF(ISNUMBER(SEARCH("##END",AH289)),"（終わりの印）",IF(ISNUMBER(SEARCH("##続き",AH289)),"（続きありの印）",IF(AH289="調査ID","（見出し行）",IF(AND(AH289&lt;&gt;"R1",AH289&lt;&gt;"R2"),"×表以外の行（集計されない）",IF(COUNTIF($AI$5:AI289,AI289)&gt;1,"△重複（集計されない）",IF(D289="","△タスク名なし",IF(ISNA(MATCH(AK289,'M1_類型マスタ'!$A$5:$A$19,0)),"△類型が不正",IF(OR(AM289="",AN289=""),"△回数・分が読めない",IF(SUMPRODUCT(--ISNUMBER(--O289:U289))&lt;7,"△採点が足りない",IF(SUMPRODUCT((--O289:U289&gt;2)+(--O289:U289&lt;0))&gt;0,"△採点が範囲外","OK")))))))))))</f>
        <v/>
      </c>
      <c r="X289">
        <f>IF(W289&lt;&gt;"OK","",TRIM(IF(AND(AO289&lt;&gt;"",N(AO289)&lt;=1),"根拠1件 ","")&amp;IF(AP289&lt;&gt;"","同名あり ","")&amp;IF(AND(NOT(ISNUMBER(I289)),I289&lt;&gt;""),"回数を換算 ","")))</f>
        <v/>
      </c>
      <c r="Y289" s="31" t="n"/>
      <c r="Z289" s="32" t="n"/>
      <c r="AA289" s="32" t="n"/>
      <c r="AB289" s="31" t="n"/>
      <c r="AC289">
        <f>IF(W289&lt;&gt;"OK","",IF(AB289&lt;&gt;"",AB289,AE289))</f>
        <v/>
      </c>
      <c r="AD289" s="33">
        <f>IF(W289&lt;&gt;"OK","",IFERROR(IF(Z289&lt;&gt;"",Z289,AM289)*IF(AA289&lt;&gt;"",AA289,AN289)/60,""))</f>
        <v/>
      </c>
      <c r="AE289">
        <f>IF(W289&lt;&gt;"OK","",IF(OR(VALUE(O289)=2,VALUE(P289)=2,VALUE(Q289)=2),"社内残置",IF(AND(VALUE(O289)=0,VALUE(R289)=0,VALUE(T289)=0),"自動化候補",IF(AND(VALUE(P289)=0,VALUE(R289)&lt;=1,VALUE(S289)&lt;=1,VALUE(T289)&lt;=1,VALUE(U289)&lt;=1),"オフショア候補",IF(AND(VALUE(T289)&lt;=1,VALUE(U289)&lt;=1),"ニアショア候補","社内で手順化→再評価")))))</f>
        <v/>
      </c>
      <c r="AF289">
        <f>IF(W289&lt;&gt;"OK","",14-SUMPRODUCT(--O289:U289))</f>
        <v/>
      </c>
      <c r="AG289" s="33">
        <f>IF(W289&lt;&gt;"OK","",AM289*AN289/60)</f>
        <v/>
      </c>
      <c r="AH289" s="34">
        <f>IF(A289="","",UPPER(TRIM(ASC(A289&amp;""))))</f>
        <v/>
      </c>
      <c r="AI289" s="34">
        <f>IF(AH289="","",AH289&amp;"-"&amp;B289)</f>
        <v/>
      </c>
      <c r="AJ289" s="34">
        <f>IF(C289="","",IFERROR(VALUE(ASC(SUBSTITUTE(C289&amp;"","観点",""))),""))</f>
        <v/>
      </c>
      <c r="AK289" s="34">
        <f>IF(E289="","",UPPER(LEFT(TRIM(ASC(E289&amp;"")),3)))</f>
        <v/>
      </c>
      <c r="AL289" s="34">
        <f>IF(I289="","",IFERROR(VALUE(SUBSTITUTE(SUBSTITUTE(SUBSTITUTE(SUBSTITUTE(SUBSTITUTE(SUBSTITUTE(SUBSTITUTE(SUBSTITUTE(SUBSTITUTE(SUBSTITUTE(SUBSTITUTE(SUBSTITUTE(ASC(I289&amp;""),"約",""),"程度",""),"ほど",""),"回",""),"毎",""),"週",""),"月",""),"年",""),"日",""),"に",""),"/","")," ","")),""))</f>
        <v/>
      </c>
      <c r="AM289" s="34">
        <f>IF(I289="","",IF(ISNUMBER(I289),I289,IFERROR(VALUE(ASC(I289&amp;"")),IF(AL289&lt;&gt;"",AL289*IF(ISNUMBER(SEARCH("週",I289)),4.3,IF(ISNUMBER(SEARCH("年",I289)),1/12,IF(ISNUMBER(SEARCH("日",I289)),20,1))),IF(ISNUMBER(SEARCH("日",I289)),20,IF(ISNUMBER(SEARCH("週",I289)),4.3,IF(ISNUMBER(SEARCH("月",I289)),1,"")))))))</f>
        <v/>
      </c>
      <c r="AN289" s="34">
        <f>IF(J289="","",IF(ISNUMBER(J289),J289,IFERROR(VALUE(ASC(J289&amp;"")),IF(ISNUMBER(SEARCH("時間",J289)),IFERROR(VALUE(SUBSTITUTE(SUBSTITUTE(SUBSTITUTE(SUBSTITUTE(SUBSTITUTE(ASC(J289&amp;""),"約",""),"程度",""),"ほど",""),"時間","")," ",""))*60,""),IFERROR(VALUE(SUBSTITUTE(SUBSTITUTE(SUBSTITUTE(SUBSTITUTE(SUBSTITUTE(ASC(J289&amp;""),"約",""),"程度",""),"ほど",""),"分","")," ","")),"")))))</f>
        <v/>
      </c>
      <c r="AO289" s="34">
        <f>IF(K289="","",IF(ISNUMBER(K289),K289,IFERROR(VALUE(SUBSTITUTE(SUBSTITUTE(SUBSTITUTE(ASC(K289&amp;""),"約",""),"件","")," ","")),"")))</f>
        <v/>
      </c>
      <c r="AP289" s="34">
        <f>IF(W289&lt;&gt;"OK","",IF(COUNTIFS($D$5:$D$404,D289,$W$5:$W$404,"OK")&gt;1,"同名あり",""))</f>
        <v/>
      </c>
      <c r="AQ289" s="35">
        <f>IF(L289="","",IF(ISNUMBER(L289),L289,IFERROR(DATEVALUE(SUBSTITUTE(SUBSTITUTE(ASC(L289&amp;""),"-","/"),".","/")&amp;"/01"),"")))</f>
        <v/>
      </c>
      <c r="AR289" s="35">
        <f>IF(M289="","",IF(ISNUMBER(M289),M289,IFERROR(DATEVALUE(SUBSTITUTE(SUBSTITUTE(ASC(M289&amp;""),"-","/"),".","/")&amp;"/01"),"")))</f>
        <v/>
      </c>
      <c r="AS289" s="34">
        <f>IF(OR(W289&lt;&gt;"OK",AQ289=""),"",IF(AQ289&gt;='01_設定'!$C$26,1,0))</f>
        <v/>
      </c>
      <c r="AT289" s="34">
        <f>IF(AND(W289="OK",Y289&lt;&gt;"除外"),COUNTIFS($W$5:W289,"OK",$Y$5:Y289,"&lt;&gt;除外"),"")</f>
        <v/>
      </c>
      <c r="AU289" s="34">
        <f>IF(OR(AT289="",AD289=""),"",AD289+ROW()/1000000000)</f>
        <v/>
      </c>
    </row>
    <row r="290">
      <c r="W290">
        <f>IF(AND(A290="",D290=""),"",IF(ISNUMBER(SEARCH("##END",AH290)),"（終わりの印）",IF(ISNUMBER(SEARCH("##続き",AH290)),"（続きありの印）",IF(AH290="調査ID","（見出し行）",IF(AND(AH290&lt;&gt;"R1",AH290&lt;&gt;"R2"),"×表以外の行（集計されない）",IF(COUNTIF($AI$5:AI290,AI290)&gt;1,"△重複（集計されない）",IF(D290="","△タスク名なし",IF(ISNA(MATCH(AK290,'M1_類型マスタ'!$A$5:$A$19,0)),"△類型が不正",IF(OR(AM290="",AN290=""),"△回数・分が読めない",IF(SUMPRODUCT(--ISNUMBER(--O290:U290))&lt;7,"△採点が足りない",IF(SUMPRODUCT((--O290:U290&gt;2)+(--O290:U290&lt;0))&gt;0,"△採点が範囲外","OK")))))))))))</f>
        <v/>
      </c>
      <c r="X290">
        <f>IF(W290&lt;&gt;"OK","",TRIM(IF(AND(AO290&lt;&gt;"",N(AO290)&lt;=1),"根拠1件 ","")&amp;IF(AP290&lt;&gt;"","同名あり ","")&amp;IF(AND(NOT(ISNUMBER(I290)),I290&lt;&gt;""),"回数を換算 ","")))</f>
        <v/>
      </c>
      <c r="Y290" s="31" t="n"/>
      <c r="Z290" s="32" t="n"/>
      <c r="AA290" s="32" t="n"/>
      <c r="AB290" s="31" t="n"/>
      <c r="AC290">
        <f>IF(W290&lt;&gt;"OK","",IF(AB290&lt;&gt;"",AB290,AE290))</f>
        <v/>
      </c>
      <c r="AD290" s="33">
        <f>IF(W290&lt;&gt;"OK","",IFERROR(IF(Z290&lt;&gt;"",Z290,AM290)*IF(AA290&lt;&gt;"",AA290,AN290)/60,""))</f>
        <v/>
      </c>
      <c r="AE290">
        <f>IF(W290&lt;&gt;"OK","",IF(OR(VALUE(O290)=2,VALUE(P290)=2,VALUE(Q290)=2),"社内残置",IF(AND(VALUE(O290)=0,VALUE(R290)=0,VALUE(T290)=0),"自動化候補",IF(AND(VALUE(P290)=0,VALUE(R290)&lt;=1,VALUE(S290)&lt;=1,VALUE(T290)&lt;=1,VALUE(U290)&lt;=1),"オフショア候補",IF(AND(VALUE(T290)&lt;=1,VALUE(U290)&lt;=1),"ニアショア候補","社内で手順化→再評価")))))</f>
        <v/>
      </c>
      <c r="AF290">
        <f>IF(W290&lt;&gt;"OK","",14-SUMPRODUCT(--O290:U290))</f>
        <v/>
      </c>
      <c r="AG290" s="33">
        <f>IF(W290&lt;&gt;"OK","",AM290*AN290/60)</f>
        <v/>
      </c>
      <c r="AH290" s="34">
        <f>IF(A290="","",UPPER(TRIM(ASC(A290&amp;""))))</f>
        <v/>
      </c>
      <c r="AI290" s="34">
        <f>IF(AH290="","",AH290&amp;"-"&amp;B290)</f>
        <v/>
      </c>
      <c r="AJ290" s="34">
        <f>IF(C290="","",IFERROR(VALUE(ASC(SUBSTITUTE(C290&amp;"","観点",""))),""))</f>
        <v/>
      </c>
      <c r="AK290" s="34">
        <f>IF(E290="","",UPPER(LEFT(TRIM(ASC(E290&amp;"")),3)))</f>
        <v/>
      </c>
      <c r="AL290" s="34">
        <f>IF(I290="","",IFERROR(VALUE(SUBSTITUTE(SUBSTITUTE(SUBSTITUTE(SUBSTITUTE(SUBSTITUTE(SUBSTITUTE(SUBSTITUTE(SUBSTITUTE(SUBSTITUTE(SUBSTITUTE(SUBSTITUTE(SUBSTITUTE(ASC(I290&amp;""),"約",""),"程度",""),"ほど",""),"回",""),"毎",""),"週",""),"月",""),"年",""),"日",""),"に",""),"/","")," ","")),""))</f>
        <v/>
      </c>
      <c r="AM290" s="34">
        <f>IF(I290="","",IF(ISNUMBER(I290),I290,IFERROR(VALUE(ASC(I290&amp;"")),IF(AL290&lt;&gt;"",AL290*IF(ISNUMBER(SEARCH("週",I290)),4.3,IF(ISNUMBER(SEARCH("年",I290)),1/12,IF(ISNUMBER(SEARCH("日",I290)),20,1))),IF(ISNUMBER(SEARCH("日",I290)),20,IF(ISNUMBER(SEARCH("週",I290)),4.3,IF(ISNUMBER(SEARCH("月",I290)),1,"")))))))</f>
        <v/>
      </c>
      <c r="AN290" s="34">
        <f>IF(J290="","",IF(ISNUMBER(J290),J290,IFERROR(VALUE(ASC(J290&amp;"")),IF(ISNUMBER(SEARCH("時間",J290)),IFERROR(VALUE(SUBSTITUTE(SUBSTITUTE(SUBSTITUTE(SUBSTITUTE(SUBSTITUTE(ASC(J290&amp;""),"約",""),"程度",""),"ほど",""),"時間","")," ",""))*60,""),IFERROR(VALUE(SUBSTITUTE(SUBSTITUTE(SUBSTITUTE(SUBSTITUTE(SUBSTITUTE(ASC(J290&amp;""),"約",""),"程度",""),"ほど",""),"分","")," ","")),"")))))</f>
        <v/>
      </c>
      <c r="AO290" s="34">
        <f>IF(K290="","",IF(ISNUMBER(K290),K290,IFERROR(VALUE(SUBSTITUTE(SUBSTITUTE(SUBSTITUTE(ASC(K290&amp;""),"約",""),"件","")," ","")),"")))</f>
        <v/>
      </c>
      <c r="AP290" s="34">
        <f>IF(W290&lt;&gt;"OK","",IF(COUNTIFS($D$5:$D$404,D290,$W$5:$W$404,"OK")&gt;1,"同名あり",""))</f>
        <v/>
      </c>
      <c r="AQ290" s="35">
        <f>IF(L290="","",IF(ISNUMBER(L290),L290,IFERROR(DATEVALUE(SUBSTITUTE(SUBSTITUTE(ASC(L290&amp;""),"-","/"),".","/")&amp;"/01"),"")))</f>
        <v/>
      </c>
      <c r="AR290" s="35">
        <f>IF(M290="","",IF(ISNUMBER(M290),M290,IFERROR(DATEVALUE(SUBSTITUTE(SUBSTITUTE(ASC(M290&amp;""),"-","/"),".","/")&amp;"/01"),"")))</f>
        <v/>
      </c>
      <c r="AS290" s="34">
        <f>IF(OR(W290&lt;&gt;"OK",AQ290=""),"",IF(AQ290&gt;='01_設定'!$C$26,1,0))</f>
        <v/>
      </c>
      <c r="AT290" s="34">
        <f>IF(AND(W290="OK",Y290&lt;&gt;"除外"),COUNTIFS($W$5:W290,"OK",$Y$5:Y290,"&lt;&gt;除外"),"")</f>
        <v/>
      </c>
      <c r="AU290" s="34">
        <f>IF(OR(AT290="",AD290=""),"",AD290+ROW()/1000000000)</f>
        <v/>
      </c>
    </row>
    <row r="291">
      <c r="W291">
        <f>IF(AND(A291="",D291=""),"",IF(ISNUMBER(SEARCH("##END",AH291)),"（終わりの印）",IF(ISNUMBER(SEARCH("##続き",AH291)),"（続きありの印）",IF(AH291="調査ID","（見出し行）",IF(AND(AH291&lt;&gt;"R1",AH291&lt;&gt;"R2"),"×表以外の行（集計されない）",IF(COUNTIF($AI$5:AI291,AI291)&gt;1,"△重複（集計されない）",IF(D291="","△タスク名なし",IF(ISNA(MATCH(AK291,'M1_類型マスタ'!$A$5:$A$19,0)),"△類型が不正",IF(OR(AM291="",AN291=""),"△回数・分が読めない",IF(SUMPRODUCT(--ISNUMBER(--O291:U291))&lt;7,"△採点が足りない",IF(SUMPRODUCT((--O291:U291&gt;2)+(--O291:U291&lt;0))&gt;0,"△採点が範囲外","OK")))))))))))</f>
        <v/>
      </c>
      <c r="X291">
        <f>IF(W291&lt;&gt;"OK","",TRIM(IF(AND(AO291&lt;&gt;"",N(AO291)&lt;=1),"根拠1件 ","")&amp;IF(AP291&lt;&gt;"","同名あり ","")&amp;IF(AND(NOT(ISNUMBER(I291)),I291&lt;&gt;""),"回数を換算 ","")))</f>
        <v/>
      </c>
      <c r="Y291" s="31" t="n"/>
      <c r="Z291" s="32" t="n"/>
      <c r="AA291" s="32" t="n"/>
      <c r="AB291" s="31" t="n"/>
      <c r="AC291">
        <f>IF(W291&lt;&gt;"OK","",IF(AB291&lt;&gt;"",AB291,AE291))</f>
        <v/>
      </c>
      <c r="AD291" s="33">
        <f>IF(W291&lt;&gt;"OK","",IFERROR(IF(Z291&lt;&gt;"",Z291,AM291)*IF(AA291&lt;&gt;"",AA291,AN291)/60,""))</f>
        <v/>
      </c>
      <c r="AE291">
        <f>IF(W291&lt;&gt;"OK","",IF(OR(VALUE(O291)=2,VALUE(P291)=2,VALUE(Q291)=2),"社内残置",IF(AND(VALUE(O291)=0,VALUE(R291)=0,VALUE(T291)=0),"自動化候補",IF(AND(VALUE(P291)=0,VALUE(R291)&lt;=1,VALUE(S291)&lt;=1,VALUE(T291)&lt;=1,VALUE(U291)&lt;=1),"オフショア候補",IF(AND(VALUE(T291)&lt;=1,VALUE(U291)&lt;=1),"ニアショア候補","社内で手順化→再評価")))))</f>
        <v/>
      </c>
      <c r="AF291">
        <f>IF(W291&lt;&gt;"OK","",14-SUMPRODUCT(--O291:U291))</f>
        <v/>
      </c>
      <c r="AG291" s="33">
        <f>IF(W291&lt;&gt;"OK","",AM291*AN291/60)</f>
        <v/>
      </c>
      <c r="AH291" s="34">
        <f>IF(A291="","",UPPER(TRIM(ASC(A291&amp;""))))</f>
        <v/>
      </c>
      <c r="AI291" s="34">
        <f>IF(AH291="","",AH291&amp;"-"&amp;B291)</f>
        <v/>
      </c>
      <c r="AJ291" s="34">
        <f>IF(C291="","",IFERROR(VALUE(ASC(SUBSTITUTE(C291&amp;"","観点",""))),""))</f>
        <v/>
      </c>
      <c r="AK291" s="34">
        <f>IF(E291="","",UPPER(LEFT(TRIM(ASC(E291&amp;"")),3)))</f>
        <v/>
      </c>
      <c r="AL291" s="34">
        <f>IF(I291="","",IFERROR(VALUE(SUBSTITUTE(SUBSTITUTE(SUBSTITUTE(SUBSTITUTE(SUBSTITUTE(SUBSTITUTE(SUBSTITUTE(SUBSTITUTE(SUBSTITUTE(SUBSTITUTE(SUBSTITUTE(SUBSTITUTE(ASC(I291&amp;""),"約",""),"程度",""),"ほど",""),"回",""),"毎",""),"週",""),"月",""),"年",""),"日",""),"に",""),"/","")," ","")),""))</f>
        <v/>
      </c>
      <c r="AM291" s="34">
        <f>IF(I291="","",IF(ISNUMBER(I291),I291,IFERROR(VALUE(ASC(I291&amp;"")),IF(AL291&lt;&gt;"",AL291*IF(ISNUMBER(SEARCH("週",I291)),4.3,IF(ISNUMBER(SEARCH("年",I291)),1/12,IF(ISNUMBER(SEARCH("日",I291)),20,1))),IF(ISNUMBER(SEARCH("日",I291)),20,IF(ISNUMBER(SEARCH("週",I291)),4.3,IF(ISNUMBER(SEARCH("月",I291)),1,"")))))))</f>
        <v/>
      </c>
      <c r="AN291" s="34">
        <f>IF(J291="","",IF(ISNUMBER(J291),J291,IFERROR(VALUE(ASC(J291&amp;"")),IF(ISNUMBER(SEARCH("時間",J291)),IFERROR(VALUE(SUBSTITUTE(SUBSTITUTE(SUBSTITUTE(SUBSTITUTE(SUBSTITUTE(ASC(J291&amp;""),"約",""),"程度",""),"ほど",""),"時間","")," ",""))*60,""),IFERROR(VALUE(SUBSTITUTE(SUBSTITUTE(SUBSTITUTE(SUBSTITUTE(SUBSTITUTE(ASC(J291&amp;""),"約",""),"程度",""),"ほど",""),"分","")," ","")),"")))))</f>
        <v/>
      </c>
      <c r="AO291" s="34">
        <f>IF(K291="","",IF(ISNUMBER(K291),K291,IFERROR(VALUE(SUBSTITUTE(SUBSTITUTE(SUBSTITUTE(ASC(K291&amp;""),"約",""),"件","")," ","")),"")))</f>
        <v/>
      </c>
      <c r="AP291" s="34">
        <f>IF(W291&lt;&gt;"OK","",IF(COUNTIFS($D$5:$D$404,D291,$W$5:$W$404,"OK")&gt;1,"同名あり",""))</f>
        <v/>
      </c>
      <c r="AQ291" s="35">
        <f>IF(L291="","",IF(ISNUMBER(L291),L291,IFERROR(DATEVALUE(SUBSTITUTE(SUBSTITUTE(ASC(L291&amp;""),"-","/"),".","/")&amp;"/01"),"")))</f>
        <v/>
      </c>
      <c r="AR291" s="35">
        <f>IF(M291="","",IF(ISNUMBER(M291),M291,IFERROR(DATEVALUE(SUBSTITUTE(SUBSTITUTE(ASC(M291&amp;""),"-","/"),".","/")&amp;"/01"),"")))</f>
        <v/>
      </c>
      <c r="AS291" s="34">
        <f>IF(OR(W291&lt;&gt;"OK",AQ291=""),"",IF(AQ291&gt;='01_設定'!$C$26,1,0))</f>
        <v/>
      </c>
      <c r="AT291" s="34">
        <f>IF(AND(W291="OK",Y291&lt;&gt;"除外"),COUNTIFS($W$5:W291,"OK",$Y$5:Y291,"&lt;&gt;除外"),"")</f>
        <v/>
      </c>
      <c r="AU291" s="34">
        <f>IF(OR(AT291="",AD291=""),"",AD291+ROW()/1000000000)</f>
        <v/>
      </c>
    </row>
    <row r="292">
      <c r="W292">
        <f>IF(AND(A292="",D292=""),"",IF(ISNUMBER(SEARCH("##END",AH292)),"（終わりの印）",IF(ISNUMBER(SEARCH("##続き",AH292)),"（続きありの印）",IF(AH292="調査ID","（見出し行）",IF(AND(AH292&lt;&gt;"R1",AH292&lt;&gt;"R2"),"×表以外の行（集計されない）",IF(COUNTIF($AI$5:AI292,AI292)&gt;1,"△重複（集計されない）",IF(D292="","△タスク名なし",IF(ISNA(MATCH(AK292,'M1_類型マスタ'!$A$5:$A$19,0)),"△類型が不正",IF(OR(AM292="",AN292=""),"△回数・分が読めない",IF(SUMPRODUCT(--ISNUMBER(--O292:U292))&lt;7,"△採点が足りない",IF(SUMPRODUCT((--O292:U292&gt;2)+(--O292:U292&lt;0))&gt;0,"△採点が範囲外","OK")))))))))))</f>
        <v/>
      </c>
      <c r="X292">
        <f>IF(W292&lt;&gt;"OK","",TRIM(IF(AND(AO292&lt;&gt;"",N(AO292)&lt;=1),"根拠1件 ","")&amp;IF(AP292&lt;&gt;"","同名あり ","")&amp;IF(AND(NOT(ISNUMBER(I292)),I292&lt;&gt;""),"回数を換算 ","")))</f>
        <v/>
      </c>
      <c r="Y292" s="31" t="n"/>
      <c r="Z292" s="32" t="n"/>
      <c r="AA292" s="32" t="n"/>
      <c r="AB292" s="31" t="n"/>
      <c r="AC292">
        <f>IF(W292&lt;&gt;"OK","",IF(AB292&lt;&gt;"",AB292,AE292))</f>
        <v/>
      </c>
      <c r="AD292" s="33">
        <f>IF(W292&lt;&gt;"OK","",IFERROR(IF(Z292&lt;&gt;"",Z292,AM292)*IF(AA292&lt;&gt;"",AA292,AN292)/60,""))</f>
        <v/>
      </c>
      <c r="AE292">
        <f>IF(W292&lt;&gt;"OK","",IF(OR(VALUE(O292)=2,VALUE(P292)=2,VALUE(Q292)=2),"社内残置",IF(AND(VALUE(O292)=0,VALUE(R292)=0,VALUE(T292)=0),"自動化候補",IF(AND(VALUE(P292)=0,VALUE(R292)&lt;=1,VALUE(S292)&lt;=1,VALUE(T292)&lt;=1,VALUE(U292)&lt;=1),"オフショア候補",IF(AND(VALUE(T292)&lt;=1,VALUE(U292)&lt;=1),"ニアショア候補","社内で手順化→再評価")))))</f>
        <v/>
      </c>
      <c r="AF292">
        <f>IF(W292&lt;&gt;"OK","",14-SUMPRODUCT(--O292:U292))</f>
        <v/>
      </c>
      <c r="AG292" s="33">
        <f>IF(W292&lt;&gt;"OK","",AM292*AN292/60)</f>
        <v/>
      </c>
      <c r="AH292" s="34">
        <f>IF(A292="","",UPPER(TRIM(ASC(A292&amp;""))))</f>
        <v/>
      </c>
      <c r="AI292" s="34">
        <f>IF(AH292="","",AH292&amp;"-"&amp;B292)</f>
        <v/>
      </c>
      <c r="AJ292" s="34">
        <f>IF(C292="","",IFERROR(VALUE(ASC(SUBSTITUTE(C292&amp;"","観点",""))),""))</f>
        <v/>
      </c>
      <c r="AK292" s="34">
        <f>IF(E292="","",UPPER(LEFT(TRIM(ASC(E292&amp;"")),3)))</f>
        <v/>
      </c>
      <c r="AL292" s="34">
        <f>IF(I292="","",IFERROR(VALUE(SUBSTITUTE(SUBSTITUTE(SUBSTITUTE(SUBSTITUTE(SUBSTITUTE(SUBSTITUTE(SUBSTITUTE(SUBSTITUTE(SUBSTITUTE(SUBSTITUTE(SUBSTITUTE(SUBSTITUTE(ASC(I292&amp;""),"約",""),"程度",""),"ほど",""),"回",""),"毎",""),"週",""),"月",""),"年",""),"日",""),"に",""),"/","")," ","")),""))</f>
        <v/>
      </c>
      <c r="AM292" s="34">
        <f>IF(I292="","",IF(ISNUMBER(I292),I292,IFERROR(VALUE(ASC(I292&amp;"")),IF(AL292&lt;&gt;"",AL292*IF(ISNUMBER(SEARCH("週",I292)),4.3,IF(ISNUMBER(SEARCH("年",I292)),1/12,IF(ISNUMBER(SEARCH("日",I292)),20,1))),IF(ISNUMBER(SEARCH("日",I292)),20,IF(ISNUMBER(SEARCH("週",I292)),4.3,IF(ISNUMBER(SEARCH("月",I292)),1,"")))))))</f>
        <v/>
      </c>
      <c r="AN292" s="34">
        <f>IF(J292="","",IF(ISNUMBER(J292),J292,IFERROR(VALUE(ASC(J292&amp;"")),IF(ISNUMBER(SEARCH("時間",J292)),IFERROR(VALUE(SUBSTITUTE(SUBSTITUTE(SUBSTITUTE(SUBSTITUTE(SUBSTITUTE(ASC(J292&amp;""),"約",""),"程度",""),"ほど",""),"時間","")," ",""))*60,""),IFERROR(VALUE(SUBSTITUTE(SUBSTITUTE(SUBSTITUTE(SUBSTITUTE(SUBSTITUTE(ASC(J292&amp;""),"約",""),"程度",""),"ほど",""),"分","")," ","")),"")))))</f>
        <v/>
      </c>
      <c r="AO292" s="34">
        <f>IF(K292="","",IF(ISNUMBER(K292),K292,IFERROR(VALUE(SUBSTITUTE(SUBSTITUTE(SUBSTITUTE(ASC(K292&amp;""),"約",""),"件","")," ","")),"")))</f>
        <v/>
      </c>
      <c r="AP292" s="34">
        <f>IF(W292&lt;&gt;"OK","",IF(COUNTIFS($D$5:$D$404,D292,$W$5:$W$404,"OK")&gt;1,"同名あり",""))</f>
        <v/>
      </c>
      <c r="AQ292" s="35">
        <f>IF(L292="","",IF(ISNUMBER(L292),L292,IFERROR(DATEVALUE(SUBSTITUTE(SUBSTITUTE(ASC(L292&amp;""),"-","/"),".","/")&amp;"/01"),"")))</f>
        <v/>
      </c>
      <c r="AR292" s="35">
        <f>IF(M292="","",IF(ISNUMBER(M292),M292,IFERROR(DATEVALUE(SUBSTITUTE(SUBSTITUTE(ASC(M292&amp;""),"-","/"),".","/")&amp;"/01"),"")))</f>
        <v/>
      </c>
      <c r="AS292" s="34">
        <f>IF(OR(W292&lt;&gt;"OK",AQ292=""),"",IF(AQ292&gt;='01_設定'!$C$26,1,0))</f>
        <v/>
      </c>
      <c r="AT292" s="34">
        <f>IF(AND(W292="OK",Y292&lt;&gt;"除外"),COUNTIFS($W$5:W292,"OK",$Y$5:Y292,"&lt;&gt;除外"),"")</f>
        <v/>
      </c>
      <c r="AU292" s="34">
        <f>IF(OR(AT292="",AD292=""),"",AD292+ROW()/1000000000)</f>
        <v/>
      </c>
    </row>
    <row r="293">
      <c r="W293">
        <f>IF(AND(A293="",D293=""),"",IF(ISNUMBER(SEARCH("##END",AH293)),"（終わりの印）",IF(ISNUMBER(SEARCH("##続き",AH293)),"（続きありの印）",IF(AH293="調査ID","（見出し行）",IF(AND(AH293&lt;&gt;"R1",AH293&lt;&gt;"R2"),"×表以外の行（集計されない）",IF(COUNTIF($AI$5:AI293,AI293)&gt;1,"△重複（集計されない）",IF(D293="","△タスク名なし",IF(ISNA(MATCH(AK293,'M1_類型マスタ'!$A$5:$A$19,0)),"△類型が不正",IF(OR(AM293="",AN293=""),"△回数・分が読めない",IF(SUMPRODUCT(--ISNUMBER(--O293:U293))&lt;7,"△採点が足りない",IF(SUMPRODUCT((--O293:U293&gt;2)+(--O293:U293&lt;0))&gt;0,"△採点が範囲外","OK")))))))))))</f>
        <v/>
      </c>
      <c r="X293">
        <f>IF(W293&lt;&gt;"OK","",TRIM(IF(AND(AO293&lt;&gt;"",N(AO293)&lt;=1),"根拠1件 ","")&amp;IF(AP293&lt;&gt;"","同名あり ","")&amp;IF(AND(NOT(ISNUMBER(I293)),I293&lt;&gt;""),"回数を換算 ","")))</f>
        <v/>
      </c>
      <c r="Y293" s="31" t="n"/>
      <c r="Z293" s="32" t="n"/>
      <c r="AA293" s="32" t="n"/>
      <c r="AB293" s="31" t="n"/>
      <c r="AC293">
        <f>IF(W293&lt;&gt;"OK","",IF(AB293&lt;&gt;"",AB293,AE293))</f>
        <v/>
      </c>
      <c r="AD293" s="33">
        <f>IF(W293&lt;&gt;"OK","",IFERROR(IF(Z293&lt;&gt;"",Z293,AM293)*IF(AA293&lt;&gt;"",AA293,AN293)/60,""))</f>
        <v/>
      </c>
      <c r="AE293">
        <f>IF(W293&lt;&gt;"OK","",IF(OR(VALUE(O293)=2,VALUE(P293)=2,VALUE(Q293)=2),"社内残置",IF(AND(VALUE(O293)=0,VALUE(R293)=0,VALUE(T293)=0),"自動化候補",IF(AND(VALUE(P293)=0,VALUE(R293)&lt;=1,VALUE(S293)&lt;=1,VALUE(T293)&lt;=1,VALUE(U293)&lt;=1),"オフショア候補",IF(AND(VALUE(T293)&lt;=1,VALUE(U293)&lt;=1),"ニアショア候補","社内で手順化→再評価")))))</f>
        <v/>
      </c>
      <c r="AF293">
        <f>IF(W293&lt;&gt;"OK","",14-SUMPRODUCT(--O293:U293))</f>
        <v/>
      </c>
      <c r="AG293" s="33">
        <f>IF(W293&lt;&gt;"OK","",AM293*AN293/60)</f>
        <v/>
      </c>
      <c r="AH293" s="34">
        <f>IF(A293="","",UPPER(TRIM(ASC(A293&amp;""))))</f>
        <v/>
      </c>
      <c r="AI293" s="34">
        <f>IF(AH293="","",AH293&amp;"-"&amp;B293)</f>
        <v/>
      </c>
      <c r="AJ293" s="34">
        <f>IF(C293="","",IFERROR(VALUE(ASC(SUBSTITUTE(C293&amp;"","観点",""))),""))</f>
        <v/>
      </c>
      <c r="AK293" s="34">
        <f>IF(E293="","",UPPER(LEFT(TRIM(ASC(E293&amp;"")),3)))</f>
        <v/>
      </c>
      <c r="AL293" s="34">
        <f>IF(I293="","",IFERROR(VALUE(SUBSTITUTE(SUBSTITUTE(SUBSTITUTE(SUBSTITUTE(SUBSTITUTE(SUBSTITUTE(SUBSTITUTE(SUBSTITUTE(SUBSTITUTE(SUBSTITUTE(SUBSTITUTE(SUBSTITUTE(ASC(I293&amp;""),"約",""),"程度",""),"ほど",""),"回",""),"毎",""),"週",""),"月",""),"年",""),"日",""),"に",""),"/","")," ","")),""))</f>
        <v/>
      </c>
      <c r="AM293" s="34">
        <f>IF(I293="","",IF(ISNUMBER(I293),I293,IFERROR(VALUE(ASC(I293&amp;"")),IF(AL293&lt;&gt;"",AL293*IF(ISNUMBER(SEARCH("週",I293)),4.3,IF(ISNUMBER(SEARCH("年",I293)),1/12,IF(ISNUMBER(SEARCH("日",I293)),20,1))),IF(ISNUMBER(SEARCH("日",I293)),20,IF(ISNUMBER(SEARCH("週",I293)),4.3,IF(ISNUMBER(SEARCH("月",I293)),1,"")))))))</f>
        <v/>
      </c>
      <c r="AN293" s="34">
        <f>IF(J293="","",IF(ISNUMBER(J293),J293,IFERROR(VALUE(ASC(J293&amp;"")),IF(ISNUMBER(SEARCH("時間",J293)),IFERROR(VALUE(SUBSTITUTE(SUBSTITUTE(SUBSTITUTE(SUBSTITUTE(SUBSTITUTE(ASC(J293&amp;""),"約",""),"程度",""),"ほど",""),"時間","")," ",""))*60,""),IFERROR(VALUE(SUBSTITUTE(SUBSTITUTE(SUBSTITUTE(SUBSTITUTE(SUBSTITUTE(ASC(J293&amp;""),"約",""),"程度",""),"ほど",""),"分","")," ","")),"")))))</f>
        <v/>
      </c>
      <c r="AO293" s="34">
        <f>IF(K293="","",IF(ISNUMBER(K293),K293,IFERROR(VALUE(SUBSTITUTE(SUBSTITUTE(SUBSTITUTE(ASC(K293&amp;""),"約",""),"件","")," ","")),"")))</f>
        <v/>
      </c>
      <c r="AP293" s="34">
        <f>IF(W293&lt;&gt;"OK","",IF(COUNTIFS($D$5:$D$404,D293,$W$5:$W$404,"OK")&gt;1,"同名あり",""))</f>
        <v/>
      </c>
      <c r="AQ293" s="35">
        <f>IF(L293="","",IF(ISNUMBER(L293),L293,IFERROR(DATEVALUE(SUBSTITUTE(SUBSTITUTE(ASC(L293&amp;""),"-","/"),".","/")&amp;"/01"),"")))</f>
        <v/>
      </c>
      <c r="AR293" s="35">
        <f>IF(M293="","",IF(ISNUMBER(M293),M293,IFERROR(DATEVALUE(SUBSTITUTE(SUBSTITUTE(ASC(M293&amp;""),"-","/"),".","/")&amp;"/01"),"")))</f>
        <v/>
      </c>
      <c r="AS293" s="34">
        <f>IF(OR(W293&lt;&gt;"OK",AQ293=""),"",IF(AQ293&gt;='01_設定'!$C$26,1,0))</f>
        <v/>
      </c>
      <c r="AT293" s="34">
        <f>IF(AND(W293="OK",Y293&lt;&gt;"除外"),COUNTIFS($W$5:W293,"OK",$Y$5:Y293,"&lt;&gt;除外"),"")</f>
        <v/>
      </c>
      <c r="AU293" s="34">
        <f>IF(OR(AT293="",AD293=""),"",AD293+ROW()/1000000000)</f>
        <v/>
      </c>
    </row>
    <row r="294">
      <c r="W294">
        <f>IF(AND(A294="",D294=""),"",IF(ISNUMBER(SEARCH("##END",AH294)),"（終わりの印）",IF(ISNUMBER(SEARCH("##続き",AH294)),"（続きありの印）",IF(AH294="調査ID","（見出し行）",IF(AND(AH294&lt;&gt;"R1",AH294&lt;&gt;"R2"),"×表以外の行（集計されない）",IF(COUNTIF($AI$5:AI294,AI294)&gt;1,"△重複（集計されない）",IF(D294="","△タスク名なし",IF(ISNA(MATCH(AK294,'M1_類型マスタ'!$A$5:$A$19,0)),"△類型が不正",IF(OR(AM294="",AN294=""),"△回数・分が読めない",IF(SUMPRODUCT(--ISNUMBER(--O294:U294))&lt;7,"△採点が足りない",IF(SUMPRODUCT((--O294:U294&gt;2)+(--O294:U294&lt;0))&gt;0,"△採点が範囲外","OK")))))))))))</f>
        <v/>
      </c>
      <c r="X294">
        <f>IF(W294&lt;&gt;"OK","",TRIM(IF(AND(AO294&lt;&gt;"",N(AO294)&lt;=1),"根拠1件 ","")&amp;IF(AP294&lt;&gt;"","同名あり ","")&amp;IF(AND(NOT(ISNUMBER(I294)),I294&lt;&gt;""),"回数を換算 ","")))</f>
        <v/>
      </c>
      <c r="Y294" s="31" t="n"/>
      <c r="Z294" s="32" t="n"/>
      <c r="AA294" s="32" t="n"/>
      <c r="AB294" s="31" t="n"/>
      <c r="AC294">
        <f>IF(W294&lt;&gt;"OK","",IF(AB294&lt;&gt;"",AB294,AE294))</f>
        <v/>
      </c>
      <c r="AD294" s="33">
        <f>IF(W294&lt;&gt;"OK","",IFERROR(IF(Z294&lt;&gt;"",Z294,AM294)*IF(AA294&lt;&gt;"",AA294,AN294)/60,""))</f>
        <v/>
      </c>
      <c r="AE294">
        <f>IF(W294&lt;&gt;"OK","",IF(OR(VALUE(O294)=2,VALUE(P294)=2,VALUE(Q294)=2),"社内残置",IF(AND(VALUE(O294)=0,VALUE(R294)=0,VALUE(T294)=0),"自動化候補",IF(AND(VALUE(P294)=0,VALUE(R294)&lt;=1,VALUE(S294)&lt;=1,VALUE(T294)&lt;=1,VALUE(U294)&lt;=1),"オフショア候補",IF(AND(VALUE(T294)&lt;=1,VALUE(U294)&lt;=1),"ニアショア候補","社内で手順化→再評価")))))</f>
        <v/>
      </c>
      <c r="AF294">
        <f>IF(W294&lt;&gt;"OK","",14-SUMPRODUCT(--O294:U294))</f>
        <v/>
      </c>
      <c r="AG294" s="33">
        <f>IF(W294&lt;&gt;"OK","",AM294*AN294/60)</f>
        <v/>
      </c>
      <c r="AH294" s="34">
        <f>IF(A294="","",UPPER(TRIM(ASC(A294&amp;""))))</f>
        <v/>
      </c>
      <c r="AI294" s="34">
        <f>IF(AH294="","",AH294&amp;"-"&amp;B294)</f>
        <v/>
      </c>
      <c r="AJ294" s="34">
        <f>IF(C294="","",IFERROR(VALUE(ASC(SUBSTITUTE(C294&amp;"","観点",""))),""))</f>
        <v/>
      </c>
      <c r="AK294" s="34">
        <f>IF(E294="","",UPPER(LEFT(TRIM(ASC(E294&amp;"")),3)))</f>
        <v/>
      </c>
      <c r="AL294" s="34">
        <f>IF(I294="","",IFERROR(VALUE(SUBSTITUTE(SUBSTITUTE(SUBSTITUTE(SUBSTITUTE(SUBSTITUTE(SUBSTITUTE(SUBSTITUTE(SUBSTITUTE(SUBSTITUTE(SUBSTITUTE(SUBSTITUTE(SUBSTITUTE(ASC(I294&amp;""),"約",""),"程度",""),"ほど",""),"回",""),"毎",""),"週",""),"月",""),"年",""),"日",""),"に",""),"/","")," ","")),""))</f>
        <v/>
      </c>
      <c r="AM294" s="34">
        <f>IF(I294="","",IF(ISNUMBER(I294),I294,IFERROR(VALUE(ASC(I294&amp;"")),IF(AL294&lt;&gt;"",AL294*IF(ISNUMBER(SEARCH("週",I294)),4.3,IF(ISNUMBER(SEARCH("年",I294)),1/12,IF(ISNUMBER(SEARCH("日",I294)),20,1))),IF(ISNUMBER(SEARCH("日",I294)),20,IF(ISNUMBER(SEARCH("週",I294)),4.3,IF(ISNUMBER(SEARCH("月",I294)),1,"")))))))</f>
        <v/>
      </c>
      <c r="AN294" s="34">
        <f>IF(J294="","",IF(ISNUMBER(J294),J294,IFERROR(VALUE(ASC(J294&amp;"")),IF(ISNUMBER(SEARCH("時間",J294)),IFERROR(VALUE(SUBSTITUTE(SUBSTITUTE(SUBSTITUTE(SUBSTITUTE(SUBSTITUTE(ASC(J294&amp;""),"約",""),"程度",""),"ほど",""),"時間","")," ",""))*60,""),IFERROR(VALUE(SUBSTITUTE(SUBSTITUTE(SUBSTITUTE(SUBSTITUTE(SUBSTITUTE(ASC(J294&amp;""),"約",""),"程度",""),"ほど",""),"分","")," ","")),"")))))</f>
        <v/>
      </c>
      <c r="AO294" s="34">
        <f>IF(K294="","",IF(ISNUMBER(K294),K294,IFERROR(VALUE(SUBSTITUTE(SUBSTITUTE(SUBSTITUTE(ASC(K294&amp;""),"約",""),"件","")," ","")),"")))</f>
        <v/>
      </c>
      <c r="AP294" s="34">
        <f>IF(W294&lt;&gt;"OK","",IF(COUNTIFS($D$5:$D$404,D294,$W$5:$W$404,"OK")&gt;1,"同名あり",""))</f>
        <v/>
      </c>
      <c r="AQ294" s="35">
        <f>IF(L294="","",IF(ISNUMBER(L294),L294,IFERROR(DATEVALUE(SUBSTITUTE(SUBSTITUTE(ASC(L294&amp;""),"-","/"),".","/")&amp;"/01"),"")))</f>
        <v/>
      </c>
      <c r="AR294" s="35">
        <f>IF(M294="","",IF(ISNUMBER(M294),M294,IFERROR(DATEVALUE(SUBSTITUTE(SUBSTITUTE(ASC(M294&amp;""),"-","/"),".","/")&amp;"/01"),"")))</f>
        <v/>
      </c>
      <c r="AS294" s="34">
        <f>IF(OR(W294&lt;&gt;"OK",AQ294=""),"",IF(AQ294&gt;='01_設定'!$C$26,1,0))</f>
        <v/>
      </c>
      <c r="AT294" s="34">
        <f>IF(AND(W294="OK",Y294&lt;&gt;"除外"),COUNTIFS($W$5:W294,"OK",$Y$5:Y294,"&lt;&gt;除外"),"")</f>
        <v/>
      </c>
      <c r="AU294" s="34">
        <f>IF(OR(AT294="",AD294=""),"",AD294+ROW()/1000000000)</f>
        <v/>
      </c>
    </row>
    <row r="295">
      <c r="W295">
        <f>IF(AND(A295="",D295=""),"",IF(ISNUMBER(SEARCH("##END",AH295)),"（終わりの印）",IF(ISNUMBER(SEARCH("##続き",AH295)),"（続きありの印）",IF(AH295="調査ID","（見出し行）",IF(AND(AH295&lt;&gt;"R1",AH295&lt;&gt;"R2"),"×表以外の行（集計されない）",IF(COUNTIF($AI$5:AI295,AI295)&gt;1,"△重複（集計されない）",IF(D295="","△タスク名なし",IF(ISNA(MATCH(AK295,'M1_類型マスタ'!$A$5:$A$19,0)),"△類型が不正",IF(OR(AM295="",AN295=""),"△回数・分が読めない",IF(SUMPRODUCT(--ISNUMBER(--O295:U295))&lt;7,"△採点が足りない",IF(SUMPRODUCT((--O295:U295&gt;2)+(--O295:U295&lt;0))&gt;0,"△採点が範囲外","OK")))))))))))</f>
        <v/>
      </c>
      <c r="X295">
        <f>IF(W295&lt;&gt;"OK","",TRIM(IF(AND(AO295&lt;&gt;"",N(AO295)&lt;=1),"根拠1件 ","")&amp;IF(AP295&lt;&gt;"","同名あり ","")&amp;IF(AND(NOT(ISNUMBER(I295)),I295&lt;&gt;""),"回数を換算 ","")))</f>
        <v/>
      </c>
      <c r="Y295" s="31" t="n"/>
      <c r="Z295" s="32" t="n"/>
      <c r="AA295" s="32" t="n"/>
      <c r="AB295" s="31" t="n"/>
      <c r="AC295">
        <f>IF(W295&lt;&gt;"OK","",IF(AB295&lt;&gt;"",AB295,AE295))</f>
        <v/>
      </c>
      <c r="AD295" s="33">
        <f>IF(W295&lt;&gt;"OK","",IFERROR(IF(Z295&lt;&gt;"",Z295,AM295)*IF(AA295&lt;&gt;"",AA295,AN295)/60,""))</f>
        <v/>
      </c>
      <c r="AE295">
        <f>IF(W295&lt;&gt;"OK","",IF(OR(VALUE(O295)=2,VALUE(P295)=2,VALUE(Q295)=2),"社内残置",IF(AND(VALUE(O295)=0,VALUE(R295)=0,VALUE(T295)=0),"自動化候補",IF(AND(VALUE(P295)=0,VALUE(R295)&lt;=1,VALUE(S295)&lt;=1,VALUE(T295)&lt;=1,VALUE(U295)&lt;=1),"オフショア候補",IF(AND(VALUE(T295)&lt;=1,VALUE(U295)&lt;=1),"ニアショア候補","社内で手順化→再評価")))))</f>
        <v/>
      </c>
      <c r="AF295">
        <f>IF(W295&lt;&gt;"OK","",14-SUMPRODUCT(--O295:U295))</f>
        <v/>
      </c>
      <c r="AG295" s="33">
        <f>IF(W295&lt;&gt;"OK","",AM295*AN295/60)</f>
        <v/>
      </c>
      <c r="AH295" s="34">
        <f>IF(A295="","",UPPER(TRIM(ASC(A295&amp;""))))</f>
        <v/>
      </c>
      <c r="AI295" s="34">
        <f>IF(AH295="","",AH295&amp;"-"&amp;B295)</f>
        <v/>
      </c>
      <c r="AJ295" s="34">
        <f>IF(C295="","",IFERROR(VALUE(ASC(SUBSTITUTE(C295&amp;"","観点",""))),""))</f>
        <v/>
      </c>
      <c r="AK295" s="34">
        <f>IF(E295="","",UPPER(LEFT(TRIM(ASC(E295&amp;"")),3)))</f>
        <v/>
      </c>
      <c r="AL295" s="34">
        <f>IF(I295="","",IFERROR(VALUE(SUBSTITUTE(SUBSTITUTE(SUBSTITUTE(SUBSTITUTE(SUBSTITUTE(SUBSTITUTE(SUBSTITUTE(SUBSTITUTE(SUBSTITUTE(SUBSTITUTE(SUBSTITUTE(SUBSTITUTE(ASC(I295&amp;""),"約",""),"程度",""),"ほど",""),"回",""),"毎",""),"週",""),"月",""),"年",""),"日",""),"に",""),"/","")," ","")),""))</f>
        <v/>
      </c>
      <c r="AM295" s="34">
        <f>IF(I295="","",IF(ISNUMBER(I295),I295,IFERROR(VALUE(ASC(I295&amp;"")),IF(AL295&lt;&gt;"",AL295*IF(ISNUMBER(SEARCH("週",I295)),4.3,IF(ISNUMBER(SEARCH("年",I295)),1/12,IF(ISNUMBER(SEARCH("日",I295)),20,1))),IF(ISNUMBER(SEARCH("日",I295)),20,IF(ISNUMBER(SEARCH("週",I295)),4.3,IF(ISNUMBER(SEARCH("月",I295)),1,"")))))))</f>
        <v/>
      </c>
      <c r="AN295" s="34">
        <f>IF(J295="","",IF(ISNUMBER(J295),J295,IFERROR(VALUE(ASC(J295&amp;"")),IF(ISNUMBER(SEARCH("時間",J295)),IFERROR(VALUE(SUBSTITUTE(SUBSTITUTE(SUBSTITUTE(SUBSTITUTE(SUBSTITUTE(ASC(J295&amp;""),"約",""),"程度",""),"ほど",""),"時間","")," ",""))*60,""),IFERROR(VALUE(SUBSTITUTE(SUBSTITUTE(SUBSTITUTE(SUBSTITUTE(SUBSTITUTE(ASC(J295&amp;""),"約",""),"程度",""),"ほど",""),"分","")," ","")),"")))))</f>
        <v/>
      </c>
      <c r="AO295" s="34">
        <f>IF(K295="","",IF(ISNUMBER(K295),K295,IFERROR(VALUE(SUBSTITUTE(SUBSTITUTE(SUBSTITUTE(ASC(K295&amp;""),"約",""),"件","")," ","")),"")))</f>
        <v/>
      </c>
      <c r="AP295" s="34">
        <f>IF(W295&lt;&gt;"OK","",IF(COUNTIFS($D$5:$D$404,D295,$W$5:$W$404,"OK")&gt;1,"同名あり",""))</f>
        <v/>
      </c>
      <c r="AQ295" s="35">
        <f>IF(L295="","",IF(ISNUMBER(L295),L295,IFERROR(DATEVALUE(SUBSTITUTE(SUBSTITUTE(ASC(L295&amp;""),"-","/"),".","/")&amp;"/01"),"")))</f>
        <v/>
      </c>
      <c r="AR295" s="35">
        <f>IF(M295="","",IF(ISNUMBER(M295),M295,IFERROR(DATEVALUE(SUBSTITUTE(SUBSTITUTE(ASC(M295&amp;""),"-","/"),".","/")&amp;"/01"),"")))</f>
        <v/>
      </c>
      <c r="AS295" s="34">
        <f>IF(OR(W295&lt;&gt;"OK",AQ295=""),"",IF(AQ295&gt;='01_設定'!$C$26,1,0))</f>
        <v/>
      </c>
      <c r="AT295" s="34">
        <f>IF(AND(W295="OK",Y295&lt;&gt;"除外"),COUNTIFS($W$5:W295,"OK",$Y$5:Y295,"&lt;&gt;除外"),"")</f>
        <v/>
      </c>
      <c r="AU295" s="34">
        <f>IF(OR(AT295="",AD295=""),"",AD295+ROW()/1000000000)</f>
        <v/>
      </c>
    </row>
    <row r="296">
      <c r="W296">
        <f>IF(AND(A296="",D296=""),"",IF(ISNUMBER(SEARCH("##END",AH296)),"（終わりの印）",IF(ISNUMBER(SEARCH("##続き",AH296)),"（続きありの印）",IF(AH296="調査ID","（見出し行）",IF(AND(AH296&lt;&gt;"R1",AH296&lt;&gt;"R2"),"×表以外の行（集計されない）",IF(COUNTIF($AI$5:AI296,AI296)&gt;1,"△重複（集計されない）",IF(D296="","△タスク名なし",IF(ISNA(MATCH(AK296,'M1_類型マスタ'!$A$5:$A$19,0)),"△類型が不正",IF(OR(AM296="",AN296=""),"△回数・分が読めない",IF(SUMPRODUCT(--ISNUMBER(--O296:U296))&lt;7,"△採点が足りない",IF(SUMPRODUCT((--O296:U296&gt;2)+(--O296:U296&lt;0))&gt;0,"△採点が範囲外","OK")))))))))))</f>
        <v/>
      </c>
      <c r="X296">
        <f>IF(W296&lt;&gt;"OK","",TRIM(IF(AND(AO296&lt;&gt;"",N(AO296)&lt;=1),"根拠1件 ","")&amp;IF(AP296&lt;&gt;"","同名あり ","")&amp;IF(AND(NOT(ISNUMBER(I296)),I296&lt;&gt;""),"回数を換算 ","")))</f>
        <v/>
      </c>
      <c r="Y296" s="31" t="n"/>
      <c r="Z296" s="32" t="n"/>
      <c r="AA296" s="32" t="n"/>
      <c r="AB296" s="31" t="n"/>
      <c r="AC296">
        <f>IF(W296&lt;&gt;"OK","",IF(AB296&lt;&gt;"",AB296,AE296))</f>
        <v/>
      </c>
      <c r="AD296" s="33">
        <f>IF(W296&lt;&gt;"OK","",IFERROR(IF(Z296&lt;&gt;"",Z296,AM296)*IF(AA296&lt;&gt;"",AA296,AN296)/60,""))</f>
        <v/>
      </c>
      <c r="AE296">
        <f>IF(W296&lt;&gt;"OK","",IF(OR(VALUE(O296)=2,VALUE(P296)=2,VALUE(Q296)=2),"社内残置",IF(AND(VALUE(O296)=0,VALUE(R296)=0,VALUE(T296)=0),"自動化候補",IF(AND(VALUE(P296)=0,VALUE(R296)&lt;=1,VALUE(S296)&lt;=1,VALUE(T296)&lt;=1,VALUE(U296)&lt;=1),"オフショア候補",IF(AND(VALUE(T296)&lt;=1,VALUE(U296)&lt;=1),"ニアショア候補","社内で手順化→再評価")))))</f>
        <v/>
      </c>
      <c r="AF296">
        <f>IF(W296&lt;&gt;"OK","",14-SUMPRODUCT(--O296:U296))</f>
        <v/>
      </c>
      <c r="AG296" s="33">
        <f>IF(W296&lt;&gt;"OK","",AM296*AN296/60)</f>
        <v/>
      </c>
      <c r="AH296" s="34">
        <f>IF(A296="","",UPPER(TRIM(ASC(A296&amp;""))))</f>
        <v/>
      </c>
      <c r="AI296" s="34">
        <f>IF(AH296="","",AH296&amp;"-"&amp;B296)</f>
        <v/>
      </c>
      <c r="AJ296" s="34">
        <f>IF(C296="","",IFERROR(VALUE(ASC(SUBSTITUTE(C296&amp;"","観点",""))),""))</f>
        <v/>
      </c>
      <c r="AK296" s="34">
        <f>IF(E296="","",UPPER(LEFT(TRIM(ASC(E296&amp;"")),3)))</f>
        <v/>
      </c>
      <c r="AL296" s="34">
        <f>IF(I296="","",IFERROR(VALUE(SUBSTITUTE(SUBSTITUTE(SUBSTITUTE(SUBSTITUTE(SUBSTITUTE(SUBSTITUTE(SUBSTITUTE(SUBSTITUTE(SUBSTITUTE(SUBSTITUTE(SUBSTITUTE(SUBSTITUTE(ASC(I296&amp;""),"約",""),"程度",""),"ほど",""),"回",""),"毎",""),"週",""),"月",""),"年",""),"日",""),"に",""),"/","")," ","")),""))</f>
        <v/>
      </c>
      <c r="AM296" s="34">
        <f>IF(I296="","",IF(ISNUMBER(I296),I296,IFERROR(VALUE(ASC(I296&amp;"")),IF(AL296&lt;&gt;"",AL296*IF(ISNUMBER(SEARCH("週",I296)),4.3,IF(ISNUMBER(SEARCH("年",I296)),1/12,IF(ISNUMBER(SEARCH("日",I296)),20,1))),IF(ISNUMBER(SEARCH("日",I296)),20,IF(ISNUMBER(SEARCH("週",I296)),4.3,IF(ISNUMBER(SEARCH("月",I296)),1,"")))))))</f>
        <v/>
      </c>
      <c r="AN296" s="34">
        <f>IF(J296="","",IF(ISNUMBER(J296),J296,IFERROR(VALUE(ASC(J296&amp;"")),IF(ISNUMBER(SEARCH("時間",J296)),IFERROR(VALUE(SUBSTITUTE(SUBSTITUTE(SUBSTITUTE(SUBSTITUTE(SUBSTITUTE(ASC(J296&amp;""),"約",""),"程度",""),"ほど",""),"時間","")," ",""))*60,""),IFERROR(VALUE(SUBSTITUTE(SUBSTITUTE(SUBSTITUTE(SUBSTITUTE(SUBSTITUTE(ASC(J296&amp;""),"約",""),"程度",""),"ほど",""),"分","")," ","")),"")))))</f>
        <v/>
      </c>
      <c r="AO296" s="34">
        <f>IF(K296="","",IF(ISNUMBER(K296),K296,IFERROR(VALUE(SUBSTITUTE(SUBSTITUTE(SUBSTITUTE(ASC(K296&amp;""),"約",""),"件","")," ","")),"")))</f>
        <v/>
      </c>
      <c r="AP296" s="34">
        <f>IF(W296&lt;&gt;"OK","",IF(COUNTIFS($D$5:$D$404,D296,$W$5:$W$404,"OK")&gt;1,"同名あり",""))</f>
        <v/>
      </c>
      <c r="AQ296" s="35">
        <f>IF(L296="","",IF(ISNUMBER(L296),L296,IFERROR(DATEVALUE(SUBSTITUTE(SUBSTITUTE(ASC(L296&amp;""),"-","/"),".","/")&amp;"/01"),"")))</f>
        <v/>
      </c>
      <c r="AR296" s="35">
        <f>IF(M296="","",IF(ISNUMBER(M296),M296,IFERROR(DATEVALUE(SUBSTITUTE(SUBSTITUTE(ASC(M296&amp;""),"-","/"),".","/")&amp;"/01"),"")))</f>
        <v/>
      </c>
      <c r="AS296" s="34">
        <f>IF(OR(W296&lt;&gt;"OK",AQ296=""),"",IF(AQ296&gt;='01_設定'!$C$26,1,0))</f>
        <v/>
      </c>
      <c r="AT296" s="34">
        <f>IF(AND(W296="OK",Y296&lt;&gt;"除外"),COUNTIFS($W$5:W296,"OK",$Y$5:Y296,"&lt;&gt;除外"),"")</f>
        <v/>
      </c>
      <c r="AU296" s="34">
        <f>IF(OR(AT296="",AD296=""),"",AD296+ROW()/1000000000)</f>
        <v/>
      </c>
    </row>
    <row r="297">
      <c r="W297">
        <f>IF(AND(A297="",D297=""),"",IF(ISNUMBER(SEARCH("##END",AH297)),"（終わりの印）",IF(ISNUMBER(SEARCH("##続き",AH297)),"（続きありの印）",IF(AH297="調査ID","（見出し行）",IF(AND(AH297&lt;&gt;"R1",AH297&lt;&gt;"R2"),"×表以外の行（集計されない）",IF(COUNTIF($AI$5:AI297,AI297)&gt;1,"△重複（集計されない）",IF(D297="","△タスク名なし",IF(ISNA(MATCH(AK297,'M1_類型マスタ'!$A$5:$A$19,0)),"△類型が不正",IF(OR(AM297="",AN297=""),"△回数・分が読めない",IF(SUMPRODUCT(--ISNUMBER(--O297:U297))&lt;7,"△採点が足りない",IF(SUMPRODUCT((--O297:U297&gt;2)+(--O297:U297&lt;0))&gt;0,"△採点が範囲外","OK")))))))))))</f>
        <v/>
      </c>
      <c r="X297">
        <f>IF(W297&lt;&gt;"OK","",TRIM(IF(AND(AO297&lt;&gt;"",N(AO297)&lt;=1),"根拠1件 ","")&amp;IF(AP297&lt;&gt;"","同名あり ","")&amp;IF(AND(NOT(ISNUMBER(I297)),I297&lt;&gt;""),"回数を換算 ","")))</f>
        <v/>
      </c>
      <c r="Y297" s="31" t="n"/>
      <c r="Z297" s="32" t="n"/>
      <c r="AA297" s="32" t="n"/>
      <c r="AB297" s="31" t="n"/>
      <c r="AC297">
        <f>IF(W297&lt;&gt;"OK","",IF(AB297&lt;&gt;"",AB297,AE297))</f>
        <v/>
      </c>
      <c r="AD297" s="33">
        <f>IF(W297&lt;&gt;"OK","",IFERROR(IF(Z297&lt;&gt;"",Z297,AM297)*IF(AA297&lt;&gt;"",AA297,AN297)/60,""))</f>
        <v/>
      </c>
      <c r="AE297">
        <f>IF(W297&lt;&gt;"OK","",IF(OR(VALUE(O297)=2,VALUE(P297)=2,VALUE(Q297)=2),"社内残置",IF(AND(VALUE(O297)=0,VALUE(R297)=0,VALUE(T297)=0),"自動化候補",IF(AND(VALUE(P297)=0,VALUE(R297)&lt;=1,VALUE(S297)&lt;=1,VALUE(T297)&lt;=1,VALUE(U297)&lt;=1),"オフショア候補",IF(AND(VALUE(T297)&lt;=1,VALUE(U297)&lt;=1),"ニアショア候補","社内で手順化→再評価")))))</f>
        <v/>
      </c>
      <c r="AF297">
        <f>IF(W297&lt;&gt;"OK","",14-SUMPRODUCT(--O297:U297))</f>
        <v/>
      </c>
      <c r="AG297" s="33">
        <f>IF(W297&lt;&gt;"OK","",AM297*AN297/60)</f>
        <v/>
      </c>
      <c r="AH297" s="34">
        <f>IF(A297="","",UPPER(TRIM(ASC(A297&amp;""))))</f>
        <v/>
      </c>
      <c r="AI297" s="34">
        <f>IF(AH297="","",AH297&amp;"-"&amp;B297)</f>
        <v/>
      </c>
      <c r="AJ297" s="34">
        <f>IF(C297="","",IFERROR(VALUE(ASC(SUBSTITUTE(C297&amp;"","観点",""))),""))</f>
        <v/>
      </c>
      <c r="AK297" s="34">
        <f>IF(E297="","",UPPER(LEFT(TRIM(ASC(E297&amp;"")),3)))</f>
        <v/>
      </c>
      <c r="AL297" s="34">
        <f>IF(I297="","",IFERROR(VALUE(SUBSTITUTE(SUBSTITUTE(SUBSTITUTE(SUBSTITUTE(SUBSTITUTE(SUBSTITUTE(SUBSTITUTE(SUBSTITUTE(SUBSTITUTE(SUBSTITUTE(SUBSTITUTE(SUBSTITUTE(ASC(I297&amp;""),"約",""),"程度",""),"ほど",""),"回",""),"毎",""),"週",""),"月",""),"年",""),"日",""),"に",""),"/","")," ","")),""))</f>
        <v/>
      </c>
      <c r="AM297" s="34">
        <f>IF(I297="","",IF(ISNUMBER(I297),I297,IFERROR(VALUE(ASC(I297&amp;"")),IF(AL297&lt;&gt;"",AL297*IF(ISNUMBER(SEARCH("週",I297)),4.3,IF(ISNUMBER(SEARCH("年",I297)),1/12,IF(ISNUMBER(SEARCH("日",I297)),20,1))),IF(ISNUMBER(SEARCH("日",I297)),20,IF(ISNUMBER(SEARCH("週",I297)),4.3,IF(ISNUMBER(SEARCH("月",I297)),1,"")))))))</f>
        <v/>
      </c>
      <c r="AN297" s="34">
        <f>IF(J297="","",IF(ISNUMBER(J297),J297,IFERROR(VALUE(ASC(J297&amp;"")),IF(ISNUMBER(SEARCH("時間",J297)),IFERROR(VALUE(SUBSTITUTE(SUBSTITUTE(SUBSTITUTE(SUBSTITUTE(SUBSTITUTE(ASC(J297&amp;""),"約",""),"程度",""),"ほど",""),"時間","")," ",""))*60,""),IFERROR(VALUE(SUBSTITUTE(SUBSTITUTE(SUBSTITUTE(SUBSTITUTE(SUBSTITUTE(ASC(J297&amp;""),"約",""),"程度",""),"ほど",""),"分","")," ","")),"")))))</f>
        <v/>
      </c>
      <c r="AO297" s="34">
        <f>IF(K297="","",IF(ISNUMBER(K297),K297,IFERROR(VALUE(SUBSTITUTE(SUBSTITUTE(SUBSTITUTE(ASC(K297&amp;""),"約",""),"件","")," ","")),"")))</f>
        <v/>
      </c>
      <c r="AP297" s="34">
        <f>IF(W297&lt;&gt;"OK","",IF(COUNTIFS($D$5:$D$404,D297,$W$5:$W$404,"OK")&gt;1,"同名あり",""))</f>
        <v/>
      </c>
      <c r="AQ297" s="35">
        <f>IF(L297="","",IF(ISNUMBER(L297),L297,IFERROR(DATEVALUE(SUBSTITUTE(SUBSTITUTE(ASC(L297&amp;""),"-","/"),".","/")&amp;"/01"),"")))</f>
        <v/>
      </c>
      <c r="AR297" s="35">
        <f>IF(M297="","",IF(ISNUMBER(M297),M297,IFERROR(DATEVALUE(SUBSTITUTE(SUBSTITUTE(ASC(M297&amp;""),"-","/"),".","/")&amp;"/01"),"")))</f>
        <v/>
      </c>
      <c r="AS297" s="34">
        <f>IF(OR(W297&lt;&gt;"OK",AQ297=""),"",IF(AQ297&gt;='01_設定'!$C$26,1,0))</f>
        <v/>
      </c>
      <c r="AT297" s="34">
        <f>IF(AND(W297="OK",Y297&lt;&gt;"除外"),COUNTIFS($W$5:W297,"OK",$Y$5:Y297,"&lt;&gt;除外"),"")</f>
        <v/>
      </c>
      <c r="AU297" s="34">
        <f>IF(OR(AT297="",AD297=""),"",AD297+ROW()/1000000000)</f>
        <v/>
      </c>
    </row>
    <row r="298">
      <c r="W298">
        <f>IF(AND(A298="",D298=""),"",IF(ISNUMBER(SEARCH("##END",AH298)),"（終わりの印）",IF(ISNUMBER(SEARCH("##続き",AH298)),"（続きありの印）",IF(AH298="調査ID","（見出し行）",IF(AND(AH298&lt;&gt;"R1",AH298&lt;&gt;"R2"),"×表以外の行（集計されない）",IF(COUNTIF($AI$5:AI298,AI298)&gt;1,"△重複（集計されない）",IF(D298="","△タスク名なし",IF(ISNA(MATCH(AK298,'M1_類型マスタ'!$A$5:$A$19,0)),"△類型が不正",IF(OR(AM298="",AN298=""),"△回数・分が読めない",IF(SUMPRODUCT(--ISNUMBER(--O298:U298))&lt;7,"△採点が足りない",IF(SUMPRODUCT((--O298:U298&gt;2)+(--O298:U298&lt;0))&gt;0,"△採点が範囲外","OK")))))))))))</f>
        <v/>
      </c>
      <c r="X298">
        <f>IF(W298&lt;&gt;"OK","",TRIM(IF(AND(AO298&lt;&gt;"",N(AO298)&lt;=1),"根拠1件 ","")&amp;IF(AP298&lt;&gt;"","同名あり ","")&amp;IF(AND(NOT(ISNUMBER(I298)),I298&lt;&gt;""),"回数を換算 ","")))</f>
        <v/>
      </c>
      <c r="Y298" s="31" t="n"/>
      <c r="Z298" s="32" t="n"/>
      <c r="AA298" s="32" t="n"/>
      <c r="AB298" s="31" t="n"/>
      <c r="AC298">
        <f>IF(W298&lt;&gt;"OK","",IF(AB298&lt;&gt;"",AB298,AE298))</f>
        <v/>
      </c>
      <c r="AD298" s="33">
        <f>IF(W298&lt;&gt;"OK","",IFERROR(IF(Z298&lt;&gt;"",Z298,AM298)*IF(AA298&lt;&gt;"",AA298,AN298)/60,""))</f>
        <v/>
      </c>
      <c r="AE298">
        <f>IF(W298&lt;&gt;"OK","",IF(OR(VALUE(O298)=2,VALUE(P298)=2,VALUE(Q298)=2),"社内残置",IF(AND(VALUE(O298)=0,VALUE(R298)=0,VALUE(T298)=0),"自動化候補",IF(AND(VALUE(P298)=0,VALUE(R298)&lt;=1,VALUE(S298)&lt;=1,VALUE(T298)&lt;=1,VALUE(U298)&lt;=1),"オフショア候補",IF(AND(VALUE(T298)&lt;=1,VALUE(U298)&lt;=1),"ニアショア候補","社内で手順化→再評価")))))</f>
        <v/>
      </c>
      <c r="AF298">
        <f>IF(W298&lt;&gt;"OK","",14-SUMPRODUCT(--O298:U298))</f>
        <v/>
      </c>
      <c r="AG298" s="33">
        <f>IF(W298&lt;&gt;"OK","",AM298*AN298/60)</f>
        <v/>
      </c>
      <c r="AH298" s="34">
        <f>IF(A298="","",UPPER(TRIM(ASC(A298&amp;""))))</f>
        <v/>
      </c>
      <c r="AI298" s="34">
        <f>IF(AH298="","",AH298&amp;"-"&amp;B298)</f>
        <v/>
      </c>
      <c r="AJ298" s="34">
        <f>IF(C298="","",IFERROR(VALUE(ASC(SUBSTITUTE(C298&amp;"","観点",""))),""))</f>
        <v/>
      </c>
      <c r="AK298" s="34">
        <f>IF(E298="","",UPPER(LEFT(TRIM(ASC(E298&amp;"")),3)))</f>
        <v/>
      </c>
      <c r="AL298" s="34">
        <f>IF(I298="","",IFERROR(VALUE(SUBSTITUTE(SUBSTITUTE(SUBSTITUTE(SUBSTITUTE(SUBSTITUTE(SUBSTITUTE(SUBSTITUTE(SUBSTITUTE(SUBSTITUTE(SUBSTITUTE(SUBSTITUTE(SUBSTITUTE(ASC(I298&amp;""),"約",""),"程度",""),"ほど",""),"回",""),"毎",""),"週",""),"月",""),"年",""),"日",""),"に",""),"/","")," ","")),""))</f>
        <v/>
      </c>
      <c r="AM298" s="34">
        <f>IF(I298="","",IF(ISNUMBER(I298),I298,IFERROR(VALUE(ASC(I298&amp;"")),IF(AL298&lt;&gt;"",AL298*IF(ISNUMBER(SEARCH("週",I298)),4.3,IF(ISNUMBER(SEARCH("年",I298)),1/12,IF(ISNUMBER(SEARCH("日",I298)),20,1))),IF(ISNUMBER(SEARCH("日",I298)),20,IF(ISNUMBER(SEARCH("週",I298)),4.3,IF(ISNUMBER(SEARCH("月",I298)),1,"")))))))</f>
        <v/>
      </c>
      <c r="AN298" s="34">
        <f>IF(J298="","",IF(ISNUMBER(J298),J298,IFERROR(VALUE(ASC(J298&amp;"")),IF(ISNUMBER(SEARCH("時間",J298)),IFERROR(VALUE(SUBSTITUTE(SUBSTITUTE(SUBSTITUTE(SUBSTITUTE(SUBSTITUTE(ASC(J298&amp;""),"約",""),"程度",""),"ほど",""),"時間","")," ",""))*60,""),IFERROR(VALUE(SUBSTITUTE(SUBSTITUTE(SUBSTITUTE(SUBSTITUTE(SUBSTITUTE(ASC(J298&amp;""),"約",""),"程度",""),"ほど",""),"分","")," ","")),"")))))</f>
        <v/>
      </c>
      <c r="AO298" s="34">
        <f>IF(K298="","",IF(ISNUMBER(K298),K298,IFERROR(VALUE(SUBSTITUTE(SUBSTITUTE(SUBSTITUTE(ASC(K298&amp;""),"約",""),"件","")," ","")),"")))</f>
        <v/>
      </c>
      <c r="AP298" s="34">
        <f>IF(W298&lt;&gt;"OK","",IF(COUNTIFS($D$5:$D$404,D298,$W$5:$W$404,"OK")&gt;1,"同名あり",""))</f>
        <v/>
      </c>
      <c r="AQ298" s="35">
        <f>IF(L298="","",IF(ISNUMBER(L298),L298,IFERROR(DATEVALUE(SUBSTITUTE(SUBSTITUTE(ASC(L298&amp;""),"-","/"),".","/")&amp;"/01"),"")))</f>
        <v/>
      </c>
      <c r="AR298" s="35">
        <f>IF(M298="","",IF(ISNUMBER(M298),M298,IFERROR(DATEVALUE(SUBSTITUTE(SUBSTITUTE(ASC(M298&amp;""),"-","/"),".","/")&amp;"/01"),"")))</f>
        <v/>
      </c>
      <c r="AS298" s="34">
        <f>IF(OR(W298&lt;&gt;"OK",AQ298=""),"",IF(AQ298&gt;='01_設定'!$C$26,1,0))</f>
        <v/>
      </c>
      <c r="AT298" s="34">
        <f>IF(AND(W298="OK",Y298&lt;&gt;"除外"),COUNTIFS($W$5:W298,"OK",$Y$5:Y298,"&lt;&gt;除外"),"")</f>
        <v/>
      </c>
      <c r="AU298" s="34">
        <f>IF(OR(AT298="",AD298=""),"",AD298+ROW()/1000000000)</f>
        <v/>
      </c>
    </row>
    <row r="299">
      <c r="W299">
        <f>IF(AND(A299="",D299=""),"",IF(ISNUMBER(SEARCH("##END",AH299)),"（終わりの印）",IF(ISNUMBER(SEARCH("##続き",AH299)),"（続きありの印）",IF(AH299="調査ID","（見出し行）",IF(AND(AH299&lt;&gt;"R1",AH299&lt;&gt;"R2"),"×表以外の行（集計されない）",IF(COUNTIF($AI$5:AI299,AI299)&gt;1,"△重複（集計されない）",IF(D299="","△タスク名なし",IF(ISNA(MATCH(AK299,'M1_類型マスタ'!$A$5:$A$19,0)),"△類型が不正",IF(OR(AM299="",AN299=""),"△回数・分が読めない",IF(SUMPRODUCT(--ISNUMBER(--O299:U299))&lt;7,"△採点が足りない",IF(SUMPRODUCT((--O299:U299&gt;2)+(--O299:U299&lt;0))&gt;0,"△採点が範囲外","OK")))))))))))</f>
        <v/>
      </c>
      <c r="X299">
        <f>IF(W299&lt;&gt;"OK","",TRIM(IF(AND(AO299&lt;&gt;"",N(AO299)&lt;=1),"根拠1件 ","")&amp;IF(AP299&lt;&gt;"","同名あり ","")&amp;IF(AND(NOT(ISNUMBER(I299)),I299&lt;&gt;""),"回数を換算 ","")))</f>
        <v/>
      </c>
      <c r="Y299" s="31" t="n"/>
      <c r="Z299" s="32" t="n"/>
      <c r="AA299" s="32" t="n"/>
      <c r="AB299" s="31" t="n"/>
      <c r="AC299">
        <f>IF(W299&lt;&gt;"OK","",IF(AB299&lt;&gt;"",AB299,AE299))</f>
        <v/>
      </c>
      <c r="AD299" s="33">
        <f>IF(W299&lt;&gt;"OK","",IFERROR(IF(Z299&lt;&gt;"",Z299,AM299)*IF(AA299&lt;&gt;"",AA299,AN299)/60,""))</f>
        <v/>
      </c>
      <c r="AE299">
        <f>IF(W299&lt;&gt;"OK","",IF(OR(VALUE(O299)=2,VALUE(P299)=2,VALUE(Q299)=2),"社内残置",IF(AND(VALUE(O299)=0,VALUE(R299)=0,VALUE(T299)=0),"自動化候補",IF(AND(VALUE(P299)=0,VALUE(R299)&lt;=1,VALUE(S299)&lt;=1,VALUE(T299)&lt;=1,VALUE(U299)&lt;=1),"オフショア候補",IF(AND(VALUE(T299)&lt;=1,VALUE(U299)&lt;=1),"ニアショア候補","社内で手順化→再評価")))))</f>
        <v/>
      </c>
      <c r="AF299">
        <f>IF(W299&lt;&gt;"OK","",14-SUMPRODUCT(--O299:U299))</f>
        <v/>
      </c>
      <c r="AG299" s="33">
        <f>IF(W299&lt;&gt;"OK","",AM299*AN299/60)</f>
        <v/>
      </c>
      <c r="AH299" s="34">
        <f>IF(A299="","",UPPER(TRIM(ASC(A299&amp;""))))</f>
        <v/>
      </c>
      <c r="AI299" s="34">
        <f>IF(AH299="","",AH299&amp;"-"&amp;B299)</f>
        <v/>
      </c>
      <c r="AJ299" s="34">
        <f>IF(C299="","",IFERROR(VALUE(ASC(SUBSTITUTE(C299&amp;"","観点",""))),""))</f>
        <v/>
      </c>
      <c r="AK299" s="34">
        <f>IF(E299="","",UPPER(LEFT(TRIM(ASC(E299&amp;"")),3)))</f>
        <v/>
      </c>
      <c r="AL299" s="34">
        <f>IF(I299="","",IFERROR(VALUE(SUBSTITUTE(SUBSTITUTE(SUBSTITUTE(SUBSTITUTE(SUBSTITUTE(SUBSTITUTE(SUBSTITUTE(SUBSTITUTE(SUBSTITUTE(SUBSTITUTE(SUBSTITUTE(SUBSTITUTE(ASC(I299&amp;""),"約",""),"程度",""),"ほど",""),"回",""),"毎",""),"週",""),"月",""),"年",""),"日",""),"に",""),"/","")," ","")),""))</f>
        <v/>
      </c>
      <c r="AM299" s="34">
        <f>IF(I299="","",IF(ISNUMBER(I299),I299,IFERROR(VALUE(ASC(I299&amp;"")),IF(AL299&lt;&gt;"",AL299*IF(ISNUMBER(SEARCH("週",I299)),4.3,IF(ISNUMBER(SEARCH("年",I299)),1/12,IF(ISNUMBER(SEARCH("日",I299)),20,1))),IF(ISNUMBER(SEARCH("日",I299)),20,IF(ISNUMBER(SEARCH("週",I299)),4.3,IF(ISNUMBER(SEARCH("月",I299)),1,"")))))))</f>
        <v/>
      </c>
      <c r="AN299" s="34">
        <f>IF(J299="","",IF(ISNUMBER(J299),J299,IFERROR(VALUE(ASC(J299&amp;"")),IF(ISNUMBER(SEARCH("時間",J299)),IFERROR(VALUE(SUBSTITUTE(SUBSTITUTE(SUBSTITUTE(SUBSTITUTE(SUBSTITUTE(ASC(J299&amp;""),"約",""),"程度",""),"ほど",""),"時間","")," ",""))*60,""),IFERROR(VALUE(SUBSTITUTE(SUBSTITUTE(SUBSTITUTE(SUBSTITUTE(SUBSTITUTE(ASC(J299&amp;""),"約",""),"程度",""),"ほど",""),"分","")," ","")),"")))))</f>
        <v/>
      </c>
      <c r="AO299" s="34">
        <f>IF(K299="","",IF(ISNUMBER(K299),K299,IFERROR(VALUE(SUBSTITUTE(SUBSTITUTE(SUBSTITUTE(ASC(K299&amp;""),"約",""),"件","")," ","")),"")))</f>
        <v/>
      </c>
      <c r="AP299" s="34">
        <f>IF(W299&lt;&gt;"OK","",IF(COUNTIFS($D$5:$D$404,D299,$W$5:$W$404,"OK")&gt;1,"同名あり",""))</f>
        <v/>
      </c>
      <c r="AQ299" s="35">
        <f>IF(L299="","",IF(ISNUMBER(L299),L299,IFERROR(DATEVALUE(SUBSTITUTE(SUBSTITUTE(ASC(L299&amp;""),"-","/"),".","/")&amp;"/01"),"")))</f>
        <v/>
      </c>
      <c r="AR299" s="35">
        <f>IF(M299="","",IF(ISNUMBER(M299),M299,IFERROR(DATEVALUE(SUBSTITUTE(SUBSTITUTE(ASC(M299&amp;""),"-","/"),".","/")&amp;"/01"),"")))</f>
        <v/>
      </c>
      <c r="AS299" s="34">
        <f>IF(OR(W299&lt;&gt;"OK",AQ299=""),"",IF(AQ299&gt;='01_設定'!$C$26,1,0))</f>
        <v/>
      </c>
      <c r="AT299" s="34">
        <f>IF(AND(W299="OK",Y299&lt;&gt;"除外"),COUNTIFS($W$5:W299,"OK",$Y$5:Y299,"&lt;&gt;除外"),"")</f>
        <v/>
      </c>
      <c r="AU299" s="34">
        <f>IF(OR(AT299="",AD299=""),"",AD299+ROW()/1000000000)</f>
        <v/>
      </c>
    </row>
    <row r="300">
      <c r="W300">
        <f>IF(AND(A300="",D300=""),"",IF(ISNUMBER(SEARCH("##END",AH300)),"（終わりの印）",IF(ISNUMBER(SEARCH("##続き",AH300)),"（続きありの印）",IF(AH300="調査ID","（見出し行）",IF(AND(AH300&lt;&gt;"R1",AH300&lt;&gt;"R2"),"×表以外の行（集計されない）",IF(COUNTIF($AI$5:AI300,AI300)&gt;1,"△重複（集計されない）",IF(D300="","△タスク名なし",IF(ISNA(MATCH(AK300,'M1_類型マスタ'!$A$5:$A$19,0)),"△類型が不正",IF(OR(AM300="",AN300=""),"△回数・分が読めない",IF(SUMPRODUCT(--ISNUMBER(--O300:U300))&lt;7,"△採点が足りない",IF(SUMPRODUCT((--O300:U300&gt;2)+(--O300:U300&lt;0))&gt;0,"△採点が範囲外","OK")))))))))))</f>
        <v/>
      </c>
      <c r="X300">
        <f>IF(W300&lt;&gt;"OK","",TRIM(IF(AND(AO300&lt;&gt;"",N(AO300)&lt;=1),"根拠1件 ","")&amp;IF(AP300&lt;&gt;"","同名あり ","")&amp;IF(AND(NOT(ISNUMBER(I300)),I300&lt;&gt;""),"回数を換算 ","")))</f>
        <v/>
      </c>
      <c r="Y300" s="31" t="n"/>
      <c r="Z300" s="32" t="n"/>
      <c r="AA300" s="32" t="n"/>
      <c r="AB300" s="31" t="n"/>
      <c r="AC300">
        <f>IF(W300&lt;&gt;"OK","",IF(AB300&lt;&gt;"",AB300,AE300))</f>
        <v/>
      </c>
      <c r="AD300" s="33">
        <f>IF(W300&lt;&gt;"OK","",IFERROR(IF(Z300&lt;&gt;"",Z300,AM300)*IF(AA300&lt;&gt;"",AA300,AN300)/60,""))</f>
        <v/>
      </c>
      <c r="AE300">
        <f>IF(W300&lt;&gt;"OK","",IF(OR(VALUE(O300)=2,VALUE(P300)=2,VALUE(Q300)=2),"社内残置",IF(AND(VALUE(O300)=0,VALUE(R300)=0,VALUE(T300)=0),"自動化候補",IF(AND(VALUE(P300)=0,VALUE(R300)&lt;=1,VALUE(S300)&lt;=1,VALUE(T300)&lt;=1,VALUE(U300)&lt;=1),"オフショア候補",IF(AND(VALUE(T300)&lt;=1,VALUE(U300)&lt;=1),"ニアショア候補","社内で手順化→再評価")))))</f>
        <v/>
      </c>
      <c r="AF300">
        <f>IF(W300&lt;&gt;"OK","",14-SUMPRODUCT(--O300:U300))</f>
        <v/>
      </c>
      <c r="AG300" s="33">
        <f>IF(W300&lt;&gt;"OK","",AM300*AN300/60)</f>
        <v/>
      </c>
      <c r="AH300" s="34">
        <f>IF(A300="","",UPPER(TRIM(ASC(A300&amp;""))))</f>
        <v/>
      </c>
      <c r="AI300" s="34">
        <f>IF(AH300="","",AH300&amp;"-"&amp;B300)</f>
        <v/>
      </c>
      <c r="AJ300" s="34">
        <f>IF(C300="","",IFERROR(VALUE(ASC(SUBSTITUTE(C300&amp;"","観点",""))),""))</f>
        <v/>
      </c>
      <c r="AK300" s="34">
        <f>IF(E300="","",UPPER(LEFT(TRIM(ASC(E300&amp;"")),3)))</f>
        <v/>
      </c>
      <c r="AL300" s="34">
        <f>IF(I300="","",IFERROR(VALUE(SUBSTITUTE(SUBSTITUTE(SUBSTITUTE(SUBSTITUTE(SUBSTITUTE(SUBSTITUTE(SUBSTITUTE(SUBSTITUTE(SUBSTITUTE(SUBSTITUTE(SUBSTITUTE(SUBSTITUTE(ASC(I300&amp;""),"約",""),"程度",""),"ほど",""),"回",""),"毎",""),"週",""),"月",""),"年",""),"日",""),"に",""),"/","")," ","")),""))</f>
        <v/>
      </c>
      <c r="AM300" s="34">
        <f>IF(I300="","",IF(ISNUMBER(I300),I300,IFERROR(VALUE(ASC(I300&amp;"")),IF(AL300&lt;&gt;"",AL300*IF(ISNUMBER(SEARCH("週",I300)),4.3,IF(ISNUMBER(SEARCH("年",I300)),1/12,IF(ISNUMBER(SEARCH("日",I300)),20,1))),IF(ISNUMBER(SEARCH("日",I300)),20,IF(ISNUMBER(SEARCH("週",I300)),4.3,IF(ISNUMBER(SEARCH("月",I300)),1,"")))))))</f>
        <v/>
      </c>
      <c r="AN300" s="34">
        <f>IF(J300="","",IF(ISNUMBER(J300),J300,IFERROR(VALUE(ASC(J300&amp;"")),IF(ISNUMBER(SEARCH("時間",J300)),IFERROR(VALUE(SUBSTITUTE(SUBSTITUTE(SUBSTITUTE(SUBSTITUTE(SUBSTITUTE(ASC(J300&amp;""),"約",""),"程度",""),"ほど",""),"時間","")," ",""))*60,""),IFERROR(VALUE(SUBSTITUTE(SUBSTITUTE(SUBSTITUTE(SUBSTITUTE(SUBSTITUTE(ASC(J300&amp;""),"約",""),"程度",""),"ほど",""),"分","")," ","")),"")))))</f>
        <v/>
      </c>
      <c r="AO300" s="34">
        <f>IF(K300="","",IF(ISNUMBER(K300),K300,IFERROR(VALUE(SUBSTITUTE(SUBSTITUTE(SUBSTITUTE(ASC(K300&amp;""),"約",""),"件","")," ","")),"")))</f>
        <v/>
      </c>
      <c r="AP300" s="34">
        <f>IF(W300&lt;&gt;"OK","",IF(COUNTIFS($D$5:$D$404,D300,$W$5:$W$404,"OK")&gt;1,"同名あり",""))</f>
        <v/>
      </c>
      <c r="AQ300" s="35">
        <f>IF(L300="","",IF(ISNUMBER(L300),L300,IFERROR(DATEVALUE(SUBSTITUTE(SUBSTITUTE(ASC(L300&amp;""),"-","/"),".","/")&amp;"/01"),"")))</f>
        <v/>
      </c>
      <c r="AR300" s="35">
        <f>IF(M300="","",IF(ISNUMBER(M300),M300,IFERROR(DATEVALUE(SUBSTITUTE(SUBSTITUTE(ASC(M300&amp;""),"-","/"),".","/")&amp;"/01"),"")))</f>
        <v/>
      </c>
      <c r="AS300" s="34">
        <f>IF(OR(W300&lt;&gt;"OK",AQ300=""),"",IF(AQ300&gt;='01_設定'!$C$26,1,0))</f>
        <v/>
      </c>
      <c r="AT300" s="34">
        <f>IF(AND(W300="OK",Y300&lt;&gt;"除外"),COUNTIFS($W$5:W300,"OK",$Y$5:Y300,"&lt;&gt;除外"),"")</f>
        <v/>
      </c>
      <c r="AU300" s="34">
        <f>IF(OR(AT300="",AD300=""),"",AD300+ROW()/1000000000)</f>
        <v/>
      </c>
    </row>
    <row r="301">
      <c r="W301">
        <f>IF(AND(A301="",D301=""),"",IF(ISNUMBER(SEARCH("##END",AH301)),"（終わりの印）",IF(ISNUMBER(SEARCH("##続き",AH301)),"（続きありの印）",IF(AH301="調査ID","（見出し行）",IF(AND(AH301&lt;&gt;"R1",AH301&lt;&gt;"R2"),"×表以外の行（集計されない）",IF(COUNTIF($AI$5:AI301,AI301)&gt;1,"△重複（集計されない）",IF(D301="","△タスク名なし",IF(ISNA(MATCH(AK301,'M1_類型マスタ'!$A$5:$A$19,0)),"△類型が不正",IF(OR(AM301="",AN301=""),"△回数・分が読めない",IF(SUMPRODUCT(--ISNUMBER(--O301:U301))&lt;7,"△採点が足りない",IF(SUMPRODUCT((--O301:U301&gt;2)+(--O301:U301&lt;0))&gt;0,"△採点が範囲外","OK")))))))))))</f>
        <v/>
      </c>
      <c r="X301">
        <f>IF(W301&lt;&gt;"OK","",TRIM(IF(AND(AO301&lt;&gt;"",N(AO301)&lt;=1),"根拠1件 ","")&amp;IF(AP301&lt;&gt;"","同名あり ","")&amp;IF(AND(NOT(ISNUMBER(I301)),I301&lt;&gt;""),"回数を換算 ","")))</f>
        <v/>
      </c>
      <c r="Y301" s="31" t="n"/>
      <c r="Z301" s="32" t="n"/>
      <c r="AA301" s="32" t="n"/>
      <c r="AB301" s="31" t="n"/>
      <c r="AC301">
        <f>IF(W301&lt;&gt;"OK","",IF(AB301&lt;&gt;"",AB301,AE301))</f>
        <v/>
      </c>
      <c r="AD301" s="33">
        <f>IF(W301&lt;&gt;"OK","",IFERROR(IF(Z301&lt;&gt;"",Z301,AM301)*IF(AA301&lt;&gt;"",AA301,AN301)/60,""))</f>
        <v/>
      </c>
      <c r="AE301">
        <f>IF(W301&lt;&gt;"OK","",IF(OR(VALUE(O301)=2,VALUE(P301)=2,VALUE(Q301)=2),"社内残置",IF(AND(VALUE(O301)=0,VALUE(R301)=0,VALUE(T301)=0),"自動化候補",IF(AND(VALUE(P301)=0,VALUE(R301)&lt;=1,VALUE(S301)&lt;=1,VALUE(T301)&lt;=1,VALUE(U301)&lt;=1),"オフショア候補",IF(AND(VALUE(T301)&lt;=1,VALUE(U301)&lt;=1),"ニアショア候補","社内で手順化→再評価")))))</f>
        <v/>
      </c>
      <c r="AF301">
        <f>IF(W301&lt;&gt;"OK","",14-SUMPRODUCT(--O301:U301))</f>
        <v/>
      </c>
      <c r="AG301" s="33">
        <f>IF(W301&lt;&gt;"OK","",AM301*AN301/60)</f>
        <v/>
      </c>
      <c r="AH301" s="34">
        <f>IF(A301="","",UPPER(TRIM(ASC(A301&amp;""))))</f>
        <v/>
      </c>
      <c r="AI301" s="34">
        <f>IF(AH301="","",AH301&amp;"-"&amp;B301)</f>
        <v/>
      </c>
      <c r="AJ301" s="34">
        <f>IF(C301="","",IFERROR(VALUE(ASC(SUBSTITUTE(C301&amp;"","観点",""))),""))</f>
        <v/>
      </c>
      <c r="AK301" s="34">
        <f>IF(E301="","",UPPER(LEFT(TRIM(ASC(E301&amp;"")),3)))</f>
        <v/>
      </c>
      <c r="AL301" s="34">
        <f>IF(I301="","",IFERROR(VALUE(SUBSTITUTE(SUBSTITUTE(SUBSTITUTE(SUBSTITUTE(SUBSTITUTE(SUBSTITUTE(SUBSTITUTE(SUBSTITUTE(SUBSTITUTE(SUBSTITUTE(SUBSTITUTE(SUBSTITUTE(ASC(I301&amp;""),"約",""),"程度",""),"ほど",""),"回",""),"毎",""),"週",""),"月",""),"年",""),"日",""),"に",""),"/","")," ","")),""))</f>
        <v/>
      </c>
      <c r="AM301" s="34">
        <f>IF(I301="","",IF(ISNUMBER(I301),I301,IFERROR(VALUE(ASC(I301&amp;"")),IF(AL301&lt;&gt;"",AL301*IF(ISNUMBER(SEARCH("週",I301)),4.3,IF(ISNUMBER(SEARCH("年",I301)),1/12,IF(ISNUMBER(SEARCH("日",I301)),20,1))),IF(ISNUMBER(SEARCH("日",I301)),20,IF(ISNUMBER(SEARCH("週",I301)),4.3,IF(ISNUMBER(SEARCH("月",I301)),1,"")))))))</f>
        <v/>
      </c>
      <c r="AN301" s="34">
        <f>IF(J301="","",IF(ISNUMBER(J301),J301,IFERROR(VALUE(ASC(J301&amp;"")),IF(ISNUMBER(SEARCH("時間",J301)),IFERROR(VALUE(SUBSTITUTE(SUBSTITUTE(SUBSTITUTE(SUBSTITUTE(SUBSTITUTE(ASC(J301&amp;""),"約",""),"程度",""),"ほど",""),"時間","")," ",""))*60,""),IFERROR(VALUE(SUBSTITUTE(SUBSTITUTE(SUBSTITUTE(SUBSTITUTE(SUBSTITUTE(ASC(J301&amp;""),"約",""),"程度",""),"ほど",""),"分","")," ","")),"")))))</f>
        <v/>
      </c>
      <c r="AO301" s="34">
        <f>IF(K301="","",IF(ISNUMBER(K301),K301,IFERROR(VALUE(SUBSTITUTE(SUBSTITUTE(SUBSTITUTE(ASC(K301&amp;""),"約",""),"件","")," ","")),"")))</f>
        <v/>
      </c>
      <c r="AP301" s="34">
        <f>IF(W301&lt;&gt;"OK","",IF(COUNTIFS($D$5:$D$404,D301,$W$5:$W$404,"OK")&gt;1,"同名あり",""))</f>
        <v/>
      </c>
      <c r="AQ301" s="35">
        <f>IF(L301="","",IF(ISNUMBER(L301),L301,IFERROR(DATEVALUE(SUBSTITUTE(SUBSTITUTE(ASC(L301&amp;""),"-","/"),".","/")&amp;"/01"),"")))</f>
        <v/>
      </c>
      <c r="AR301" s="35">
        <f>IF(M301="","",IF(ISNUMBER(M301),M301,IFERROR(DATEVALUE(SUBSTITUTE(SUBSTITUTE(ASC(M301&amp;""),"-","/"),".","/")&amp;"/01"),"")))</f>
        <v/>
      </c>
      <c r="AS301" s="34">
        <f>IF(OR(W301&lt;&gt;"OK",AQ301=""),"",IF(AQ301&gt;='01_設定'!$C$26,1,0))</f>
        <v/>
      </c>
      <c r="AT301" s="34">
        <f>IF(AND(W301="OK",Y301&lt;&gt;"除外"),COUNTIFS($W$5:W301,"OK",$Y$5:Y301,"&lt;&gt;除外"),"")</f>
        <v/>
      </c>
      <c r="AU301" s="34">
        <f>IF(OR(AT301="",AD301=""),"",AD301+ROW()/1000000000)</f>
        <v/>
      </c>
    </row>
    <row r="302">
      <c r="W302">
        <f>IF(AND(A302="",D302=""),"",IF(ISNUMBER(SEARCH("##END",AH302)),"（終わりの印）",IF(ISNUMBER(SEARCH("##続き",AH302)),"（続きありの印）",IF(AH302="調査ID","（見出し行）",IF(AND(AH302&lt;&gt;"R1",AH302&lt;&gt;"R2"),"×表以外の行（集計されない）",IF(COUNTIF($AI$5:AI302,AI302)&gt;1,"△重複（集計されない）",IF(D302="","△タスク名なし",IF(ISNA(MATCH(AK302,'M1_類型マスタ'!$A$5:$A$19,0)),"△類型が不正",IF(OR(AM302="",AN302=""),"△回数・分が読めない",IF(SUMPRODUCT(--ISNUMBER(--O302:U302))&lt;7,"△採点が足りない",IF(SUMPRODUCT((--O302:U302&gt;2)+(--O302:U302&lt;0))&gt;0,"△採点が範囲外","OK")))))))))))</f>
        <v/>
      </c>
      <c r="X302">
        <f>IF(W302&lt;&gt;"OK","",TRIM(IF(AND(AO302&lt;&gt;"",N(AO302)&lt;=1),"根拠1件 ","")&amp;IF(AP302&lt;&gt;"","同名あり ","")&amp;IF(AND(NOT(ISNUMBER(I302)),I302&lt;&gt;""),"回数を換算 ","")))</f>
        <v/>
      </c>
      <c r="Y302" s="31" t="n"/>
      <c r="Z302" s="32" t="n"/>
      <c r="AA302" s="32" t="n"/>
      <c r="AB302" s="31" t="n"/>
      <c r="AC302">
        <f>IF(W302&lt;&gt;"OK","",IF(AB302&lt;&gt;"",AB302,AE302))</f>
        <v/>
      </c>
      <c r="AD302" s="33">
        <f>IF(W302&lt;&gt;"OK","",IFERROR(IF(Z302&lt;&gt;"",Z302,AM302)*IF(AA302&lt;&gt;"",AA302,AN302)/60,""))</f>
        <v/>
      </c>
      <c r="AE302">
        <f>IF(W302&lt;&gt;"OK","",IF(OR(VALUE(O302)=2,VALUE(P302)=2,VALUE(Q302)=2),"社内残置",IF(AND(VALUE(O302)=0,VALUE(R302)=0,VALUE(T302)=0),"自動化候補",IF(AND(VALUE(P302)=0,VALUE(R302)&lt;=1,VALUE(S302)&lt;=1,VALUE(T302)&lt;=1,VALUE(U302)&lt;=1),"オフショア候補",IF(AND(VALUE(T302)&lt;=1,VALUE(U302)&lt;=1),"ニアショア候補","社内で手順化→再評価")))))</f>
        <v/>
      </c>
      <c r="AF302">
        <f>IF(W302&lt;&gt;"OK","",14-SUMPRODUCT(--O302:U302))</f>
        <v/>
      </c>
      <c r="AG302" s="33">
        <f>IF(W302&lt;&gt;"OK","",AM302*AN302/60)</f>
        <v/>
      </c>
      <c r="AH302" s="34">
        <f>IF(A302="","",UPPER(TRIM(ASC(A302&amp;""))))</f>
        <v/>
      </c>
      <c r="AI302" s="34">
        <f>IF(AH302="","",AH302&amp;"-"&amp;B302)</f>
        <v/>
      </c>
      <c r="AJ302" s="34">
        <f>IF(C302="","",IFERROR(VALUE(ASC(SUBSTITUTE(C302&amp;"","観点",""))),""))</f>
        <v/>
      </c>
      <c r="AK302" s="34">
        <f>IF(E302="","",UPPER(LEFT(TRIM(ASC(E302&amp;"")),3)))</f>
        <v/>
      </c>
      <c r="AL302" s="34">
        <f>IF(I302="","",IFERROR(VALUE(SUBSTITUTE(SUBSTITUTE(SUBSTITUTE(SUBSTITUTE(SUBSTITUTE(SUBSTITUTE(SUBSTITUTE(SUBSTITUTE(SUBSTITUTE(SUBSTITUTE(SUBSTITUTE(SUBSTITUTE(ASC(I302&amp;""),"約",""),"程度",""),"ほど",""),"回",""),"毎",""),"週",""),"月",""),"年",""),"日",""),"に",""),"/","")," ","")),""))</f>
        <v/>
      </c>
      <c r="AM302" s="34">
        <f>IF(I302="","",IF(ISNUMBER(I302),I302,IFERROR(VALUE(ASC(I302&amp;"")),IF(AL302&lt;&gt;"",AL302*IF(ISNUMBER(SEARCH("週",I302)),4.3,IF(ISNUMBER(SEARCH("年",I302)),1/12,IF(ISNUMBER(SEARCH("日",I302)),20,1))),IF(ISNUMBER(SEARCH("日",I302)),20,IF(ISNUMBER(SEARCH("週",I302)),4.3,IF(ISNUMBER(SEARCH("月",I302)),1,"")))))))</f>
        <v/>
      </c>
      <c r="AN302" s="34">
        <f>IF(J302="","",IF(ISNUMBER(J302),J302,IFERROR(VALUE(ASC(J302&amp;"")),IF(ISNUMBER(SEARCH("時間",J302)),IFERROR(VALUE(SUBSTITUTE(SUBSTITUTE(SUBSTITUTE(SUBSTITUTE(SUBSTITUTE(ASC(J302&amp;""),"約",""),"程度",""),"ほど",""),"時間","")," ",""))*60,""),IFERROR(VALUE(SUBSTITUTE(SUBSTITUTE(SUBSTITUTE(SUBSTITUTE(SUBSTITUTE(ASC(J302&amp;""),"約",""),"程度",""),"ほど",""),"分","")," ","")),"")))))</f>
        <v/>
      </c>
      <c r="AO302" s="34">
        <f>IF(K302="","",IF(ISNUMBER(K302),K302,IFERROR(VALUE(SUBSTITUTE(SUBSTITUTE(SUBSTITUTE(ASC(K302&amp;""),"約",""),"件","")," ","")),"")))</f>
        <v/>
      </c>
      <c r="AP302" s="34">
        <f>IF(W302&lt;&gt;"OK","",IF(COUNTIFS($D$5:$D$404,D302,$W$5:$W$404,"OK")&gt;1,"同名あり",""))</f>
        <v/>
      </c>
      <c r="AQ302" s="35">
        <f>IF(L302="","",IF(ISNUMBER(L302),L302,IFERROR(DATEVALUE(SUBSTITUTE(SUBSTITUTE(ASC(L302&amp;""),"-","/"),".","/")&amp;"/01"),"")))</f>
        <v/>
      </c>
      <c r="AR302" s="35">
        <f>IF(M302="","",IF(ISNUMBER(M302),M302,IFERROR(DATEVALUE(SUBSTITUTE(SUBSTITUTE(ASC(M302&amp;""),"-","/"),".","/")&amp;"/01"),"")))</f>
        <v/>
      </c>
      <c r="AS302" s="34">
        <f>IF(OR(W302&lt;&gt;"OK",AQ302=""),"",IF(AQ302&gt;='01_設定'!$C$26,1,0))</f>
        <v/>
      </c>
      <c r="AT302" s="34">
        <f>IF(AND(W302="OK",Y302&lt;&gt;"除外"),COUNTIFS($W$5:W302,"OK",$Y$5:Y302,"&lt;&gt;除外"),"")</f>
        <v/>
      </c>
      <c r="AU302" s="34">
        <f>IF(OR(AT302="",AD302=""),"",AD302+ROW()/1000000000)</f>
        <v/>
      </c>
    </row>
    <row r="303">
      <c r="W303">
        <f>IF(AND(A303="",D303=""),"",IF(ISNUMBER(SEARCH("##END",AH303)),"（終わりの印）",IF(ISNUMBER(SEARCH("##続き",AH303)),"（続きありの印）",IF(AH303="調査ID","（見出し行）",IF(AND(AH303&lt;&gt;"R1",AH303&lt;&gt;"R2"),"×表以外の行（集計されない）",IF(COUNTIF($AI$5:AI303,AI303)&gt;1,"△重複（集計されない）",IF(D303="","△タスク名なし",IF(ISNA(MATCH(AK303,'M1_類型マスタ'!$A$5:$A$19,0)),"△類型が不正",IF(OR(AM303="",AN303=""),"△回数・分が読めない",IF(SUMPRODUCT(--ISNUMBER(--O303:U303))&lt;7,"△採点が足りない",IF(SUMPRODUCT((--O303:U303&gt;2)+(--O303:U303&lt;0))&gt;0,"△採点が範囲外","OK")))))))))))</f>
        <v/>
      </c>
      <c r="X303">
        <f>IF(W303&lt;&gt;"OK","",TRIM(IF(AND(AO303&lt;&gt;"",N(AO303)&lt;=1),"根拠1件 ","")&amp;IF(AP303&lt;&gt;"","同名あり ","")&amp;IF(AND(NOT(ISNUMBER(I303)),I303&lt;&gt;""),"回数を換算 ","")))</f>
        <v/>
      </c>
      <c r="Y303" s="31" t="n"/>
      <c r="Z303" s="32" t="n"/>
      <c r="AA303" s="32" t="n"/>
      <c r="AB303" s="31" t="n"/>
      <c r="AC303">
        <f>IF(W303&lt;&gt;"OK","",IF(AB303&lt;&gt;"",AB303,AE303))</f>
        <v/>
      </c>
      <c r="AD303" s="33">
        <f>IF(W303&lt;&gt;"OK","",IFERROR(IF(Z303&lt;&gt;"",Z303,AM303)*IF(AA303&lt;&gt;"",AA303,AN303)/60,""))</f>
        <v/>
      </c>
      <c r="AE303">
        <f>IF(W303&lt;&gt;"OK","",IF(OR(VALUE(O303)=2,VALUE(P303)=2,VALUE(Q303)=2),"社内残置",IF(AND(VALUE(O303)=0,VALUE(R303)=0,VALUE(T303)=0),"自動化候補",IF(AND(VALUE(P303)=0,VALUE(R303)&lt;=1,VALUE(S303)&lt;=1,VALUE(T303)&lt;=1,VALUE(U303)&lt;=1),"オフショア候補",IF(AND(VALUE(T303)&lt;=1,VALUE(U303)&lt;=1),"ニアショア候補","社内で手順化→再評価")))))</f>
        <v/>
      </c>
      <c r="AF303">
        <f>IF(W303&lt;&gt;"OK","",14-SUMPRODUCT(--O303:U303))</f>
        <v/>
      </c>
      <c r="AG303" s="33">
        <f>IF(W303&lt;&gt;"OK","",AM303*AN303/60)</f>
        <v/>
      </c>
      <c r="AH303" s="34">
        <f>IF(A303="","",UPPER(TRIM(ASC(A303&amp;""))))</f>
        <v/>
      </c>
      <c r="AI303" s="34">
        <f>IF(AH303="","",AH303&amp;"-"&amp;B303)</f>
        <v/>
      </c>
      <c r="AJ303" s="34">
        <f>IF(C303="","",IFERROR(VALUE(ASC(SUBSTITUTE(C303&amp;"","観点",""))),""))</f>
        <v/>
      </c>
      <c r="AK303" s="34">
        <f>IF(E303="","",UPPER(LEFT(TRIM(ASC(E303&amp;"")),3)))</f>
        <v/>
      </c>
      <c r="AL303" s="34">
        <f>IF(I303="","",IFERROR(VALUE(SUBSTITUTE(SUBSTITUTE(SUBSTITUTE(SUBSTITUTE(SUBSTITUTE(SUBSTITUTE(SUBSTITUTE(SUBSTITUTE(SUBSTITUTE(SUBSTITUTE(SUBSTITUTE(SUBSTITUTE(ASC(I303&amp;""),"約",""),"程度",""),"ほど",""),"回",""),"毎",""),"週",""),"月",""),"年",""),"日",""),"に",""),"/","")," ","")),""))</f>
        <v/>
      </c>
      <c r="AM303" s="34">
        <f>IF(I303="","",IF(ISNUMBER(I303),I303,IFERROR(VALUE(ASC(I303&amp;"")),IF(AL303&lt;&gt;"",AL303*IF(ISNUMBER(SEARCH("週",I303)),4.3,IF(ISNUMBER(SEARCH("年",I303)),1/12,IF(ISNUMBER(SEARCH("日",I303)),20,1))),IF(ISNUMBER(SEARCH("日",I303)),20,IF(ISNUMBER(SEARCH("週",I303)),4.3,IF(ISNUMBER(SEARCH("月",I303)),1,"")))))))</f>
        <v/>
      </c>
      <c r="AN303" s="34">
        <f>IF(J303="","",IF(ISNUMBER(J303),J303,IFERROR(VALUE(ASC(J303&amp;"")),IF(ISNUMBER(SEARCH("時間",J303)),IFERROR(VALUE(SUBSTITUTE(SUBSTITUTE(SUBSTITUTE(SUBSTITUTE(SUBSTITUTE(ASC(J303&amp;""),"約",""),"程度",""),"ほど",""),"時間","")," ",""))*60,""),IFERROR(VALUE(SUBSTITUTE(SUBSTITUTE(SUBSTITUTE(SUBSTITUTE(SUBSTITUTE(ASC(J303&amp;""),"約",""),"程度",""),"ほど",""),"分","")," ","")),"")))))</f>
        <v/>
      </c>
      <c r="AO303" s="34">
        <f>IF(K303="","",IF(ISNUMBER(K303),K303,IFERROR(VALUE(SUBSTITUTE(SUBSTITUTE(SUBSTITUTE(ASC(K303&amp;""),"約",""),"件","")," ","")),"")))</f>
        <v/>
      </c>
      <c r="AP303" s="34">
        <f>IF(W303&lt;&gt;"OK","",IF(COUNTIFS($D$5:$D$404,D303,$W$5:$W$404,"OK")&gt;1,"同名あり",""))</f>
        <v/>
      </c>
      <c r="AQ303" s="35">
        <f>IF(L303="","",IF(ISNUMBER(L303),L303,IFERROR(DATEVALUE(SUBSTITUTE(SUBSTITUTE(ASC(L303&amp;""),"-","/"),".","/")&amp;"/01"),"")))</f>
        <v/>
      </c>
      <c r="AR303" s="35">
        <f>IF(M303="","",IF(ISNUMBER(M303),M303,IFERROR(DATEVALUE(SUBSTITUTE(SUBSTITUTE(ASC(M303&amp;""),"-","/"),".","/")&amp;"/01"),"")))</f>
        <v/>
      </c>
      <c r="AS303" s="34">
        <f>IF(OR(W303&lt;&gt;"OK",AQ303=""),"",IF(AQ303&gt;='01_設定'!$C$26,1,0))</f>
        <v/>
      </c>
      <c r="AT303" s="34">
        <f>IF(AND(W303="OK",Y303&lt;&gt;"除外"),COUNTIFS($W$5:W303,"OK",$Y$5:Y303,"&lt;&gt;除外"),"")</f>
        <v/>
      </c>
      <c r="AU303" s="34">
        <f>IF(OR(AT303="",AD303=""),"",AD303+ROW()/1000000000)</f>
        <v/>
      </c>
    </row>
    <row r="304">
      <c r="W304">
        <f>IF(AND(A304="",D304=""),"",IF(ISNUMBER(SEARCH("##END",AH304)),"（終わりの印）",IF(ISNUMBER(SEARCH("##続き",AH304)),"（続きありの印）",IF(AH304="調査ID","（見出し行）",IF(AND(AH304&lt;&gt;"R1",AH304&lt;&gt;"R2"),"×表以外の行（集計されない）",IF(COUNTIF($AI$5:AI304,AI304)&gt;1,"△重複（集計されない）",IF(D304="","△タスク名なし",IF(ISNA(MATCH(AK304,'M1_類型マスタ'!$A$5:$A$19,0)),"△類型が不正",IF(OR(AM304="",AN304=""),"△回数・分が読めない",IF(SUMPRODUCT(--ISNUMBER(--O304:U304))&lt;7,"△採点が足りない",IF(SUMPRODUCT((--O304:U304&gt;2)+(--O304:U304&lt;0))&gt;0,"△採点が範囲外","OK")))))))))))</f>
        <v/>
      </c>
      <c r="X304">
        <f>IF(W304&lt;&gt;"OK","",TRIM(IF(AND(AO304&lt;&gt;"",N(AO304)&lt;=1),"根拠1件 ","")&amp;IF(AP304&lt;&gt;"","同名あり ","")&amp;IF(AND(NOT(ISNUMBER(I304)),I304&lt;&gt;""),"回数を換算 ","")))</f>
        <v/>
      </c>
      <c r="Y304" s="31" t="n"/>
      <c r="Z304" s="32" t="n"/>
      <c r="AA304" s="32" t="n"/>
      <c r="AB304" s="31" t="n"/>
      <c r="AC304">
        <f>IF(W304&lt;&gt;"OK","",IF(AB304&lt;&gt;"",AB304,AE304))</f>
        <v/>
      </c>
      <c r="AD304" s="33">
        <f>IF(W304&lt;&gt;"OK","",IFERROR(IF(Z304&lt;&gt;"",Z304,AM304)*IF(AA304&lt;&gt;"",AA304,AN304)/60,""))</f>
        <v/>
      </c>
      <c r="AE304">
        <f>IF(W304&lt;&gt;"OK","",IF(OR(VALUE(O304)=2,VALUE(P304)=2,VALUE(Q304)=2),"社内残置",IF(AND(VALUE(O304)=0,VALUE(R304)=0,VALUE(T304)=0),"自動化候補",IF(AND(VALUE(P304)=0,VALUE(R304)&lt;=1,VALUE(S304)&lt;=1,VALUE(T304)&lt;=1,VALUE(U304)&lt;=1),"オフショア候補",IF(AND(VALUE(T304)&lt;=1,VALUE(U304)&lt;=1),"ニアショア候補","社内で手順化→再評価")))))</f>
        <v/>
      </c>
      <c r="AF304">
        <f>IF(W304&lt;&gt;"OK","",14-SUMPRODUCT(--O304:U304))</f>
        <v/>
      </c>
      <c r="AG304" s="33">
        <f>IF(W304&lt;&gt;"OK","",AM304*AN304/60)</f>
        <v/>
      </c>
      <c r="AH304" s="34">
        <f>IF(A304="","",UPPER(TRIM(ASC(A304&amp;""))))</f>
        <v/>
      </c>
      <c r="AI304" s="34">
        <f>IF(AH304="","",AH304&amp;"-"&amp;B304)</f>
        <v/>
      </c>
      <c r="AJ304" s="34">
        <f>IF(C304="","",IFERROR(VALUE(ASC(SUBSTITUTE(C304&amp;"","観点",""))),""))</f>
        <v/>
      </c>
      <c r="AK304" s="34">
        <f>IF(E304="","",UPPER(LEFT(TRIM(ASC(E304&amp;"")),3)))</f>
        <v/>
      </c>
      <c r="AL304" s="34">
        <f>IF(I304="","",IFERROR(VALUE(SUBSTITUTE(SUBSTITUTE(SUBSTITUTE(SUBSTITUTE(SUBSTITUTE(SUBSTITUTE(SUBSTITUTE(SUBSTITUTE(SUBSTITUTE(SUBSTITUTE(SUBSTITUTE(SUBSTITUTE(ASC(I304&amp;""),"約",""),"程度",""),"ほど",""),"回",""),"毎",""),"週",""),"月",""),"年",""),"日",""),"に",""),"/","")," ","")),""))</f>
        <v/>
      </c>
      <c r="AM304" s="34">
        <f>IF(I304="","",IF(ISNUMBER(I304),I304,IFERROR(VALUE(ASC(I304&amp;"")),IF(AL304&lt;&gt;"",AL304*IF(ISNUMBER(SEARCH("週",I304)),4.3,IF(ISNUMBER(SEARCH("年",I304)),1/12,IF(ISNUMBER(SEARCH("日",I304)),20,1))),IF(ISNUMBER(SEARCH("日",I304)),20,IF(ISNUMBER(SEARCH("週",I304)),4.3,IF(ISNUMBER(SEARCH("月",I304)),1,"")))))))</f>
        <v/>
      </c>
      <c r="AN304" s="34">
        <f>IF(J304="","",IF(ISNUMBER(J304),J304,IFERROR(VALUE(ASC(J304&amp;"")),IF(ISNUMBER(SEARCH("時間",J304)),IFERROR(VALUE(SUBSTITUTE(SUBSTITUTE(SUBSTITUTE(SUBSTITUTE(SUBSTITUTE(ASC(J304&amp;""),"約",""),"程度",""),"ほど",""),"時間","")," ",""))*60,""),IFERROR(VALUE(SUBSTITUTE(SUBSTITUTE(SUBSTITUTE(SUBSTITUTE(SUBSTITUTE(ASC(J304&amp;""),"約",""),"程度",""),"ほど",""),"分","")," ","")),"")))))</f>
        <v/>
      </c>
      <c r="AO304" s="34">
        <f>IF(K304="","",IF(ISNUMBER(K304),K304,IFERROR(VALUE(SUBSTITUTE(SUBSTITUTE(SUBSTITUTE(ASC(K304&amp;""),"約",""),"件","")," ","")),"")))</f>
        <v/>
      </c>
      <c r="AP304" s="34">
        <f>IF(W304&lt;&gt;"OK","",IF(COUNTIFS($D$5:$D$404,D304,$W$5:$W$404,"OK")&gt;1,"同名あり",""))</f>
        <v/>
      </c>
      <c r="AQ304" s="35">
        <f>IF(L304="","",IF(ISNUMBER(L304),L304,IFERROR(DATEVALUE(SUBSTITUTE(SUBSTITUTE(ASC(L304&amp;""),"-","/"),".","/")&amp;"/01"),"")))</f>
        <v/>
      </c>
      <c r="AR304" s="35">
        <f>IF(M304="","",IF(ISNUMBER(M304),M304,IFERROR(DATEVALUE(SUBSTITUTE(SUBSTITUTE(ASC(M304&amp;""),"-","/"),".","/")&amp;"/01"),"")))</f>
        <v/>
      </c>
      <c r="AS304" s="34">
        <f>IF(OR(W304&lt;&gt;"OK",AQ304=""),"",IF(AQ304&gt;='01_設定'!$C$26,1,0))</f>
        <v/>
      </c>
      <c r="AT304" s="34">
        <f>IF(AND(W304="OK",Y304&lt;&gt;"除外"),COUNTIFS($W$5:W304,"OK",$Y$5:Y304,"&lt;&gt;除外"),"")</f>
        <v/>
      </c>
      <c r="AU304" s="34">
        <f>IF(OR(AT304="",AD304=""),"",AD304+ROW()/1000000000)</f>
        <v/>
      </c>
    </row>
    <row r="305">
      <c r="W305">
        <f>IF(AND(A305="",D305=""),"",IF(ISNUMBER(SEARCH("##END",AH305)),"（終わりの印）",IF(ISNUMBER(SEARCH("##続き",AH305)),"（続きありの印）",IF(AH305="調査ID","（見出し行）",IF(AND(AH305&lt;&gt;"R1",AH305&lt;&gt;"R2"),"×表以外の行（集計されない）",IF(COUNTIF($AI$5:AI305,AI305)&gt;1,"△重複（集計されない）",IF(D305="","△タスク名なし",IF(ISNA(MATCH(AK305,'M1_類型マスタ'!$A$5:$A$19,0)),"△類型が不正",IF(OR(AM305="",AN305=""),"△回数・分が読めない",IF(SUMPRODUCT(--ISNUMBER(--O305:U305))&lt;7,"△採点が足りない",IF(SUMPRODUCT((--O305:U305&gt;2)+(--O305:U305&lt;0))&gt;0,"△採点が範囲外","OK")))))))))))</f>
        <v/>
      </c>
      <c r="X305">
        <f>IF(W305&lt;&gt;"OK","",TRIM(IF(AND(AO305&lt;&gt;"",N(AO305)&lt;=1),"根拠1件 ","")&amp;IF(AP305&lt;&gt;"","同名あり ","")&amp;IF(AND(NOT(ISNUMBER(I305)),I305&lt;&gt;""),"回数を換算 ","")))</f>
        <v/>
      </c>
      <c r="Y305" s="31" t="n"/>
      <c r="Z305" s="32" t="n"/>
      <c r="AA305" s="32" t="n"/>
      <c r="AB305" s="31" t="n"/>
      <c r="AC305">
        <f>IF(W305&lt;&gt;"OK","",IF(AB305&lt;&gt;"",AB305,AE305))</f>
        <v/>
      </c>
      <c r="AD305" s="33">
        <f>IF(W305&lt;&gt;"OK","",IFERROR(IF(Z305&lt;&gt;"",Z305,AM305)*IF(AA305&lt;&gt;"",AA305,AN305)/60,""))</f>
        <v/>
      </c>
      <c r="AE305">
        <f>IF(W305&lt;&gt;"OK","",IF(OR(VALUE(O305)=2,VALUE(P305)=2,VALUE(Q305)=2),"社内残置",IF(AND(VALUE(O305)=0,VALUE(R305)=0,VALUE(T305)=0),"自動化候補",IF(AND(VALUE(P305)=0,VALUE(R305)&lt;=1,VALUE(S305)&lt;=1,VALUE(T305)&lt;=1,VALUE(U305)&lt;=1),"オフショア候補",IF(AND(VALUE(T305)&lt;=1,VALUE(U305)&lt;=1),"ニアショア候補","社内で手順化→再評価")))))</f>
        <v/>
      </c>
      <c r="AF305">
        <f>IF(W305&lt;&gt;"OK","",14-SUMPRODUCT(--O305:U305))</f>
        <v/>
      </c>
      <c r="AG305" s="33">
        <f>IF(W305&lt;&gt;"OK","",AM305*AN305/60)</f>
        <v/>
      </c>
      <c r="AH305" s="34">
        <f>IF(A305="","",UPPER(TRIM(ASC(A305&amp;""))))</f>
        <v/>
      </c>
      <c r="AI305" s="34">
        <f>IF(AH305="","",AH305&amp;"-"&amp;B305)</f>
        <v/>
      </c>
      <c r="AJ305" s="34">
        <f>IF(C305="","",IFERROR(VALUE(ASC(SUBSTITUTE(C305&amp;"","観点",""))),""))</f>
        <v/>
      </c>
      <c r="AK305" s="34">
        <f>IF(E305="","",UPPER(LEFT(TRIM(ASC(E305&amp;"")),3)))</f>
        <v/>
      </c>
      <c r="AL305" s="34">
        <f>IF(I305="","",IFERROR(VALUE(SUBSTITUTE(SUBSTITUTE(SUBSTITUTE(SUBSTITUTE(SUBSTITUTE(SUBSTITUTE(SUBSTITUTE(SUBSTITUTE(SUBSTITUTE(SUBSTITUTE(SUBSTITUTE(SUBSTITUTE(ASC(I305&amp;""),"約",""),"程度",""),"ほど",""),"回",""),"毎",""),"週",""),"月",""),"年",""),"日",""),"に",""),"/","")," ","")),""))</f>
        <v/>
      </c>
      <c r="AM305" s="34">
        <f>IF(I305="","",IF(ISNUMBER(I305),I305,IFERROR(VALUE(ASC(I305&amp;"")),IF(AL305&lt;&gt;"",AL305*IF(ISNUMBER(SEARCH("週",I305)),4.3,IF(ISNUMBER(SEARCH("年",I305)),1/12,IF(ISNUMBER(SEARCH("日",I305)),20,1))),IF(ISNUMBER(SEARCH("日",I305)),20,IF(ISNUMBER(SEARCH("週",I305)),4.3,IF(ISNUMBER(SEARCH("月",I305)),1,"")))))))</f>
        <v/>
      </c>
      <c r="AN305" s="34">
        <f>IF(J305="","",IF(ISNUMBER(J305),J305,IFERROR(VALUE(ASC(J305&amp;"")),IF(ISNUMBER(SEARCH("時間",J305)),IFERROR(VALUE(SUBSTITUTE(SUBSTITUTE(SUBSTITUTE(SUBSTITUTE(SUBSTITUTE(ASC(J305&amp;""),"約",""),"程度",""),"ほど",""),"時間","")," ",""))*60,""),IFERROR(VALUE(SUBSTITUTE(SUBSTITUTE(SUBSTITUTE(SUBSTITUTE(SUBSTITUTE(ASC(J305&amp;""),"約",""),"程度",""),"ほど",""),"分","")," ","")),"")))))</f>
        <v/>
      </c>
      <c r="AO305" s="34">
        <f>IF(K305="","",IF(ISNUMBER(K305),K305,IFERROR(VALUE(SUBSTITUTE(SUBSTITUTE(SUBSTITUTE(ASC(K305&amp;""),"約",""),"件","")," ","")),"")))</f>
        <v/>
      </c>
      <c r="AP305" s="34">
        <f>IF(W305&lt;&gt;"OK","",IF(COUNTIFS($D$5:$D$404,D305,$W$5:$W$404,"OK")&gt;1,"同名あり",""))</f>
        <v/>
      </c>
      <c r="AQ305" s="35">
        <f>IF(L305="","",IF(ISNUMBER(L305),L305,IFERROR(DATEVALUE(SUBSTITUTE(SUBSTITUTE(ASC(L305&amp;""),"-","/"),".","/")&amp;"/01"),"")))</f>
        <v/>
      </c>
      <c r="AR305" s="35">
        <f>IF(M305="","",IF(ISNUMBER(M305),M305,IFERROR(DATEVALUE(SUBSTITUTE(SUBSTITUTE(ASC(M305&amp;""),"-","/"),".","/")&amp;"/01"),"")))</f>
        <v/>
      </c>
      <c r="AS305" s="34">
        <f>IF(OR(W305&lt;&gt;"OK",AQ305=""),"",IF(AQ305&gt;='01_設定'!$C$26,1,0))</f>
        <v/>
      </c>
      <c r="AT305" s="34">
        <f>IF(AND(W305="OK",Y305&lt;&gt;"除外"),COUNTIFS($W$5:W305,"OK",$Y$5:Y305,"&lt;&gt;除外"),"")</f>
        <v/>
      </c>
      <c r="AU305" s="34">
        <f>IF(OR(AT305="",AD305=""),"",AD305+ROW()/1000000000)</f>
        <v/>
      </c>
    </row>
    <row r="306">
      <c r="W306">
        <f>IF(AND(A306="",D306=""),"",IF(ISNUMBER(SEARCH("##END",AH306)),"（終わりの印）",IF(ISNUMBER(SEARCH("##続き",AH306)),"（続きありの印）",IF(AH306="調査ID","（見出し行）",IF(AND(AH306&lt;&gt;"R1",AH306&lt;&gt;"R2"),"×表以外の行（集計されない）",IF(COUNTIF($AI$5:AI306,AI306)&gt;1,"△重複（集計されない）",IF(D306="","△タスク名なし",IF(ISNA(MATCH(AK306,'M1_類型マスタ'!$A$5:$A$19,0)),"△類型が不正",IF(OR(AM306="",AN306=""),"△回数・分が読めない",IF(SUMPRODUCT(--ISNUMBER(--O306:U306))&lt;7,"△採点が足りない",IF(SUMPRODUCT((--O306:U306&gt;2)+(--O306:U306&lt;0))&gt;0,"△採点が範囲外","OK")))))))))))</f>
        <v/>
      </c>
      <c r="X306">
        <f>IF(W306&lt;&gt;"OK","",TRIM(IF(AND(AO306&lt;&gt;"",N(AO306)&lt;=1),"根拠1件 ","")&amp;IF(AP306&lt;&gt;"","同名あり ","")&amp;IF(AND(NOT(ISNUMBER(I306)),I306&lt;&gt;""),"回数を換算 ","")))</f>
        <v/>
      </c>
      <c r="Y306" s="31" t="n"/>
      <c r="Z306" s="32" t="n"/>
      <c r="AA306" s="32" t="n"/>
      <c r="AB306" s="31" t="n"/>
      <c r="AC306">
        <f>IF(W306&lt;&gt;"OK","",IF(AB306&lt;&gt;"",AB306,AE306))</f>
        <v/>
      </c>
      <c r="AD306" s="33">
        <f>IF(W306&lt;&gt;"OK","",IFERROR(IF(Z306&lt;&gt;"",Z306,AM306)*IF(AA306&lt;&gt;"",AA306,AN306)/60,""))</f>
        <v/>
      </c>
      <c r="AE306">
        <f>IF(W306&lt;&gt;"OK","",IF(OR(VALUE(O306)=2,VALUE(P306)=2,VALUE(Q306)=2),"社内残置",IF(AND(VALUE(O306)=0,VALUE(R306)=0,VALUE(T306)=0),"自動化候補",IF(AND(VALUE(P306)=0,VALUE(R306)&lt;=1,VALUE(S306)&lt;=1,VALUE(T306)&lt;=1,VALUE(U306)&lt;=1),"オフショア候補",IF(AND(VALUE(T306)&lt;=1,VALUE(U306)&lt;=1),"ニアショア候補","社内で手順化→再評価")))))</f>
        <v/>
      </c>
      <c r="AF306">
        <f>IF(W306&lt;&gt;"OK","",14-SUMPRODUCT(--O306:U306))</f>
        <v/>
      </c>
      <c r="AG306" s="33">
        <f>IF(W306&lt;&gt;"OK","",AM306*AN306/60)</f>
        <v/>
      </c>
      <c r="AH306" s="34">
        <f>IF(A306="","",UPPER(TRIM(ASC(A306&amp;""))))</f>
        <v/>
      </c>
      <c r="AI306" s="34">
        <f>IF(AH306="","",AH306&amp;"-"&amp;B306)</f>
        <v/>
      </c>
      <c r="AJ306" s="34">
        <f>IF(C306="","",IFERROR(VALUE(ASC(SUBSTITUTE(C306&amp;"","観点",""))),""))</f>
        <v/>
      </c>
      <c r="AK306" s="34">
        <f>IF(E306="","",UPPER(LEFT(TRIM(ASC(E306&amp;"")),3)))</f>
        <v/>
      </c>
      <c r="AL306" s="34">
        <f>IF(I306="","",IFERROR(VALUE(SUBSTITUTE(SUBSTITUTE(SUBSTITUTE(SUBSTITUTE(SUBSTITUTE(SUBSTITUTE(SUBSTITUTE(SUBSTITUTE(SUBSTITUTE(SUBSTITUTE(SUBSTITUTE(SUBSTITUTE(ASC(I306&amp;""),"約",""),"程度",""),"ほど",""),"回",""),"毎",""),"週",""),"月",""),"年",""),"日",""),"に",""),"/","")," ","")),""))</f>
        <v/>
      </c>
      <c r="AM306" s="34">
        <f>IF(I306="","",IF(ISNUMBER(I306),I306,IFERROR(VALUE(ASC(I306&amp;"")),IF(AL306&lt;&gt;"",AL306*IF(ISNUMBER(SEARCH("週",I306)),4.3,IF(ISNUMBER(SEARCH("年",I306)),1/12,IF(ISNUMBER(SEARCH("日",I306)),20,1))),IF(ISNUMBER(SEARCH("日",I306)),20,IF(ISNUMBER(SEARCH("週",I306)),4.3,IF(ISNUMBER(SEARCH("月",I306)),1,"")))))))</f>
        <v/>
      </c>
      <c r="AN306" s="34">
        <f>IF(J306="","",IF(ISNUMBER(J306),J306,IFERROR(VALUE(ASC(J306&amp;"")),IF(ISNUMBER(SEARCH("時間",J306)),IFERROR(VALUE(SUBSTITUTE(SUBSTITUTE(SUBSTITUTE(SUBSTITUTE(SUBSTITUTE(ASC(J306&amp;""),"約",""),"程度",""),"ほど",""),"時間","")," ",""))*60,""),IFERROR(VALUE(SUBSTITUTE(SUBSTITUTE(SUBSTITUTE(SUBSTITUTE(SUBSTITUTE(ASC(J306&amp;""),"約",""),"程度",""),"ほど",""),"分","")," ","")),"")))))</f>
        <v/>
      </c>
      <c r="AO306" s="34">
        <f>IF(K306="","",IF(ISNUMBER(K306),K306,IFERROR(VALUE(SUBSTITUTE(SUBSTITUTE(SUBSTITUTE(ASC(K306&amp;""),"約",""),"件","")," ","")),"")))</f>
        <v/>
      </c>
      <c r="AP306" s="34">
        <f>IF(W306&lt;&gt;"OK","",IF(COUNTIFS($D$5:$D$404,D306,$W$5:$W$404,"OK")&gt;1,"同名あり",""))</f>
        <v/>
      </c>
      <c r="AQ306" s="35">
        <f>IF(L306="","",IF(ISNUMBER(L306),L306,IFERROR(DATEVALUE(SUBSTITUTE(SUBSTITUTE(ASC(L306&amp;""),"-","/"),".","/")&amp;"/01"),"")))</f>
        <v/>
      </c>
      <c r="AR306" s="35">
        <f>IF(M306="","",IF(ISNUMBER(M306),M306,IFERROR(DATEVALUE(SUBSTITUTE(SUBSTITUTE(ASC(M306&amp;""),"-","/"),".","/")&amp;"/01"),"")))</f>
        <v/>
      </c>
      <c r="AS306" s="34">
        <f>IF(OR(W306&lt;&gt;"OK",AQ306=""),"",IF(AQ306&gt;='01_設定'!$C$26,1,0))</f>
        <v/>
      </c>
      <c r="AT306" s="34">
        <f>IF(AND(W306="OK",Y306&lt;&gt;"除外"),COUNTIFS($W$5:W306,"OK",$Y$5:Y306,"&lt;&gt;除外"),"")</f>
        <v/>
      </c>
      <c r="AU306" s="34">
        <f>IF(OR(AT306="",AD306=""),"",AD306+ROW()/1000000000)</f>
        <v/>
      </c>
    </row>
    <row r="307">
      <c r="W307">
        <f>IF(AND(A307="",D307=""),"",IF(ISNUMBER(SEARCH("##END",AH307)),"（終わりの印）",IF(ISNUMBER(SEARCH("##続き",AH307)),"（続きありの印）",IF(AH307="調査ID","（見出し行）",IF(AND(AH307&lt;&gt;"R1",AH307&lt;&gt;"R2"),"×表以外の行（集計されない）",IF(COUNTIF($AI$5:AI307,AI307)&gt;1,"△重複（集計されない）",IF(D307="","△タスク名なし",IF(ISNA(MATCH(AK307,'M1_類型マスタ'!$A$5:$A$19,0)),"△類型が不正",IF(OR(AM307="",AN307=""),"△回数・分が読めない",IF(SUMPRODUCT(--ISNUMBER(--O307:U307))&lt;7,"△採点が足りない",IF(SUMPRODUCT((--O307:U307&gt;2)+(--O307:U307&lt;0))&gt;0,"△採点が範囲外","OK")))))))))))</f>
        <v/>
      </c>
      <c r="X307">
        <f>IF(W307&lt;&gt;"OK","",TRIM(IF(AND(AO307&lt;&gt;"",N(AO307)&lt;=1),"根拠1件 ","")&amp;IF(AP307&lt;&gt;"","同名あり ","")&amp;IF(AND(NOT(ISNUMBER(I307)),I307&lt;&gt;""),"回数を換算 ","")))</f>
        <v/>
      </c>
      <c r="Y307" s="31" t="n"/>
      <c r="Z307" s="32" t="n"/>
      <c r="AA307" s="32" t="n"/>
      <c r="AB307" s="31" t="n"/>
      <c r="AC307">
        <f>IF(W307&lt;&gt;"OK","",IF(AB307&lt;&gt;"",AB307,AE307))</f>
        <v/>
      </c>
      <c r="AD307" s="33">
        <f>IF(W307&lt;&gt;"OK","",IFERROR(IF(Z307&lt;&gt;"",Z307,AM307)*IF(AA307&lt;&gt;"",AA307,AN307)/60,""))</f>
        <v/>
      </c>
      <c r="AE307">
        <f>IF(W307&lt;&gt;"OK","",IF(OR(VALUE(O307)=2,VALUE(P307)=2,VALUE(Q307)=2),"社内残置",IF(AND(VALUE(O307)=0,VALUE(R307)=0,VALUE(T307)=0),"自動化候補",IF(AND(VALUE(P307)=0,VALUE(R307)&lt;=1,VALUE(S307)&lt;=1,VALUE(T307)&lt;=1,VALUE(U307)&lt;=1),"オフショア候補",IF(AND(VALUE(T307)&lt;=1,VALUE(U307)&lt;=1),"ニアショア候補","社内で手順化→再評価")))))</f>
        <v/>
      </c>
      <c r="AF307">
        <f>IF(W307&lt;&gt;"OK","",14-SUMPRODUCT(--O307:U307))</f>
        <v/>
      </c>
      <c r="AG307" s="33">
        <f>IF(W307&lt;&gt;"OK","",AM307*AN307/60)</f>
        <v/>
      </c>
      <c r="AH307" s="34">
        <f>IF(A307="","",UPPER(TRIM(ASC(A307&amp;""))))</f>
        <v/>
      </c>
      <c r="AI307" s="34">
        <f>IF(AH307="","",AH307&amp;"-"&amp;B307)</f>
        <v/>
      </c>
      <c r="AJ307" s="34">
        <f>IF(C307="","",IFERROR(VALUE(ASC(SUBSTITUTE(C307&amp;"","観点",""))),""))</f>
        <v/>
      </c>
      <c r="AK307" s="34">
        <f>IF(E307="","",UPPER(LEFT(TRIM(ASC(E307&amp;"")),3)))</f>
        <v/>
      </c>
      <c r="AL307" s="34">
        <f>IF(I307="","",IFERROR(VALUE(SUBSTITUTE(SUBSTITUTE(SUBSTITUTE(SUBSTITUTE(SUBSTITUTE(SUBSTITUTE(SUBSTITUTE(SUBSTITUTE(SUBSTITUTE(SUBSTITUTE(SUBSTITUTE(SUBSTITUTE(ASC(I307&amp;""),"約",""),"程度",""),"ほど",""),"回",""),"毎",""),"週",""),"月",""),"年",""),"日",""),"に",""),"/","")," ","")),""))</f>
        <v/>
      </c>
      <c r="AM307" s="34">
        <f>IF(I307="","",IF(ISNUMBER(I307),I307,IFERROR(VALUE(ASC(I307&amp;"")),IF(AL307&lt;&gt;"",AL307*IF(ISNUMBER(SEARCH("週",I307)),4.3,IF(ISNUMBER(SEARCH("年",I307)),1/12,IF(ISNUMBER(SEARCH("日",I307)),20,1))),IF(ISNUMBER(SEARCH("日",I307)),20,IF(ISNUMBER(SEARCH("週",I307)),4.3,IF(ISNUMBER(SEARCH("月",I307)),1,"")))))))</f>
        <v/>
      </c>
      <c r="AN307" s="34">
        <f>IF(J307="","",IF(ISNUMBER(J307),J307,IFERROR(VALUE(ASC(J307&amp;"")),IF(ISNUMBER(SEARCH("時間",J307)),IFERROR(VALUE(SUBSTITUTE(SUBSTITUTE(SUBSTITUTE(SUBSTITUTE(SUBSTITUTE(ASC(J307&amp;""),"約",""),"程度",""),"ほど",""),"時間","")," ",""))*60,""),IFERROR(VALUE(SUBSTITUTE(SUBSTITUTE(SUBSTITUTE(SUBSTITUTE(SUBSTITUTE(ASC(J307&amp;""),"約",""),"程度",""),"ほど",""),"分","")," ","")),"")))))</f>
        <v/>
      </c>
      <c r="AO307" s="34">
        <f>IF(K307="","",IF(ISNUMBER(K307),K307,IFERROR(VALUE(SUBSTITUTE(SUBSTITUTE(SUBSTITUTE(ASC(K307&amp;""),"約",""),"件","")," ","")),"")))</f>
        <v/>
      </c>
      <c r="AP307" s="34">
        <f>IF(W307&lt;&gt;"OK","",IF(COUNTIFS($D$5:$D$404,D307,$W$5:$W$404,"OK")&gt;1,"同名あり",""))</f>
        <v/>
      </c>
      <c r="AQ307" s="35">
        <f>IF(L307="","",IF(ISNUMBER(L307),L307,IFERROR(DATEVALUE(SUBSTITUTE(SUBSTITUTE(ASC(L307&amp;""),"-","/"),".","/")&amp;"/01"),"")))</f>
        <v/>
      </c>
      <c r="AR307" s="35">
        <f>IF(M307="","",IF(ISNUMBER(M307),M307,IFERROR(DATEVALUE(SUBSTITUTE(SUBSTITUTE(ASC(M307&amp;""),"-","/"),".","/")&amp;"/01"),"")))</f>
        <v/>
      </c>
      <c r="AS307" s="34">
        <f>IF(OR(W307&lt;&gt;"OK",AQ307=""),"",IF(AQ307&gt;='01_設定'!$C$26,1,0))</f>
        <v/>
      </c>
      <c r="AT307" s="34">
        <f>IF(AND(W307="OK",Y307&lt;&gt;"除外"),COUNTIFS($W$5:W307,"OK",$Y$5:Y307,"&lt;&gt;除外"),"")</f>
        <v/>
      </c>
      <c r="AU307" s="34">
        <f>IF(OR(AT307="",AD307=""),"",AD307+ROW()/1000000000)</f>
        <v/>
      </c>
    </row>
    <row r="308">
      <c r="W308">
        <f>IF(AND(A308="",D308=""),"",IF(ISNUMBER(SEARCH("##END",AH308)),"（終わりの印）",IF(ISNUMBER(SEARCH("##続き",AH308)),"（続きありの印）",IF(AH308="調査ID","（見出し行）",IF(AND(AH308&lt;&gt;"R1",AH308&lt;&gt;"R2"),"×表以外の行（集計されない）",IF(COUNTIF($AI$5:AI308,AI308)&gt;1,"△重複（集計されない）",IF(D308="","△タスク名なし",IF(ISNA(MATCH(AK308,'M1_類型マスタ'!$A$5:$A$19,0)),"△類型が不正",IF(OR(AM308="",AN308=""),"△回数・分が読めない",IF(SUMPRODUCT(--ISNUMBER(--O308:U308))&lt;7,"△採点が足りない",IF(SUMPRODUCT((--O308:U308&gt;2)+(--O308:U308&lt;0))&gt;0,"△採点が範囲外","OK")))))))))))</f>
        <v/>
      </c>
      <c r="X308">
        <f>IF(W308&lt;&gt;"OK","",TRIM(IF(AND(AO308&lt;&gt;"",N(AO308)&lt;=1),"根拠1件 ","")&amp;IF(AP308&lt;&gt;"","同名あり ","")&amp;IF(AND(NOT(ISNUMBER(I308)),I308&lt;&gt;""),"回数を換算 ","")))</f>
        <v/>
      </c>
      <c r="Y308" s="31" t="n"/>
      <c r="Z308" s="32" t="n"/>
      <c r="AA308" s="32" t="n"/>
      <c r="AB308" s="31" t="n"/>
      <c r="AC308">
        <f>IF(W308&lt;&gt;"OK","",IF(AB308&lt;&gt;"",AB308,AE308))</f>
        <v/>
      </c>
      <c r="AD308" s="33">
        <f>IF(W308&lt;&gt;"OK","",IFERROR(IF(Z308&lt;&gt;"",Z308,AM308)*IF(AA308&lt;&gt;"",AA308,AN308)/60,""))</f>
        <v/>
      </c>
      <c r="AE308">
        <f>IF(W308&lt;&gt;"OK","",IF(OR(VALUE(O308)=2,VALUE(P308)=2,VALUE(Q308)=2),"社内残置",IF(AND(VALUE(O308)=0,VALUE(R308)=0,VALUE(T308)=0),"自動化候補",IF(AND(VALUE(P308)=0,VALUE(R308)&lt;=1,VALUE(S308)&lt;=1,VALUE(T308)&lt;=1,VALUE(U308)&lt;=1),"オフショア候補",IF(AND(VALUE(T308)&lt;=1,VALUE(U308)&lt;=1),"ニアショア候補","社内で手順化→再評価")))))</f>
        <v/>
      </c>
      <c r="AF308">
        <f>IF(W308&lt;&gt;"OK","",14-SUMPRODUCT(--O308:U308))</f>
        <v/>
      </c>
      <c r="AG308" s="33">
        <f>IF(W308&lt;&gt;"OK","",AM308*AN308/60)</f>
        <v/>
      </c>
      <c r="AH308" s="34">
        <f>IF(A308="","",UPPER(TRIM(ASC(A308&amp;""))))</f>
        <v/>
      </c>
      <c r="AI308" s="34">
        <f>IF(AH308="","",AH308&amp;"-"&amp;B308)</f>
        <v/>
      </c>
      <c r="AJ308" s="34">
        <f>IF(C308="","",IFERROR(VALUE(ASC(SUBSTITUTE(C308&amp;"","観点",""))),""))</f>
        <v/>
      </c>
      <c r="AK308" s="34">
        <f>IF(E308="","",UPPER(LEFT(TRIM(ASC(E308&amp;"")),3)))</f>
        <v/>
      </c>
      <c r="AL308" s="34">
        <f>IF(I308="","",IFERROR(VALUE(SUBSTITUTE(SUBSTITUTE(SUBSTITUTE(SUBSTITUTE(SUBSTITUTE(SUBSTITUTE(SUBSTITUTE(SUBSTITUTE(SUBSTITUTE(SUBSTITUTE(SUBSTITUTE(SUBSTITUTE(ASC(I308&amp;""),"約",""),"程度",""),"ほど",""),"回",""),"毎",""),"週",""),"月",""),"年",""),"日",""),"に",""),"/","")," ","")),""))</f>
        <v/>
      </c>
      <c r="AM308" s="34">
        <f>IF(I308="","",IF(ISNUMBER(I308),I308,IFERROR(VALUE(ASC(I308&amp;"")),IF(AL308&lt;&gt;"",AL308*IF(ISNUMBER(SEARCH("週",I308)),4.3,IF(ISNUMBER(SEARCH("年",I308)),1/12,IF(ISNUMBER(SEARCH("日",I308)),20,1))),IF(ISNUMBER(SEARCH("日",I308)),20,IF(ISNUMBER(SEARCH("週",I308)),4.3,IF(ISNUMBER(SEARCH("月",I308)),1,"")))))))</f>
        <v/>
      </c>
      <c r="AN308" s="34">
        <f>IF(J308="","",IF(ISNUMBER(J308),J308,IFERROR(VALUE(ASC(J308&amp;"")),IF(ISNUMBER(SEARCH("時間",J308)),IFERROR(VALUE(SUBSTITUTE(SUBSTITUTE(SUBSTITUTE(SUBSTITUTE(SUBSTITUTE(ASC(J308&amp;""),"約",""),"程度",""),"ほど",""),"時間","")," ",""))*60,""),IFERROR(VALUE(SUBSTITUTE(SUBSTITUTE(SUBSTITUTE(SUBSTITUTE(SUBSTITUTE(ASC(J308&amp;""),"約",""),"程度",""),"ほど",""),"分","")," ","")),"")))))</f>
        <v/>
      </c>
      <c r="AO308" s="34">
        <f>IF(K308="","",IF(ISNUMBER(K308),K308,IFERROR(VALUE(SUBSTITUTE(SUBSTITUTE(SUBSTITUTE(ASC(K308&amp;""),"約",""),"件","")," ","")),"")))</f>
        <v/>
      </c>
      <c r="AP308" s="34">
        <f>IF(W308&lt;&gt;"OK","",IF(COUNTIFS($D$5:$D$404,D308,$W$5:$W$404,"OK")&gt;1,"同名あり",""))</f>
        <v/>
      </c>
      <c r="AQ308" s="35">
        <f>IF(L308="","",IF(ISNUMBER(L308),L308,IFERROR(DATEVALUE(SUBSTITUTE(SUBSTITUTE(ASC(L308&amp;""),"-","/"),".","/")&amp;"/01"),"")))</f>
        <v/>
      </c>
      <c r="AR308" s="35">
        <f>IF(M308="","",IF(ISNUMBER(M308),M308,IFERROR(DATEVALUE(SUBSTITUTE(SUBSTITUTE(ASC(M308&amp;""),"-","/"),".","/")&amp;"/01"),"")))</f>
        <v/>
      </c>
      <c r="AS308" s="34">
        <f>IF(OR(W308&lt;&gt;"OK",AQ308=""),"",IF(AQ308&gt;='01_設定'!$C$26,1,0))</f>
        <v/>
      </c>
      <c r="AT308" s="34">
        <f>IF(AND(W308="OK",Y308&lt;&gt;"除外"),COUNTIFS($W$5:W308,"OK",$Y$5:Y308,"&lt;&gt;除外"),"")</f>
        <v/>
      </c>
      <c r="AU308" s="34">
        <f>IF(OR(AT308="",AD308=""),"",AD308+ROW()/1000000000)</f>
        <v/>
      </c>
    </row>
    <row r="309">
      <c r="W309">
        <f>IF(AND(A309="",D309=""),"",IF(ISNUMBER(SEARCH("##END",AH309)),"（終わりの印）",IF(ISNUMBER(SEARCH("##続き",AH309)),"（続きありの印）",IF(AH309="調査ID","（見出し行）",IF(AND(AH309&lt;&gt;"R1",AH309&lt;&gt;"R2"),"×表以外の行（集計されない）",IF(COUNTIF($AI$5:AI309,AI309)&gt;1,"△重複（集計されない）",IF(D309="","△タスク名なし",IF(ISNA(MATCH(AK309,'M1_類型マスタ'!$A$5:$A$19,0)),"△類型が不正",IF(OR(AM309="",AN309=""),"△回数・分が読めない",IF(SUMPRODUCT(--ISNUMBER(--O309:U309))&lt;7,"△採点が足りない",IF(SUMPRODUCT((--O309:U309&gt;2)+(--O309:U309&lt;0))&gt;0,"△採点が範囲外","OK")))))))))))</f>
        <v/>
      </c>
      <c r="X309">
        <f>IF(W309&lt;&gt;"OK","",TRIM(IF(AND(AO309&lt;&gt;"",N(AO309)&lt;=1),"根拠1件 ","")&amp;IF(AP309&lt;&gt;"","同名あり ","")&amp;IF(AND(NOT(ISNUMBER(I309)),I309&lt;&gt;""),"回数を換算 ","")))</f>
        <v/>
      </c>
      <c r="Y309" s="31" t="n"/>
      <c r="Z309" s="32" t="n"/>
      <c r="AA309" s="32" t="n"/>
      <c r="AB309" s="31" t="n"/>
      <c r="AC309">
        <f>IF(W309&lt;&gt;"OK","",IF(AB309&lt;&gt;"",AB309,AE309))</f>
        <v/>
      </c>
      <c r="AD309" s="33">
        <f>IF(W309&lt;&gt;"OK","",IFERROR(IF(Z309&lt;&gt;"",Z309,AM309)*IF(AA309&lt;&gt;"",AA309,AN309)/60,""))</f>
        <v/>
      </c>
      <c r="AE309">
        <f>IF(W309&lt;&gt;"OK","",IF(OR(VALUE(O309)=2,VALUE(P309)=2,VALUE(Q309)=2),"社内残置",IF(AND(VALUE(O309)=0,VALUE(R309)=0,VALUE(T309)=0),"自動化候補",IF(AND(VALUE(P309)=0,VALUE(R309)&lt;=1,VALUE(S309)&lt;=1,VALUE(T309)&lt;=1,VALUE(U309)&lt;=1),"オフショア候補",IF(AND(VALUE(T309)&lt;=1,VALUE(U309)&lt;=1),"ニアショア候補","社内で手順化→再評価")))))</f>
        <v/>
      </c>
      <c r="AF309">
        <f>IF(W309&lt;&gt;"OK","",14-SUMPRODUCT(--O309:U309))</f>
        <v/>
      </c>
      <c r="AG309" s="33">
        <f>IF(W309&lt;&gt;"OK","",AM309*AN309/60)</f>
        <v/>
      </c>
      <c r="AH309" s="34">
        <f>IF(A309="","",UPPER(TRIM(ASC(A309&amp;""))))</f>
        <v/>
      </c>
      <c r="AI309" s="34">
        <f>IF(AH309="","",AH309&amp;"-"&amp;B309)</f>
        <v/>
      </c>
      <c r="AJ309" s="34">
        <f>IF(C309="","",IFERROR(VALUE(ASC(SUBSTITUTE(C309&amp;"","観点",""))),""))</f>
        <v/>
      </c>
      <c r="AK309" s="34">
        <f>IF(E309="","",UPPER(LEFT(TRIM(ASC(E309&amp;"")),3)))</f>
        <v/>
      </c>
      <c r="AL309" s="34">
        <f>IF(I309="","",IFERROR(VALUE(SUBSTITUTE(SUBSTITUTE(SUBSTITUTE(SUBSTITUTE(SUBSTITUTE(SUBSTITUTE(SUBSTITUTE(SUBSTITUTE(SUBSTITUTE(SUBSTITUTE(SUBSTITUTE(SUBSTITUTE(ASC(I309&amp;""),"約",""),"程度",""),"ほど",""),"回",""),"毎",""),"週",""),"月",""),"年",""),"日",""),"に",""),"/","")," ","")),""))</f>
        <v/>
      </c>
      <c r="AM309" s="34">
        <f>IF(I309="","",IF(ISNUMBER(I309),I309,IFERROR(VALUE(ASC(I309&amp;"")),IF(AL309&lt;&gt;"",AL309*IF(ISNUMBER(SEARCH("週",I309)),4.3,IF(ISNUMBER(SEARCH("年",I309)),1/12,IF(ISNUMBER(SEARCH("日",I309)),20,1))),IF(ISNUMBER(SEARCH("日",I309)),20,IF(ISNUMBER(SEARCH("週",I309)),4.3,IF(ISNUMBER(SEARCH("月",I309)),1,"")))))))</f>
        <v/>
      </c>
      <c r="AN309" s="34">
        <f>IF(J309="","",IF(ISNUMBER(J309),J309,IFERROR(VALUE(ASC(J309&amp;"")),IF(ISNUMBER(SEARCH("時間",J309)),IFERROR(VALUE(SUBSTITUTE(SUBSTITUTE(SUBSTITUTE(SUBSTITUTE(SUBSTITUTE(ASC(J309&amp;""),"約",""),"程度",""),"ほど",""),"時間","")," ",""))*60,""),IFERROR(VALUE(SUBSTITUTE(SUBSTITUTE(SUBSTITUTE(SUBSTITUTE(SUBSTITUTE(ASC(J309&amp;""),"約",""),"程度",""),"ほど",""),"分","")," ","")),"")))))</f>
        <v/>
      </c>
      <c r="AO309" s="34">
        <f>IF(K309="","",IF(ISNUMBER(K309),K309,IFERROR(VALUE(SUBSTITUTE(SUBSTITUTE(SUBSTITUTE(ASC(K309&amp;""),"約",""),"件","")," ","")),"")))</f>
        <v/>
      </c>
      <c r="AP309" s="34">
        <f>IF(W309&lt;&gt;"OK","",IF(COUNTIFS($D$5:$D$404,D309,$W$5:$W$404,"OK")&gt;1,"同名あり",""))</f>
        <v/>
      </c>
      <c r="AQ309" s="35">
        <f>IF(L309="","",IF(ISNUMBER(L309),L309,IFERROR(DATEVALUE(SUBSTITUTE(SUBSTITUTE(ASC(L309&amp;""),"-","/"),".","/")&amp;"/01"),"")))</f>
        <v/>
      </c>
      <c r="AR309" s="35">
        <f>IF(M309="","",IF(ISNUMBER(M309),M309,IFERROR(DATEVALUE(SUBSTITUTE(SUBSTITUTE(ASC(M309&amp;""),"-","/"),".","/")&amp;"/01"),"")))</f>
        <v/>
      </c>
      <c r="AS309" s="34">
        <f>IF(OR(W309&lt;&gt;"OK",AQ309=""),"",IF(AQ309&gt;='01_設定'!$C$26,1,0))</f>
        <v/>
      </c>
      <c r="AT309" s="34">
        <f>IF(AND(W309="OK",Y309&lt;&gt;"除外"),COUNTIFS($W$5:W309,"OK",$Y$5:Y309,"&lt;&gt;除外"),"")</f>
        <v/>
      </c>
      <c r="AU309" s="34">
        <f>IF(OR(AT309="",AD309=""),"",AD309+ROW()/1000000000)</f>
        <v/>
      </c>
    </row>
    <row r="310">
      <c r="W310">
        <f>IF(AND(A310="",D310=""),"",IF(ISNUMBER(SEARCH("##END",AH310)),"（終わりの印）",IF(ISNUMBER(SEARCH("##続き",AH310)),"（続きありの印）",IF(AH310="調査ID","（見出し行）",IF(AND(AH310&lt;&gt;"R1",AH310&lt;&gt;"R2"),"×表以外の行（集計されない）",IF(COUNTIF($AI$5:AI310,AI310)&gt;1,"△重複（集計されない）",IF(D310="","△タスク名なし",IF(ISNA(MATCH(AK310,'M1_類型マスタ'!$A$5:$A$19,0)),"△類型が不正",IF(OR(AM310="",AN310=""),"△回数・分が読めない",IF(SUMPRODUCT(--ISNUMBER(--O310:U310))&lt;7,"△採点が足りない",IF(SUMPRODUCT((--O310:U310&gt;2)+(--O310:U310&lt;0))&gt;0,"△採点が範囲外","OK")))))))))))</f>
        <v/>
      </c>
      <c r="X310">
        <f>IF(W310&lt;&gt;"OK","",TRIM(IF(AND(AO310&lt;&gt;"",N(AO310)&lt;=1),"根拠1件 ","")&amp;IF(AP310&lt;&gt;"","同名あり ","")&amp;IF(AND(NOT(ISNUMBER(I310)),I310&lt;&gt;""),"回数を換算 ","")))</f>
        <v/>
      </c>
      <c r="Y310" s="31" t="n"/>
      <c r="Z310" s="32" t="n"/>
      <c r="AA310" s="32" t="n"/>
      <c r="AB310" s="31" t="n"/>
      <c r="AC310">
        <f>IF(W310&lt;&gt;"OK","",IF(AB310&lt;&gt;"",AB310,AE310))</f>
        <v/>
      </c>
      <c r="AD310" s="33">
        <f>IF(W310&lt;&gt;"OK","",IFERROR(IF(Z310&lt;&gt;"",Z310,AM310)*IF(AA310&lt;&gt;"",AA310,AN310)/60,""))</f>
        <v/>
      </c>
      <c r="AE310">
        <f>IF(W310&lt;&gt;"OK","",IF(OR(VALUE(O310)=2,VALUE(P310)=2,VALUE(Q310)=2),"社内残置",IF(AND(VALUE(O310)=0,VALUE(R310)=0,VALUE(T310)=0),"自動化候補",IF(AND(VALUE(P310)=0,VALUE(R310)&lt;=1,VALUE(S310)&lt;=1,VALUE(T310)&lt;=1,VALUE(U310)&lt;=1),"オフショア候補",IF(AND(VALUE(T310)&lt;=1,VALUE(U310)&lt;=1),"ニアショア候補","社内で手順化→再評価")))))</f>
        <v/>
      </c>
      <c r="AF310">
        <f>IF(W310&lt;&gt;"OK","",14-SUMPRODUCT(--O310:U310))</f>
        <v/>
      </c>
      <c r="AG310" s="33">
        <f>IF(W310&lt;&gt;"OK","",AM310*AN310/60)</f>
        <v/>
      </c>
      <c r="AH310" s="34">
        <f>IF(A310="","",UPPER(TRIM(ASC(A310&amp;""))))</f>
        <v/>
      </c>
      <c r="AI310" s="34">
        <f>IF(AH310="","",AH310&amp;"-"&amp;B310)</f>
        <v/>
      </c>
      <c r="AJ310" s="34">
        <f>IF(C310="","",IFERROR(VALUE(ASC(SUBSTITUTE(C310&amp;"","観点",""))),""))</f>
        <v/>
      </c>
      <c r="AK310" s="34">
        <f>IF(E310="","",UPPER(LEFT(TRIM(ASC(E310&amp;"")),3)))</f>
        <v/>
      </c>
      <c r="AL310" s="34">
        <f>IF(I310="","",IFERROR(VALUE(SUBSTITUTE(SUBSTITUTE(SUBSTITUTE(SUBSTITUTE(SUBSTITUTE(SUBSTITUTE(SUBSTITUTE(SUBSTITUTE(SUBSTITUTE(SUBSTITUTE(SUBSTITUTE(SUBSTITUTE(ASC(I310&amp;""),"約",""),"程度",""),"ほど",""),"回",""),"毎",""),"週",""),"月",""),"年",""),"日",""),"に",""),"/","")," ","")),""))</f>
        <v/>
      </c>
      <c r="AM310" s="34">
        <f>IF(I310="","",IF(ISNUMBER(I310),I310,IFERROR(VALUE(ASC(I310&amp;"")),IF(AL310&lt;&gt;"",AL310*IF(ISNUMBER(SEARCH("週",I310)),4.3,IF(ISNUMBER(SEARCH("年",I310)),1/12,IF(ISNUMBER(SEARCH("日",I310)),20,1))),IF(ISNUMBER(SEARCH("日",I310)),20,IF(ISNUMBER(SEARCH("週",I310)),4.3,IF(ISNUMBER(SEARCH("月",I310)),1,"")))))))</f>
        <v/>
      </c>
      <c r="AN310" s="34">
        <f>IF(J310="","",IF(ISNUMBER(J310),J310,IFERROR(VALUE(ASC(J310&amp;"")),IF(ISNUMBER(SEARCH("時間",J310)),IFERROR(VALUE(SUBSTITUTE(SUBSTITUTE(SUBSTITUTE(SUBSTITUTE(SUBSTITUTE(ASC(J310&amp;""),"約",""),"程度",""),"ほど",""),"時間","")," ",""))*60,""),IFERROR(VALUE(SUBSTITUTE(SUBSTITUTE(SUBSTITUTE(SUBSTITUTE(SUBSTITUTE(ASC(J310&amp;""),"約",""),"程度",""),"ほど",""),"分","")," ","")),"")))))</f>
        <v/>
      </c>
      <c r="AO310" s="34">
        <f>IF(K310="","",IF(ISNUMBER(K310),K310,IFERROR(VALUE(SUBSTITUTE(SUBSTITUTE(SUBSTITUTE(ASC(K310&amp;""),"約",""),"件","")," ","")),"")))</f>
        <v/>
      </c>
      <c r="AP310" s="34">
        <f>IF(W310&lt;&gt;"OK","",IF(COUNTIFS($D$5:$D$404,D310,$W$5:$W$404,"OK")&gt;1,"同名あり",""))</f>
        <v/>
      </c>
      <c r="AQ310" s="35">
        <f>IF(L310="","",IF(ISNUMBER(L310),L310,IFERROR(DATEVALUE(SUBSTITUTE(SUBSTITUTE(ASC(L310&amp;""),"-","/"),".","/")&amp;"/01"),"")))</f>
        <v/>
      </c>
      <c r="AR310" s="35">
        <f>IF(M310="","",IF(ISNUMBER(M310),M310,IFERROR(DATEVALUE(SUBSTITUTE(SUBSTITUTE(ASC(M310&amp;""),"-","/"),".","/")&amp;"/01"),"")))</f>
        <v/>
      </c>
      <c r="AS310" s="34">
        <f>IF(OR(W310&lt;&gt;"OK",AQ310=""),"",IF(AQ310&gt;='01_設定'!$C$26,1,0))</f>
        <v/>
      </c>
      <c r="AT310" s="34">
        <f>IF(AND(W310="OK",Y310&lt;&gt;"除外"),COUNTIFS($W$5:W310,"OK",$Y$5:Y310,"&lt;&gt;除外"),"")</f>
        <v/>
      </c>
      <c r="AU310" s="34">
        <f>IF(OR(AT310="",AD310=""),"",AD310+ROW()/1000000000)</f>
        <v/>
      </c>
    </row>
    <row r="311">
      <c r="W311">
        <f>IF(AND(A311="",D311=""),"",IF(ISNUMBER(SEARCH("##END",AH311)),"（終わりの印）",IF(ISNUMBER(SEARCH("##続き",AH311)),"（続きありの印）",IF(AH311="調査ID","（見出し行）",IF(AND(AH311&lt;&gt;"R1",AH311&lt;&gt;"R2"),"×表以外の行（集計されない）",IF(COUNTIF($AI$5:AI311,AI311)&gt;1,"△重複（集計されない）",IF(D311="","△タスク名なし",IF(ISNA(MATCH(AK311,'M1_類型マスタ'!$A$5:$A$19,0)),"△類型が不正",IF(OR(AM311="",AN311=""),"△回数・分が読めない",IF(SUMPRODUCT(--ISNUMBER(--O311:U311))&lt;7,"△採点が足りない",IF(SUMPRODUCT((--O311:U311&gt;2)+(--O311:U311&lt;0))&gt;0,"△採点が範囲外","OK")))))))))))</f>
        <v/>
      </c>
      <c r="X311">
        <f>IF(W311&lt;&gt;"OK","",TRIM(IF(AND(AO311&lt;&gt;"",N(AO311)&lt;=1),"根拠1件 ","")&amp;IF(AP311&lt;&gt;"","同名あり ","")&amp;IF(AND(NOT(ISNUMBER(I311)),I311&lt;&gt;""),"回数を換算 ","")))</f>
        <v/>
      </c>
      <c r="Y311" s="31" t="n"/>
      <c r="Z311" s="32" t="n"/>
      <c r="AA311" s="32" t="n"/>
      <c r="AB311" s="31" t="n"/>
      <c r="AC311">
        <f>IF(W311&lt;&gt;"OK","",IF(AB311&lt;&gt;"",AB311,AE311))</f>
        <v/>
      </c>
      <c r="AD311" s="33">
        <f>IF(W311&lt;&gt;"OK","",IFERROR(IF(Z311&lt;&gt;"",Z311,AM311)*IF(AA311&lt;&gt;"",AA311,AN311)/60,""))</f>
        <v/>
      </c>
      <c r="AE311">
        <f>IF(W311&lt;&gt;"OK","",IF(OR(VALUE(O311)=2,VALUE(P311)=2,VALUE(Q311)=2),"社内残置",IF(AND(VALUE(O311)=0,VALUE(R311)=0,VALUE(T311)=0),"自動化候補",IF(AND(VALUE(P311)=0,VALUE(R311)&lt;=1,VALUE(S311)&lt;=1,VALUE(T311)&lt;=1,VALUE(U311)&lt;=1),"オフショア候補",IF(AND(VALUE(T311)&lt;=1,VALUE(U311)&lt;=1),"ニアショア候補","社内で手順化→再評価")))))</f>
        <v/>
      </c>
      <c r="AF311">
        <f>IF(W311&lt;&gt;"OK","",14-SUMPRODUCT(--O311:U311))</f>
        <v/>
      </c>
      <c r="AG311" s="33">
        <f>IF(W311&lt;&gt;"OK","",AM311*AN311/60)</f>
        <v/>
      </c>
      <c r="AH311" s="34">
        <f>IF(A311="","",UPPER(TRIM(ASC(A311&amp;""))))</f>
        <v/>
      </c>
      <c r="AI311" s="34">
        <f>IF(AH311="","",AH311&amp;"-"&amp;B311)</f>
        <v/>
      </c>
      <c r="AJ311" s="34">
        <f>IF(C311="","",IFERROR(VALUE(ASC(SUBSTITUTE(C311&amp;"","観点",""))),""))</f>
        <v/>
      </c>
      <c r="AK311" s="34">
        <f>IF(E311="","",UPPER(LEFT(TRIM(ASC(E311&amp;"")),3)))</f>
        <v/>
      </c>
      <c r="AL311" s="34">
        <f>IF(I311="","",IFERROR(VALUE(SUBSTITUTE(SUBSTITUTE(SUBSTITUTE(SUBSTITUTE(SUBSTITUTE(SUBSTITUTE(SUBSTITUTE(SUBSTITUTE(SUBSTITUTE(SUBSTITUTE(SUBSTITUTE(SUBSTITUTE(ASC(I311&amp;""),"約",""),"程度",""),"ほど",""),"回",""),"毎",""),"週",""),"月",""),"年",""),"日",""),"に",""),"/","")," ","")),""))</f>
        <v/>
      </c>
      <c r="AM311" s="34">
        <f>IF(I311="","",IF(ISNUMBER(I311),I311,IFERROR(VALUE(ASC(I311&amp;"")),IF(AL311&lt;&gt;"",AL311*IF(ISNUMBER(SEARCH("週",I311)),4.3,IF(ISNUMBER(SEARCH("年",I311)),1/12,IF(ISNUMBER(SEARCH("日",I311)),20,1))),IF(ISNUMBER(SEARCH("日",I311)),20,IF(ISNUMBER(SEARCH("週",I311)),4.3,IF(ISNUMBER(SEARCH("月",I311)),1,"")))))))</f>
        <v/>
      </c>
      <c r="AN311" s="34">
        <f>IF(J311="","",IF(ISNUMBER(J311),J311,IFERROR(VALUE(ASC(J311&amp;"")),IF(ISNUMBER(SEARCH("時間",J311)),IFERROR(VALUE(SUBSTITUTE(SUBSTITUTE(SUBSTITUTE(SUBSTITUTE(SUBSTITUTE(ASC(J311&amp;""),"約",""),"程度",""),"ほど",""),"時間","")," ",""))*60,""),IFERROR(VALUE(SUBSTITUTE(SUBSTITUTE(SUBSTITUTE(SUBSTITUTE(SUBSTITUTE(ASC(J311&amp;""),"約",""),"程度",""),"ほど",""),"分","")," ","")),"")))))</f>
        <v/>
      </c>
      <c r="AO311" s="34">
        <f>IF(K311="","",IF(ISNUMBER(K311),K311,IFERROR(VALUE(SUBSTITUTE(SUBSTITUTE(SUBSTITUTE(ASC(K311&amp;""),"約",""),"件","")," ","")),"")))</f>
        <v/>
      </c>
      <c r="AP311" s="34">
        <f>IF(W311&lt;&gt;"OK","",IF(COUNTIFS($D$5:$D$404,D311,$W$5:$W$404,"OK")&gt;1,"同名あり",""))</f>
        <v/>
      </c>
      <c r="AQ311" s="35">
        <f>IF(L311="","",IF(ISNUMBER(L311),L311,IFERROR(DATEVALUE(SUBSTITUTE(SUBSTITUTE(ASC(L311&amp;""),"-","/"),".","/")&amp;"/01"),"")))</f>
        <v/>
      </c>
      <c r="AR311" s="35">
        <f>IF(M311="","",IF(ISNUMBER(M311),M311,IFERROR(DATEVALUE(SUBSTITUTE(SUBSTITUTE(ASC(M311&amp;""),"-","/"),".","/")&amp;"/01"),"")))</f>
        <v/>
      </c>
      <c r="AS311" s="34">
        <f>IF(OR(W311&lt;&gt;"OK",AQ311=""),"",IF(AQ311&gt;='01_設定'!$C$26,1,0))</f>
        <v/>
      </c>
      <c r="AT311" s="34">
        <f>IF(AND(W311="OK",Y311&lt;&gt;"除外"),COUNTIFS($W$5:W311,"OK",$Y$5:Y311,"&lt;&gt;除外"),"")</f>
        <v/>
      </c>
      <c r="AU311" s="34">
        <f>IF(OR(AT311="",AD311=""),"",AD311+ROW()/1000000000)</f>
        <v/>
      </c>
    </row>
    <row r="312">
      <c r="W312">
        <f>IF(AND(A312="",D312=""),"",IF(ISNUMBER(SEARCH("##END",AH312)),"（終わりの印）",IF(ISNUMBER(SEARCH("##続き",AH312)),"（続きありの印）",IF(AH312="調査ID","（見出し行）",IF(AND(AH312&lt;&gt;"R1",AH312&lt;&gt;"R2"),"×表以外の行（集計されない）",IF(COUNTIF($AI$5:AI312,AI312)&gt;1,"△重複（集計されない）",IF(D312="","△タスク名なし",IF(ISNA(MATCH(AK312,'M1_類型マスタ'!$A$5:$A$19,0)),"△類型が不正",IF(OR(AM312="",AN312=""),"△回数・分が読めない",IF(SUMPRODUCT(--ISNUMBER(--O312:U312))&lt;7,"△採点が足りない",IF(SUMPRODUCT((--O312:U312&gt;2)+(--O312:U312&lt;0))&gt;0,"△採点が範囲外","OK")))))))))))</f>
        <v/>
      </c>
      <c r="X312">
        <f>IF(W312&lt;&gt;"OK","",TRIM(IF(AND(AO312&lt;&gt;"",N(AO312)&lt;=1),"根拠1件 ","")&amp;IF(AP312&lt;&gt;"","同名あり ","")&amp;IF(AND(NOT(ISNUMBER(I312)),I312&lt;&gt;""),"回数を換算 ","")))</f>
        <v/>
      </c>
      <c r="Y312" s="31" t="n"/>
      <c r="Z312" s="32" t="n"/>
      <c r="AA312" s="32" t="n"/>
      <c r="AB312" s="31" t="n"/>
      <c r="AC312">
        <f>IF(W312&lt;&gt;"OK","",IF(AB312&lt;&gt;"",AB312,AE312))</f>
        <v/>
      </c>
      <c r="AD312" s="33">
        <f>IF(W312&lt;&gt;"OK","",IFERROR(IF(Z312&lt;&gt;"",Z312,AM312)*IF(AA312&lt;&gt;"",AA312,AN312)/60,""))</f>
        <v/>
      </c>
      <c r="AE312">
        <f>IF(W312&lt;&gt;"OK","",IF(OR(VALUE(O312)=2,VALUE(P312)=2,VALUE(Q312)=2),"社内残置",IF(AND(VALUE(O312)=0,VALUE(R312)=0,VALUE(T312)=0),"自動化候補",IF(AND(VALUE(P312)=0,VALUE(R312)&lt;=1,VALUE(S312)&lt;=1,VALUE(T312)&lt;=1,VALUE(U312)&lt;=1),"オフショア候補",IF(AND(VALUE(T312)&lt;=1,VALUE(U312)&lt;=1),"ニアショア候補","社内で手順化→再評価")))))</f>
        <v/>
      </c>
      <c r="AF312">
        <f>IF(W312&lt;&gt;"OK","",14-SUMPRODUCT(--O312:U312))</f>
        <v/>
      </c>
      <c r="AG312" s="33">
        <f>IF(W312&lt;&gt;"OK","",AM312*AN312/60)</f>
        <v/>
      </c>
      <c r="AH312" s="34">
        <f>IF(A312="","",UPPER(TRIM(ASC(A312&amp;""))))</f>
        <v/>
      </c>
      <c r="AI312" s="34">
        <f>IF(AH312="","",AH312&amp;"-"&amp;B312)</f>
        <v/>
      </c>
      <c r="AJ312" s="34">
        <f>IF(C312="","",IFERROR(VALUE(ASC(SUBSTITUTE(C312&amp;"","観点",""))),""))</f>
        <v/>
      </c>
      <c r="AK312" s="34">
        <f>IF(E312="","",UPPER(LEFT(TRIM(ASC(E312&amp;"")),3)))</f>
        <v/>
      </c>
      <c r="AL312" s="34">
        <f>IF(I312="","",IFERROR(VALUE(SUBSTITUTE(SUBSTITUTE(SUBSTITUTE(SUBSTITUTE(SUBSTITUTE(SUBSTITUTE(SUBSTITUTE(SUBSTITUTE(SUBSTITUTE(SUBSTITUTE(SUBSTITUTE(SUBSTITUTE(ASC(I312&amp;""),"約",""),"程度",""),"ほど",""),"回",""),"毎",""),"週",""),"月",""),"年",""),"日",""),"に",""),"/","")," ","")),""))</f>
        <v/>
      </c>
      <c r="AM312" s="34">
        <f>IF(I312="","",IF(ISNUMBER(I312),I312,IFERROR(VALUE(ASC(I312&amp;"")),IF(AL312&lt;&gt;"",AL312*IF(ISNUMBER(SEARCH("週",I312)),4.3,IF(ISNUMBER(SEARCH("年",I312)),1/12,IF(ISNUMBER(SEARCH("日",I312)),20,1))),IF(ISNUMBER(SEARCH("日",I312)),20,IF(ISNUMBER(SEARCH("週",I312)),4.3,IF(ISNUMBER(SEARCH("月",I312)),1,"")))))))</f>
        <v/>
      </c>
      <c r="AN312" s="34">
        <f>IF(J312="","",IF(ISNUMBER(J312),J312,IFERROR(VALUE(ASC(J312&amp;"")),IF(ISNUMBER(SEARCH("時間",J312)),IFERROR(VALUE(SUBSTITUTE(SUBSTITUTE(SUBSTITUTE(SUBSTITUTE(SUBSTITUTE(ASC(J312&amp;""),"約",""),"程度",""),"ほど",""),"時間","")," ",""))*60,""),IFERROR(VALUE(SUBSTITUTE(SUBSTITUTE(SUBSTITUTE(SUBSTITUTE(SUBSTITUTE(ASC(J312&amp;""),"約",""),"程度",""),"ほど",""),"分","")," ","")),"")))))</f>
        <v/>
      </c>
      <c r="AO312" s="34">
        <f>IF(K312="","",IF(ISNUMBER(K312),K312,IFERROR(VALUE(SUBSTITUTE(SUBSTITUTE(SUBSTITUTE(ASC(K312&amp;""),"約",""),"件","")," ","")),"")))</f>
        <v/>
      </c>
      <c r="AP312" s="34">
        <f>IF(W312&lt;&gt;"OK","",IF(COUNTIFS($D$5:$D$404,D312,$W$5:$W$404,"OK")&gt;1,"同名あり",""))</f>
        <v/>
      </c>
      <c r="AQ312" s="35">
        <f>IF(L312="","",IF(ISNUMBER(L312),L312,IFERROR(DATEVALUE(SUBSTITUTE(SUBSTITUTE(ASC(L312&amp;""),"-","/"),".","/")&amp;"/01"),"")))</f>
        <v/>
      </c>
      <c r="AR312" s="35">
        <f>IF(M312="","",IF(ISNUMBER(M312),M312,IFERROR(DATEVALUE(SUBSTITUTE(SUBSTITUTE(ASC(M312&amp;""),"-","/"),".","/")&amp;"/01"),"")))</f>
        <v/>
      </c>
      <c r="AS312" s="34">
        <f>IF(OR(W312&lt;&gt;"OK",AQ312=""),"",IF(AQ312&gt;='01_設定'!$C$26,1,0))</f>
        <v/>
      </c>
      <c r="AT312" s="34">
        <f>IF(AND(W312="OK",Y312&lt;&gt;"除外"),COUNTIFS($W$5:W312,"OK",$Y$5:Y312,"&lt;&gt;除外"),"")</f>
        <v/>
      </c>
      <c r="AU312" s="34">
        <f>IF(OR(AT312="",AD312=""),"",AD312+ROW()/1000000000)</f>
        <v/>
      </c>
    </row>
    <row r="313">
      <c r="W313">
        <f>IF(AND(A313="",D313=""),"",IF(ISNUMBER(SEARCH("##END",AH313)),"（終わりの印）",IF(ISNUMBER(SEARCH("##続き",AH313)),"（続きありの印）",IF(AH313="調査ID","（見出し行）",IF(AND(AH313&lt;&gt;"R1",AH313&lt;&gt;"R2"),"×表以外の行（集計されない）",IF(COUNTIF($AI$5:AI313,AI313)&gt;1,"△重複（集計されない）",IF(D313="","△タスク名なし",IF(ISNA(MATCH(AK313,'M1_類型マスタ'!$A$5:$A$19,0)),"△類型が不正",IF(OR(AM313="",AN313=""),"△回数・分が読めない",IF(SUMPRODUCT(--ISNUMBER(--O313:U313))&lt;7,"△採点が足りない",IF(SUMPRODUCT((--O313:U313&gt;2)+(--O313:U313&lt;0))&gt;0,"△採点が範囲外","OK")))))))))))</f>
        <v/>
      </c>
      <c r="X313">
        <f>IF(W313&lt;&gt;"OK","",TRIM(IF(AND(AO313&lt;&gt;"",N(AO313)&lt;=1),"根拠1件 ","")&amp;IF(AP313&lt;&gt;"","同名あり ","")&amp;IF(AND(NOT(ISNUMBER(I313)),I313&lt;&gt;""),"回数を換算 ","")))</f>
        <v/>
      </c>
      <c r="Y313" s="31" t="n"/>
      <c r="Z313" s="32" t="n"/>
      <c r="AA313" s="32" t="n"/>
      <c r="AB313" s="31" t="n"/>
      <c r="AC313">
        <f>IF(W313&lt;&gt;"OK","",IF(AB313&lt;&gt;"",AB313,AE313))</f>
        <v/>
      </c>
      <c r="AD313" s="33">
        <f>IF(W313&lt;&gt;"OK","",IFERROR(IF(Z313&lt;&gt;"",Z313,AM313)*IF(AA313&lt;&gt;"",AA313,AN313)/60,""))</f>
        <v/>
      </c>
      <c r="AE313">
        <f>IF(W313&lt;&gt;"OK","",IF(OR(VALUE(O313)=2,VALUE(P313)=2,VALUE(Q313)=2),"社内残置",IF(AND(VALUE(O313)=0,VALUE(R313)=0,VALUE(T313)=0),"自動化候補",IF(AND(VALUE(P313)=0,VALUE(R313)&lt;=1,VALUE(S313)&lt;=1,VALUE(T313)&lt;=1,VALUE(U313)&lt;=1),"オフショア候補",IF(AND(VALUE(T313)&lt;=1,VALUE(U313)&lt;=1),"ニアショア候補","社内で手順化→再評価")))))</f>
        <v/>
      </c>
      <c r="AF313">
        <f>IF(W313&lt;&gt;"OK","",14-SUMPRODUCT(--O313:U313))</f>
        <v/>
      </c>
      <c r="AG313" s="33">
        <f>IF(W313&lt;&gt;"OK","",AM313*AN313/60)</f>
        <v/>
      </c>
      <c r="AH313" s="34">
        <f>IF(A313="","",UPPER(TRIM(ASC(A313&amp;""))))</f>
        <v/>
      </c>
      <c r="AI313" s="34">
        <f>IF(AH313="","",AH313&amp;"-"&amp;B313)</f>
        <v/>
      </c>
      <c r="AJ313" s="34">
        <f>IF(C313="","",IFERROR(VALUE(ASC(SUBSTITUTE(C313&amp;"","観点",""))),""))</f>
        <v/>
      </c>
      <c r="AK313" s="34">
        <f>IF(E313="","",UPPER(LEFT(TRIM(ASC(E313&amp;"")),3)))</f>
        <v/>
      </c>
      <c r="AL313" s="34">
        <f>IF(I313="","",IFERROR(VALUE(SUBSTITUTE(SUBSTITUTE(SUBSTITUTE(SUBSTITUTE(SUBSTITUTE(SUBSTITUTE(SUBSTITUTE(SUBSTITUTE(SUBSTITUTE(SUBSTITUTE(SUBSTITUTE(SUBSTITUTE(ASC(I313&amp;""),"約",""),"程度",""),"ほど",""),"回",""),"毎",""),"週",""),"月",""),"年",""),"日",""),"に",""),"/","")," ","")),""))</f>
        <v/>
      </c>
      <c r="AM313" s="34">
        <f>IF(I313="","",IF(ISNUMBER(I313),I313,IFERROR(VALUE(ASC(I313&amp;"")),IF(AL313&lt;&gt;"",AL313*IF(ISNUMBER(SEARCH("週",I313)),4.3,IF(ISNUMBER(SEARCH("年",I313)),1/12,IF(ISNUMBER(SEARCH("日",I313)),20,1))),IF(ISNUMBER(SEARCH("日",I313)),20,IF(ISNUMBER(SEARCH("週",I313)),4.3,IF(ISNUMBER(SEARCH("月",I313)),1,"")))))))</f>
        <v/>
      </c>
      <c r="AN313" s="34">
        <f>IF(J313="","",IF(ISNUMBER(J313),J313,IFERROR(VALUE(ASC(J313&amp;"")),IF(ISNUMBER(SEARCH("時間",J313)),IFERROR(VALUE(SUBSTITUTE(SUBSTITUTE(SUBSTITUTE(SUBSTITUTE(SUBSTITUTE(ASC(J313&amp;""),"約",""),"程度",""),"ほど",""),"時間","")," ",""))*60,""),IFERROR(VALUE(SUBSTITUTE(SUBSTITUTE(SUBSTITUTE(SUBSTITUTE(SUBSTITUTE(ASC(J313&amp;""),"約",""),"程度",""),"ほど",""),"分","")," ","")),"")))))</f>
        <v/>
      </c>
      <c r="AO313" s="34">
        <f>IF(K313="","",IF(ISNUMBER(K313),K313,IFERROR(VALUE(SUBSTITUTE(SUBSTITUTE(SUBSTITUTE(ASC(K313&amp;""),"約",""),"件","")," ","")),"")))</f>
        <v/>
      </c>
      <c r="AP313" s="34">
        <f>IF(W313&lt;&gt;"OK","",IF(COUNTIFS($D$5:$D$404,D313,$W$5:$W$404,"OK")&gt;1,"同名あり",""))</f>
        <v/>
      </c>
      <c r="AQ313" s="35">
        <f>IF(L313="","",IF(ISNUMBER(L313),L313,IFERROR(DATEVALUE(SUBSTITUTE(SUBSTITUTE(ASC(L313&amp;""),"-","/"),".","/")&amp;"/01"),"")))</f>
        <v/>
      </c>
      <c r="AR313" s="35">
        <f>IF(M313="","",IF(ISNUMBER(M313),M313,IFERROR(DATEVALUE(SUBSTITUTE(SUBSTITUTE(ASC(M313&amp;""),"-","/"),".","/")&amp;"/01"),"")))</f>
        <v/>
      </c>
      <c r="AS313" s="34">
        <f>IF(OR(W313&lt;&gt;"OK",AQ313=""),"",IF(AQ313&gt;='01_設定'!$C$26,1,0))</f>
        <v/>
      </c>
      <c r="AT313" s="34">
        <f>IF(AND(W313="OK",Y313&lt;&gt;"除外"),COUNTIFS($W$5:W313,"OK",$Y$5:Y313,"&lt;&gt;除外"),"")</f>
        <v/>
      </c>
      <c r="AU313" s="34">
        <f>IF(OR(AT313="",AD313=""),"",AD313+ROW()/1000000000)</f>
        <v/>
      </c>
    </row>
    <row r="314">
      <c r="W314">
        <f>IF(AND(A314="",D314=""),"",IF(ISNUMBER(SEARCH("##END",AH314)),"（終わりの印）",IF(ISNUMBER(SEARCH("##続き",AH314)),"（続きありの印）",IF(AH314="調査ID","（見出し行）",IF(AND(AH314&lt;&gt;"R1",AH314&lt;&gt;"R2"),"×表以外の行（集計されない）",IF(COUNTIF($AI$5:AI314,AI314)&gt;1,"△重複（集計されない）",IF(D314="","△タスク名なし",IF(ISNA(MATCH(AK314,'M1_類型マスタ'!$A$5:$A$19,0)),"△類型が不正",IF(OR(AM314="",AN314=""),"△回数・分が読めない",IF(SUMPRODUCT(--ISNUMBER(--O314:U314))&lt;7,"△採点が足りない",IF(SUMPRODUCT((--O314:U314&gt;2)+(--O314:U314&lt;0))&gt;0,"△採点が範囲外","OK")))))))))))</f>
        <v/>
      </c>
      <c r="X314">
        <f>IF(W314&lt;&gt;"OK","",TRIM(IF(AND(AO314&lt;&gt;"",N(AO314)&lt;=1),"根拠1件 ","")&amp;IF(AP314&lt;&gt;"","同名あり ","")&amp;IF(AND(NOT(ISNUMBER(I314)),I314&lt;&gt;""),"回数を換算 ","")))</f>
        <v/>
      </c>
      <c r="Y314" s="31" t="n"/>
      <c r="Z314" s="32" t="n"/>
      <c r="AA314" s="32" t="n"/>
      <c r="AB314" s="31" t="n"/>
      <c r="AC314">
        <f>IF(W314&lt;&gt;"OK","",IF(AB314&lt;&gt;"",AB314,AE314))</f>
        <v/>
      </c>
      <c r="AD314" s="33">
        <f>IF(W314&lt;&gt;"OK","",IFERROR(IF(Z314&lt;&gt;"",Z314,AM314)*IF(AA314&lt;&gt;"",AA314,AN314)/60,""))</f>
        <v/>
      </c>
      <c r="AE314">
        <f>IF(W314&lt;&gt;"OK","",IF(OR(VALUE(O314)=2,VALUE(P314)=2,VALUE(Q314)=2),"社内残置",IF(AND(VALUE(O314)=0,VALUE(R314)=0,VALUE(T314)=0),"自動化候補",IF(AND(VALUE(P314)=0,VALUE(R314)&lt;=1,VALUE(S314)&lt;=1,VALUE(T314)&lt;=1,VALUE(U314)&lt;=1),"オフショア候補",IF(AND(VALUE(T314)&lt;=1,VALUE(U314)&lt;=1),"ニアショア候補","社内で手順化→再評価")))))</f>
        <v/>
      </c>
      <c r="AF314">
        <f>IF(W314&lt;&gt;"OK","",14-SUMPRODUCT(--O314:U314))</f>
        <v/>
      </c>
      <c r="AG314" s="33">
        <f>IF(W314&lt;&gt;"OK","",AM314*AN314/60)</f>
        <v/>
      </c>
      <c r="AH314" s="34">
        <f>IF(A314="","",UPPER(TRIM(ASC(A314&amp;""))))</f>
        <v/>
      </c>
      <c r="AI314" s="34">
        <f>IF(AH314="","",AH314&amp;"-"&amp;B314)</f>
        <v/>
      </c>
      <c r="AJ314" s="34">
        <f>IF(C314="","",IFERROR(VALUE(ASC(SUBSTITUTE(C314&amp;"","観点",""))),""))</f>
        <v/>
      </c>
      <c r="AK314" s="34">
        <f>IF(E314="","",UPPER(LEFT(TRIM(ASC(E314&amp;"")),3)))</f>
        <v/>
      </c>
      <c r="AL314" s="34">
        <f>IF(I314="","",IFERROR(VALUE(SUBSTITUTE(SUBSTITUTE(SUBSTITUTE(SUBSTITUTE(SUBSTITUTE(SUBSTITUTE(SUBSTITUTE(SUBSTITUTE(SUBSTITUTE(SUBSTITUTE(SUBSTITUTE(SUBSTITUTE(ASC(I314&amp;""),"約",""),"程度",""),"ほど",""),"回",""),"毎",""),"週",""),"月",""),"年",""),"日",""),"に",""),"/","")," ","")),""))</f>
        <v/>
      </c>
      <c r="AM314" s="34">
        <f>IF(I314="","",IF(ISNUMBER(I314),I314,IFERROR(VALUE(ASC(I314&amp;"")),IF(AL314&lt;&gt;"",AL314*IF(ISNUMBER(SEARCH("週",I314)),4.3,IF(ISNUMBER(SEARCH("年",I314)),1/12,IF(ISNUMBER(SEARCH("日",I314)),20,1))),IF(ISNUMBER(SEARCH("日",I314)),20,IF(ISNUMBER(SEARCH("週",I314)),4.3,IF(ISNUMBER(SEARCH("月",I314)),1,"")))))))</f>
        <v/>
      </c>
      <c r="AN314" s="34">
        <f>IF(J314="","",IF(ISNUMBER(J314),J314,IFERROR(VALUE(ASC(J314&amp;"")),IF(ISNUMBER(SEARCH("時間",J314)),IFERROR(VALUE(SUBSTITUTE(SUBSTITUTE(SUBSTITUTE(SUBSTITUTE(SUBSTITUTE(ASC(J314&amp;""),"約",""),"程度",""),"ほど",""),"時間","")," ",""))*60,""),IFERROR(VALUE(SUBSTITUTE(SUBSTITUTE(SUBSTITUTE(SUBSTITUTE(SUBSTITUTE(ASC(J314&amp;""),"約",""),"程度",""),"ほど",""),"分","")," ","")),"")))))</f>
        <v/>
      </c>
      <c r="AO314" s="34">
        <f>IF(K314="","",IF(ISNUMBER(K314),K314,IFERROR(VALUE(SUBSTITUTE(SUBSTITUTE(SUBSTITUTE(ASC(K314&amp;""),"約",""),"件","")," ","")),"")))</f>
        <v/>
      </c>
      <c r="AP314" s="34">
        <f>IF(W314&lt;&gt;"OK","",IF(COUNTIFS($D$5:$D$404,D314,$W$5:$W$404,"OK")&gt;1,"同名あり",""))</f>
        <v/>
      </c>
      <c r="AQ314" s="35">
        <f>IF(L314="","",IF(ISNUMBER(L314),L314,IFERROR(DATEVALUE(SUBSTITUTE(SUBSTITUTE(ASC(L314&amp;""),"-","/"),".","/")&amp;"/01"),"")))</f>
        <v/>
      </c>
      <c r="AR314" s="35">
        <f>IF(M314="","",IF(ISNUMBER(M314),M314,IFERROR(DATEVALUE(SUBSTITUTE(SUBSTITUTE(ASC(M314&amp;""),"-","/"),".","/")&amp;"/01"),"")))</f>
        <v/>
      </c>
      <c r="AS314" s="34">
        <f>IF(OR(W314&lt;&gt;"OK",AQ314=""),"",IF(AQ314&gt;='01_設定'!$C$26,1,0))</f>
        <v/>
      </c>
      <c r="AT314" s="34">
        <f>IF(AND(W314="OK",Y314&lt;&gt;"除外"),COUNTIFS($W$5:W314,"OK",$Y$5:Y314,"&lt;&gt;除外"),"")</f>
        <v/>
      </c>
      <c r="AU314" s="34">
        <f>IF(OR(AT314="",AD314=""),"",AD314+ROW()/1000000000)</f>
        <v/>
      </c>
    </row>
    <row r="315">
      <c r="W315">
        <f>IF(AND(A315="",D315=""),"",IF(ISNUMBER(SEARCH("##END",AH315)),"（終わりの印）",IF(ISNUMBER(SEARCH("##続き",AH315)),"（続きありの印）",IF(AH315="調査ID","（見出し行）",IF(AND(AH315&lt;&gt;"R1",AH315&lt;&gt;"R2"),"×表以外の行（集計されない）",IF(COUNTIF($AI$5:AI315,AI315)&gt;1,"△重複（集計されない）",IF(D315="","△タスク名なし",IF(ISNA(MATCH(AK315,'M1_類型マスタ'!$A$5:$A$19,0)),"△類型が不正",IF(OR(AM315="",AN315=""),"△回数・分が読めない",IF(SUMPRODUCT(--ISNUMBER(--O315:U315))&lt;7,"△採点が足りない",IF(SUMPRODUCT((--O315:U315&gt;2)+(--O315:U315&lt;0))&gt;0,"△採点が範囲外","OK")))))))))))</f>
        <v/>
      </c>
      <c r="X315">
        <f>IF(W315&lt;&gt;"OK","",TRIM(IF(AND(AO315&lt;&gt;"",N(AO315)&lt;=1),"根拠1件 ","")&amp;IF(AP315&lt;&gt;"","同名あり ","")&amp;IF(AND(NOT(ISNUMBER(I315)),I315&lt;&gt;""),"回数を換算 ","")))</f>
        <v/>
      </c>
      <c r="Y315" s="31" t="n"/>
      <c r="Z315" s="32" t="n"/>
      <c r="AA315" s="32" t="n"/>
      <c r="AB315" s="31" t="n"/>
      <c r="AC315">
        <f>IF(W315&lt;&gt;"OK","",IF(AB315&lt;&gt;"",AB315,AE315))</f>
        <v/>
      </c>
      <c r="AD315" s="33">
        <f>IF(W315&lt;&gt;"OK","",IFERROR(IF(Z315&lt;&gt;"",Z315,AM315)*IF(AA315&lt;&gt;"",AA315,AN315)/60,""))</f>
        <v/>
      </c>
      <c r="AE315">
        <f>IF(W315&lt;&gt;"OK","",IF(OR(VALUE(O315)=2,VALUE(P315)=2,VALUE(Q315)=2),"社内残置",IF(AND(VALUE(O315)=0,VALUE(R315)=0,VALUE(T315)=0),"自動化候補",IF(AND(VALUE(P315)=0,VALUE(R315)&lt;=1,VALUE(S315)&lt;=1,VALUE(T315)&lt;=1,VALUE(U315)&lt;=1),"オフショア候補",IF(AND(VALUE(T315)&lt;=1,VALUE(U315)&lt;=1),"ニアショア候補","社内で手順化→再評価")))))</f>
        <v/>
      </c>
      <c r="AF315">
        <f>IF(W315&lt;&gt;"OK","",14-SUMPRODUCT(--O315:U315))</f>
        <v/>
      </c>
      <c r="AG315" s="33">
        <f>IF(W315&lt;&gt;"OK","",AM315*AN315/60)</f>
        <v/>
      </c>
      <c r="AH315" s="34">
        <f>IF(A315="","",UPPER(TRIM(ASC(A315&amp;""))))</f>
        <v/>
      </c>
      <c r="AI315" s="34">
        <f>IF(AH315="","",AH315&amp;"-"&amp;B315)</f>
        <v/>
      </c>
      <c r="AJ315" s="34">
        <f>IF(C315="","",IFERROR(VALUE(ASC(SUBSTITUTE(C315&amp;"","観点",""))),""))</f>
        <v/>
      </c>
      <c r="AK315" s="34">
        <f>IF(E315="","",UPPER(LEFT(TRIM(ASC(E315&amp;"")),3)))</f>
        <v/>
      </c>
      <c r="AL315" s="34">
        <f>IF(I315="","",IFERROR(VALUE(SUBSTITUTE(SUBSTITUTE(SUBSTITUTE(SUBSTITUTE(SUBSTITUTE(SUBSTITUTE(SUBSTITUTE(SUBSTITUTE(SUBSTITUTE(SUBSTITUTE(SUBSTITUTE(SUBSTITUTE(ASC(I315&amp;""),"約",""),"程度",""),"ほど",""),"回",""),"毎",""),"週",""),"月",""),"年",""),"日",""),"に",""),"/","")," ","")),""))</f>
        <v/>
      </c>
      <c r="AM315" s="34">
        <f>IF(I315="","",IF(ISNUMBER(I315),I315,IFERROR(VALUE(ASC(I315&amp;"")),IF(AL315&lt;&gt;"",AL315*IF(ISNUMBER(SEARCH("週",I315)),4.3,IF(ISNUMBER(SEARCH("年",I315)),1/12,IF(ISNUMBER(SEARCH("日",I315)),20,1))),IF(ISNUMBER(SEARCH("日",I315)),20,IF(ISNUMBER(SEARCH("週",I315)),4.3,IF(ISNUMBER(SEARCH("月",I315)),1,"")))))))</f>
        <v/>
      </c>
      <c r="AN315" s="34">
        <f>IF(J315="","",IF(ISNUMBER(J315),J315,IFERROR(VALUE(ASC(J315&amp;"")),IF(ISNUMBER(SEARCH("時間",J315)),IFERROR(VALUE(SUBSTITUTE(SUBSTITUTE(SUBSTITUTE(SUBSTITUTE(SUBSTITUTE(ASC(J315&amp;""),"約",""),"程度",""),"ほど",""),"時間","")," ",""))*60,""),IFERROR(VALUE(SUBSTITUTE(SUBSTITUTE(SUBSTITUTE(SUBSTITUTE(SUBSTITUTE(ASC(J315&amp;""),"約",""),"程度",""),"ほど",""),"分","")," ","")),"")))))</f>
        <v/>
      </c>
      <c r="AO315" s="34">
        <f>IF(K315="","",IF(ISNUMBER(K315),K315,IFERROR(VALUE(SUBSTITUTE(SUBSTITUTE(SUBSTITUTE(ASC(K315&amp;""),"約",""),"件","")," ","")),"")))</f>
        <v/>
      </c>
      <c r="AP315" s="34">
        <f>IF(W315&lt;&gt;"OK","",IF(COUNTIFS($D$5:$D$404,D315,$W$5:$W$404,"OK")&gt;1,"同名あり",""))</f>
        <v/>
      </c>
      <c r="AQ315" s="35">
        <f>IF(L315="","",IF(ISNUMBER(L315),L315,IFERROR(DATEVALUE(SUBSTITUTE(SUBSTITUTE(ASC(L315&amp;""),"-","/"),".","/")&amp;"/01"),"")))</f>
        <v/>
      </c>
      <c r="AR315" s="35">
        <f>IF(M315="","",IF(ISNUMBER(M315),M315,IFERROR(DATEVALUE(SUBSTITUTE(SUBSTITUTE(ASC(M315&amp;""),"-","/"),".","/")&amp;"/01"),"")))</f>
        <v/>
      </c>
      <c r="AS315" s="34">
        <f>IF(OR(W315&lt;&gt;"OK",AQ315=""),"",IF(AQ315&gt;='01_設定'!$C$26,1,0))</f>
        <v/>
      </c>
      <c r="AT315" s="34">
        <f>IF(AND(W315="OK",Y315&lt;&gt;"除外"),COUNTIFS($W$5:W315,"OK",$Y$5:Y315,"&lt;&gt;除外"),"")</f>
        <v/>
      </c>
      <c r="AU315" s="34">
        <f>IF(OR(AT315="",AD315=""),"",AD315+ROW()/1000000000)</f>
        <v/>
      </c>
    </row>
    <row r="316">
      <c r="W316">
        <f>IF(AND(A316="",D316=""),"",IF(ISNUMBER(SEARCH("##END",AH316)),"（終わりの印）",IF(ISNUMBER(SEARCH("##続き",AH316)),"（続きありの印）",IF(AH316="調査ID","（見出し行）",IF(AND(AH316&lt;&gt;"R1",AH316&lt;&gt;"R2"),"×表以外の行（集計されない）",IF(COUNTIF($AI$5:AI316,AI316)&gt;1,"△重複（集計されない）",IF(D316="","△タスク名なし",IF(ISNA(MATCH(AK316,'M1_類型マスタ'!$A$5:$A$19,0)),"△類型が不正",IF(OR(AM316="",AN316=""),"△回数・分が読めない",IF(SUMPRODUCT(--ISNUMBER(--O316:U316))&lt;7,"△採点が足りない",IF(SUMPRODUCT((--O316:U316&gt;2)+(--O316:U316&lt;0))&gt;0,"△採点が範囲外","OK")))))))))))</f>
        <v/>
      </c>
      <c r="X316">
        <f>IF(W316&lt;&gt;"OK","",TRIM(IF(AND(AO316&lt;&gt;"",N(AO316)&lt;=1),"根拠1件 ","")&amp;IF(AP316&lt;&gt;"","同名あり ","")&amp;IF(AND(NOT(ISNUMBER(I316)),I316&lt;&gt;""),"回数を換算 ","")))</f>
        <v/>
      </c>
      <c r="Y316" s="31" t="n"/>
      <c r="Z316" s="32" t="n"/>
      <c r="AA316" s="32" t="n"/>
      <c r="AB316" s="31" t="n"/>
      <c r="AC316">
        <f>IF(W316&lt;&gt;"OK","",IF(AB316&lt;&gt;"",AB316,AE316))</f>
        <v/>
      </c>
      <c r="AD316" s="33">
        <f>IF(W316&lt;&gt;"OK","",IFERROR(IF(Z316&lt;&gt;"",Z316,AM316)*IF(AA316&lt;&gt;"",AA316,AN316)/60,""))</f>
        <v/>
      </c>
      <c r="AE316">
        <f>IF(W316&lt;&gt;"OK","",IF(OR(VALUE(O316)=2,VALUE(P316)=2,VALUE(Q316)=2),"社内残置",IF(AND(VALUE(O316)=0,VALUE(R316)=0,VALUE(T316)=0),"自動化候補",IF(AND(VALUE(P316)=0,VALUE(R316)&lt;=1,VALUE(S316)&lt;=1,VALUE(T316)&lt;=1,VALUE(U316)&lt;=1),"オフショア候補",IF(AND(VALUE(T316)&lt;=1,VALUE(U316)&lt;=1),"ニアショア候補","社内で手順化→再評価")))))</f>
        <v/>
      </c>
      <c r="AF316">
        <f>IF(W316&lt;&gt;"OK","",14-SUMPRODUCT(--O316:U316))</f>
        <v/>
      </c>
      <c r="AG316" s="33">
        <f>IF(W316&lt;&gt;"OK","",AM316*AN316/60)</f>
        <v/>
      </c>
      <c r="AH316" s="34">
        <f>IF(A316="","",UPPER(TRIM(ASC(A316&amp;""))))</f>
        <v/>
      </c>
      <c r="AI316" s="34">
        <f>IF(AH316="","",AH316&amp;"-"&amp;B316)</f>
        <v/>
      </c>
      <c r="AJ316" s="34">
        <f>IF(C316="","",IFERROR(VALUE(ASC(SUBSTITUTE(C316&amp;"","観点",""))),""))</f>
        <v/>
      </c>
      <c r="AK316" s="34">
        <f>IF(E316="","",UPPER(LEFT(TRIM(ASC(E316&amp;"")),3)))</f>
        <v/>
      </c>
      <c r="AL316" s="34">
        <f>IF(I316="","",IFERROR(VALUE(SUBSTITUTE(SUBSTITUTE(SUBSTITUTE(SUBSTITUTE(SUBSTITUTE(SUBSTITUTE(SUBSTITUTE(SUBSTITUTE(SUBSTITUTE(SUBSTITUTE(SUBSTITUTE(SUBSTITUTE(ASC(I316&amp;""),"約",""),"程度",""),"ほど",""),"回",""),"毎",""),"週",""),"月",""),"年",""),"日",""),"に",""),"/","")," ","")),""))</f>
        <v/>
      </c>
      <c r="AM316" s="34">
        <f>IF(I316="","",IF(ISNUMBER(I316),I316,IFERROR(VALUE(ASC(I316&amp;"")),IF(AL316&lt;&gt;"",AL316*IF(ISNUMBER(SEARCH("週",I316)),4.3,IF(ISNUMBER(SEARCH("年",I316)),1/12,IF(ISNUMBER(SEARCH("日",I316)),20,1))),IF(ISNUMBER(SEARCH("日",I316)),20,IF(ISNUMBER(SEARCH("週",I316)),4.3,IF(ISNUMBER(SEARCH("月",I316)),1,"")))))))</f>
        <v/>
      </c>
      <c r="AN316" s="34">
        <f>IF(J316="","",IF(ISNUMBER(J316),J316,IFERROR(VALUE(ASC(J316&amp;"")),IF(ISNUMBER(SEARCH("時間",J316)),IFERROR(VALUE(SUBSTITUTE(SUBSTITUTE(SUBSTITUTE(SUBSTITUTE(SUBSTITUTE(ASC(J316&amp;""),"約",""),"程度",""),"ほど",""),"時間","")," ",""))*60,""),IFERROR(VALUE(SUBSTITUTE(SUBSTITUTE(SUBSTITUTE(SUBSTITUTE(SUBSTITUTE(ASC(J316&amp;""),"約",""),"程度",""),"ほど",""),"分","")," ","")),"")))))</f>
        <v/>
      </c>
      <c r="AO316" s="34">
        <f>IF(K316="","",IF(ISNUMBER(K316),K316,IFERROR(VALUE(SUBSTITUTE(SUBSTITUTE(SUBSTITUTE(ASC(K316&amp;""),"約",""),"件","")," ","")),"")))</f>
        <v/>
      </c>
      <c r="AP316" s="34">
        <f>IF(W316&lt;&gt;"OK","",IF(COUNTIFS($D$5:$D$404,D316,$W$5:$W$404,"OK")&gt;1,"同名あり",""))</f>
        <v/>
      </c>
      <c r="AQ316" s="35">
        <f>IF(L316="","",IF(ISNUMBER(L316),L316,IFERROR(DATEVALUE(SUBSTITUTE(SUBSTITUTE(ASC(L316&amp;""),"-","/"),".","/")&amp;"/01"),"")))</f>
        <v/>
      </c>
      <c r="AR316" s="35">
        <f>IF(M316="","",IF(ISNUMBER(M316),M316,IFERROR(DATEVALUE(SUBSTITUTE(SUBSTITUTE(ASC(M316&amp;""),"-","/"),".","/")&amp;"/01"),"")))</f>
        <v/>
      </c>
      <c r="AS316" s="34">
        <f>IF(OR(W316&lt;&gt;"OK",AQ316=""),"",IF(AQ316&gt;='01_設定'!$C$26,1,0))</f>
        <v/>
      </c>
      <c r="AT316" s="34">
        <f>IF(AND(W316="OK",Y316&lt;&gt;"除外"),COUNTIFS($W$5:W316,"OK",$Y$5:Y316,"&lt;&gt;除外"),"")</f>
        <v/>
      </c>
      <c r="AU316" s="34">
        <f>IF(OR(AT316="",AD316=""),"",AD316+ROW()/1000000000)</f>
        <v/>
      </c>
    </row>
    <row r="317">
      <c r="W317">
        <f>IF(AND(A317="",D317=""),"",IF(ISNUMBER(SEARCH("##END",AH317)),"（終わりの印）",IF(ISNUMBER(SEARCH("##続き",AH317)),"（続きありの印）",IF(AH317="調査ID","（見出し行）",IF(AND(AH317&lt;&gt;"R1",AH317&lt;&gt;"R2"),"×表以外の行（集計されない）",IF(COUNTIF($AI$5:AI317,AI317)&gt;1,"△重複（集計されない）",IF(D317="","△タスク名なし",IF(ISNA(MATCH(AK317,'M1_類型マスタ'!$A$5:$A$19,0)),"△類型が不正",IF(OR(AM317="",AN317=""),"△回数・分が読めない",IF(SUMPRODUCT(--ISNUMBER(--O317:U317))&lt;7,"△採点が足りない",IF(SUMPRODUCT((--O317:U317&gt;2)+(--O317:U317&lt;0))&gt;0,"△採点が範囲外","OK")))))))))))</f>
        <v/>
      </c>
      <c r="X317">
        <f>IF(W317&lt;&gt;"OK","",TRIM(IF(AND(AO317&lt;&gt;"",N(AO317)&lt;=1),"根拠1件 ","")&amp;IF(AP317&lt;&gt;"","同名あり ","")&amp;IF(AND(NOT(ISNUMBER(I317)),I317&lt;&gt;""),"回数を換算 ","")))</f>
        <v/>
      </c>
      <c r="Y317" s="31" t="n"/>
      <c r="Z317" s="32" t="n"/>
      <c r="AA317" s="32" t="n"/>
      <c r="AB317" s="31" t="n"/>
      <c r="AC317">
        <f>IF(W317&lt;&gt;"OK","",IF(AB317&lt;&gt;"",AB317,AE317))</f>
        <v/>
      </c>
      <c r="AD317" s="33">
        <f>IF(W317&lt;&gt;"OK","",IFERROR(IF(Z317&lt;&gt;"",Z317,AM317)*IF(AA317&lt;&gt;"",AA317,AN317)/60,""))</f>
        <v/>
      </c>
      <c r="AE317">
        <f>IF(W317&lt;&gt;"OK","",IF(OR(VALUE(O317)=2,VALUE(P317)=2,VALUE(Q317)=2),"社内残置",IF(AND(VALUE(O317)=0,VALUE(R317)=0,VALUE(T317)=0),"自動化候補",IF(AND(VALUE(P317)=0,VALUE(R317)&lt;=1,VALUE(S317)&lt;=1,VALUE(T317)&lt;=1,VALUE(U317)&lt;=1),"オフショア候補",IF(AND(VALUE(T317)&lt;=1,VALUE(U317)&lt;=1),"ニアショア候補","社内で手順化→再評価")))))</f>
        <v/>
      </c>
      <c r="AF317">
        <f>IF(W317&lt;&gt;"OK","",14-SUMPRODUCT(--O317:U317))</f>
        <v/>
      </c>
      <c r="AG317" s="33">
        <f>IF(W317&lt;&gt;"OK","",AM317*AN317/60)</f>
        <v/>
      </c>
      <c r="AH317" s="34">
        <f>IF(A317="","",UPPER(TRIM(ASC(A317&amp;""))))</f>
        <v/>
      </c>
      <c r="AI317" s="34">
        <f>IF(AH317="","",AH317&amp;"-"&amp;B317)</f>
        <v/>
      </c>
      <c r="AJ317" s="34">
        <f>IF(C317="","",IFERROR(VALUE(ASC(SUBSTITUTE(C317&amp;"","観点",""))),""))</f>
        <v/>
      </c>
      <c r="AK317" s="34">
        <f>IF(E317="","",UPPER(LEFT(TRIM(ASC(E317&amp;"")),3)))</f>
        <v/>
      </c>
      <c r="AL317" s="34">
        <f>IF(I317="","",IFERROR(VALUE(SUBSTITUTE(SUBSTITUTE(SUBSTITUTE(SUBSTITUTE(SUBSTITUTE(SUBSTITUTE(SUBSTITUTE(SUBSTITUTE(SUBSTITUTE(SUBSTITUTE(SUBSTITUTE(SUBSTITUTE(ASC(I317&amp;""),"約",""),"程度",""),"ほど",""),"回",""),"毎",""),"週",""),"月",""),"年",""),"日",""),"に",""),"/","")," ","")),""))</f>
        <v/>
      </c>
      <c r="AM317" s="34">
        <f>IF(I317="","",IF(ISNUMBER(I317),I317,IFERROR(VALUE(ASC(I317&amp;"")),IF(AL317&lt;&gt;"",AL317*IF(ISNUMBER(SEARCH("週",I317)),4.3,IF(ISNUMBER(SEARCH("年",I317)),1/12,IF(ISNUMBER(SEARCH("日",I317)),20,1))),IF(ISNUMBER(SEARCH("日",I317)),20,IF(ISNUMBER(SEARCH("週",I317)),4.3,IF(ISNUMBER(SEARCH("月",I317)),1,"")))))))</f>
        <v/>
      </c>
      <c r="AN317" s="34">
        <f>IF(J317="","",IF(ISNUMBER(J317),J317,IFERROR(VALUE(ASC(J317&amp;"")),IF(ISNUMBER(SEARCH("時間",J317)),IFERROR(VALUE(SUBSTITUTE(SUBSTITUTE(SUBSTITUTE(SUBSTITUTE(SUBSTITUTE(ASC(J317&amp;""),"約",""),"程度",""),"ほど",""),"時間","")," ",""))*60,""),IFERROR(VALUE(SUBSTITUTE(SUBSTITUTE(SUBSTITUTE(SUBSTITUTE(SUBSTITUTE(ASC(J317&amp;""),"約",""),"程度",""),"ほど",""),"分","")," ","")),"")))))</f>
        <v/>
      </c>
      <c r="AO317" s="34">
        <f>IF(K317="","",IF(ISNUMBER(K317),K317,IFERROR(VALUE(SUBSTITUTE(SUBSTITUTE(SUBSTITUTE(ASC(K317&amp;""),"約",""),"件","")," ","")),"")))</f>
        <v/>
      </c>
      <c r="AP317" s="34">
        <f>IF(W317&lt;&gt;"OK","",IF(COUNTIFS($D$5:$D$404,D317,$W$5:$W$404,"OK")&gt;1,"同名あり",""))</f>
        <v/>
      </c>
      <c r="AQ317" s="35">
        <f>IF(L317="","",IF(ISNUMBER(L317),L317,IFERROR(DATEVALUE(SUBSTITUTE(SUBSTITUTE(ASC(L317&amp;""),"-","/"),".","/")&amp;"/01"),"")))</f>
        <v/>
      </c>
      <c r="AR317" s="35">
        <f>IF(M317="","",IF(ISNUMBER(M317),M317,IFERROR(DATEVALUE(SUBSTITUTE(SUBSTITUTE(ASC(M317&amp;""),"-","/"),".","/")&amp;"/01"),"")))</f>
        <v/>
      </c>
      <c r="AS317" s="34">
        <f>IF(OR(W317&lt;&gt;"OK",AQ317=""),"",IF(AQ317&gt;='01_設定'!$C$26,1,0))</f>
        <v/>
      </c>
      <c r="AT317" s="34">
        <f>IF(AND(W317="OK",Y317&lt;&gt;"除外"),COUNTIFS($W$5:W317,"OK",$Y$5:Y317,"&lt;&gt;除外"),"")</f>
        <v/>
      </c>
      <c r="AU317" s="34">
        <f>IF(OR(AT317="",AD317=""),"",AD317+ROW()/1000000000)</f>
        <v/>
      </c>
    </row>
    <row r="318">
      <c r="W318">
        <f>IF(AND(A318="",D318=""),"",IF(ISNUMBER(SEARCH("##END",AH318)),"（終わりの印）",IF(ISNUMBER(SEARCH("##続き",AH318)),"（続きありの印）",IF(AH318="調査ID","（見出し行）",IF(AND(AH318&lt;&gt;"R1",AH318&lt;&gt;"R2"),"×表以外の行（集計されない）",IF(COUNTIF($AI$5:AI318,AI318)&gt;1,"△重複（集計されない）",IF(D318="","△タスク名なし",IF(ISNA(MATCH(AK318,'M1_類型マスタ'!$A$5:$A$19,0)),"△類型が不正",IF(OR(AM318="",AN318=""),"△回数・分が読めない",IF(SUMPRODUCT(--ISNUMBER(--O318:U318))&lt;7,"△採点が足りない",IF(SUMPRODUCT((--O318:U318&gt;2)+(--O318:U318&lt;0))&gt;0,"△採点が範囲外","OK")))))))))))</f>
        <v/>
      </c>
      <c r="X318">
        <f>IF(W318&lt;&gt;"OK","",TRIM(IF(AND(AO318&lt;&gt;"",N(AO318)&lt;=1),"根拠1件 ","")&amp;IF(AP318&lt;&gt;"","同名あり ","")&amp;IF(AND(NOT(ISNUMBER(I318)),I318&lt;&gt;""),"回数を換算 ","")))</f>
        <v/>
      </c>
      <c r="Y318" s="31" t="n"/>
      <c r="Z318" s="32" t="n"/>
      <c r="AA318" s="32" t="n"/>
      <c r="AB318" s="31" t="n"/>
      <c r="AC318">
        <f>IF(W318&lt;&gt;"OK","",IF(AB318&lt;&gt;"",AB318,AE318))</f>
        <v/>
      </c>
      <c r="AD318" s="33">
        <f>IF(W318&lt;&gt;"OK","",IFERROR(IF(Z318&lt;&gt;"",Z318,AM318)*IF(AA318&lt;&gt;"",AA318,AN318)/60,""))</f>
        <v/>
      </c>
      <c r="AE318">
        <f>IF(W318&lt;&gt;"OK","",IF(OR(VALUE(O318)=2,VALUE(P318)=2,VALUE(Q318)=2),"社内残置",IF(AND(VALUE(O318)=0,VALUE(R318)=0,VALUE(T318)=0),"自動化候補",IF(AND(VALUE(P318)=0,VALUE(R318)&lt;=1,VALUE(S318)&lt;=1,VALUE(T318)&lt;=1,VALUE(U318)&lt;=1),"オフショア候補",IF(AND(VALUE(T318)&lt;=1,VALUE(U318)&lt;=1),"ニアショア候補","社内で手順化→再評価")))))</f>
        <v/>
      </c>
      <c r="AF318">
        <f>IF(W318&lt;&gt;"OK","",14-SUMPRODUCT(--O318:U318))</f>
        <v/>
      </c>
      <c r="AG318" s="33">
        <f>IF(W318&lt;&gt;"OK","",AM318*AN318/60)</f>
        <v/>
      </c>
      <c r="AH318" s="34">
        <f>IF(A318="","",UPPER(TRIM(ASC(A318&amp;""))))</f>
        <v/>
      </c>
      <c r="AI318" s="34">
        <f>IF(AH318="","",AH318&amp;"-"&amp;B318)</f>
        <v/>
      </c>
      <c r="AJ318" s="34">
        <f>IF(C318="","",IFERROR(VALUE(ASC(SUBSTITUTE(C318&amp;"","観点",""))),""))</f>
        <v/>
      </c>
      <c r="AK318" s="34">
        <f>IF(E318="","",UPPER(LEFT(TRIM(ASC(E318&amp;"")),3)))</f>
        <v/>
      </c>
      <c r="AL318" s="34">
        <f>IF(I318="","",IFERROR(VALUE(SUBSTITUTE(SUBSTITUTE(SUBSTITUTE(SUBSTITUTE(SUBSTITUTE(SUBSTITUTE(SUBSTITUTE(SUBSTITUTE(SUBSTITUTE(SUBSTITUTE(SUBSTITUTE(SUBSTITUTE(ASC(I318&amp;""),"約",""),"程度",""),"ほど",""),"回",""),"毎",""),"週",""),"月",""),"年",""),"日",""),"に",""),"/","")," ","")),""))</f>
        <v/>
      </c>
      <c r="AM318" s="34">
        <f>IF(I318="","",IF(ISNUMBER(I318),I318,IFERROR(VALUE(ASC(I318&amp;"")),IF(AL318&lt;&gt;"",AL318*IF(ISNUMBER(SEARCH("週",I318)),4.3,IF(ISNUMBER(SEARCH("年",I318)),1/12,IF(ISNUMBER(SEARCH("日",I318)),20,1))),IF(ISNUMBER(SEARCH("日",I318)),20,IF(ISNUMBER(SEARCH("週",I318)),4.3,IF(ISNUMBER(SEARCH("月",I318)),1,"")))))))</f>
        <v/>
      </c>
      <c r="AN318" s="34">
        <f>IF(J318="","",IF(ISNUMBER(J318),J318,IFERROR(VALUE(ASC(J318&amp;"")),IF(ISNUMBER(SEARCH("時間",J318)),IFERROR(VALUE(SUBSTITUTE(SUBSTITUTE(SUBSTITUTE(SUBSTITUTE(SUBSTITUTE(ASC(J318&amp;""),"約",""),"程度",""),"ほど",""),"時間","")," ",""))*60,""),IFERROR(VALUE(SUBSTITUTE(SUBSTITUTE(SUBSTITUTE(SUBSTITUTE(SUBSTITUTE(ASC(J318&amp;""),"約",""),"程度",""),"ほど",""),"分","")," ","")),"")))))</f>
        <v/>
      </c>
      <c r="AO318" s="34">
        <f>IF(K318="","",IF(ISNUMBER(K318),K318,IFERROR(VALUE(SUBSTITUTE(SUBSTITUTE(SUBSTITUTE(ASC(K318&amp;""),"約",""),"件","")," ","")),"")))</f>
        <v/>
      </c>
      <c r="AP318" s="34">
        <f>IF(W318&lt;&gt;"OK","",IF(COUNTIFS($D$5:$D$404,D318,$W$5:$W$404,"OK")&gt;1,"同名あり",""))</f>
        <v/>
      </c>
      <c r="AQ318" s="35">
        <f>IF(L318="","",IF(ISNUMBER(L318),L318,IFERROR(DATEVALUE(SUBSTITUTE(SUBSTITUTE(ASC(L318&amp;""),"-","/"),".","/")&amp;"/01"),"")))</f>
        <v/>
      </c>
      <c r="AR318" s="35">
        <f>IF(M318="","",IF(ISNUMBER(M318),M318,IFERROR(DATEVALUE(SUBSTITUTE(SUBSTITUTE(ASC(M318&amp;""),"-","/"),".","/")&amp;"/01"),"")))</f>
        <v/>
      </c>
      <c r="AS318" s="34">
        <f>IF(OR(W318&lt;&gt;"OK",AQ318=""),"",IF(AQ318&gt;='01_設定'!$C$26,1,0))</f>
        <v/>
      </c>
      <c r="AT318" s="34">
        <f>IF(AND(W318="OK",Y318&lt;&gt;"除外"),COUNTIFS($W$5:W318,"OK",$Y$5:Y318,"&lt;&gt;除外"),"")</f>
        <v/>
      </c>
      <c r="AU318" s="34">
        <f>IF(OR(AT318="",AD318=""),"",AD318+ROW()/1000000000)</f>
        <v/>
      </c>
    </row>
    <row r="319">
      <c r="W319">
        <f>IF(AND(A319="",D319=""),"",IF(ISNUMBER(SEARCH("##END",AH319)),"（終わりの印）",IF(ISNUMBER(SEARCH("##続き",AH319)),"（続きありの印）",IF(AH319="調査ID","（見出し行）",IF(AND(AH319&lt;&gt;"R1",AH319&lt;&gt;"R2"),"×表以外の行（集計されない）",IF(COUNTIF($AI$5:AI319,AI319)&gt;1,"△重複（集計されない）",IF(D319="","△タスク名なし",IF(ISNA(MATCH(AK319,'M1_類型マスタ'!$A$5:$A$19,0)),"△類型が不正",IF(OR(AM319="",AN319=""),"△回数・分が読めない",IF(SUMPRODUCT(--ISNUMBER(--O319:U319))&lt;7,"△採点が足りない",IF(SUMPRODUCT((--O319:U319&gt;2)+(--O319:U319&lt;0))&gt;0,"△採点が範囲外","OK")))))))))))</f>
        <v/>
      </c>
      <c r="X319">
        <f>IF(W319&lt;&gt;"OK","",TRIM(IF(AND(AO319&lt;&gt;"",N(AO319)&lt;=1),"根拠1件 ","")&amp;IF(AP319&lt;&gt;"","同名あり ","")&amp;IF(AND(NOT(ISNUMBER(I319)),I319&lt;&gt;""),"回数を換算 ","")))</f>
        <v/>
      </c>
      <c r="Y319" s="31" t="n"/>
      <c r="Z319" s="32" t="n"/>
      <c r="AA319" s="32" t="n"/>
      <c r="AB319" s="31" t="n"/>
      <c r="AC319">
        <f>IF(W319&lt;&gt;"OK","",IF(AB319&lt;&gt;"",AB319,AE319))</f>
        <v/>
      </c>
      <c r="AD319" s="33">
        <f>IF(W319&lt;&gt;"OK","",IFERROR(IF(Z319&lt;&gt;"",Z319,AM319)*IF(AA319&lt;&gt;"",AA319,AN319)/60,""))</f>
        <v/>
      </c>
      <c r="AE319">
        <f>IF(W319&lt;&gt;"OK","",IF(OR(VALUE(O319)=2,VALUE(P319)=2,VALUE(Q319)=2),"社内残置",IF(AND(VALUE(O319)=0,VALUE(R319)=0,VALUE(T319)=0),"自動化候補",IF(AND(VALUE(P319)=0,VALUE(R319)&lt;=1,VALUE(S319)&lt;=1,VALUE(T319)&lt;=1,VALUE(U319)&lt;=1),"オフショア候補",IF(AND(VALUE(T319)&lt;=1,VALUE(U319)&lt;=1),"ニアショア候補","社内で手順化→再評価")))))</f>
        <v/>
      </c>
      <c r="AF319">
        <f>IF(W319&lt;&gt;"OK","",14-SUMPRODUCT(--O319:U319))</f>
        <v/>
      </c>
      <c r="AG319" s="33">
        <f>IF(W319&lt;&gt;"OK","",AM319*AN319/60)</f>
        <v/>
      </c>
      <c r="AH319" s="34">
        <f>IF(A319="","",UPPER(TRIM(ASC(A319&amp;""))))</f>
        <v/>
      </c>
      <c r="AI319" s="34">
        <f>IF(AH319="","",AH319&amp;"-"&amp;B319)</f>
        <v/>
      </c>
      <c r="AJ319" s="34">
        <f>IF(C319="","",IFERROR(VALUE(ASC(SUBSTITUTE(C319&amp;"","観点",""))),""))</f>
        <v/>
      </c>
      <c r="AK319" s="34">
        <f>IF(E319="","",UPPER(LEFT(TRIM(ASC(E319&amp;"")),3)))</f>
        <v/>
      </c>
      <c r="AL319" s="34">
        <f>IF(I319="","",IFERROR(VALUE(SUBSTITUTE(SUBSTITUTE(SUBSTITUTE(SUBSTITUTE(SUBSTITUTE(SUBSTITUTE(SUBSTITUTE(SUBSTITUTE(SUBSTITUTE(SUBSTITUTE(SUBSTITUTE(SUBSTITUTE(ASC(I319&amp;""),"約",""),"程度",""),"ほど",""),"回",""),"毎",""),"週",""),"月",""),"年",""),"日",""),"に",""),"/","")," ","")),""))</f>
        <v/>
      </c>
      <c r="AM319" s="34">
        <f>IF(I319="","",IF(ISNUMBER(I319),I319,IFERROR(VALUE(ASC(I319&amp;"")),IF(AL319&lt;&gt;"",AL319*IF(ISNUMBER(SEARCH("週",I319)),4.3,IF(ISNUMBER(SEARCH("年",I319)),1/12,IF(ISNUMBER(SEARCH("日",I319)),20,1))),IF(ISNUMBER(SEARCH("日",I319)),20,IF(ISNUMBER(SEARCH("週",I319)),4.3,IF(ISNUMBER(SEARCH("月",I319)),1,"")))))))</f>
        <v/>
      </c>
      <c r="AN319" s="34">
        <f>IF(J319="","",IF(ISNUMBER(J319),J319,IFERROR(VALUE(ASC(J319&amp;"")),IF(ISNUMBER(SEARCH("時間",J319)),IFERROR(VALUE(SUBSTITUTE(SUBSTITUTE(SUBSTITUTE(SUBSTITUTE(SUBSTITUTE(ASC(J319&amp;""),"約",""),"程度",""),"ほど",""),"時間","")," ",""))*60,""),IFERROR(VALUE(SUBSTITUTE(SUBSTITUTE(SUBSTITUTE(SUBSTITUTE(SUBSTITUTE(ASC(J319&amp;""),"約",""),"程度",""),"ほど",""),"分","")," ","")),"")))))</f>
        <v/>
      </c>
      <c r="AO319" s="34">
        <f>IF(K319="","",IF(ISNUMBER(K319),K319,IFERROR(VALUE(SUBSTITUTE(SUBSTITUTE(SUBSTITUTE(ASC(K319&amp;""),"約",""),"件","")," ","")),"")))</f>
        <v/>
      </c>
      <c r="AP319" s="34">
        <f>IF(W319&lt;&gt;"OK","",IF(COUNTIFS($D$5:$D$404,D319,$W$5:$W$404,"OK")&gt;1,"同名あり",""))</f>
        <v/>
      </c>
      <c r="AQ319" s="35">
        <f>IF(L319="","",IF(ISNUMBER(L319),L319,IFERROR(DATEVALUE(SUBSTITUTE(SUBSTITUTE(ASC(L319&amp;""),"-","/"),".","/")&amp;"/01"),"")))</f>
        <v/>
      </c>
      <c r="AR319" s="35">
        <f>IF(M319="","",IF(ISNUMBER(M319),M319,IFERROR(DATEVALUE(SUBSTITUTE(SUBSTITUTE(ASC(M319&amp;""),"-","/"),".","/")&amp;"/01"),"")))</f>
        <v/>
      </c>
      <c r="AS319" s="34">
        <f>IF(OR(W319&lt;&gt;"OK",AQ319=""),"",IF(AQ319&gt;='01_設定'!$C$26,1,0))</f>
        <v/>
      </c>
      <c r="AT319" s="34">
        <f>IF(AND(W319="OK",Y319&lt;&gt;"除外"),COUNTIFS($W$5:W319,"OK",$Y$5:Y319,"&lt;&gt;除外"),"")</f>
        <v/>
      </c>
      <c r="AU319" s="34">
        <f>IF(OR(AT319="",AD319=""),"",AD319+ROW()/1000000000)</f>
        <v/>
      </c>
    </row>
    <row r="320">
      <c r="W320">
        <f>IF(AND(A320="",D320=""),"",IF(ISNUMBER(SEARCH("##END",AH320)),"（終わりの印）",IF(ISNUMBER(SEARCH("##続き",AH320)),"（続きありの印）",IF(AH320="調査ID","（見出し行）",IF(AND(AH320&lt;&gt;"R1",AH320&lt;&gt;"R2"),"×表以外の行（集計されない）",IF(COUNTIF($AI$5:AI320,AI320)&gt;1,"△重複（集計されない）",IF(D320="","△タスク名なし",IF(ISNA(MATCH(AK320,'M1_類型マスタ'!$A$5:$A$19,0)),"△類型が不正",IF(OR(AM320="",AN320=""),"△回数・分が読めない",IF(SUMPRODUCT(--ISNUMBER(--O320:U320))&lt;7,"△採点が足りない",IF(SUMPRODUCT((--O320:U320&gt;2)+(--O320:U320&lt;0))&gt;0,"△採点が範囲外","OK")))))))))))</f>
        <v/>
      </c>
      <c r="X320">
        <f>IF(W320&lt;&gt;"OK","",TRIM(IF(AND(AO320&lt;&gt;"",N(AO320)&lt;=1),"根拠1件 ","")&amp;IF(AP320&lt;&gt;"","同名あり ","")&amp;IF(AND(NOT(ISNUMBER(I320)),I320&lt;&gt;""),"回数を換算 ","")))</f>
        <v/>
      </c>
      <c r="Y320" s="31" t="n"/>
      <c r="Z320" s="32" t="n"/>
      <c r="AA320" s="32" t="n"/>
      <c r="AB320" s="31" t="n"/>
      <c r="AC320">
        <f>IF(W320&lt;&gt;"OK","",IF(AB320&lt;&gt;"",AB320,AE320))</f>
        <v/>
      </c>
      <c r="AD320" s="33">
        <f>IF(W320&lt;&gt;"OK","",IFERROR(IF(Z320&lt;&gt;"",Z320,AM320)*IF(AA320&lt;&gt;"",AA320,AN320)/60,""))</f>
        <v/>
      </c>
      <c r="AE320">
        <f>IF(W320&lt;&gt;"OK","",IF(OR(VALUE(O320)=2,VALUE(P320)=2,VALUE(Q320)=2),"社内残置",IF(AND(VALUE(O320)=0,VALUE(R320)=0,VALUE(T320)=0),"自動化候補",IF(AND(VALUE(P320)=0,VALUE(R320)&lt;=1,VALUE(S320)&lt;=1,VALUE(T320)&lt;=1,VALUE(U320)&lt;=1),"オフショア候補",IF(AND(VALUE(T320)&lt;=1,VALUE(U320)&lt;=1),"ニアショア候補","社内で手順化→再評価")))))</f>
        <v/>
      </c>
      <c r="AF320">
        <f>IF(W320&lt;&gt;"OK","",14-SUMPRODUCT(--O320:U320))</f>
        <v/>
      </c>
      <c r="AG320" s="33">
        <f>IF(W320&lt;&gt;"OK","",AM320*AN320/60)</f>
        <v/>
      </c>
      <c r="AH320" s="34">
        <f>IF(A320="","",UPPER(TRIM(ASC(A320&amp;""))))</f>
        <v/>
      </c>
      <c r="AI320" s="34">
        <f>IF(AH320="","",AH320&amp;"-"&amp;B320)</f>
        <v/>
      </c>
      <c r="AJ320" s="34">
        <f>IF(C320="","",IFERROR(VALUE(ASC(SUBSTITUTE(C320&amp;"","観点",""))),""))</f>
        <v/>
      </c>
      <c r="AK320" s="34">
        <f>IF(E320="","",UPPER(LEFT(TRIM(ASC(E320&amp;"")),3)))</f>
        <v/>
      </c>
      <c r="AL320" s="34">
        <f>IF(I320="","",IFERROR(VALUE(SUBSTITUTE(SUBSTITUTE(SUBSTITUTE(SUBSTITUTE(SUBSTITUTE(SUBSTITUTE(SUBSTITUTE(SUBSTITUTE(SUBSTITUTE(SUBSTITUTE(SUBSTITUTE(SUBSTITUTE(ASC(I320&amp;""),"約",""),"程度",""),"ほど",""),"回",""),"毎",""),"週",""),"月",""),"年",""),"日",""),"に",""),"/","")," ","")),""))</f>
        <v/>
      </c>
      <c r="AM320" s="34">
        <f>IF(I320="","",IF(ISNUMBER(I320),I320,IFERROR(VALUE(ASC(I320&amp;"")),IF(AL320&lt;&gt;"",AL320*IF(ISNUMBER(SEARCH("週",I320)),4.3,IF(ISNUMBER(SEARCH("年",I320)),1/12,IF(ISNUMBER(SEARCH("日",I320)),20,1))),IF(ISNUMBER(SEARCH("日",I320)),20,IF(ISNUMBER(SEARCH("週",I320)),4.3,IF(ISNUMBER(SEARCH("月",I320)),1,"")))))))</f>
        <v/>
      </c>
      <c r="AN320" s="34">
        <f>IF(J320="","",IF(ISNUMBER(J320),J320,IFERROR(VALUE(ASC(J320&amp;"")),IF(ISNUMBER(SEARCH("時間",J320)),IFERROR(VALUE(SUBSTITUTE(SUBSTITUTE(SUBSTITUTE(SUBSTITUTE(SUBSTITUTE(ASC(J320&amp;""),"約",""),"程度",""),"ほど",""),"時間","")," ",""))*60,""),IFERROR(VALUE(SUBSTITUTE(SUBSTITUTE(SUBSTITUTE(SUBSTITUTE(SUBSTITUTE(ASC(J320&amp;""),"約",""),"程度",""),"ほど",""),"分","")," ","")),"")))))</f>
        <v/>
      </c>
      <c r="AO320" s="34">
        <f>IF(K320="","",IF(ISNUMBER(K320),K320,IFERROR(VALUE(SUBSTITUTE(SUBSTITUTE(SUBSTITUTE(ASC(K320&amp;""),"約",""),"件","")," ","")),"")))</f>
        <v/>
      </c>
      <c r="AP320" s="34">
        <f>IF(W320&lt;&gt;"OK","",IF(COUNTIFS($D$5:$D$404,D320,$W$5:$W$404,"OK")&gt;1,"同名あり",""))</f>
        <v/>
      </c>
      <c r="AQ320" s="35">
        <f>IF(L320="","",IF(ISNUMBER(L320),L320,IFERROR(DATEVALUE(SUBSTITUTE(SUBSTITUTE(ASC(L320&amp;""),"-","/"),".","/")&amp;"/01"),"")))</f>
        <v/>
      </c>
      <c r="AR320" s="35">
        <f>IF(M320="","",IF(ISNUMBER(M320),M320,IFERROR(DATEVALUE(SUBSTITUTE(SUBSTITUTE(ASC(M320&amp;""),"-","/"),".","/")&amp;"/01"),"")))</f>
        <v/>
      </c>
      <c r="AS320" s="34">
        <f>IF(OR(W320&lt;&gt;"OK",AQ320=""),"",IF(AQ320&gt;='01_設定'!$C$26,1,0))</f>
        <v/>
      </c>
      <c r="AT320" s="34">
        <f>IF(AND(W320="OK",Y320&lt;&gt;"除外"),COUNTIFS($W$5:W320,"OK",$Y$5:Y320,"&lt;&gt;除外"),"")</f>
        <v/>
      </c>
      <c r="AU320" s="34">
        <f>IF(OR(AT320="",AD320=""),"",AD320+ROW()/1000000000)</f>
        <v/>
      </c>
    </row>
    <row r="321">
      <c r="W321">
        <f>IF(AND(A321="",D321=""),"",IF(ISNUMBER(SEARCH("##END",AH321)),"（終わりの印）",IF(ISNUMBER(SEARCH("##続き",AH321)),"（続きありの印）",IF(AH321="調査ID","（見出し行）",IF(AND(AH321&lt;&gt;"R1",AH321&lt;&gt;"R2"),"×表以外の行（集計されない）",IF(COUNTIF($AI$5:AI321,AI321)&gt;1,"△重複（集計されない）",IF(D321="","△タスク名なし",IF(ISNA(MATCH(AK321,'M1_類型マスタ'!$A$5:$A$19,0)),"△類型が不正",IF(OR(AM321="",AN321=""),"△回数・分が読めない",IF(SUMPRODUCT(--ISNUMBER(--O321:U321))&lt;7,"△採点が足りない",IF(SUMPRODUCT((--O321:U321&gt;2)+(--O321:U321&lt;0))&gt;0,"△採点が範囲外","OK")))))))))))</f>
        <v/>
      </c>
      <c r="X321">
        <f>IF(W321&lt;&gt;"OK","",TRIM(IF(AND(AO321&lt;&gt;"",N(AO321)&lt;=1),"根拠1件 ","")&amp;IF(AP321&lt;&gt;"","同名あり ","")&amp;IF(AND(NOT(ISNUMBER(I321)),I321&lt;&gt;""),"回数を換算 ","")))</f>
        <v/>
      </c>
      <c r="Y321" s="31" t="n"/>
      <c r="Z321" s="32" t="n"/>
      <c r="AA321" s="32" t="n"/>
      <c r="AB321" s="31" t="n"/>
      <c r="AC321">
        <f>IF(W321&lt;&gt;"OK","",IF(AB321&lt;&gt;"",AB321,AE321))</f>
        <v/>
      </c>
      <c r="AD321" s="33">
        <f>IF(W321&lt;&gt;"OK","",IFERROR(IF(Z321&lt;&gt;"",Z321,AM321)*IF(AA321&lt;&gt;"",AA321,AN321)/60,""))</f>
        <v/>
      </c>
      <c r="AE321">
        <f>IF(W321&lt;&gt;"OK","",IF(OR(VALUE(O321)=2,VALUE(P321)=2,VALUE(Q321)=2),"社内残置",IF(AND(VALUE(O321)=0,VALUE(R321)=0,VALUE(T321)=0),"自動化候補",IF(AND(VALUE(P321)=0,VALUE(R321)&lt;=1,VALUE(S321)&lt;=1,VALUE(T321)&lt;=1,VALUE(U321)&lt;=1),"オフショア候補",IF(AND(VALUE(T321)&lt;=1,VALUE(U321)&lt;=1),"ニアショア候補","社内で手順化→再評価")))))</f>
        <v/>
      </c>
      <c r="AF321">
        <f>IF(W321&lt;&gt;"OK","",14-SUMPRODUCT(--O321:U321))</f>
        <v/>
      </c>
      <c r="AG321" s="33">
        <f>IF(W321&lt;&gt;"OK","",AM321*AN321/60)</f>
        <v/>
      </c>
      <c r="AH321" s="34">
        <f>IF(A321="","",UPPER(TRIM(ASC(A321&amp;""))))</f>
        <v/>
      </c>
      <c r="AI321" s="34">
        <f>IF(AH321="","",AH321&amp;"-"&amp;B321)</f>
        <v/>
      </c>
      <c r="AJ321" s="34">
        <f>IF(C321="","",IFERROR(VALUE(ASC(SUBSTITUTE(C321&amp;"","観点",""))),""))</f>
        <v/>
      </c>
      <c r="AK321" s="34">
        <f>IF(E321="","",UPPER(LEFT(TRIM(ASC(E321&amp;"")),3)))</f>
        <v/>
      </c>
      <c r="AL321" s="34">
        <f>IF(I321="","",IFERROR(VALUE(SUBSTITUTE(SUBSTITUTE(SUBSTITUTE(SUBSTITUTE(SUBSTITUTE(SUBSTITUTE(SUBSTITUTE(SUBSTITUTE(SUBSTITUTE(SUBSTITUTE(SUBSTITUTE(SUBSTITUTE(ASC(I321&amp;""),"約",""),"程度",""),"ほど",""),"回",""),"毎",""),"週",""),"月",""),"年",""),"日",""),"に",""),"/","")," ","")),""))</f>
        <v/>
      </c>
      <c r="AM321" s="34">
        <f>IF(I321="","",IF(ISNUMBER(I321),I321,IFERROR(VALUE(ASC(I321&amp;"")),IF(AL321&lt;&gt;"",AL321*IF(ISNUMBER(SEARCH("週",I321)),4.3,IF(ISNUMBER(SEARCH("年",I321)),1/12,IF(ISNUMBER(SEARCH("日",I321)),20,1))),IF(ISNUMBER(SEARCH("日",I321)),20,IF(ISNUMBER(SEARCH("週",I321)),4.3,IF(ISNUMBER(SEARCH("月",I321)),1,"")))))))</f>
        <v/>
      </c>
      <c r="AN321" s="34">
        <f>IF(J321="","",IF(ISNUMBER(J321),J321,IFERROR(VALUE(ASC(J321&amp;"")),IF(ISNUMBER(SEARCH("時間",J321)),IFERROR(VALUE(SUBSTITUTE(SUBSTITUTE(SUBSTITUTE(SUBSTITUTE(SUBSTITUTE(ASC(J321&amp;""),"約",""),"程度",""),"ほど",""),"時間","")," ",""))*60,""),IFERROR(VALUE(SUBSTITUTE(SUBSTITUTE(SUBSTITUTE(SUBSTITUTE(SUBSTITUTE(ASC(J321&amp;""),"約",""),"程度",""),"ほど",""),"分","")," ","")),"")))))</f>
        <v/>
      </c>
      <c r="AO321" s="34">
        <f>IF(K321="","",IF(ISNUMBER(K321),K321,IFERROR(VALUE(SUBSTITUTE(SUBSTITUTE(SUBSTITUTE(ASC(K321&amp;""),"約",""),"件","")," ","")),"")))</f>
        <v/>
      </c>
      <c r="AP321" s="34">
        <f>IF(W321&lt;&gt;"OK","",IF(COUNTIFS($D$5:$D$404,D321,$W$5:$W$404,"OK")&gt;1,"同名あり",""))</f>
        <v/>
      </c>
      <c r="AQ321" s="35">
        <f>IF(L321="","",IF(ISNUMBER(L321),L321,IFERROR(DATEVALUE(SUBSTITUTE(SUBSTITUTE(ASC(L321&amp;""),"-","/"),".","/")&amp;"/01"),"")))</f>
        <v/>
      </c>
      <c r="AR321" s="35">
        <f>IF(M321="","",IF(ISNUMBER(M321),M321,IFERROR(DATEVALUE(SUBSTITUTE(SUBSTITUTE(ASC(M321&amp;""),"-","/"),".","/")&amp;"/01"),"")))</f>
        <v/>
      </c>
      <c r="AS321" s="34">
        <f>IF(OR(W321&lt;&gt;"OK",AQ321=""),"",IF(AQ321&gt;='01_設定'!$C$26,1,0))</f>
        <v/>
      </c>
      <c r="AT321" s="34">
        <f>IF(AND(W321="OK",Y321&lt;&gt;"除外"),COUNTIFS($W$5:W321,"OK",$Y$5:Y321,"&lt;&gt;除外"),"")</f>
        <v/>
      </c>
      <c r="AU321" s="34">
        <f>IF(OR(AT321="",AD321=""),"",AD321+ROW()/1000000000)</f>
        <v/>
      </c>
    </row>
    <row r="322">
      <c r="W322">
        <f>IF(AND(A322="",D322=""),"",IF(ISNUMBER(SEARCH("##END",AH322)),"（終わりの印）",IF(ISNUMBER(SEARCH("##続き",AH322)),"（続きありの印）",IF(AH322="調査ID","（見出し行）",IF(AND(AH322&lt;&gt;"R1",AH322&lt;&gt;"R2"),"×表以外の行（集計されない）",IF(COUNTIF($AI$5:AI322,AI322)&gt;1,"△重複（集計されない）",IF(D322="","△タスク名なし",IF(ISNA(MATCH(AK322,'M1_類型マスタ'!$A$5:$A$19,0)),"△類型が不正",IF(OR(AM322="",AN322=""),"△回数・分が読めない",IF(SUMPRODUCT(--ISNUMBER(--O322:U322))&lt;7,"△採点が足りない",IF(SUMPRODUCT((--O322:U322&gt;2)+(--O322:U322&lt;0))&gt;0,"△採点が範囲外","OK")))))))))))</f>
        <v/>
      </c>
      <c r="X322">
        <f>IF(W322&lt;&gt;"OK","",TRIM(IF(AND(AO322&lt;&gt;"",N(AO322)&lt;=1),"根拠1件 ","")&amp;IF(AP322&lt;&gt;"","同名あり ","")&amp;IF(AND(NOT(ISNUMBER(I322)),I322&lt;&gt;""),"回数を換算 ","")))</f>
        <v/>
      </c>
      <c r="Y322" s="31" t="n"/>
      <c r="Z322" s="32" t="n"/>
      <c r="AA322" s="32" t="n"/>
      <c r="AB322" s="31" t="n"/>
      <c r="AC322">
        <f>IF(W322&lt;&gt;"OK","",IF(AB322&lt;&gt;"",AB322,AE322))</f>
        <v/>
      </c>
      <c r="AD322" s="33">
        <f>IF(W322&lt;&gt;"OK","",IFERROR(IF(Z322&lt;&gt;"",Z322,AM322)*IF(AA322&lt;&gt;"",AA322,AN322)/60,""))</f>
        <v/>
      </c>
      <c r="AE322">
        <f>IF(W322&lt;&gt;"OK","",IF(OR(VALUE(O322)=2,VALUE(P322)=2,VALUE(Q322)=2),"社内残置",IF(AND(VALUE(O322)=0,VALUE(R322)=0,VALUE(T322)=0),"自動化候補",IF(AND(VALUE(P322)=0,VALUE(R322)&lt;=1,VALUE(S322)&lt;=1,VALUE(T322)&lt;=1,VALUE(U322)&lt;=1),"オフショア候補",IF(AND(VALUE(T322)&lt;=1,VALUE(U322)&lt;=1),"ニアショア候補","社内で手順化→再評価")))))</f>
        <v/>
      </c>
      <c r="AF322">
        <f>IF(W322&lt;&gt;"OK","",14-SUMPRODUCT(--O322:U322))</f>
        <v/>
      </c>
      <c r="AG322" s="33">
        <f>IF(W322&lt;&gt;"OK","",AM322*AN322/60)</f>
        <v/>
      </c>
      <c r="AH322" s="34">
        <f>IF(A322="","",UPPER(TRIM(ASC(A322&amp;""))))</f>
        <v/>
      </c>
      <c r="AI322" s="34">
        <f>IF(AH322="","",AH322&amp;"-"&amp;B322)</f>
        <v/>
      </c>
      <c r="AJ322" s="34">
        <f>IF(C322="","",IFERROR(VALUE(ASC(SUBSTITUTE(C322&amp;"","観点",""))),""))</f>
        <v/>
      </c>
      <c r="AK322" s="34">
        <f>IF(E322="","",UPPER(LEFT(TRIM(ASC(E322&amp;"")),3)))</f>
        <v/>
      </c>
      <c r="AL322" s="34">
        <f>IF(I322="","",IFERROR(VALUE(SUBSTITUTE(SUBSTITUTE(SUBSTITUTE(SUBSTITUTE(SUBSTITUTE(SUBSTITUTE(SUBSTITUTE(SUBSTITUTE(SUBSTITUTE(SUBSTITUTE(SUBSTITUTE(SUBSTITUTE(ASC(I322&amp;""),"約",""),"程度",""),"ほど",""),"回",""),"毎",""),"週",""),"月",""),"年",""),"日",""),"に",""),"/","")," ","")),""))</f>
        <v/>
      </c>
      <c r="AM322" s="34">
        <f>IF(I322="","",IF(ISNUMBER(I322),I322,IFERROR(VALUE(ASC(I322&amp;"")),IF(AL322&lt;&gt;"",AL322*IF(ISNUMBER(SEARCH("週",I322)),4.3,IF(ISNUMBER(SEARCH("年",I322)),1/12,IF(ISNUMBER(SEARCH("日",I322)),20,1))),IF(ISNUMBER(SEARCH("日",I322)),20,IF(ISNUMBER(SEARCH("週",I322)),4.3,IF(ISNUMBER(SEARCH("月",I322)),1,"")))))))</f>
        <v/>
      </c>
      <c r="AN322" s="34">
        <f>IF(J322="","",IF(ISNUMBER(J322),J322,IFERROR(VALUE(ASC(J322&amp;"")),IF(ISNUMBER(SEARCH("時間",J322)),IFERROR(VALUE(SUBSTITUTE(SUBSTITUTE(SUBSTITUTE(SUBSTITUTE(SUBSTITUTE(ASC(J322&amp;""),"約",""),"程度",""),"ほど",""),"時間","")," ",""))*60,""),IFERROR(VALUE(SUBSTITUTE(SUBSTITUTE(SUBSTITUTE(SUBSTITUTE(SUBSTITUTE(ASC(J322&amp;""),"約",""),"程度",""),"ほど",""),"分","")," ","")),"")))))</f>
        <v/>
      </c>
      <c r="AO322" s="34">
        <f>IF(K322="","",IF(ISNUMBER(K322),K322,IFERROR(VALUE(SUBSTITUTE(SUBSTITUTE(SUBSTITUTE(ASC(K322&amp;""),"約",""),"件","")," ","")),"")))</f>
        <v/>
      </c>
      <c r="AP322" s="34">
        <f>IF(W322&lt;&gt;"OK","",IF(COUNTIFS($D$5:$D$404,D322,$W$5:$W$404,"OK")&gt;1,"同名あり",""))</f>
        <v/>
      </c>
      <c r="AQ322" s="35">
        <f>IF(L322="","",IF(ISNUMBER(L322),L322,IFERROR(DATEVALUE(SUBSTITUTE(SUBSTITUTE(ASC(L322&amp;""),"-","/"),".","/")&amp;"/01"),"")))</f>
        <v/>
      </c>
      <c r="AR322" s="35">
        <f>IF(M322="","",IF(ISNUMBER(M322),M322,IFERROR(DATEVALUE(SUBSTITUTE(SUBSTITUTE(ASC(M322&amp;""),"-","/"),".","/")&amp;"/01"),"")))</f>
        <v/>
      </c>
      <c r="AS322" s="34">
        <f>IF(OR(W322&lt;&gt;"OK",AQ322=""),"",IF(AQ322&gt;='01_設定'!$C$26,1,0))</f>
        <v/>
      </c>
      <c r="AT322" s="34">
        <f>IF(AND(W322="OK",Y322&lt;&gt;"除外"),COUNTIFS($W$5:W322,"OK",$Y$5:Y322,"&lt;&gt;除外"),"")</f>
        <v/>
      </c>
      <c r="AU322" s="34">
        <f>IF(OR(AT322="",AD322=""),"",AD322+ROW()/1000000000)</f>
        <v/>
      </c>
    </row>
    <row r="323">
      <c r="W323">
        <f>IF(AND(A323="",D323=""),"",IF(ISNUMBER(SEARCH("##END",AH323)),"（終わりの印）",IF(ISNUMBER(SEARCH("##続き",AH323)),"（続きありの印）",IF(AH323="調査ID","（見出し行）",IF(AND(AH323&lt;&gt;"R1",AH323&lt;&gt;"R2"),"×表以外の行（集計されない）",IF(COUNTIF($AI$5:AI323,AI323)&gt;1,"△重複（集計されない）",IF(D323="","△タスク名なし",IF(ISNA(MATCH(AK323,'M1_類型マスタ'!$A$5:$A$19,0)),"△類型が不正",IF(OR(AM323="",AN323=""),"△回数・分が読めない",IF(SUMPRODUCT(--ISNUMBER(--O323:U323))&lt;7,"△採点が足りない",IF(SUMPRODUCT((--O323:U323&gt;2)+(--O323:U323&lt;0))&gt;0,"△採点が範囲外","OK")))))))))))</f>
        <v/>
      </c>
      <c r="X323">
        <f>IF(W323&lt;&gt;"OK","",TRIM(IF(AND(AO323&lt;&gt;"",N(AO323)&lt;=1),"根拠1件 ","")&amp;IF(AP323&lt;&gt;"","同名あり ","")&amp;IF(AND(NOT(ISNUMBER(I323)),I323&lt;&gt;""),"回数を換算 ","")))</f>
        <v/>
      </c>
      <c r="Y323" s="31" t="n"/>
      <c r="Z323" s="32" t="n"/>
      <c r="AA323" s="32" t="n"/>
      <c r="AB323" s="31" t="n"/>
      <c r="AC323">
        <f>IF(W323&lt;&gt;"OK","",IF(AB323&lt;&gt;"",AB323,AE323))</f>
        <v/>
      </c>
      <c r="AD323" s="33">
        <f>IF(W323&lt;&gt;"OK","",IFERROR(IF(Z323&lt;&gt;"",Z323,AM323)*IF(AA323&lt;&gt;"",AA323,AN323)/60,""))</f>
        <v/>
      </c>
      <c r="AE323">
        <f>IF(W323&lt;&gt;"OK","",IF(OR(VALUE(O323)=2,VALUE(P323)=2,VALUE(Q323)=2),"社内残置",IF(AND(VALUE(O323)=0,VALUE(R323)=0,VALUE(T323)=0),"自動化候補",IF(AND(VALUE(P323)=0,VALUE(R323)&lt;=1,VALUE(S323)&lt;=1,VALUE(T323)&lt;=1,VALUE(U323)&lt;=1),"オフショア候補",IF(AND(VALUE(T323)&lt;=1,VALUE(U323)&lt;=1),"ニアショア候補","社内で手順化→再評価")))))</f>
        <v/>
      </c>
      <c r="AF323">
        <f>IF(W323&lt;&gt;"OK","",14-SUMPRODUCT(--O323:U323))</f>
        <v/>
      </c>
      <c r="AG323" s="33">
        <f>IF(W323&lt;&gt;"OK","",AM323*AN323/60)</f>
        <v/>
      </c>
      <c r="AH323" s="34">
        <f>IF(A323="","",UPPER(TRIM(ASC(A323&amp;""))))</f>
        <v/>
      </c>
      <c r="AI323" s="34">
        <f>IF(AH323="","",AH323&amp;"-"&amp;B323)</f>
        <v/>
      </c>
      <c r="AJ323" s="34">
        <f>IF(C323="","",IFERROR(VALUE(ASC(SUBSTITUTE(C323&amp;"","観点",""))),""))</f>
        <v/>
      </c>
      <c r="AK323" s="34">
        <f>IF(E323="","",UPPER(LEFT(TRIM(ASC(E323&amp;"")),3)))</f>
        <v/>
      </c>
      <c r="AL323" s="34">
        <f>IF(I323="","",IFERROR(VALUE(SUBSTITUTE(SUBSTITUTE(SUBSTITUTE(SUBSTITUTE(SUBSTITUTE(SUBSTITUTE(SUBSTITUTE(SUBSTITUTE(SUBSTITUTE(SUBSTITUTE(SUBSTITUTE(SUBSTITUTE(ASC(I323&amp;""),"約",""),"程度",""),"ほど",""),"回",""),"毎",""),"週",""),"月",""),"年",""),"日",""),"に",""),"/","")," ","")),""))</f>
        <v/>
      </c>
      <c r="AM323" s="34">
        <f>IF(I323="","",IF(ISNUMBER(I323),I323,IFERROR(VALUE(ASC(I323&amp;"")),IF(AL323&lt;&gt;"",AL323*IF(ISNUMBER(SEARCH("週",I323)),4.3,IF(ISNUMBER(SEARCH("年",I323)),1/12,IF(ISNUMBER(SEARCH("日",I323)),20,1))),IF(ISNUMBER(SEARCH("日",I323)),20,IF(ISNUMBER(SEARCH("週",I323)),4.3,IF(ISNUMBER(SEARCH("月",I323)),1,"")))))))</f>
        <v/>
      </c>
      <c r="AN323" s="34">
        <f>IF(J323="","",IF(ISNUMBER(J323),J323,IFERROR(VALUE(ASC(J323&amp;"")),IF(ISNUMBER(SEARCH("時間",J323)),IFERROR(VALUE(SUBSTITUTE(SUBSTITUTE(SUBSTITUTE(SUBSTITUTE(SUBSTITUTE(ASC(J323&amp;""),"約",""),"程度",""),"ほど",""),"時間","")," ",""))*60,""),IFERROR(VALUE(SUBSTITUTE(SUBSTITUTE(SUBSTITUTE(SUBSTITUTE(SUBSTITUTE(ASC(J323&amp;""),"約",""),"程度",""),"ほど",""),"分","")," ","")),"")))))</f>
        <v/>
      </c>
      <c r="AO323" s="34">
        <f>IF(K323="","",IF(ISNUMBER(K323),K323,IFERROR(VALUE(SUBSTITUTE(SUBSTITUTE(SUBSTITUTE(ASC(K323&amp;""),"約",""),"件","")," ","")),"")))</f>
        <v/>
      </c>
      <c r="AP323" s="34">
        <f>IF(W323&lt;&gt;"OK","",IF(COUNTIFS($D$5:$D$404,D323,$W$5:$W$404,"OK")&gt;1,"同名あり",""))</f>
        <v/>
      </c>
      <c r="AQ323" s="35">
        <f>IF(L323="","",IF(ISNUMBER(L323),L323,IFERROR(DATEVALUE(SUBSTITUTE(SUBSTITUTE(ASC(L323&amp;""),"-","/"),".","/")&amp;"/01"),"")))</f>
        <v/>
      </c>
      <c r="AR323" s="35">
        <f>IF(M323="","",IF(ISNUMBER(M323),M323,IFERROR(DATEVALUE(SUBSTITUTE(SUBSTITUTE(ASC(M323&amp;""),"-","/"),".","/")&amp;"/01"),"")))</f>
        <v/>
      </c>
      <c r="AS323" s="34">
        <f>IF(OR(W323&lt;&gt;"OK",AQ323=""),"",IF(AQ323&gt;='01_設定'!$C$26,1,0))</f>
        <v/>
      </c>
      <c r="AT323" s="34">
        <f>IF(AND(W323="OK",Y323&lt;&gt;"除外"),COUNTIFS($W$5:W323,"OK",$Y$5:Y323,"&lt;&gt;除外"),"")</f>
        <v/>
      </c>
      <c r="AU323" s="34">
        <f>IF(OR(AT323="",AD323=""),"",AD323+ROW()/1000000000)</f>
        <v/>
      </c>
    </row>
    <row r="324">
      <c r="W324">
        <f>IF(AND(A324="",D324=""),"",IF(ISNUMBER(SEARCH("##END",AH324)),"（終わりの印）",IF(ISNUMBER(SEARCH("##続き",AH324)),"（続きありの印）",IF(AH324="調査ID","（見出し行）",IF(AND(AH324&lt;&gt;"R1",AH324&lt;&gt;"R2"),"×表以外の行（集計されない）",IF(COUNTIF($AI$5:AI324,AI324)&gt;1,"△重複（集計されない）",IF(D324="","△タスク名なし",IF(ISNA(MATCH(AK324,'M1_類型マスタ'!$A$5:$A$19,0)),"△類型が不正",IF(OR(AM324="",AN324=""),"△回数・分が読めない",IF(SUMPRODUCT(--ISNUMBER(--O324:U324))&lt;7,"△採点が足りない",IF(SUMPRODUCT((--O324:U324&gt;2)+(--O324:U324&lt;0))&gt;0,"△採点が範囲外","OK")))))))))))</f>
        <v/>
      </c>
      <c r="X324">
        <f>IF(W324&lt;&gt;"OK","",TRIM(IF(AND(AO324&lt;&gt;"",N(AO324)&lt;=1),"根拠1件 ","")&amp;IF(AP324&lt;&gt;"","同名あり ","")&amp;IF(AND(NOT(ISNUMBER(I324)),I324&lt;&gt;""),"回数を換算 ","")))</f>
        <v/>
      </c>
      <c r="Y324" s="31" t="n"/>
      <c r="Z324" s="32" t="n"/>
      <c r="AA324" s="32" t="n"/>
      <c r="AB324" s="31" t="n"/>
      <c r="AC324">
        <f>IF(W324&lt;&gt;"OK","",IF(AB324&lt;&gt;"",AB324,AE324))</f>
        <v/>
      </c>
      <c r="AD324" s="33">
        <f>IF(W324&lt;&gt;"OK","",IFERROR(IF(Z324&lt;&gt;"",Z324,AM324)*IF(AA324&lt;&gt;"",AA324,AN324)/60,""))</f>
        <v/>
      </c>
      <c r="AE324">
        <f>IF(W324&lt;&gt;"OK","",IF(OR(VALUE(O324)=2,VALUE(P324)=2,VALUE(Q324)=2),"社内残置",IF(AND(VALUE(O324)=0,VALUE(R324)=0,VALUE(T324)=0),"自動化候補",IF(AND(VALUE(P324)=0,VALUE(R324)&lt;=1,VALUE(S324)&lt;=1,VALUE(T324)&lt;=1,VALUE(U324)&lt;=1),"オフショア候補",IF(AND(VALUE(T324)&lt;=1,VALUE(U324)&lt;=1),"ニアショア候補","社内で手順化→再評価")))))</f>
        <v/>
      </c>
      <c r="AF324">
        <f>IF(W324&lt;&gt;"OK","",14-SUMPRODUCT(--O324:U324))</f>
        <v/>
      </c>
      <c r="AG324" s="33">
        <f>IF(W324&lt;&gt;"OK","",AM324*AN324/60)</f>
        <v/>
      </c>
      <c r="AH324" s="34">
        <f>IF(A324="","",UPPER(TRIM(ASC(A324&amp;""))))</f>
        <v/>
      </c>
      <c r="AI324" s="34">
        <f>IF(AH324="","",AH324&amp;"-"&amp;B324)</f>
        <v/>
      </c>
      <c r="AJ324" s="34">
        <f>IF(C324="","",IFERROR(VALUE(ASC(SUBSTITUTE(C324&amp;"","観点",""))),""))</f>
        <v/>
      </c>
      <c r="AK324" s="34">
        <f>IF(E324="","",UPPER(LEFT(TRIM(ASC(E324&amp;"")),3)))</f>
        <v/>
      </c>
      <c r="AL324" s="34">
        <f>IF(I324="","",IFERROR(VALUE(SUBSTITUTE(SUBSTITUTE(SUBSTITUTE(SUBSTITUTE(SUBSTITUTE(SUBSTITUTE(SUBSTITUTE(SUBSTITUTE(SUBSTITUTE(SUBSTITUTE(SUBSTITUTE(SUBSTITUTE(ASC(I324&amp;""),"約",""),"程度",""),"ほど",""),"回",""),"毎",""),"週",""),"月",""),"年",""),"日",""),"に",""),"/","")," ","")),""))</f>
        <v/>
      </c>
      <c r="AM324" s="34">
        <f>IF(I324="","",IF(ISNUMBER(I324),I324,IFERROR(VALUE(ASC(I324&amp;"")),IF(AL324&lt;&gt;"",AL324*IF(ISNUMBER(SEARCH("週",I324)),4.3,IF(ISNUMBER(SEARCH("年",I324)),1/12,IF(ISNUMBER(SEARCH("日",I324)),20,1))),IF(ISNUMBER(SEARCH("日",I324)),20,IF(ISNUMBER(SEARCH("週",I324)),4.3,IF(ISNUMBER(SEARCH("月",I324)),1,"")))))))</f>
        <v/>
      </c>
      <c r="AN324" s="34">
        <f>IF(J324="","",IF(ISNUMBER(J324),J324,IFERROR(VALUE(ASC(J324&amp;"")),IF(ISNUMBER(SEARCH("時間",J324)),IFERROR(VALUE(SUBSTITUTE(SUBSTITUTE(SUBSTITUTE(SUBSTITUTE(SUBSTITUTE(ASC(J324&amp;""),"約",""),"程度",""),"ほど",""),"時間","")," ",""))*60,""),IFERROR(VALUE(SUBSTITUTE(SUBSTITUTE(SUBSTITUTE(SUBSTITUTE(SUBSTITUTE(ASC(J324&amp;""),"約",""),"程度",""),"ほど",""),"分","")," ","")),"")))))</f>
        <v/>
      </c>
      <c r="AO324" s="34">
        <f>IF(K324="","",IF(ISNUMBER(K324),K324,IFERROR(VALUE(SUBSTITUTE(SUBSTITUTE(SUBSTITUTE(ASC(K324&amp;""),"約",""),"件","")," ","")),"")))</f>
        <v/>
      </c>
      <c r="AP324" s="34">
        <f>IF(W324&lt;&gt;"OK","",IF(COUNTIFS($D$5:$D$404,D324,$W$5:$W$404,"OK")&gt;1,"同名あり",""))</f>
        <v/>
      </c>
      <c r="AQ324" s="35">
        <f>IF(L324="","",IF(ISNUMBER(L324),L324,IFERROR(DATEVALUE(SUBSTITUTE(SUBSTITUTE(ASC(L324&amp;""),"-","/"),".","/")&amp;"/01"),"")))</f>
        <v/>
      </c>
      <c r="AR324" s="35">
        <f>IF(M324="","",IF(ISNUMBER(M324),M324,IFERROR(DATEVALUE(SUBSTITUTE(SUBSTITUTE(ASC(M324&amp;""),"-","/"),".","/")&amp;"/01"),"")))</f>
        <v/>
      </c>
      <c r="AS324" s="34">
        <f>IF(OR(W324&lt;&gt;"OK",AQ324=""),"",IF(AQ324&gt;='01_設定'!$C$26,1,0))</f>
        <v/>
      </c>
      <c r="AT324" s="34">
        <f>IF(AND(W324="OK",Y324&lt;&gt;"除外"),COUNTIFS($W$5:W324,"OK",$Y$5:Y324,"&lt;&gt;除外"),"")</f>
        <v/>
      </c>
      <c r="AU324" s="34">
        <f>IF(OR(AT324="",AD324=""),"",AD324+ROW()/1000000000)</f>
        <v/>
      </c>
    </row>
    <row r="325">
      <c r="W325">
        <f>IF(AND(A325="",D325=""),"",IF(ISNUMBER(SEARCH("##END",AH325)),"（終わりの印）",IF(ISNUMBER(SEARCH("##続き",AH325)),"（続きありの印）",IF(AH325="調査ID","（見出し行）",IF(AND(AH325&lt;&gt;"R1",AH325&lt;&gt;"R2"),"×表以外の行（集計されない）",IF(COUNTIF($AI$5:AI325,AI325)&gt;1,"△重複（集計されない）",IF(D325="","△タスク名なし",IF(ISNA(MATCH(AK325,'M1_類型マスタ'!$A$5:$A$19,0)),"△類型が不正",IF(OR(AM325="",AN325=""),"△回数・分が読めない",IF(SUMPRODUCT(--ISNUMBER(--O325:U325))&lt;7,"△採点が足りない",IF(SUMPRODUCT((--O325:U325&gt;2)+(--O325:U325&lt;0))&gt;0,"△採点が範囲外","OK")))))))))))</f>
        <v/>
      </c>
      <c r="X325">
        <f>IF(W325&lt;&gt;"OK","",TRIM(IF(AND(AO325&lt;&gt;"",N(AO325)&lt;=1),"根拠1件 ","")&amp;IF(AP325&lt;&gt;"","同名あり ","")&amp;IF(AND(NOT(ISNUMBER(I325)),I325&lt;&gt;""),"回数を換算 ","")))</f>
        <v/>
      </c>
      <c r="Y325" s="31" t="n"/>
      <c r="Z325" s="32" t="n"/>
      <c r="AA325" s="32" t="n"/>
      <c r="AB325" s="31" t="n"/>
      <c r="AC325">
        <f>IF(W325&lt;&gt;"OK","",IF(AB325&lt;&gt;"",AB325,AE325))</f>
        <v/>
      </c>
      <c r="AD325" s="33">
        <f>IF(W325&lt;&gt;"OK","",IFERROR(IF(Z325&lt;&gt;"",Z325,AM325)*IF(AA325&lt;&gt;"",AA325,AN325)/60,""))</f>
        <v/>
      </c>
      <c r="AE325">
        <f>IF(W325&lt;&gt;"OK","",IF(OR(VALUE(O325)=2,VALUE(P325)=2,VALUE(Q325)=2),"社内残置",IF(AND(VALUE(O325)=0,VALUE(R325)=0,VALUE(T325)=0),"自動化候補",IF(AND(VALUE(P325)=0,VALUE(R325)&lt;=1,VALUE(S325)&lt;=1,VALUE(T325)&lt;=1,VALUE(U325)&lt;=1),"オフショア候補",IF(AND(VALUE(T325)&lt;=1,VALUE(U325)&lt;=1),"ニアショア候補","社内で手順化→再評価")))))</f>
        <v/>
      </c>
      <c r="AF325">
        <f>IF(W325&lt;&gt;"OK","",14-SUMPRODUCT(--O325:U325))</f>
        <v/>
      </c>
      <c r="AG325" s="33">
        <f>IF(W325&lt;&gt;"OK","",AM325*AN325/60)</f>
        <v/>
      </c>
      <c r="AH325" s="34">
        <f>IF(A325="","",UPPER(TRIM(ASC(A325&amp;""))))</f>
        <v/>
      </c>
      <c r="AI325" s="34">
        <f>IF(AH325="","",AH325&amp;"-"&amp;B325)</f>
        <v/>
      </c>
      <c r="AJ325" s="34">
        <f>IF(C325="","",IFERROR(VALUE(ASC(SUBSTITUTE(C325&amp;"","観点",""))),""))</f>
        <v/>
      </c>
      <c r="AK325" s="34">
        <f>IF(E325="","",UPPER(LEFT(TRIM(ASC(E325&amp;"")),3)))</f>
        <v/>
      </c>
      <c r="AL325" s="34">
        <f>IF(I325="","",IFERROR(VALUE(SUBSTITUTE(SUBSTITUTE(SUBSTITUTE(SUBSTITUTE(SUBSTITUTE(SUBSTITUTE(SUBSTITUTE(SUBSTITUTE(SUBSTITUTE(SUBSTITUTE(SUBSTITUTE(SUBSTITUTE(ASC(I325&amp;""),"約",""),"程度",""),"ほど",""),"回",""),"毎",""),"週",""),"月",""),"年",""),"日",""),"に",""),"/","")," ","")),""))</f>
        <v/>
      </c>
      <c r="AM325" s="34">
        <f>IF(I325="","",IF(ISNUMBER(I325),I325,IFERROR(VALUE(ASC(I325&amp;"")),IF(AL325&lt;&gt;"",AL325*IF(ISNUMBER(SEARCH("週",I325)),4.3,IF(ISNUMBER(SEARCH("年",I325)),1/12,IF(ISNUMBER(SEARCH("日",I325)),20,1))),IF(ISNUMBER(SEARCH("日",I325)),20,IF(ISNUMBER(SEARCH("週",I325)),4.3,IF(ISNUMBER(SEARCH("月",I325)),1,"")))))))</f>
        <v/>
      </c>
      <c r="AN325" s="34">
        <f>IF(J325="","",IF(ISNUMBER(J325),J325,IFERROR(VALUE(ASC(J325&amp;"")),IF(ISNUMBER(SEARCH("時間",J325)),IFERROR(VALUE(SUBSTITUTE(SUBSTITUTE(SUBSTITUTE(SUBSTITUTE(SUBSTITUTE(ASC(J325&amp;""),"約",""),"程度",""),"ほど",""),"時間","")," ",""))*60,""),IFERROR(VALUE(SUBSTITUTE(SUBSTITUTE(SUBSTITUTE(SUBSTITUTE(SUBSTITUTE(ASC(J325&amp;""),"約",""),"程度",""),"ほど",""),"分","")," ","")),"")))))</f>
        <v/>
      </c>
      <c r="AO325" s="34">
        <f>IF(K325="","",IF(ISNUMBER(K325),K325,IFERROR(VALUE(SUBSTITUTE(SUBSTITUTE(SUBSTITUTE(ASC(K325&amp;""),"約",""),"件","")," ","")),"")))</f>
        <v/>
      </c>
      <c r="AP325" s="34">
        <f>IF(W325&lt;&gt;"OK","",IF(COUNTIFS($D$5:$D$404,D325,$W$5:$W$404,"OK")&gt;1,"同名あり",""))</f>
        <v/>
      </c>
      <c r="AQ325" s="35">
        <f>IF(L325="","",IF(ISNUMBER(L325),L325,IFERROR(DATEVALUE(SUBSTITUTE(SUBSTITUTE(ASC(L325&amp;""),"-","/"),".","/")&amp;"/01"),"")))</f>
        <v/>
      </c>
      <c r="AR325" s="35">
        <f>IF(M325="","",IF(ISNUMBER(M325),M325,IFERROR(DATEVALUE(SUBSTITUTE(SUBSTITUTE(ASC(M325&amp;""),"-","/"),".","/")&amp;"/01"),"")))</f>
        <v/>
      </c>
      <c r="AS325" s="34">
        <f>IF(OR(W325&lt;&gt;"OK",AQ325=""),"",IF(AQ325&gt;='01_設定'!$C$26,1,0))</f>
        <v/>
      </c>
      <c r="AT325" s="34">
        <f>IF(AND(W325="OK",Y325&lt;&gt;"除外"),COUNTIFS($W$5:W325,"OK",$Y$5:Y325,"&lt;&gt;除外"),"")</f>
        <v/>
      </c>
      <c r="AU325" s="34">
        <f>IF(OR(AT325="",AD325=""),"",AD325+ROW()/1000000000)</f>
        <v/>
      </c>
    </row>
    <row r="326">
      <c r="W326">
        <f>IF(AND(A326="",D326=""),"",IF(ISNUMBER(SEARCH("##END",AH326)),"（終わりの印）",IF(ISNUMBER(SEARCH("##続き",AH326)),"（続きありの印）",IF(AH326="調査ID","（見出し行）",IF(AND(AH326&lt;&gt;"R1",AH326&lt;&gt;"R2"),"×表以外の行（集計されない）",IF(COUNTIF($AI$5:AI326,AI326)&gt;1,"△重複（集計されない）",IF(D326="","△タスク名なし",IF(ISNA(MATCH(AK326,'M1_類型マスタ'!$A$5:$A$19,0)),"△類型が不正",IF(OR(AM326="",AN326=""),"△回数・分が読めない",IF(SUMPRODUCT(--ISNUMBER(--O326:U326))&lt;7,"△採点が足りない",IF(SUMPRODUCT((--O326:U326&gt;2)+(--O326:U326&lt;0))&gt;0,"△採点が範囲外","OK")))))))))))</f>
        <v/>
      </c>
      <c r="X326">
        <f>IF(W326&lt;&gt;"OK","",TRIM(IF(AND(AO326&lt;&gt;"",N(AO326)&lt;=1),"根拠1件 ","")&amp;IF(AP326&lt;&gt;"","同名あり ","")&amp;IF(AND(NOT(ISNUMBER(I326)),I326&lt;&gt;""),"回数を換算 ","")))</f>
        <v/>
      </c>
      <c r="Y326" s="31" t="n"/>
      <c r="Z326" s="32" t="n"/>
      <c r="AA326" s="32" t="n"/>
      <c r="AB326" s="31" t="n"/>
      <c r="AC326">
        <f>IF(W326&lt;&gt;"OK","",IF(AB326&lt;&gt;"",AB326,AE326))</f>
        <v/>
      </c>
      <c r="AD326" s="33">
        <f>IF(W326&lt;&gt;"OK","",IFERROR(IF(Z326&lt;&gt;"",Z326,AM326)*IF(AA326&lt;&gt;"",AA326,AN326)/60,""))</f>
        <v/>
      </c>
      <c r="AE326">
        <f>IF(W326&lt;&gt;"OK","",IF(OR(VALUE(O326)=2,VALUE(P326)=2,VALUE(Q326)=2),"社内残置",IF(AND(VALUE(O326)=0,VALUE(R326)=0,VALUE(T326)=0),"自動化候補",IF(AND(VALUE(P326)=0,VALUE(R326)&lt;=1,VALUE(S326)&lt;=1,VALUE(T326)&lt;=1,VALUE(U326)&lt;=1),"オフショア候補",IF(AND(VALUE(T326)&lt;=1,VALUE(U326)&lt;=1),"ニアショア候補","社内で手順化→再評価")))))</f>
        <v/>
      </c>
      <c r="AF326">
        <f>IF(W326&lt;&gt;"OK","",14-SUMPRODUCT(--O326:U326))</f>
        <v/>
      </c>
      <c r="AG326" s="33">
        <f>IF(W326&lt;&gt;"OK","",AM326*AN326/60)</f>
        <v/>
      </c>
      <c r="AH326" s="34">
        <f>IF(A326="","",UPPER(TRIM(ASC(A326&amp;""))))</f>
        <v/>
      </c>
      <c r="AI326" s="34">
        <f>IF(AH326="","",AH326&amp;"-"&amp;B326)</f>
        <v/>
      </c>
      <c r="AJ326" s="34">
        <f>IF(C326="","",IFERROR(VALUE(ASC(SUBSTITUTE(C326&amp;"","観点",""))),""))</f>
        <v/>
      </c>
      <c r="AK326" s="34">
        <f>IF(E326="","",UPPER(LEFT(TRIM(ASC(E326&amp;"")),3)))</f>
        <v/>
      </c>
      <c r="AL326" s="34">
        <f>IF(I326="","",IFERROR(VALUE(SUBSTITUTE(SUBSTITUTE(SUBSTITUTE(SUBSTITUTE(SUBSTITUTE(SUBSTITUTE(SUBSTITUTE(SUBSTITUTE(SUBSTITUTE(SUBSTITUTE(SUBSTITUTE(SUBSTITUTE(ASC(I326&amp;""),"約",""),"程度",""),"ほど",""),"回",""),"毎",""),"週",""),"月",""),"年",""),"日",""),"に",""),"/","")," ","")),""))</f>
        <v/>
      </c>
      <c r="AM326" s="34">
        <f>IF(I326="","",IF(ISNUMBER(I326),I326,IFERROR(VALUE(ASC(I326&amp;"")),IF(AL326&lt;&gt;"",AL326*IF(ISNUMBER(SEARCH("週",I326)),4.3,IF(ISNUMBER(SEARCH("年",I326)),1/12,IF(ISNUMBER(SEARCH("日",I326)),20,1))),IF(ISNUMBER(SEARCH("日",I326)),20,IF(ISNUMBER(SEARCH("週",I326)),4.3,IF(ISNUMBER(SEARCH("月",I326)),1,"")))))))</f>
        <v/>
      </c>
      <c r="AN326" s="34">
        <f>IF(J326="","",IF(ISNUMBER(J326),J326,IFERROR(VALUE(ASC(J326&amp;"")),IF(ISNUMBER(SEARCH("時間",J326)),IFERROR(VALUE(SUBSTITUTE(SUBSTITUTE(SUBSTITUTE(SUBSTITUTE(SUBSTITUTE(ASC(J326&amp;""),"約",""),"程度",""),"ほど",""),"時間","")," ",""))*60,""),IFERROR(VALUE(SUBSTITUTE(SUBSTITUTE(SUBSTITUTE(SUBSTITUTE(SUBSTITUTE(ASC(J326&amp;""),"約",""),"程度",""),"ほど",""),"分","")," ","")),"")))))</f>
        <v/>
      </c>
      <c r="AO326" s="34">
        <f>IF(K326="","",IF(ISNUMBER(K326),K326,IFERROR(VALUE(SUBSTITUTE(SUBSTITUTE(SUBSTITUTE(ASC(K326&amp;""),"約",""),"件","")," ","")),"")))</f>
        <v/>
      </c>
      <c r="AP326" s="34">
        <f>IF(W326&lt;&gt;"OK","",IF(COUNTIFS($D$5:$D$404,D326,$W$5:$W$404,"OK")&gt;1,"同名あり",""))</f>
        <v/>
      </c>
      <c r="AQ326" s="35">
        <f>IF(L326="","",IF(ISNUMBER(L326),L326,IFERROR(DATEVALUE(SUBSTITUTE(SUBSTITUTE(ASC(L326&amp;""),"-","/"),".","/")&amp;"/01"),"")))</f>
        <v/>
      </c>
      <c r="AR326" s="35">
        <f>IF(M326="","",IF(ISNUMBER(M326),M326,IFERROR(DATEVALUE(SUBSTITUTE(SUBSTITUTE(ASC(M326&amp;""),"-","/"),".","/")&amp;"/01"),"")))</f>
        <v/>
      </c>
      <c r="AS326" s="34">
        <f>IF(OR(W326&lt;&gt;"OK",AQ326=""),"",IF(AQ326&gt;='01_設定'!$C$26,1,0))</f>
        <v/>
      </c>
      <c r="AT326" s="34">
        <f>IF(AND(W326="OK",Y326&lt;&gt;"除外"),COUNTIFS($W$5:W326,"OK",$Y$5:Y326,"&lt;&gt;除外"),"")</f>
        <v/>
      </c>
      <c r="AU326" s="34">
        <f>IF(OR(AT326="",AD326=""),"",AD326+ROW()/1000000000)</f>
        <v/>
      </c>
    </row>
    <row r="327">
      <c r="W327">
        <f>IF(AND(A327="",D327=""),"",IF(ISNUMBER(SEARCH("##END",AH327)),"（終わりの印）",IF(ISNUMBER(SEARCH("##続き",AH327)),"（続きありの印）",IF(AH327="調査ID","（見出し行）",IF(AND(AH327&lt;&gt;"R1",AH327&lt;&gt;"R2"),"×表以外の行（集計されない）",IF(COUNTIF($AI$5:AI327,AI327)&gt;1,"△重複（集計されない）",IF(D327="","△タスク名なし",IF(ISNA(MATCH(AK327,'M1_類型マスタ'!$A$5:$A$19,0)),"△類型が不正",IF(OR(AM327="",AN327=""),"△回数・分が読めない",IF(SUMPRODUCT(--ISNUMBER(--O327:U327))&lt;7,"△採点が足りない",IF(SUMPRODUCT((--O327:U327&gt;2)+(--O327:U327&lt;0))&gt;0,"△採点が範囲外","OK")))))))))))</f>
        <v/>
      </c>
      <c r="X327">
        <f>IF(W327&lt;&gt;"OK","",TRIM(IF(AND(AO327&lt;&gt;"",N(AO327)&lt;=1),"根拠1件 ","")&amp;IF(AP327&lt;&gt;"","同名あり ","")&amp;IF(AND(NOT(ISNUMBER(I327)),I327&lt;&gt;""),"回数を換算 ","")))</f>
        <v/>
      </c>
      <c r="Y327" s="31" t="n"/>
      <c r="Z327" s="32" t="n"/>
      <c r="AA327" s="32" t="n"/>
      <c r="AB327" s="31" t="n"/>
      <c r="AC327">
        <f>IF(W327&lt;&gt;"OK","",IF(AB327&lt;&gt;"",AB327,AE327))</f>
        <v/>
      </c>
      <c r="AD327" s="33">
        <f>IF(W327&lt;&gt;"OK","",IFERROR(IF(Z327&lt;&gt;"",Z327,AM327)*IF(AA327&lt;&gt;"",AA327,AN327)/60,""))</f>
        <v/>
      </c>
      <c r="AE327">
        <f>IF(W327&lt;&gt;"OK","",IF(OR(VALUE(O327)=2,VALUE(P327)=2,VALUE(Q327)=2),"社内残置",IF(AND(VALUE(O327)=0,VALUE(R327)=0,VALUE(T327)=0),"自動化候補",IF(AND(VALUE(P327)=0,VALUE(R327)&lt;=1,VALUE(S327)&lt;=1,VALUE(T327)&lt;=1,VALUE(U327)&lt;=1),"オフショア候補",IF(AND(VALUE(T327)&lt;=1,VALUE(U327)&lt;=1),"ニアショア候補","社内で手順化→再評価")))))</f>
        <v/>
      </c>
      <c r="AF327">
        <f>IF(W327&lt;&gt;"OK","",14-SUMPRODUCT(--O327:U327))</f>
        <v/>
      </c>
      <c r="AG327" s="33">
        <f>IF(W327&lt;&gt;"OK","",AM327*AN327/60)</f>
        <v/>
      </c>
      <c r="AH327" s="34">
        <f>IF(A327="","",UPPER(TRIM(ASC(A327&amp;""))))</f>
        <v/>
      </c>
      <c r="AI327" s="34">
        <f>IF(AH327="","",AH327&amp;"-"&amp;B327)</f>
        <v/>
      </c>
      <c r="AJ327" s="34">
        <f>IF(C327="","",IFERROR(VALUE(ASC(SUBSTITUTE(C327&amp;"","観点",""))),""))</f>
        <v/>
      </c>
      <c r="AK327" s="34">
        <f>IF(E327="","",UPPER(LEFT(TRIM(ASC(E327&amp;"")),3)))</f>
        <v/>
      </c>
      <c r="AL327" s="34">
        <f>IF(I327="","",IFERROR(VALUE(SUBSTITUTE(SUBSTITUTE(SUBSTITUTE(SUBSTITUTE(SUBSTITUTE(SUBSTITUTE(SUBSTITUTE(SUBSTITUTE(SUBSTITUTE(SUBSTITUTE(SUBSTITUTE(SUBSTITUTE(ASC(I327&amp;""),"約",""),"程度",""),"ほど",""),"回",""),"毎",""),"週",""),"月",""),"年",""),"日",""),"に",""),"/","")," ","")),""))</f>
        <v/>
      </c>
      <c r="AM327" s="34">
        <f>IF(I327="","",IF(ISNUMBER(I327),I327,IFERROR(VALUE(ASC(I327&amp;"")),IF(AL327&lt;&gt;"",AL327*IF(ISNUMBER(SEARCH("週",I327)),4.3,IF(ISNUMBER(SEARCH("年",I327)),1/12,IF(ISNUMBER(SEARCH("日",I327)),20,1))),IF(ISNUMBER(SEARCH("日",I327)),20,IF(ISNUMBER(SEARCH("週",I327)),4.3,IF(ISNUMBER(SEARCH("月",I327)),1,"")))))))</f>
        <v/>
      </c>
      <c r="AN327" s="34">
        <f>IF(J327="","",IF(ISNUMBER(J327),J327,IFERROR(VALUE(ASC(J327&amp;"")),IF(ISNUMBER(SEARCH("時間",J327)),IFERROR(VALUE(SUBSTITUTE(SUBSTITUTE(SUBSTITUTE(SUBSTITUTE(SUBSTITUTE(ASC(J327&amp;""),"約",""),"程度",""),"ほど",""),"時間","")," ",""))*60,""),IFERROR(VALUE(SUBSTITUTE(SUBSTITUTE(SUBSTITUTE(SUBSTITUTE(SUBSTITUTE(ASC(J327&amp;""),"約",""),"程度",""),"ほど",""),"分","")," ","")),"")))))</f>
        <v/>
      </c>
      <c r="AO327" s="34">
        <f>IF(K327="","",IF(ISNUMBER(K327),K327,IFERROR(VALUE(SUBSTITUTE(SUBSTITUTE(SUBSTITUTE(ASC(K327&amp;""),"約",""),"件","")," ","")),"")))</f>
        <v/>
      </c>
      <c r="AP327" s="34">
        <f>IF(W327&lt;&gt;"OK","",IF(COUNTIFS($D$5:$D$404,D327,$W$5:$W$404,"OK")&gt;1,"同名あり",""))</f>
        <v/>
      </c>
      <c r="AQ327" s="35">
        <f>IF(L327="","",IF(ISNUMBER(L327),L327,IFERROR(DATEVALUE(SUBSTITUTE(SUBSTITUTE(ASC(L327&amp;""),"-","/"),".","/")&amp;"/01"),"")))</f>
        <v/>
      </c>
      <c r="AR327" s="35">
        <f>IF(M327="","",IF(ISNUMBER(M327),M327,IFERROR(DATEVALUE(SUBSTITUTE(SUBSTITUTE(ASC(M327&amp;""),"-","/"),".","/")&amp;"/01"),"")))</f>
        <v/>
      </c>
      <c r="AS327" s="34">
        <f>IF(OR(W327&lt;&gt;"OK",AQ327=""),"",IF(AQ327&gt;='01_設定'!$C$26,1,0))</f>
        <v/>
      </c>
      <c r="AT327" s="34">
        <f>IF(AND(W327="OK",Y327&lt;&gt;"除外"),COUNTIFS($W$5:W327,"OK",$Y$5:Y327,"&lt;&gt;除外"),"")</f>
        <v/>
      </c>
      <c r="AU327" s="34">
        <f>IF(OR(AT327="",AD327=""),"",AD327+ROW()/1000000000)</f>
        <v/>
      </c>
    </row>
    <row r="328">
      <c r="W328">
        <f>IF(AND(A328="",D328=""),"",IF(ISNUMBER(SEARCH("##END",AH328)),"（終わりの印）",IF(ISNUMBER(SEARCH("##続き",AH328)),"（続きありの印）",IF(AH328="調査ID","（見出し行）",IF(AND(AH328&lt;&gt;"R1",AH328&lt;&gt;"R2"),"×表以外の行（集計されない）",IF(COUNTIF($AI$5:AI328,AI328)&gt;1,"△重複（集計されない）",IF(D328="","△タスク名なし",IF(ISNA(MATCH(AK328,'M1_類型マスタ'!$A$5:$A$19,0)),"△類型が不正",IF(OR(AM328="",AN328=""),"△回数・分が読めない",IF(SUMPRODUCT(--ISNUMBER(--O328:U328))&lt;7,"△採点が足りない",IF(SUMPRODUCT((--O328:U328&gt;2)+(--O328:U328&lt;0))&gt;0,"△採点が範囲外","OK")))))))))))</f>
        <v/>
      </c>
      <c r="X328">
        <f>IF(W328&lt;&gt;"OK","",TRIM(IF(AND(AO328&lt;&gt;"",N(AO328)&lt;=1),"根拠1件 ","")&amp;IF(AP328&lt;&gt;"","同名あり ","")&amp;IF(AND(NOT(ISNUMBER(I328)),I328&lt;&gt;""),"回数を換算 ","")))</f>
        <v/>
      </c>
      <c r="Y328" s="31" t="n"/>
      <c r="Z328" s="32" t="n"/>
      <c r="AA328" s="32" t="n"/>
      <c r="AB328" s="31" t="n"/>
      <c r="AC328">
        <f>IF(W328&lt;&gt;"OK","",IF(AB328&lt;&gt;"",AB328,AE328))</f>
        <v/>
      </c>
      <c r="AD328" s="33">
        <f>IF(W328&lt;&gt;"OK","",IFERROR(IF(Z328&lt;&gt;"",Z328,AM328)*IF(AA328&lt;&gt;"",AA328,AN328)/60,""))</f>
        <v/>
      </c>
      <c r="AE328">
        <f>IF(W328&lt;&gt;"OK","",IF(OR(VALUE(O328)=2,VALUE(P328)=2,VALUE(Q328)=2),"社内残置",IF(AND(VALUE(O328)=0,VALUE(R328)=0,VALUE(T328)=0),"自動化候補",IF(AND(VALUE(P328)=0,VALUE(R328)&lt;=1,VALUE(S328)&lt;=1,VALUE(T328)&lt;=1,VALUE(U328)&lt;=1),"オフショア候補",IF(AND(VALUE(T328)&lt;=1,VALUE(U328)&lt;=1),"ニアショア候補","社内で手順化→再評価")))))</f>
        <v/>
      </c>
      <c r="AF328">
        <f>IF(W328&lt;&gt;"OK","",14-SUMPRODUCT(--O328:U328))</f>
        <v/>
      </c>
      <c r="AG328" s="33">
        <f>IF(W328&lt;&gt;"OK","",AM328*AN328/60)</f>
        <v/>
      </c>
      <c r="AH328" s="34">
        <f>IF(A328="","",UPPER(TRIM(ASC(A328&amp;""))))</f>
        <v/>
      </c>
      <c r="AI328" s="34">
        <f>IF(AH328="","",AH328&amp;"-"&amp;B328)</f>
        <v/>
      </c>
      <c r="AJ328" s="34">
        <f>IF(C328="","",IFERROR(VALUE(ASC(SUBSTITUTE(C328&amp;"","観点",""))),""))</f>
        <v/>
      </c>
      <c r="AK328" s="34">
        <f>IF(E328="","",UPPER(LEFT(TRIM(ASC(E328&amp;"")),3)))</f>
        <v/>
      </c>
      <c r="AL328" s="34">
        <f>IF(I328="","",IFERROR(VALUE(SUBSTITUTE(SUBSTITUTE(SUBSTITUTE(SUBSTITUTE(SUBSTITUTE(SUBSTITUTE(SUBSTITUTE(SUBSTITUTE(SUBSTITUTE(SUBSTITUTE(SUBSTITUTE(SUBSTITUTE(ASC(I328&amp;""),"約",""),"程度",""),"ほど",""),"回",""),"毎",""),"週",""),"月",""),"年",""),"日",""),"に",""),"/","")," ","")),""))</f>
        <v/>
      </c>
      <c r="AM328" s="34">
        <f>IF(I328="","",IF(ISNUMBER(I328),I328,IFERROR(VALUE(ASC(I328&amp;"")),IF(AL328&lt;&gt;"",AL328*IF(ISNUMBER(SEARCH("週",I328)),4.3,IF(ISNUMBER(SEARCH("年",I328)),1/12,IF(ISNUMBER(SEARCH("日",I328)),20,1))),IF(ISNUMBER(SEARCH("日",I328)),20,IF(ISNUMBER(SEARCH("週",I328)),4.3,IF(ISNUMBER(SEARCH("月",I328)),1,"")))))))</f>
        <v/>
      </c>
      <c r="AN328" s="34">
        <f>IF(J328="","",IF(ISNUMBER(J328),J328,IFERROR(VALUE(ASC(J328&amp;"")),IF(ISNUMBER(SEARCH("時間",J328)),IFERROR(VALUE(SUBSTITUTE(SUBSTITUTE(SUBSTITUTE(SUBSTITUTE(SUBSTITUTE(ASC(J328&amp;""),"約",""),"程度",""),"ほど",""),"時間","")," ",""))*60,""),IFERROR(VALUE(SUBSTITUTE(SUBSTITUTE(SUBSTITUTE(SUBSTITUTE(SUBSTITUTE(ASC(J328&amp;""),"約",""),"程度",""),"ほど",""),"分","")," ","")),"")))))</f>
        <v/>
      </c>
      <c r="AO328" s="34">
        <f>IF(K328="","",IF(ISNUMBER(K328),K328,IFERROR(VALUE(SUBSTITUTE(SUBSTITUTE(SUBSTITUTE(ASC(K328&amp;""),"約",""),"件","")," ","")),"")))</f>
        <v/>
      </c>
      <c r="AP328" s="34">
        <f>IF(W328&lt;&gt;"OK","",IF(COUNTIFS($D$5:$D$404,D328,$W$5:$W$404,"OK")&gt;1,"同名あり",""))</f>
        <v/>
      </c>
      <c r="AQ328" s="35">
        <f>IF(L328="","",IF(ISNUMBER(L328),L328,IFERROR(DATEVALUE(SUBSTITUTE(SUBSTITUTE(ASC(L328&amp;""),"-","/"),".","/")&amp;"/01"),"")))</f>
        <v/>
      </c>
      <c r="AR328" s="35">
        <f>IF(M328="","",IF(ISNUMBER(M328),M328,IFERROR(DATEVALUE(SUBSTITUTE(SUBSTITUTE(ASC(M328&amp;""),"-","/"),".","/")&amp;"/01"),"")))</f>
        <v/>
      </c>
      <c r="AS328" s="34">
        <f>IF(OR(W328&lt;&gt;"OK",AQ328=""),"",IF(AQ328&gt;='01_設定'!$C$26,1,0))</f>
        <v/>
      </c>
      <c r="AT328" s="34">
        <f>IF(AND(W328="OK",Y328&lt;&gt;"除外"),COUNTIFS($W$5:W328,"OK",$Y$5:Y328,"&lt;&gt;除外"),"")</f>
        <v/>
      </c>
      <c r="AU328" s="34">
        <f>IF(OR(AT328="",AD328=""),"",AD328+ROW()/1000000000)</f>
        <v/>
      </c>
    </row>
    <row r="329">
      <c r="W329">
        <f>IF(AND(A329="",D329=""),"",IF(ISNUMBER(SEARCH("##END",AH329)),"（終わりの印）",IF(ISNUMBER(SEARCH("##続き",AH329)),"（続きありの印）",IF(AH329="調査ID","（見出し行）",IF(AND(AH329&lt;&gt;"R1",AH329&lt;&gt;"R2"),"×表以外の行（集計されない）",IF(COUNTIF($AI$5:AI329,AI329)&gt;1,"△重複（集計されない）",IF(D329="","△タスク名なし",IF(ISNA(MATCH(AK329,'M1_類型マスタ'!$A$5:$A$19,0)),"△類型が不正",IF(OR(AM329="",AN329=""),"△回数・分が読めない",IF(SUMPRODUCT(--ISNUMBER(--O329:U329))&lt;7,"△採点が足りない",IF(SUMPRODUCT((--O329:U329&gt;2)+(--O329:U329&lt;0))&gt;0,"△採点が範囲外","OK")))))))))))</f>
        <v/>
      </c>
      <c r="X329">
        <f>IF(W329&lt;&gt;"OK","",TRIM(IF(AND(AO329&lt;&gt;"",N(AO329)&lt;=1),"根拠1件 ","")&amp;IF(AP329&lt;&gt;"","同名あり ","")&amp;IF(AND(NOT(ISNUMBER(I329)),I329&lt;&gt;""),"回数を換算 ","")))</f>
        <v/>
      </c>
      <c r="Y329" s="31" t="n"/>
      <c r="Z329" s="32" t="n"/>
      <c r="AA329" s="32" t="n"/>
      <c r="AB329" s="31" t="n"/>
      <c r="AC329">
        <f>IF(W329&lt;&gt;"OK","",IF(AB329&lt;&gt;"",AB329,AE329))</f>
        <v/>
      </c>
      <c r="AD329" s="33">
        <f>IF(W329&lt;&gt;"OK","",IFERROR(IF(Z329&lt;&gt;"",Z329,AM329)*IF(AA329&lt;&gt;"",AA329,AN329)/60,""))</f>
        <v/>
      </c>
      <c r="AE329">
        <f>IF(W329&lt;&gt;"OK","",IF(OR(VALUE(O329)=2,VALUE(P329)=2,VALUE(Q329)=2),"社内残置",IF(AND(VALUE(O329)=0,VALUE(R329)=0,VALUE(T329)=0),"自動化候補",IF(AND(VALUE(P329)=0,VALUE(R329)&lt;=1,VALUE(S329)&lt;=1,VALUE(T329)&lt;=1,VALUE(U329)&lt;=1),"オフショア候補",IF(AND(VALUE(T329)&lt;=1,VALUE(U329)&lt;=1),"ニアショア候補","社内で手順化→再評価")))))</f>
        <v/>
      </c>
      <c r="AF329">
        <f>IF(W329&lt;&gt;"OK","",14-SUMPRODUCT(--O329:U329))</f>
        <v/>
      </c>
      <c r="AG329" s="33">
        <f>IF(W329&lt;&gt;"OK","",AM329*AN329/60)</f>
        <v/>
      </c>
      <c r="AH329" s="34">
        <f>IF(A329="","",UPPER(TRIM(ASC(A329&amp;""))))</f>
        <v/>
      </c>
      <c r="AI329" s="34">
        <f>IF(AH329="","",AH329&amp;"-"&amp;B329)</f>
        <v/>
      </c>
      <c r="AJ329" s="34">
        <f>IF(C329="","",IFERROR(VALUE(ASC(SUBSTITUTE(C329&amp;"","観点",""))),""))</f>
        <v/>
      </c>
      <c r="AK329" s="34">
        <f>IF(E329="","",UPPER(LEFT(TRIM(ASC(E329&amp;"")),3)))</f>
        <v/>
      </c>
      <c r="AL329" s="34">
        <f>IF(I329="","",IFERROR(VALUE(SUBSTITUTE(SUBSTITUTE(SUBSTITUTE(SUBSTITUTE(SUBSTITUTE(SUBSTITUTE(SUBSTITUTE(SUBSTITUTE(SUBSTITUTE(SUBSTITUTE(SUBSTITUTE(SUBSTITUTE(ASC(I329&amp;""),"約",""),"程度",""),"ほど",""),"回",""),"毎",""),"週",""),"月",""),"年",""),"日",""),"に",""),"/","")," ","")),""))</f>
        <v/>
      </c>
      <c r="AM329" s="34">
        <f>IF(I329="","",IF(ISNUMBER(I329),I329,IFERROR(VALUE(ASC(I329&amp;"")),IF(AL329&lt;&gt;"",AL329*IF(ISNUMBER(SEARCH("週",I329)),4.3,IF(ISNUMBER(SEARCH("年",I329)),1/12,IF(ISNUMBER(SEARCH("日",I329)),20,1))),IF(ISNUMBER(SEARCH("日",I329)),20,IF(ISNUMBER(SEARCH("週",I329)),4.3,IF(ISNUMBER(SEARCH("月",I329)),1,"")))))))</f>
        <v/>
      </c>
      <c r="AN329" s="34">
        <f>IF(J329="","",IF(ISNUMBER(J329),J329,IFERROR(VALUE(ASC(J329&amp;"")),IF(ISNUMBER(SEARCH("時間",J329)),IFERROR(VALUE(SUBSTITUTE(SUBSTITUTE(SUBSTITUTE(SUBSTITUTE(SUBSTITUTE(ASC(J329&amp;""),"約",""),"程度",""),"ほど",""),"時間","")," ",""))*60,""),IFERROR(VALUE(SUBSTITUTE(SUBSTITUTE(SUBSTITUTE(SUBSTITUTE(SUBSTITUTE(ASC(J329&amp;""),"約",""),"程度",""),"ほど",""),"分","")," ","")),"")))))</f>
        <v/>
      </c>
      <c r="AO329" s="34">
        <f>IF(K329="","",IF(ISNUMBER(K329),K329,IFERROR(VALUE(SUBSTITUTE(SUBSTITUTE(SUBSTITUTE(ASC(K329&amp;""),"約",""),"件","")," ","")),"")))</f>
        <v/>
      </c>
      <c r="AP329" s="34">
        <f>IF(W329&lt;&gt;"OK","",IF(COUNTIFS($D$5:$D$404,D329,$W$5:$W$404,"OK")&gt;1,"同名あり",""))</f>
        <v/>
      </c>
      <c r="AQ329" s="35">
        <f>IF(L329="","",IF(ISNUMBER(L329),L329,IFERROR(DATEVALUE(SUBSTITUTE(SUBSTITUTE(ASC(L329&amp;""),"-","/"),".","/")&amp;"/01"),"")))</f>
        <v/>
      </c>
      <c r="AR329" s="35">
        <f>IF(M329="","",IF(ISNUMBER(M329),M329,IFERROR(DATEVALUE(SUBSTITUTE(SUBSTITUTE(ASC(M329&amp;""),"-","/"),".","/")&amp;"/01"),"")))</f>
        <v/>
      </c>
      <c r="AS329" s="34">
        <f>IF(OR(W329&lt;&gt;"OK",AQ329=""),"",IF(AQ329&gt;='01_設定'!$C$26,1,0))</f>
        <v/>
      </c>
      <c r="AT329" s="34">
        <f>IF(AND(W329="OK",Y329&lt;&gt;"除外"),COUNTIFS($W$5:W329,"OK",$Y$5:Y329,"&lt;&gt;除外"),"")</f>
        <v/>
      </c>
      <c r="AU329" s="34">
        <f>IF(OR(AT329="",AD329=""),"",AD329+ROW()/1000000000)</f>
        <v/>
      </c>
    </row>
    <row r="330">
      <c r="W330">
        <f>IF(AND(A330="",D330=""),"",IF(ISNUMBER(SEARCH("##END",AH330)),"（終わりの印）",IF(ISNUMBER(SEARCH("##続き",AH330)),"（続きありの印）",IF(AH330="調査ID","（見出し行）",IF(AND(AH330&lt;&gt;"R1",AH330&lt;&gt;"R2"),"×表以外の行（集計されない）",IF(COUNTIF($AI$5:AI330,AI330)&gt;1,"△重複（集計されない）",IF(D330="","△タスク名なし",IF(ISNA(MATCH(AK330,'M1_類型マスタ'!$A$5:$A$19,0)),"△類型が不正",IF(OR(AM330="",AN330=""),"△回数・分が読めない",IF(SUMPRODUCT(--ISNUMBER(--O330:U330))&lt;7,"△採点が足りない",IF(SUMPRODUCT((--O330:U330&gt;2)+(--O330:U330&lt;0))&gt;0,"△採点が範囲外","OK")))))))))))</f>
        <v/>
      </c>
      <c r="X330">
        <f>IF(W330&lt;&gt;"OK","",TRIM(IF(AND(AO330&lt;&gt;"",N(AO330)&lt;=1),"根拠1件 ","")&amp;IF(AP330&lt;&gt;"","同名あり ","")&amp;IF(AND(NOT(ISNUMBER(I330)),I330&lt;&gt;""),"回数を換算 ","")))</f>
        <v/>
      </c>
      <c r="Y330" s="31" t="n"/>
      <c r="Z330" s="32" t="n"/>
      <c r="AA330" s="32" t="n"/>
      <c r="AB330" s="31" t="n"/>
      <c r="AC330">
        <f>IF(W330&lt;&gt;"OK","",IF(AB330&lt;&gt;"",AB330,AE330))</f>
        <v/>
      </c>
      <c r="AD330" s="33">
        <f>IF(W330&lt;&gt;"OK","",IFERROR(IF(Z330&lt;&gt;"",Z330,AM330)*IF(AA330&lt;&gt;"",AA330,AN330)/60,""))</f>
        <v/>
      </c>
      <c r="AE330">
        <f>IF(W330&lt;&gt;"OK","",IF(OR(VALUE(O330)=2,VALUE(P330)=2,VALUE(Q330)=2),"社内残置",IF(AND(VALUE(O330)=0,VALUE(R330)=0,VALUE(T330)=0),"自動化候補",IF(AND(VALUE(P330)=0,VALUE(R330)&lt;=1,VALUE(S330)&lt;=1,VALUE(T330)&lt;=1,VALUE(U330)&lt;=1),"オフショア候補",IF(AND(VALUE(T330)&lt;=1,VALUE(U330)&lt;=1),"ニアショア候補","社内で手順化→再評価")))))</f>
        <v/>
      </c>
      <c r="AF330">
        <f>IF(W330&lt;&gt;"OK","",14-SUMPRODUCT(--O330:U330))</f>
        <v/>
      </c>
      <c r="AG330" s="33">
        <f>IF(W330&lt;&gt;"OK","",AM330*AN330/60)</f>
        <v/>
      </c>
      <c r="AH330" s="34">
        <f>IF(A330="","",UPPER(TRIM(ASC(A330&amp;""))))</f>
        <v/>
      </c>
      <c r="AI330" s="34">
        <f>IF(AH330="","",AH330&amp;"-"&amp;B330)</f>
        <v/>
      </c>
      <c r="AJ330" s="34">
        <f>IF(C330="","",IFERROR(VALUE(ASC(SUBSTITUTE(C330&amp;"","観点",""))),""))</f>
        <v/>
      </c>
      <c r="AK330" s="34">
        <f>IF(E330="","",UPPER(LEFT(TRIM(ASC(E330&amp;"")),3)))</f>
        <v/>
      </c>
      <c r="AL330" s="34">
        <f>IF(I330="","",IFERROR(VALUE(SUBSTITUTE(SUBSTITUTE(SUBSTITUTE(SUBSTITUTE(SUBSTITUTE(SUBSTITUTE(SUBSTITUTE(SUBSTITUTE(SUBSTITUTE(SUBSTITUTE(SUBSTITUTE(SUBSTITUTE(ASC(I330&amp;""),"約",""),"程度",""),"ほど",""),"回",""),"毎",""),"週",""),"月",""),"年",""),"日",""),"に",""),"/","")," ","")),""))</f>
        <v/>
      </c>
      <c r="AM330" s="34">
        <f>IF(I330="","",IF(ISNUMBER(I330),I330,IFERROR(VALUE(ASC(I330&amp;"")),IF(AL330&lt;&gt;"",AL330*IF(ISNUMBER(SEARCH("週",I330)),4.3,IF(ISNUMBER(SEARCH("年",I330)),1/12,IF(ISNUMBER(SEARCH("日",I330)),20,1))),IF(ISNUMBER(SEARCH("日",I330)),20,IF(ISNUMBER(SEARCH("週",I330)),4.3,IF(ISNUMBER(SEARCH("月",I330)),1,"")))))))</f>
        <v/>
      </c>
      <c r="AN330" s="34">
        <f>IF(J330="","",IF(ISNUMBER(J330),J330,IFERROR(VALUE(ASC(J330&amp;"")),IF(ISNUMBER(SEARCH("時間",J330)),IFERROR(VALUE(SUBSTITUTE(SUBSTITUTE(SUBSTITUTE(SUBSTITUTE(SUBSTITUTE(ASC(J330&amp;""),"約",""),"程度",""),"ほど",""),"時間","")," ",""))*60,""),IFERROR(VALUE(SUBSTITUTE(SUBSTITUTE(SUBSTITUTE(SUBSTITUTE(SUBSTITUTE(ASC(J330&amp;""),"約",""),"程度",""),"ほど",""),"分","")," ","")),"")))))</f>
        <v/>
      </c>
      <c r="AO330" s="34">
        <f>IF(K330="","",IF(ISNUMBER(K330),K330,IFERROR(VALUE(SUBSTITUTE(SUBSTITUTE(SUBSTITUTE(ASC(K330&amp;""),"約",""),"件","")," ","")),"")))</f>
        <v/>
      </c>
      <c r="AP330" s="34">
        <f>IF(W330&lt;&gt;"OK","",IF(COUNTIFS($D$5:$D$404,D330,$W$5:$W$404,"OK")&gt;1,"同名あり",""))</f>
        <v/>
      </c>
      <c r="AQ330" s="35">
        <f>IF(L330="","",IF(ISNUMBER(L330),L330,IFERROR(DATEVALUE(SUBSTITUTE(SUBSTITUTE(ASC(L330&amp;""),"-","/"),".","/")&amp;"/01"),"")))</f>
        <v/>
      </c>
      <c r="AR330" s="35">
        <f>IF(M330="","",IF(ISNUMBER(M330),M330,IFERROR(DATEVALUE(SUBSTITUTE(SUBSTITUTE(ASC(M330&amp;""),"-","/"),".","/")&amp;"/01"),"")))</f>
        <v/>
      </c>
      <c r="AS330" s="34">
        <f>IF(OR(W330&lt;&gt;"OK",AQ330=""),"",IF(AQ330&gt;='01_設定'!$C$26,1,0))</f>
        <v/>
      </c>
      <c r="AT330" s="34">
        <f>IF(AND(W330="OK",Y330&lt;&gt;"除外"),COUNTIFS($W$5:W330,"OK",$Y$5:Y330,"&lt;&gt;除外"),"")</f>
        <v/>
      </c>
      <c r="AU330" s="34">
        <f>IF(OR(AT330="",AD330=""),"",AD330+ROW()/1000000000)</f>
        <v/>
      </c>
    </row>
    <row r="331">
      <c r="W331">
        <f>IF(AND(A331="",D331=""),"",IF(ISNUMBER(SEARCH("##END",AH331)),"（終わりの印）",IF(ISNUMBER(SEARCH("##続き",AH331)),"（続きありの印）",IF(AH331="調査ID","（見出し行）",IF(AND(AH331&lt;&gt;"R1",AH331&lt;&gt;"R2"),"×表以外の行（集計されない）",IF(COUNTIF($AI$5:AI331,AI331)&gt;1,"△重複（集計されない）",IF(D331="","△タスク名なし",IF(ISNA(MATCH(AK331,'M1_類型マスタ'!$A$5:$A$19,0)),"△類型が不正",IF(OR(AM331="",AN331=""),"△回数・分が読めない",IF(SUMPRODUCT(--ISNUMBER(--O331:U331))&lt;7,"△採点が足りない",IF(SUMPRODUCT((--O331:U331&gt;2)+(--O331:U331&lt;0))&gt;0,"△採点が範囲外","OK")))))))))))</f>
        <v/>
      </c>
      <c r="X331">
        <f>IF(W331&lt;&gt;"OK","",TRIM(IF(AND(AO331&lt;&gt;"",N(AO331)&lt;=1),"根拠1件 ","")&amp;IF(AP331&lt;&gt;"","同名あり ","")&amp;IF(AND(NOT(ISNUMBER(I331)),I331&lt;&gt;""),"回数を換算 ","")))</f>
        <v/>
      </c>
      <c r="Y331" s="31" t="n"/>
      <c r="Z331" s="32" t="n"/>
      <c r="AA331" s="32" t="n"/>
      <c r="AB331" s="31" t="n"/>
      <c r="AC331">
        <f>IF(W331&lt;&gt;"OK","",IF(AB331&lt;&gt;"",AB331,AE331))</f>
        <v/>
      </c>
      <c r="AD331" s="33">
        <f>IF(W331&lt;&gt;"OK","",IFERROR(IF(Z331&lt;&gt;"",Z331,AM331)*IF(AA331&lt;&gt;"",AA331,AN331)/60,""))</f>
        <v/>
      </c>
      <c r="AE331">
        <f>IF(W331&lt;&gt;"OK","",IF(OR(VALUE(O331)=2,VALUE(P331)=2,VALUE(Q331)=2),"社内残置",IF(AND(VALUE(O331)=0,VALUE(R331)=0,VALUE(T331)=0),"自動化候補",IF(AND(VALUE(P331)=0,VALUE(R331)&lt;=1,VALUE(S331)&lt;=1,VALUE(T331)&lt;=1,VALUE(U331)&lt;=1),"オフショア候補",IF(AND(VALUE(T331)&lt;=1,VALUE(U331)&lt;=1),"ニアショア候補","社内で手順化→再評価")))))</f>
        <v/>
      </c>
      <c r="AF331">
        <f>IF(W331&lt;&gt;"OK","",14-SUMPRODUCT(--O331:U331))</f>
        <v/>
      </c>
      <c r="AG331" s="33">
        <f>IF(W331&lt;&gt;"OK","",AM331*AN331/60)</f>
        <v/>
      </c>
      <c r="AH331" s="34">
        <f>IF(A331="","",UPPER(TRIM(ASC(A331&amp;""))))</f>
        <v/>
      </c>
      <c r="AI331" s="34">
        <f>IF(AH331="","",AH331&amp;"-"&amp;B331)</f>
        <v/>
      </c>
      <c r="AJ331" s="34">
        <f>IF(C331="","",IFERROR(VALUE(ASC(SUBSTITUTE(C331&amp;"","観点",""))),""))</f>
        <v/>
      </c>
      <c r="AK331" s="34">
        <f>IF(E331="","",UPPER(LEFT(TRIM(ASC(E331&amp;"")),3)))</f>
        <v/>
      </c>
      <c r="AL331" s="34">
        <f>IF(I331="","",IFERROR(VALUE(SUBSTITUTE(SUBSTITUTE(SUBSTITUTE(SUBSTITUTE(SUBSTITUTE(SUBSTITUTE(SUBSTITUTE(SUBSTITUTE(SUBSTITUTE(SUBSTITUTE(SUBSTITUTE(SUBSTITUTE(ASC(I331&amp;""),"約",""),"程度",""),"ほど",""),"回",""),"毎",""),"週",""),"月",""),"年",""),"日",""),"に",""),"/","")," ","")),""))</f>
        <v/>
      </c>
      <c r="AM331" s="34">
        <f>IF(I331="","",IF(ISNUMBER(I331),I331,IFERROR(VALUE(ASC(I331&amp;"")),IF(AL331&lt;&gt;"",AL331*IF(ISNUMBER(SEARCH("週",I331)),4.3,IF(ISNUMBER(SEARCH("年",I331)),1/12,IF(ISNUMBER(SEARCH("日",I331)),20,1))),IF(ISNUMBER(SEARCH("日",I331)),20,IF(ISNUMBER(SEARCH("週",I331)),4.3,IF(ISNUMBER(SEARCH("月",I331)),1,"")))))))</f>
        <v/>
      </c>
      <c r="AN331" s="34">
        <f>IF(J331="","",IF(ISNUMBER(J331),J331,IFERROR(VALUE(ASC(J331&amp;"")),IF(ISNUMBER(SEARCH("時間",J331)),IFERROR(VALUE(SUBSTITUTE(SUBSTITUTE(SUBSTITUTE(SUBSTITUTE(SUBSTITUTE(ASC(J331&amp;""),"約",""),"程度",""),"ほど",""),"時間","")," ",""))*60,""),IFERROR(VALUE(SUBSTITUTE(SUBSTITUTE(SUBSTITUTE(SUBSTITUTE(SUBSTITUTE(ASC(J331&amp;""),"約",""),"程度",""),"ほど",""),"分","")," ","")),"")))))</f>
        <v/>
      </c>
      <c r="AO331" s="34">
        <f>IF(K331="","",IF(ISNUMBER(K331),K331,IFERROR(VALUE(SUBSTITUTE(SUBSTITUTE(SUBSTITUTE(ASC(K331&amp;""),"約",""),"件","")," ","")),"")))</f>
        <v/>
      </c>
      <c r="AP331" s="34">
        <f>IF(W331&lt;&gt;"OK","",IF(COUNTIFS($D$5:$D$404,D331,$W$5:$W$404,"OK")&gt;1,"同名あり",""))</f>
        <v/>
      </c>
      <c r="AQ331" s="35">
        <f>IF(L331="","",IF(ISNUMBER(L331),L331,IFERROR(DATEVALUE(SUBSTITUTE(SUBSTITUTE(ASC(L331&amp;""),"-","/"),".","/")&amp;"/01"),"")))</f>
        <v/>
      </c>
      <c r="AR331" s="35">
        <f>IF(M331="","",IF(ISNUMBER(M331),M331,IFERROR(DATEVALUE(SUBSTITUTE(SUBSTITUTE(ASC(M331&amp;""),"-","/"),".","/")&amp;"/01"),"")))</f>
        <v/>
      </c>
      <c r="AS331" s="34">
        <f>IF(OR(W331&lt;&gt;"OK",AQ331=""),"",IF(AQ331&gt;='01_設定'!$C$26,1,0))</f>
        <v/>
      </c>
      <c r="AT331" s="34">
        <f>IF(AND(W331="OK",Y331&lt;&gt;"除外"),COUNTIFS($W$5:W331,"OK",$Y$5:Y331,"&lt;&gt;除外"),"")</f>
        <v/>
      </c>
      <c r="AU331" s="34">
        <f>IF(OR(AT331="",AD331=""),"",AD331+ROW()/1000000000)</f>
        <v/>
      </c>
    </row>
    <row r="332">
      <c r="W332">
        <f>IF(AND(A332="",D332=""),"",IF(ISNUMBER(SEARCH("##END",AH332)),"（終わりの印）",IF(ISNUMBER(SEARCH("##続き",AH332)),"（続きありの印）",IF(AH332="調査ID","（見出し行）",IF(AND(AH332&lt;&gt;"R1",AH332&lt;&gt;"R2"),"×表以外の行（集計されない）",IF(COUNTIF($AI$5:AI332,AI332)&gt;1,"△重複（集計されない）",IF(D332="","△タスク名なし",IF(ISNA(MATCH(AK332,'M1_類型マスタ'!$A$5:$A$19,0)),"△類型が不正",IF(OR(AM332="",AN332=""),"△回数・分が読めない",IF(SUMPRODUCT(--ISNUMBER(--O332:U332))&lt;7,"△採点が足りない",IF(SUMPRODUCT((--O332:U332&gt;2)+(--O332:U332&lt;0))&gt;0,"△採点が範囲外","OK")))))))))))</f>
        <v/>
      </c>
      <c r="X332">
        <f>IF(W332&lt;&gt;"OK","",TRIM(IF(AND(AO332&lt;&gt;"",N(AO332)&lt;=1),"根拠1件 ","")&amp;IF(AP332&lt;&gt;"","同名あり ","")&amp;IF(AND(NOT(ISNUMBER(I332)),I332&lt;&gt;""),"回数を換算 ","")))</f>
        <v/>
      </c>
      <c r="Y332" s="31" t="n"/>
      <c r="Z332" s="32" t="n"/>
      <c r="AA332" s="32" t="n"/>
      <c r="AB332" s="31" t="n"/>
      <c r="AC332">
        <f>IF(W332&lt;&gt;"OK","",IF(AB332&lt;&gt;"",AB332,AE332))</f>
        <v/>
      </c>
      <c r="AD332" s="33">
        <f>IF(W332&lt;&gt;"OK","",IFERROR(IF(Z332&lt;&gt;"",Z332,AM332)*IF(AA332&lt;&gt;"",AA332,AN332)/60,""))</f>
        <v/>
      </c>
      <c r="AE332">
        <f>IF(W332&lt;&gt;"OK","",IF(OR(VALUE(O332)=2,VALUE(P332)=2,VALUE(Q332)=2),"社内残置",IF(AND(VALUE(O332)=0,VALUE(R332)=0,VALUE(T332)=0),"自動化候補",IF(AND(VALUE(P332)=0,VALUE(R332)&lt;=1,VALUE(S332)&lt;=1,VALUE(T332)&lt;=1,VALUE(U332)&lt;=1),"オフショア候補",IF(AND(VALUE(T332)&lt;=1,VALUE(U332)&lt;=1),"ニアショア候補","社内で手順化→再評価")))))</f>
        <v/>
      </c>
      <c r="AF332">
        <f>IF(W332&lt;&gt;"OK","",14-SUMPRODUCT(--O332:U332))</f>
        <v/>
      </c>
      <c r="AG332" s="33">
        <f>IF(W332&lt;&gt;"OK","",AM332*AN332/60)</f>
        <v/>
      </c>
      <c r="AH332" s="34">
        <f>IF(A332="","",UPPER(TRIM(ASC(A332&amp;""))))</f>
        <v/>
      </c>
      <c r="AI332" s="34">
        <f>IF(AH332="","",AH332&amp;"-"&amp;B332)</f>
        <v/>
      </c>
      <c r="AJ332" s="34">
        <f>IF(C332="","",IFERROR(VALUE(ASC(SUBSTITUTE(C332&amp;"","観点",""))),""))</f>
        <v/>
      </c>
      <c r="AK332" s="34">
        <f>IF(E332="","",UPPER(LEFT(TRIM(ASC(E332&amp;"")),3)))</f>
        <v/>
      </c>
      <c r="AL332" s="34">
        <f>IF(I332="","",IFERROR(VALUE(SUBSTITUTE(SUBSTITUTE(SUBSTITUTE(SUBSTITUTE(SUBSTITUTE(SUBSTITUTE(SUBSTITUTE(SUBSTITUTE(SUBSTITUTE(SUBSTITUTE(SUBSTITUTE(SUBSTITUTE(ASC(I332&amp;""),"約",""),"程度",""),"ほど",""),"回",""),"毎",""),"週",""),"月",""),"年",""),"日",""),"に",""),"/","")," ","")),""))</f>
        <v/>
      </c>
      <c r="AM332" s="34">
        <f>IF(I332="","",IF(ISNUMBER(I332),I332,IFERROR(VALUE(ASC(I332&amp;"")),IF(AL332&lt;&gt;"",AL332*IF(ISNUMBER(SEARCH("週",I332)),4.3,IF(ISNUMBER(SEARCH("年",I332)),1/12,IF(ISNUMBER(SEARCH("日",I332)),20,1))),IF(ISNUMBER(SEARCH("日",I332)),20,IF(ISNUMBER(SEARCH("週",I332)),4.3,IF(ISNUMBER(SEARCH("月",I332)),1,"")))))))</f>
        <v/>
      </c>
      <c r="AN332" s="34">
        <f>IF(J332="","",IF(ISNUMBER(J332),J332,IFERROR(VALUE(ASC(J332&amp;"")),IF(ISNUMBER(SEARCH("時間",J332)),IFERROR(VALUE(SUBSTITUTE(SUBSTITUTE(SUBSTITUTE(SUBSTITUTE(SUBSTITUTE(ASC(J332&amp;""),"約",""),"程度",""),"ほど",""),"時間","")," ",""))*60,""),IFERROR(VALUE(SUBSTITUTE(SUBSTITUTE(SUBSTITUTE(SUBSTITUTE(SUBSTITUTE(ASC(J332&amp;""),"約",""),"程度",""),"ほど",""),"分","")," ","")),"")))))</f>
        <v/>
      </c>
      <c r="AO332" s="34">
        <f>IF(K332="","",IF(ISNUMBER(K332),K332,IFERROR(VALUE(SUBSTITUTE(SUBSTITUTE(SUBSTITUTE(ASC(K332&amp;""),"約",""),"件","")," ","")),"")))</f>
        <v/>
      </c>
      <c r="AP332" s="34">
        <f>IF(W332&lt;&gt;"OK","",IF(COUNTIFS($D$5:$D$404,D332,$W$5:$W$404,"OK")&gt;1,"同名あり",""))</f>
        <v/>
      </c>
      <c r="AQ332" s="35">
        <f>IF(L332="","",IF(ISNUMBER(L332),L332,IFERROR(DATEVALUE(SUBSTITUTE(SUBSTITUTE(ASC(L332&amp;""),"-","/"),".","/")&amp;"/01"),"")))</f>
        <v/>
      </c>
      <c r="AR332" s="35">
        <f>IF(M332="","",IF(ISNUMBER(M332),M332,IFERROR(DATEVALUE(SUBSTITUTE(SUBSTITUTE(ASC(M332&amp;""),"-","/"),".","/")&amp;"/01"),"")))</f>
        <v/>
      </c>
      <c r="AS332" s="34">
        <f>IF(OR(W332&lt;&gt;"OK",AQ332=""),"",IF(AQ332&gt;='01_設定'!$C$26,1,0))</f>
        <v/>
      </c>
      <c r="AT332" s="34">
        <f>IF(AND(W332="OK",Y332&lt;&gt;"除外"),COUNTIFS($W$5:W332,"OK",$Y$5:Y332,"&lt;&gt;除外"),"")</f>
        <v/>
      </c>
      <c r="AU332" s="34">
        <f>IF(OR(AT332="",AD332=""),"",AD332+ROW()/1000000000)</f>
        <v/>
      </c>
    </row>
    <row r="333">
      <c r="W333">
        <f>IF(AND(A333="",D333=""),"",IF(ISNUMBER(SEARCH("##END",AH333)),"（終わりの印）",IF(ISNUMBER(SEARCH("##続き",AH333)),"（続きありの印）",IF(AH333="調査ID","（見出し行）",IF(AND(AH333&lt;&gt;"R1",AH333&lt;&gt;"R2"),"×表以外の行（集計されない）",IF(COUNTIF($AI$5:AI333,AI333)&gt;1,"△重複（集計されない）",IF(D333="","△タスク名なし",IF(ISNA(MATCH(AK333,'M1_類型マスタ'!$A$5:$A$19,0)),"△類型が不正",IF(OR(AM333="",AN333=""),"△回数・分が読めない",IF(SUMPRODUCT(--ISNUMBER(--O333:U333))&lt;7,"△採点が足りない",IF(SUMPRODUCT((--O333:U333&gt;2)+(--O333:U333&lt;0))&gt;0,"△採点が範囲外","OK")))))))))))</f>
        <v/>
      </c>
      <c r="X333">
        <f>IF(W333&lt;&gt;"OK","",TRIM(IF(AND(AO333&lt;&gt;"",N(AO333)&lt;=1),"根拠1件 ","")&amp;IF(AP333&lt;&gt;"","同名あり ","")&amp;IF(AND(NOT(ISNUMBER(I333)),I333&lt;&gt;""),"回数を換算 ","")))</f>
        <v/>
      </c>
      <c r="Y333" s="31" t="n"/>
      <c r="Z333" s="32" t="n"/>
      <c r="AA333" s="32" t="n"/>
      <c r="AB333" s="31" t="n"/>
      <c r="AC333">
        <f>IF(W333&lt;&gt;"OK","",IF(AB333&lt;&gt;"",AB333,AE333))</f>
        <v/>
      </c>
      <c r="AD333" s="33">
        <f>IF(W333&lt;&gt;"OK","",IFERROR(IF(Z333&lt;&gt;"",Z333,AM333)*IF(AA333&lt;&gt;"",AA333,AN333)/60,""))</f>
        <v/>
      </c>
      <c r="AE333">
        <f>IF(W333&lt;&gt;"OK","",IF(OR(VALUE(O333)=2,VALUE(P333)=2,VALUE(Q333)=2),"社内残置",IF(AND(VALUE(O333)=0,VALUE(R333)=0,VALUE(T333)=0),"自動化候補",IF(AND(VALUE(P333)=0,VALUE(R333)&lt;=1,VALUE(S333)&lt;=1,VALUE(T333)&lt;=1,VALUE(U333)&lt;=1),"オフショア候補",IF(AND(VALUE(T333)&lt;=1,VALUE(U333)&lt;=1),"ニアショア候補","社内で手順化→再評価")))))</f>
        <v/>
      </c>
      <c r="AF333">
        <f>IF(W333&lt;&gt;"OK","",14-SUMPRODUCT(--O333:U333))</f>
        <v/>
      </c>
      <c r="AG333" s="33">
        <f>IF(W333&lt;&gt;"OK","",AM333*AN333/60)</f>
        <v/>
      </c>
      <c r="AH333" s="34">
        <f>IF(A333="","",UPPER(TRIM(ASC(A333&amp;""))))</f>
        <v/>
      </c>
      <c r="AI333" s="34">
        <f>IF(AH333="","",AH333&amp;"-"&amp;B333)</f>
        <v/>
      </c>
      <c r="AJ333" s="34">
        <f>IF(C333="","",IFERROR(VALUE(ASC(SUBSTITUTE(C333&amp;"","観点",""))),""))</f>
        <v/>
      </c>
      <c r="AK333" s="34">
        <f>IF(E333="","",UPPER(LEFT(TRIM(ASC(E333&amp;"")),3)))</f>
        <v/>
      </c>
      <c r="AL333" s="34">
        <f>IF(I333="","",IFERROR(VALUE(SUBSTITUTE(SUBSTITUTE(SUBSTITUTE(SUBSTITUTE(SUBSTITUTE(SUBSTITUTE(SUBSTITUTE(SUBSTITUTE(SUBSTITUTE(SUBSTITUTE(SUBSTITUTE(SUBSTITUTE(ASC(I333&amp;""),"約",""),"程度",""),"ほど",""),"回",""),"毎",""),"週",""),"月",""),"年",""),"日",""),"に",""),"/","")," ","")),""))</f>
        <v/>
      </c>
      <c r="AM333" s="34">
        <f>IF(I333="","",IF(ISNUMBER(I333),I333,IFERROR(VALUE(ASC(I333&amp;"")),IF(AL333&lt;&gt;"",AL333*IF(ISNUMBER(SEARCH("週",I333)),4.3,IF(ISNUMBER(SEARCH("年",I333)),1/12,IF(ISNUMBER(SEARCH("日",I333)),20,1))),IF(ISNUMBER(SEARCH("日",I333)),20,IF(ISNUMBER(SEARCH("週",I333)),4.3,IF(ISNUMBER(SEARCH("月",I333)),1,"")))))))</f>
        <v/>
      </c>
      <c r="AN333" s="34">
        <f>IF(J333="","",IF(ISNUMBER(J333),J333,IFERROR(VALUE(ASC(J333&amp;"")),IF(ISNUMBER(SEARCH("時間",J333)),IFERROR(VALUE(SUBSTITUTE(SUBSTITUTE(SUBSTITUTE(SUBSTITUTE(SUBSTITUTE(ASC(J333&amp;""),"約",""),"程度",""),"ほど",""),"時間","")," ",""))*60,""),IFERROR(VALUE(SUBSTITUTE(SUBSTITUTE(SUBSTITUTE(SUBSTITUTE(SUBSTITUTE(ASC(J333&amp;""),"約",""),"程度",""),"ほど",""),"分","")," ","")),"")))))</f>
        <v/>
      </c>
      <c r="AO333" s="34">
        <f>IF(K333="","",IF(ISNUMBER(K333),K333,IFERROR(VALUE(SUBSTITUTE(SUBSTITUTE(SUBSTITUTE(ASC(K333&amp;""),"約",""),"件","")," ","")),"")))</f>
        <v/>
      </c>
      <c r="AP333" s="34">
        <f>IF(W333&lt;&gt;"OK","",IF(COUNTIFS($D$5:$D$404,D333,$W$5:$W$404,"OK")&gt;1,"同名あり",""))</f>
        <v/>
      </c>
      <c r="AQ333" s="35">
        <f>IF(L333="","",IF(ISNUMBER(L333),L333,IFERROR(DATEVALUE(SUBSTITUTE(SUBSTITUTE(ASC(L333&amp;""),"-","/"),".","/")&amp;"/01"),"")))</f>
        <v/>
      </c>
      <c r="AR333" s="35">
        <f>IF(M333="","",IF(ISNUMBER(M333),M333,IFERROR(DATEVALUE(SUBSTITUTE(SUBSTITUTE(ASC(M333&amp;""),"-","/"),".","/")&amp;"/01"),"")))</f>
        <v/>
      </c>
      <c r="AS333" s="34">
        <f>IF(OR(W333&lt;&gt;"OK",AQ333=""),"",IF(AQ333&gt;='01_設定'!$C$26,1,0))</f>
        <v/>
      </c>
      <c r="AT333" s="34">
        <f>IF(AND(W333="OK",Y333&lt;&gt;"除外"),COUNTIFS($W$5:W333,"OK",$Y$5:Y333,"&lt;&gt;除外"),"")</f>
        <v/>
      </c>
      <c r="AU333" s="34">
        <f>IF(OR(AT333="",AD333=""),"",AD333+ROW()/1000000000)</f>
        <v/>
      </c>
    </row>
    <row r="334">
      <c r="W334">
        <f>IF(AND(A334="",D334=""),"",IF(ISNUMBER(SEARCH("##END",AH334)),"（終わりの印）",IF(ISNUMBER(SEARCH("##続き",AH334)),"（続きありの印）",IF(AH334="調査ID","（見出し行）",IF(AND(AH334&lt;&gt;"R1",AH334&lt;&gt;"R2"),"×表以外の行（集計されない）",IF(COUNTIF($AI$5:AI334,AI334)&gt;1,"△重複（集計されない）",IF(D334="","△タスク名なし",IF(ISNA(MATCH(AK334,'M1_類型マスタ'!$A$5:$A$19,0)),"△類型が不正",IF(OR(AM334="",AN334=""),"△回数・分が読めない",IF(SUMPRODUCT(--ISNUMBER(--O334:U334))&lt;7,"△採点が足りない",IF(SUMPRODUCT((--O334:U334&gt;2)+(--O334:U334&lt;0))&gt;0,"△採点が範囲外","OK")))))))))))</f>
        <v/>
      </c>
      <c r="X334">
        <f>IF(W334&lt;&gt;"OK","",TRIM(IF(AND(AO334&lt;&gt;"",N(AO334)&lt;=1),"根拠1件 ","")&amp;IF(AP334&lt;&gt;"","同名あり ","")&amp;IF(AND(NOT(ISNUMBER(I334)),I334&lt;&gt;""),"回数を換算 ","")))</f>
        <v/>
      </c>
      <c r="Y334" s="31" t="n"/>
      <c r="Z334" s="32" t="n"/>
      <c r="AA334" s="32" t="n"/>
      <c r="AB334" s="31" t="n"/>
      <c r="AC334">
        <f>IF(W334&lt;&gt;"OK","",IF(AB334&lt;&gt;"",AB334,AE334))</f>
        <v/>
      </c>
      <c r="AD334" s="33">
        <f>IF(W334&lt;&gt;"OK","",IFERROR(IF(Z334&lt;&gt;"",Z334,AM334)*IF(AA334&lt;&gt;"",AA334,AN334)/60,""))</f>
        <v/>
      </c>
      <c r="AE334">
        <f>IF(W334&lt;&gt;"OK","",IF(OR(VALUE(O334)=2,VALUE(P334)=2,VALUE(Q334)=2),"社内残置",IF(AND(VALUE(O334)=0,VALUE(R334)=0,VALUE(T334)=0),"自動化候補",IF(AND(VALUE(P334)=0,VALUE(R334)&lt;=1,VALUE(S334)&lt;=1,VALUE(T334)&lt;=1,VALUE(U334)&lt;=1),"オフショア候補",IF(AND(VALUE(T334)&lt;=1,VALUE(U334)&lt;=1),"ニアショア候補","社内で手順化→再評価")))))</f>
        <v/>
      </c>
      <c r="AF334">
        <f>IF(W334&lt;&gt;"OK","",14-SUMPRODUCT(--O334:U334))</f>
        <v/>
      </c>
      <c r="AG334" s="33">
        <f>IF(W334&lt;&gt;"OK","",AM334*AN334/60)</f>
        <v/>
      </c>
      <c r="AH334" s="34">
        <f>IF(A334="","",UPPER(TRIM(ASC(A334&amp;""))))</f>
        <v/>
      </c>
      <c r="AI334" s="34">
        <f>IF(AH334="","",AH334&amp;"-"&amp;B334)</f>
        <v/>
      </c>
      <c r="AJ334" s="34">
        <f>IF(C334="","",IFERROR(VALUE(ASC(SUBSTITUTE(C334&amp;"","観点",""))),""))</f>
        <v/>
      </c>
      <c r="AK334" s="34">
        <f>IF(E334="","",UPPER(LEFT(TRIM(ASC(E334&amp;"")),3)))</f>
        <v/>
      </c>
      <c r="AL334" s="34">
        <f>IF(I334="","",IFERROR(VALUE(SUBSTITUTE(SUBSTITUTE(SUBSTITUTE(SUBSTITUTE(SUBSTITUTE(SUBSTITUTE(SUBSTITUTE(SUBSTITUTE(SUBSTITUTE(SUBSTITUTE(SUBSTITUTE(SUBSTITUTE(ASC(I334&amp;""),"約",""),"程度",""),"ほど",""),"回",""),"毎",""),"週",""),"月",""),"年",""),"日",""),"に",""),"/","")," ","")),""))</f>
        <v/>
      </c>
      <c r="AM334" s="34">
        <f>IF(I334="","",IF(ISNUMBER(I334),I334,IFERROR(VALUE(ASC(I334&amp;"")),IF(AL334&lt;&gt;"",AL334*IF(ISNUMBER(SEARCH("週",I334)),4.3,IF(ISNUMBER(SEARCH("年",I334)),1/12,IF(ISNUMBER(SEARCH("日",I334)),20,1))),IF(ISNUMBER(SEARCH("日",I334)),20,IF(ISNUMBER(SEARCH("週",I334)),4.3,IF(ISNUMBER(SEARCH("月",I334)),1,"")))))))</f>
        <v/>
      </c>
      <c r="AN334" s="34">
        <f>IF(J334="","",IF(ISNUMBER(J334),J334,IFERROR(VALUE(ASC(J334&amp;"")),IF(ISNUMBER(SEARCH("時間",J334)),IFERROR(VALUE(SUBSTITUTE(SUBSTITUTE(SUBSTITUTE(SUBSTITUTE(SUBSTITUTE(ASC(J334&amp;""),"約",""),"程度",""),"ほど",""),"時間","")," ",""))*60,""),IFERROR(VALUE(SUBSTITUTE(SUBSTITUTE(SUBSTITUTE(SUBSTITUTE(SUBSTITUTE(ASC(J334&amp;""),"約",""),"程度",""),"ほど",""),"分","")," ","")),"")))))</f>
        <v/>
      </c>
      <c r="AO334" s="34">
        <f>IF(K334="","",IF(ISNUMBER(K334),K334,IFERROR(VALUE(SUBSTITUTE(SUBSTITUTE(SUBSTITUTE(ASC(K334&amp;""),"約",""),"件","")," ","")),"")))</f>
        <v/>
      </c>
      <c r="AP334" s="34">
        <f>IF(W334&lt;&gt;"OK","",IF(COUNTIFS($D$5:$D$404,D334,$W$5:$W$404,"OK")&gt;1,"同名あり",""))</f>
        <v/>
      </c>
      <c r="AQ334" s="35">
        <f>IF(L334="","",IF(ISNUMBER(L334),L334,IFERROR(DATEVALUE(SUBSTITUTE(SUBSTITUTE(ASC(L334&amp;""),"-","/"),".","/")&amp;"/01"),"")))</f>
        <v/>
      </c>
      <c r="AR334" s="35">
        <f>IF(M334="","",IF(ISNUMBER(M334),M334,IFERROR(DATEVALUE(SUBSTITUTE(SUBSTITUTE(ASC(M334&amp;""),"-","/"),".","/")&amp;"/01"),"")))</f>
        <v/>
      </c>
      <c r="AS334" s="34">
        <f>IF(OR(W334&lt;&gt;"OK",AQ334=""),"",IF(AQ334&gt;='01_設定'!$C$26,1,0))</f>
        <v/>
      </c>
      <c r="AT334" s="34">
        <f>IF(AND(W334="OK",Y334&lt;&gt;"除外"),COUNTIFS($W$5:W334,"OK",$Y$5:Y334,"&lt;&gt;除外"),"")</f>
        <v/>
      </c>
      <c r="AU334" s="34">
        <f>IF(OR(AT334="",AD334=""),"",AD334+ROW()/1000000000)</f>
        <v/>
      </c>
    </row>
    <row r="335">
      <c r="W335">
        <f>IF(AND(A335="",D335=""),"",IF(ISNUMBER(SEARCH("##END",AH335)),"（終わりの印）",IF(ISNUMBER(SEARCH("##続き",AH335)),"（続きありの印）",IF(AH335="調査ID","（見出し行）",IF(AND(AH335&lt;&gt;"R1",AH335&lt;&gt;"R2"),"×表以外の行（集計されない）",IF(COUNTIF($AI$5:AI335,AI335)&gt;1,"△重複（集計されない）",IF(D335="","△タスク名なし",IF(ISNA(MATCH(AK335,'M1_類型マスタ'!$A$5:$A$19,0)),"△類型が不正",IF(OR(AM335="",AN335=""),"△回数・分が読めない",IF(SUMPRODUCT(--ISNUMBER(--O335:U335))&lt;7,"△採点が足りない",IF(SUMPRODUCT((--O335:U335&gt;2)+(--O335:U335&lt;0))&gt;0,"△採点が範囲外","OK")))))))))))</f>
        <v/>
      </c>
      <c r="X335">
        <f>IF(W335&lt;&gt;"OK","",TRIM(IF(AND(AO335&lt;&gt;"",N(AO335)&lt;=1),"根拠1件 ","")&amp;IF(AP335&lt;&gt;"","同名あり ","")&amp;IF(AND(NOT(ISNUMBER(I335)),I335&lt;&gt;""),"回数を換算 ","")))</f>
        <v/>
      </c>
      <c r="Y335" s="31" t="n"/>
      <c r="Z335" s="32" t="n"/>
      <c r="AA335" s="32" t="n"/>
      <c r="AB335" s="31" t="n"/>
      <c r="AC335">
        <f>IF(W335&lt;&gt;"OK","",IF(AB335&lt;&gt;"",AB335,AE335))</f>
        <v/>
      </c>
      <c r="AD335" s="33">
        <f>IF(W335&lt;&gt;"OK","",IFERROR(IF(Z335&lt;&gt;"",Z335,AM335)*IF(AA335&lt;&gt;"",AA335,AN335)/60,""))</f>
        <v/>
      </c>
      <c r="AE335">
        <f>IF(W335&lt;&gt;"OK","",IF(OR(VALUE(O335)=2,VALUE(P335)=2,VALUE(Q335)=2),"社内残置",IF(AND(VALUE(O335)=0,VALUE(R335)=0,VALUE(T335)=0),"自動化候補",IF(AND(VALUE(P335)=0,VALUE(R335)&lt;=1,VALUE(S335)&lt;=1,VALUE(T335)&lt;=1,VALUE(U335)&lt;=1),"オフショア候補",IF(AND(VALUE(T335)&lt;=1,VALUE(U335)&lt;=1),"ニアショア候補","社内で手順化→再評価")))))</f>
        <v/>
      </c>
      <c r="AF335">
        <f>IF(W335&lt;&gt;"OK","",14-SUMPRODUCT(--O335:U335))</f>
        <v/>
      </c>
      <c r="AG335" s="33">
        <f>IF(W335&lt;&gt;"OK","",AM335*AN335/60)</f>
        <v/>
      </c>
      <c r="AH335" s="34">
        <f>IF(A335="","",UPPER(TRIM(ASC(A335&amp;""))))</f>
        <v/>
      </c>
      <c r="AI335" s="34">
        <f>IF(AH335="","",AH335&amp;"-"&amp;B335)</f>
        <v/>
      </c>
      <c r="AJ335" s="34">
        <f>IF(C335="","",IFERROR(VALUE(ASC(SUBSTITUTE(C335&amp;"","観点",""))),""))</f>
        <v/>
      </c>
      <c r="AK335" s="34">
        <f>IF(E335="","",UPPER(LEFT(TRIM(ASC(E335&amp;"")),3)))</f>
        <v/>
      </c>
      <c r="AL335" s="34">
        <f>IF(I335="","",IFERROR(VALUE(SUBSTITUTE(SUBSTITUTE(SUBSTITUTE(SUBSTITUTE(SUBSTITUTE(SUBSTITUTE(SUBSTITUTE(SUBSTITUTE(SUBSTITUTE(SUBSTITUTE(SUBSTITUTE(SUBSTITUTE(ASC(I335&amp;""),"約",""),"程度",""),"ほど",""),"回",""),"毎",""),"週",""),"月",""),"年",""),"日",""),"に",""),"/","")," ","")),""))</f>
        <v/>
      </c>
      <c r="AM335" s="34">
        <f>IF(I335="","",IF(ISNUMBER(I335),I335,IFERROR(VALUE(ASC(I335&amp;"")),IF(AL335&lt;&gt;"",AL335*IF(ISNUMBER(SEARCH("週",I335)),4.3,IF(ISNUMBER(SEARCH("年",I335)),1/12,IF(ISNUMBER(SEARCH("日",I335)),20,1))),IF(ISNUMBER(SEARCH("日",I335)),20,IF(ISNUMBER(SEARCH("週",I335)),4.3,IF(ISNUMBER(SEARCH("月",I335)),1,"")))))))</f>
        <v/>
      </c>
      <c r="AN335" s="34">
        <f>IF(J335="","",IF(ISNUMBER(J335),J335,IFERROR(VALUE(ASC(J335&amp;"")),IF(ISNUMBER(SEARCH("時間",J335)),IFERROR(VALUE(SUBSTITUTE(SUBSTITUTE(SUBSTITUTE(SUBSTITUTE(SUBSTITUTE(ASC(J335&amp;""),"約",""),"程度",""),"ほど",""),"時間","")," ",""))*60,""),IFERROR(VALUE(SUBSTITUTE(SUBSTITUTE(SUBSTITUTE(SUBSTITUTE(SUBSTITUTE(ASC(J335&amp;""),"約",""),"程度",""),"ほど",""),"分","")," ","")),"")))))</f>
        <v/>
      </c>
      <c r="AO335" s="34">
        <f>IF(K335="","",IF(ISNUMBER(K335),K335,IFERROR(VALUE(SUBSTITUTE(SUBSTITUTE(SUBSTITUTE(ASC(K335&amp;""),"約",""),"件","")," ","")),"")))</f>
        <v/>
      </c>
      <c r="AP335" s="34">
        <f>IF(W335&lt;&gt;"OK","",IF(COUNTIFS($D$5:$D$404,D335,$W$5:$W$404,"OK")&gt;1,"同名あり",""))</f>
        <v/>
      </c>
      <c r="AQ335" s="35">
        <f>IF(L335="","",IF(ISNUMBER(L335),L335,IFERROR(DATEVALUE(SUBSTITUTE(SUBSTITUTE(ASC(L335&amp;""),"-","/"),".","/")&amp;"/01"),"")))</f>
        <v/>
      </c>
      <c r="AR335" s="35">
        <f>IF(M335="","",IF(ISNUMBER(M335),M335,IFERROR(DATEVALUE(SUBSTITUTE(SUBSTITUTE(ASC(M335&amp;""),"-","/"),".","/")&amp;"/01"),"")))</f>
        <v/>
      </c>
      <c r="AS335" s="34">
        <f>IF(OR(W335&lt;&gt;"OK",AQ335=""),"",IF(AQ335&gt;='01_設定'!$C$26,1,0))</f>
        <v/>
      </c>
      <c r="AT335" s="34">
        <f>IF(AND(W335="OK",Y335&lt;&gt;"除外"),COUNTIFS($W$5:W335,"OK",$Y$5:Y335,"&lt;&gt;除外"),"")</f>
        <v/>
      </c>
      <c r="AU335" s="34">
        <f>IF(OR(AT335="",AD335=""),"",AD335+ROW()/1000000000)</f>
        <v/>
      </c>
    </row>
    <row r="336">
      <c r="W336">
        <f>IF(AND(A336="",D336=""),"",IF(ISNUMBER(SEARCH("##END",AH336)),"（終わりの印）",IF(ISNUMBER(SEARCH("##続き",AH336)),"（続きありの印）",IF(AH336="調査ID","（見出し行）",IF(AND(AH336&lt;&gt;"R1",AH336&lt;&gt;"R2"),"×表以外の行（集計されない）",IF(COUNTIF($AI$5:AI336,AI336)&gt;1,"△重複（集計されない）",IF(D336="","△タスク名なし",IF(ISNA(MATCH(AK336,'M1_類型マスタ'!$A$5:$A$19,0)),"△類型が不正",IF(OR(AM336="",AN336=""),"△回数・分が読めない",IF(SUMPRODUCT(--ISNUMBER(--O336:U336))&lt;7,"△採点が足りない",IF(SUMPRODUCT((--O336:U336&gt;2)+(--O336:U336&lt;0))&gt;0,"△採点が範囲外","OK")))))))))))</f>
        <v/>
      </c>
      <c r="X336">
        <f>IF(W336&lt;&gt;"OK","",TRIM(IF(AND(AO336&lt;&gt;"",N(AO336)&lt;=1),"根拠1件 ","")&amp;IF(AP336&lt;&gt;"","同名あり ","")&amp;IF(AND(NOT(ISNUMBER(I336)),I336&lt;&gt;""),"回数を換算 ","")))</f>
        <v/>
      </c>
      <c r="Y336" s="31" t="n"/>
      <c r="Z336" s="32" t="n"/>
      <c r="AA336" s="32" t="n"/>
      <c r="AB336" s="31" t="n"/>
      <c r="AC336">
        <f>IF(W336&lt;&gt;"OK","",IF(AB336&lt;&gt;"",AB336,AE336))</f>
        <v/>
      </c>
      <c r="AD336" s="33">
        <f>IF(W336&lt;&gt;"OK","",IFERROR(IF(Z336&lt;&gt;"",Z336,AM336)*IF(AA336&lt;&gt;"",AA336,AN336)/60,""))</f>
        <v/>
      </c>
      <c r="AE336">
        <f>IF(W336&lt;&gt;"OK","",IF(OR(VALUE(O336)=2,VALUE(P336)=2,VALUE(Q336)=2),"社内残置",IF(AND(VALUE(O336)=0,VALUE(R336)=0,VALUE(T336)=0),"自動化候補",IF(AND(VALUE(P336)=0,VALUE(R336)&lt;=1,VALUE(S336)&lt;=1,VALUE(T336)&lt;=1,VALUE(U336)&lt;=1),"オフショア候補",IF(AND(VALUE(T336)&lt;=1,VALUE(U336)&lt;=1),"ニアショア候補","社内で手順化→再評価")))))</f>
        <v/>
      </c>
      <c r="AF336">
        <f>IF(W336&lt;&gt;"OK","",14-SUMPRODUCT(--O336:U336))</f>
        <v/>
      </c>
      <c r="AG336" s="33">
        <f>IF(W336&lt;&gt;"OK","",AM336*AN336/60)</f>
        <v/>
      </c>
      <c r="AH336" s="34">
        <f>IF(A336="","",UPPER(TRIM(ASC(A336&amp;""))))</f>
        <v/>
      </c>
      <c r="AI336" s="34">
        <f>IF(AH336="","",AH336&amp;"-"&amp;B336)</f>
        <v/>
      </c>
      <c r="AJ336" s="34">
        <f>IF(C336="","",IFERROR(VALUE(ASC(SUBSTITUTE(C336&amp;"","観点",""))),""))</f>
        <v/>
      </c>
      <c r="AK336" s="34">
        <f>IF(E336="","",UPPER(LEFT(TRIM(ASC(E336&amp;"")),3)))</f>
        <v/>
      </c>
      <c r="AL336" s="34">
        <f>IF(I336="","",IFERROR(VALUE(SUBSTITUTE(SUBSTITUTE(SUBSTITUTE(SUBSTITUTE(SUBSTITUTE(SUBSTITUTE(SUBSTITUTE(SUBSTITUTE(SUBSTITUTE(SUBSTITUTE(SUBSTITUTE(SUBSTITUTE(ASC(I336&amp;""),"約",""),"程度",""),"ほど",""),"回",""),"毎",""),"週",""),"月",""),"年",""),"日",""),"に",""),"/","")," ","")),""))</f>
        <v/>
      </c>
      <c r="AM336" s="34">
        <f>IF(I336="","",IF(ISNUMBER(I336),I336,IFERROR(VALUE(ASC(I336&amp;"")),IF(AL336&lt;&gt;"",AL336*IF(ISNUMBER(SEARCH("週",I336)),4.3,IF(ISNUMBER(SEARCH("年",I336)),1/12,IF(ISNUMBER(SEARCH("日",I336)),20,1))),IF(ISNUMBER(SEARCH("日",I336)),20,IF(ISNUMBER(SEARCH("週",I336)),4.3,IF(ISNUMBER(SEARCH("月",I336)),1,"")))))))</f>
        <v/>
      </c>
      <c r="AN336" s="34">
        <f>IF(J336="","",IF(ISNUMBER(J336),J336,IFERROR(VALUE(ASC(J336&amp;"")),IF(ISNUMBER(SEARCH("時間",J336)),IFERROR(VALUE(SUBSTITUTE(SUBSTITUTE(SUBSTITUTE(SUBSTITUTE(SUBSTITUTE(ASC(J336&amp;""),"約",""),"程度",""),"ほど",""),"時間","")," ",""))*60,""),IFERROR(VALUE(SUBSTITUTE(SUBSTITUTE(SUBSTITUTE(SUBSTITUTE(SUBSTITUTE(ASC(J336&amp;""),"約",""),"程度",""),"ほど",""),"分","")," ","")),"")))))</f>
        <v/>
      </c>
      <c r="AO336" s="34">
        <f>IF(K336="","",IF(ISNUMBER(K336),K336,IFERROR(VALUE(SUBSTITUTE(SUBSTITUTE(SUBSTITUTE(ASC(K336&amp;""),"約",""),"件","")," ","")),"")))</f>
        <v/>
      </c>
      <c r="AP336" s="34">
        <f>IF(W336&lt;&gt;"OK","",IF(COUNTIFS($D$5:$D$404,D336,$W$5:$W$404,"OK")&gt;1,"同名あり",""))</f>
        <v/>
      </c>
      <c r="AQ336" s="35">
        <f>IF(L336="","",IF(ISNUMBER(L336),L336,IFERROR(DATEVALUE(SUBSTITUTE(SUBSTITUTE(ASC(L336&amp;""),"-","/"),".","/")&amp;"/01"),"")))</f>
        <v/>
      </c>
      <c r="AR336" s="35">
        <f>IF(M336="","",IF(ISNUMBER(M336),M336,IFERROR(DATEVALUE(SUBSTITUTE(SUBSTITUTE(ASC(M336&amp;""),"-","/"),".","/")&amp;"/01"),"")))</f>
        <v/>
      </c>
      <c r="AS336" s="34">
        <f>IF(OR(W336&lt;&gt;"OK",AQ336=""),"",IF(AQ336&gt;='01_設定'!$C$26,1,0))</f>
        <v/>
      </c>
      <c r="AT336" s="34">
        <f>IF(AND(W336="OK",Y336&lt;&gt;"除外"),COUNTIFS($W$5:W336,"OK",$Y$5:Y336,"&lt;&gt;除外"),"")</f>
        <v/>
      </c>
      <c r="AU336" s="34">
        <f>IF(OR(AT336="",AD336=""),"",AD336+ROW()/1000000000)</f>
        <v/>
      </c>
    </row>
    <row r="337">
      <c r="W337">
        <f>IF(AND(A337="",D337=""),"",IF(ISNUMBER(SEARCH("##END",AH337)),"（終わりの印）",IF(ISNUMBER(SEARCH("##続き",AH337)),"（続きありの印）",IF(AH337="調査ID","（見出し行）",IF(AND(AH337&lt;&gt;"R1",AH337&lt;&gt;"R2"),"×表以外の行（集計されない）",IF(COUNTIF($AI$5:AI337,AI337)&gt;1,"△重複（集計されない）",IF(D337="","△タスク名なし",IF(ISNA(MATCH(AK337,'M1_類型マスタ'!$A$5:$A$19,0)),"△類型が不正",IF(OR(AM337="",AN337=""),"△回数・分が読めない",IF(SUMPRODUCT(--ISNUMBER(--O337:U337))&lt;7,"△採点が足りない",IF(SUMPRODUCT((--O337:U337&gt;2)+(--O337:U337&lt;0))&gt;0,"△採点が範囲外","OK")))))))))))</f>
        <v/>
      </c>
      <c r="X337">
        <f>IF(W337&lt;&gt;"OK","",TRIM(IF(AND(AO337&lt;&gt;"",N(AO337)&lt;=1),"根拠1件 ","")&amp;IF(AP337&lt;&gt;"","同名あり ","")&amp;IF(AND(NOT(ISNUMBER(I337)),I337&lt;&gt;""),"回数を換算 ","")))</f>
        <v/>
      </c>
      <c r="Y337" s="31" t="n"/>
      <c r="Z337" s="32" t="n"/>
      <c r="AA337" s="32" t="n"/>
      <c r="AB337" s="31" t="n"/>
      <c r="AC337">
        <f>IF(W337&lt;&gt;"OK","",IF(AB337&lt;&gt;"",AB337,AE337))</f>
        <v/>
      </c>
      <c r="AD337" s="33">
        <f>IF(W337&lt;&gt;"OK","",IFERROR(IF(Z337&lt;&gt;"",Z337,AM337)*IF(AA337&lt;&gt;"",AA337,AN337)/60,""))</f>
        <v/>
      </c>
      <c r="AE337">
        <f>IF(W337&lt;&gt;"OK","",IF(OR(VALUE(O337)=2,VALUE(P337)=2,VALUE(Q337)=2),"社内残置",IF(AND(VALUE(O337)=0,VALUE(R337)=0,VALUE(T337)=0),"自動化候補",IF(AND(VALUE(P337)=0,VALUE(R337)&lt;=1,VALUE(S337)&lt;=1,VALUE(T337)&lt;=1,VALUE(U337)&lt;=1),"オフショア候補",IF(AND(VALUE(T337)&lt;=1,VALUE(U337)&lt;=1),"ニアショア候補","社内で手順化→再評価")))))</f>
        <v/>
      </c>
      <c r="AF337">
        <f>IF(W337&lt;&gt;"OK","",14-SUMPRODUCT(--O337:U337))</f>
        <v/>
      </c>
      <c r="AG337" s="33">
        <f>IF(W337&lt;&gt;"OK","",AM337*AN337/60)</f>
        <v/>
      </c>
      <c r="AH337" s="34">
        <f>IF(A337="","",UPPER(TRIM(ASC(A337&amp;""))))</f>
        <v/>
      </c>
      <c r="AI337" s="34">
        <f>IF(AH337="","",AH337&amp;"-"&amp;B337)</f>
        <v/>
      </c>
      <c r="AJ337" s="34">
        <f>IF(C337="","",IFERROR(VALUE(ASC(SUBSTITUTE(C337&amp;"","観点",""))),""))</f>
        <v/>
      </c>
      <c r="AK337" s="34">
        <f>IF(E337="","",UPPER(LEFT(TRIM(ASC(E337&amp;"")),3)))</f>
        <v/>
      </c>
      <c r="AL337" s="34">
        <f>IF(I337="","",IFERROR(VALUE(SUBSTITUTE(SUBSTITUTE(SUBSTITUTE(SUBSTITUTE(SUBSTITUTE(SUBSTITUTE(SUBSTITUTE(SUBSTITUTE(SUBSTITUTE(SUBSTITUTE(SUBSTITUTE(SUBSTITUTE(ASC(I337&amp;""),"約",""),"程度",""),"ほど",""),"回",""),"毎",""),"週",""),"月",""),"年",""),"日",""),"に",""),"/","")," ","")),""))</f>
        <v/>
      </c>
      <c r="AM337" s="34">
        <f>IF(I337="","",IF(ISNUMBER(I337),I337,IFERROR(VALUE(ASC(I337&amp;"")),IF(AL337&lt;&gt;"",AL337*IF(ISNUMBER(SEARCH("週",I337)),4.3,IF(ISNUMBER(SEARCH("年",I337)),1/12,IF(ISNUMBER(SEARCH("日",I337)),20,1))),IF(ISNUMBER(SEARCH("日",I337)),20,IF(ISNUMBER(SEARCH("週",I337)),4.3,IF(ISNUMBER(SEARCH("月",I337)),1,"")))))))</f>
        <v/>
      </c>
      <c r="AN337" s="34">
        <f>IF(J337="","",IF(ISNUMBER(J337),J337,IFERROR(VALUE(ASC(J337&amp;"")),IF(ISNUMBER(SEARCH("時間",J337)),IFERROR(VALUE(SUBSTITUTE(SUBSTITUTE(SUBSTITUTE(SUBSTITUTE(SUBSTITUTE(ASC(J337&amp;""),"約",""),"程度",""),"ほど",""),"時間","")," ",""))*60,""),IFERROR(VALUE(SUBSTITUTE(SUBSTITUTE(SUBSTITUTE(SUBSTITUTE(SUBSTITUTE(ASC(J337&amp;""),"約",""),"程度",""),"ほど",""),"分","")," ","")),"")))))</f>
        <v/>
      </c>
      <c r="AO337" s="34">
        <f>IF(K337="","",IF(ISNUMBER(K337),K337,IFERROR(VALUE(SUBSTITUTE(SUBSTITUTE(SUBSTITUTE(ASC(K337&amp;""),"約",""),"件","")," ","")),"")))</f>
        <v/>
      </c>
      <c r="AP337" s="34">
        <f>IF(W337&lt;&gt;"OK","",IF(COUNTIFS($D$5:$D$404,D337,$W$5:$W$404,"OK")&gt;1,"同名あり",""))</f>
        <v/>
      </c>
      <c r="AQ337" s="35">
        <f>IF(L337="","",IF(ISNUMBER(L337),L337,IFERROR(DATEVALUE(SUBSTITUTE(SUBSTITUTE(ASC(L337&amp;""),"-","/"),".","/")&amp;"/01"),"")))</f>
        <v/>
      </c>
      <c r="AR337" s="35">
        <f>IF(M337="","",IF(ISNUMBER(M337),M337,IFERROR(DATEVALUE(SUBSTITUTE(SUBSTITUTE(ASC(M337&amp;""),"-","/"),".","/")&amp;"/01"),"")))</f>
        <v/>
      </c>
      <c r="AS337" s="34">
        <f>IF(OR(W337&lt;&gt;"OK",AQ337=""),"",IF(AQ337&gt;='01_設定'!$C$26,1,0))</f>
        <v/>
      </c>
      <c r="AT337" s="34">
        <f>IF(AND(W337="OK",Y337&lt;&gt;"除外"),COUNTIFS($W$5:W337,"OK",$Y$5:Y337,"&lt;&gt;除外"),"")</f>
        <v/>
      </c>
      <c r="AU337" s="34">
        <f>IF(OR(AT337="",AD337=""),"",AD337+ROW()/1000000000)</f>
        <v/>
      </c>
    </row>
    <row r="338">
      <c r="W338">
        <f>IF(AND(A338="",D338=""),"",IF(ISNUMBER(SEARCH("##END",AH338)),"（終わりの印）",IF(ISNUMBER(SEARCH("##続き",AH338)),"（続きありの印）",IF(AH338="調査ID","（見出し行）",IF(AND(AH338&lt;&gt;"R1",AH338&lt;&gt;"R2"),"×表以外の行（集計されない）",IF(COUNTIF($AI$5:AI338,AI338)&gt;1,"△重複（集計されない）",IF(D338="","△タスク名なし",IF(ISNA(MATCH(AK338,'M1_類型マスタ'!$A$5:$A$19,0)),"△類型が不正",IF(OR(AM338="",AN338=""),"△回数・分が読めない",IF(SUMPRODUCT(--ISNUMBER(--O338:U338))&lt;7,"△採点が足りない",IF(SUMPRODUCT((--O338:U338&gt;2)+(--O338:U338&lt;0))&gt;0,"△採点が範囲外","OK")))))))))))</f>
        <v/>
      </c>
      <c r="X338">
        <f>IF(W338&lt;&gt;"OK","",TRIM(IF(AND(AO338&lt;&gt;"",N(AO338)&lt;=1),"根拠1件 ","")&amp;IF(AP338&lt;&gt;"","同名あり ","")&amp;IF(AND(NOT(ISNUMBER(I338)),I338&lt;&gt;""),"回数を換算 ","")))</f>
        <v/>
      </c>
      <c r="Y338" s="31" t="n"/>
      <c r="Z338" s="32" t="n"/>
      <c r="AA338" s="32" t="n"/>
      <c r="AB338" s="31" t="n"/>
      <c r="AC338">
        <f>IF(W338&lt;&gt;"OK","",IF(AB338&lt;&gt;"",AB338,AE338))</f>
        <v/>
      </c>
      <c r="AD338" s="33">
        <f>IF(W338&lt;&gt;"OK","",IFERROR(IF(Z338&lt;&gt;"",Z338,AM338)*IF(AA338&lt;&gt;"",AA338,AN338)/60,""))</f>
        <v/>
      </c>
      <c r="AE338">
        <f>IF(W338&lt;&gt;"OK","",IF(OR(VALUE(O338)=2,VALUE(P338)=2,VALUE(Q338)=2),"社内残置",IF(AND(VALUE(O338)=0,VALUE(R338)=0,VALUE(T338)=0),"自動化候補",IF(AND(VALUE(P338)=0,VALUE(R338)&lt;=1,VALUE(S338)&lt;=1,VALUE(T338)&lt;=1,VALUE(U338)&lt;=1),"オフショア候補",IF(AND(VALUE(T338)&lt;=1,VALUE(U338)&lt;=1),"ニアショア候補","社内で手順化→再評価")))))</f>
        <v/>
      </c>
      <c r="AF338">
        <f>IF(W338&lt;&gt;"OK","",14-SUMPRODUCT(--O338:U338))</f>
        <v/>
      </c>
      <c r="AG338" s="33">
        <f>IF(W338&lt;&gt;"OK","",AM338*AN338/60)</f>
        <v/>
      </c>
      <c r="AH338" s="34">
        <f>IF(A338="","",UPPER(TRIM(ASC(A338&amp;""))))</f>
        <v/>
      </c>
      <c r="AI338" s="34">
        <f>IF(AH338="","",AH338&amp;"-"&amp;B338)</f>
        <v/>
      </c>
      <c r="AJ338" s="34">
        <f>IF(C338="","",IFERROR(VALUE(ASC(SUBSTITUTE(C338&amp;"","観点",""))),""))</f>
        <v/>
      </c>
      <c r="AK338" s="34">
        <f>IF(E338="","",UPPER(LEFT(TRIM(ASC(E338&amp;"")),3)))</f>
        <v/>
      </c>
      <c r="AL338" s="34">
        <f>IF(I338="","",IFERROR(VALUE(SUBSTITUTE(SUBSTITUTE(SUBSTITUTE(SUBSTITUTE(SUBSTITUTE(SUBSTITUTE(SUBSTITUTE(SUBSTITUTE(SUBSTITUTE(SUBSTITUTE(SUBSTITUTE(SUBSTITUTE(ASC(I338&amp;""),"約",""),"程度",""),"ほど",""),"回",""),"毎",""),"週",""),"月",""),"年",""),"日",""),"に",""),"/","")," ","")),""))</f>
        <v/>
      </c>
      <c r="AM338" s="34">
        <f>IF(I338="","",IF(ISNUMBER(I338),I338,IFERROR(VALUE(ASC(I338&amp;"")),IF(AL338&lt;&gt;"",AL338*IF(ISNUMBER(SEARCH("週",I338)),4.3,IF(ISNUMBER(SEARCH("年",I338)),1/12,IF(ISNUMBER(SEARCH("日",I338)),20,1))),IF(ISNUMBER(SEARCH("日",I338)),20,IF(ISNUMBER(SEARCH("週",I338)),4.3,IF(ISNUMBER(SEARCH("月",I338)),1,"")))))))</f>
        <v/>
      </c>
      <c r="AN338" s="34">
        <f>IF(J338="","",IF(ISNUMBER(J338),J338,IFERROR(VALUE(ASC(J338&amp;"")),IF(ISNUMBER(SEARCH("時間",J338)),IFERROR(VALUE(SUBSTITUTE(SUBSTITUTE(SUBSTITUTE(SUBSTITUTE(SUBSTITUTE(ASC(J338&amp;""),"約",""),"程度",""),"ほど",""),"時間","")," ",""))*60,""),IFERROR(VALUE(SUBSTITUTE(SUBSTITUTE(SUBSTITUTE(SUBSTITUTE(SUBSTITUTE(ASC(J338&amp;""),"約",""),"程度",""),"ほど",""),"分","")," ","")),"")))))</f>
        <v/>
      </c>
      <c r="AO338" s="34">
        <f>IF(K338="","",IF(ISNUMBER(K338),K338,IFERROR(VALUE(SUBSTITUTE(SUBSTITUTE(SUBSTITUTE(ASC(K338&amp;""),"約",""),"件","")," ","")),"")))</f>
        <v/>
      </c>
      <c r="AP338" s="34">
        <f>IF(W338&lt;&gt;"OK","",IF(COUNTIFS($D$5:$D$404,D338,$W$5:$W$404,"OK")&gt;1,"同名あり",""))</f>
        <v/>
      </c>
      <c r="AQ338" s="35">
        <f>IF(L338="","",IF(ISNUMBER(L338),L338,IFERROR(DATEVALUE(SUBSTITUTE(SUBSTITUTE(ASC(L338&amp;""),"-","/"),".","/")&amp;"/01"),"")))</f>
        <v/>
      </c>
      <c r="AR338" s="35">
        <f>IF(M338="","",IF(ISNUMBER(M338),M338,IFERROR(DATEVALUE(SUBSTITUTE(SUBSTITUTE(ASC(M338&amp;""),"-","/"),".","/")&amp;"/01"),"")))</f>
        <v/>
      </c>
      <c r="AS338" s="34">
        <f>IF(OR(W338&lt;&gt;"OK",AQ338=""),"",IF(AQ338&gt;='01_設定'!$C$26,1,0))</f>
        <v/>
      </c>
      <c r="AT338" s="34">
        <f>IF(AND(W338="OK",Y338&lt;&gt;"除外"),COUNTIFS($W$5:W338,"OK",$Y$5:Y338,"&lt;&gt;除外"),"")</f>
        <v/>
      </c>
      <c r="AU338" s="34">
        <f>IF(OR(AT338="",AD338=""),"",AD338+ROW()/1000000000)</f>
        <v/>
      </c>
    </row>
    <row r="339">
      <c r="W339">
        <f>IF(AND(A339="",D339=""),"",IF(ISNUMBER(SEARCH("##END",AH339)),"（終わりの印）",IF(ISNUMBER(SEARCH("##続き",AH339)),"（続きありの印）",IF(AH339="調査ID","（見出し行）",IF(AND(AH339&lt;&gt;"R1",AH339&lt;&gt;"R2"),"×表以外の行（集計されない）",IF(COUNTIF($AI$5:AI339,AI339)&gt;1,"△重複（集計されない）",IF(D339="","△タスク名なし",IF(ISNA(MATCH(AK339,'M1_類型マスタ'!$A$5:$A$19,0)),"△類型が不正",IF(OR(AM339="",AN339=""),"△回数・分が読めない",IF(SUMPRODUCT(--ISNUMBER(--O339:U339))&lt;7,"△採点が足りない",IF(SUMPRODUCT((--O339:U339&gt;2)+(--O339:U339&lt;0))&gt;0,"△採点が範囲外","OK")))))))))))</f>
        <v/>
      </c>
      <c r="X339">
        <f>IF(W339&lt;&gt;"OK","",TRIM(IF(AND(AO339&lt;&gt;"",N(AO339)&lt;=1),"根拠1件 ","")&amp;IF(AP339&lt;&gt;"","同名あり ","")&amp;IF(AND(NOT(ISNUMBER(I339)),I339&lt;&gt;""),"回数を換算 ","")))</f>
        <v/>
      </c>
      <c r="Y339" s="31" t="n"/>
      <c r="Z339" s="32" t="n"/>
      <c r="AA339" s="32" t="n"/>
      <c r="AB339" s="31" t="n"/>
      <c r="AC339">
        <f>IF(W339&lt;&gt;"OK","",IF(AB339&lt;&gt;"",AB339,AE339))</f>
        <v/>
      </c>
      <c r="AD339" s="33">
        <f>IF(W339&lt;&gt;"OK","",IFERROR(IF(Z339&lt;&gt;"",Z339,AM339)*IF(AA339&lt;&gt;"",AA339,AN339)/60,""))</f>
        <v/>
      </c>
      <c r="AE339">
        <f>IF(W339&lt;&gt;"OK","",IF(OR(VALUE(O339)=2,VALUE(P339)=2,VALUE(Q339)=2),"社内残置",IF(AND(VALUE(O339)=0,VALUE(R339)=0,VALUE(T339)=0),"自動化候補",IF(AND(VALUE(P339)=0,VALUE(R339)&lt;=1,VALUE(S339)&lt;=1,VALUE(T339)&lt;=1,VALUE(U339)&lt;=1),"オフショア候補",IF(AND(VALUE(T339)&lt;=1,VALUE(U339)&lt;=1),"ニアショア候補","社内で手順化→再評価")))))</f>
        <v/>
      </c>
      <c r="AF339">
        <f>IF(W339&lt;&gt;"OK","",14-SUMPRODUCT(--O339:U339))</f>
        <v/>
      </c>
      <c r="AG339" s="33">
        <f>IF(W339&lt;&gt;"OK","",AM339*AN339/60)</f>
        <v/>
      </c>
      <c r="AH339" s="34">
        <f>IF(A339="","",UPPER(TRIM(ASC(A339&amp;""))))</f>
        <v/>
      </c>
      <c r="AI339" s="34">
        <f>IF(AH339="","",AH339&amp;"-"&amp;B339)</f>
        <v/>
      </c>
      <c r="AJ339" s="34">
        <f>IF(C339="","",IFERROR(VALUE(ASC(SUBSTITUTE(C339&amp;"","観点",""))),""))</f>
        <v/>
      </c>
      <c r="AK339" s="34">
        <f>IF(E339="","",UPPER(LEFT(TRIM(ASC(E339&amp;"")),3)))</f>
        <v/>
      </c>
      <c r="AL339" s="34">
        <f>IF(I339="","",IFERROR(VALUE(SUBSTITUTE(SUBSTITUTE(SUBSTITUTE(SUBSTITUTE(SUBSTITUTE(SUBSTITUTE(SUBSTITUTE(SUBSTITUTE(SUBSTITUTE(SUBSTITUTE(SUBSTITUTE(SUBSTITUTE(ASC(I339&amp;""),"約",""),"程度",""),"ほど",""),"回",""),"毎",""),"週",""),"月",""),"年",""),"日",""),"に",""),"/","")," ","")),""))</f>
        <v/>
      </c>
      <c r="AM339" s="34">
        <f>IF(I339="","",IF(ISNUMBER(I339),I339,IFERROR(VALUE(ASC(I339&amp;"")),IF(AL339&lt;&gt;"",AL339*IF(ISNUMBER(SEARCH("週",I339)),4.3,IF(ISNUMBER(SEARCH("年",I339)),1/12,IF(ISNUMBER(SEARCH("日",I339)),20,1))),IF(ISNUMBER(SEARCH("日",I339)),20,IF(ISNUMBER(SEARCH("週",I339)),4.3,IF(ISNUMBER(SEARCH("月",I339)),1,"")))))))</f>
        <v/>
      </c>
      <c r="AN339" s="34">
        <f>IF(J339="","",IF(ISNUMBER(J339),J339,IFERROR(VALUE(ASC(J339&amp;"")),IF(ISNUMBER(SEARCH("時間",J339)),IFERROR(VALUE(SUBSTITUTE(SUBSTITUTE(SUBSTITUTE(SUBSTITUTE(SUBSTITUTE(ASC(J339&amp;""),"約",""),"程度",""),"ほど",""),"時間","")," ",""))*60,""),IFERROR(VALUE(SUBSTITUTE(SUBSTITUTE(SUBSTITUTE(SUBSTITUTE(SUBSTITUTE(ASC(J339&amp;""),"約",""),"程度",""),"ほど",""),"分","")," ","")),"")))))</f>
        <v/>
      </c>
      <c r="AO339" s="34">
        <f>IF(K339="","",IF(ISNUMBER(K339),K339,IFERROR(VALUE(SUBSTITUTE(SUBSTITUTE(SUBSTITUTE(ASC(K339&amp;""),"約",""),"件","")," ","")),"")))</f>
        <v/>
      </c>
      <c r="AP339" s="34">
        <f>IF(W339&lt;&gt;"OK","",IF(COUNTIFS($D$5:$D$404,D339,$W$5:$W$404,"OK")&gt;1,"同名あり",""))</f>
        <v/>
      </c>
      <c r="AQ339" s="35">
        <f>IF(L339="","",IF(ISNUMBER(L339),L339,IFERROR(DATEVALUE(SUBSTITUTE(SUBSTITUTE(ASC(L339&amp;""),"-","/"),".","/")&amp;"/01"),"")))</f>
        <v/>
      </c>
      <c r="AR339" s="35">
        <f>IF(M339="","",IF(ISNUMBER(M339),M339,IFERROR(DATEVALUE(SUBSTITUTE(SUBSTITUTE(ASC(M339&amp;""),"-","/"),".","/")&amp;"/01"),"")))</f>
        <v/>
      </c>
      <c r="AS339" s="34">
        <f>IF(OR(W339&lt;&gt;"OK",AQ339=""),"",IF(AQ339&gt;='01_設定'!$C$26,1,0))</f>
        <v/>
      </c>
      <c r="AT339" s="34">
        <f>IF(AND(W339="OK",Y339&lt;&gt;"除外"),COUNTIFS($W$5:W339,"OK",$Y$5:Y339,"&lt;&gt;除外"),"")</f>
        <v/>
      </c>
      <c r="AU339" s="34">
        <f>IF(OR(AT339="",AD339=""),"",AD339+ROW()/1000000000)</f>
        <v/>
      </c>
    </row>
    <row r="340">
      <c r="W340">
        <f>IF(AND(A340="",D340=""),"",IF(ISNUMBER(SEARCH("##END",AH340)),"（終わりの印）",IF(ISNUMBER(SEARCH("##続き",AH340)),"（続きありの印）",IF(AH340="調査ID","（見出し行）",IF(AND(AH340&lt;&gt;"R1",AH340&lt;&gt;"R2"),"×表以外の行（集計されない）",IF(COUNTIF($AI$5:AI340,AI340)&gt;1,"△重複（集計されない）",IF(D340="","△タスク名なし",IF(ISNA(MATCH(AK340,'M1_類型マスタ'!$A$5:$A$19,0)),"△類型が不正",IF(OR(AM340="",AN340=""),"△回数・分が読めない",IF(SUMPRODUCT(--ISNUMBER(--O340:U340))&lt;7,"△採点が足りない",IF(SUMPRODUCT((--O340:U340&gt;2)+(--O340:U340&lt;0))&gt;0,"△採点が範囲外","OK")))))))))))</f>
        <v/>
      </c>
      <c r="X340">
        <f>IF(W340&lt;&gt;"OK","",TRIM(IF(AND(AO340&lt;&gt;"",N(AO340)&lt;=1),"根拠1件 ","")&amp;IF(AP340&lt;&gt;"","同名あり ","")&amp;IF(AND(NOT(ISNUMBER(I340)),I340&lt;&gt;""),"回数を換算 ","")))</f>
        <v/>
      </c>
      <c r="Y340" s="31" t="n"/>
      <c r="Z340" s="32" t="n"/>
      <c r="AA340" s="32" t="n"/>
      <c r="AB340" s="31" t="n"/>
      <c r="AC340">
        <f>IF(W340&lt;&gt;"OK","",IF(AB340&lt;&gt;"",AB340,AE340))</f>
        <v/>
      </c>
      <c r="AD340" s="33">
        <f>IF(W340&lt;&gt;"OK","",IFERROR(IF(Z340&lt;&gt;"",Z340,AM340)*IF(AA340&lt;&gt;"",AA340,AN340)/60,""))</f>
        <v/>
      </c>
      <c r="AE340">
        <f>IF(W340&lt;&gt;"OK","",IF(OR(VALUE(O340)=2,VALUE(P340)=2,VALUE(Q340)=2),"社内残置",IF(AND(VALUE(O340)=0,VALUE(R340)=0,VALUE(T340)=0),"自動化候補",IF(AND(VALUE(P340)=0,VALUE(R340)&lt;=1,VALUE(S340)&lt;=1,VALUE(T340)&lt;=1,VALUE(U340)&lt;=1),"オフショア候補",IF(AND(VALUE(T340)&lt;=1,VALUE(U340)&lt;=1),"ニアショア候補","社内で手順化→再評価")))))</f>
        <v/>
      </c>
      <c r="AF340">
        <f>IF(W340&lt;&gt;"OK","",14-SUMPRODUCT(--O340:U340))</f>
        <v/>
      </c>
      <c r="AG340" s="33">
        <f>IF(W340&lt;&gt;"OK","",AM340*AN340/60)</f>
        <v/>
      </c>
      <c r="AH340" s="34">
        <f>IF(A340="","",UPPER(TRIM(ASC(A340&amp;""))))</f>
        <v/>
      </c>
      <c r="AI340" s="34">
        <f>IF(AH340="","",AH340&amp;"-"&amp;B340)</f>
        <v/>
      </c>
      <c r="AJ340" s="34">
        <f>IF(C340="","",IFERROR(VALUE(ASC(SUBSTITUTE(C340&amp;"","観点",""))),""))</f>
        <v/>
      </c>
      <c r="AK340" s="34">
        <f>IF(E340="","",UPPER(LEFT(TRIM(ASC(E340&amp;"")),3)))</f>
        <v/>
      </c>
      <c r="AL340" s="34">
        <f>IF(I340="","",IFERROR(VALUE(SUBSTITUTE(SUBSTITUTE(SUBSTITUTE(SUBSTITUTE(SUBSTITUTE(SUBSTITUTE(SUBSTITUTE(SUBSTITUTE(SUBSTITUTE(SUBSTITUTE(SUBSTITUTE(SUBSTITUTE(ASC(I340&amp;""),"約",""),"程度",""),"ほど",""),"回",""),"毎",""),"週",""),"月",""),"年",""),"日",""),"に",""),"/","")," ","")),""))</f>
        <v/>
      </c>
      <c r="AM340" s="34">
        <f>IF(I340="","",IF(ISNUMBER(I340),I340,IFERROR(VALUE(ASC(I340&amp;"")),IF(AL340&lt;&gt;"",AL340*IF(ISNUMBER(SEARCH("週",I340)),4.3,IF(ISNUMBER(SEARCH("年",I340)),1/12,IF(ISNUMBER(SEARCH("日",I340)),20,1))),IF(ISNUMBER(SEARCH("日",I340)),20,IF(ISNUMBER(SEARCH("週",I340)),4.3,IF(ISNUMBER(SEARCH("月",I340)),1,"")))))))</f>
        <v/>
      </c>
      <c r="AN340" s="34">
        <f>IF(J340="","",IF(ISNUMBER(J340),J340,IFERROR(VALUE(ASC(J340&amp;"")),IF(ISNUMBER(SEARCH("時間",J340)),IFERROR(VALUE(SUBSTITUTE(SUBSTITUTE(SUBSTITUTE(SUBSTITUTE(SUBSTITUTE(ASC(J340&amp;""),"約",""),"程度",""),"ほど",""),"時間","")," ",""))*60,""),IFERROR(VALUE(SUBSTITUTE(SUBSTITUTE(SUBSTITUTE(SUBSTITUTE(SUBSTITUTE(ASC(J340&amp;""),"約",""),"程度",""),"ほど",""),"分","")," ","")),"")))))</f>
        <v/>
      </c>
      <c r="AO340" s="34">
        <f>IF(K340="","",IF(ISNUMBER(K340),K340,IFERROR(VALUE(SUBSTITUTE(SUBSTITUTE(SUBSTITUTE(ASC(K340&amp;""),"約",""),"件","")," ","")),"")))</f>
        <v/>
      </c>
      <c r="AP340" s="34">
        <f>IF(W340&lt;&gt;"OK","",IF(COUNTIFS($D$5:$D$404,D340,$W$5:$W$404,"OK")&gt;1,"同名あり",""))</f>
        <v/>
      </c>
      <c r="AQ340" s="35">
        <f>IF(L340="","",IF(ISNUMBER(L340),L340,IFERROR(DATEVALUE(SUBSTITUTE(SUBSTITUTE(ASC(L340&amp;""),"-","/"),".","/")&amp;"/01"),"")))</f>
        <v/>
      </c>
      <c r="AR340" s="35">
        <f>IF(M340="","",IF(ISNUMBER(M340),M340,IFERROR(DATEVALUE(SUBSTITUTE(SUBSTITUTE(ASC(M340&amp;""),"-","/"),".","/")&amp;"/01"),"")))</f>
        <v/>
      </c>
      <c r="AS340" s="34">
        <f>IF(OR(W340&lt;&gt;"OK",AQ340=""),"",IF(AQ340&gt;='01_設定'!$C$26,1,0))</f>
        <v/>
      </c>
      <c r="AT340" s="34">
        <f>IF(AND(W340="OK",Y340&lt;&gt;"除外"),COUNTIFS($W$5:W340,"OK",$Y$5:Y340,"&lt;&gt;除外"),"")</f>
        <v/>
      </c>
      <c r="AU340" s="34">
        <f>IF(OR(AT340="",AD340=""),"",AD340+ROW()/1000000000)</f>
        <v/>
      </c>
    </row>
    <row r="341">
      <c r="W341">
        <f>IF(AND(A341="",D341=""),"",IF(ISNUMBER(SEARCH("##END",AH341)),"（終わりの印）",IF(ISNUMBER(SEARCH("##続き",AH341)),"（続きありの印）",IF(AH341="調査ID","（見出し行）",IF(AND(AH341&lt;&gt;"R1",AH341&lt;&gt;"R2"),"×表以外の行（集計されない）",IF(COUNTIF($AI$5:AI341,AI341)&gt;1,"△重複（集計されない）",IF(D341="","△タスク名なし",IF(ISNA(MATCH(AK341,'M1_類型マスタ'!$A$5:$A$19,0)),"△類型が不正",IF(OR(AM341="",AN341=""),"△回数・分が読めない",IF(SUMPRODUCT(--ISNUMBER(--O341:U341))&lt;7,"△採点が足りない",IF(SUMPRODUCT((--O341:U341&gt;2)+(--O341:U341&lt;0))&gt;0,"△採点が範囲外","OK")))))))))))</f>
        <v/>
      </c>
      <c r="X341">
        <f>IF(W341&lt;&gt;"OK","",TRIM(IF(AND(AO341&lt;&gt;"",N(AO341)&lt;=1),"根拠1件 ","")&amp;IF(AP341&lt;&gt;"","同名あり ","")&amp;IF(AND(NOT(ISNUMBER(I341)),I341&lt;&gt;""),"回数を換算 ","")))</f>
        <v/>
      </c>
      <c r="Y341" s="31" t="n"/>
      <c r="Z341" s="32" t="n"/>
      <c r="AA341" s="32" t="n"/>
      <c r="AB341" s="31" t="n"/>
      <c r="AC341">
        <f>IF(W341&lt;&gt;"OK","",IF(AB341&lt;&gt;"",AB341,AE341))</f>
        <v/>
      </c>
      <c r="AD341" s="33">
        <f>IF(W341&lt;&gt;"OK","",IFERROR(IF(Z341&lt;&gt;"",Z341,AM341)*IF(AA341&lt;&gt;"",AA341,AN341)/60,""))</f>
        <v/>
      </c>
      <c r="AE341">
        <f>IF(W341&lt;&gt;"OK","",IF(OR(VALUE(O341)=2,VALUE(P341)=2,VALUE(Q341)=2),"社内残置",IF(AND(VALUE(O341)=0,VALUE(R341)=0,VALUE(T341)=0),"自動化候補",IF(AND(VALUE(P341)=0,VALUE(R341)&lt;=1,VALUE(S341)&lt;=1,VALUE(T341)&lt;=1,VALUE(U341)&lt;=1),"オフショア候補",IF(AND(VALUE(T341)&lt;=1,VALUE(U341)&lt;=1),"ニアショア候補","社内で手順化→再評価")))))</f>
        <v/>
      </c>
      <c r="AF341">
        <f>IF(W341&lt;&gt;"OK","",14-SUMPRODUCT(--O341:U341))</f>
        <v/>
      </c>
      <c r="AG341" s="33">
        <f>IF(W341&lt;&gt;"OK","",AM341*AN341/60)</f>
        <v/>
      </c>
      <c r="AH341" s="34">
        <f>IF(A341="","",UPPER(TRIM(ASC(A341&amp;""))))</f>
        <v/>
      </c>
      <c r="AI341" s="34">
        <f>IF(AH341="","",AH341&amp;"-"&amp;B341)</f>
        <v/>
      </c>
      <c r="AJ341" s="34">
        <f>IF(C341="","",IFERROR(VALUE(ASC(SUBSTITUTE(C341&amp;"","観点",""))),""))</f>
        <v/>
      </c>
      <c r="AK341" s="34">
        <f>IF(E341="","",UPPER(LEFT(TRIM(ASC(E341&amp;"")),3)))</f>
        <v/>
      </c>
      <c r="AL341" s="34">
        <f>IF(I341="","",IFERROR(VALUE(SUBSTITUTE(SUBSTITUTE(SUBSTITUTE(SUBSTITUTE(SUBSTITUTE(SUBSTITUTE(SUBSTITUTE(SUBSTITUTE(SUBSTITUTE(SUBSTITUTE(SUBSTITUTE(SUBSTITUTE(ASC(I341&amp;""),"約",""),"程度",""),"ほど",""),"回",""),"毎",""),"週",""),"月",""),"年",""),"日",""),"に",""),"/","")," ","")),""))</f>
        <v/>
      </c>
      <c r="AM341" s="34">
        <f>IF(I341="","",IF(ISNUMBER(I341),I341,IFERROR(VALUE(ASC(I341&amp;"")),IF(AL341&lt;&gt;"",AL341*IF(ISNUMBER(SEARCH("週",I341)),4.3,IF(ISNUMBER(SEARCH("年",I341)),1/12,IF(ISNUMBER(SEARCH("日",I341)),20,1))),IF(ISNUMBER(SEARCH("日",I341)),20,IF(ISNUMBER(SEARCH("週",I341)),4.3,IF(ISNUMBER(SEARCH("月",I341)),1,"")))))))</f>
        <v/>
      </c>
      <c r="AN341" s="34">
        <f>IF(J341="","",IF(ISNUMBER(J341),J341,IFERROR(VALUE(ASC(J341&amp;"")),IF(ISNUMBER(SEARCH("時間",J341)),IFERROR(VALUE(SUBSTITUTE(SUBSTITUTE(SUBSTITUTE(SUBSTITUTE(SUBSTITUTE(ASC(J341&amp;""),"約",""),"程度",""),"ほど",""),"時間","")," ",""))*60,""),IFERROR(VALUE(SUBSTITUTE(SUBSTITUTE(SUBSTITUTE(SUBSTITUTE(SUBSTITUTE(ASC(J341&amp;""),"約",""),"程度",""),"ほど",""),"分","")," ","")),"")))))</f>
        <v/>
      </c>
      <c r="AO341" s="34">
        <f>IF(K341="","",IF(ISNUMBER(K341),K341,IFERROR(VALUE(SUBSTITUTE(SUBSTITUTE(SUBSTITUTE(ASC(K341&amp;""),"約",""),"件","")," ","")),"")))</f>
        <v/>
      </c>
      <c r="AP341" s="34">
        <f>IF(W341&lt;&gt;"OK","",IF(COUNTIFS($D$5:$D$404,D341,$W$5:$W$404,"OK")&gt;1,"同名あり",""))</f>
        <v/>
      </c>
      <c r="AQ341" s="35">
        <f>IF(L341="","",IF(ISNUMBER(L341),L341,IFERROR(DATEVALUE(SUBSTITUTE(SUBSTITUTE(ASC(L341&amp;""),"-","/"),".","/")&amp;"/01"),"")))</f>
        <v/>
      </c>
      <c r="AR341" s="35">
        <f>IF(M341="","",IF(ISNUMBER(M341),M341,IFERROR(DATEVALUE(SUBSTITUTE(SUBSTITUTE(ASC(M341&amp;""),"-","/"),".","/")&amp;"/01"),"")))</f>
        <v/>
      </c>
      <c r="AS341" s="34">
        <f>IF(OR(W341&lt;&gt;"OK",AQ341=""),"",IF(AQ341&gt;='01_設定'!$C$26,1,0))</f>
        <v/>
      </c>
      <c r="AT341" s="34">
        <f>IF(AND(W341="OK",Y341&lt;&gt;"除外"),COUNTIFS($W$5:W341,"OK",$Y$5:Y341,"&lt;&gt;除外"),"")</f>
        <v/>
      </c>
      <c r="AU341" s="34">
        <f>IF(OR(AT341="",AD341=""),"",AD341+ROW()/1000000000)</f>
        <v/>
      </c>
    </row>
    <row r="342">
      <c r="W342">
        <f>IF(AND(A342="",D342=""),"",IF(ISNUMBER(SEARCH("##END",AH342)),"（終わりの印）",IF(ISNUMBER(SEARCH("##続き",AH342)),"（続きありの印）",IF(AH342="調査ID","（見出し行）",IF(AND(AH342&lt;&gt;"R1",AH342&lt;&gt;"R2"),"×表以外の行（集計されない）",IF(COUNTIF($AI$5:AI342,AI342)&gt;1,"△重複（集計されない）",IF(D342="","△タスク名なし",IF(ISNA(MATCH(AK342,'M1_類型マスタ'!$A$5:$A$19,0)),"△類型が不正",IF(OR(AM342="",AN342=""),"△回数・分が読めない",IF(SUMPRODUCT(--ISNUMBER(--O342:U342))&lt;7,"△採点が足りない",IF(SUMPRODUCT((--O342:U342&gt;2)+(--O342:U342&lt;0))&gt;0,"△採点が範囲外","OK")))))))))))</f>
        <v/>
      </c>
      <c r="X342">
        <f>IF(W342&lt;&gt;"OK","",TRIM(IF(AND(AO342&lt;&gt;"",N(AO342)&lt;=1),"根拠1件 ","")&amp;IF(AP342&lt;&gt;"","同名あり ","")&amp;IF(AND(NOT(ISNUMBER(I342)),I342&lt;&gt;""),"回数を換算 ","")))</f>
        <v/>
      </c>
      <c r="Y342" s="31" t="n"/>
      <c r="Z342" s="32" t="n"/>
      <c r="AA342" s="32" t="n"/>
      <c r="AB342" s="31" t="n"/>
      <c r="AC342">
        <f>IF(W342&lt;&gt;"OK","",IF(AB342&lt;&gt;"",AB342,AE342))</f>
        <v/>
      </c>
      <c r="AD342" s="33">
        <f>IF(W342&lt;&gt;"OK","",IFERROR(IF(Z342&lt;&gt;"",Z342,AM342)*IF(AA342&lt;&gt;"",AA342,AN342)/60,""))</f>
        <v/>
      </c>
      <c r="AE342">
        <f>IF(W342&lt;&gt;"OK","",IF(OR(VALUE(O342)=2,VALUE(P342)=2,VALUE(Q342)=2),"社内残置",IF(AND(VALUE(O342)=0,VALUE(R342)=0,VALUE(T342)=0),"自動化候補",IF(AND(VALUE(P342)=0,VALUE(R342)&lt;=1,VALUE(S342)&lt;=1,VALUE(T342)&lt;=1,VALUE(U342)&lt;=1),"オフショア候補",IF(AND(VALUE(T342)&lt;=1,VALUE(U342)&lt;=1),"ニアショア候補","社内で手順化→再評価")))))</f>
        <v/>
      </c>
      <c r="AF342">
        <f>IF(W342&lt;&gt;"OK","",14-SUMPRODUCT(--O342:U342))</f>
        <v/>
      </c>
      <c r="AG342" s="33">
        <f>IF(W342&lt;&gt;"OK","",AM342*AN342/60)</f>
        <v/>
      </c>
      <c r="AH342" s="34">
        <f>IF(A342="","",UPPER(TRIM(ASC(A342&amp;""))))</f>
        <v/>
      </c>
      <c r="AI342" s="34">
        <f>IF(AH342="","",AH342&amp;"-"&amp;B342)</f>
        <v/>
      </c>
      <c r="AJ342" s="34">
        <f>IF(C342="","",IFERROR(VALUE(ASC(SUBSTITUTE(C342&amp;"","観点",""))),""))</f>
        <v/>
      </c>
      <c r="AK342" s="34">
        <f>IF(E342="","",UPPER(LEFT(TRIM(ASC(E342&amp;"")),3)))</f>
        <v/>
      </c>
      <c r="AL342" s="34">
        <f>IF(I342="","",IFERROR(VALUE(SUBSTITUTE(SUBSTITUTE(SUBSTITUTE(SUBSTITUTE(SUBSTITUTE(SUBSTITUTE(SUBSTITUTE(SUBSTITUTE(SUBSTITUTE(SUBSTITUTE(SUBSTITUTE(SUBSTITUTE(ASC(I342&amp;""),"約",""),"程度",""),"ほど",""),"回",""),"毎",""),"週",""),"月",""),"年",""),"日",""),"に",""),"/","")," ","")),""))</f>
        <v/>
      </c>
      <c r="AM342" s="34">
        <f>IF(I342="","",IF(ISNUMBER(I342),I342,IFERROR(VALUE(ASC(I342&amp;"")),IF(AL342&lt;&gt;"",AL342*IF(ISNUMBER(SEARCH("週",I342)),4.3,IF(ISNUMBER(SEARCH("年",I342)),1/12,IF(ISNUMBER(SEARCH("日",I342)),20,1))),IF(ISNUMBER(SEARCH("日",I342)),20,IF(ISNUMBER(SEARCH("週",I342)),4.3,IF(ISNUMBER(SEARCH("月",I342)),1,"")))))))</f>
        <v/>
      </c>
      <c r="AN342" s="34">
        <f>IF(J342="","",IF(ISNUMBER(J342),J342,IFERROR(VALUE(ASC(J342&amp;"")),IF(ISNUMBER(SEARCH("時間",J342)),IFERROR(VALUE(SUBSTITUTE(SUBSTITUTE(SUBSTITUTE(SUBSTITUTE(SUBSTITUTE(ASC(J342&amp;""),"約",""),"程度",""),"ほど",""),"時間","")," ",""))*60,""),IFERROR(VALUE(SUBSTITUTE(SUBSTITUTE(SUBSTITUTE(SUBSTITUTE(SUBSTITUTE(ASC(J342&amp;""),"約",""),"程度",""),"ほど",""),"分","")," ","")),"")))))</f>
        <v/>
      </c>
      <c r="AO342" s="34">
        <f>IF(K342="","",IF(ISNUMBER(K342),K342,IFERROR(VALUE(SUBSTITUTE(SUBSTITUTE(SUBSTITUTE(ASC(K342&amp;""),"約",""),"件","")," ","")),"")))</f>
        <v/>
      </c>
      <c r="AP342" s="34">
        <f>IF(W342&lt;&gt;"OK","",IF(COUNTIFS($D$5:$D$404,D342,$W$5:$W$404,"OK")&gt;1,"同名あり",""))</f>
        <v/>
      </c>
      <c r="AQ342" s="35">
        <f>IF(L342="","",IF(ISNUMBER(L342),L342,IFERROR(DATEVALUE(SUBSTITUTE(SUBSTITUTE(ASC(L342&amp;""),"-","/"),".","/")&amp;"/01"),"")))</f>
        <v/>
      </c>
      <c r="AR342" s="35">
        <f>IF(M342="","",IF(ISNUMBER(M342),M342,IFERROR(DATEVALUE(SUBSTITUTE(SUBSTITUTE(ASC(M342&amp;""),"-","/"),".","/")&amp;"/01"),"")))</f>
        <v/>
      </c>
      <c r="AS342" s="34">
        <f>IF(OR(W342&lt;&gt;"OK",AQ342=""),"",IF(AQ342&gt;='01_設定'!$C$26,1,0))</f>
        <v/>
      </c>
      <c r="AT342" s="34">
        <f>IF(AND(W342="OK",Y342&lt;&gt;"除外"),COUNTIFS($W$5:W342,"OK",$Y$5:Y342,"&lt;&gt;除外"),"")</f>
        <v/>
      </c>
      <c r="AU342" s="34">
        <f>IF(OR(AT342="",AD342=""),"",AD342+ROW()/1000000000)</f>
        <v/>
      </c>
    </row>
    <row r="343">
      <c r="W343">
        <f>IF(AND(A343="",D343=""),"",IF(ISNUMBER(SEARCH("##END",AH343)),"（終わりの印）",IF(ISNUMBER(SEARCH("##続き",AH343)),"（続きありの印）",IF(AH343="調査ID","（見出し行）",IF(AND(AH343&lt;&gt;"R1",AH343&lt;&gt;"R2"),"×表以外の行（集計されない）",IF(COUNTIF($AI$5:AI343,AI343)&gt;1,"△重複（集計されない）",IF(D343="","△タスク名なし",IF(ISNA(MATCH(AK343,'M1_類型マスタ'!$A$5:$A$19,0)),"△類型が不正",IF(OR(AM343="",AN343=""),"△回数・分が読めない",IF(SUMPRODUCT(--ISNUMBER(--O343:U343))&lt;7,"△採点が足りない",IF(SUMPRODUCT((--O343:U343&gt;2)+(--O343:U343&lt;0))&gt;0,"△採点が範囲外","OK")))))))))))</f>
        <v/>
      </c>
      <c r="X343">
        <f>IF(W343&lt;&gt;"OK","",TRIM(IF(AND(AO343&lt;&gt;"",N(AO343)&lt;=1),"根拠1件 ","")&amp;IF(AP343&lt;&gt;"","同名あり ","")&amp;IF(AND(NOT(ISNUMBER(I343)),I343&lt;&gt;""),"回数を換算 ","")))</f>
        <v/>
      </c>
      <c r="Y343" s="31" t="n"/>
      <c r="Z343" s="32" t="n"/>
      <c r="AA343" s="32" t="n"/>
      <c r="AB343" s="31" t="n"/>
      <c r="AC343">
        <f>IF(W343&lt;&gt;"OK","",IF(AB343&lt;&gt;"",AB343,AE343))</f>
        <v/>
      </c>
      <c r="AD343" s="33">
        <f>IF(W343&lt;&gt;"OK","",IFERROR(IF(Z343&lt;&gt;"",Z343,AM343)*IF(AA343&lt;&gt;"",AA343,AN343)/60,""))</f>
        <v/>
      </c>
      <c r="AE343">
        <f>IF(W343&lt;&gt;"OK","",IF(OR(VALUE(O343)=2,VALUE(P343)=2,VALUE(Q343)=2),"社内残置",IF(AND(VALUE(O343)=0,VALUE(R343)=0,VALUE(T343)=0),"自動化候補",IF(AND(VALUE(P343)=0,VALUE(R343)&lt;=1,VALUE(S343)&lt;=1,VALUE(T343)&lt;=1,VALUE(U343)&lt;=1),"オフショア候補",IF(AND(VALUE(T343)&lt;=1,VALUE(U343)&lt;=1),"ニアショア候補","社内で手順化→再評価")))))</f>
        <v/>
      </c>
      <c r="AF343">
        <f>IF(W343&lt;&gt;"OK","",14-SUMPRODUCT(--O343:U343))</f>
        <v/>
      </c>
      <c r="AG343" s="33">
        <f>IF(W343&lt;&gt;"OK","",AM343*AN343/60)</f>
        <v/>
      </c>
      <c r="AH343" s="34">
        <f>IF(A343="","",UPPER(TRIM(ASC(A343&amp;""))))</f>
        <v/>
      </c>
      <c r="AI343" s="34">
        <f>IF(AH343="","",AH343&amp;"-"&amp;B343)</f>
        <v/>
      </c>
      <c r="AJ343" s="34">
        <f>IF(C343="","",IFERROR(VALUE(ASC(SUBSTITUTE(C343&amp;"","観点",""))),""))</f>
        <v/>
      </c>
      <c r="AK343" s="34">
        <f>IF(E343="","",UPPER(LEFT(TRIM(ASC(E343&amp;"")),3)))</f>
        <v/>
      </c>
      <c r="AL343" s="34">
        <f>IF(I343="","",IFERROR(VALUE(SUBSTITUTE(SUBSTITUTE(SUBSTITUTE(SUBSTITUTE(SUBSTITUTE(SUBSTITUTE(SUBSTITUTE(SUBSTITUTE(SUBSTITUTE(SUBSTITUTE(SUBSTITUTE(SUBSTITUTE(ASC(I343&amp;""),"約",""),"程度",""),"ほど",""),"回",""),"毎",""),"週",""),"月",""),"年",""),"日",""),"に",""),"/","")," ","")),""))</f>
        <v/>
      </c>
      <c r="AM343" s="34">
        <f>IF(I343="","",IF(ISNUMBER(I343),I343,IFERROR(VALUE(ASC(I343&amp;"")),IF(AL343&lt;&gt;"",AL343*IF(ISNUMBER(SEARCH("週",I343)),4.3,IF(ISNUMBER(SEARCH("年",I343)),1/12,IF(ISNUMBER(SEARCH("日",I343)),20,1))),IF(ISNUMBER(SEARCH("日",I343)),20,IF(ISNUMBER(SEARCH("週",I343)),4.3,IF(ISNUMBER(SEARCH("月",I343)),1,"")))))))</f>
        <v/>
      </c>
      <c r="AN343" s="34">
        <f>IF(J343="","",IF(ISNUMBER(J343),J343,IFERROR(VALUE(ASC(J343&amp;"")),IF(ISNUMBER(SEARCH("時間",J343)),IFERROR(VALUE(SUBSTITUTE(SUBSTITUTE(SUBSTITUTE(SUBSTITUTE(SUBSTITUTE(ASC(J343&amp;""),"約",""),"程度",""),"ほど",""),"時間","")," ",""))*60,""),IFERROR(VALUE(SUBSTITUTE(SUBSTITUTE(SUBSTITUTE(SUBSTITUTE(SUBSTITUTE(ASC(J343&amp;""),"約",""),"程度",""),"ほど",""),"分","")," ","")),"")))))</f>
        <v/>
      </c>
      <c r="AO343" s="34">
        <f>IF(K343="","",IF(ISNUMBER(K343),K343,IFERROR(VALUE(SUBSTITUTE(SUBSTITUTE(SUBSTITUTE(ASC(K343&amp;""),"約",""),"件","")," ","")),"")))</f>
        <v/>
      </c>
      <c r="AP343" s="34">
        <f>IF(W343&lt;&gt;"OK","",IF(COUNTIFS($D$5:$D$404,D343,$W$5:$W$404,"OK")&gt;1,"同名あり",""))</f>
        <v/>
      </c>
      <c r="AQ343" s="35">
        <f>IF(L343="","",IF(ISNUMBER(L343),L343,IFERROR(DATEVALUE(SUBSTITUTE(SUBSTITUTE(ASC(L343&amp;""),"-","/"),".","/")&amp;"/01"),"")))</f>
        <v/>
      </c>
      <c r="AR343" s="35">
        <f>IF(M343="","",IF(ISNUMBER(M343),M343,IFERROR(DATEVALUE(SUBSTITUTE(SUBSTITUTE(ASC(M343&amp;""),"-","/"),".","/")&amp;"/01"),"")))</f>
        <v/>
      </c>
      <c r="AS343" s="34">
        <f>IF(OR(W343&lt;&gt;"OK",AQ343=""),"",IF(AQ343&gt;='01_設定'!$C$26,1,0))</f>
        <v/>
      </c>
      <c r="AT343" s="34">
        <f>IF(AND(W343="OK",Y343&lt;&gt;"除外"),COUNTIFS($W$5:W343,"OK",$Y$5:Y343,"&lt;&gt;除外"),"")</f>
        <v/>
      </c>
      <c r="AU343" s="34">
        <f>IF(OR(AT343="",AD343=""),"",AD343+ROW()/1000000000)</f>
        <v/>
      </c>
    </row>
    <row r="344">
      <c r="W344">
        <f>IF(AND(A344="",D344=""),"",IF(ISNUMBER(SEARCH("##END",AH344)),"（終わりの印）",IF(ISNUMBER(SEARCH("##続き",AH344)),"（続きありの印）",IF(AH344="調査ID","（見出し行）",IF(AND(AH344&lt;&gt;"R1",AH344&lt;&gt;"R2"),"×表以外の行（集計されない）",IF(COUNTIF($AI$5:AI344,AI344)&gt;1,"△重複（集計されない）",IF(D344="","△タスク名なし",IF(ISNA(MATCH(AK344,'M1_類型マスタ'!$A$5:$A$19,0)),"△類型が不正",IF(OR(AM344="",AN344=""),"△回数・分が読めない",IF(SUMPRODUCT(--ISNUMBER(--O344:U344))&lt;7,"△採点が足りない",IF(SUMPRODUCT((--O344:U344&gt;2)+(--O344:U344&lt;0))&gt;0,"△採点が範囲外","OK")))))))))))</f>
        <v/>
      </c>
      <c r="X344">
        <f>IF(W344&lt;&gt;"OK","",TRIM(IF(AND(AO344&lt;&gt;"",N(AO344)&lt;=1),"根拠1件 ","")&amp;IF(AP344&lt;&gt;"","同名あり ","")&amp;IF(AND(NOT(ISNUMBER(I344)),I344&lt;&gt;""),"回数を換算 ","")))</f>
        <v/>
      </c>
      <c r="Y344" s="31" t="n"/>
      <c r="Z344" s="32" t="n"/>
      <c r="AA344" s="32" t="n"/>
      <c r="AB344" s="31" t="n"/>
      <c r="AC344">
        <f>IF(W344&lt;&gt;"OK","",IF(AB344&lt;&gt;"",AB344,AE344))</f>
        <v/>
      </c>
      <c r="AD344" s="33">
        <f>IF(W344&lt;&gt;"OK","",IFERROR(IF(Z344&lt;&gt;"",Z344,AM344)*IF(AA344&lt;&gt;"",AA344,AN344)/60,""))</f>
        <v/>
      </c>
      <c r="AE344">
        <f>IF(W344&lt;&gt;"OK","",IF(OR(VALUE(O344)=2,VALUE(P344)=2,VALUE(Q344)=2),"社内残置",IF(AND(VALUE(O344)=0,VALUE(R344)=0,VALUE(T344)=0),"自動化候補",IF(AND(VALUE(P344)=0,VALUE(R344)&lt;=1,VALUE(S344)&lt;=1,VALUE(T344)&lt;=1,VALUE(U344)&lt;=1),"オフショア候補",IF(AND(VALUE(T344)&lt;=1,VALUE(U344)&lt;=1),"ニアショア候補","社内で手順化→再評価")))))</f>
        <v/>
      </c>
      <c r="AF344">
        <f>IF(W344&lt;&gt;"OK","",14-SUMPRODUCT(--O344:U344))</f>
        <v/>
      </c>
      <c r="AG344" s="33">
        <f>IF(W344&lt;&gt;"OK","",AM344*AN344/60)</f>
        <v/>
      </c>
      <c r="AH344" s="34">
        <f>IF(A344="","",UPPER(TRIM(ASC(A344&amp;""))))</f>
        <v/>
      </c>
      <c r="AI344" s="34">
        <f>IF(AH344="","",AH344&amp;"-"&amp;B344)</f>
        <v/>
      </c>
      <c r="AJ344" s="34">
        <f>IF(C344="","",IFERROR(VALUE(ASC(SUBSTITUTE(C344&amp;"","観点",""))),""))</f>
        <v/>
      </c>
      <c r="AK344" s="34">
        <f>IF(E344="","",UPPER(LEFT(TRIM(ASC(E344&amp;"")),3)))</f>
        <v/>
      </c>
      <c r="AL344" s="34">
        <f>IF(I344="","",IFERROR(VALUE(SUBSTITUTE(SUBSTITUTE(SUBSTITUTE(SUBSTITUTE(SUBSTITUTE(SUBSTITUTE(SUBSTITUTE(SUBSTITUTE(SUBSTITUTE(SUBSTITUTE(SUBSTITUTE(SUBSTITUTE(ASC(I344&amp;""),"約",""),"程度",""),"ほど",""),"回",""),"毎",""),"週",""),"月",""),"年",""),"日",""),"に",""),"/","")," ","")),""))</f>
        <v/>
      </c>
      <c r="AM344" s="34">
        <f>IF(I344="","",IF(ISNUMBER(I344),I344,IFERROR(VALUE(ASC(I344&amp;"")),IF(AL344&lt;&gt;"",AL344*IF(ISNUMBER(SEARCH("週",I344)),4.3,IF(ISNUMBER(SEARCH("年",I344)),1/12,IF(ISNUMBER(SEARCH("日",I344)),20,1))),IF(ISNUMBER(SEARCH("日",I344)),20,IF(ISNUMBER(SEARCH("週",I344)),4.3,IF(ISNUMBER(SEARCH("月",I344)),1,"")))))))</f>
        <v/>
      </c>
      <c r="AN344" s="34">
        <f>IF(J344="","",IF(ISNUMBER(J344),J344,IFERROR(VALUE(ASC(J344&amp;"")),IF(ISNUMBER(SEARCH("時間",J344)),IFERROR(VALUE(SUBSTITUTE(SUBSTITUTE(SUBSTITUTE(SUBSTITUTE(SUBSTITUTE(ASC(J344&amp;""),"約",""),"程度",""),"ほど",""),"時間","")," ",""))*60,""),IFERROR(VALUE(SUBSTITUTE(SUBSTITUTE(SUBSTITUTE(SUBSTITUTE(SUBSTITUTE(ASC(J344&amp;""),"約",""),"程度",""),"ほど",""),"分","")," ","")),"")))))</f>
        <v/>
      </c>
      <c r="AO344" s="34">
        <f>IF(K344="","",IF(ISNUMBER(K344),K344,IFERROR(VALUE(SUBSTITUTE(SUBSTITUTE(SUBSTITUTE(ASC(K344&amp;""),"約",""),"件","")," ","")),"")))</f>
        <v/>
      </c>
      <c r="AP344" s="34">
        <f>IF(W344&lt;&gt;"OK","",IF(COUNTIFS($D$5:$D$404,D344,$W$5:$W$404,"OK")&gt;1,"同名あり",""))</f>
        <v/>
      </c>
      <c r="AQ344" s="35">
        <f>IF(L344="","",IF(ISNUMBER(L344),L344,IFERROR(DATEVALUE(SUBSTITUTE(SUBSTITUTE(ASC(L344&amp;""),"-","/"),".","/")&amp;"/01"),"")))</f>
        <v/>
      </c>
      <c r="AR344" s="35">
        <f>IF(M344="","",IF(ISNUMBER(M344),M344,IFERROR(DATEVALUE(SUBSTITUTE(SUBSTITUTE(ASC(M344&amp;""),"-","/"),".","/")&amp;"/01"),"")))</f>
        <v/>
      </c>
      <c r="AS344" s="34">
        <f>IF(OR(W344&lt;&gt;"OK",AQ344=""),"",IF(AQ344&gt;='01_設定'!$C$26,1,0))</f>
        <v/>
      </c>
      <c r="AT344" s="34">
        <f>IF(AND(W344="OK",Y344&lt;&gt;"除外"),COUNTIFS($W$5:W344,"OK",$Y$5:Y344,"&lt;&gt;除外"),"")</f>
        <v/>
      </c>
      <c r="AU344" s="34">
        <f>IF(OR(AT344="",AD344=""),"",AD344+ROW()/1000000000)</f>
        <v/>
      </c>
    </row>
    <row r="345">
      <c r="W345">
        <f>IF(AND(A345="",D345=""),"",IF(ISNUMBER(SEARCH("##END",AH345)),"（終わりの印）",IF(ISNUMBER(SEARCH("##続き",AH345)),"（続きありの印）",IF(AH345="調査ID","（見出し行）",IF(AND(AH345&lt;&gt;"R1",AH345&lt;&gt;"R2"),"×表以外の行（集計されない）",IF(COUNTIF($AI$5:AI345,AI345)&gt;1,"△重複（集計されない）",IF(D345="","△タスク名なし",IF(ISNA(MATCH(AK345,'M1_類型マスタ'!$A$5:$A$19,0)),"△類型が不正",IF(OR(AM345="",AN345=""),"△回数・分が読めない",IF(SUMPRODUCT(--ISNUMBER(--O345:U345))&lt;7,"△採点が足りない",IF(SUMPRODUCT((--O345:U345&gt;2)+(--O345:U345&lt;0))&gt;0,"△採点が範囲外","OK")))))))))))</f>
        <v/>
      </c>
      <c r="X345">
        <f>IF(W345&lt;&gt;"OK","",TRIM(IF(AND(AO345&lt;&gt;"",N(AO345)&lt;=1),"根拠1件 ","")&amp;IF(AP345&lt;&gt;"","同名あり ","")&amp;IF(AND(NOT(ISNUMBER(I345)),I345&lt;&gt;""),"回数を換算 ","")))</f>
        <v/>
      </c>
      <c r="Y345" s="31" t="n"/>
      <c r="Z345" s="32" t="n"/>
      <c r="AA345" s="32" t="n"/>
      <c r="AB345" s="31" t="n"/>
      <c r="AC345">
        <f>IF(W345&lt;&gt;"OK","",IF(AB345&lt;&gt;"",AB345,AE345))</f>
        <v/>
      </c>
      <c r="AD345" s="33">
        <f>IF(W345&lt;&gt;"OK","",IFERROR(IF(Z345&lt;&gt;"",Z345,AM345)*IF(AA345&lt;&gt;"",AA345,AN345)/60,""))</f>
        <v/>
      </c>
      <c r="AE345">
        <f>IF(W345&lt;&gt;"OK","",IF(OR(VALUE(O345)=2,VALUE(P345)=2,VALUE(Q345)=2),"社内残置",IF(AND(VALUE(O345)=0,VALUE(R345)=0,VALUE(T345)=0),"自動化候補",IF(AND(VALUE(P345)=0,VALUE(R345)&lt;=1,VALUE(S345)&lt;=1,VALUE(T345)&lt;=1,VALUE(U345)&lt;=1),"オフショア候補",IF(AND(VALUE(T345)&lt;=1,VALUE(U345)&lt;=1),"ニアショア候補","社内で手順化→再評価")))))</f>
        <v/>
      </c>
      <c r="AF345">
        <f>IF(W345&lt;&gt;"OK","",14-SUMPRODUCT(--O345:U345))</f>
        <v/>
      </c>
      <c r="AG345" s="33">
        <f>IF(W345&lt;&gt;"OK","",AM345*AN345/60)</f>
        <v/>
      </c>
      <c r="AH345" s="34">
        <f>IF(A345="","",UPPER(TRIM(ASC(A345&amp;""))))</f>
        <v/>
      </c>
      <c r="AI345" s="34">
        <f>IF(AH345="","",AH345&amp;"-"&amp;B345)</f>
        <v/>
      </c>
      <c r="AJ345" s="34">
        <f>IF(C345="","",IFERROR(VALUE(ASC(SUBSTITUTE(C345&amp;"","観点",""))),""))</f>
        <v/>
      </c>
      <c r="AK345" s="34">
        <f>IF(E345="","",UPPER(LEFT(TRIM(ASC(E345&amp;"")),3)))</f>
        <v/>
      </c>
      <c r="AL345" s="34">
        <f>IF(I345="","",IFERROR(VALUE(SUBSTITUTE(SUBSTITUTE(SUBSTITUTE(SUBSTITUTE(SUBSTITUTE(SUBSTITUTE(SUBSTITUTE(SUBSTITUTE(SUBSTITUTE(SUBSTITUTE(SUBSTITUTE(SUBSTITUTE(ASC(I345&amp;""),"約",""),"程度",""),"ほど",""),"回",""),"毎",""),"週",""),"月",""),"年",""),"日",""),"に",""),"/","")," ","")),""))</f>
        <v/>
      </c>
      <c r="AM345" s="34">
        <f>IF(I345="","",IF(ISNUMBER(I345),I345,IFERROR(VALUE(ASC(I345&amp;"")),IF(AL345&lt;&gt;"",AL345*IF(ISNUMBER(SEARCH("週",I345)),4.3,IF(ISNUMBER(SEARCH("年",I345)),1/12,IF(ISNUMBER(SEARCH("日",I345)),20,1))),IF(ISNUMBER(SEARCH("日",I345)),20,IF(ISNUMBER(SEARCH("週",I345)),4.3,IF(ISNUMBER(SEARCH("月",I345)),1,"")))))))</f>
        <v/>
      </c>
      <c r="AN345" s="34">
        <f>IF(J345="","",IF(ISNUMBER(J345),J345,IFERROR(VALUE(ASC(J345&amp;"")),IF(ISNUMBER(SEARCH("時間",J345)),IFERROR(VALUE(SUBSTITUTE(SUBSTITUTE(SUBSTITUTE(SUBSTITUTE(SUBSTITUTE(ASC(J345&amp;""),"約",""),"程度",""),"ほど",""),"時間","")," ",""))*60,""),IFERROR(VALUE(SUBSTITUTE(SUBSTITUTE(SUBSTITUTE(SUBSTITUTE(SUBSTITUTE(ASC(J345&amp;""),"約",""),"程度",""),"ほど",""),"分","")," ","")),"")))))</f>
        <v/>
      </c>
      <c r="AO345" s="34">
        <f>IF(K345="","",IF(ISNUMBER(K345),K345,IFERROR(VALUE(SUBSTITUTE(SUBSTITUTE(SUBSTITUTE(ASC(K345&amp;""),"約",""),"件","")," ","")),"")))</f>
        <v/>
      </c>
      <c r="AP345" s="34">
        <f>IF(W345&lt;&gt;"OK","",IF(COUNTIFS($D$5:$D$404,D345,$W$5:$W$404,"OK")&gt;1,"同名あり",""))</f>
        <v/>
      </c>
      <c r="AQ345" s="35">
        <f>IF(L345="","",IF(ISNUMBER(L345),L345,IFERROR(DATEVALUE(SUBSTITUTE(SUBSTITUTE(ASC(L345&amp;""),"-","/"),".","/")&amp;"/01"),"")))</f>
        <v/>
      </c>
      <c r="AR345" s="35">
        <f>IF(M345="","",IF(ISNUMBER(M345),M345,IFERROR(DATEVALUE(SUBSTITUTE(SUBSTITUTE(ASC(M345&amp;""),"-","/"),".","/")&amp;"/01"),"")))</f>
        <v/>
      </c>
      <c r="AS345" s="34">
        <f>IF(OR(W345&lt;&gt;"OK",AQ345=""),"",IF(AQ345&gt;='01_設定'!$C$26,1,0))</f>
        <v/>
      </c>
      <c r="AT345" s="34">
        <f>IF(AND(W345="OK",Y345&lt;&gt;"除外"),COUNTIFS($W$5:W345,"OK",$Y$5:Y345,"&lt;&gt;除外"),"")</f>
        <v/>
      </c>
      <c r="AU345" s="34">
        <f>IF(OR(AT345="",AD345=""),"",AD345+ROW()/1000000000)</f>
        <v/>
      </c>
    </row>
    <row r="346">
      <c r="W346">
        <f>IF(AND(A346="",D346=""),"",IF(ISNUMBER(SEARCH("##END",AH346)),"（終わりの印）",IF(ISNUMBER(SEARCH("##続き",AH346)),"（続きありの印）",IF(AH346="調査ID","（見出し行）",IF(AND(AH346&lt;&gt;"R1",AH346&lt;&gt;"R2"),"×表以外の行（集計されない）",IF(COUNTIF($AI$5:AI346,AI346)&gt;1,"△重複（集計されない）",IF(D346="","△タスク名なし",IF(ISNA(MATCH(AK346,'M1_類型マスタ'!$A$5:$A$19,0)),"△類型が不正",IF(OR(AM346="",AN346=""),"△回数・分が読めない",IF(SUMPRODUCT(--ISNUMBER(--O346:U346))&lt;7,"△採点が足りない",IF(SUMPRODUCT((--O346:U346&gt;2)+(--O346:U346&lt;0))&gt;0,"△採点が範囲外","OK")))))))))))</f>
        <v/>
      </c>
      <c r="X346">
        <f>IF(W346&lt;&gt;"OK","",TRIM(IF(AND(AO346&lt;&gt;"",N(AO346)&lt;=1),"根拠1件 ","")&amp;IF(AP346&lt;&gt;"","同名あり ","")&amp;IF(AND(NOT(ISNUMBER(I346)),I346&lt;&gt;""),"回数を換算 ","")))</f>
        <v/>
      </c>
      <c r="Y346" s="31" t="n"/>
      <c r="Z346" s="32" t="n"/>
      <c r="AA346" s="32" t="n"/>
      <c r="AB346" s="31" t="n"/>
      <c r="AC346">
        <f>IF(W346&lt;&gt;"OK","",IF(AB346&lt;&gt;"",AB346,AE346))</f>
        <v/>
      </c>
      <c r="AD346" s="33">
        <f>IF(W346&lt;&gt;"OK","",IFERROR(IF(Z346&lt;&gt;"",Z346,AM346)*IF(AA346&lt;&gt;"",AA346,AN346)/60,""))</f>
        <v/>
      </c>
      <c r="AE346">
        <f>IF(W346&lt;&gt;"OK","",IF(OR(VALUE(O346)=2,VALUE(P346)=2,VALUE(Q346)=2),"社内残置",IF(AND(VALUE(O346)=0,VALUE(R346)=0,VALUE(T346)=0),"自動化候補",IF(AND(VALUE(P346)=0,VALUE(R346)&lt;=1,VALUE(S346)&lt;=1,VALUE(T346)&lt;=1,VALUE(U346)&lt;=1),"オフショア候補",IF(AND(VALUE(T346)&lt;=1,VALUE(U346)&lt;=1),"ニアショア候補","社内で手順化→再評価")))))</f>
        <v/>
      </c>
      <c r="AF346">
        <f>IF(W346&lt;&gt;"OK","",14-SUMPRODUCT(--O346:U346))</f>
        <v/>
      </c>
      <c r="AG346" s="33">
        <f>IF(W346&lt;&gt;"OK","",AM346*AN346/60)</f>
        <v/>
      </c>
      <c r="AH346" s="34">
        <f>IF(A346="","",UPPER(TRIM(ASC(A346&amp;""))))</f>
        <v/>
      </c>
      <c r="AI346" s="34">
        <f>IF(AH346="","",AH346&amp;"-"&amp;B346)</f>
        <v/>
      </c>
      <c r="AJ346" s="34">
        <f>IF(C346="","",IFERROR(VALUE(ASC(SUBSTITUTE(C346&amp;"","観点",""))),""))</f>
        <v/>
      </c>
      <c r="AK346" s="34">
        <f>IF(E346="","",UPPER(LEFT(TRIM(ASC(E346&amp;"")),3)))</f>
        <v/>
      </c>
      <c r="AL346" s="34">
        <f>IF(I346="","",IFERROR(VALUE(SUBSTITUTE(SUBSTITUTE(SUBSTITUTE(SUBSTITUTE(SUBSTITUTE(SUBSTITUTE(SUBSTITUTE(SUBSTITUTE(SUBSTITUTE(SUBSTITUTE(SUBSTITUTE(SUBSTITUTE(ASC(I346&amp;""),"約",""),"程度",""),"ほど",""),"回",""),"毎",""),"週",""),"月",""),"年",""),"日",""),"に",""),"/","")," ","")),""))</f>
        <v/>
      </c>
      <c r="AM346" s="34">
        <f>IF(I346="","",IF(ISNUMBER(I346),I346,IFERROR(VALUE(ASC(I346&amp;"")),IF(AL346&lt;&gt;"",AL346*IF(ISNUMBER(SEARCH("週",I346)),4.3,IF(ISNUMBER(SEARCH("年",I346)),1/12,IF(ISNUMBER(SEARCH("日",I346)),20,1))),IF(ISNUMBER(SEARCH("日",I346)),20,IF(ISNUMBER(SEARCH("週",I346)),4.3,IF(ISNUMBER(SEARCH("月",I346)),1,"")))))))</f>
        <v/>
      </c>
      <c r="AN346" s="34">
        <f>IF(J346="","",IF(ISNUMBER(J346),J346,IFERROR(VALUE(ASC(J346&amp;"")),IF(ISNUMBER(SEARCH("時間",J346)),IFERROR(VALUE(SUBSTITUTE(SUBSTITUTE(SUBSTITUTE(SUBSTITUTE(SUBSTITUTE(ASC(J346&amp;""),"約",""),"程度",""),"ほど",""),"時間","")," ",""))*60,""),IFERROR(VALUE(SUBSTITUTE(SUBSTITUTE(SUBSTITUTE(SUBSTITUTE(SUBSTITUTE(ASC(J346&amp;""),"約",""),"程度",""),"ほど",""),"分","")," ","")),"")))))</f>
        <v/>
      </c>
      <c r="AO346" s="34">
        <f>IF(K346="","",IF(ISNUMBER(K346),K346,IFERROR(VALUE(SUBSTITUTE(SUBSTITUTE(SUBSTITUTE(ASC(K346&amp;""),"約",""),"件","")," ","")),"")))</f>
        <v/>
      </c>
      <c r="AP346" s="34">
        <f>IF(W346&lt;&gt;"OK","",IF(COUNTIFS($D$5:$D$404,D346,$W$5:$W$404,"OK")&gt;1,"同名あり",""))</f>
        <v/>
      </c>
      <c r="AQ346" s="35">
        <f>IF(L346="","",IF(ISNUMBER(L346),L346,IFERROR(DATEVALUE(SUBSTITUTE(SUBSTITUTE(ASC(L346&amp;""),"-","/"),".","/")&amp;"/01"),"")))</f>
        <v/>
      </c>
      <c r="AR346" s="35">
        <f>IF(M346="","",IF(ISNUMBER(M346),M346,IFERROR(DATEVALUE(SUBSTITUTE(SUBSTITUTE(ASC(M346&amp;""),"-","/"),".","/")&amp;"/01"),"")))</f>
        <v/>
      </c>
      <c r="AS346" s="34">
        <f>IF(OR(W346&lt;&gt;"OK",AQ346=""),"",IF(AQ346&gt;='01_設定'!$C$26,1,0))</f>
        <v/>
      </c>
      <c r="AT346" s="34">
        <f>IF(AND(W346="OK",Y346&lt;&gt;"除外"),COUNTIFS($W$5:W346,"OK",$Y$5:Y346,"&lt;&gt;除外"),"")</f>
        <v/>
      </c>
      <c r="AU346" s="34">
        <f>IF(OR(AT346="",AD346=""),"",AD346+ROW()/1000000000)</f>
        <v/>
      </c>
    </row>
    <row r="347">
      <c r="W347">
        <f>IF(AND(A347="",D347=""),"",IF(ISNUMBER(SEARCH("##END",AH347)),"（終わりの印）",IF(ISNUMBER(SEARCH("##続き",AH347)),"（続きありの印）",IF(AH347="調査ID","（見出し行）",IF(AND(AH347&lt;&gt;"R1",AH347&lt;&gt;"R2"),"×表以外の行（集計されない）",IF(COUNTIF($AI$5:AI347,AI347)&gt;1,"△重複（集計されない）",IF(D347="","△タスク名なし",IF(ISNA(MATCH(AK347,'M1_類型マスタ'!$A$5:$A$19,0)),"△類型が不正",IF(OR(AM347="",AN347=""),"△回数・分が読めない",IF(SUMPRODUCT(--ISNUMBER(--O347:U347))&lt;7,"△採点が足りない",IF(SUMPRODUCT((--O347:U347&gt;2)+(--O347:U347&lt;0))&gt;0,"△採点が範囲外","OK")))))))))))</f>
        <v/>
      </c>
      <c r="X347">
        <f>IF(W347&lt;&gt;"OK","",TRIM(IF(AND(AO347&lt;&gt;"",N(AO347)&lt;=1),"根拠1件 ","")&amp;IF(AP347&lt;&gt;"","同名あり ","")&amp;IF(AND(NOT(ISNUMBER(I347)),I347&lt;&gt;""),"回数を換算 ","")))</f>
        <v/>
      </c>
      <c r="Y347" s="31" t="n"/>
      <c r="Z347" s="32" t="n"/>
      <c r="AA347" s="32" t="n"/>
      <c r="AB347" s="31" t="n"/>
      <c r="AC347">
        <f>IF(W347&lt;&gt;"OK","",IF(AB347&lt;&gt;"",AB347,AE347))</f>
        <v/>
      </c>
      <c r="AD347" s="33">
        <f>IF(W347&lt;&gt;"OK","",IFERROR(IF(Z347&lt;&gt;"",Z347,AM347)*IF(AA347&lt;&gt;"",AA347,AN347)/60,""))</f>
        <v/>
      </c>
      <c r="AE347">
        <f>IF(W347&lt;&gt;"OK","",IF(OR(VALUE(O347)=2,VALUE(P347)=2,VALUE(Q347)=2),"社内残置",IF(AND(VALUE(O347)=0,VALUE(R347)=0,VALUE(T347)=0),"自動化候補",IF(AND(VALUE(P347)=0,VALUE(R347)&lt;=1,VALUE(S347)&lt;=1,VALUE(T347)&lt;=1,VALUE(U347)&lt;=1),"オフショア候補",IF(AND(VALUE(T347)&lt;=1,VALUE(U347)&lt;=1),"ニアショア候補","社内で手順化→再評価")))))</f>
        <v/>
      </c>
      <c r="AF347">
        <f>IF(W347&lt;&gt;"OK","",14-SUMPRODUCT(--O347:U347))</f>
        <v/>
      </c>
      <c r="AG347" s="33">
        <f>IF(W347&lt;&gt;"OK","",AM347*AN347/60)</f>
        <v/>
      </c>
      <c r="AH347" s="34">
        <f>IF(A347="","",UPPER(TRIM(ASC(A347&amp;""))))</f>
        <v/>
      </c>
      <c r="AI347" s="34">
        <f>IF(AH347="","",AH347&amp;"-"&amp;B347)</f>
        <v/>
      </c>
      <c r="AJ347" s="34">
        <f>IF(C347="","",IFERROR(VALUE(ASC(SUBSTITUTE(C347&amp;"","観点",""))),""))</f>
        <v/>
      </c>
      <c r="AK347" s="34">
        <f>IF(E347="","",UPPER(LEFT(TRIM(ASC(E347&amp;"")),3)))</f>
        <v/>
      </c>
      <c r="AL347" s="34">
        <f>IF(I347="","",IFERROR(VALUE(SUBSTITUTE(SUBSTITUTE(SUBSTITUTE(SUBSTITUTE(SUBSTITUTE(SUBSTITUTE(SUBSTITUTE(SUBSTITUTE(SUBSTITUTE(SUBSTITUTE(SUBSTITUTE(SUBSTITUTE(ASC(I347&amp;""),"約",""),"程度",""),"ほど",""),"回",""),"毎",""),"週",""),"月",""),"年",""),"日",""),"に",""),"/","")," ","")),""))</f>
        <v/>
      </c>
      <c r="AM347" s="34">
        <f>IF(I347="","",IF(ISNUMBER(I347),I347,IFERROR(VALUE(ASC(I347&amp;"")),IF(AL347&lt;&gt;"",AL347*IF(ISNUMBER(SEARCH("週",I347)),4.3,IF(ISNUMBER(SEARCH("年",I347)),1/12,IF(ISNUMBER(SEARCH("日",I347)),20,1))),IF(ISNUMBER(SEARCH("日",I347)),20,IF(ISNUMBER(SEARCH("週",I347)),4.3,IF(ISNUMBER(SEARCH("月",I347)),1,"")))))))</f>
        <v/>
      </c>
      <c r="AN347" s="34">
        <f>IF(J347="","",IF(ISNUMBER(J347),J347,IFERROR(VALUE(ASC(J347&amp;"")),IF(ISNUMBER(SEARCH("時間",J347)),IFERROR(VALUE(SUBSTITUTE(SUBSTITUTE(SUBSTITUTE(SUBSTITUTE(SUBSTITUTE(ASC(J347&amp;""),"約",""),"程度",""),"ほど",""),"時間","")," ",""))*60,""),IFERROR(VALUE(SUBSTITUTE(SUBSTITUTE(SUBSTITUTE(SUBSTITUTE(SUBSTITUTE(ASC(J347&amp;""),"約",""),"程度",""),"ほど",""),"分","")," ","")),"")))))</f>
        <v/>
      </c>
      <c r="AO347" s="34">
        <f>IF(K347="","",IF(ISNUMBER(K347),K347,IFERROR(VALUE(SUBSTITUTE(SUBSTITUTE(SUBSTITUTE(ASC(K347&amp;""),"約",""),"件","")," ","")),"")))</f>
        <v/>
      </c>
      <c r="AP347" s="34">
        <f>IF(W347&lt;&gt;"OK","",IF(COUNTIFS($D$5:$D$404,D347,$W$5:$W$404,"OK")&gt;1,"同名あり",""))</f>
        <v/>
      </c>
      <c r="AQ347" s="35">
        <f>IF(L347="","",IF(ISNUMBER(L347),L347,IFERROR(DATEVALUE(SUBSTITUTE(SUBSTITUTE(ASC(L347&amp;""),"-","/"),".","/")&amp;"/01"),"")))</f>
        <v/>
      </c>
      <c r="AR347" s="35">
        <f>IF(M347="","",IF(ISNUMBER(M347),M347,IFERROR(DATEVALUE(SUBSTITUTE(SUBSTITUTE(ASC(M347&amp;""),"-","/"),".","/")&amp;"/01"),"")))</f>
        <v/>
      </c>
      <c r="AS347" s="34">
        <f>IF(OR(W347&lt;&gt;"OK",AQ347=""),"",IF(AQ347&gt;='01_設定'!$C$26,1,0))</f>
        <v/>
      </c>
      <c r="AT347" s="34">
        <f>IF(AND(W347="OK",Y347&lt;&gt;"除外"),COUNTIFS($W$5:W347,"OK",$Y$5:Y347,"&lt;&gt;除外"),"")</f>
        <v/>
      </c>
      <c r="AU347" s="34">
        <f>IF(OR(AT347="",AD347=""),"",AD347+ROW()/1000000000)</f>
        <v/>
      </c>
    </row>
    <row r="348">
      <c r="W348">
        <f>IF(AND(A348="",D348=""),"",IF(ISNUMBER(SEARCH("##END",AH348)),"（終わりの印）",IF(ISNUMBER(SEARCH("##続き",AH348)),"（続きありの印）",IF(AH348="調査ID","（見出し行）",IF(AND(AH348&lt;&gt;"R1",AH348&lt;&gt;"R2"),"×表以外の行（集計されない）",IF(COUNTIF($AI$5:AI348,AI348)&gt;1,"△重複（集計されない）",IF(D348="","△タスク名なし",IF(ISNA(MATCH(AK348,'M1_類型マスタ'!$A$5:$A$19,0)),"△類型が不正",IF(OR(AM348="",AN348=""),"△回数・分が読めない",IF(SUMPRODUCT(--ISNUMBER(--O348:U348))&lt;7,"△採点が足りない",IF(SUMPRODUCT((--O348:U348&gt;2)+(--O348:U348&lt;0))&gt;0,"△採点が範囲外","OK")))))))))))</f>
        <v/>
      </c>
      <c r="X348">
        <f>IF(W348&lt;&gt;"OK","",TRIM(IF(AND(AO348&lt;&gt;"",N(AO348)&lt;=1),"根拠1件 ","")&amp;IF(AP348&lt;&gt;"","同名あり ","")&amp;IF(AND(NOT(ISNUMBER(I348)),I348&lt;&gt;""),"回数を換算 ","")))</f>
        <v/>
      </c>
      <c r="Y348" s="31" t="n"/>
      <c r="Z348" s="32" t="n"/>
      <c r="AA348" s="32" t="n"/>
      <c r="AB348" s="31" t="n"/>
      <c r="AC348">
        <f>IF(W348&lt;&gt;"OK","",IF(AB348&lt;&gt;"",AB348,AE348))</f>
        <v/>
      </c>
      <c r="AD348" s="33">
        <f>IF(W348&lt;&gt;"OK","",IFERROR(IF(Z348&lt;&gt;"",Z348,AM348)*IF(AA348&lt;&gt;"",AA348,AN348)/60,""))</f>
        <v/>
      </c>
      <c r="AE348">
        <f>IF(W348&lt;&gt;"OK","",IF(OR(VALUE(O348)=2,VALUE(P348)=2,VALUE(Q348)=2),"社内残置",IF(AND(VALUE(O348)=0,VALUE(R348)=0,VALUE(T348)=0),"自動化候補",IF(AND(VALUE(P348)=0,VALUE(R348)&lt;=1,VALUE(S348)&lt;=1,VALUE(T348)&lt;=1,VALUE(U348)&lt;=1),"オフショア候補",IF(AND(VALUE(T348)&lt;=1,VALUE(U348)&lt;=1),"ニアショア候補","社内で手順化→再評価")))))</f>
        <v/>
      </c>
      <c r="AF348">
        <f>IF(W348&lt;&gt;"OK","",14-SUMPRODUCT(--O348:U348))</f>
        <v/>
      </c>
      <c r="AG348" s="33">
        <f>IF(W348&lt;&gt;"OK","",AM348*AN348/60)</f>
        <v/>
      </c>
      <c r="AH348" s="34">
        <f>IF(A348="","",UPPER(TRIM(ASC(A348&amp;""))))</f>
        <v/>
      </c>
      <c r="AI348" s="34">
        <f>IF(AH348="","",AH348&amp;"-"&amp;B348)</f>
        <v/>
      </c>
      <c r="AJ348" s="34">
        <f>IF(C348="","",IFERROR(VALUE(ASC(SUBSTITUTE(C348&amp;"","観点",""))),""))</f>
        <v/>
      </c>
      <c r="AK348" s="34">
        <f>IF(E348="","",UPPER(LEFT(TRIM(ASC(E348&amp;"")),3)))</f>
        <v/>
      </c>
      <c r="AL348" s="34">
        <f>IF(I348="","",IFERROR(VALUE(SUBSTITUTE(SUBSTITUTE(SUBSTITUTE(SUBSTITUTE(SUBSTITUTE(SUBSTITUTE(SUBSTITUTE(SUBSTITUTE(SUBSTITUTE(SUBSTITUTE(SUBSTITUTE(SUBSTITUTE(ASC(I348&amp;""),"約",""),"程度",""),"ほど",""),"回",""),"毎",""),"週",""),"月",""),"年",""),"日",""),"に",""),"/","")," ","")),""))</f>
        <v/>
      </c>
      <c r="AM348" s="34">
        <f>IF(I348="","",IF(ISNUMBER(I348),I348,IFERROR(VALUE(ASC(I348&amp;"")),IF(AL348&lt;&gt;"",AL348*IF(ISNUMBER(SEARCH("週",I348)),4.3,IF(ISNUMBER(SEARCH("年",I348)),1/12,IF(ISNUMBER(SEARCH("日",I348)),20,1))),IF(ISNUMBER(SEARCH("日",I348)),20,IF(ISNUMBER(SEARCH("週",I348)),4.3,IF(ISNUMBER(SEARCH("月",I348)),1,"")))))))</f>
        <v/>
      </c>
      <c r="AN348" s="34">
        <f>IF(J348="","",IF(ISNUMBER(J348),J348,IFERROR(VALUE(ASC(J348&amp;"")),IF(ISNUMBER(SEARCH("時間",J348)),IFERROR(VALUE(SUBSTITUTE(SUBSTITUTE(SUBSTITUTE(SUBSTITUTE(SUBSTITUTE(ASC(J348&amp;""),"約",""),"程度",""),"ほど",""),"時間","")," ",""))*60,""),IFERROR(VALUE(SUBSTITUTE(SUBSTITUTE(SUBSTITUTE(SUBSTITUTE(SUBSTITUTE(ASC(J348&amp;""),"約",""),"程度",""),"ほど",""),"分","")," ","")),"")))))</f>
        <v/>
      </c>
      <c r="AO348" s="34">
        <f>IF(K348="","",IF(ISNUMBER(K348),K348,IFERROR(VALUE(SUBSTITUTE(SUBSTITUTE(SUBSTITUTE(ASC(K348&amp;""),"約",""),"件","")," ","")),"")))</f>
        <v/>
      </c>
      <c r="AP348" s="34">
        <f>IF(W348&lt;&gt;"OK","",IF(COUNTIFS($D$5:$D$404,D348,$W$5:$W$404,"OK")&gt;1,"同名あり",""))</f>
        <v/>
      </c>
      <c r="AQ348" s="35">
        <f>IF(L348="","",IF(ISNUMBER(L348),L348,IFERROR(DATEVALUE(SUBSTITUTE(SUBSTITUTE(ASC(L348&amp;""),"-","/"),".","/")&amp;"/01"),"")))</f>
        <v/>
      </c>
      <c r="AR348" s="35">
        <f>IF(M348="","",IF(ISNUMBER(M348),M348,IFERROR(DATEVALUE(SUBSTITUTE(SUBSTITUTE(ASC(M348&amp;""),"-","/"),".","/")&amp;"/01"),"")))</f>
        <v/>
      </c>
      <c r="AS348" s="34">
        <f>IF(OR(W348&lt;&gt;"OK",AQ348=""),"",IF(AQ348&gt;='01_設定'!$C$26,1,0))</f>
        <v/>
      </c>
      <c r="AT348" s="34">
        <f>IF(AND(W348="OK",Y348&lt;&gt;"除外"),COUNTIFS($W$5:W348,"OK",$Y$5:Y348,"&lt;&gt;除外"),"")</f>
        <v/>
      </c>
      <c r="AU348" s="34">
        <f>IF(OR(AT348="",AD348=""),"",AD348+ROW()/1000000000)</f>
        <v/>
      </c>
    </row>
    <row r="349">
      <c r="W349">
        <f>IF(AND(A349="",D349=""),"",IF(ISNUMBER(SEARCH("##END",AH349)),"（終わりの印）",IF(ISNUMBER(SEARCH("##続き",AH349)),"（続きありの印）",IF(AH349="調査ID","（見出し行）",IF(AND(AH349&lt;&gt;"R1",AH349&lt;&gt;"R2"),"×表以外の行（集計されない）",IF(COUNTIF($AI$5:AI349,AI349)&gt;1,"△重複（集計されない）",IF(D349="","△タスク名なし",IF(ISNA(MATCH(AK349,'M1_類型マスタ'!$A$5:$A$19,0)),"△類型が不正",IF(OR(AM349="",AN349=""),"△回数・分が読めない",IF(SUMPRODUCT(--ISNUMBER(--O349:U349))&lt;7,"△採点が足りない",IF(SUMPRODUCT((--O349:U349&gt;2)+(--O349:U349&lt;0))&gt;0,"△採点が範囲外","OK")))))))))))</f>
        <v/>
      </c>
      <c r="X349">
        <f>IF(W349&lt;&gt;"OK","",TRIM(IF(AND(AO349&lt;&gt;"",N(AO349)&lt;=1),"根拠1件 ","")&amp;IF(AP349&lt;&gt;"","同名あり ","")&amp;IF(AND(NOT(ISNUMBER(I349)),I349&lt;&gt;""),"回数を換算 ","")))</f>
        <v/>
      </c>
      <c r="Y349" s="31" t="n"/>
      <c r="Z349" s="32" t="n"/>
      <c r="AA349" s="32" t="n"/>
      <c r="AB349" s="31" t="n"/>
      <c r="AC349">
        <f>IF(W349&lt;&gt;"OK","",IF(AB349&lt;&gt;"",AB349,AE349))</f>
        <v/>
      </c>
      <c r="AD349" s="33">
        <f>IF(W349&lt;&gt;"OK","",IFERROR(IF(Z349&lt;&gt;"",Z349,AM349)*IF(AA349&lt;&gt;"",AA349,AN349)/60,""))</f>
        <v/>
      </c>
      <c r="AE349">
        <f>IF(W349&lt;&gt;"OK","",IF(OR(VALUE(O349)=2,VALUE(P349)=2,VALUE(Q349)=2),"社内残置",IF(AND(VALUE(O349)=0,VALUE(R349)=0,VALUE(T349)=0),"自動化候補",IF(AND(VALUE(P349)=0,VALUE(R349)&lt;=1,VALUE(S349)&lt;=1,VALUE(T349)&lt;=1,VALUE(U349)&lt;=1),"オフショア候補",IF(AND(VALUE(T349)&lt;=1,VALUE(U349)&lt;=1),"ニアショア候補","社内で手順化→再評価")))))</f>
        <v/>
      </c>
      <c r="AF349">
        <f>IF(W349&lt;&gt;"OK","",14-SUMPRODUCT(--O349:U349))</f>
        <v/>
      </c>
      <c r="AG349" s="33">
        <f>IF(W349&lt;&gt;"OK","",AM349*AN349/60)</f>
        <v/>
      </c>
      <c r="AH349" s="34">
        <f>IF(A349="","",UPPER(TRIM(ASC(A349&amp;""))))</f>
        <v/>
      </c>
      <c r="AI349" s="34">
        <f>IF(AH349="","",AH349&amp;"-"&amp;B349)</f>
        <v/>
      </c>
      <c r="AJ349" s="34">
        <f>IF(C349="","",IFERROR(VALUE(ASC(SUBSTITUTE(C349&amp;"","観点",""))),""))</f>
        <v/>
      </c>
      <c r="AK349" s="34">
        <f>IF(E349="","",UPPER(LEFT(TRIM(ASC(E349&amp;"")),3)))</f>
        <v/>
      </c>
      <c r="AL349" s="34">
        <f>IF(I349="","",IFERROR(VALUE(SUBSTITUTE(SUBSTITUTE(SUBSTITUTE(SUBSTITUTE(SUBSTITUTE(SUBSTITUTE(SUBSTITUTE(SUBSTITUTE(SUBSTITUTE(SUBSTITUTE(SUBSTITUTE(SUBSTITUTE(ASC(I349&amp;""),"約",""),"程度",""),"ほど",""),"回",""),"毎",""),"週",""),"月",""),"年",""),"日",""),"に",""),"/","")," ","")),""))</f>
        <v/>
      </c>
      <c r="AM349" s="34">
        <f>IF(I349="","",IF(ISNUMBER(I349),I349,IFERROR(VALUE(ASC(I349&amp;"")),IF(AL349&lt;&gt;"",AL349*IF(ISNUMBER(SEARCH("週",I349)),4.3,IF(ISNUMBER(SEARCH("年",I349)),1/12,IF(ISNUMBER(SEARCH("日",I349)),20,1))),IF(ISNUMBER(SEARCH("日",I349)),20,IF(ISNUMBER(SEARCH("週",I349)),4.3,IF(ISNUMBER(SEARCH("月",I349)),1,"")))))))</f>
        <v/>
      </c>
      <c r="AN349" s="34">
        <f>IF(J349="","",IF(ISNUMBER(J349),J349,IFERROR(VALUE(ASC(J349&amp;"")),IF(ISNUMBER(SEARCH("時間",J349)),IFERROR(VALUE(SUBSTITUTE(SUBSTITUTE(SUBSTITUTE(SUBSTITUTE(SUBSTITUTE(ASC(J349&amp;""),"約",""),"程度",""),"ほど",""),"時間","")," ",""))*60,""),IFERROR(VALUE(SUBSTITUTE(SUBSTITUTE(SUBSTITUTE(SUBSTITUTE(SUBSTITUTE(ASC(J349&amp;""),"約",""),"程度",""),"ほど",""),"分","")," ","")),"")))))</f>
        <v/>
      </c>
      <c r="AO349" s="34">
        <f>IF(K349="","",IF(ISNUMBER(K349),K349,IFERROR(VALUE(SUBSTITUTE(SUBSTITUTE(SUBSTITUTE(ASC(K349&amp;""),"約",""),"件","")," ","")),"")))</f>
        <v/>
      </c>
      <c r="AP349" s="34">
        <f>IF(W349&lt;&gt;"OK","",IF(COUNTIFS($D$5:$D$404,D349,$W$5:$W$404,"OK")&gt;1,"同名あり",""))</f>
        <v/>
      </c>
      <c r="AQ349" s="35">
        <f>IF(L349="","",IF(ISNUMBER(L349),L349,IFERROR(DATEVALUE(SUBSTITUTE(SUBSTITUTE(ASC(L349&amp;""),"-","/"),".","/")&amp;"/01"),"")))</f>
        <v/>
      </c>
      <c r="AR349" s="35">
        <f>IF(M349="","",IF(ISNUMBER(M349),M349,IFERROR(DATEVALUE(SUBSTITUTE(SUBSTITUTE(ASC(M349&amp;""),"-","/"),".","/")&amp;"/01"),"")))</f>
        <v/>
      </c>
      <c r="AS349" s="34">
        <f>IF(OR(W349&lt;&gt;"OK",AQ349=""),"",IF(AQ349&gt;='01_設定'!$C$26,1,0))</f>
        <v/>
      </c>
      <c r="AT349" s="34">
        <f>IF(AND(W349="OK",Y349&lt;&gt;"除外"),COUNTIFS($W$5:W349,"OK",$Y$5:Y349,"&lt;&gt;除外"),"")</f>
        <v/>
      </c>
      <c r="AU349" s="34">
        <f>IF(OR(AT349="",AD349=""),"",AD349+ROW()/1000000000)</f>
        <v/>
      </c>
    </row>
    <row r="350">
      <c r="W350">
        <f>IF(AND(A350="",D350=""),"",IF(ISNUMBER(SEARCH("##END",AH350)),"（終わりの印）",IF(ISNUMBER(SEARCH("##続き",AH350)),"（続きありの印）",IF(AH350="調査ID","（見出し行）",IF(AND(AH350&lt;&gt;"R1",AH350&lt;&gt;"R2"),"×表以外の行（集計されない）",IF(COUNTIF($AI$5:AI350,AI350)&gt;1,"△重複（集計されない）",IF(D350="","△タスク名なし",IF(ISNA(MATCH(AK350,'M1_類型マスタ'!$A$5:$A$19,0)),"△類型が不正",IF(OR(AM350="",AN350=""),"△回数・分が読めない",IF(SUMPRODUCT(--ISNUMBER(--O350:U350))&lt;7,"△採点が足りない",IF(SUMPRODUCT((--O350:U350&gt;2)+(--O350:U350&lt;0))&gt;0,"△採点が範囲外","OK")))))))))))</f>
        <v/>
      </c>
      <c r="X350">
        <f>IF(W350&lt;&gt;"OK","",TRIM(IF(AND(AO350&lt;&gt;"",N(AO350)&lt;=1),"根拠1件 ","")&amp;IF(AP350&lt;&gt;"","同名あり ","")&amp;IF(AND(NOT(ISNUMBER(I350)),I350&lt;&gt;""),"回数を換算 ","")))</f>
        <v/>
      </c>
      <c r="Y350" s="31" t="n"/>
      <c r="Z350" s="32" t="n"/>
      <c r="AA350" s="32" t="n"/>
      <c r="AB350" s="31" t="n"/>
      <c r="AC350">
        <f>IF(W350&lt;&gt;"OK","",IF(AB350&lt;&gt;"",AB350,AE350))</f>
        <v/>
      </c>
      <c r="AD350" s="33">
        <f>IF(W350&lt;&gt;"OK","",IFERROR(IF(Z350&lt;&gt;"",Z350,AM350)*IF(AA350&lt;&gt;"",AA350,AN350)/60,""))</f>
        <v/>
      </c>
      <c r="AE350">
        <f>IF(W350&lt;&gt;"OK","",IF(OR(VALUE(O350)=2,VALUE(P350)=2,VALUE(Q350)=2),"社内残置",IF(AND(VALUE(O350)=0,VALUE(R350)=0,VALUE(T350)=0),"自動化候補",IF(AND(VALUE(P350)=0,VALUE(R350)&lt;=1,VALUE(S350)&lt;=1,VALUE(T350)&lt;=1,VALUE(U350)&lt;=1),"オフショア候補",IF(AND(VALUE(T350)&lt;=1,VALUE(U350)&lt;=1),"ニアショア候補","社内で手順化→再評価")))))</f>
        <v/>
      </c>
      <c r="AF350">
        <f>IF(W350&lt;&gt;"OK","",14-SUMPRODUCT(--O350:U350))</f>
        <v/>
      </c>
      <c r="AG350" s="33">
        <f>IF(W350&lt;&gt;"OK","",AM350*AN350/60)</f>
        <v/>
      </c>
      <c r="AH350" s="34">
        <f>IF(A350="","",UPPER(TRIM(ASC(A350&amp;""))))</f>
        <v/>
      </c>
      <c r="AI350" s="34">
        <f>IF(AH350="","",AH350&amp;"-"&amp;B350)</f>
        <v/>
      </c>
      <c r="AJ350" s="34">
        <f>IF(C350="","",IFERROR(VALUE(ASC(SUBSTITUTE(C350&amp;"","観点",""))),""))</f>
        <v/>
      </c>
      <c r="AK350" s="34">
        <f>IF(E350="","",UPPER(LEFT(TRIM(ASC(E350&amp;"")),3)))</f>
        <v/>
      </c>
      <c r="AL350" s="34">
        <f>IF(I350="","",IFERROR(VALUE(SUBSTITUTE(SUBSTITUTE(SUBSTITUTE(SUBSTITUTE(SUBSTITUTE(SUBSTITUTE(SUBSTITUTE(SUBSTITUTE(SUBSTITUTE(SUBSTITUTE(SUBSTITUTE(SUBSTITUTE(ASC(I350&amp;""),"約",""),"程度",""),"ほど",""),"回",""),"毎",""),"週",""),"月",""),"年",""),"日",""),"に",""),"/","")," ","")),""))</f>
        <v/>
      </c>
      <c r="AM350" s="34">
        <f>IF(I350="","",IF(ISNUMBER(I350),I350,IFERROR(VALUE(ASC(I350&amp;"")),IF(AL350&lt;&gt;"",AL350*IF(ISNUMBER(SEARCH("週",I350)),4.3,IF(ISNUMBER(SEARCH("年",I350)),1/12,IF(ISNUMBER(SEARCH("日",I350)),20,1))),IF(ISNUMBER(SEARCH("日",I350)),20,IF(ISNUMBER(SEARCH("週",I350)),4.3,IF(ISNUMBER(SEARCH("月",I350)),1,"")))))))</f>
        <v/>
      </c>
      <c r="AN350" s="34">
        <f>IF(J350="","",IF(ISNUMBER(J350),J350,IFERROR(VALUE(ASC(J350&amp;"")),IF(ISNUMBER(SEARCH("時間",J350)),IFERROR(VALUE(SUBSTITUTE(SUBSTITUTE(SUBSTITUTE(SUBSTITUTE(SUBSTITUTE(ASC(J350&amp;""),"約",""),"程度",""),"ほど",""),"時間","")," ",""))*60,""),IFERROR(VALUE(SUBSTITUTE(SUBSTITUTE(SUBSTITUTE(SUBSTITUTE(SUBSTITUTE(ASC(J350&amp;""),"約",""),"程度",""),"ほど",""),"分","")," ","")),"")))))</f>
        <v/>
      </c>
      <c r="AO350" s="34">
        <f>IF(K350="","",IF(ISNUMBER(K350),K350,IFERROR(VALUE(SUBSTITUTE(SUBSTITUTE(SUBSTITUTE(ASC(K350&amp;""),"約",""),"件","")," ","")),"")))</f>
        <v/>
      </c>
      <c r="AP350" s="34">
        <f>IF(W350&lt;&gt;"OK","",IF(COUNTIFS($D$5:$D$404,D350,$W$5:$W$404,"OK")&gt;1,"同名あり",""))</f>
        <v/>
      </c>
      <c r="AQ350" s="35">
        <f>IF(L350="","",IF(ISNUMBER(L350),L350,IFERROR(DATEVALUE(SUBSTITUTE(SUBSTITUTE(ASC(L350&amp;""),"-","/"),".","/")&amp;"/01"),"")))</f>
        <v/>
      </c>
      <c r="AR350" s="35">
        <f>IF(M350="","",IF(ISNUMBER(M350),M350,IFERROR(DATEVALUE(SUBSTITUTE(SUBSTITUTE(ASC(M350&amp;""),"-","/"),".","/")&amp;"/01"),"")))</f>
        <v/>
      </c>
      <c r="AS350" s="34">
        <f>IF(OR(W350&lt;&gt;"OK",AQ350=""),"",IF(AQ350&gt;='01_設定'!$C$26,1,0))</f>
        <v/>
      </c>
      <c r="AT350" s="34">
        <f>IF(AND(W350="OK",Y350&lt;&gt;"除外"),COUNTIFS($W$5:W350,"OK",$Y$5:Y350,"&lt;&gt;除外"),"")</f>
        <v/>
      </c>
      <c r="AU350" s="34">
        <f>IF(OR(AT350="",AD350=""),"",AD350+ROW()/1000000000)</f>
        <v/>
      </c>
    </row>
    <row r="351">
      <c r="W351">
        <f>IF(AND(A351="",D351=""),"",IF(ISNUMBER(SEARCH("##END",AH351)),"（終わりの印）",IF(ISNUMBER(SEARCH("##続き",AH351)),"（続きありの印）",IF(AH351="調査ID","（見出し行）",IF(AND(AH351&lt;&gt;"R1",AH351&lt;&gt;"R2"),"×表以外の行（集計されない）",IF(COUNTIF($AI$5:AI351,AI351)&gt;1,"△重複（集計されない）",IF(D351="","△タスク名なし",IF(ISNA(MATCH(AK351,'M1_類型マスタ'!$A$5:$A$19,0)),"△類型が不正",IF(OR(AM351="",AN351=""),"△回数・分が読めない",IF(SUMPRODUCT(--ISNUMBER(--O351:U351))&lt;7,"△採点が足りない",IF(SUMPRODUCT((--O351:U351&gt;2)+(--O351:U351&lt;0))&gt;0,"△採点が範囲外","OK")))))))))))</f>
        <v/>
      </c>
      <c r="X351">
        <f>IF(W351&lt;&gt;"OK","",TRIM(IF(AND(AO351&lt;&gt;"",N(AO351)&lt;=1),"根拠1件 ","")&amp;IF(AP351&lt;&gt;"","同名あり ","")&amp;IF(AND(NOT(ISNUMBER(I351)),I351&lt;&gt;""),"回数を換算 ","")))</f>
        <v/>
      </c>
      <c r="Y351" s="31" t="n"/>
      <c r="Z351" s="32" t="n"/>
      <c r="AA351" s="32" t="n"/>
      <c r="AB351" s="31" t="n"/>
      <c r="AC351">
        <f>IF(W351&lt;&gt;"OK","",IF(AB351&lt;&gt;"",AB351,AE351))</f>
        <v/>
      </c>
      <c r="AD351" s="33">
        <f>IF(W351&lt;&gt;"OK","",IFERROR(IF(Z351&lt;&gt;"",Z351,AM351)*IF(AA351&lt;&gt;"",AA351,AN351)/60,""))</f>
        <v/>
      </c>
      <c r="AE351">
        <f>IF(W351&lt;&gt;"OK","",IF(OR(VALUE(O351)=2,VALUE(P351)=2,VALUE(Q351)=2),"社内残置",IF(AND(VALUE(O351)=0,VALUE(R351)=0,VALUE(T351)=0),"自動化候補",IF(AND(VALUE(P351)=0,VALUE(R351)&lt;=1,VALUE(S351)&lt;=1,VALUE(T351)&lt;=1,VALUE(U351)&lt;=1),"オフショア候補",IF(AND(VALUE(T351)&lt;=1,VALUE(U351)&lt;=1),"ニアショア候補","社内で手順化→再評価")))))</f>
        <v/>
      </c>
      <c r="AF351">
        <f>IF(W351&lt;&gt;"OK","",14-SUMPRODUCT(--O351:U351))</f>
        <v/>
      </c>
      <c r="AG351" s="33">
        <f>IF(W351&lt;&gt;"OK","",AM351*AN351/60)</f>
        <v/>
      </c>
      <c r="AH351" s="34">
        <f>IF(A351="","",UPPER(TRIM(ASC(A351&amp;""))))</f>
        <v/>
      </c>
      <c r="AI351" s="34">
        <f>IF(AH351="","",AH351&amp;"-"&amp;B351)</f>
        <v/>
      </c>
      <c r="AJ351" s="34">
        <f>IF(C351="","",IFERROR(VALUE(ASC(SUBSTITUTE(C351&amp;"","観点",""))),""))</f>
        <v/>
      </c>
      <c r="AK351" s="34">
        <f>IF(E351="","",UPPER(LEFT(TRIM(ASC(E351&amp;"")),3)))</f>
        <v/>
      </c>
      <c r="AL351" s="34">
        <f>IF(I351="","",IFERROR(VALUE(SUBSTITUTE(SUBSTITUTE(SUBSTITUTE(SUBSTITUTE(SUBSTITUTE(SUBSTITUTE(SUBSTITUTE(SUBSTITUTE(SUBSTITUTE(SUBSTITUTE(SUBSTITUTE(SUBSTITUTE(ASC(I351&amp;""),"約",""),"程度",""),"ほど",""),"回",""),"毎",""),"週",""),"月",""),"年",""),"日",""),"に",""),"/","")," ","")),""))</f>
        <v/>
      </c>
      <c r="AM351" s="34">
        <f>IF(I351="","",IF(ISNUMBER(I351),I351,IFERROR(VALUE(ASC(I351&amp;"")),IF(AL351&lt;&gt;"",AL351*IF(ISNUMBER(SEARCH("週",I351)),4.3,IF(ISNUMBER(SEARCH("年",I351)),1/12,IF(ISNUMBER(SEARCH("日",I351)),20,1))),IF(ISNUMBER(SEARCH("日",I351)),20,IF(ISNUMBER(SEARCH("週",I351)),4.3,IF(ISNUMBER(SEARCH("月",I351)),1,"")))))))</f>
        <v/>
      </c>
      <c r="AN351" s="34">
        <f>IF(J351="","",IF(ISNUMBER(J351),J351,IFERROR(VALUE(ASC(J351&amp;"")),IF(ISNUMBER(SEARCH("時間",J351)),IFERROR(VALUE(SUBSTITUTE(SUBSTITUTE(SUBSTITUTE(SUBSTITUTE(SUBSTITUTE(ASC(J351&amp;""),"約",""),"程度",""),"ほど",""),"時間","")," ",""))*60,""),IFERROR(VALUE(SUBSTITUTE(SUBSTITUTE(SUBSTITUTE(SUBSTITUTE(SUBSTITUTE(ASC(J351&amp;""),"約",""),"程度",""),"ほど",""),"分","")," ","")),"")))))</f>
        <v/>
      </c>
      <c r="AO351" s="34">
        <f>IF(K351="","",IF(ISNUMBER(K351),K351,IFERROR(VALUE(SUBSTITUTE(SUBSTITUTE(SUBSTITUTE(ASC(K351&amp;""),"約",""),"件","")," ","")),"")))</f>
        <v/>
      </c>
      <c r="AP351" s="34">
        <f>IF(W351&lt;&gt;"OK","",IF(COUNTIFS($D$5:$D$404,D351,$W$5:$W$404,"OK")&gt;1,"同名あり",""))</f>
        <v/>
      </c>
      <c r="AQ351" s="35">
        <f>IF(L351="","",IF(ISNUMBER(L351),L351,IFERROR(DATEVALUE(SUBSTITUTE(SUBSTITUTE(ASC(L351&amp;""),"-","/"),".","/")&amp;"/01"),"")))</f>
        <v/>
      </c>
      <c r="AR351" s="35">
        <f>IF(M351="","",IF(ISNUMBER(M351),M351,IFERROR(DATEVALUE(SUBSTITUTE(SUBSTITUTE(ASC(M351&amp;""),"-","/"),".","/")&amp;"/01"),"")))</f>
        <v/>
      </c>
      <c r="AS351" s="34">
        <f>IF(OR(W351&lt;&gt;"OK",AQ351=""),"",IF(AQ351&gt;='01_設定'!$C$26,1,0))</f>
        <v/>
      </c>
      <c r="AT351" s="34">
        <f>IF(AND(W351="OK",Y351&lt;&gt;"除外"),COUNTIFS($W$5:W351,"OK",$Y$5:Y351,"&lt;&gt;除外"),"")</f>
        <v/>
      </c>
      <c r="AU351" s="34">
        <f>IF(OR(AT351="",AD351=""),"",AD351+ROW()/1000000000)</f>
        <v/>
      </c>
    </row>
    <row r="352">
      <c r="W352">
        <f>IF(AND(A352="",D352=""),"",IF(ISNUMBER(SEARCH("##END",AH352)),"（終わりの印）",IF(ISNUMBER(SEARCH("##続き",AH352)),"（続きありの印）",IF(AH352="調査ID","（見出し行）",IF(AND(AH352&lt;&gt;"R1",AH352&lt;&gt;"R2"),"×表以外の行（集計されない）",IF(COUNTIF($AI$5:AI352,AI352)&gt;1,"△重複（集計されない）",IF(D352="","△タスク名なし",IF(ISNA(MATCH(AK352,'M1_類型マスタ'!$A$5:$A$19,0)),"△類型が不正",IF(OR(AM352="",AN352=""),"△回数・分が読めない",IF(SUMPRODUCT(--ISNUMBER(--O352:U352))&lt;7,"△採点が足りない",IF(SUMPRODUCT((--O352:U352&gt;2)+(--O352:U352&lt;0))&gt;0,"△採点が範囲外","OK")))))))))))</f>
        <v/>
      </c>
      <c r="X352">
        <f>IF(W352&lt;&gt;"OK","",TRIM(IF(AND(AO352&lt;&gt;"",N(AO352)&lt;=1),"根拠1件 ","")&amp;IF(AP352&lt;&gt;"","同名あり ","")&amp;IF(AND(NOT(ISNUMBER(I352)),I352&lt;&gt;""),"回数を換算 ","")))</f>
        <v/>
      </c>
      <c r="Y352" s="31" t="n"/>
      <c r="Z352" s="32" t="n"/>
      <c r="AA352" s="32" t="n"/>
      <c r="AB352" s="31" t="n"/>
      <c r="AC352">
        <f>IF(W352&lt;&gt;"OK","",IF(AB352&lt;&gt;"",AB352,AE352))</f>
        <v/>
      </c>
      <c r="AD352" s="33">
        <f>IF(W352&lt;&gt;"OK","",IFERROR(IF(Z352&lt;&gt;"",Z352,AM352)*IF(AA352&lt;&gt;"",AA352,AN352)/60,""))</f>
        <v/>
      </c>
      <c r="AE352">
        <f>IF(W352&lt;&gt;"OK","",IF(OR(VALUE(O352)=2,VALUE(P352)=2,VALUE(Q352)=2),"社内残置",IF(AND(VALUE(O352)=0,VALUE(R352)=0,VALUE(T352)=0),"自動化候補",IF(AND(VALUE(P352)=0,VALUE(R352)&lt;=1,VALUE(S352)&lt;=1,VALUE(T352)&lt;=1,VALUE(U352)&lt;=1),"オフショア候補",IF(AND(VALUE(T352)&lt;=1,VALUE(U352)&lt;=1),"ニアショア候補","社内で手順化→再評価")))))</f>
        <v/>
      </c>
      <c r="AF352">
        <f>IF(W352&lt;&gt;"OK","",14-SUMPRODUCT(--O352:U352))</f>
        <v/>
      </c>
      <c r="AG352" s="33">
        <f>IF(W352&lt;&gt;"OK","",AM352*AN352/60)</f>
        <v/>
      </c>
      <c r="AH352" s="34">
        <f>IF(A352="","",UPPER(TRIM(ASC(A352&amp;""))))</f>
        <v/>
      </c>
      <c r="AI352" s="34">
        <f>IF(AH352="","",AH352&amp;"-"&amp;B352)</f>
        <v/>
      </c>
      <c r="AJ352" s="34">
        <f>IF(C352="","",IFERROR(VALUE(ASC(SUBSTITUTE(C352&amp;"","観点",""))),""))</f>
        <v/>
      </c>
      <c r="AK352" s="34">
        <f>IF(E352="","",UPPER(LEFT(TRIM(ASC(E352&amp;"")),3)))</f>
        <v/>
      </c>
      <c r="AL352" s="34">
        <f>IF(I352="","",IFERROR(VALUE(SUBSTITUTE(SUBSTITUTE(SUBSTITUTE(SUBSTITUTE(SUBSTITUTE(SUBSTITUTE(SUBSTITUTE(SUBSTITUTE(SUBSTITUTE(SUBSTITUTE(SUBSTITUTE(SUBSTITUTE(ASC(I352&amp;""),"約",""),"程度",""),"ほど",""),"回",""),"毎",""),"週",""),"月",""),"年",""),"日",""),"に",""),"/","")," ","")),""))</f>
        <v/>
      </c>
      <c r="AM352" s="34">
        <f>IF(I352="","",IF(ISNUMBER(I352),I352,IFERROR(VALUE(ASC(I352&amp;"")),IF(AL352&lt;&gt;"",AL352*IF(ISNUMBER(SEARCH("週",I352)),4.3,IF(ISNUMBER(SEARCH("年",I352)),1/12,IF(ISNUMBER(SEARCH("日",I352)),20,1))),IF(ISNUMBER(SEARCH("日",I352)),20,IF(ISNUMBER(SEARCH("週",I352)),4.3,IF(ISNUMBER(SEARCH("月",I352)),1,"")))))))</f>
        <v/>
      </c>
      <c r="AN352" s="34">
        <f>IF(J352="","",IF(ISNUMBER(J352),J352,IFERROR(VALUE(ASC(J352&amp;"")),IF(ISNUMBER(SEARCH("時間",J352)),IFERROR(VALUE(SUBSTITUTE(SUBSTITUTE(SUBSTITUTE(SUBSTITUTE(SUBSTITUTE(ASC(J352&amp;""),"約",""),"程度",""),"ほど",""),"時間","")," ",""))*60,""),IFERROR(VALUE(SUBSTITUTE(SUBSTITUTE(SUBSTITUTE(SUBSTITUTE(SUBSTITUTE(ASC(J352&amp;""),"約",""),"程度",""),"ほど",""),"分","")," ","")),"")))))</f>
        <v/>
      </c>
      <c r="AO352" s="34">
        <f>IF(K352="","",IF(ISNUMBER(K352),K352,IFERROR(VALUE(SUBSTITUTE(SUBSTITUTE(SUBSTITUTE(ASC(K352&amp;""),"約",""),"件","")," ","")),"")))</f>
        <v/>
      </c>
      <c r="AP352" s="34">
        <f>IF(W352&lt;&gt;"OK","",IF(COUNTIFS($D$5:$D$404,D352,$W$5:$W$404,"OK")&gt;1,"同名あり",""))</f>
        <v/>
      </c>
      <c r="AQ352" s="35">
        <f>IF(L352="","",IF(ISNUMBER(L352),L352,IFERROR(DATEVALUE(SUBSTITUTE(SUBSTITUTE(ASC(L352&amp;""),"-","/"),".","/")&amp;"/01"),"")))</f>
        <v/>
      </c>
      <c r="AR352" s="35">
        <f>IF(M352="","",IF(ISNUMBER(M352),M352,IFERROR(DATEVALUE(SUBSTITUTE(SUBSTITUTE(ASC(M352&amp;""),"-","/"),".","/")&amp;"/01"),"")))</f>
        <v/>
      </c>
      <c r="AS352" s="34">
        <f>IF(OR(W352&lt;&gt;"OK",AQ352=""),"",IF(AQ352&gt;='01_設定'!$C$26,1,0))</f>
        <v/>
      </c>
      <c r="AT352" s="34">
        <f>IF(AND(W352="OK",Y352&lt;&gt;"除外"),COUNTIFS($W$5:W352,"OK",$Y$5:Y352,"&lt;&gt;除外"),"")</f>
        <v/>
      </c>
      <c r="AU352" s="34">
        <f>IF(OR(AT352="",AD352=""),"",AD352+ROW()/1000000000)</f>
        <v/>
      </c>
    </row>
    <row r="353">
      <c r="W353">
        <f>IF(AND(A353="",D353=""),"",IF(ISNUMBER(SEARCH("##END",AH353)),"（終わりの印）",IF(ISNUMBER(SEARCH("##続き",AH353)),"（続きありの印）",IF(AH353="調査ID","（見出し行）",IF(AND(AH353&lt;&gt;"R1",AH353&lt;&gt;"R2"),"×表以外の行（集計されない）",IF(COUNTIF($AI$5:AI353,AI353)&gt;1,"△重複（集計されない）",IF(D353="","△タスク名なし",IF(ISNA(MATCH(AK353,'M1_類型マスタ'!$A$5:$A$19,0)),"△類型が不正",IF(OR(AM353="",AN353=""),"△回数・分が読めない",IF(SUMPRODUCT(--ISNUMBER(--O353:U353))&lt;7,"△採点が足りない",IF(SUMPRODUCT((--O353:U353&gt;2)+(--O353:U353&lt;0))&gt;0,"△採点が範囲外","OK")))))))))))</f>
        <v/>
      </c>
      <c r="X353">
        <f>IF(W353&lt;&gt;"OK","",TRIM(IF(AND(AO353&lt;&gt;"",N(AO353)&lt;=1),"根拠1件 ","")&amp;IF(AP353&lt;&gt;"","同名あり ","")&amp;IF(AND(NOT(ISNUMBER(I353)),I353&lt;&gt;""),"回数を換算 ","")))</f>
        <v/>
      </c>
      <c r="Y353" s="31" t="n"/>
      <c r="Z353" s="32" t="n"/>
      <c r="AA353" s="32" t="n"/>
      <c r="AB353" s="31" t="n"/>
      <c r="AC353">
        <f>IF(W353&lt;&gt;"OK","",IF(AB353&lt;&gt;"",AB353,AE353))</f>
        <v/>
      </c>
      <c r="AD353" s="33">
        <f>IF(W353&lt;&gt;"OK","",IFERROR(IF(Z353&lt;&gt;"",Z353,AM353)*IF(AA353&lt;&gt;"",AA353,AN353)/60,""))</f>
        <v/>
      </c>
      <c r="AE353">
        <f>IF(W353&lt;&gt;"OK","",IF(OR(VALUE(O353)=2,VALUE(P353)=2,VALUE(Q353)=2),"社内残置",IF(AND(VALUE(O353)=0,VALUE(R353)=0,VALUE(T353)=0),"自動化候補",IF(AND(VALUE(P353)=0,VALUE(R353)&lt;=1,VALUE(S353)&lt;=1,VALUE(T353)&lt;=1,VALUE(U353)&lt;=1),"オフショア候補",IF(AND(VALUE(T353)&lt;=1,VALUE(U353)&lt;=1),"ニアショア候補","社内で手順化→再評価")))))</f>
        <v/>
      </c>
      <c r="AF353">
        <f>IF(W353&lt;&gt;"OK","",14-SUMPRODUCT(--O353:U353))</f>
        <v/>
      </c>
      <c r="AG353" s="33">
        <f>IF(W353&lt;&gt;"OK","",AM353*AN353/60)</f>
        <v/>
      </c>
      <c r="AH353" s="34">
        <f>IF(A353="","",UPPER(TRIM(ASC(A353&amp;""))))</f>
        <v/>
      </c>
      <c r="AI353" s="34">
        <f>IF(AH353="","",AH353&amp;"-"&amp;B353)</f>
        <v/>
      </c>
      <c r="AJ353" s="34">
        <f>IF(C353="","",IFERROR(VALUE(ASC(SUBSTITUTE(C353&amp;"","観点",""))),""))</f>
        <v/>
      </c>
      <c r="AK353" s="34">
        <f>IF(E353="","",UPPER(LEFT(TRIM(ASC(E353&amp;"")),3)))</f>
        <v/>
      </c>
      <c r="AL353" s="34">
        <f>IF(I353="","",IFERROR(VALUE(SUBSTITUTE(SUBSTITUTE(SUBSTITUTE(SUBSTITUTE(SUBSTITUTE(SUBSTITUTE(SUBSTITUTE(SUBSTITUTE(SUBSTITUTE(SUBSTITUTE(SUBSTITUTE(SUBSTITUTE(ASC(I353&amp;""),"約",""),"程度",""),"ほど",""),"回",""),"毎",""),"週",""),"月",""),"年",""),"日",""),"に",""),"/","")," ","")),""))</f>
        <v/>
      </c>
      <c r="AM353" s="34">
        <f>IF(I353="","",IF(ISNUMBER(I353),I353,IFERROR(VALUE(ASC(I353&amp;"")),IF(AL353&lt;&gt;"",AL353*IF(ISNUMBER(SEARCH("週",I353)),4.3,IF(ISNUMBER(SEARCH("年",I353)),1/12,IF(ISNUMBER(SEARCH("日",I353)),20,1))),IF(ISNUMBER(SEARCH("日",I353)),20,IF(ISNUMBER(SEARCH("週",I353)),4.3,IF(ISNUMBER(SEARCH("月",I353)),1,"")))))))</f>
        <v/>
      </c>
      <c r="AN353" s="34">
        <f>IF(J353="","",IF(ISNUMBER(J353),J353,IFERROR(VALUE(ASC(J353&amp;"")),IF(ISNUMBER(SEARCH("時間",J353)),IFERROR(VALUE(SUBSTITUTE(SUBSTITUTE(SUBSTITUTE(SUBSTITUTE(SUBSTITUTE(ASC(J353&amp;""),"約",""),"程度",""),"ほど",""),"時間","")," ",""))*60,""),IFERROR(VALUE(SUBSTITUTE(SUBSTITUTE(SUBSTITUTE(SUBSTITUTE(SUBSTITUTE(ASC(J353&amp;""),"約",""),"程度",""),"ほど",""),"分","")," ","")),"")))))</f>
        <v/>
      </c>
      <c r="AO353" s="34">
        <f>IF(K353="","",IF(ISNUMBER(K353),K353,IFERROR(VALUE(SUBSTITUTE(SUBSTITUTE(SUBSTITUTE(ASC(K353&amp;""),"約",""),"件","")," ","")),"")))</f>
        <v/>
      </c>
      <c r="AP353" s="34">
        <f>IF(W353&lt;&gt;"OK","",IF(COUNTIFS($D$5:$D$404,D353,$W$5:$W$404,"OK")&gt;1,"同名あり",""))</f>
        <v/>
      </c>
      <c r="AQ353" s="35">
        <f>IF(L353="","",IF(ISNUMBER(L353),L353,IFERROR(DATEVALUE(SUBSTITUTE(SUBSTITUTE(ASC(L353&amp;""),"-","/"),".","/")&amp;"/01"),"")))</f>
        <v/>
      </c>
      <c r="AR353" s="35">
        <f>IF(M353="","",IF(ISNUMBER(M353),M353,IFERROR(DATEVALUE(SUBSTITUTE(SUBSTITUTE(ASC(M353&amp;""),"-","/"),".","/")&amp;"/01"),"")))</f>
        <v/>
      </c>
      <c r="AS353" s="34">
        <f>IF(OR(W353&lt;&gt;"OK",AQ353=""),"",IF(AQ353&gt;='01_設定'!$C$26,1,0))</f>
        <v/>
      </c>
      <c r="AT353" s="34">
        <f>IF(AND(W353="OK",Y353&lt;&gt;"除外"),COUNTIFS($W$5:W353,"OK",$Y$5:Y353,"&lt;&gt;除外"),"")</f>
        <v/>
      </c>
      <c r="AU353" s="34">
        <f>IF(OR(AT353="",AD353=""),"",AD353+ROW()/1000000000)</f>
        <v/>
      </c>
    </row>
    <row r="354">
      <c r="W354">
        <f>IF(AND(A354="",D354=""),"",IF(ISNUMBER(SEARCH("##END",AH354)),"（終わりの印）",IF(ISNUMBER(SEARCH("##続き",AH354)),"（続きありの印）",IF(AH354="調査ID","（見出し行）",IF(AND(AH354&lt;&gt;"R1",AH354&lt;&gt;"R2"),"×表以外の行（集計されない）",IF(COUNTIF($AI$5:AI354,AI354)&gt;1,"△重複（集計されない）",IF(D354="","△タスク名なし",IF(ISNA(MATCH(AK354,'M1_類型マスタ'!$A$5:$A$19,0)),"△類型が不正",IF(OR(AM354="",AN354=""),"△回数・分が読めない",IF(SUMPRODUCT(--ISNUMBER(--O354:U354))&lt;7,"△採点が足りない",IF(SUMPRODUCT((--O354:U354&gt;2)+(--O354:U354&lt;0))&gt;0,"△採点が範囲外","OK")))))))))))</f>
        <v/>
      </c>
      <c r="X354">
        <f>IF(W354&lt;&gt;"OK","",TRIM(IF(AND(AO354&lt;&gt;"",N(AO354)&lt;=1),"根拠1件 ","")&amp;IF(AP354&lt;&gt;"","同名あり ","")&amp;IF(AND(NOT(ISNUMBER(I354)),I354&lt;&gt;""),"回数を換算 ","")))</f>
        <v/>
      </c>
      <c r="Y354" s="31" t="n"/>
      <c r="Z354" s="32" t="n"/>
      <c r="AA354" s="32" t="n"/>
      <c r="AB354" s="31" t="n"/>
      <c r="AC354">
        <f>IF(W354&lt;&gt;"OK","",IF(AB354&lt;&gt;"",AB354,AE354))</f>
        <v/>
      </c>
      <c r="AD354" s="33">
        <f>IF(W354&lt;&gt;"OK","",IFERROR(IF(Z354&lt;&gt;"",Z354,AM354)*IF(AA354&lt;&gt;"",AA354,AN354)/60,""))</f>
        <v/>
      </c>
      <c r="AE354">
        <f>IF(W354&lt;&gt;"OK","",IF(OR(VALUE(O354)=2,VALUE(P354)=2,VALUE(Q354)=2),"社内残置",IF(AND(VALUE(O354)=0,VALUE(R354)=0,VALUE(T354)=0),"自動化候補",IF(AND(VALUE(P354)=0,VALUE(R354)&lt;=1,VALUE(S354)&lt;=1,VALUE(T354)&lt;=1,VALUE(U354)&lt;=1),"オフショア候補",IF(AND(VALUE(T354)&lt;=1,VALUE(U354)&lt;=1),"ニアショア候補","社内で手順化→再評価")))))</f>
        <v/>
      </c>
      <c r="AF354">
        <f>IF(W354&lt;&gt;"OK","",14-SUMPRODUCT(--O354:U354))</f>
        <v/>
      </c>
      <c r="AG354" s="33">
        <f>IF(W354&lt;&gt;"OK","",AM354*AN354/60)</f>
        <v/>
      </c>
      <c r="AH354" s="34">
        <f>IF(A354="","",UPPER(TRIM(ASC(A354&amp;""))))</f>
        <v/>
      </c>
      <c r="AI354" s="34">
        <f>IF(AH354="","",AH354&amp;"-"&amp;B354)</f>
        <v/>
      </c>
      <c r="AJ354" s="34">
        <f>IF(C354="","",IFERROR(VALUE(ASC(SUBSTITUTE(C354&amp;"","観点",""))),""))</f>
        <v/>
      </c>
      <c r="AK354" s="34">
        <f>IF(E354="","",UPPER(LEFT(TRIM(ASC(E354&amp;"")),3)))</f>
        <v/>
      </c>
      <c r="AL354" s="34">
        <f>IF(I354="","",IFERROR(VALUE(SUBSTITUTE(SUBSTITUTE(SUBSTITUTE(SUBSTITUTE(SUBSTITUTE(SUBSTITUTE(SUBSTITUTE(SUBSTITUTE(SUBSTITUTE(SUBSTITUTE(SUBSTITUTE(SUBSTITUTE(ASC(I354&amp;""),"約",""),"程度",""),"ほど",""),"回",""),"毎",""),"週",""),"月",""),"年",""),"日",""),"に",""),"/","")," ","")),""))</f>
        <v/>
      </c>
      <c r="AM354" s="34">
        <f>IF(I354="","",IF(ISNUMBER(I354),I354,IFERROR(VALUE(ASC(I354&amp;"")),IF(AL354&lt;&gt;"",AL354*IF(ISNUMBER(SEARCH("週",I354)),4.3,IF(ISNUMBER(SEARCH("年",I354)),1/12,IF(ISNUMBER(SEARCH("日",I354)),20,1))),IF(ISNUMBER(SEARCH("日",I354)),20,IF(ISNUMBER(SEARCH("週",I354)),4.3,IF(ISNUMBER(SEARCH("月",I354)),1,"")))))))</f>
        <v/>
      </c>
      <c r="AN354" s="34">
        <f>IF(J354="","",IF(ISNUMBER(J354),J354,IFERROR(VALUE(ASC(J354&amp;"")),IF(ISNUMBER(SEARCH("時間",J354)),IFERROR(VALUE(SUBSTITUTE(SUBSTITUTE(SUBSTITUTE(SUBSTITUTE(SUBSTITUTE(ASC(J354&amp;""),"約",""),"程度",""),"ほど",""),"時間","")," ",""))*60,""),IFERROR(VALUE(SUBSTITUTE(SUBSTITUTE(SUBSTITUTE(SUBSTITUTE(SUBSTITUTE(ASC(J354&amp;""),"約",""),"程度",""),"ほど",""),"分","")," ","")),"")))))</f>
        <v/>
      </c>
      <c r="AO354" s="34">
        <f>IF(K354="","",IF(ISNUMBER(K354),K354,IFERROR(VALUE(SUBSTITUTE(SUBSTITUTE(SUBSTITUTE(ASC(K354&amp;""),"約",""),"件","")," ","")),"")))</f>
        <v/>
      </c>
      <c r="AP354" s="34">
        <f>IF(W354&lt;&gt;"OK","",IF(COUNTIFS($D$5:$D$404,D354,$W$5:$W$404,"OK")&gt;1,"同名あり",""))</f>
        <v/>
      </c>
      <c r="AQ354" s="35">
        <f>IF(L354="","",IF(ISNUMBER(L354),L354,IFERROR(DATEVALUE(SUBSTITUTE(SUBSTITUTE(ASC(L354&amp;""),"-","/"),".","/")&amp;"/01"),"")))</f>
        <v/>
      </c>
      <c r="AR354" s="35">
        <f>IF(M354="","",IF(ISNUMBER(M354),M354,IFERROR(DATEVALUE(SUBSTITUTE(SUBSTITUTE(ASC(M354&amp;""),"-","/"),".","/")&amp;"/01"),"")))</f>
        <v/>
      </c>
      <c r="AS354" s="34">
        <f>IF(OR(W354&lt;&gt;"OK",AQ354=""),"",IF(AQ354&gt;='01_設定'!$C$26,1,0))</f>
        <v/>
      </c>
      <c r="AT354" s="34">
        <f>IF(AND(W354="OK",Y354&lt;&gt;"除外"),COUNTIFS($W$5:W354,"OK",$Y$5:Y354,"&lt;&gt;除外"),"")</f>
        <v/>
      </c>
      <c r="AU354" s="34">
        <f>IF(OR(AT354="",AD354=""),"",AD354+ROW()/1000000000)</f>
        <v/>
      </c>
    </row>
    <row r="355">
      <c r="W355">
        <f>IF(AND(A355="",D355=""),"",IF(ISNUMBER(SEARCH("##END",AH355)),"（終わりの印）",IF(ISNUMBER(SEARCH("##続き",AH355)),"（続きありの印）",IF(AH355="調査ID","（見出し行）",IF(AND(AH355&lt;&gt;"R1",AH355&lt;&gt;"R2"),"×表以外の行（集計されない）",IF(COUNTIF($AI$5:AI355,AI355)&gt;1,"△重複（集計されない）",IF(D355="","△タスク名なし",IF(ISNA(MATCH(AK355,'M1_類型マスタ'!$A$5:$A$19,0)),"△類型が不正",IF(OR(AM355="",AN355=""),"△回数・分が読めない",IF(SUMPRODUCT(--ISNUMBER(--O355:U355))&lt;7,"△採点が足りない",IF(SUMPRODUCT((--O355:U355&gt;2)+(--O355:U355&lt;0))&gt;0,"△採点が範囲外","OK")))))))))))</f>
        <v/>
      </c>
      <c r="X355">
        <f>IF(W355&lt;&gt;"OK","",TRIM(IF(AND(AO355&lt;&gt;"",N(AO355)&lt;=1),"根拠1件 ","")&amp;IF(AP355&lt;&gt;"","同名あり ","")&amp;IF(AND(NOT(ISNUMBER(I355)),I355&lt;&gt;""),"回数を換算 ","")))</f>
        <v/>
      </c>
      <c r="Y355" s="31" t="n"/>
      <c r="Z355" s="32" t="n"/>
      <c r="AA355" s="32" t="n"/>
      <c r="AB355" s="31" t="n"/>
      <c r="AC355">
        <f>IF(W355&lt;&gt;"OK","",IF(AB355&lt;&gt;"",AB355,AE355))</f>
        <v/>
      </c>
      <c r="AD355" s="33">
        <f>IF(W355&lt;&gt;"OK","",IFERROR(IF(Z355&lt;&gt;"",Z355,AM355)*IF(AA355&lt;&gt;"",AA355,AN355)/60,""))</f>
        <v/>
      </c>
      <c r="AE355">
        <f>IF(W355&lt;&gt;"OK","",IF(OR(VALUE(O355)=2,VALUE(P355)=2,VALUE(Q355)=2),"社内残置",IF(AND(VALUE(O355)=0,VALUE(R355)=0,VALUE(T355)=0),"自動化候補",IF(AND(VALUE(P355)=0,VALUE(R355)&lt;=1,VALUE(S355)&lt;=1,VALUE(T355)&lt;=1,VALUE(U355)&lt;=1),"オフショア候補",IF(AND(VALUE(T355)&lt;=1,VALUE(U355)&lt;=1),"ニアショア候補","社内で手順化→再評価")))))</f>
        <v/>
      </c>
      <c r="AF355">
        <f>IF(W355&lt;&gt;"OK","",14-SUMPRODUCT(--O355:U355))</f>
        <v/>
      </c>
      <c r="AG355" s="33">
        <f>IF(W355&lt;&gt;"OK","",AM355*AN355/60)</f>
        <v/>
      </c>
      <c r="AH355" s="34">
        <f>IF(A355="","",UPPER(TRIM(ASC(A355&amp;""))))</f>
        <v/>
      </c>
      <c r="AI355" s="34">
        <f>IF(AH355="","",AH355&amp;"-"&amp;B355)</f>
        <v/>
      </c>
      <c r="AJ355" s="34">
        <f>IF(C355="","",IFERROR(VALUE(ASC(SUBSTITUTE(C355&amp;"","観点",""))),""))</f>
        <v/>
      </c>
      <c r="AK355" s="34">
        <f>IF(E355="","",UPPER(LEFT(TRIM(ASC(E355&amp;"")),3)))</f>
        <v/>
      </c>
      <c r="AL355" s="34">
        <f>IF(I355="","",IFERROR(VALUE(SUBSTITUTE(SUBSTITUTE(SUBSTITUTE(SUBSTITUTE(SUBSTITUTE(SUBSTITUTE(SUBSTITUTE(SUBSTITUTE(SUBSTITUTE(SUBSTITUTE(SUBSTITUTE(SUBSTITUTE(ASC(I355&amp;""),"約",""),"程度",""),"ほど",""),"回",""),"毎",""),"週",""),"月",""),"年",""),"日",""),"に",""),"/","")," ","")),""))</f>
        <v/>
      </c>
      <c r="AM355" s="34">
        <f>IF(I355="","",IF(ISNUMBER(I355),I355,IFERROR(VALUE(ASC(I355&amp;"")),IF(AL355&lt;&gt;"",AL355*IF(ISNUMBER(SEARCH("週",I355)),4.3,IF(ISNUMBER(SEARCH("年",I355)),1/12,IF(ISNUMBER(SEARCH("日",I355)),20,1))),IF(ISNUMBER(SEARCH("日",I355)),20,IF(ISNUMBER(SEARCH("週",I355)),4.3,IF(ISNUMBER(SEARCH("月",I355)),1,"")))))))</f>
        <v/>
      </c>
      <c r="AN355" s="34">
        <f>IF(J355="","",IF(ISNUMBER(J355),J355,IFERROR(VALUE(ASC(J355&amp;"")),IF(ISNUMBER(SEARCH("時間",J355)),IFERROR(VALUE(SUBSTITUTE(SUBSTITUTE(SUBSTITUTE(SUBSTITUTE(SUBSTITUTE(ASC(J355&amp;""),"約",""),"程度",""),"ほど",""),"時間","")," ",""))*60,""),IFERROR(VALUE(SUBSTITUTE(SUBSTITUTE(SUBSTITUTE(SUBSTITUTE(SUBSTITUTE(ASC(J355&amp;""),"約",""),"程度",""),"ほど",""),"分","")," ","")),"")))))</f>
        <v/>
      </c>
      <c r="AO355" s="34">
        <f>IF(K355="","",IF(ISNUMBER(K355),K355,IFERROR(VALUE(SUBSTITUTE(SUBSTITUTE(SUBSTITUTE(ASC(K355&amp;""),"約",""),"件","")," ","")),"")))</f>
        <v/>
      </c>
      <c r="AP355" s="34">
        <f>IF(W355&lt;&gt;"OK","",IF(COUNTIFS($D$5:$D$404,D355,$W$5:$W$404,"OK")&gt;1,"同名あり",""))</f>
        <v/>
      </c>
      <c r="AQ355" s="35">
        <f>IF(L355="","",IF(ISNUMBER(L355),L355,IFERROR(DATEVALUE(SUBSTITUTE(SUBSTITUTE(ASC(L355&amp;""),"-","/"),".","/")&amp;"/01"),"")))</f>
        <v/>
      </c>
      <c r="AR355" s="35">
        <f>IF(M355="","",IF(ISNUMBER(M355),M355,IFERROR(DATEVALUE(SUBSTITUTE(SUBSTITUTE(ASC(M355&amp;""),"-","/"),".","/")&amp;"/01"),"")))</f>
        <v/>
      </c>
      <c r="AS355" s="34">
        <f>IF(OR(W355&lt;&gt;"OK",AQ355=""),"",IF(AQ355&gt;='01_設定'!$C$26,1,0))</f>
        <v/>
      </c>
      <c r="AT355" s="34">
        <f>IF(AND(W355="OK",Y355&lt;&gt;"除外"),COUNTIFS($W$5:W355,"OK",$Y$5:Y355,"&lt;&gt;除外"),"")</f>
        <v/>
      </c>
      <c r="AU355" s="34">
        <f>IF(OR(AT355="",AD355=""),"",AD355+ROW()/1000000000)</f>
        <v/>
      </c>
    </row>
    <row r="356">
      <c r="W356">
        <f>IF(AND(A356="",D356=""),"",IF(ISNUMBER(SEARCH("##END",AH356)),"（終わりの印）",IF(ISNUMBER(SEARCH("##続き",AH356)),"（続きありの印）",IF(AH356="調査ID","（見出し行）",IF(AND(AH356&lt;&gt;"R1",AH356&lt;&gt;"R2"),"×表以外の行（集計されない）",IF(COUNTIF($AI$5:AI356,AI356)&gt;1,"△重複（集計されない）",IF(D356="","△タスク名なし",IF(ISNA(MATCH(AK356,'M1_類型マスタ'!$A$5:$A$19,0)),"△類型が不正",IF(OR(AM356="",AN356=""),"△回数・分が読めない",IF(SUMPRODUCT(--ISNUMBER(--O356:U356))&lt;7,"△採点が足りない",IF(SUMPRODUCT((--O356:U356&gt;2)+(--O356:U356&lt;0))&gt;0,"△採点が範囲外","OK")))))))))))</f>
        <v/>
      </c>
      <c r="X356">
        <f>IF(W356&lt;&gt;"OK","",TRIM(IF(AND(AO356&lt;&gt;"",N(AO356)&lt;=1),"根拠1件 ","")&amp;IF(AP356&lt;&gt;"","同名あり ","")&amp;IF(AND(NOT(ISNUMBER(I356)),I356&lt;&gt;""),"回数を換算 ","")))</f>
        <v/>
      </c>
      <c r="Y356" s="31" t="n"/>
      <c r="Z356" s="32" t="n"/>
      <c r="AA356" s="32" t="n"/>
      <c r="AB356" s="31" t="n"/>
      <c r="AC356">
        <f>IF(W356&lt;&gt;"OK","",IF(AB356&lt;&gt;"",AB356,AE356))</f>
        <v/>
      </c>
      <c r="AD356" s="33">
        <f>IF(W356&lt;&gt;"OK","",IFERROR(IF(Z356&lt;&gt;"",Z356,AM356)*IF(AA356&lt;&gt;"",AA356,AN356)/60,""))</f>
        <v/>
      </c>
      <c r="AE356">
        <f>IF(W356&lt;&gt;"OK","",IF(OR(VALUE(O356)=2,VALUE(P356)=2,VALUE(Q356)=2),"社内残置",IF(AND(VALUE(O356)=0,VALUE(R356)=0,VALUE(T356)=0),"自動化候補",IF(AND(VALUE(P356)=0,VALUE(R356)&lt;=1,VALUE(S356)&lt;=1,VALUE(T356)&lt;=1,VALUE(U356)&lt;=1),"オフショア候補",IF(AND(VALUE(T356)&lt;=1,VALUE(U356)&lt;=1),"ニアショア候補","社内で手順化→再評価")))))</f>
        <v/>
      </c>
      <c r="AF356">
        <f>IF(W356&lt;&gt;"OK","",14-SUMPRODUCT(--O356:U356))</f>
        <v/>
      </c>
      <c r="AG356" s="33">
        <f>IF(W356&lt;&gt;"OK","",AM356*AN356/60)</f>
        <v/>
      </c>
      <c r="AH356" s="34">
        <f>IF(A356="","",UPPER(TRIM(ASC(A356&amp;""))))</f>
        <v/>
      </c>
      <c r="AI356" s="34">
        <f>IF(AH356="","",AH356&amp;"-"&amp;B356)</f>
        <v/>
      </c>
      <c r="AJ356" s="34">
        <f>IF(C356="","",IFERROR(VALUE(ASC(SUBSTITUTE(C356&amp;"","観点",""))),""))</f>
        <v/>
      </c>
      <c r="AK356" s="34">
        <f>IF(E356="","",UPPER(LEFT(TRIM(ASC(E356&amp;"")),3)))</f>
        <v/>
      </c>
      <c r="AL356" s="34">
        <f>IF(I356="","",IFERROR(VALUE(SUBSTITUTE(SUBSTITUTE(SUBSTITUTE(SUBSTITUTE(SUBSTITUTE(SUBSTITUTE(SUBSTITUTE(SUBSTITUTE(SUBSTITUTE(SUBSTITUTE(SUBSTITUTE(SUBSTITUTE(ASC(I356&amp;""),"約",""),"程度",""),"ほど",""),"回",""),"毎",""),"週",""),"月",""),"年",""),"日",""),"に",""),"/","")," ","")),""))</f>
        <v/>
      </c>
      <c r="AM356" s="34">
        <f>IF(I356="","",IF(ISNUMBER(I356),I356,IFERROR(VALUE(ASC(I356&amp;"")),IF(AL356&lt;&gt;"",AL356*IF(ISNUMBER(SEARCH("週",I356)),4.3,IF(ISNUMBER(SEARCH("年",I356)),1/12,IF(ISNUMBER(SEARCH("日",I356)),20,1))),IF(ISNUMBER(SEARCH("日",I356)),20,IF(ISNUMBER(SEARCH("週",I356)),4.3,IF(ISNUMBER(SEARCH("月",I356)),1,"")))))))</f>
        <v/>
      </c>
      <c r="AN356" s="34">
        <f>IF(J356="","",IF(ISNUMBER(J356),J356,IFERROR(VALUE(ASC(J356&amp;"")),IF(ISNUMBER(SEARCH("時間",J356)),IFERROR(VALUE(SUBSTITUTE(SUBSTITUTE(SUBSTITUTE(SUBSTITUTE(SUBSTITUTE(ASC(J356&amp;""),"約",""),"程度",""),"ほど",""),"時間","")," ",""))*60,""),IFERROR(VALUE(SUBSTITUTE(SUBSTITUTE(SUBSTITUTE(SUBSTITUTE(SUBSTITUTE(ASC(J356&amp;""),"約",""),"程度",""),"ほど",""),"分","")," ","")),"")))))</f>
        <v/>
      </c>
      <c r="AO356" s="34">
        <f>IF(K356="","",IF(ISNUMBER(K356),K356,IFERROR(VALUE(SUBSTITUTE(SUBSTITUTE(SUBSTITUTE(ASC(K356&amp;""),"約",""),"件","")," ","")),"")))</f>
        <v/>
      </c>
      <c r="AP356" s="34">
        <f>IF(W356&lt;&gt;"OK","",IF(COUNTIFS($D$5:$D$404,D356,$W$5:$W$404,"OK")&gt;1,"同名あり",""))</f>
        <v/>
      </c>
      <c r="AQ356" s="35">
        <f>IF(L356="","",IF(ISNUMBER(L356),L356,IFERROR(DATEVALUE(SUBSTITUTE(SUBSTITUTE(ASC(L356&amp;""),"-","/"),".","/")&amp;"/01"),"")))</f>
        <v/>
      </c>
      <c r="AR356" s="35">
        <f>IF(M356="","",IF(ISNUMBER(M356),M356,IFERROR(DATEVALUE(SUBSTITUTE(SUBSTITUTE(ASC(M356&amp;""),"-","/"),".","/")&amp;"/01"),"")))</f>
        <v/>
      </c>
      <c r="AS356" s="34">
        <f>IF(OR(W356&lt;&gt;"OK",AQ356=""),"",IF(AQ356&gt;='01_設定'!$C$26,1,0))</f>
        <v/>
      </c>
      <c r="AT356" s="34">
        <f>IF(AND(W356="OK",Y356&lt;&gt;"除外"),COUNTIFS($W$5:W356,"OK",$Y$5:Y356,"&lt;&gt;除外"),"")</f>
        <v/>
      </c>
      <c r="AU356" s="34">
        <f>IF(OR(AT356="",AD356=""),"",AD356+ROW()/1000000000)</f>
        <v/>
      </c>
    </row>
    <row r="357">
      <c r="W357">
        <f>IF(AND(A357="",D357=""),"",IF(ISNUMBER(SEARCH("##END",AH357)),"（終わりの印）",IF(ISNUMBER(SEARCH("##続き",AH357)),"（続きありの印）",IF(AH357="調査ID","（見出し行）",IF(AND(AH357&lt;&gt;"R1",AH357&lt;&gt;"R2"),"×表以外の行（集計されない）",IF(COUNTIF($AI$5:AI357,AI357)&gt;1,"△重複（集計されない）",IF(D357="","△タスク名なし",IF(ISNA(MATCH(AK357,'M1_類型マスタ'!$A$5:$A$19,0)),"△類型が不正",IF(OR(AM357="",AN357=""),"△回数・分が読めない",IF(SUMPRODUCT(--ISNUMBER(--O357:U357))&lt;7,"△採点が足りない",IF(SUMPRODUCT((--O357:U357&gt;2)+(--O357:U357&lt;0))&gt;0,"△採点が範囲外","OK")))))))))))</f>
        <v/>
      </c>
      <c r="X357">
        <f>IF(W357&lt;&gt;"OK","",TRIM(IF(AND(AO357&lt;&gt;"",N(AO357)&lt;=1),"根拠1件 ","")&amp;IF(AP357&lt;&gt;"","同名あり ","")&amp;IF(AND(NOT(ISNUMBER(I357)),I357&lt;&gt;""),"回数を換算 ","")))</f>
        <v/>
      </c>
      <c r="Y357" s="31" t="n"/>
      <c r="Z357" s="32" t="n"/>
      <c r="AA357" s="32" t="n"/>
      <c r="AB357" s="31" t="n"/>
      <c r="AC357">
        <f>IF(W357&lt;&gt;"OK","",IF(AB357&lt;&gt;"",AB357,AE357))</f>
        <v/>
      </c>
      <c r="AD357" s="33">
        <f>IF(W357&lt;&gt;"OK","",IFERROR(IF(Z357&lt;&gt;"",Z357,AM357)*IF(AA357&lt;&gt;"",AA357,AN357)/60,""))</f>
        <v/>
      </c>
      <c r="AE357">
        <f>IF(W357&lt;&gt;"OK","",IF(OR(VALUE(O357)=2,VALUE(P357)=2,VALUE(Q357)=2),"社内残置",IF(AND(VALUE(O357)=0,VALUE(R357)=0,VALUE(T357)=0),"自動化候補",IF(AND(VALUE(P357)=0,VALUE(R357)&lt;=1,VALUE(S357)&lt;=1,VALUE(T357)&lt;=1,VALUE(U357)&lt;=1),"オフショア候補",IF(AND(VALUE(T357)&lt;=1,VALUE(U357)&lt;=1),"ニアショア候補","社内で手順化→再評価")))))</f>
        <v/>
      </c>
      <c r="AF357">
        <f>IF(W357&lt;&gt;"OK","",14-SUMPRODUCT(--O357:U357))</f>
        <v/>
      </c>
      <c r="AG357" s="33">
        <f>IF(W357&lt;&gt;"OK","",AM357*AN357/60)</f>
        <v/>
      </c>
      <c r="AH357" s="34">
        <f>IF(A357="","",UPPER(TRIM(ASC(A357&amp;""))))</f>
        <v/>
      </c>
      <c r="AI357" s="34">
        <f>IF(AH357="","",AH357&amp;"-"&amp;B357)</f>
        <v/>
      </c>
      <c r="AJ357" s="34">
        <f>IF(C357="","",IFERROR(VALUE(ASC(SUBSTITUTE(C357&amp;"","観点",""))),""))</f>
        <v/>
      </c>
      <c r="AK357" s="34">
        <f>IF(E357="","",UPPER(LEFT(TRIM(ASC(E357&amp;"")),3)))</f>
        <v/>
      </c>
      <c r="AL357" s="34">
        <f>IF(I357="","",IFERROR(VALUE(SUBSTITUTE(SUBSTITUTE(SUBSTITUTE(SUBSTITUTE(SUBSTITUTE(SUBSTITUTE(SUBSTITUTE(SUBSTITUTE(SUBSTITUTE(SUBSTITUTE(SUBSTITUTE(SUBSTITUTE(ASC(I357&amp;""),"約",""),"程度",""),"ほど",""),"回",""),"毎",""),"週",""),"月",""),"年",""),"日",""),"に",""),"/","")," ","")),""))</f>
        <v/>
      </c>
      <c r="AM357" s="34">
        <f>IF(I357="","",IF(ISNUMBER(I357),I357,IFERROR(VALUE(ASC(I357&amp;"")),IF(AL357&lt;&gt;"",AL357*IF(ISNUMBER(SEARCH("週",I357)),4.3,IF(ISNUMBER(SEARCH("年",I357)),1/12,IF(ISNUMBER(SEARCH("日",I357)),20,1))),IF(ISNUMBER(SEARCH("日",I357)),20,IF(ISNUMBER(SEARCH("週",I357)),4.3,IF(ISNUMBER(SEARCH("月",I357)),1,"")))))))</f>
        <v/>
      </c>
      <c r="AN357" s="34">
        <f>IF(J357="","",IF(ISNUMBER(J357),J357,IFERROR(VALUE(ASC(J357&amp;"")),IF(ISNUMBER(SEARCH("時間",J357)),IFERROR(VALUE(SUBSTITUTE(SUBSTITUTE(SUBSTITUTE(SUBSTITUTE(SUBSTITUTE(ASC(J357&amp;""),"約",""),"程度",""),"ほど",""),"時間","")," ",""))*60,""),IFERROR(VALUE(SUBSTITUTE(SUBSTITUTE(SUBSTITUTE(SUBSTITUTE(SUBSTITUTE(ASC(J357&amp;""),"約",""),"程度",""),"ほど",""),"分","")," ","")),"")))))</f>
        <v/>
      </c>
      <c r="AO357" s="34">
        <f>IF(K357="","",IF(ISNUMBER(K357),K357,IFERROR(VALUE(SUBSTITUTE(SUBSTITUTE(SUBSTITUTE(ASC(K357&amp;""),"約",""),"件","")," ","")),"")))</f>
        <v/>
      </c>
      <c r="AP357" s="34">
        <f>IF(W357&lt;&gt;"OK","",IF(COUNTIFS($D$5:$D$404,D357,$W$5:$W$404,"OK")&gt;1,"同名あり",""))</f>
        <v/>
      </c>
      <c r="AQ357" s="35">
        <f>IF(L357="","",IF(ISNUMBER(L357),L357,IFERROR(DATEVALUE(SUBSTITUTE(SUBSTITUTE(ASC(L357&amp;""),"-","/"),".","/")&amp;"/01"),"")))</f>
        <v/>
      </c>
      <c r="AR357" s="35">
        <f>IF(M357="","",IF(ISNUMBER(M357),M357,IFERROR(DATEVALUE(SUBSTITUTE(SUBSTITUTE(ASC(M357&amp;""),"-","/"),".","/")&amp;"/01"),"")))</f>
        <v/>
      </c>
      <c r="AS357" s="34">
        <f>IF(OR(W357&lt;&gt;"OK",AQ357=""),"",IF(AQ357&gt;='01_設定'!$C$26,1,0))</f>
        <v/>
      </c>
      <c r="AT357" s="34">
        <f>IF(AND(W357="OK",Y357&lt;&gt;"除外"),COUNTIFS($W$5:W357,"OK",$Y$5:Y357,"&lt;&gt;除外"),"")</f>
        <v/>
      </c>
      <c r="AU357" s="34">
        <f>IF(OR(AT357="",AD357=""),"",AD357+ROW()/1000000000)</f>
        <v/>
      </c>
    </row>
    <row r="358">
      <c r="W358">
        <f>IF(AND(A358="",D358=""),"",IF(ISNUMBER(SEARCH("##END",AH358)),"（終わりの印）",IF(ISNUMBER(SEARCH("##続き",AH358)),"（続きありの印）",IF(AH358="調査ID","（見出し行）",IF(AND(AH358&lt;&gt;"R1",AH358&lt;&gt;"R2"),"×表以外の行（集計されない）",IF(COUNTIF($AI$5:AI358,AI358)&gt;1,"△重複（集計されない）",IF(D358="","△タスク名なし",IF(ISNA(MATCH(AK358,'M1_類型マスタ'!$A$5:$A$19,0)),"△類型が不正",IF(OR(AM358="",AN358=""),"△回数・分が読めない",IF(SUMPRODUCT(--ISNUMBER(--O358:U358))&lt;7,"△採点が足りない",IF(SUMPRODUCT((--O358:U358&gt;2)+(--O358:U358&lt;0))&gt;0,"△採点が範囲外","OK")))))))))))</f>
        <v/>
      </c>
      <c r="X358">
        <f>IF(W358&lt;&gt;"OK","",TRIM(IF(AND(AO358&lt;&gt;"",N(AO358)&lt;=1),"根拠1件 ","")&amp;IF(AP358&lt;&gt;"","同名あり ","")&amp;IF(AND(NOT(ISNUMBER(I358)),I358&lt;&gt;""),"回数を換算 ","")))</f>
        <v/>
      </c>
      <c r="Y358" s="31" t="n"/>
      <c r="Z358" s="32" t="n"/>
      <c r="AA358" s="32" t="n"/>
      <c r="AB358" s="31" t="n"/>
      <c r="AC358">
        <f>IF(W358&lt;&gt;"OK","",IF(AB358&lt;&gt;"",AB358,AE358))</f>
        <v/>
      </c>
      <c r="AD358" s="33">
        <f>IF(W358&lt;&gt;"OK","",IFERROR(IF(Z358&lt;&gt;"",Z358,AM358)*IF(AA358&lt;&gt;"",AA358,AN358)/60,""))</f>
        <v/>
      </c>
      <c r="AE358">
        <f>IF(W358&lt;&gt;"OK","",IF(OR(VALUE(O358)=2,VALUE(P358)=2,VALUE(Q358)=2),"社内残置",IF(AND(VALUE(O358)=0,VALUE(R358)=0,VALUE(T358)=0),"自動化候補",IF(AND(VALUE(P358)=0,VALUE(R358)&lt;=1,VALUE(S358)&lt;=1,VALUE(T358)&lt;=1,VALUE(U358)&lt;=1),"オフショア候補",IF(AND(VALUE(T358)&lt;=1,VALUE(U358)&lt;=1),"ニアショア候補","社内で手順化→再評価")))))</f>
        <v/>
      </c>
      <c r="AF358">
        <f>IF(W358&lt;&gt;"OK","",14-SUMPRODUCT(--O358:U358))</f>
        <v/>
      </c>
      <c r="AG358" s="33">
        <f>IF(W358&lt;&gt;"OK","",AM358*AN358/60)</f>
        <v/>
      </c>
      <c r="AH358" s="34">
        <f>IF(A358="","",UPPER(TRIM(ASC(A358&amp;""))))</f>
        <v/>
      </c>
      <c r="AI358" s="34">
        <f>IF(AH358="","",AH358&amp;"-"&amp;B358)</f>
        <v/>
      </c>
      <c r="AJ358" s="34">
        <f>IF(C358="","",IFERROR(VALUE(ASC(SUBSTITUTE(C358&amp;"","観点",""))),""))</f>
        <v/>
      </c>
      <c r="AK358" s="34">
        <f>IF(E358="","",UPPER(LEFT(TRIM(ASC(E358&amp;"")),3)))</f>
        <v/>
      </c>
      <c r="AL358" s="34">
        <f>IF(I358="","",IFERROR(VALUE(SUBSTITUTE(SUBSTITUTE(SUBSTITUTE(SUBSTITUTE(SUBSTITUTE(SUBSTITUTE(SUBSTITUTE(SUBSTITUTE(SUBSTITUTE(SUBSTITUTE(SUBSTITUTE(SUBSTITUTE(ASC(I358&amp;""),"約",""),"程度",""),"ほど",""),"回",""),"毎",""),"週",""),"月",""),"年",""),"日",""),"に",""),"/","")," ","")),""))</f>
        <v/>
      </c>
      <c r="AM358" s="34">
        <f>IF(I358="","",IF(ISNUMBER(I358),I358,IFERROR(VALUE(ASC(I358&amp;"")),IF(AL358&lt;&gt;"",AL358*IF(ISNUMBER(SEARCH("週",I358)),4.3,IF(ISNUMBER(SEARCH("年",I358)),1/12,IF(ISNUMBER(SEARCH("日",I358)),20,1))),IF(ISNUMBER(SEARCH("日",I358)),20,IF(ISNUMBER(SEARCH("週",I358)),4.3,IF(ISNUMBER(SEARCH("月",I358)),1,"")))))))</f>
        <v/>
      </c>
      <c r="AN358" s="34">
        <f>IF(J358="","",IF(ISNUMBER(J358),J358,IFERROR(VALUE(ASC(J358&amp;"")),IF(ISNUMBER(SEARCH("時間",J358)),IFERROR(VALUE(SUBSTITUTE(SUBSTITUTE(SUBSTITUTE(SUBSTITUTE(SUBSTITUTE(ASC(J358&amp;""),"約",""),"程度",""),"ほど",""),"時間","")," ",""))*60,""),IFERROR(VALUE(SUBSTITUTE(SUBSTITUTE(SUBSTITUTE(SUBSTITUTE(SUBSTITUTE(ASC(J358&amp;""),"約",""),"程度",""),"ほど",""),"分","")," ","")),"")))))</f>
        <v/>
      </c>
      <c r="AO358" s="34">
        <f>IF(K358="","",IF(ISNUMBER(K358),K358,IFERROR(VALUE(SUBSTITUTE(SUBSTITUTE(SUBSTITUTE(ASC(K358&amp;""),"約",""),"件","")," ","")),"")))</f>
        <v/>
      </c>
      <c r="AP358" s="34">
        <f>IF(W358&lt;&gt;"OK","",IF(COUNTIFS($D$5:$D$404,D358,$W$5:$W$404,"OK")&gt;1,"同名あり",""))</f>
        <v/>
      </c>
      <c r="AQ358" s="35">
        <f>IF(L358="","",IF(ISNUMBER(L358),L358,IFERROR(DATEVALUE(SUBSTITUTE(SUBSTITUTE(ASC(L358&amp;""),"-","/"),".","/")&amp;"/01"),"")))</f>
        <v/>
      </c>
      <c r="AR358" s="35">
        <f>IF(M358="","",IF(ISNUMBER(M358),M358,IFERROR(DATEVALUE(SUBSTITUTE(SUBSTITUTE(ASC(M358&amp;""),"-","/"),".","/")&amp;"/01"),"")))</f>
        <v/>
      </c>
      <c r="AS358" s="34">
        <f>IF(OR(W358&lt;&gt;"OK",AQ358=""),"",IF(AQ358&gt;='01_設定'!$C$26,1,0))</f>
        <v/>
      </c>
      <c r="AT358" s="34">
        <f>IF(AND(W358="OK",Y358&lt;&gt;"除外"),COUNTIFS($W$5:W358,"OK",$Y$5:Y358,"&lt;&gt;除外"),"")</f>
        <v/>
      </c>
      <c r="AU358" s="34">
        <f>IF(OR(AT358="",AD358=""),"",AD358+ROW()/1000000000)</f>
        <v/>
      </c>
    </row>
    <row r="359">
      <c r="W359">
        <f>IF(AND(A359="",D359=""),"",IF(ISNUMBER(SEARCH("##END",AH359)),"（終わりの印）",IF(ISNUMBER(SEARCH("##続き",AH359)),"（続きありの印）",IF(AH359="調査ID","（見出し行）",IF(AND(AH359&lt;&gt;"R1",AH359&lt;&gt;"R2"),"×表以外の行（集計されない）",IF(COUNTIF($AI$5:AI359,AI359)&gt;1,"△重複（集計されない）",IF(D359="","△タスク名なし",IF(ISNA(MATCH(AK359,'M1_類型マスタ'!$A$5:$A$19,0)),"△類型が不正",IF(OR(AM359="",AN359=""),"△回数・分が読めない",IF(SUMPRODUCT(--ISNUMBER(--O359:U359))&lt;7,"△採点が足りない",IF(SUMPRODUCT((--O359:U359&gt;2)+(--O359:U359&lt;0))&gt;0,"△採点が範囲外","OK")))))))))))</f>
        <v/>
      </c>
      <c r="X359">
        <f>IF(W359&lt;&gt;"OK","",TRIM(IF(AND(AO359&lt;&gt;"",N(AO359)&lt;=1),"根拠1件 ","")&amp;IF(AP359&lt;&gt;"","同名あり ","")&amp;IF(AND(NOT(ISNUMBER(I359)),I359&lt;&gt;""),"回数を換算 ","")))</f>
        <v/>
      </c>
      <c r="Y359" s="31" t="n"/>
      <c r="Z359" s="32" t="n"/>
      <c r="AA359" s="32" t="n"/>
      <c r="AB359" s="31" t="n"/>
      <c r="AC359">
        <f>IF(W359&lt;&gt;"OK","",IF(AB359&lt;&gt;"",AB359,AE359))</f>
        <v/>
      </c>
      <c r="AD359" s="33">
        <f>IF(W359&lt;&gt;"OK","",IFERROR(IF(Z359&lt;&gt;"",Z359,AM359)*IF(AA359&lt;&gt;"",AA359,AN359)/60,""))</f>
        <v/>
      </c>
      <c r="AE359">
        <f>IF(W359&lt;&gt;"OK","",IF(OR(VALUE(O359)=2,VALUE(P359)=2,VALUE(Q359)=2),"社内残置",IF(AND(VALUE(O359)=0,VALUE(R359)=0,VALUE(T359)=0),"自動化候補",IF(AND(VALUE(P359)=0,VALUE(R359)&lt;=1,VALUE(S359)&lt;=1,VALUE(T359)&lt;=1,VALUE(U359)&lt;=1),"オフショア候補",IF(AND(VALUE(T359)&lt;=1,VALUE(U359)&lt;=1),"ニアショア候補","社内で手順化→再評価")))))</f>
        <v/>
      </c>
      <c r="AF359">
        <f>IF(W359&lt;&gt;"OK","",14-SUMPRODUCT(--O359:U359))</f>
        <v/>
      </c>
      <c r="AG359" s="33">
        <f>IF(W359&lt;&gt;"OK","",AM359*AN359/60)</f>
        <v/>
      </c>
      <c r="AH359" s="34">
        <f>IF(A359="","",UPPER(TRIM(ASC(A359&amp;""))))</f>
        <v/>
      </c>
      <c r="AI359" s="34">
        <f>IF(AH359="","",AH359&amp;"-"&amp;B359)</f>
        <v/>
      </c>
      <c r="AJ359" s="34">
        <f>IF(C359="","",IFERROR(VALUE(ASC(SUBSTITUTE(C359&amp;"","観点",""))),""))</f>
        <v/>
      </c>
      <c r="AK359" s="34">
        <f>IF(E359="","",UPPER(LEFT(TRIM(ASC(E359&amp;"")),3)))</f>
        <v/>
      </c>
      <c r="AL359" s="34">
        <f>IF(I359="","",IFERROR(VALUE(SUBSTITUTE(SUBSTITUTE(SUBSTITUTE(SUBSTITUTE(SUBSTITUTE(SUBSTITUTE(SUBSTITUTE(SUBSTITUTE(SUBSTITUTE(SUBSTITUTE(SUBSTITUTE(SUBSTITUTE(ASC(I359&amp;""),"約",""),"程度",""),"ほど",""),"回",""),"毎",""),"週",""),"月",""),"年",""),"日",""),"に",""),"/","")," ","")),""))</f>
        <v/>
      </c>
      <c r="AM359" s="34">
        <f>IF(I359="","",IF(ISNUMBER(I359),I359,IFERROR(VALUE(ASC(I359&amp;"")),IF(AL359&lt;&gt;"",AL359*IF(ISNUMBER(SEARCH("週",I359)),4.3,IF(ISNUMBER(SEARCH("年",I359)),1/12,IF(ISNUMBER(SEARCH("日",I359)),20,1))),IF(ISNUMBER(SEARCH("日",I359)),20,IF(ISNUMBER(SEARCH("週",I359)),4.3,IF(ISNUMBER(SEARCH("月",I359)),1,"")))))))</f>
        <v/>
      </c>
      <c r="AN359" s="34">
        <f>IF(J359="","",IF(ISNUMBER(J359),J359,IFERROR(VALUE(ASC(J359&amp;"")),IF(ISNUMBER(SEARCH("時間",J359)),IFERROR(VALUE(SUBSTITUTE(SUBSTITUTE(SUBSTITUTE(SUBSTITUTE(SUBSTITUTE(ASC(J359&amp;""),"約",""),"程度",""),"ほど",""),"時間","")," ",""))*60,""),IFERROR(VALUE(SUBSTITUTE(SUBSTITUTE(SUBSTITUTE(SUBSTITUTE(SUBSTITUTE(ASC(J359&amp;""),"約",""),"程度",""),"ほど",""),"分","")," ","")),"")))))</f>
        <v/>
      </c>
      <c r="AO359" s="34">
        <f>IF(K359="","",IF(ISNUMBER(K359),K359,IFERROR(VALUE(SUBSTITUTE(SUBSTITUTE(SUBSTITUTE(ASC(K359&amp;""),"約",""),"件","")," ","")),"")))</f>
        <v/>
      </c>
      <c r="AP359" s="34">
        <f>IF(W359&lt;&gt;"OK","",IF(COUNTIFS($D$5:$D$404,D359,$W$5:$W$404,"OK")&gt;1,"同名あり",""))</f>
        <v/>
      </c>
      <c r="AQ359" s="35">
        <f>IF(L359="","",IF(ISNUMBER(L359),L359,IFERROR(DATEVALUE(SUBSTITUTE(SUBSTITUTE(ASC(L359&amp;""),"-","/"),".","/")&amp;"/01"),"")))</f>
        <v/>
      </c>
      <c r="AR359" s="35">
        <f>IF(M359="","",IF(ISNUMBER(M359),M359,IFERROR(DATEVALUE(SUBSTITUTE(SUBSTITUTE(ASC(M359&amp;""),"-","/"),".","/")&amp;"/01"),"")))</f>
        <v/>
      </c>
      <c r="AS359" s="34">
        <f>IF(OR(W359&lt;&gt;"OK",AQ359=""),"",IF(AQ359&gt;='01_設定'!$C$26,1,0))</f>
        <v/>
      </c>
      <c r="AT359" s="34">
        <f>IF(AND(W359="OK",Y359&lt;&gt;"除外"),COUNTIFS($W$5:W359,"OK",$Y$5:Y359,"&lt;&gt;除外"),"")</f>
        <v/>
      </c>
      <c r="AU359" s="34">
        <f>IF(OR(AT359="",AD359=""),"",AD359+ROW()/1000000000)</f>
        <v/>
      </c>
    </row>
    <row r="360">
      <c r="W360">
        <f>IF(AND(A360="",D360=""),"",IF(ISNUMBER(SEARCH("##END",AH360)),"（終わりの印）",IF(ISNUMBER(SEARCH("##続き",AH360)),"（続きありの印）",IF(AH360="調査ID","（見出し行）",IF(AND(AH360&lt;&gt;"R1",AH360&lt;&gt;"R2"),"×表以外の行（集計されない）",IF(COUNTIF($AI$5:AI360,AI360)&gt;1,"△重複（集計されない）",IF(D360="","△タスク名なし",IF(ISNA(MATCH(AK360,'M1_類型マスタ'!$A$5:$A$19,0)),"△類型が不正",IF(OR(AM360="",AN360=""),"△回数・分が読めない",IF(SUMPRODUCT(--ISNUMBER(--O360:U360))&lt;7,"△採点が足りない",IF(SUMPRODUCT((--O360:U360&gt;2)+(--O360:U360&lt;0))&gt;0,"△採点が範囲外","OK")))))))))))</f>
        <v/>
      </c>
      <c r="X360">
        <f>IF(W360&lt;&gt;"OK","",TRIM(IF(AND(AO360&lt;&gt;"",N(AO360)&lt;=1),"根拠1件 ","")&amp;IF(AP360&lt;&gt;"","同名あり ","")&amp;IF(AND(NOT(ISNUMBER(I360)),I360&lt;&gt;""),"回数を換算 ","")))</f>
        <v/>
      </c>
      <c r="Y360" s="31" t="n"/>
      <c r="Z360" s="32" t="n"/>
      <c r="AA360" s="32" t="n"/>
      <c r="AB360" s="31" t="n"/>
      <c r="AC360">
        <f>IF(W360&lt;&gt;"OK","",IF(AB360&lt;&gt;"",AB360,AE360))</f>
        <v/>
      </c>
      <c r="AD360" s="33">
        <f>IF(W360&lt;&gt;"OK","",IFERROR(IF(Z360&lt;&gt;"",Z360,AM360)*IF(AA360&lt;&gt;"",AA360,AN360)/60,""))</f>
        <v/>
      </c>
      <c r="AE360">
        <f>IF(W360&lt;&gt;"OK","",IF(OR(VALUE(O360)=2,VALUE(P360)=2,VALUE(Q360)=2),"社内残置",IF(AND(VALUE(O360)=0,VALUE(R360)=0,VALUE(T360)=0),"自動化候補",IF(AND(VALUE(P360)=0,VALUE(R360)&lt;=1,VALUE(S360)&lt;=1,VALUE(T360)&lt;=1,VALUE(U360)&lt;=1),"オフショア候補",IF(AND(VALUE(T360)&lt;=1,VALUE(U360)&lt;=1),"ニアショア候補","社内で手順化→再評価")))))</f>
        <v/>
      </c>
      <c r="AF360">
        <f>IF(W360&lt;&gt;"OK","",14-SUMPRODUCT(--O360:U360))</f>
        <v/>
      </c>
      <c r="AG360" s="33">
        <f>IF(W360&lt;&gt;"OK","",AM360*AN360/60)</f>
        <v/>
      </c>
      <c r="AH360" s="34">
        <f>IF(A360="","",UPPER(TRIM(ASC(A360&amp;""))))</f>
        <v/>
      </c>
      <c r="AI360" s="34">
        <f>IF(AH360="","",AH360&amp;"-"&amp;B360)</f>
        <v/>
      </c>
      <c r="AJ360" s="34">
        <f>IF(C360="","",IFERROR(VALUE(ASC(SUBSTITUTE(C360&amp;"","観点",""))),""))</f>
        <v/>
      </c>
      <c r="AK360" s="34">
        <f>IF(E360="","",UPPER(LEFT(TRIM(ASC(E360&amp;"")),3)))</f>
        <v/>
      </c>
      <c r="AL360" s="34">
        <f>IF(I360="","",IFERROR(VALUE(SUBSTITUTE(SUBSTITUTE(SUBSTITUTE(SUBSTITUTE(SUBSTITUTE(SUBSTITUTE(SUBSTITUTE(SUBSTITUTE(SUBSTITUTE(SUBSTITUTE(SUBSTITUTE(SUBSTITUTE(ASC(I360&amp;""),"約",""),"程度",""),"ほど",""),"回",""),"毎",""),"週",""),"月",""),"年",""),"日",""),"に",""),"/","")," ","")),""))</f>
        <v/>
      </c>
      <c r="AM360" s="34">
        <f>IF(I360="","",IF(ISNUMBER(I360),I360,IFERROR(VALUE(ASC(I360&amp;"")),IF(AL360&lt;&gt;"",AL360*IF(ISNUMBER(SEARCH("週",I360)),4.3,IF(ISNUMBER(SEARCH("年",I360)),1/12,IF(ISNUMBER(SEARCH("日",I360)),20,1))),IF(ISNUMBER(SEARCH("日",I360)),20,IF(ISNUMBER(SEARCH("週",I360)),4.3,IF(ISNUMBER(SEARCH("月",I360)),1,"")))))))</f>
        <v/>
      </c>
      <c r="AN360" s="34">
        <f>IF(J360="","",IF(ISNUMBER(J360),J360,IFERROR(VALUE(ASC(J360&amp;"")),IF(ISNUMBER(SEARCH("時間",J360)),IFERROR(VALUE(SUBSTITUTE(SUBSTITUTE(SUBSTITUTE(SUBSTITUTE(SUBSTITUTE(ASC(J360&amp;""),"約",""),"程度",""),"ほど",""),"時間","")," ",""))*60,""),IFERROR(VALUE(SUBSTITUTE(SUBSTITUTE(SUBSTITUTE(SUBSTITUTE(SUBSTITUTE(ASC(J360&amp;""),"約",""),"程度",""),"ほど",""),"分","")," ","")),"")))))</f>
        <v/>
      </c>
      <c r="AO360" s="34">
        <f>IF(K360="","",IF(ISNUMBER(K360),K360,IFERROR(VALUE(SUBSTITUTE(SUBSTITUTE(SUBSTITUTE(ASC(K360&amp;""),"約",""),"件","")," ","")),"")))</f>
        <v/>
      </c>
      <c r="AP360" s="34">
        <f>IF(W360&lt;&gt;"OK","",IF(COUNTIFS($D$5:$D$404,D360,$W$5:$W$404,"OK")&gt;1,"同名あり",""))</f>
        <v/>
      </c>
      <c r="AQ360" s="35">
        <f>IF(L360="","",IF(ISNUMBER(L360),L360,IFERROR(DATEVALUE(SUBSTITUTE(SUBSTITUTE(ASC(L360&amp;""),"-","/"),".","/")&amp;"/01"),"")))</f>
        <v/>
      </c>
      <c r="AR360" s="35">
        <f>IF(M360="","",IF(ISNUMBER(M360),M360,IFERROR(DATEVALUE(SUBSTITUTE(SUBSTITUTE(ASC(M360&amp;""),"-","/"),".","/")&amp;"/01"),"")))</f>
        <v/>
      </c>
      <c r="AS360" s="34">
        <f>IF(OR(W360&lt;&gt;"OK",AQ360=""),"",IF(AQ360&gt;='01_設定'!$C$26,1,0))</f>
        <v/>
      </c>
      <c r="AT360" s="34">
        <f>IF(AND(W360="OK",Y360&lt;&gt;"除外"),COUNTIFS($W$5:W360,"OK",$Y$5:Y360,"&lt;&gt;除外"),"")</f>
        <v/>
      </c>
      <c r="AU360" s="34">
        <f>IF(OR(AT360="",AD360=""),"",AD360+ROW()/1000000000)</f>
        <v/>
      </c>
    </row>
    <row r="361">
      <c r="W361">
        <f>IF(AND(A361="",D361=""),"",IF(ISNUMBER(SEARCH("##END",AH361)),"（終わりの印）",IF(ISNUMBER(SEARCH("##続き",AH361)),"（続きありの印）",IF(AH361="調査ID","（見出し行）",IF(AND(AH361&lt;&gt;"R1",AH361&lt;&gt;"R2"),"×表以外の行（集計されない）",IF(COUNTIF($AI$5:AI361,AI361)&gt;1,"△重複（集計されない）",IF(D361="","△タスク名なし",IF(ISNA(MATCH(AK361,'M1_類型マスタ'!$A$5:$A$19,0)),"△類型が不正",IF(OR(AM361="",AN361=""),"△回数・分が読めない",IF(SUMPRODUCT(--ISNUMBER(--O361:U361))&lt;7,"△採点が足りない",IF(SUMPRODUCT((--O361:U361&gt;2)+(--O361:U361&lt;0))&gt;0,"△採点が範囲外","OK")))))))))))</f>
        <v/>
      </c>
      <c r="X361">
        <f>IF(W361&lt;&gt;"OK","",TRIM(IF(AND(AO361&lt;&gt;"",N(AO361)&lt;=1),"根拠1件 ","")&amp;IF(AP361&lt;&gt;"","同名あり ","")&amp;IF(AND(NOT(ISNUMBER(I361)),I361&lt;&gt;""),"回数を換算 ","")))</f>
        <v/>
      </c>
      <c r="Y361" s="31" t="n"/>
      <c r="Z361" s="32" t="n"/>
      <c r="AA361" s="32" t="n"/>
      <c r="AB361" s="31" t="n"/>
      <c r="AC361">
        <f>IF(W361&lt;&gt;"OK","",IF(AB361&lt;&gt;"",AB361,AE361))</f>
        <v/>
      </c>
      <c r="AD361" s="33">
        <f>IF(W361&lt;&gt;"OK","",IFERROR(IF(Z361&lt;&gt;"",Z361,AM361)*IF(AA361&lt;&gt;"",AA361,AN361)/60,""))</f>
        <v/>
      </c>
      <c r="AE361">
        <f>IF(W361&lt;&gt;"OK","",IF(OR(VALUE(O361)=2,VALUE(P361)=2,VALUE(Q361)=2),"社内残置",IF(AND(VALUE(O361)=0,VALUE(R361)=0,VALUE(T361)=0),"自動化候補",IF(AND(VALUE(P361)=0,VALUE(R361)&lt;=1,VALUE(S361)&lt;=1,VALUE(T361)&lt;=1,VALUE(U361)&lt;=1),"オフショア候補",IF(AND(VALUE(T361)&lt;=1,VALUE(U361)&lt;=1),"ニアショア候補","社内で手順化→再評価")))))</f>
        <v/>
      </c>
      <c r="AF361">
        <f>IF(W361&lt;&gt;"OK","",14-SUMPRODUCT(--O361:U361))</f>
        <v/>
      </c>
      <c r="AG361" s="33">
        <f>IF(W361&lt;&gt;"OK","",AM361*AN361/60)</f>
        <v/>
      </c>
      <c r="AH361" s="34">
        <f>IF(A361="","",UPPER(TRIM(ASC(A361&amp;""))))</f>
        <v/>
      </c>
      <c r="AI361" s="34">
        <f>IF(AH361="","",AH361&amp;"-"&amp;B361)</f>
        <v/>
      </c>
      <c r="AJ361" s="34">
        <f>IF(C361="","",IFERROR(VALUE(ASC(SUBSTITUTE(C361&amp;"","観点",""))),""))</f>
        <v/>
      </c>
      <c r="AK361" s="34">
        <f>IF(E361="","",UPPER(LEFT(TRIM(ASC(E361&amp;"")),3)))</f>
        <v/>
      </c>
      <c r="AL361" s="34">
        <f>IF(I361="","",IFERROR(VALUE(SUBSTITUTE(SUBSTITUTE(SUBSTITUTE(SUBSTITUTE(SUBSTITUTE(SUBSTITUTE(SUBSTITUTE(SUBSTITUTE(SUBSTITUTE(SUBSTITUTE(SUBSTITUTE(SUBSTITUTE(ASC(I361&amp;""),"約",""),"程度",""),"ほど",""),"回",""),"毎",""),"週",""),"月",""),"年",""),"日",""),"に",""),"/","")," ","")),""))</f>
        <v/>
      </c>
      <c r="AM361" s="34">
        <f>IF(I361="","",IF(ISNUMBER(I361),I361,IFERROR(VALUE(ASC(I361&amp;"")),IF(AL361&lt;&gt;"",AL361*IF(ISNUMBER(SEARCH("週",I361)),4.3,IF(ISNUMBER(SEARCH("年",I361)),1/12,IF(ISNUMBER(SEARCH("日",I361)),20,1))),IF(ISNUMBER(SEARCH("日",I361)),20,IF(ISNUMBER(SEARCH("週",I361)),4.3,IF(ISNUMBER(SEARCH("月",I361)),1,"")))))))</f>
        <v/>
      </c>
      <c r="AN361" s="34">
        <f>IF(J361="","",IF(ISNUMBER(J361),J361,IFERROR(VALUE(ASC(J361&amp;"")),IF(ISNUMBER(SEARCH("時間",J361)),IFERROR(VALUE(SUBSTITUTE(SUBSTITUTE(SUBSTITUTE(SUBSTITUTE(SUBSTITUTE(ASC(J361&amp;""),"約",""),"程度",""),"ほど",""),"時間","")," ",""))*60,""),IFERROR(VALUE(SUBSTITUTE(SUBSTITUTE(SUBSTITUTE(SUBSTITUTE(SUBSTITUTE(ASC(J361&amp;""),"約",""),"程度",""),"ほど",""),"分","")," ","")),"")))))</f>
        <v/>
      </c>
      <c r="AO361" s="34">
        <f>IF(K361="","",IF(ISNUMBER(K361),K361,IFERROR(VALUE(SUBSTITUTE(SUBSTITUTE(SUBSTITUTE(ASC(K361&amp;""),"約",""),"件","")," ","")),"")))</f>
        <v/>
      </c>
      <c r="AP361" s="34">
        <f>IF(W361&lt;&gt;"OK","",IF(COUNTIFS($D$5:$D$404,D361,$W$5:$W$404,"OK")&gt;1,"同名あり",""))</f>
        <v/>
      </c>
      <c r="AQ361" s="35">
        <f>IF(L361="","",IF(ISNUMBER(L361),L361,IFERROR(DATEVALUE(SUBSTITUTE(SUBSTITUTE(ASC(L361&amp;""),"-","/"),".","/")&amp;"/01"),"")))</f>
        <v/>
      </c>
      <c r="AR361" s="35">
        <f>IF(M361="","",IF(ISNUMBER(M361),M361,IFERROR(DATEVALUE(SUBSTITUTE(SUBSTITUTE(ASC(M361&amp;""),"-","/"),".","/")&amp;"/01"),"")))</f>
        <v/>
      </c>
      <c r="AS361" s="34">
        <f>IF(OR(W361&lt;&gt;"OK",AQ361=""),"",IF(AQ361&gt;='01_設定'!$C$26,1,0))</f>
        <v/>
      </c>
      <c r="AT361" s="34">
        <f>IF(AND(W361="OK",Y361&lt;&gt;"除外"),COUNTIFS($W$5:W361,"OK",$Y$5:Y361,"&lt;&gt;除外"),"")</f>
        <v/>
      </c>
      <c r="AU361" s="34">
        <f>IF(OR(AT361="",AD361=""),"",AD361+ROW()/1000000000)</f>
        <v/>
      </c>
    </row>
    <row r="362">
      <c r="W362">
        <f>IF(AND(A362="",D362=""),"",IF(ISNUMBER(SEARCH("##END",AH362)),"（終わりの印）",IF(ISNUMBER(SEARCH("##続き",AH362)),"（続きありの印）",IF(AH362="調査ID","（見出し行）",IF(AND(AH362&lt;&gt;"R1",AH362&lt;&gt;"R2"),"×表以外の行（集計されない）",IF(COUNTIF($AI$5:AI362,AI362)&gt;1,"△重複（集計されない）",IF(D362="","△タスク名なし",IF(ISNA(MATCH(AK362,'M1_類型マスタ'!$A$5:$A$19,0)),"△類型が不正",IF(OR(AM362="",AN362=""),"△回数・分が読めない",IF(SUMPRODUCT(--ISNUMBER(--O362:U362))&lt;7,"△採点が足りない",IF(SUMPRODUCT((--O362:U362&gt;2)+(--O362:U362&lt;0))&gt;0,"△採点が範囲外","OK")))))))))))</f>
        <v/>
      </c>
      <c r="X362">
        <f>IF(W362&lt;&gt;"OK","",TRIM(IF(AND(AO362&lt;&gt;"",N(AO362)&lt;=1),"根拠1件 ","")&amp;IF(AP362&lt;&gt;"","同名あり ","")&amp;IF(AND(NOT(ISNUMBER(I362)),I362&lt;&gt;""),"回数を換算 ","")))</f>
        <v/>
      </c>
      <c r="Y362" s="31" t="n"/>
      <c r="Z362" s="32" t="n"/>
      <c r="AA362" s="32" t="n"/>
      <c r="AB362" s="31" t="n"/>
      <c r="AC362">
        <f>IF(W362&lt;&gt;"OK","",IF(AB362&lt;&gt;"",AB362,AE362))</f>
        <v/>
      </c>
      <c r="AD362" s="33">
        <f>IF(W362&lt;&gt;"OK","",IFERROR(IF(Z362&lt;&gt;"",Z362,AM362)*IF(AA362&lt;&gt;"",AA362,AN362)/60,""))</f>
        <v/>
      </c>
      <c r="AE362">
        <f>IF(W362&lt;&gt;"OK","",IF(OR(VALUE(O362)=2,VALUE(P362)=2,VALUE(Q362)=2),"社内残置",IF(AND(VALUE(O362)=0,VALUE(R362)=0,VALUE(T362)=0),"自動化候補",IF(AND(VALUE(P362)=0,VALUE(R362)&lt;=1,VALUE(S362)&lt;=1,VALUE(T362)&lt;=1,VALUE(U362)&lt;=1),"オフショア候補",IF(AND(VALUE(T362)&lt;=1,VALUE(U362)&lt;=1),"ニアショア候補","社内で手順化→再評価")))))</f>
        <v/>
      </c>
      <c r="AF362">
        <f>IF(W362&lt;&gt;"OK","",14-SUMPRODUCT(--O362:U362))</f>
        <v/>
      </c>
      <c r="AG362" s="33">
        <f>IF(W362&lt;&gt;"OK","",AM362*AN362/60)</f>
        <v/>
      </c>
      <c r="AH362" s="34">
        <f>IF(A362="","",UPPER(TRIM(ASC(A362&amp;""))))</f>
        <v/>
      </c>
      <c r="AI362" s="34">
        <f>IF(AH362="","",AH362&amp;"-"&amp;B362)</f>
        <v/>
      </c>
      <c r="AJ362" s="34">
        <f>IF(C362="","",IFERROR(VALUE(ASC(SUBSTITUTE(C362&amp;"","観点",""))),""))</f>
        <v/>
      </c>
      <c r="AK362" s="34">
        <f>IF(E362="","",UPPER(LEFT(TRIM(ASC(E362&amp;"")),3)))</f>
        <v/>
      </c>
      <c r="AL362" s="34">
        <f>IF(I362="","",IFERROR(VALUE(SUBSTITUTE(SUBSTITUTE(SUBSTITUTE(SUBSTITUTE(SUBSTITUTE(SUBSTITUTE(SUBSTITUTE(SUBSTITUTE(SUBSTITUTE(SUBSTITUTE(SUBSTITUTE(SUBSTITUTE(ASC(I362&amp;""),"約",""),"程度",""),"ほど",""),"回",""),"毎",""),"週",""),"月",""),"年",""),"日",""),"に",""),"/","")," ","")),""))</f>
        <v/>
      </c>
      <c r="AM362" s="34">
        <f>IF(I362="","",IF(ISNUMBER(I362),I362,IFERROR(VALUE(ASC(I362&amp;"")),IF(AL362&lt;&gt;"",AL362*IF(ISNUMBER(SEARCH("週",I362)),4.3,IF(ISNUMBER(SEARCH("年",I362)),1/12,IF(ISNUMBER(SEARCH("日",I362)),20,1))),IF(ISNUMBER(SEARCH("日",I362)),20,IF(ISNUMBER(SEARCH("週",I362)),4.3,IF(ISNUMBER(SEARCH("月",I362)),1,"")))))))</f>
        <v/>
      </c>
      <c r="AN362" s="34">
        <f>IF(J362="","",IF(ISNUMBER(J362),J362,IFERROR(VALUE(ASC(J362&amp;"")),IF(ISNUMBER(SEARCH("時間",J362)),IFERROR(VALUE(SUBSTITUTE(SUBSTITUTE(SUBSTITUTE(SUBSTITUTE(SUBSTITUTE(ASC(J362&amp;""),"約",""),"程度",""),"ほど",""),"時間","")," ",""))*60,""),IFERROR(VALUE(SUBSTITUTE(SUBSTITUTE(SUBSTITUTE(SUBSTITUTE(SUBSTITUTE(ASC(J362&amp;""),"約",""),"程度",""),"ほど",""),"分","")," ","")),"")))))</f>
        <v/>
      </c>
      <c r="AO362" s="34">
        <f>IF(K362="","",IF(ISNUMBER(K362),K362,IFERROR(VALUE(SUBSTITUTE(SUBSTITUTE(SUBSTITUTE(ASC(K362&amp;""),"約",""),"件","")," ","")),"")))</f>
        <v/>
      </c>
      <c r="AP362" s="34">
        <f>IF(W362&lt;&gt;"OK","",IF(COUNTIFS($D$5:$D$404,D362,$W$5:$W$404,"OK")&gt;1,"同名あり",""))</f>
        <v/>
      </c>
      <c r="AQ362" s="35">
        <f>IF(L362="","",IF(ISNUMBER(L362),L362,IFERROR(DATEVALUE(SUBSTITUTE(SUBSTITUTE(ASC(L362&amp;""),"-","/"),".","/")&amp;"/01"),"")))</f>
        <v/>
      </c>
      <c r="AR362" s="35">
        <f>IF(M362="","",IF(ISNUMBER(M362),M362,IFERROR(DATEVALUE(SUBSTITUTE(SUBSTITUTE(ASC(M362&amp;""),"-","/"),".","/")&amp;"/01"),"")))</f>
        <v/>
      </c>
      <c r="AS362" s="34">
        <f>IF(OR(W362&lt;&gt;"OK",AQ362=""),"",IF(AQ362&gt;='01_設定'!$C$26,1,0))</f>
        <v/>
      </c>
      <c r="AT362" s="34">
        <f>IF(AND(W362="OK",Y362&lt;&gt;"除外"),COUNTIFS($W$5:W362,"OK",$Y$5:Y362,"&lt;&gt;除外"),"")</f>
        <v/>
      </c>
      <c r="AU362" s="34">
        <f>IF(OR(AT362="",AD362=""),"",AD362+ROW()/1000000000)</f>
        <v/>
      </c>
    </row>
    <row r="363">
      <c r="W363">
        <f>IF(AND(A363="",D363=""),"",IF(ISNUMBER(SEARCH("##END",AH363)),"（終わりの印）",IF(ISNUMBER(SEARCH("##続き",AH363)),"（続きありの印）",IF(AH363="調査ID","（見出し行）",IF(AND(AH363&lt;&gt;"R1",AH363&lt;&gt;"R2"),"×表以外の行（集計されない）",IF(COUNTIF($AI$5:AI363,AI363)&gt;1,"△重複（集計されない）",IF(D363="","△タスク名なし",IF(ISNA(MATCH(AK363,'M1_類型マスタ'!$A$5:$A$19,0)),"△類型が不正",IF(OR(AM363="",AN363=""),"△回数・分が読めない",IF(SUMPRODUCT(--ISNUMBER(--O363:U363))&lt;7,"△採点が足りない",IF(SUMPRODUCT((--O363:U363&gt;2)+(--O363:U363&lt;0))&gt;0,"△採点が範囲外","OK")))))))))))</f>
        <v/>
      </c>
      <c r="X363">
        <f>IF(W363&lt;&gt;"OK","",TRIM(IF(AND(AO363&lt;&gt;"",N(AO363)&lt;=1),"根拠1件 ","")&amp;IF(AP363&lt;&gt;"","同名あり ","")&amp;IF(AND(NOT(ISNUMBER(I363)),I363&lt;&gt;""),"回数を換算 ","")))</f>
        <v/>
      </c>
      <c r="Y363" s="31" t="n"/>
      <c r="Z363" s="32" t="n"/>
      <c r="AA363" s="32" t="n"/>
      <c r="AB363" s="31" t="n"/>
      <c r="AC363">
        <f>IF(W363&lt;&gt;"OK","",IF(AB363&lt;&gt;"",AB363,AE363))</f>
        <v/>
      </c>
      <c r="AD363" s="33">
        <f>IF(W363&lt;&gt;"OK","",IFERROR(IF(Z363&lt;&gt;"",Z363,AM363)*IF(AA363&lt;&gt;"",AA363,AN363)/60,""))</f>
        <v/>
      </c>
      <c r="AE363">
        <f>IF(W363&lt;&gt;"OK","",IF(OR(VALUE(O363)=2,VALUE(P363)=2,VALUE(Q363)=2),"社内残置",IF(AND(VALUE(O363)=0,VALUE(R363)=0,VALUE(T363)=0),"自動化候補",IF(AND(VALUE(P363)=0,VALUE(R363)&lt;=1,VALUE(S363)&lt;=1,VALUE(T363)&lt;=1,VALUE(U363)&lt;=1),"オフショア候補",IF(AND(VALUE(T363)&lt;=1,VALUE(U363)&lt;=1),"ニアショア候補","社内で手順化→再評価")))))</f>
        <v/>
      </c>
      <c r="AF363">
        <f>IF(W363&lt;&gt;"OK","",14-SUMPRODUCT(--O363:U363))</f>
        <v/>
      </c>
      <c r="AG363" s="33">
        <f>IF(W363&lt;&gt;"OK","",AM363*AN363/60)</f>
        <v/>
      </c>
      <c r="AH363" s="34">
        <f>IF(A363="","",UPPER(TRIM(ASC(A363&amp;""))))</f>
        <v/>
      </c>
      <c r="AI363" s="34">
        <f>IF(AH363="","",AH363&amp;"-"&amp;B363)</f>
        <v/>
      </c>
      <c r="AJ363" s="34">
        <f>IF(C363="","",IFERROR(VALUE(ASC(SUBSTITUTE(C363&amp;"","観点",""))),""))</f>
        <v/>
      </c>
      <c r="AK363" s="34">
        <f>IF(E363="","",UPPER(LEFT(TRIM(ASC(E363&amp;"")),3)))</f>
        <v/>
      </c>
      <c r="AL363" s="34">
        <f>IF(I363="","",IFERROR(VALUE(SUBSTITUTE(SUBSTITUTE(SUBSTITUTE(SUBSTITUTE(SUBSTITUTE(SUBSTITUTE(SUBSTITUTE(SUBSTITUTE(SUBSTITUTE(SUBSTITUTE(SUBSTITUTE(SUBSTITUTE(ASC(I363&amp;""),"約",""),"程度",""),"ほど",""),"回",""),"毎",""),"週",""),"月",""),"年",""),"日",""),"に",""),"/","")," ","")),""))</f>
        <v/>
      </c>
      <c r="AM363" s="34">
        <f>IF(I363="","",IF(ISNUMBER(I363),I363,IFERROR(VALUE(ASC(I363&amp;"")),IF(AL363&lt;&gt;"",AL363*IF(ISNUMBER(SEARCH("週",I363)),4.3,IF(ISNUMBER(SEARCH("年",I363)),1/12,IF(ISNUMBER(SEARCH("日",I363)),20,1))),IF(ISNUMBER(SEARCH("日",I363)),20,IF(ISNUMBER(SEARCH("週",I363)),4.3,IF(ISNUMBER(SEARCH("月",I363)),1,"")))))))</f>
        <v/>
      </c>
      <c r="AN363" s="34">
        <f>IF(J363="","",IF(ISNUMBER(J363),J363,IFERROR(VALUE(ASC(J363&amp;"")),IF(ISNUMBER(SEARCH("時間",J363)),IFERROR(VALUE(SUBSTITUTE(SUBSTITUTE(SUBSTITUTE(SUBSTITUTE(SUBSTITUTE(ASC(J363&amp;""),"約",""),"程度",""),"ほど",""),"時間","")," ",""))*60,""),IFERROR(VALUE(SUBSTITUTE(SUBSTITUTE(SUBSTITUTE(SUBSTITUTE(SUBSTITUTE(ASC(J363&amp;""),"約",""),"程度",""),"ほど",""),"分","")," ","")),"")))))</f>
        <v/>
      </c>
      <c r="AO363" s="34">
        <f>IF(K363="","",IF(ISNUMBER(K363),K363,IFERROR(VALUE(SUBSTITUTE(SUBSTITUTE(SUBSTITUTE(ASC(K363&amp;""),"約",""),"件","")," ","")),"")))</f>
        <v/>
      </c>
      <c r="AP363" s="34">
        <f>IF(W363&lt;&gt;"OK","",IF(COUNTIFS($D$5:$D$404,D363,$W$5:$W$404,"OK")&gt;1,"同名あり",""))</f>
        <v/>
      </c>
      <c r="AQ363" s="35">
        <f>IF(L363="","",IF(ISNUMBER(L363),L363,IFERROR(DATEVALUE(SUBSTITUTE(SUBSTITUTE(ASC(L363&amp;""),"-","/"),".","/")&amp;"/01"),"")))</f>
        <v/>
      </c>
      <c r="AR363" s="35">
        <f>IF(M363="","",IF(ISNUMBER(M363),M363,IFERROR(DATEVALUE(SUBSTITUTE(SUBSTITUTE(ASC(M363&amp;""),"-","/"),".","/")&amp;"/01"),"")))</f>
        <v/>
      </c>
      <c r="AS363" s="34">
        <f>IF(OR(W363&lt;&gt;"OK",AQ363=""),"",IF(AQ363&gt;='01_設定'!$C$26,1,0))</f>
        <v/>
      </c>
      <c r="AT363" s="34">
        <f>IF(AND(W363="OK",Y363&lt;&gt;"除外"),COUNTIFS($W$5:W363,"OK",$Y$5:Y363,"&lt;&gt;除外"),"")</f>
        <v/>
      </c>
      <c r="AU363" s="34">
        <f>IF(OR(AT363="",AD363=""),"",AD363+ROW()/1000000000)</f>
        <v/>
      </c>
    </row>
    <row r="364">
      <c r="W364">
        <f>IF(AND(A364="",D364=""),"",IF(ISNUMBER(SEARCH("##END",AH364)),"（終わりの印）",IF(ISNUMBER(SEARCH("##続き",AH364)),"（続きありの印）",IF(AH364="調査ID","（見出し行）",IF(AND(AH364&lt;&gt;"R1",AH364&lt;&gt;"R2"),"×表以外の行（集計されない）",IF(COUNTIF($AI$5:AI364,AI364)&gt;1,"△重複（集計されない）",IF(D364="","△タスク名なし",IF(ISNA(MATCH(AK364,'M1_類型マスタ'!$A$5:$A$19,0)),"△類型が不正",IF(OR(AM364="",AN364=""),"△回数・分が読めない",IF(SUMPRODUCT(--ISNUMBER(--O364:U364))&lt;7,"△採点が足りない",IF(SUMPRODUCT((--O364:U364&gt;2)+(--O364:U364&lt;0))&gt;0,"△採点が範囲外","OK")))))))))))</f>
        <v/>
      </c>
      <c r="X364">
        <f>IF(W364&lt;&gt;"OK","",TRIM(IF(AND(AO364&lt;&gt;"",N(AO364)&lt;=1),"根拠1件 ","")&amp;IF(AP364&lt;&gt;"","同名あり ","")&amp;IF(AND(NOT(ISNUMBER(I364)),I364&lt;&gt;""),"回数を換算 ","")))</f>
        <v/>
      </c>
      <c r="Y364" s="31" t="n"/>
      <c r="Z364" s="32" t="n"/>
      <c r="AA364" s="32" t="n"/>
      <c r="AB364" s="31" t="n"/>
      <c r="AC364">
        <f>IF(W364&lt;&gt;"OK","",IF(AB364&lt;&gt;"",AB364,AE364))</f>
        <v/>
      </c>
      <c r="AD364" s="33">
        <f>IF(W364&lt;&gt;"OK","",IFERROR(IF(Z364&lt;&gt;"",Z364,AM364)*IF(AA364&lt;&gt;"",AA364,AN364)/60,""))</f>
        <v/>
      </c>
      <c r="AE364">
        <f>IF(W364&lt;&gt;"OK","",IF(OR(VALUE(O364)=2,VALUE(P364)=2,VALUE(Q364)=2),"社内残置",IF(AND(VALUE(O364)=0,VALUE(R364)=0,VALUE(T364)=0),"自動化候補",IF(AND(VALUE(P364)=0,VALUE(R364)&lt;=1,VALUE(S364)&lt;=1,VALUE(T364)&lt;=1,VALUE(U364)&lt;=1),"オフショア候補",IF(AND(VALUE(T364)&lt;=1,VALUE(U364)&lt;=1),"ニアショア候補","社内で手順化→再評価")))))</f>
        <v/>
      </c>
      <c r="AF364">
        <f>IF(W364&lt;&gt;"OK","",14-SUMPRODUCT(--O364:U364))</f>
        <v/>
      </c>
      <c r="AG364" s="33">
        <f>IF(W364&lt;&gt;"OK","",AM364*AN364/60)</f>
        <v/>
      </c>
      <c r="AH364" s="34">
        <f>IF(A364="","",UPPER(TRIM(ASC(A364&amp;""))))</f>
        <v/>
      </c>
      <c r="AI364" s="34">
        <f>IF(AH364="","",AH364&amp;"-"&amp;B364)</f>
        <v/>
      </c>
      <c r="AJ364" s="34">
        <f>IF(C364="","",IFERROR(VALUE(ASC(SUBSTITUTE(C364&amp;"","観点",""))),""))</f>
        <v/>
      </c>
      <c r="AK364" s="34">
        <f>IF(E364="","",UPPER(LEFT(TRIM(ASC(E364&amp;"")),3)))</f>
        <v/>
      </c>
      <c r="AL364" s="34">
        <f>IF(I364="","",IFERROR(VALUE(SUBSTITUTE(SUBSTITUTE(SUBSTITUTE(SUBSTITUTE(SUBSTITUTE(SUBSTITUTE(SUBSTITUTE(SUBSTITUTE(SUBSTITUTE(SUBSTITUTE(SUBSTITUTE(SUBSTITUTE(ASC(I364&amp;""),"約",""),"程度",""),"ほど",""),"回",""),"毎",""),"週",""),"月",""),"年",""),"日",""),"に",""),"/","")," ","")),""))</f>
        <v/>
      </c>
      <c r="AM364" s="34">
        <f>IF(I364="","",IF(ISNUMBER(I364),I364,IFERROR(VALUE(ASC(I364&amp;"")),IF(AL364&lt;&gt;"",AL364*IF(ISNUMBER(SEARCH("週",I364)),4.3,IF(ISNUMBER(SEARCH("年",I364)),1/12,IF(ISNUMBER(SEARCH("日",I364)),20,1))),IF(ISNUMBER(SEARCH("日",I364)),20,IF(ISNUMBER(SEARCH("週",I364)),4.3,IF(ISNUMBER(SEARCH("月",I364)),1,"")))))))</f>
        <v/>
      </c>
      <c r="AN364" s="34">
        <f>IF(J364="","",IF(ISNUMBER(J364),J364,IFERROR(VALUE(ASC(J364&amp;"")),IF(ISNUMBER(SEARCH("時間",J364)),IFERROR(VALUE(SUBSTITUTE(SUBSTITUTE(SUBSTITUTE(SUBSTITUTE(SUBSTITUTE(ASC(J364&amp;""),"約",""),"程度",""),"ほど",""),"時間","")," ",""))*60,""),IFERROR(VALUE(SUBSTITUTE(SUBSTITUTE(SUBSTITUTE(SUBSTITUTE(SUBSTITUTE(ASC(J364&amp;""),"約",""),"程度",""),"ほど",""),"分","")," ","")),"")))))</f>
        <v/>
      </c>
      <c r="AO364" s="34">
        <f>IF(K364="","",IF(ISNUMBER(K364),K364,IFERROR(VALUE(SUBSTITUTE(SUBSTITUTE(SUBSTITUTE(ASC(K364&amp;""),"約",""),"件","")," ","")),"")))</f>
        <v/>
      </c>
      <c r="AP364" s="34">
        <f>IF(W364&lt;&gt;"OK","",IF(COUNTIFS($D$5:$D$404,D364,$W$5:$W$404,"OK")&gt;1,"同名あり",""))</f>
        <v/>
      </c>
      <c r="AQ364" s="35">
        <f>IF(L364="","",IF(ISNUMBER(L364),L364,IFERROR(DATEVALUE(SUBSTITUTE(SUBSTITUTE(ASC(L364&amp;""),"-","/"),".","/")&amp;"/01"),"")))</f>
        <v/>
      </c>
      <c r="AR364" s="35">
        <f>IF(M364="","",IF(ISNUMBER(M364),M364,IFERROR(DATEVALUE(SUBSTITUTE(SUBSTITUTE(ASC(M364&amp;""),"-","/"),".","/")&amp;"/01"),"")))</f>
        <v/>
      </c>
      <c r="AS364" s="34">
        <f>IF(OR(W364&lt;&gt;"OK",AQ364=""),"",IF(AQ364&gt;='01_設定'!$C$26,1,0))</f>
        <v/>
      </c>
      <c r="AT364" s="34">
        <f>IF(AND(W364="OK",Y364&lt;&gt;"除外"),COUNTIFS($W$5:W364,"OK",$Y$5:Y364,"&lt;&gt;除外"),"")</f>
        <v/>
      </c>
      <c r="AU364" s="34">
        <f>IF(OR(AT364="",AD364=""),"",AD364+ROW()/1000000000)</f>
        <v/>
      </c>
    </row>
    <row r="365">
      <c r="W365">
        <f>IF(AND(A365="",D365=""),"",IF(ISNUMBER(SEARCH("##END",AH365)),"（終わりの印）",IF(ISNUMBER(SEARCH("##続き",AH365)),"（続きありの印）",IF(AH365="調査ID","（見出し行）",IF(AND(AH365&lt;&gt;"R1",AH365&lt;&gt;"R2"),"×表以外の行（集計されない）",IF(COUNTIF($AI$5:AI365,AI365)&gt;1,"△重複（集計されない）",IF(D365="","△タスク名なし",IF(ISNA(MATCH(AK365,'M1_類型マスタ'!$A$5:$A$19,0)),"△類型が不正",IF(OR(AM365="",AN365=""),"△回数・分が読めない",IF(SUMPRODUCT(--ISNUMBER(--O365:U365))&lt;7,"△採点が足りない",IF(SUMPRODUCT((--O365:U365&gt;2)+(--O365:U365&lt;0))&gt;0,"△採点が範囲外","OK")))))))))))</f>
        <v/>
      </c>
      <c r="X365">
        <f>IF(W365&lt;&gt;"OK","",TRIM(IF(AND(AO365&lt;&gt;"",N(AO365)&lt;=1),"根拠1件 ","")&amp;IF(AP365&lt;&gt;"","同名あり ","")&amp;IF(AND(NOT(ISNUMBER(I365)),I365&lt;&gt;""),"回数を換算 ","")))</f>
        <v/>
      </c>
      <c r="Y365" s="31" t="n"/>
      <c r="Z365" s="32" t="n"/>
      <c r="AA365" s="32" t="n"/>
      <c r="AB365" s="31" t="n"/>
      <c r="AC365">
        <f>IF(W365&lt;&gt;"OK","",IF(AB365&lt;&gt;"",AB365,AE365))</f>
        <v/>
      </c>
      <c r="AD365" s="33">
        <f>IF(W365&lt;&gt;"OK","",IFERROR(IF(Z365&lt;&gt;"",Z365,AM365)*IF(AA365&lt;&gt;"",AA365,AN365)/60,""))</f>
        <v/>
      </c>
      <c r="AE365">
        <f>IF(W365&lt;&gt;"OK","",IF(OR(VALUE(O365)=2,VALUE(P365)=2,VALUE(Q365)=2),"社内残置",IF(AND(VALUE(O365)=0,VALUE(R365)=0,VALUE(T365)=0),"自動化候補",IF(AND(VALUE(P365)=0,VALUE(R365)&lt;=1,VALUE(S365)&lt;=1,VALUE(T365)&lt;=1,VALUE(U365)&lt;=1),"オフショア候補",IF(AND(VALUE(T365)&lt;=1,VALUE(U365)&lt;=1),"ニアショア候補","社内で手順化→再評価")))))</f>
        <v/>
      </c>
      <c r="AF365">
        <f>IF(W365&lt;&gt;"OK","",14-SUMPRODUCT(--O365:U365))</f>
        <v/>
      </c>
      <c r="AG365" s="33">
        <f>IF(W365&lt;&gt;"OK","",AM365*AN365/60)</f>
        <v/>
      </c>
      <c r="AH365" s="34">
        <f>IF(A365="","",UPPER(TRIM(ASC(A365&amp;""))))</f>
        <v/>
      </c>
      <c r="AI365" s="34">
        <f>IF(AH365="","",AH365&amp;"-"&amp;B365)</f>
        <v/>
      </c>
      <c r="AJ365" s="34">
        <f>IF(C365="","",IFERROR(VALUE(ASC(SUBSTITUTE(C365&amp;"","観点",""))),""))</f>
        <v/>
      </c>
      <c r="AK365" s="34">
        <f>IF(E365="","",UPPER(LEFT(TRIM(ASC(E365&amp;"")),3)))</f>
        <v/>
      </c>
      <c r="AL365" s="34">
        <f>IF(I365="","",IFERROR(VALUE(SUBSTITUTE(SUBSTITUTE(SUBSTITUTE(SUBSTITUTE(SUBSTITUTE(SUBSTITUTE(SUBSTITUTE(SUBSTITUTE(SUBSTITUTE(SUBSTITUTE(SUBSTITUTE(SUBSTITUTE(ASC(I365&amp;""),"約",""),"程度",""),"ほど",""),"回",""),"毎",""),"週",""),"月",""),"年",""),"日",""),"に",""),"/","")," ","")),""))</f>
        <v/>
      </c>
      <c r="AM365" s="34">
        <f>IF(I365="","",IF(ISNUMBER(I365),I365,IFERROR(VALUE(ASC(I365&amp;"")),IF(AL365&lt;&gt;"",AL365*IF(ISNUMBER(SEARCH("週",I365)),4.3,IF(ISNUMBER(SEARCH("年",I365)),1/12,IF(ISNUMBER(SEARCH("日",I365)),20,1))),IF(ISNUMBER(SEARCH("日",I365)),20,IF(ISNUMBER(SEARCH("週",I365)),4.3,IF(ISNUMBER(SEARCH("月",I365)),1,"")))))))</f>
        <v/>
      </c>
      <c r="AN365" s="34">
        <f>IF(J365="","",IF(ISNUMBER(J365),J365,IFERROR(VALUE(ASC(J365&amp;"")),IF(ISNUMBER(SEARCH("時間",J365)),IFERROR(VALUE(SUBSTITUTE(SUBSTITUTE(SUBSTITUTE(SUBSTITUTE(SUBSTITUTE(ASC(J365&amp;""),"約",""),"程度",""),"ほど",""),"時間","")," ",""))*60,""),IFERROR(VALUE(SUBSTITUTE(SUBSTITUTE(SUBSTITUTE(SUBSTITUTE(SUBSTITUTE(ASC(J365&amp;""),"約",""),"程度",""),"ほど",""),"分","")," ","")),"")))))</f>
        <v/>
      </c>
      <c r="AO365" s="34">
        <f>IF(K365="","",IF(ISNUMBER(K365),K365,IFERROR(VALUE(SUBSTITUTE(SUBSTITUTE(SUBSTITUTE(ASC(K365&amp;""),"約",""),"件","")," ","")),"")))</f>
        <v/>
      </c>
      <c r="AP365" s="34">
        <f>IF(W365&lt;&gt;"OK","",IF(COUNTIFS($D$5:$D$404,D365,$W$5:$W$404,"OK")&gt;1,"同名あり",""))</f>
        <v/>
      </c>
      <c r="AQ365" s="35">
        <f>IF(L365="","",IF(ISNUMBER(L365),L365,IFERROR(DATEVALUE(SUBSTITUTE(SUBSTITUTE(ASC(L365&amp;""),"-","/"),".","/")&amp;"/01"),"")))</f>
        <v/>
      </c>
      <c r="AR365" s="35">
        <f>IF(M365="","",IF(ISNUMBER(M365),M365,IFERROR(DATEVALUE(SUBSTITUTE(SUBSTITUTE(ASC(M365&amp;""),"-","/"),".","/")&amp;"/01"),"")))</f>
        <v/>
      </c>
      <c r="AS365" s="34">
        <f>IF(OR(W365&lt;&gt;"OK",AQ365=""),"",IF(AQ365&gt;='01_設定'!$C$26,1,0))</f>
        <v/>
      </c>
      <c r="AT365" s="34">
        <f>IF(AND(W365="OK",Y365&lt;&gt;"除外"),COUNTIFS($W$5:W365,"OK",$Y$5:Y365,"&lt;&gt;除外"),"")</f>
        <v/>
      </c>
      <c r="AU365" s="34">
        <f>IF(OR(AT365="",AD365=""),"",AD365+ROW()/1000000000)</f>
        <v/>
      </c>
    </row>
    <row r="366">
      <c r="W366">
        <f>IF(AND(A366="",D366=""),"",IF(ISNUMBER(SEARCH("##END",AH366)),"（終わりの印）",IF(ISNUMBER(SEARCH("##続き",AH366)),"（続きありの印）",IF(AH366="調査ID","（見出し行）",IF(AND(AH366&lt;&gt;"R1",AH366&lt;&gt;"R2"),"×表以外の行（集計されない）",IF(COUNTIF($AI$5:AI366,AI366)&gt;1,"△重複（集計されない）",IF(D366="","△タスク名なし",IF(ISNA(MATCH(AK366,'M1_類型マスタ'!$A$5:$A$19,0)),"△類型が不正",IF(OR(AM366="",AN366=""),"△回数・分が読めない",IF(SUMPRODUCT(--ISNUMBER(--O366:U366))&lt;7,"△採点が足りない",IF(SUMPRODUCT((--O366:U366&gt;2)+(--O366:U366&lt;0))&gt;0,"△採点が範囲外","OK")))))))))))</f>
        <v/>
      </c>
      <c r="X366">
        <f>IF(W366&lt;&gt;"OK","",TRIM(IF(AND(AO366&lt;&gt;"",N(AO366)&lt;=1),"根拠1件 ","")&amp;IF(AP366&lt;&gt;"","同名あり ","")&amp;IF(AND(NOT(ISNUMBER(I366)),I366&lt;&gt;""),"回数を換算 ","")))</f>
        <v/>
      </c>
      <c r="Y366" s="31" t="n"/>
      <c r="Z366" s="32" t="n"/>
      <c r="AA366" s="32" t="n"/>
      <c r="AB366" s="31" t="n"/>
      <c r="AC366">
        <f>IF(W366&lt;&gt;"OK","",IF(AB366&lt;&gt;"",AB366,AE366))</f>
        <v/>
      </c>
      <c r="AD366" s="33">
        <f>IF(W366&lt;&gt;"OK","",IFERROR(IF(Z366&lt;&gt;"",Z366,AM366)*IF(AA366&lt;&gt;"",AA366,AN366)/60,""))</f>
        <v/>
      </c>
      <c r="AE366">
        <f>IF(W366&lt;&gt;"OK","",IF(OR(VALUE(O366)=2,VALUE(P366)=2,VALUE(Q366)=2),"社内残置",IF(AND(VALUE(O366)=0,VALUE(R366)=0,VALUE(T366)=0),"自動化候補",IF(AND(VALUE(P366)=0,VALUE(R366)&lt;=1,VALUE(S366)&lt;=1,VALUE(T366)&lt;=1,VALUE(U366)&lt;=1),"オフショア候補",IF(AND(VALUE(T366)&lt;=1,VALUE(U366)&lt;=1),"ニアショア候補","社内で手順化→再評価")))))</f>
        <v/>
      </c>
      <c r="AF366">
        <f>IF(W366&lt;&gt;"OK","",14-SUMPRODUCT(--O366:U366))</f>
        <v/>
      </c>
      <c r="AG366" s="33">
        <f>IF(W366&lt;&gt;"OK","",AM366*AN366/60)</f>
        <v/>
      </c>
      <c r="AH366" s="34">
        <f>IF(A366="","",UPPER(TRIM(ASC(A366&amp;""))))</f>
        <v/>
      </c>
      <c r="AI366" s="34">
        <f>IF(AH366="","",AH366&amp;"-"&amp;B366)</f>
        <v/>
      </c>
      <c r="AJ366" s="34">
        <f>IF(C366="","",IFERROR(VALUE(ASC(SUBSTITUTE(C366&amp;"","観点",""))),""))</f>
        <v/>
      </c>
      <c r="AK366" s="34">
        <f>IF(E366="","",UPPER(LEFT(TRIM(ASC(E366&amp;"")),3)))</f>
        <v/>
      </c>
      <c r="AL366" s="34">
        <f>IF(I366="","",IFERROR(VALUE(SUBSTITUTE(SUBSTITUTE(SUBSTITUTE(SUBSTITUTE(SUBSTITUTE(SUBSTITUTE(SUBSTITUTE(SUBSTITUTE(SUBSTITUTE(SUBSTITUTE(SUBSTITUTE(SUBSTITUTE(ASC(I366&amp;""),"約",""),"程度",""),"ほど",""),"回",""),"毎",""),"週",""),"月",""),"年",""),"日",""),"に",""),"/","")," ","")),""))</f>
        <v/>
      </c>
      <c r="AM366" s="34">
        <f>IF(I366="","",IF(ISNUMBER(I366),I366,IFERROR(VALUE(ASC(I366&amp;"")),IF(AL366&lt;&gt;"",AL366*IF(ISNUMBER(SEARCH("週",I366)),4.3,IF(ISNUMBER(SEARCH("年",I366)),1/12,IF(ISNUMBER(SEARCH("日",I366)),20,1))),IF(ISNUMBER(SEARCH("日",I366)),20,IF(ISNUMBER(SEARCH("週",I366)),4.3,IF(ISNUMBER(SEARCH("月",I366)),1,"")))))))</f>
        <v/>
      </c>
      <c r="AN366" s="34">
        <f>IF(J366="","",IF(ISNUMBER(J366),J366,IFERROR(VALUE(ASC(J366&amp;"")),IF(ISNUMBER(SEARCH("時間",J366)),IFERROR(VALUE(SUBSTITUTE(SUBSTITUTE(SUBSTITUTE(SUBSTITUTE(SUBSTITUTE(ASC(J366&amp;""),"約",""),"程度",""),"ほど",""),"時間","")," ",""))*60,""),IFERROR(VALUE(SUBSTITUTE(SUBSTITUTE(SUBSTITUTE(SUBSTITUTE(SUBSTITUTE(ASC(J366&amp;""),"約",""),"程度",""),"ほど",""),"分","")," ","")),"")))))</f>
        <v/>
      </c>
      <c r="AO366" s="34">
        <f>IF(K366="","",IF(ISNUMBER(K366),K366,IFERROR(VALUE(SUBSTITUTE(SUBSTITUTE(SUBSTITUTE(ASC(K366&amp;""),"約",""),"件","")," ","")),"")))</f>
        <v/>
      </c>
      <c r="AP366" s="34">
        <f>IF(W366&lt;&gt;"OK","",IF(COUNTIFS($D$5:$D$404,D366,$W$5:$W$404,"OK")&gt;1,"同名あり",""))</f>
        <v/>
      </c>
      <c r="AQ366" s="35">
        <f>IF(L366="","",IF(ISNUMBER(L366),L366,IFERROR(DATEVALUE(SUBSTITUTE(SUBSTITUTE(ASC(L366&amp;""),"-","/"),".","/")&amp;"/01"),"")))</f>
        <v/>
      </c>
      <c r="AR366" s="35">
        <f>IF(M366="","",IF(ISNUMBER(M366),M366,IFERROR(DATEVALUE(SUBSTITUTE(SUBSTITUTE(ASC(M366&amp;""),"-","/"),".","/")&amp;"/01"),"")))</f>
        <v/>
      </c>
      <c r="AS366" s="34">
        <f>IF(OR(W366&lt;&gt;"OK",AQ366=""),"",IF(AQ366&gt;='01_設定'!$C$26,1,0))</f>
        <v/>
      </c>
      <c r="AT366" s="34">
        <f>IF(AND(W366="OK",Y366&lt;&gt;"除外"),COUNTIFS($W$5:W366,"OK",$Y$5:Y366,"&lt;&gt;除外"),"")</f>
        <v/>
      </c>
      <c r="AU366" s="34">
        <f>IF(OR(AT366="",AD366=""),"",AD366+ROW()/1000000000)</f>
        <v/>
      </c>
    </row>
    <row r="367">
      <c r="W367">
        <f>IF(AND(A367="",D367=""),"",IF(ISNUMBER(SEARCH("##END",AH367)),"（終わりの印）",IF(ISNUMBER(SEARCH("##続き",AH367)),"（続きありの印）",IF(AH367="調査ID","（見出し行）",IF(AND(AH367&lt;&gt;"R1",AH367&lt;&gt;"R2"),"×表以外の行（集計されない）",IF(COUNTIF($AI$5:AI367,AI367)&gt;1,"△重複（集計されない）",IF(D367="","△タスク名なし",IF(ISNA(MATCH(AK367,'M1_類型マスタ'!$A$5:$A$19,0)),"△類型が不正",IF(OR(AM367="",AN367=""),"△回数・分が読めない",IF(SUMPRODUCT(--ISNUMBER(--O367:U367))&lt;7,"△採点が足りない",IF(SUMPRODUCT((--O367:U367&gt;2)+(--O367:U367&lt;0))&gt;0,"△採点が範囲外","OK")))))))))))</f>
        <v/>
      </c>
      <c r="X367">
        <f>IF(W367&lt;&gt;"OK","",TRIM(IF(AND(AO367&lt;&gt;"",N(AO367)&lt;=1),"根拠1件 ","")&amp;IF(AP367&lt;&gt;"","同名あり ","")&amp;IF(AND(NOT(ISNUMBER(I367)),I367&lt;&gt;""),"回数を換算 ","")))</f>
        <v/>
      </c>
      <c r="Y367" s="31" t="n"/>
      <c r="Z367" s="32" t="n"/>
      <c r="AA367" s="32" t="n"/>
      <c r="AB367" s="31" t="n"/>
      <c r="AC367">
        <f>IF(W367&lt;&gt;"OK","",IF(AB367&lt;&gt;"",AB367,AE367))</f>
        <v/>
      </c>
      <c r="AD367" s="33">
        <f>IF(W367&lt;&gt;"OK","",IFERROR(IF(Z367&lt;&gt;"",Z367,AM367)*IF(AA367&lt;&gt;"",AA367,AN367)/60,""))</f>
        <v/>
      </c>
      <c r="AE367">
        <f>IF(W367&lt;&gt;"OK","",IF(OR(VALUE(O367)=2,VALUE(P367)=2,VALUE(Q367)=2),"社内残置",IF(AND(VALUE(O367)=0,VALUE(R367)=0,VALUE(T367)=0),"自動化候補",IF(AND(VALUE(P367)=0,VALUE(R367)&lt;=1,VALUE(S367)&lt;=1,VALUE(T367)&lt;=1,VALUE(U367)&lt;=1),"オフショア候補",IF(AND(VALUE(T367)&lt;=1,VALUE(U367)&lt;=1),"ニアショア候補","社内で手順化→再評価")))))</f>
        <v/>
      </c>
      <c r="AF367">
        <f>IF(W367&lt;&gt;"OK","",14-SUMPRODUCT(--O367:U367))</f>
        <v/>
      </c>
      <c r="AG367" s="33">
        <f>IF(W367&lt;&gt;"OK","",AM367*AN367/60)</f>
        <v/>
      </c>
      <c r="AH367" s="34">
        <f>IF(A367="","",UPPER(TRIM(ASC(A367&amp;""))))</f>
        <v/>
      </c>
      <c r="AI367" s="34">
        <f>IF(AH367="","",AH367&amp;"-"&amp;B367)</f>
        <v/>
      </c>
      <c r="AJ367" s="34">
        <f>IF(C367="","",IFERROR(VALUE(ASC(SUBSTITUTE(C367&amp;"","観点",""))),""))</f>
        <v/>
      </c>
      <c r="AK367" s="34">
        <f>IF(E367="","",UPPER(LEFT(TRIM(ASC(E367&amp;"")),3)))</f>
        <v/>
      </c>
      <c r="AL367" s="34">
        <f>IF(I367="","",IFERROR(VALUE(SUBSTITUTE(SUBSTITUTE(SUBSTITUTE(SUBSTITUTE(SUBSTITUTE(SUBSTITUTE(SUBSTITUTE(SUBSTITUTE(SUBSTITUTE(SUBSTITUTE(SUBSTITUTE(SUBSTITUTE(ASC(I367&amp;""),"約",""),"程度",""),"ほど",""),"回",""),"毎",""),"週",""),"月",""),"年",""),"日",""),"に",""),"/","")," ","")),""))</f>
        <v/>
      </c>
      <c r="AM367" s="34">
        <f>IF(I367="","",IF(ISNUMBER(I367),I367,IFERROR(VALUE(ASC(I367&amp;"")),IF(AL367&lt;&gt;"",AL367*IF(ISNUMBER(SEARCH("週",I367)),4.3,IF(ISNUMBER(SEARCH("年",I367)),1/12,IF(ISNUMBER(SEARCH("日",I367)),20,1))),IF(ISNUMBER(SEARCH("日",I367)),20,IF(ISNUMBER(SEARCH("週",I367)),4.3,IF(ISNUMBER(SEARCH("月",I367)),1,"")))))))</f>
        <v/>
      </c>
      <c r="AN367" s="34">
        <f>IF(J367="","",IF(ISNUMBER(J367),J367,IFERROR(VALUE(ASC(J367&amp;"")),IF(ISNUMBER(SEARCH("時間",J367)),IFERROR(VALUE(SUBSTITUTE(SUBSTITUTE(SUBSTITUTE(SUBSTITUTE(SUBSTITUTE(ASC(J367&amp;""),"約",""),"程度",""),"ほど",""),"時間","")," ",""))*60,""),IFERROR(VALUE(SUBSTITUTE(SUBSTITUTE(SUBSTITUTE(SUBSTITUTE(SUBSTITUTE(ASC(J367&amp;""),"約",""),"程度",""),"ほど",""),"分","")," ","")),"")))))</f>
        <v/>
      </c>
      <c r="AO367" s="34">
        <f>IF(K367="","",IF(ISNUMBER(K367),K367,IFERROR(VALUE(SUBSTITUTE(SUBSTITUTE(SUBSTITUTE(ASC(K367&amp;""),"約",""),"件","")," ","")),"")))</f>
        <v/>
      </c>
      <c r="AP367" s="34">
        <f>IF(W367&lt;&gt;"OK","",IF(COUNTIFS($D$5:$D$404,D367,$W$5:$W$404,"OK")&gt;1,"同名あり",""))</f>
        <v/>
      </c>
      <c r="AQ367" s="35">
        <f>IF(L367="","",IF(ISNUMBER(L367),L367,IFERROR(DATEVALUE(SUBSTITUTE(SUBSTITUTE(ASC(L367&amp;""),"-","/"),".","/")&amp;"/01"),"")))</f>
        <v/>
      </c>
      <c r="AR367" s="35">
        <f>IF(M367="","",IF(ISNUMBER(M367),M367,IFERROR(DATEVALUE(SUBSTITUTE(SUBSTITUTE(ASC(M367&amp;""),"-","/"),".","/")&amp;"/01"),"")))</f>
        <v/>
      </c>
      <c r="AS367" s="34">
        <f>IF(OR(W367&lt;&gt;"OK",AQ367=""),"",IF(AQ367&gt;='01_設定'!$C$26,1,0))</f>
        <v/>
      </c>
      <c r="AT367" s="34">
        <f>IF(AND(W367="OK",Y367&lt;&gt;"除外"),COUNTIFS($W$5:W367,"OK",$Y$5:Y367,"&lt;&gt;除外"),"")</f>
        <v/>
      </c>
      <c r="AU367" s="34">
        <f>IF(OR(AT367="",AD367=""),"",AD367+ROW()/1000000000)</f>
        <v/>
      </c>
    </row>
    <row r="368">
      <c r="W368">
        <f>IF(AND(A368="",D368=""),"",IF(ISNUMBER(SEARCH("##END",AH368)),"（終わりの印）",IF(ISNUMBER(SEARCH("##続き",AH368)),"（続きありの印）",IF(AH368="調査ID","（見出し行）",IF(AND(AH368&lt;&gt;"R1",AH368&lt;&gt;"R2"),"×表以外の行（集計されない）",IF(COUNTIF($AI$5:AI368,AI368)&gt;1,"△重複（集計されない）",IF(D368="","△タスク名なし",IF(ISNA(MATCH(AK368,'M1_類型マスタ'!$A$5:$A$19,0)),"△類型が不正",IF(OR(AM368="",AN368=""),"△回数・分が読めない",IF(SUMPRODUCT(--ISNUMBER(--O368:U368))&lt;7,"△採点が足りない",IF(SUMPRODUCT((--O368:U368&gt;2)+(--O368:U368&lt;0))&gt;0,"△採点が範囲外","OK")))))))))))</f>
        <v/>
      </c>
      <c r="X368">
        <f>IF(W368&lt;&gt;"OK","",TRIM(IF(AND(AO368&lt;&gt;"",N(AO368)&lt;=1),"根拠1件 ","")&amp;IF(AP368&lt;&gt;"","同名あり ","")&amp;IF(AND(NOT(ISNUMBER(I368)),I368&lt;&gt;""),"回数を換算 ","")))</f>
        <v/>
      </c>
      <c r="Y368" s="31" t="n"/>
      <c r="Z368" s="32" t="n"/>
      <c r="AA368" s="32" t="n"/>
      <c r="AB368" s="31" t="n"/>
      <c r="AC368">
        <f>IF(W368&lt;&gt;"OK","",IF(AB368&lt;&gt;"",AB368,AE368))</f>
        <v/>
      </c>
      <c r="AD368" s="33">
        <f>IF(W368&lt;&gt;"OK","",IFERROR(IF(Z368&lt;&gt;"",Z368,AM368)*IF(AA368&lt;&gt;"",AA368,AN368)/60,""))</f>
        <v/>
      </c>
      <c r="AE368">
        <f>IF(W368&lt;&gt;"OK","",IF(OR(VALUE(O368)=2,VALUE(P368)=2,VALUE(Q368)=2),"社内残置",IF(AND(VALUE(O368)=0,VALUE(R368)=0,VALUE(T368)=0),"自動化候補",IF(AND(VALUE(P368)=0,VALUE(R368)&lt;=1,VALUE(S368)&lt;=1,VALUE(T368)&lt;=1,VALUE(U368)&lt;=1),"オフショア候補",IF(AND(VALUE(T368)&lt;=1,VALUE(U368)&lt;=1),"ニアショア候補","社内で手順化→再評価")))))</f>
        <v/>
      </c>
      <c r="AF368">
        <f>IF(W368&lt;&gt;"OK","",14-SUMPRODUCT(--O368:U368))</f>
        <v/>
      </c>
      <c r="AG368" s="33">
        <f>IF(W368&lt;&gt;"OK","",AM368*AN368/60)</f>
        <v/>
      </c>
      <c r="AH368" s="34">
        <f>IF(A368="","",UPPER(TRIM(ASC(A368&amp;""))))</f>
        <v/>
      </c>
      <c r="AI368" s="34">
        <f>IF(AH368="","",AH368&amp;"-"&amp;B368)</f>
        <v/>
      </c>
      <c r="AJ368" s="34">
        <f>IF(C368="","",IFERROR(VALUE(ASC(SUBSTITUTE(C368&amp;"","観点",""))),""))</f>
        <v/>
      </c>
      <c r="AK368" s="34">
        <f>IF(E368="","",UPPER(LEFT(TRIM(ASC(E368&amp;"")),3)))</f>
        <v/>
      </c>
      <c r="AL368" s="34">
        <f>IF(I368="","",IFERROR(VALUE(SUBSTITUTE(SUBSTITUTE(SUBSTITUTE(SUBSTITUTE(SUBSTITUTE(SUBSTITUTE(SUBSTITUTE(SUBSTITUTE(SUBSTITUTE(SUBSTITUTE(SUBSTITUTE(SUBSTITUTE(ASC(I368&amp;""),"約",""),"程度",""),"ほど",""),"回",""),"毎",""),"週",""),"月",""),"年",""),"日",""),"に",""),"/","")," ","")),""))</f>
        <v/>
      </c>
      <c r="AM368" s="34">
        <f>IF(I368="","",IF(ISNUMBER(I368),I368,IFERROR(VALUE(ASC(I368&amp;"")),IF(AL368&lt;&gt;"",AL368*IF(ISNUMBER(SEARCH("週",I368)),4.3,IF(ISNUMBER(SEARCH("年",I368)),1/12,IF(ISNUMBER(SEARCH("日",I368)),20,1))),IF(ISNUMBER(SEARCH("日",I368)),20,IF(ISNUMBER(SEARCH("週",I368)),4.3,IF(ISNUMBER(SEARCH("月",I368)),1,"")))))))</f>
        <v/>
      </c>
      <c r="AN368" s="34">
        <f>IF(J368="","",IF(ISNUMBER(J368),J368,IFERROR(VALUE(ASC(J368&amp;"")),IF(ISNUMBER(SEARCH("時間",J368)),IFERROR(VALUE(SUBSTITUTE(SUBSTITUTE(SUBSTITUTE(SUBSTITUTE(SUBSTITUTE(ASC(J368&amp;""),"約",""),"程度",""),"ほど",""),"時間","")," ",""))*60,""),IFERROR(VALUE(SUBSTITUTE(SUBSTITUTE(SUBSTITUTE(SUBSTITUTE(SUBSTITUTE(ASC(J368&amp;""),"約",""),"程度",""),"ほど",""),"分","")," ","")),"")))))</f>
        <v/>
      </c>
      <c r="AO368" s="34">
        <f>IF(K368="","",IF(ISNUMBER(K368),K368,IFERROR(VALUE(SUBSTITUTE(SUBSTITUTE(SUBSTITUTE(ASC(K368&amp;""),"約",""),"件","")," ","")),"")))</f>
        <v/>
      </c>
      <c r="AP368" s="34">
        <f>IF(W368&lt;&gt;"OK","",IF(COUNTIFS($D$5:$D$404,D368,$W$5:$W$404,"OK")&gt;1,"同名あり",""))</f>
        <v/>
      </c>
      <c r="AQ368" s="35">
        <f>IF(L368="","",IF(ISNUMBER(L368),L368,IFERROR(DATEVALUE(SUBSTITUTE(SUBSTITUTE(ASC(L368&amp;""),"-","/"),".","/")&amp;"/01"),"")))</f>
        <v/>
      </c>
      <c r="AR368" s="35">
        <f>IF(M368="","",IF(ISNUMBER(M368),M368,IFERROR(DATEVALUE(SUBSTITUTE(SUBSTITUTE(ASC(M368&amp;""),"-","/"),".","/")&amp;"/01"),"")))</f>
        <v/>
      </c>
      <c r="AS368" s="34">
        <f>IF(OR(W368&lt;&gt;"OK",AQ368=""),"",IF(AQ368&gt;='01_設定'!$C$26,1,0))</f>
        <v/>
      </c>
      <c r="AT368" s="34">
        <f>IF(AND(W368="OK",Y368&lt;&gt;"除外"),COUNTIFS($W$5:W368,"OK",$Y$5:Y368,"&lt;&gt;除外"),"")</f>
        <v/>
      </c>
      <c r="AU368" s="34">
        <f>IF(OR(AT368="",AD368=""),"",AD368+ROW()/1000000000)</f>
        <v/>
      </c>
    </row>
    <row r="369">
      <c r="W369">
        <f>IF(AND(A369="",D369=""),"",IF(ISNUMBER(SEARCH("##END",AH369)),"（終わりの印）",IF(ISNUMBER(SEARCH("##続き",AH369)),"（続きありの印）",IF(AH369="調査ID","（見出し行）",IF(AND(AH369&lt;&gt;"R1",AH369&lt;&gt;"R2"),"×表以外の行（集計されない）",IF(COUNTIF($AI$5:AI369,AI369)&gt;1,"△重複（集計されない）",IF(D369="","△タスク名なし",IF(ISNA(MATCH(AK369,'M1_類型マスタ'!$A$5:$A$19,0)),"△類型が不正",IF(OR(AM369="",AN369=""),"△回数・分が読めない",IF(SUMPRODUCT(--ISNUMBER(--O369:U369))&lt;7,"△採点が足りない",IF(SUMPRODUCT((--O369:U369&gt;2)+(--O369:U369&lt;0))&gt;0,"△採点が範囲外","OK")))))))))))</f>
        <v/>
      </c>
      <c r="X369">
        <f>IF(W369&lt;&gt;"OK","",TRIM(IF(AND(AO369&lt;&gt;"",N(AO369)&lt;=1),"根拠1件 ","")&amp;IF(AP369&lt;&gt;"","同名あり ","")&amp;IF(AND(NOT(ISNUMBER(I369)),I369&lt;&gt;""),"回数を換算 ","")))</f>
        <v/>
      </c>
      <c r="Y369" s="31" t="n"/>
      <c r="Z369" s="32" t="n"/>
      <c r="AA369" s="32" t="n"/>
      <c r="AB369" s="31" t="n"/>
      <c r="AC369">
        <f>IF(W369&lt;&gt;"OK","",IF(AB369&lt;&gt;"",AB369,AE369))</f>
        <v/>
      </c>
      <c r="AD369" s="33">
        <f>IF(W369&lt;&gt;"OK","",IFERROR(IF(Z369&lt;&gt;"",Z369,AM369)*IF(AA369&lt;&gt;"",AA369,AN369)/60,""))</f>
        <v/>
      </c>
      <c r="AE369">
        <f>IF(W369&lt;&gt;"OK","",IF(OR(VALUE(O369)=2,VALUE(P369)=2,VALUE(Q369)=2),"社内残置",IF(AND(VALUE(O369)=0,VALUE(R369)=0,VALUE(T369)=0),"自動化候補",IF(AND(VALUE(P369)=0,VALUE(R369)&lt;=1,VALUE(S369)&lt;=1,VALUE(T369)&lt;=1,VALUE(U369)&lt;=1),"オフショア候補",IF(AND(VALUE(T369)&lt;=1,VALUE(U369)&lt;=1),"ニアショア候補","社内で手順化→再評価")))))</f>
        <v/>
      </c>
      <c r="AF369">
        <f>IF(W369&lt;&gt;"OK","",14-SUMPRODUCT(--O369:U369))</f>
        <v/>
      </c>
      <c r="AG369" s="33">
        <f>IF(W369&lt;&gt;"OK","",AM369*AN369/60)</f>
        <v/>
      </c>
      <c r="AH369" s="34">
        <f>IF(A369="","",UPPER(TRIM(ASC(A369&amp;""))))</f>
        <v/>
      </c>
      <c r="AI369" s="34">
        <f>IF(AH369="","",AH369&amp;"-"&amp;B369)</f>
        <v/>
      </c>
      <c r="AJ369" s="34">
        <f>IF(C369="","",IFERROR(VALUE(ASC(SUBSTITUTE(C369&amp;"","観点",""))),""))</f>
        <v/>
      </c>
      <c r="AK369" s="34">
        <f>IF(E369="","",UPPER(LEFT(TRIM(ASC(E369&amp;"")),3)))</f>
        <v/>
      </c>
      <c r="AL369" s="34">
        <f>IF(I369="","",IFERROR(VALUE(SUBSTITUTE(SUBSTITUTE(SUBSTITUTE(SUBSTITUTE(SUBSTITUTE(SUBSTITUTE(SUBSTITUTE(SUBSTITUTE(SUBSTITUTE(SUBSTITUTE(SUBSTITUTE(SUBSTITUTE(ASC(I369&amp;""),"約",""),"程度",""),"ほど",""),"回",""),"毎",""),"週",""),"月",""),"年",""),"日",""),"に",""),"/","")," ","")),""))</f>
        <v/>
      </c>
      <c r="AM369" s="34">
        <f>IF(I369="","",IF(ISNUMBER(I369),I369,IFERROR(VALUE(ASC(I369&amp;"")),IF(AL369&lt;&gt;"",AL369*IF(ISNUMBER(SEARCH("週",I369)),4.3,IF(ISNUMBER(SEARCH("年",I369)),1/12,IF(ISNUMBER(SEARCH("日",I369)),20,1))),IF(ISNUMBER(SEARCH("日",I369)),20,IF(ISNUMBER(SEARCH("週",I369)),4.3,IF(ISNUMBER(SEARCH("月",I369)),1,"")))))))</f>
        <v/>
      </c>
      <c r="AN369" s="34">
        <f>IF(J369="","",IF(ISNUMBER(J369),J369,IFERROR(VALUE(ASC(J369&amp;"")),IF(ISNUMBER(SEARCH("時間",J369)),IFERROR(VALUE(SUBSTITUTE(SUBSTITUTE(SUBSTITUTE(SUBSTITUTE(SUBSTITUTE(ASC(J369&amp;""),"約",""),"程度",""),"ほど",""),"時間","")," ",""))*60,""),IFERROR(VALUE(SUBSTITUTE(SUBSTITUTE(SUBSTITUTE(SUBSTITUTE(SUBSTITUTE(ASC(J369&amp;""),"約",""),"程度",""),"ほど",""),"分","")," ","")),"")))))</f>
        <v/>
      </c>
      <c r="AO369" s="34">
        <f>IF(K369="","",IF(ISNUMBER(K369),K369,IFERROR(VALUE(SUBSTITUTE(SUBSTITUTE(SUBSTITUTE(ASC(K369&amp;""),"約",""),"件","")," ","")),"")))</f>
        <v/>
      </c>
      <c r="AP369" s="34">
        <f>IF(W369&lt;&gt;"OK","",IF(COUNTIFS($D$5:$D$404,D369,$W$5:$W$404,"OK")&gt;1,"同名あり",""))</f>
        <v/>
      </c>
      <c r="AQ369" s="35">
        <f>IF(L369="","",IF(ISNUMBER(L369),L369,IFERROR(DATEVALUE(SUBSTITUTE(SUBSTITUTE(ASC(L369&amp;""),"-","/"),".","/")&amp;"/01"),"")))</f>
        <v/>
      </c>
      <c r="AR369" s="35">
        <f>IF(M369="","",IF(ISNUMBER(M369),M369,IFERROR(DATEVALUE(SUBSTITUTE(SUBSTITUTE(ASC(M369&amp;""),"-","/"),".","/")&amp;"/01"),"")))</f>
        <v/>
      </c>
      <c r="AS369" s="34">
        <f>IF(OR(W369&lt;&gt;"OK",AQ369=""),"",IF(AQ369&gt;='01_設定'!$C$26,1,0))</f>
        <v/>
      </c>
      <c r="AT369" s="34">
        <f>IF(AND(W369="OK",Y369&lt;&gt;"除外"),COUNTIFS($W$5:W369,"OK",$Y$5:Y369,"&lt;&gt;除外"),"")</f>
        <v/>
      </c>
      <c r="AU369" s="34">
        <f>IF(OR(AT369="",AD369=""),"",AD369+ROW()/1000000000)</f>
        <v/>
      </c>
    </row>
    <row r="370">
      <c r="W370">
        <f>IF(AND(A370="",D370=""),"",IF(ISNUMBER(SEARCH("##END",AH370)),"（終わりの印）",IF(ISNUMBER(SEARCH("##続き",AH370)),"（続きありの印）",IF(AH370="調査ID","（見出し行）",IF(AND(AH370&lt;&gt;"R1",AH370&lt;&gt;"R2"),"×表以外の行（集計されない）",IF(COUNTIF($AI$5:AI370,AI370)&gt;1,"△重複（集計されない）",IF(D370="","△タスク名なし",IF(ISNA(MATCH(AK370,'M1_類型マスタ'!$A$5:$A$19,0)),"△類型が不正",IF(OR(AM370="",AN370=""),"△回数・分が読めない",IF(SUMPRODUCT(--ISNUMBER(--O370:U370))&lt;7,"△採点が足りない",IF(SUMPRODUCT((--O370:U370&gt;2)+(--O370:U370&lt;0))&gt;0,"△採点が範囲外","OK")))))))))))</f>
        <v/>
      </c>
      <c r="X370">
        <f>IF(W370&lt;&gt;"OK","",TRIM(IF(AND(AO370&lt;&gt;"",N(AO370)&lt;=1),"根拠1件 ","")&amp;IF(AP370&lt;&gt;"","同名あり ","")&amp;IF(AND(NOT(ISNUMBER(I370)),I370&lt;&gt;""),"回数を換算 ","")))</f>
        <v/>
      </c>
      <c r="Y370" s="31" t="n"/>
      <c r="Z370" s="32" t="n"/>
      <c r="AA370" s="32" t="n"/>
      <c r="AB370" s="31" t="n"/>
      <c r="AC370">
        <f>IF(W370&lt;&gt;"OK","",IF(AB370&lt;&gt;"",AB370,AE370))</f>
        <v/>
      </c>
      <c r="AD370" s="33">
        <f>IF(W370&lt;&gt;"OK","",IFERROR(IF(Z370&lt;&gt;"",Z370,AM370)*IF(AA370&lt;&gt;"",AA370,AN370)/60,""))</f>
        <v/>
      </c>
      <c r="AE370">
        <f>IF(W370&lt;&gt;"OK","",IF(OR(VALUE(O370)=2,VALUE(P370)=2,VALUE(Q370)=2),"社内残置",IF(AND(VALUE(O370)=0,VALUE(R370)=0,VALUE(T370)=0),"自動化候補",IF(AND(VALUE(P370)=0,VALUE(R370)&lt;=1,VALUE(S370)&lt;=1,VALUE(T370)&lt;=1,VALUE(U370)&lt;=1),"オフショア候補",IF(AND(VALUE(T370)&lt;=1,VALUE(U370)&lt;=1),"ニアショア候補","社内で手順化→再評価")))))</f>
        <v/>
      </c>
      <c r="AF370">
        <f>IF(W370&lt;&gt;"OK","",14-SUMPRODUCT(--O370:U370))</f>
        <v/>
      </c>
      <c r="AG370" s="33">
        <f>IF(W370&lt;&gt;"OK","",AM370*AN370/60)</f>
        <v/>
      </c>
      <c r="AH370" s="34">
        <f>IF(A370="","",UPPER(TRIM(ASC(A370&amp;""))))</f>
        <v/>
      </c>
      <c r="AI370" s="34">
        <f>IF(AH370="","",AH370&amp;"-"&amp;B370)</f>
        <v/>
      </c>
      <c r="AJ370" s="34">
        <f>IF(C370="","",IFERROR(VALUE(ASC(SUBSTITUTE(C370&amp;"","観点",""))),""))</f>
        <v/>
      </c>
      <c r="AK370" s="34">
        <f>IF(E370="","",UPPER(LEFT(TRIM(ASC(E370&amp;"")),3)))</f>
        <v/>
      </c>
      <c r="AL370" s="34">
        <f>IF(I370="","",IFERROR(VALUE(SUBSTITUTE(SUBSTITUTE(SUBSTITUTE(SUBSTITUTE(SUBSTITUTE(SUBSTITUTE(SUBSTITUTE(SUBSTITUTE(SUBSTITUTE(SUBSTITUTE(SUBSTITUTE(SUBSTITUTE(ASC(I370&amp;""),"約",""),"程度",""),"ほど",""),"回",""),"毎",""),"週",""),"月",""),"年",""),"日",""),"に",""),"/","")," ","")),""))</f>
        <v/>
      </c>
      <c r="AM370" s="34">
        <f>IF(I370="","",IF(ISNUMBER(I370),I370,IFERROR(VALUE(ASC(I370&amp;"")),IF(AL370&lt;&gt;"",AL370*IF(ISNUMBER(SEARCH("週",I370)),4.3,IF(ISNUMBER(SEARCH("年",I370)),1/12,IF(ISNUMBER(SEARCH("日",I370)),20,1))),IF(ISNUMBER(SEARCH("日",I370)),20,IF(ISNUMBER(SEARCH("週",I370)),4.3,IF(ISNUMBER(SEARCH("月",I370)),1,"")))))))</f>
        <v/>
      </c>
      <c r="AN370" s="34">
        <f>IF(J370="","",IF(ISNUMBER(J370),J370,IFERROR(VALUE(ASC(J370&amp;"")),IF(ISNUMBER(SEARCH("時間",J370)),IFERROR(VALUE(SUBSTITUTE(SUBSTITUTE(SUBSTITUTE(SUBSTITUTE(SUBSTITUTE(ASC(J370&amp;""),"約",""),"程度",""),"ほど",""),"時間","")," ",""))*60,""),IFERROR(VALUE(SUBSTITUTE(SUBSTITUTE(SUBSTITUTE(SUBSTITUTE(SUBSTITUTE(ASC(J370&amp;""),"約",""),"程度",""),"ほど",""),"分","")," ","")),"")))))</f>
        <v/>
      </c>
      <c r="AO370" s="34">
        <f>IF(K370="","",IF(ISNUMBER(K370),K370,IFERROR(VALUE(SUBSTITUTE(SUBSTITUTE(SUBSTITUTE(ASC(K370&amp;""),"約",""),"件","")," ","")),"")))</f>
        <v/>
      </c>
      <c r="AP370" s="34">
        <f>IF(W370&lt;&gt;"OK","",IF(COUNTIFS($D$5:$D$404,D370,$W$5:$W$404,"OK")&gt;1,"同名あり",""))</f>
        <v/>
      </c>
      <c r="AQ370" s="35">
        <f>IF(L370="","",IF(ISNUMBER(L370),L370,IFERROR(DATEVALUE(SUBSTITUTE(SUBSTITUTE(ASC(L370&amp;""),"-","/"),".","/")&amp;"/01"),"")))</f>
        <v/>
      </c>
      <c r="AR370" s="35">
        <f>IF(M370="","",IF(ISNUMBER(M370),M370,IFERROR(DATEVALUE(SUBSTITUTE(SUBSTITUTE(ASC(M370&amp;""),"-","/"),".","/")&amp;"/01"),"")))</f>
        <v/>
      </c>
      <c r="AS370" s="34">
        <f>IF(OR(W370&lt;&gt;"OK",AQ370=""),"",IF(AQ370&gt;='01_設定'!$C$26,1,0))</f>
        <v/>
      </c>
      <c r="AT370" s="34">
        <f>IF(AND(W370="OK",Y370&lt;&gt;"除外"),COUNTIFS($W$5:W370,"OK",$Y$5:Y370,"&lt;&gt;除外"),"")</f>
        <v/>
      </c>
      <c r="AU370" s="34">
        <f>IF(OR(AT370="",AD370=""),"",AD370+ROW()/1000000000)</f>
        <v/>
      </c>
    </row>
    <row r="371">
      <c r="W371">
        <f>IF(AND(A371="",D371=""),"",IF(ISNUMBER(SEARCH("##END",AH371)),"（終わりの印）",IF(ISNUMBER(SEARCH("##続き",AH371)),"（続きありの印）",IF(AH371="調査ID","（見出し行）",IF(AND(AH371&lt;&gt;"R1",AH371&lt;&gt;"R2"),"×表以外の行（集計されない）",IF(COUNTIF($AI$5:AI371,AI371)&gt;1,"△重複（集計されない）",IF(D371="","△タスク名なし",IF(ISNA(MATCH(AK371,'M1_類型マスタ'!$A$5:$A$19,0)),"△類型が不正",IF(OR(AM371="",AN371=""),"△回数・分が読めない",IF(SUMPRODUCT(--ISNUMBER(--O371:U371))&lt;7,"△採点が足りない",IF(SUMPRODUCT((--O371:U371&gt;2)+(--O371:U371&lt;0))&gt;0,"△採点が範囲外","OK")))))))))))</f>
        <v/>
      </c>
      <c r="X371">
        <f>IF(W371&lt;&gt;"OK","",TRIM(IF(AND(AO371&lt;&gt;"",N(AO371)&lt;=1),"根拠1件 ","")&amp;IF(AP371&lt;&gt;"","同名あり ","")&amp;IF(AND(NOT(ISNUMBER(I371)),I371&lt;&gt;""),"回数を換算 ","")))</f>
        <v/>
      </c>
      <c r="Y371" s="31" t="n"/>
      <c r="Z371" s="32" t="n"/>
      <c r="AA371" s="32" t="n"/>
      <c r="AB371" s="31" t="n"/>
      <c r="AC371">
        <f>IF(W371&lt;&gt;"OK","",IF(AB371&lt;&gt;"",AB371,AE371))</f>
        <v/>
      </c>
      <c r="AD371" s="33">
        <f>IF(W371&lt;&gt;"OK","",IFERROR(IF(Z371&lt;&gt;"",Z371,AM371)*IF(AA371&lt;&gt;"",AA371,AN371)/60,""))</f>
        <v/>
      </c>
      <c r="AE371">
        <f>IF(W371&lt;&gt;"OK","",IF(OR(VALUE(O371)=2,VALUE(P371)=2,VALUE(Q371)=2),"社内残置",IF(AND(VALUE(O371)=0,VALUE(R371)=0,VALUE(T371)=0),"自動化候補",IF(AND(VALUE(P371)=0,VALUE(R371)&lt;=1,VALUE(S371)&lt;=1,VALUE(T371)&lt;=1,VALUE(U371)&lt;=1),"オフショア候補",IF(AND(VALUE(T371)&lt;=1,VALUE(U371)&lt;=1),"ニアショア候補","社内で手順化→再評価")))))</f>
        <v/>
      </c>
      <c r="AF371">
        <f>IF(W371&lt;&gt;"OK","",14-SUMPRODUCT(--O371:U371))</f>
        <v/>
      </c>
      <c r="AG371" s="33">
        <f>IF(W371&lt;&gt;"OK","",AM371*AN371/60)</f>
        <v/>
      </c>
      <c r="AH371" s="34">
        <f>IF(A371="","",UPPER(TRIM(ASC(A371&amp;""))))</f>
        <v/>
      </c>
      <c r="AI371" s="34">
        <f>IF(AH371="","",AH371&amp;"-"&amp;B371)</f>
        <v/>
      </c>
      <c r="AJ371" s="34">
        <f>IF(C371="","",IFERROR(VALUE(ASC(SUBSTITUTE(C371&amp;"","観点",""))),""))</f>
        <v/>
      </c>
      <c r="AK371" s="34">
        <f>IF(E371="","",UPPER(LEFT(TRIM(ASC(E371&amp;"")),3)))</f>
        <v/>
      </c>
      <c r="AL371" s="34">
        <f>IF(I371="","",IFERROR(VALUE(SUBSTITUTE(SUBSTITUTE(SUBSTITUTE(SUBSTITUTE(SUBSTITUTE(SUBSTITUTE(SUBSTITUTE(SUBSTITUTE(SUBSTITUTE(SUBSTITUTE(SUBSTITUTE(SUBSTITUTE(ASC(I371&amp;""),"約",""),"程度",""),"ほど",""),"回",""),"毎",""),"週",""),"月",""),"年",""),"日",""),"に",""),"/","")," ","")),""))</f>
        <v/>
      </c>
      <c r="AM371" s="34">
        <f>IF(I371="","",IF(ISNUMBER(I371),I371,IFERROR(VALUE(ASC(I371&amp;"")),IF(AL371&lt;&gt;"",AL371*IF(ISNUMBER(SEARCH("週",I371)),4.3,IF(ISNUMBER(SEARCH("年",I371)),1/12,IF(ISNUMBER(SEARCH("日",I371)),20,1))),IF(ISNUMBER(SEARCH("日",I371)),20,IF(ISNUMBER(SEARCH("週",I371)),4.3,IF(ISNUMBER(SEARCH("月",I371)),1,"")))))))</f>
        <v/>
      </c>
      <c r="AN371" s="34">
        <f>IF(J371="","",IF(ISNUMBER(J371),J371,IFERROR(VALUE(ASC(J371&amp;"")),IF(ISNUMBER(SEARCH("時間",J371)),IFERROR(VALUE(SUBSTITUTE(SUBSTITUTE(SUBSTITUTE(SUBSTITUTE(SUBSTITUTE(ASC(J371&amp;""),"約",""),"程度",""),"ほど",""),"時間","")," ",""))*60,""),IFERROR(VALUE(SUBSTITUTE(SUBSTITUTE(SUBSTITUTE(SUBSTITUTE(SUBSTITUTE(ASC(J371&amp;""),"約",""),"程度",""),"ほど",""),"分","")," ","")),"")))))</f>
        <v/>
      </c>
      <c r="AO371" s="34">
        <f>IF(K371="","",IF(ISNUMBER(K371),K371,IFERROR(VALUE(SUBSTITUTE(SUBSTITUTE(SUBSTITUTE(ASC(K371&amp;""),"約",""),"件","")," ","")),"")))</f>
        <v/>
      </c>
      <c r="AP371" s="34">
        <f>IF(W371&lt;&gt;"OK","",IF(COUNTIFS($D$5:$D$404,D371,$W$5:$W$404,"OK")&gt;1,"同名あり",""))</f>
        <v/>
      </c>
      <c r="AQ371" s="35">
        <f>IF(L371="","",IF(ISNUMBER(L371),L371,IFERROR(DATEVALUE(SUBSTITUTE(SUBSTITUTE(ASC(L371&amp;""),"-","/"),".","/")&amp;"/01"),"")))</f>
        <v/>
      </c>
      <c r="AR371" s="35">
        <f>IF(M371="","",IF(ISNUMBER(M371),M371,IFERROR(DATEVALUE(SUBSTITUTE(SUBSTITUTE(ASC(M371&amp;""),"-","/"),".","/")&amp;"/01"),"")))</f>
        <v/>
      </c>
      <c r="AS371" s="34">
        <f>IF(OR(W371&lt;&gt;"OK",AQ371=""),"",IF(AQ371&gt;='01_設定'!$C$26,1,0))</f>
        <v/>
      </c>
      <c r="AT371" s="34">
        <f>IF(AND(W371="OK",Y371&lt;&gt;"除外"),COUNTIFS($W$5:W371,"OK",$Y$5:Y371,"&lt;&gt;除外"),"")</f>
        <v/>
      </c>
      <c r="AU371" s="34">
        <f>IF(OR(AT371="",AD371=""),"",AD371+ROW()/1000000000)</f>
        <v/>
      </c>
    </row>
    <row r="372">
      <c r="W372">
        <f>IF(AND(A372="",D372=""),"",IF(ISNUMBER(SEARCH("##END",AH372)),"（終わりの印）",IF(ISNUMBER(SEARCH("##続き",AH372)),"（続きありの印）",IF(AH372="調査ID","（見出し行）",IF(AND(AH372&lt;&gt;"R1",AH372&lt;&gt;"R2"),"×表以外の行（集計されない）",IF(COUNTIF($AI$5:AI372,AI372)&gt;1,"△重複（集計されない）",IF(D372="","△タスク名なし",IF(ISNA(MATCH(AK372,'M1_類型マスタ'!$A$5:$A$19,0)),"△類型が不正",IF(OR(AM372="",AN372=""),"△回数・分が読めない",IF(SUMPRODUCT(--ISNUMBER(--O372:U372))&lt;7,"△採点が足りない",IF(SUMPRODUCT((--O372:U372&gt;2)+(--O372:U372&lt;0))&gt;0,"△採点が範囲外","OK")))))))))))</f>
        <v/>
      </c>
      <c r="X372">
        <f>IF(W372&lt;&gt;"OK","",TRIM(IF(AND(AO372&lt;&gt;"",N(AO372)&lt;=1),"根拠1件 ","")&amp;IF(AP372&lt;&gt;"","同名あり ","")&amp;IF(AND(NOT(ISNUMBER(I372)),I372&lt;&gt;""),"回数を換算 ","")))</f>
        <v/>
      </c>
      <c r="Y372" s="31" t="n"/>
      <c r="Z372" s="32" t="n"/>
      <c r="AA372" s="32" t="n"/>
      <c r="AB372" s="31" t="n"/>
      <c r="AC372">
        <f>IF(W372&lt;&gt;"OK","",IF(AB372&lt;&gt;"",AB372,AE372))</f>
        <v/>
      </c>
      <c r="AD372" s="33">
        <f>IF(W372&lt;&gt;"OK","",IFERROR(IF(Z372&lt;&gt;"",Z372,AM372)*IF(AA372&lt;&gt;"",AA372,AN372)/60,""))</f>
        <v/>
      </c>
      <c r="AE372">
        <f>IF(W372&lt;&gt;"OK","",IF(OR(VALUE(O372)=2,VALUE(P372)=2,VALUE(Q372)=2),"社内残置",IF(AND(VALUE(O372)=0,VALUE(R372)=0,VALUE(T372)=0),"自動化候補",IF(AND(VALUE(P372)=0,VALUE(R372)&lt;=1,VALUE(S372)&lt;=1,VALUE(T372)&lt;=1,VALUE(U372)&lt;=1),"オフショア候補",IF(AND(VALUE(T372)&lt;=1,VALUE(U372)&lt;=1),"ニアショア候補","社内で手順化→再評価")))))</f>
        <v/>
      </c>
      <c r="AF372">
        <f>IF(W372&lt;&gt;"OK","",14-SUMPRODUCT(--O372:U372))</f>
        <v/>
      </c>
      <c r="AG372" s="33">
        <f>IF(W372&lt;&gt;"OK","",AM372*AN372/60)</f>
        <v/>
      </c>
      <c r="AH372" s="34">
        <f>IF(A372="","",UPPER(TRIM(ASC(A372&amp;""))))</f>
        <v/>
      </c>
      <c r="AI372" s="34">
        <f>IF(AH372="","",AH372&amp;"-"&amp;B372)</f>
        <v/>
      </c>
      <c r="AJ372" s="34">
        <f>IF(C372="","",IFERROR(VALUE(ASC(SUBSTITUTE(C372&amp;"","観点",""))),""))</f>
        <v/>
      </c>
      <c r="AK372" s="34">
        <f>IF(E372="","",UPPER(LEFT(TRIM(ASC(E372&amp;"")),3)))</f>
        <v/>
      </c>
      <c r="AL372" s="34">
        <f>IF(I372="","",IFERROR(VALUE(SUBSTITUTE(SUBSTITUTE(SUBSTITUTE(SUBSTITUTE(SUBSTITUTE(SUBSTITUTE(SUBSTITUTE(SUBSTITUTE(SUBSTITUTE(SUBSTITUTE(SUBSTITUTE(SUBSTITUTE(ASC(I372&amp;""),"約",""),"程度",""),"ほど",""),"回",""),"毎",""),"週",""),"月",""),"年",""),"日",""),"に",""),"/","")," ","")),""))</f>
        <v/>
      </c>
      <c r="AM372" s="34">
        <f>IF(I372="","",IF(ISNUMBER(I372),I372,IFERROR(VALUE(ASC(I372&amp;"")),IF(AL372&lt;&gt;"",AL372*IF(ISNUMBER(SEARCH("週",I372)),4.3,IF(ISNUMBER(SEARCH("年",I372)),1/12,IF(ISNUMBER(SEARCH("日",I372)),20,1))),IF(ISNUMBER(SEARCH("日",I372)),20,IF(ISNUMBER(SEARCH("週",I372)),4.3,IF(ISNUMBER(SEARCH("月",I372)),1,"")))))))</f>
        <v/>
      </c>
      <c r="AN372" s="34">
        <f>IF(J372="","",IF(ISNUMBER(J372),J372,IFERROR(VALUE(ASC(J372&amp;"")),IF(ISNUMBER(SEARCH("時間",J372)),IFERROR(VALUE(SUBSTITUTE(SUBSTITUTE(SUBSTITUTE(SUBSTITUTE(SUBSTITUTE(ASC(J372&amp;""),"約",""),"程度",""),"ほど",""),"時間","")," ",""))*60,""),IFERROR(VALUE(SUBSTITUTE(SUBSTITUTE(SUBSTITUTE(SUBSTITUTE(SUBSTITUTE(ASC(J372&amp;""),"約",""),"程度",""),"ほど",""),"分","")," ","")),"")))))</f>
        <v/>
      </c>
      <c r="AO372" s="34">
        <f>IF(K372="","",IF(ISNUMBER(K372),K372,IFERROR(VALUE(SUBSTITUTE(SUBSTITUTE(SUBSTITUTE(ASC(K372&amp;""),"約",""),"件","")," ","")),"")))</f>
        <v/>
      </c>
      <c r="AP372" s="34">
        <f>IF(W372&lt;&gt;"OK","",IF(COUNTIFS($D$5:$D$404,D372,$W$5:$W$404,"OK")&gt;1,"同名あり",""))</f>
        <v/>
      </c>
      <c r="AQ372" s="35">
        <f>IF(L372="","",IF(ISNUMBER(L372),L372,IFERROR(DATEVALUE(SUBSTITUTE(SUBSTITUTE(ASC(L372&amp;""),"-","/"),".","/")&amp;"/01"),"")))</f>
        <v/>
      </c>
      <c r="AR372" s="35">
        <f>IF(M372="","",IF(ISNUMBER(M372),M372,IFERROR(DATEVALUE(SUBSTITUTE(SUBSTITUTE(ASC(M372&amp;""),"-","/"),".","/")&amp;"/01"),"")))</f>
        <v/>
      </c>
      <c r="AS372" s="34">
        <f>IF(OR(W372&lt;&gt;"OK",AQ372=""),"",IF(AQ372&gt;='01_設定'!$C$26,1,0))</f>
        <v/>
      </c>
      <c r="AT372" s="34">
        <f>IF(AND(W372="OK",Y372&lt;&gt;"除外"),COUNTIFS($W$5:W372,"OK",$Y$5:Y372,"&lt;&gt;除外"),"")</f>
        <v/>
      </c>
      <c r="AU372" s="34">
        <f>IF(OR(AT372="",AD372=""),"",AD372+ROW()/1000000000)</f>
        <v/>
      </c>
    </row>
    <row r="373">
      <c r="W373">
        <f>IF(AND(A373="",D373=""),"",IF(ISNUMBER(SEARCH("##END",AH373)),"（終わりの印）",IF(ISNUMBER(SEARCH("##続き",AH373)),"（続きありの印）",IF(AH373="調査ID","（見出し行）",IF(AND(AH373&lt;&gt;"R1",AH373&lt;&gt;"R2"),"×表以外の行（集計されない）",IF(COUNTIF($AI$5:AI373,AI373)&gt;1,"△重複（集計されない）",IF(D373="","△タスク名なし",IF(ISNA(MATCH(AK373,'M1_類型マスタ'!$A$5:$A$19,0)),"△類型が不正",IF(OR(AM373="",AN373=""),"△回数・分が読めない",IF(SUMPRODUCT(--ISNUMBER(--O373:U373))&lt;7,"△採点が足りない",IF(SUMPRODUCT((--O373:U373&gt;2)+(--O373:U373&lt;0))&gt;0,"△採点が範囲外","OK")))))))))))</f>
        <v/>
      </c>
      <c r="X373">
        <f>IF(W373&lt;&gt;"OK","",TRIM(IF(AND(AO373&lt;&gt;"",N(AO373)&lt;=1),"根拠1件 ","")&amp;IF(AP373&lt;&gt;"","同名あり ","")&amp;IF(AND(NOT(ISNUMBER(I373)),I373&lt;&gt;""),"回数を換算 ","")))</f>
        <v/>
      </c>
      <c r="Y373" s="31" t="n"/>
      <c r="Z373" s="32" t="n"/>
      <c r="AA373" s="32" t="n"/>
      <c r="AB373" s="31" t="n"/>
      <c r="AC373">
        <f>IF(W373&lt;&gt;"OK","",IF(AB373&lt;&gt;"",AB373,AE373))</f>
        <v/>
      </c>
      <c r="AD373" s="33">
        <f>IF(W373&lt;&gt;"OK","",IFERROR(IF(Z373&lt;&gt;"",Z373,AM373)*IF(AA373&lt;&gt;"",AA373,AN373)/60,""))</f>
        <v/>
      </c>
      <c r="AE373">
        <f>IF(W373&lt;&gt;"OK","",IF(OR(VALUE(O373)=2,VALUE(P373)=2,VALUE(Q373)=2),"社内残置",IF(AND(VALUE(O373)=0,VALUE(R373)=0,VALUE(T373)=0),"自動化候補",IF(AND(VALUE(P373)=0,VALUE(R373)&lt;=1,VALUE(S373)&lt;=1,VALUE(T373)&lt;=1,VALUE(U373)&lt;=1),"オフショア候補",IF(AND(VALUE(T373)&lt;=1,VALUE(U373)&lt;=1),"ニアショア候補","社内で手順化→再評価")))))</f>
        <v/>
      </c>
      <c r="AF373">
        <f>IF(W373&lt;&gt;"OK","",14-SUMPRODUCT(--O373:U373))</f>
        <v/>
      </c>
      <c r="AG373" s="33">
        <f>IF(W373&lt;&gt;"OK","",AM373*AN373/60)</f>
        <v/>
      </c>
      <c r="AH373" s="34">
        <f>IF(A373="","",UPPER(TRIM(ASC(A373&amp;""))))</f>
        <v/>
      </c>
      <c r="AI373" s="34">
        <f>IF(AH373="","",AH373&amp;"-"&amp;B373)</f>
        <v/>
      </c>
      <c r="AJ373" s="34">
        <f>IF(C373="","",IFERROR(VALUE(ASC(SUBSTITUTE(C373&amp;"","観点",""))),""))</f>
        <v/>
      </c>
      <c r="AK373" s="34">
        <f>IF(E373="","",UPPER(LEFT(TRIM(ASC(E373&amp;"")),3)))</f>
        <v/>
      </c>
      <c r="AL373" s="34">
        <f>IF(I373="","",IFERROR(VALUE(SUBSTITUTE(SUBSTITUTE(SUBSTITUTE(SUBSTITUTE(SUBSTITUTE(SUBSTITUTE(SUBSTITUTE(SUBSTITUTE(SUBSTITUTE(SUBSTITUTE(SUBSTITUTE(SUBSTITUTE(ASC(I373&amp;""),"約",""),"程度",""),"ほど",""),"回",""),"毎",""),"週",""),"月",""),"年",""),"日",""),"に",""),"/","")," ","")),""))</f>
        <v/>
      </c>
      <c r="AM373" s="34">
        <f>IF(I373="","",IF(ISNUMBER(I373),I373,IFERROR(VALUE(ASC(I373&amp;"")),IF(AL373&lt;&gt;"",AL373*IF(ISNUMBER(SEARCH("週",I373)),4.3,IF(ISNUMBER(SEARCH("年",I373)),1/12,IF(ISNUMBER(SEARCH("日",I373)),20,1))),IF(ISNUMBER(SEARCH("日",I373)),20,IF(ISNUMBER(SEARCH("週",I373)),4.3,IF(ISNUMBER(SEARCH("月",I373)),1,"")))))))</f>
        <v/>
      </c>
      <c r="AN373" s="34">
        <f>IF(J373="","",IF(ISNUMBER(J373),J373,IFERROR(VALUE(ASC(J373&amp;"")),IF(ISNUMBER(SEARCH("時間",J373)),IFERROR(VALUE(SUBSTITUTE(SUBSTITUTE(SUBSTITUTE(SUBSTITUTE(SUBSTITUTE(ASC(J373&amp;""),"約",""),"程度",""),"ほど",""),"時間","")," ",""))*60,""),IFERROR(VALUE(SUBSTITUTE(SUBSTITUTE(SUBSTITUTE(SUBSTITUTE(SUBSTITUTE(ASC(J373&amp;""),"約",""),"程度",""),"ほど",""),"分","")," ","")),"")))))</f>
        <v/>
      </c>
      <c r="AO373" s="34">
        <f>IF(K373="","",IF(ISNUMBER(K373),K373,IFERROR(VALUE(SUBSTITUTE(SUBSTITUTE(SUBSTITUTE(ASC(K373&amp;""),"約",""),"件","")," ","")),"")))</f>
        <v/>
      </c>
      <c r="AP373" s="34">
        <f>IF(W373&lt;&gt;"OK","",IF(COUNTIFS($D$5:$D$404,D373,$W$5:$W$404,"OK")&gt;1,"同名あり",""))</f>
        <v/>
      </c>
      <c r="AQ373" s="35">
        <f>IF(L373="","",IF(ISNUMBER(L373),L373,IFERROR(DATEVALUE(SUBSTITUTE(SUBSTITUTE(ASC(L373&amp;""),"-","/"),".","/")&amp;"/01"),"")))</f>
        <v/>
      </c>
      <c r="AR373" s="35">
        <f>IF(M373="","",IF(ISNUMBER(M373),M373,IFERROR(DATEVALUE(SUBSTITUTE(SUBSTITUTE(ASC(M373&amp;""),"-","/"),".","/")&amp;"/01"),"")))</f>
        <v/>
      </c>
      <c r="AS373" s="34">
        <f>IF(OR(W373&lt;&gt;"OK",AQ373=""),"",IF(AQ373&gt;='01_設定'!$C$26,1,0))</f>
        <v/>
      </c>
      <c r="AT373" s="34">
        <f>IF(AND(W373="OK",Y373&lt;&gt;"除外"),COUNTIFS($W$5:W373,"OK",$Y$5:Y373,"&lt;&gt;除外"),"")</f>
        <v/>
      </c>
      <c r="AU373" s="34">
        <f>IF(OR(AT373="",AD373=""),"",AD373+ROW()/1000000000)</f>
        <v/>
      </c>
    </row>
    <row r="374">
      <c r="W374">
        <f>IF(AND(A374="",D374=""),"",IF(ISNUMBER(SEARCH("##END",AH374)),"（終わりの印）",IF(ISNUMBER(SEARCH("##続き",AH374)),"（続きありの印）",IF(AH374="調査ID","（見出し行）",IF(AND(AH374&lt;&gt;"R1",AH374&lt;&gt;"R2"),"×表以外の行（集計されない）",IF(COUNTIF($AI$5:AI374,AI374)&gt;1,"△重複（集計されない）",IF(D374="","△タスク名なし",IF(ISNA(MATCH(AK374,'M1_類型マスタ'!$A$5:$A$19,0)),"△類型が不正",IF(OR(AM374="",AN374=""),"△回数・分が読めない",IF(SUMPRODUCT(--ISNUMBER(--O374:U374))&lt;7,"△採点が足りない",IF(SUMPRODUCT((--O374:U374&gt;2)+(--O374:U374&lt;0))&gt;0,"△採点が範囲外","OK")))))))))))</f>
        <v/>
      </c>
      <c r="X374">
        <f>IF(W374&lt;&gt;"OK","",TRIM(IF(AND(AO374&lt;&gt;"",N(AO374)&lt;=1),"根拠1件 ","")&amp;IF(AP374&lt;&gt;"","同名あり ","")&amp;IF(AND(NOT(ISNUMBER(I374)),I374&lt;&gt;""),"回数を換算 ","")))</f>
        <v/>
      </c>
      <c r="Y374" s="31" t="n"/>
      <c r="Z374" s="32" t="n"/>
      <c r="AA374" s="32" t="n"/>
      <c r="AB374" s="31" t="n"/>
      <c r="AC374">
        <f>IF(W374&lt;&gt;"OK","",IF(AB374&lt;&gt;"",AB374,AE374))</f>
        <v/>
      </c>
      <c r="AD374" s="33">
        <f>IF(W374&lt;&gt;"OK","",IFERROR(IF(Z374&lt;&gt;"",Z374,AM374)*IF(AA374&lt;&gt;"",AA374,AN374)/60,""))</f>
        <v/>
      </c>
      <c r="AE374">
        <f>IF(W374&lt;&gt;"OK","",IF(OR(VALUE(O374)=2,VALUE(P374)=2,VALUE(Q374)=2),"社内残置",IF(AND(VALUE(O374)=0,VALUE(R374)=0,VALUE(T374)=0),"自動化候補",IF(AND(VALUE(P374)=0,VALUE(R374)&lt;=1,VALUE(S374)&lt;=1,VALUE(T374)&lt;=1,VALUE(U374)&lt;=1),"オフショア候補",IF(AND(VALUE(T374)&lt;=1,VALUE(U374)&lt;=1),"ニアショア候補","社内で手順化→再評価")))))</f>
        <v/>
      </c>
      <c r="AF374">
        <f>IF(W374&lt;&gt;"OK","",14-SUMPRODUCT(--O374:U374))</f>
        <v/>
      </c>
      <c r="AG374" s="33">
        <f>IF(W374&lt;&gt;"OK","",AM374*AN374/60)</f>
        <v/>
      </c>
      <c r="AH374" s="34">
        <f>IF(A374="","",UPPER(TRIM(ASC(A374&amp;""))))</f>
        <v/>
      </c>
      <c r="AI374" s="34">
        <f>IF(AH374="","",AH374&amp;"-"&amp;B374)</f>
        <v/>
      </c>
      <c r="AJ374" s="34">
        <f>IF(C374="","",IFERROR(VALUE(ASC(SUBSTITUTE(C374&amp;"","観点",""))),""))</f>
        <v/>
      </c>
      <c r="AK374" s="34">
        <f>IF(E374="","",UPPER(LEFT(TRIM(ASC(E374&amp;"")),3)))</f>
        <v/>
      </c>
      <c r="AL374" s="34">
        <f>IF(I374="","",IFERROR(VALUE(SUBSTITUTE(SUBSTITUTE(SUBSTITUTE(SUBSTITUTE(SUBSTITUTE(SUBSTITUTE(SUBSTITUTE(SUBSTITUTE(SUBSTITUTE(SUBSTITUTE(SUBSTITUTE(SUBSTITUTE(ASC(I374&amp;""),"約",""),"程度",""),"ほど",""),"回",""),"毎",""),"週",""),"月",""),"年",""),"日",""),"に",""),"/","")," ","")),""))</f>
        <v/>
      </c>
      <c r="AM374" s="34">
        <f>IF(I374="","",IF(ISNUMBER(I374),I374,IFERROR(VALUE(ASC(I374&amp;"")),IF(AL374&lt;&gt;"",AL374*IF(ISNUMBER(SEARCH("週",I374)),4.3,IF(ISNUMBER(SEARCH("年",I374)),1/12,IF(ISNUMBER(SEARCH("日",I374)),20,1))),IF(ISNUMBER(SEARCH("日",I374)),20,IF(ISNUMBER(SEARCH("週",I374)),4.3,IF(ISNUMBER(SEARCH("月",I374)),1,"")))))))</f>
        <v/>
      </c>
      <c r="AN374" s="34">
        <f>IF(J374="","",IF(ISNUMBER(J374),J374,IFERROR(VALUE(ASC(J374&amp;"")),IF(ISNUMBER(SEARCH("時間",J374)),IFERROR(VALUE(SUBSTITUTE(SUBSTITUTE(SUBSTITUTE(SUBSTITUTE(SUBSTITUTE(ASC(J374&amp;""),"約",""),"程度",""),"ほど",""),"時間","")," ",""))*60,""),IFERROR(VALUE(SUBSTITUTE(SUBSTITUTE(SUBSTITUTE(SUBSTITUTE(SUBSTITUTE(ASC(J374&amp;""),"約",""),"程度",""),"ほど",""),"分","")," ","")),"")))))</f>
        <v/>
      </c>
      <c r="AO374" s="34">
        <f>IF(K374="","",IF(ISNUMBER(K374),K374,IFERROR(VALUE(SUBSTITUTE(SUBSTITUTE(SUBSTITUTE(ASC(K374&amp;""),"約",""),"件","")," ","")),"")))</f>
        <v/>
      </c>
      <c r="AP374" s="34">
        <f>IF(W374&lt;&gt;"OK","",IF(COUNTIFS($D$5:$D$404,D374,$W$5:$W$404,"OK")&gt;1,"同名あり",""))</f>
        <v/>
      </c>
      <c r="AQ374" s="35">
        <f>IF(L374="","",IF(ISNUMBER(L374),L374,IFERROR(DATEVALUE(SUBSTITUTE(SUBSTITUTE(ASC(L374&amp;""),"-","/"),".","/")&amp;"/01"),"")))</f>
        <v/>
      </c>
      <c r="AR374" s="35">
        <f>IF(M374="","",IF(ISNUMBER(M374),M374,IFERROR(DATEVALUE(SUBSTITUTE(SUBSTITUTE(ASC(M374&amp;""),"-","/"),".","/")&amp;"/01"),"")))</f>
        <v/>
      </c>
      <c r="AS374" s="34">
        <f>IF(OR(W374&lt;&gt;"OK",AQ374=""),"",IF(AQ374&gt;='01_設定'!$C$26,1,0))</f>
        <v/>
      </c>
      <c r="AT374" s="34">
        <f>IF(AND(W374="OK",Y374&lt;&gt;"除外"),COUNTIFS($W$5:W374,"OK",$Y$5:Y374,"&lt;&gt;除外"),"")</f>
        <v/>
      </c>
      <c r="AU374" s="34">
        <f>IF(OR(AT374="",AD374=""),"",AD374+ROW()/1000000000)</f>
        <v/>
      </c>
    </row>
    <row r="375">
      <c r="W375">
        <f>IF(AND(A375="",D375=""),"",IF(ISNUMBER(SEARCH("##END",AH375)),"（終わりの印）",IF(ISNUMBER(SEARCH("##続き",AH375)),"（続きありの印）",IF(AH375="調査ID","（見出し行）",IF(AND(AH375&lt;&gt;"R1",AH375&lt;&gt;"R2"),"×表以外の行（集計されない）",IF(COUNTIF($AI$5:AI375,AI375)&gt;1,"△重複（集計されない）",IF(D375="","△タスク名なし",IF(ISNA(MATCH(AK375,'M1_類型マスタ'!$A$5:$A$19,0)),"△類型が不正",IF(OR(AM375="",AN375=""),"△回数・分が読めない",IF(SUMPRODUCT(--ISNUMBER(--O375:U375))&lt;7,"△採点が足りない",IF(SUMPRODUCT((--O375:U375&gt;2)+(--O375:U375&lt;0))&gt;0,"△採点が範囲外","OK")))))))))))</f>
        <v/>
      </c>
      <c r="X375">
        <f>IF(W375&lt;&gt;"OK","",TRIM(IF(AND(AO375&lt;&gt;"",N(AO375)&lt;=1),"根拠1件 ","")&amp;IF(AP375&lt;&gt;"","同名あり ","")&amp;IF(AND(NOT(ISNUMBER(I375)),I375&lt;&gt;""),"回数を換算 ","")))</f>
        <v/>
      </c>
      <c r="Y375" s="31" t="n"/>
      <c r="Z375" s="32" t="n"/>
      <c r="AA375" s="32" t="n"/>
      <c r="AB375" s="31" t="n"/>
      <c r="AC375">
        <f>IF(W375&lt;&gt;"OK","",IF(AB375&lt;&gt;"",AB375,AE375))</f>
        <v/>
      </c>
      <c r="AD375" s="33">
        <f>IF(W375&lt;&gt;"OK","",IFERROR(IF(Z375&lt;&gt;"",Z375,AM375)*IF(AA375&lt;&gt;"",AA375,AN375)/60,""))</f>
        <v/>
      </c>
      <c r="AE375">
        <f>IF(W375&lt;&gt;"OK","",IF(OR(VALUE(O375)=2,VALUE(P375)=2,VALUE(Q375)=2),"社内残置",IF(AND(VALUE(O375)=0,VALUE(R375)=0,VALUE(T375)=0),"自動化候補",IF(AND(VALUE(P375)=0,VALUE(R375)&lt;=1,VALUE(S375)&lt;=1,VALUE(T375)&lt;=1,VALUE(U375)&lt;=1),"オフショア候補",IF(AND(VALUE(T375)&lt;=1,VALUE(U375)&lt;=1),"ニアショア候補","社内で手順化→再評価")))))</f>
        <v/>
      </c>
      <c r="AF375">
        <f>IF(W375&lt;&gt;"OK","",14-SUMPRODUCT(--O375:U375))</f>
        <v/>
      </c>
      <c r="AG375" s="33">
        <f>IF(W375&lt;&gt;"OK","",AM375*AN375/60)</f>
        <v/>
      </c>
      <c r="AH375" s="34">
        <f>IF(A375="","",UPPER(TRIM(ASC(A375&amp;""))))</f>
        <v/>
      </c>
      <c r="AI375" s="34">
        <f>IF(AH375="","",AH375&amp;"-"&amp;B375)</f>
        <v/>
      </c>
      <c r="AJ375" s="34">
        <f>IF(C375="","",IFERROR(VALUE(ASC(SUBSTITUTE(C375&amp;"","観点",""))),""))</f>
        <v/>
      </c>
      <c r="AK375" s="34">
        <f>IF(E375="","",UPPER(LEFT(TRIM(ASC(E375&amp;"")),3)))</f>
        <v/>
      </c>
      <c r="AL375" s="34">
        <f>IF(I375="","",IFERROR(VALUE(SUBSTITUTE(SUBSTITUTE(SUBSTITUTE(SUBSTITUTE(SUBSTITUTE(SUBSTITUTE(SUBSTITUTE(SUBSTITUTE(SUBSTITUTE(SUBSTITUTE(SUBSTITUTE(SUBSTITUTE(ASC(I375&amp;""),"約",""),"程度",""),"ほど",""),"回",""),"毎",""),"週",""),"月",""),"年",""),"日",""),"に",""),"/","")," ","")),""))</f>
        <v/>
      </c>
      <c r="AM375" s="34">
        <f>IF(I375="","",IF(ISNUMBER(I375),I375,IFERROR(VALUE(ASC(I375&amp;"")),IF(AL375&lt;&gt;"",AL375*IF(ISNUMBER(SEARCH("週",I375)),4.3,IF(ISNUMBER(SEARCH("年",I375)),1/12,IF(ISNUMBER(SEARCH("日",I375)),20,1))),IF(ISNUMBER(SEARCH("日",I375)),20,IF(ISNUMBER(SEARCH("週",I375)),4.3,IF(ISNUMBER(SEARCH("月",I375)),1,"")))))))</f>
        <v/>
      </c>
      <c r="AN375" s="34">
        <f>IF(J375="","",IF(ISNUMBER(J375),J375,IFERROR(VALUE(ASC(J375&amp;"")),IF(ISNUMBER(SEARCH("時間",J375)),IFERROR(VALUE(SUBSTITUTE(SUBSTITUTE(SUBSTITUTE(SUBSTITUTE(SUBSTITUTE(ASC(J375&amp;""),"約",""),"程度",""),"ほど",""),"時間","")," ",""))*60,""),IFERROR(VALUE(SUBSTITUTE(SUBSTITUTE(SUBSTITUTE(SUBSTITUTE(SUBSTITUTE(ASC(J375&amp;""),"約",""),"程度",""),"ほど",""),"分","")," ","")),"")))))</f>
        <v/>
      </c>
      <c r="AO375" s="34">
        <f>IF(K375="","",IF(ISNUMBER(K375),K375,IFERROR(VALUE(SUBSTITUTE(SUBSTITUTE(SUBSTITUTE(ASC(K375&amp;""),"約",""),"件","")," ","")),"")))</f>
        <v/>
      </c>
      <c r="AP375" s="34">
        <f>IF(W375&lt;&gt;"OK","",IF(COUNTIFS($D$5:$D$404,D375,$W$5:$W$404,"OK")&gt;1,"同名あり",""))</f>
        <v/>
      </c>
      <c r="AQ375" s="35">
        <f>IF(L375="","",IF(ISNUMBER(L375),L375,IFERROR(DATEVALUE(SUBSTITUTE(SUBSTITUTE(ASC(L375&amp;""),"-","/"),".","/")&amp;"/01"),"")))</f>
        <v/>
      </c>
      <c r="AR375" s="35">
        <f>IF(M375="","",IF(ISNUMBER(M375),M375,IFERROR(DATEVALUE(SUBSTITUTE(SUBSTITUTE(ASC(M375&amp;""),"-","/"),".","/")&amp;"/01"),"")))</f>
        <v/>
      </c>
      <c r="AS375" s="34">
        <f>IF(OR(W375&lt;&gt;"OK",AQ375=""),"",IF(AQ375&gt;='01_設定'!$C$26,1,0))</f>
        <v/>
      </c>
      <c r="AT375" s="34">
        <f>IF(AND(W375="OK",Y375&lt;&gt;"除外"),COUNTIFS($W$5:W375,"OK",$Y$5:Y375,"&lt;&gt;除外"),"")</f>
        <v/>
      </c>
      <c r="AU375" s="34">
        <f>IF(OR(AT375="",AD375=""),"",AD375+ROW()/1000000000)</f>
        <v/>
      </c>
    </row>
    <row r="376">
      <c r="W376">
        <f>IF(AND(A376="",D376=""),"",IF(ISNUMBER(SEARCH("##END",AH376)),"（終わりの印）",IF(ISNUMBER(SEARCH("##続き",AH376)),"（続きありの印）",IF(AH376="調査ID","（見出し行）",IF(AND(AH376&lt;&gt;"R1",AH376&lt;&gt;"R2"),"×表以外の行（集計されない）",IF(COUNTIF($AI$5:AI376,AI376)&gt;1,"△重複（集計されない）",IF(D376="","△タスク名なし",IF(ISNA(MATCH(AK376,'M1_類型マスタ'!$A$5:$A$19,0)),"△類型が不正",IF(OR(AM376="",AN376=""),"△回数・分が読めない",IF(SUMPRODUCT(--ISNUMBER(--O376:U376))&lt;7,"△採点が足りない",IF(SUMPRODUCT((--O376:U376&gt;2)+(--O376:U376&lt;0))&gt;0,"△採点が範囲外","OK")))))))))))</f>
        <v/>
      </c>
      <c r="X376">
        <f>IF(W376&lt;&gt;"OK","",TRIM(IF(AND(AO376&lt;&gt;"",N(AO376)&lt;=1),"根拠1件 ","")&amp;IF(AP376&lt;&gt;"","同名あり ","")&amp;IF(AND(NOT(ISNUMBER(I376)),I376&lt;&gt;""),"回数を換算 ","")))</f>
        <v/>
      </c>
      <c r="Y376" s="31" t="n"/>
      <c r="Z376" s="32" t="n"/>
      <c r="AA376" s="32" t="n"/>
      <c r="AB376" s="31" t="n"/>
      <c r="AC376">
        <f>IF(W376&lt;&gt;"OK","",IF(AB376&lt;&gt;"",AB376,AE376))</f>
        <v/>
      </c>
      <c r="AD376" s="33">
        <f>IF(W376&lt;&gt;"OK","",IFERROR(IF(Z376&lt;&gt;"",Z376,AM376)*IF(AA376&lt;&gt;"",AA376,AN376)/60,""))</f>
        <v/>
      </c>
      <c r="AE376">
        <f>IF(W376&lt;&gt;"OK","",IF(OR(VALUE(O376)=2,VALUE(P376)=2,VALUE(Q376)=2),"社内残置",IF(AND(VALUE(O376)=0,VALUE(R376)=0,VALUE(T376)=0),"自動化候補",IF(AND(VALUE(P376)=0,VALUE(R376)&lt;=1,VALUE(S376)&lt;=1,VALUE(T376)&lt;=1,VALUE(U376)&lt;=1),"オフショア候補",IF(AND(VALUE(T376)&lt;=1,VALUE(U376)&lt;=1),"ニアショア候補","社内で手順化→再評価")))))</f>
        <v/>
      </c>
      <c r="AF376">
        <f>IF(W376&lt;&gt;"OK","",14-SUMPRODUCT(--O376:U376))</f>
        <v/>
      </c>
      <c r="AG376" s="33">
        <f>IF(W376&lt;&gt;"OK","",AM376*AN376/60)</f>
        <v/>
      </c>
      <c r="AH376" s="34">
        <f>IF(A376="","",UPPER(TRIM(ASC(A376&amp;""))))</f>
        <v/>
      </c>
      <c r="AI376" s="34">
        <f>IF(AH376="","",AH376&amp;"-"&amp;B376)</f>
        <v/>
      </c>
      <c r="AJ376" s="34">
        <f>IF(C376="","",IFERROR(VALUE(ASC(SUBSTITUTE(C376&amp;"","観点",""))),""))</f>
        <v/>
      </c>
      <c r="AK376" s="34">
        <f>IF(E376="","",UPPER(LEFT(TRIM(ASC(E376&amp;"")),3)))</f>
        <v/>
      </c>
      <c r="AL376" s="34">
        <f>IF(I376="","",IFERROR(VALUE(SUBSTITUTE(SUBSTITUTE(SUBSTITUTE(SUBSTITUTE(SUBSTITUTE(SUBSTITUTE(SUBSTITUTE(SUBSTITUTE(SUBSTITUTE(SUBSTITUTE(SUBSTITUTE(SUBSTITUTE(ASC(I376&amp;""),"約",""),"程度",""),"ほど",""),"回",""),"毎",""),"週",""),"月",""),"年",""),"日",""),"に",""),"/","")," ","")),""))</f>
        <v/>
      </c>
      <c r="AM376" s="34">
        <f>IF(I376="","",IF(ISNUMBER(I376),I376,IFERROR(VALUE(ASC(I376&amp;"")),IF(AL376&lt;&gt;"",AL376*IF(ISNUMBER(SEARCH("週",I376)),4.3,IF(ISNUMBER(SEARCH("年",I376)),1/12,IF(ISNUMBER(SEARCH("日",I376)),20,1))),IF(ISNUMBER(SEARCH("日",I376)),20,IF(ISNUMBER(SEARCH("週",I376)),4.3,IF(ISNUMBER(SEARCH("月",I376)),1,"")))))))</f>
        <v/>
      </c>
      <c r="AN376" s="34">
        <f>IF(J376="","",IF(ISNUMBER(J376),J376,IFERROR(VALUE(ASC(J376&amp;"")),IF(ISNUMBER(SEARCH("時間",J376)),IFERROR(VALUE(SUBSTITUTE(SUBSTITUTE(SUBSTITUTE(SUBSTITUTE(SUBSTITUTE(ASC(J376&amp;""),"約",""),"程度",""),"ほど",""),"時間","")," ",""))*60,""),IFERROR(VALUE(SUBSTITUTE(SUBSTITUTE(SUBSTITUTE(SUBSTITUTE(SUBSTITUTE(ASC(J376&amp;""),"約",""),"程度",""),"ほど",""),"分","")," ","")),"")))))</f>
        <v/>
      </c>
      <c r="AO376" s="34">
        <f>IF(K376="","",IF(ISNUMBER(K376),K376,IFERROR(VALUE(SUBSTITUTE(SUBSTITUTE(SUBSTITUTE(ASC(K376&amp;""),"約",""),"件","")," ","")),"")))</f>
        <v/>
      </c>
      <c r="AP376" s="34">
        <f>IF(W376&lt;&gt;"OK","",IF(COUNTIFS($D$5:$D$404,D376,$W$5:$W$404,"OK")&gt;1,"同名あり",""))</f>
        <v/>
      </c>
      <c r="AQ376" s="35">
        <f>IF(L376="","",IF(ISNUMBER(L376),L376,IFERROR(DATEVALUE(SUBSTITUTE(SUBSTITUTE(ASC(L376&amp;""),"-","/"),".","/")&amp;"/01"),"")))</f>
        <v/>
      </c>
      <c r="AR376" s="35">
        <f>IF(M376="","",IF(ISNUMBER(M376),M376,IFERROR(DATEVALUE(SUBSTITUTE(SUBSTITUTE(ASC(M376&amp;""),"-","/"),".","/")&amp;"/01"),"")))</f>
        <v/>
      </c>
      <c r="AS376" s="34">
        <f>IF(OR(W376&lt;&gt;"OK",AQ376=""),"",IF(AQ376&gt;='01_設定'!$C$26,1,0))</f>
        <v/>
      </c>
      <c r="AT376" s="34">
        <f>IF(AND(W376="OK",Y376&lt;&gt;"除外"),COUNTIFS($W$5:W376,"OK",$Y$5:Y376,"&lt;&gt;除外"),"")</f>
        <v/>
      </c>
      <c r="AU376" s="34">
        <f>IF(OR(AT376="",AD376=""),"",AD376+ROW()/1000000000)</f>
        <v/>
      </c>
    </row>
    <row r="377">
      <c r="W377">
        <f>IF(AND(A377="",D377=""),"",IF(ISNUMBER(SEARCH("##END",AH377)),"（終わりの印）",IF(ISNUMBER(SEARCH("##続き",AH377)),"（続きありの印）",IF(AH377="調査ID","（見出し行）",IF(AND(AH377&lt;&gt;"R1",AH377&lt;&gt;"R2"),"×表以外の行（集計されない）",IF(COUNTIF($AI$5:AI377,AI377)&gt;1,"△重複（集計されない）",IF(D377="","△タスク名なし",IF(ISNA(MATCH(AK377,'M1_類型マスタ'!$A$5:$A$19,0)),"△類型が不正",IF(OR(AM377="",AN377=""),"△回数・分が読めない",IF(SUMPRODUCT(--ISNUMBER(--O377:U377))&lt;7,"△採点が足りない",IF(SUMPRODUCT((--O377:U377&gt;2)+(--O377:U377&lt;0))&gt;0,"△採点が範囲外","OK")))))))))))</f>
        <v/>
      </c>
      <c r="X377">
        <f>IF(W377&lt;&gt;"OK","",TRIM(IF(AND(AO377&lt;&gt;"",N(AO377)&lt;=1),"根拠1件 ","")&amp;IF(AP377&lt;&gt;"","同名あり ","")&amp;IF(AND(NOT(ISNUMBER(I377)),I377&lt;&gt;""),"回数を換算 ","")))</f>
        <v/>
      </c>
      <c r="Y377" s="31" t="n"/>
      <c r="Z377" s="32" t="n"/>
      <c r="AA377" s="32" t="n"/>
      <c r="AB377" s="31" t="n"/>
      <c r="AC377">
        <f>IF(W377&lt;&gt;"OK","",IF(AB377&lt;&gt;"",AB377,AE377))</f>
        <v/>
      </c>
      <c r="AD377" s="33">
        <f>IF(W377&lt;&gt;"OK","",IFERROR(IF(Z377&lt;&gt;"",Z377,AM377)*IF(AA377&lt;&gt;"",AA377,AN377)/60,""))</f>
        <v/>
      </c>
      <c r="AE377">
        <f>IF(W377&lt;&gt;"OK","",IF(OR(VALUE(O377)=2,VALUE(P377)=2,VALUE(Q377)=2),"社内残置",IF(AND(VALUE(O377)=0,VALUE(R377)=0,VALUE(T377)=0),"自動化候補",IF(AND(VALUE(P377)=0,VALUE(R377)&lt;=1,VALUE(S377)&lt;=1,VALUE(T377)&lt;=1,VALUE(U377)&lt;=1),"オフショア候補",IF(AND(VALUE(T377)&lt;=1,VALUE(U377)&lt;=1),"ニアショア候補","社内で手順化→再評価")))))</f>
        <v/>
      </c>
      <c r="AF377">
        <f>IF(W377&lt;&gt;"OK","",14-SUMPRODUCT(--O377:U377))</f>
        <v/>
      </c>
      <c r="AG377" s="33">
        <f>IF(W377&lt;&gt;"OK","",AM377*AN377/60)</f>
        <v/>
      </c>
      <c r="AH377" s="34">
        <f>IF(A377="","",UPPER(TRIM(ASC(A377&amp;""))))</f>
        <v/>
      </c>
      <c r="AI377" s="34">
        <f>IF(AH377="","",AH377&amp;"-"&amp;B377)</f>
        <v/>
      </c>
      <c r="AJ377" s="34">
        <f>IF(C377="","",IFERROR(VALUE(ASC(SUBSTITUTE(C377&amp;"","観点",""))),""))</f>
        <v/>
      </c>
      <c r="AK377" s="34">
        <f>IF(E377="","",UPPER(LEFT(TRIM(ASC(E377&amp;"")),3)))</f>
        <v/>
      </c>
      <c r="AL377" s="34">
        <f>IF(I377="","",IFERROR(VALUE(SUBSTITUTE(SUBSTITUTE(SUBSTITUTE(SUBSTITUTE(SUBSTITUTE(SUBSTITUTE(SUBSTITUTE(SUBSTITUTE(SUBSTITUTE(SUBSTITUTE(SUBSTITUTE(SUBSTITUTE(ASC(I377&amp;""),"約",""),"程度",""),"ほど",""),"回",""),"毎",""),"週",""),"月",""),"年",""),"日",""),"に",""),"/","")," ","")),""))</f>
        <v/>
      </c>
      <c r="AM377" s="34">
        <f>IF(I377="","",IF(ISNUMBER(I377),I377,IFERROR(VALUE(ASC(I377&amp;"")),IF(AL377&lt;&gt;"",AL377*IF(ISNUMBER(SEARCH("週",I377)),4.3,IF(ISNUMBER(SEARCH("年",I377)),1/12,IF(ISNUMBER(SEARCH("日",I377)),20,1))),IF(ISNUMBER(SEARCH("日",I377)),20,IF(ISNUMBER(SEARCH("週",I377)),4.3,IF(ISNUMBER(SEARCH("月",I377)),1,"")))))))</f>
        <v/>
      </c>
      <c r="AN377" s="34">
        <f>IF(J377="","",IF(ISNUMBER(J377),J377,IFERROR(VALUE(ASC(J377&amp;"")),IF(ISNUMBER(SEARCH("時間",J377)),IFERROR(VALUE(SUBSTITUTE(SUBSTITUTE(SUBSTITUTE(SUBSTITUTE(SUBSTITUTE(ASC(J377&amp;""),"約",""),"程度",""),"ほど",""),"時間","")," ",""))*60,""),IFERROR(VALUE(SUBSTITUTE(SUBSTITUTE(SUBSTITUTE(SUBSTITUTE(SUBSTITUTE(ASC(J377&amp;""),"約",""),"程度",""),"ほど",""),"分","")," ","")),"")))))</f>
        <v/>
      </c>
      <c r="AO377" s="34">
        <f>IF(K377="","",IF(ISNUMBER(K377),K377,IFERROR(VALUE(SUBSTITUTE(SUBSTITUTE(SUBSTITUTE(ASC(K377&amp;""),"約",""),"件","")," ","")),"")))</f>
        <v/>
      </c>
      <c r="AP377" s="34">
        <f>IF(W377&lt;&gt;"OK","",IF(COUNTIFS($D$5:$D$404,D377,$W$5:$W$404,"OK")&gt;1,"同名あり",""))</f>
        <v/>
      </c>
      <c r="AQ377" s="35">
        <f>IF(L377="","",IF(ISNUMBER(L377),L377,IFERROR(DATEVALUE(SUBSTITUTE(SUBSTITUTE(ASC(L377&amp;""),"-","/"),".","/")&amp;"/01"),"")))</f>
        <v/>
      </c>
      <c r="AR377" s="35">
        <f>IF(M377="","",IF(ISNUMBER(M377),M377,IFERROR(DATEVALUE(SUBSTITUTE(SUBSTITUTE(ASC(M377&amp;""),"-","/"),".","/")&amp;"/01"),"")))</f>
        <v/>
      </c>
      <c r="AS377" s="34">
        <f>IF(OR(W377&lt;&gt;"OK",AQ377=""),"",IF(AQ377&gt;='01_設定'!$C$26,1,0))</f>
        <v/>
      </c>
      <c r="AT377" s="34">
        <f>IF(AND(W377="OK",Y377&lt;&gt;"除外"),COUNTIFS($W$5:W377,"OK",$Y$5:Y377,"&lt;&gt;除外"),"")</f>
        <v/>
      </c>
      <c r="AU377" s="34">
        <f>IF(OR(AT377="",AD377=""),"",AD377+ROW()/1000000000)</f>
        <v/>
      </c>
    </row>
    <row r="378">
      <c r="W378">
        <f>IF(AND(A378="",D378=""),"",IF(ISNUMBER(SEARCH("##END",AH378)),"（終わりの印）",IF(ISNUMBER(SEARCH("##続き",AH378)),"（続きありの印）",IF(AH378="調査ID","（見出し行）",IF(AND(AH378&lt;&gt;"R1",AH378&lt;&gt;"R2"),"×表以外の行（集計されない）",IF(COUNTIF($AI$5:AI378,AI378)&gt;1,"△重複（集計されない）",IF(D378="","△タスク名なし",IF(ISNA(MATCH(AK378,'M1_類型マスタ'!$A$5:$A$19,0)),"△類型が不正",IF(OR(AM378="",AN378=""),"△回数・分が読めない",IF(SUMPRODUCT(--ISNUMBER(--O378:U378))&lt;7,"△採点が足りない",IF(SUMPRODUCT((--O378:U378&gt;2)+(--O378:U378&lt;0))&gt;0,"△採点が範囲外","OK")))))))))))</f>
        <v/>
      </c>
      <c r="X378">
        <f>IF(W378&lt;&gt;"OK","",TRIM(IF(AND(AO378&lt;&gt;"",N(AO378)&lt;=1),"根拠1件 ","")&amp;IF(AP378&lt;&gt;"","同名あり ","")&amp;IF(AND(NOT(ISNUMBER(I378)),I378&lt;&gt;""),"回数を換算 ","")))</f>
        <v/>
      </c>
      <c r="Y378" s="31" t="n"/>
      <c r="Z378" s="32" t="n"/>
      <c r="AA378" s="32" t="n"/>
      <c r="AB378" s="31" t="n"/>
      <c r="AC378">
        <f>IF(W378&lt;&gt;"OK","",IF(AB378&lt;&gt;"",AB378,AE378))</f>
        <v/>
      </c>
      <c r="AD378" s="33">
        <f>IF(W378&lt;&gt;"OK","",IFERROR(IF(Z378&lt;&gt;"",Z378,AM378)*IF(AA378&lt;&gt;"",AA378,AN378)/60,""))</f>
        <v/>
      </c>
      <c r="AE378">
        <f>IF(W378&lt;&gt;"OK","",IF(OR(VALUE(O378)=2,VALUE(P378)=2,VALUE(Q378)=2),"社内残置",IF(AND(VALUE(O378)=0,VALUE(R378)=0,VALUE(T378)=0),"自動化候補",IF(AND(VALUE(P378)=0,VALUE(R378)&lt;=1,VALUE(S378)&lt;=1,VALUE(T378)&lt;=1,VALUE(U378)&lt;=1),"オフショア候補",IF(AND(VALUE(T378)&lt;=1,VALUE(U378)&lt;=1),"ニアショア候補","社内で手順化→再評価")))))</f>
        <v/>
      </c>
      <c r="AF378">
        <f>IF(W378&lt;&gt;"OK","",14-SUMPRODUCT(--O378:U378))</f>
        <v/>
      </c>
      <c r="AG378" s="33">
        <f>IF(W378&lt;&gt;"OK","",AM378*AN378/60)</f>
        <v/>
      </c>
      <c r="AH378" s="34">
        <f>IF(A378="","",UPPER(TRIM(ASC(A378&amp;""))))</f>
        <v/>
      </c>
      <c r="AI378" s="34">
        <f>IF(AH378="","",AH378&amp;"-"&amp;B378)</f>
        <v/>
      </c>
      <c r="AJ378" s="34">
        <f>IF(C378="","",IFERROR(VALUE(ASC(SUBSTITUTE(C378&amp;"","観点",""))),""))</f>
        <v/>
      </c>
      <c r="AK378" s="34">
        <f>IF(E378="","",UPPER(LEFT(TRIM(ASC(E378&amp;"")),3)))</f>
        <v/>
      </c>
      <c r="AL378" s="34">
        <f>IF(I378="","",IFERROR(VALUE(SUBSTITUTE(SUBSTITUTE(SUBSTITUTE(SUBSTITUTE(SUBSTITUTE(SUBSTITUTE(SUBSTITUTE(SUBSTITUTE(SUBSTITUTE(SUBSTITUTE(SUBSTITUTE(SUBSTITUTE(ASC(I378&amp;""),"約",""),"程度",""),"ほど",""),"回",""),"毎",""),"週",""),"月",""),"年",""),"日",""),"に",""),"/","")," ","")),""))</f>
        <v/>
      </c>
      <c r="AM378" s="34">
        <f>IF(I378="","",IF(ISNUMBER(I378),I378,IFERROR(VALUE(ASC(I378&amp;"")),IF(AL378&lt;&gt;"",AL378*IF(ISNUMBER(SEARCH("週",I378)),4.3,IF(ISNUMBER(SEARCH("年",I378)),1/12,IF(ISNUMBER(SEARCH("日",I378)),20,1))),IF(ISNUMBER(SEARCH("日",I378)),20,IF(ISNUMBER(SEARCH("週",I378)),4.3,IF(ISNUMBER(SEARCH("月",I378)),1,"")))))))</f>
        <v/>
      </c>
      <c r="AN378" s="34">
        <f>IF(J378="","",IF(ISNUMBER(J378),J378,IFERROR(VALUE(ASC(J378&amp;"")),IF(ISNUMBER(SEARCH("時間",J378)),IFERROR(VALUE(SUBSTITUTE(SUBSTITUTE(SUBSTITUTE(SUBSTITUTE(SUBSTITUTE(ASC(J378&amp;""),"約",""),"程度",""),"ほど",""),"時間","")," ",""))*60,""),IFERROR(VALUE(SUBSTITUTE(SUBSTITUTE(SUBSTITUTE(SUBSTITUTE(SUBSTITUTE(ASC(J378&amp;""),"約",""),"程度",""),"ほど",""),"分","")," ","")),"")))))</f>
        <v/>
      </c>
      <c r="AO378" s="34">
        <f>IF(K378="","",IF(ISNUMBER(K378),K378,IFERROR(VALUE(SUBSTITUTE(SUBSTITUTE(SUBSTITUTE(ASC(K378&amp;""),"約",""),"件","")," ","")),"")))</f>
        <v/>
      </c>
      <c r="AP378" s="34">
        <f>IF(W378&lt;&gt;"OK","",IF(COUNTIFS($D$5:$D$404,D378,$W$5:$W$404,"OK")&gt;1,"同名あり",""))</f>
        <v/>
      </c>
      <c r="AQ378" s="35">
        <f>IF(L378="","",IF(ISNUMBER(L378),L378,IFERROR(DATEVALUE(SUBSTITUTE(SUBSTITUTE(ASC(L378&amp;""),"-","/"),".","/")&amp;"/01"),"")))</f>
        <v/>
      </c>
      <c r="AR378" s="35">
        <f>IF(M378="","",IF(ISNUMBER(M378),M378,IFERROR(DATEVALUE(SUBSTITUTE(SUBSTITUTE(ASC(M378&amp;""),"-","/"),".","/")&amp;"/01"),"")))</f>
        <v/>
      </c>
      <c r="AS378" s="34">
        <f>IF(OR(W378&lt;&gt;"OK",AQ378=""),"",IF(AQ378&gt;='01_設定'!$C$26,1,0))</f>
        <v/>
      </c>
      <c r="AT378" s="34">
        <f>IF(AND(W378="OK",Y378&lt;&gt;"除外"),COUNTIFS($W$5:W378,"OK",$Y$5:Y378,"&lt;&gt;除外"),"")</f>
        <v/>
      </c>
      <c r="AU378" s="34">
        <f>IF(OR(AT378="",AD378=""),"",AD378+ROW()/1000000000)</f>
        <v/>
      </c>
    </row>
    <row r="379">
      <c r="W379">
        <f>IF(AND(A379="",D379=""),"",IF(ISNUMBER(SEARCH("##END",AH379)),"（終わりの印）",IF(ISNUMBER(SEARCH("##続き",AH379)),"（続きありの印）",IF(AH379="調査ID","（見出し行）",IF(AND(AH379&lt;&gt;"R1",AH379&lt;&gt;"R2"),"×表以外の行（集計されない）",IF(COUNTIF($AI$5:AI379,AI379)&gt;1,"△重複（集計されない）",IF(D379="","△タスク名なし",IF(ISNA(MATCH(AK379,'M1_類型マスタ'!$A$5:$A$19,0)),"△類型が不正",IF(OR(AM379="",AN379=""),"△回数・分が読めない",IF(SUMPRODUCT(--ISNUMBER(--O379:U379))&lt;7,"△採点が足りない",IF(SUMPRODUCT((--O379:U379&gt;2)+(--O379:U379&lt;0))&gt;0,"△採点が範囲外","OK")))))))))))</f>
        <v/>
      </c>
      <c r="X379">
        <f>IF(W379&lt;&gt;"OK","",TRIM(IF(AND(AO379&lt;&gt;"",N(AO379)&lt;=1),"根拠1件 ","")&amp;IF(AP379&lt;&gt;"","同名あり ","")&amp;IF(AND(NOT(ISNUMBER(I379)),I379&lt;&gt;""),"回数を換算 ","")))</f>
        <v/>
      </c>
      <c r="Y379" s="31" t="n"/>
      <c r="Z379" s="32" t="n"/>
      <c r="AA379" s="32" t="n"/>
      <c r="AB379" s="31" t="n"/>
      <c r="AC379">
        <f>IF(W379&lt;&gt;"OK","",IF(AB379&lt;&gt;"",AB379,AE379))</f>
        <v/>
      </c>
      <c r="AD379" s="33">
        <f>IF(W379&lt;&gt;"OK","",IFERROR(IF(Z379&lt;&gt;"",Z379,AM379)*IF(AA379&lt;&gt;"",AA379,AN379)/60,""))</f>
        <v/>
      </c>
      <c r="AE379">
        <f>IF(W379&lt;&gt;"OK","",IF(OR(VALUE(O379)=2,VALUE(P379)=2,VALUE(Q379)=2),"社内残置",IF(AND(VALUE(O379)=0,VALUE(R379)=0,VALUE(T379)=0),"自動化候補",IF(AND(VALUE(P379)=0,VALUE(R379)&lt;=1,VALUE(S379)&lt;=1,VALUE(T379)&lt;=1,VALUE(U379)&lt;=1),"オフショア候補",IF(AND(VALUE(T379)&lt;=1,VALUE(U379)&lt;=1),"ニアショア候補","社内で手順化→再評価")))))</f>
        <v/>
      </c>
      <c r="AF379">
        <f>IF(W379&lt;&gt;"OK","",14-SUMPRODUCT(--O379:U379))</f>
        <v/>
      </c>
      <c r="AG379" s="33">
        <f>IF(W379&lt;&gt;"OK","",AM379*AN379/60)</f>
        <v/>
      </c>
      <c r="AH379" s="34">
        <f>IF(A379="","",UPPER(TRIM(ASC(A379&amp;""))))</f>
        <v/>
      </c>
      <c r="AI379" s="34">
        <f>IF(AH379="","",AH379&amp;"-"&amp;B379)</f>
        <v/>
      </c>
      <c r="AJ379" s="34">
        <f>IF(C379="","",IFERROR(VALUE(ASC(SUBSTITUTE(C379&amp;"","観点",""))),""))</f>
        <v/>
      </c>
      <c r="AK379" s="34">
        <f>IF(E379="","",UPPER(LEFT(TRIM(ASC(E379&amp;"")),3)))</f>
        <v/>
      </c>
      <c r="AL379" s="34">
        <f>IF(I379="","",IFERROR(VALUE(SUBSTITUTE(SUBSTITUTE(SUBSTITUTE(SUBSTITUTE(SUBSTITUTE(SUBSTITUTE(SUBSTITUTE(SUBSTITUTE(SUBSTITUTE(SUBSTITUTE(SUBSTITUTE(SUBSTITUTE(ASC(I379&amp;""),"約",""),"程度",""),"ほど",""),"回",""),"毎",""),"週",""),"月",""),"年",""),"日",""),"に",""),"/","")," ","")),""))</f>
        <v/>
      </c>
      <c r="AM379" s="34">
        <f>IF(I379="","",IF(ISNUMBER(I379),I379,IFERROR(VALUE(ASC(I379&amp;"")),IF(AL379&lt;&gt;"",AL379*IF(ISNUMBER(SEARCH("週",I379)),4.3,IF(ISNUMBER(SEARCH("年",I379)),1/12,IF(ISNUMBER(SEARCH("日",I379)),20,1))),IF(ISNUMBER(SEARCH("日",I379)),20,IF(ISNUMBER(SEARCH("週",I379)),4.3,IF(ISNUMBER(SEARCH("月",I379)),1,"")))))))</f>
        <v/>
      </c>
      <c r="AN379" s="34">
        <f>IF(J379="","",IF(ISNUMBER(J379),J379,IFERROR(VALUE(ASC(J379&amp;"")),IF(ISNUMBER(SEARCH("時間",J379)),IFERROR(VALUE(SUBSTITUTE(SUBSTITUTE(SUBSTITUTE(SUBSTITUTE(SUBSTITUTE(ASC(J379&amp;""),"約",""),"程度",""),"ほど",""),"時間","")," ",""))*60,""),IFERROR(VALUE(SUBSTITUTE(SUBSTITUTE(SUBSTITUTE(SUBSTITUTE(SUBSTITUTE(ASC(J379&amp;""),"約",""),"程度",""),"ほど",""),"分","")," ","")),"")))))</f>
        <v/>
      </c>
      <c r="AO379" s="34">
        <f>IF(K379="","",IF(ISNUMBER(K379),K379,IFERROR(VALUE(SUBSTITUTE(SUBSTITUTE(SUBSTITUTE(ASC(K379&amp;""),"約",""),"件","")," ","")),"")))</f>
        <v/>
      </c>
      <c r="AP379" s="34">
        <f>IF(W379&lt;&gt;"OK","",IF(COUNTIFS($D$5:$D$404,D379,$W$5:$W$404,"OK")&gt;1,"同名あり",""))</f>
        <v/>
      </c>
      <c r="AQ379" s="35">
        <f>IF(L379="","",IF(ISNUMBER(L379),L379,IFERROR(DATEVALUE(SUBSTITUTE(SUBSTITUTE(ASC(L379&amp;""),"-","/"),".","/")&amp;"/01"),"")))</f>
        <v/>
      </c>
      <c r="AR379" s="35">
        <f>IF(M379="","",IF(ISNUMBER(M379),M379,IFERROR(DATEVALUE(SUBSTITUTE(SUBSTITUTE(ASC(M379&amp;""),"-","/"),".","/")&amp;"/01"),"")))</f>
        <v/>
      </c>
      <c r="AS379" s="34">
        <f>IF(OR(W379&lt;&gt;"OK",AQ379=""),"",IF(AQ379&gt;='01_設定'!$C$26,1,0))</f>
        <v/>
      </c>
      <c r="AT379" s="34">
        <f>IF(AND(W379="OK",Y379&lt;&gt;"除外"),COUNTIFS($W$5:W379,"OK",$Y$5:Y379,"&lt;&gt;除外"),"")</f>
        <v/>
      </c>
      <c r="AU379" s="34">
        <f>IF(OR(AT379="",AD379=""),"",AD379+ROW()/1000000000)</f>
        <v/>
      </c>
    </row>
    <row r="380">
      <c r="W380">
        <f>IF(AND(A380="",D380=""),"",IF(ISNUMBER(SEARCH("##END",AH380)),"（終わりの印）",IF(ISNUMBER(SEARCH("##続き",AH380)),"（続きありの印）",IF(AH380="調査ID","（見出し行）",IF(AND(AH380&lt;&gt;"R1",AH380&lt;&gt;"R2"),"×表以外の行（集計されない）",IF(COUNTIF($AI$5:AI380,AI380)&gt;1,"△重複（集計されない）",IF(D380="","△タスク名なし",IF(ISNA(MATCH(AK380,'M1_類型マスタ'!$A$5:$A$19,0)),"△類型が不正",IF(OR(AM380="",AN380=""),"△回数・分が読めない",IF(SUMPRODUCT(--ISNUMBER(--O380:U380))&lt;7,"△採点が足りない",IF(SUMPRODUCT((--O380:U380&gt;2)+(--O380:U380&lt;0))&gt;0,"△採点が範囲外","OK")))))))))))</f>
        <v/>
      </c>
      <c r="X380">
        <f>IF(W380&lt;&gt;"OK","",TRIM(IF(AND(AO380&lt;&gt;"",N(AO380)&lt;=1),"根拠1件 ","")&amp;IF(AP380&lt;&gt;"","同名あり ","")&amp;IF(AND(NOT(ISNUMBER(I380)),I380&lt;&gt;""),"回数を換算 ","")))</f>
        <v/>
      </c>
      <c r="Y380" s="31" t="n"/>
      <c r="Z380" s="32" t="n"/>
      <c r="AA380" s="32" t="n"/>
      <c r="AB380" s="31" t="n"/>
      <c r="AC380">
        <f>IF(W380&lt;&gt;"OK","",IF(AB380&lt;&gt;"",AB380,AE380))</f>
        <v/>
      </c>
      <c r="AD380" s="33">
        <f>IF(W380&lt;&gt;"OK","",IFERROR(IF(Z380&lt;&gt;"",Z380,AM380)*IF(AA380&lt;&gt;"",AA380,AN380)/60,""))</f>
        <v/>
      </c>
      <c r="AE380">
        <f>IF(W380&lt;&gt;"OK","",IF(OR(VALUE(O380)=2,VALUE(P380)=2,VALUE(Q380)=2),"社内残置",IF(AND(VALUE(O380)=0,VALUE(R380)=0,VALUE(T380)=0),"自動化候補",IF(AND(VALUE(P380)=0,VALUE(R380)&lt;=1,VALUE(S380)&lt;=1,VALUE(T380)&lt;=1,VALUE(U380)&lt;=1),"オフショア候補",IF(AND(VALUE(T380)&lt;=1,VALUE(U380)&lt;=1),"ニアショア候補","社内で手順化→再評価")))))</f>
        <v/>
      </c>
      <c r="AF380">
        <f>IF(W380&lt;&gt;"OK","",14-SUMPRODUCT(--O380:U380))</f>
        <v/>
      </c>
      <c r="AG380" s="33">
        <f>IF(W380&lt;&gt;"OK","",AM380*AN380/60)</f>
        <v/>
      </c>
      <c r="AH380" s="34">
        <f>IF(A380="","",UPPER(TRIM(ASC(A380&amp;""))))</f>
        <v/>
      </c>
      <c r="AI380" s="34">
        <f>IF(AH380="","",AH380&amp;"-"&amp;B380)</f>
        <v/>
      </c>
      <c r="AJ380" s="34">
        <f>IF(C380="","",IFERROR(VALUE(ASC(SUBSTITUTE(C380&amp;"","観点",""))),""))</f>
        <v/>
      </c>
      <c r="AK380" s="34">
        <f>IF(E380="","",UPPER(LEFT(TRIM(ASC(E380&amp;"")),3)))</f>
        <v/>
      </c>
      <c r="AL380" s="34">
        <f>IF(I380="","",IFERROR(VALUE(SUBSTITUTE(SUBSTITUTE(SUBSTITUTE(SUBSTITUTE(SUBSTITUTE(SUBSTITUTE(SUBSTITUTE(SUBSTITUTE(SUBSTITUTE(SUBSTITUTE(SUBSTITUTE(SUBSTITUTE(ASC(I380&amp;""),"約",""),"程度",""),"ほど",""),"回",""),"毎",""),"週",""),"月",""),"年",""),"日",""),"に",""),"/","")," ","")),""))</f>
        <v/>
      </c>
      <c r="AM380" s="34">
        <f>IF(I380="","",IF(ISNUMBER(I380),I380,IFERROR(VALUE(ASC(I380&amp;"")),IF(AL380&lt;&gt;"",AL380*IF(ISNUMBER(SEARCH("週",I380)),4.3,IF(ISNUMBER(SEARCH("年",I380)),1/12,IF(ISNUMBER(SEARCH("日",I380)),20,1))),IF(ISNUMBER(SEARCH("日",I380)),20,IF(ISNUMBER(SEARCH("週",I380)),4.3,IF(ISNUMBER(SEARCH("月",I380)),1,"")))))))</f>
        <v/>
      </c>
      <c r="AN380" s="34">
        <f>IF(J380="","",IF(ISNUMBER(J380),J380,IFERROR(VALUE(ASC(J380&amp;"")),IF(ISNUMBER(SEARCH("時間",J380)),IFERROR(VALUE(SUBSTITUTE(SUBSTITUTE(SUBSTITUTE(SUBSTITUTE(SUBSTITUTE(ASC(J380&amp;""),"約",""),"程度",""),"ほど",""),"時間","")," ",""))*60,""),IFERROR(VALUE(SUBSTITUTE(SUBSTITUTE(SUBSTITUTE(SUBSTITUTE(SUBSTITUTE(ASC(J380&amp;""),"約",""),"程度",""),"ほど",""),"分","")," ","")),"")))))</f>
        <v/>
      </c>
      <c r="AO380" s="34">
        <f>IF(K380="","",IF(ISNUMBER(K380),K380,IFERROR(VALUE(SUBSTITUTE(SUBSTITUTE(SUBSTITUTE(ASC(K380&amp;""),"約",""),"件","")," ","")),"")))</f>
        <v/>
      </c>
      <c r="AP380" s="34">
        <f>IF(W380&lt;&gt;"OK","",IF(COUNTIFS($D$5:$D$404,D380,$W$5:$W$404,"OK")&gt;1,"同名あり",""))</f>
        <v/>
      </c>
      <c r="AQ380" s="35">
        <f>IF(L380="","",IF(ISNUMBER(L380),L380,IFERROR(DATEVALUE(SUBSTITUTE(SUBSTITUTE(ASC(L380&amp;""),"-","/"),".","/")&amp;"/01"),"")))</f>
        <v/>
      </c>
      <c r="AR380" s="35">
        <f>IF(M380="","",IF(ISNUMBER(M380),M380,IFERROR(DATEVALUE(SUBSTITUTE(SUBSTITUTE(ASC(M380&amp;""),"-","/"),".","/")&amp;"/01"),"")))</f>
        <v/>
      </c>
      <c r="AS380" s="34">
        <f>IF(OR(W380&lt;&gt;"OK",AQ380=""),"",IF(AQ380&gt;='01_設定'!$C$26,1,0))</f>
        <v/>
      </c>
      <c r="AT380" s="34">
        <f>IF(AND(W380="OK",Y380&lt;&gt;"除外"),COUNTIFS($W$5:W380,"OK",$Y$5:Y380,"&lt;&gt;除外"),"")</f>
        <v/>
      </c>
      <c r="AU380" s="34">
        <f>IF(OR(AT380="",AD380=""),"",AD380+ROW()/1000000000)</f>
        <v/>
      </c>
    </row>
    <row r="381">
      <c r="W381">
        <f>IF(AND(A381="",D381=""),"",IF(ISNUMBER(SEARCH("##END",AH381)),"（終わりの印）",IF(ISNUMBER(SEARCH("##続き",AH381)),"（続きありの印）",IF(AH381="調査ID","（見出し行）",IF(AND(AH381&lt;&gt;"R1",AH381&lt;&gt;"R2"),"×表以外の行（集計されない）",IF(COUNTIF($AI$5:AI381,AI381)&gt;1,"△重複（集計されない）",IF(D381="","△タスク名なし",IF(ISNA(MATCH(AK381,'M1_類型マスタ'!$A$5:$A$19,0)),"△類型が不正",IF(OR(AM381="",AN381=""),"△回数・分が読めない",IF(SUMPRODUCT(--ISNUMBER(--O381:U381))&lt;7,"△採点が足りない",IF(SUMPRODUCT((--O381:U381&gt;2)+(--O381:U381&lt;0))&gt;0,"△採点が範囲外","OK")))))))))))</f>
        <v/>
      </c>
      <c r="X381">
        <f>IF(W381&lt;&gt;"OK","",TRIM(IF(AND(AO381&lt;&gt;"",N(AO381)&lt;=1),"根拠1件 ","")&amp;IF(AP381&lt;&gt;"","同名あり ","")&amp;IF(AND(NOT(ISNUMBER(I381)),I381&lt;&gt;""),"回数を換算 ","")))</f>
        <v/>
      </c>
      <c r="Y381" s="31" t="n"/>
      <c r="Z381" s="32" t="n"/>
      <c r="AA381" s="32" t="n"/>
      <c r="AB381" s="31" t="n"/>
      <c r="AC381">
        <f>IF(W381&lt;&gt;"OK","",IF(AB381&lt;&gt;"",AB381,AE381))</f>
        <v/>
      </c>
      <c r="AD381" s="33">
        <f>IF(W381&lt;&gt;"OK","",IFERROR(IF(Z381&lt;&gt;"",Z381,AM381)*IF(AA381&lt;&gt;"",AA381,AN381)/60,""))</f>
        <v/>
      </c>
      <c r="AE381">
        <f>IF(W381&lt;&gt;"OK","",IF(OR(VALUE(O381)=2,VALUE(P381)=2,VALUE(Q381)=2),"社内残置",IF(AND(VALUE(O381)=0,VALUE(R381)=0,VALUE(T381)=0),"自動化候補",IF(AND(VALUE(P381)=0,VALUE(R381)&lt;=1,VALUE(S381)&lt;=1,VALUE(T381)&lt;=1,VALUE(U381)&lt;=1),"オフショア候補",IF(AND(VALUE(T381)&lt;=1,VALUE(U381)&lt;=1),"ニアショア候補","社内で手順化→再評価")))))</f>
        <v/>
      </c>
      <c r="AF381">
        <f>IF(W381&lt;&gt;"OK","",14-SUMPRODUCT(--O381:U381))</f>
        <v/>
      </c>
      <c r="AG381" s="33">
        <f>IF(W381&lt;&gt;"OK","",AM381*AN381/60)</f>
        <v/>
      </c>
      <c r="AH381" s="34">
        <f>IF(A381="","",UPPER(TRIM(ASC(A381&amp;""))))</f>
        <v/>
      </c>
      <c r="AI381" s="34">
        <f>IF(AH381="","",AH381&amp;"-"&amp;B381)</f>
        <v/>
      </c>
      <c r="AJ381" s="34">
        <f>IF(C381="","",IFERROR(VALUE(ASC(SUBSTITUTE(C381&amp;"","観点",""))),""))</f>
        <v/>
      </c>
      <c r="AK381" s="34">
        <f>IF(E381="","",UPPER(LEFT(TRIM(ASC(E381&amp;"")),3)))</f>
        <v/>
      </c>
      <c r="AL381" s="34">
        <f>IF(I381="","",IFERROR(VALUE(SUBSTITUTE(SUBSTITUTE(SUBSTITUTE(SUBSTITUTE(SUBSTITUTE(SUBSTITUTE(SUBSTITUTE(SUBSTITUTE(SUBSTITUTE(SUBSTITUTE(SUBSTITUTE(SUBSTITUTE(ASC(I381&amp;""),"約",""),"程度",""),"ほど",""),"回",""),"毎",""),"週",""),"月",""),"年",""),"日",""),"に",""),"/","")," ","")),""))</f>
        <v/>
      </c>
      <c r="AM381" s="34">
        <f>IF(I381="","",IF(ISNUMBER(I381),I381,IFERROR(VALUE(ASC(I381&amp;"")),IF(AL381&lt;&gt;"",AL381*IF(ISNUMBER(SEARCH("週",I381)),4.3,IF(ISNUMBER(SEARCH("年",I381)),1/12,IF(ISNUMBER(SEARCH("日",I381)),20,1))),IF(ISNUMBER(SEARCH("日",I381)),20,IF(ISNUMBER(SEARCH("週",I381)),4.3,IF(ISNUMBER(SEARCH("月",I381)),1,"")))))))</f>
        <v/>
      </c>
      <c r="AN381" s="34">
        <f>IF(J381="","",IF(ISNUMBER(J381),J381,IFERROR(VALUE(ASC(J381&amp;"")),IF(ISNUMBER(SEARCH("時間",J381)),IFERROR(VALUE(SUBSTITUTE(SUBSTITUTE(SUBSTITUTE(SUBSTITUTE(SUBSTITUTE(ASC(J381&amp;""),"約",""),"程度",""),"ほど",""),"時間","")," ",""))*60,""),IFERROR(VALUE(SUBSTITUTE(SUBSTITUTE(SUBSTITUTE(SUBSTITUTE(SUBSTITUTE(ASC(J381&amp;""),"約",""),"程度",""),"ほど",""),"分","")," ","")),"")))))</f>
        <v/>
      </c>
      <c r="AO381" s="34">
        <f>IF(K381="","",IF(ISNUMBER(K381),K381,IFERROR(VALUE(SUBSTITUTE(SUBSTITUTE(SUBSTITUTE(ASC(K381&amp;""),"約",""),"件","")," ","")),"")))</f>
        <v/>
      </c>
      <c r="AP381" s="34">
        <f>IF(W381&lt;&gt;"OK","",IF(COUNTIFS($D$5:$D$404,D381,$W$5:$W$404,"OK")&gt;1,"同名あり",""))</f>
        <v/>
      </c>
      <c r="AQ381" s="35">
        <f>IF(L381="","",IF(ISNUMBER(L381),L381,IFERROR(DATEVALUE(SUBSTITUTE(SUBSTITUTE(ASC(L381&amp;""),"-","/"),".","/")&amp;"/01"),"")))</f>
        <v/>
      </c>
      <c r="AR381" s="35">
        <f>IF(M381="","",IF(ISNUMBER(M381),M381,IFERROR(DATEVALUE(SUBSTITUTE(SUBSTITUTE(ASC(M381&amp;""),"-","/"),".","/")&amp;"/01"),"")))</f>
        <v/>
      </c>
      <c r="AS381" s="34">
        <f>IF(OR(W381&lt;&gt;"OK",AQ381=""),"",IF(AQ381&gt;='01_設定'!$C$26,1,0))</f>
        <v/>
      </c>
      <c r="AT381" s="34">
        <f>IF(AND(W381="OK",Y381&lt;&gt;"除外"),COUNTIFS($W$5:W381,"OK",$Y$5:Y381,"&lt;&gt;除外"),"")</f>
        <v/>
      </c>
      <c r="AU381" s="34">
        <f>IF(OR(AT381="",AD381=""),"",AD381+ROW()/1000000000)</f>
        <v/>
      </c>
    </row>
    <row r="382">
      <c r="W382">
        <f>IF(AND(A382="",D382=""),"",IF(ISNUMBER(SEARCH("##END",AH382)),"（終わりの印）",IF(ISNUMBER(SEARCH("##続き",AH382)),"（続きありの印）",IF(AH382="調査ID","（見出し行）",IF(AND(AH382&lt;&gt;"R1",AH382&lt;&gt;"R2"),"×表以外の行（集計されない）",IF(COUNTIF($AI$5:AI382,AI382)&gt;1,"△重複（集計されない）",IF(D382="","△タスク名なし",IF(ISNA(MATCH(AK382,'M1_類型マスタ'!$A$5:$A$19,0)),"△類型が不正",IF(OR(AM382="",AN382=""),"△回数・分が読めない",IF(SUMPRODUCT(--ISNUMBER(--O382:U382))&lt;7,"△採点が足りない",IF(SUMPRODUCT((--O382:U382&gt;2)+(--O382:U382&lt;0))&gt;0,"△採点が範囲外","OK")))))))))))</f>
        <v/>
      </c>
      <c r="X382">
        <f>IF(W382&lt;&gt;"OK","",TRIM(IF(AND(AO382&lt;&gt;"",N(AO382)&lt;=1),"根拠1件 ","")&amp;IF(AP382&lt;&gt;"","同名あり ","")&amp;IF(AND(NOT(ISNUMBER(I382)),I382&lt;&gt;""),"回数を換算 ","")))</f>
        <v/>
      </c>
      <c r="Y382" s="31" t="n"/>
      <c r="Z382" s="32" t="n"/>
      <c r="AA382" s="32" t="n"/>
      <c r="AB382" s="31" t="n"/>
      <c r="AC382">
        <f>IF(W382&lt;&gt;"OK","",IF(AB382&lt;&gt;"",AB382,AE382))</f>
        <v/>
      </c>
      <c r="AD382" s="33">
        <f>IF(W382&lt;&gt;"OK","",IFERROR(IF(Z382&lt;&gt;"",Z382,AM382)*IF(AA382&lt;&gt;"",AA382,AN382)/60,""))</f>
        <v/>
      </c>
      <c r="AE382">
        <f>IF(W382&lt;&gt;"OK","",IF(OR(VALUE(O382)=2,VALUE(P382)=2,VALUE(Q382)=2),"社内残置",IF(AND(VALUE(O382)=0,VALUE(R382)=0,VALUE(T382)=0),"自動化候補",IF(AND(VALUE(P382)=0,VALUE(R382)&lt;=1,VALUE(S382)&lt;=1,VALUE(T382)&lt;=1,VALUE(U382)&lt;=1),"オフショア候補",IF(AND(VALUE(T382)&lt;=1,VALUE(U382)&lt;=1),"ニアショア候補","社内で手順化→再評価")))))</f>
        <v/>
      </c>
      <c r="AF382">
        <f>IF(W382&lt;&gt;"OK","",14-SUMPRODUCT(--O382:U382))</f>
        <v/>
      </c>
      <c r="AG382" s="33">
        <f>IF(W382&lt;&gt;"OK","",AM382*AN382/60)</f>
        <v/>
      </c>
      <c r="AH382" s="34">
        <f>IF(A382="","",UPPER(TRIM(ASC(A382&amp;""))))</f>
        <v/>
      </c>
      <c r="AI382" s="34">
        <f>IF(AH382="","",AH382&amp;"-"&amp;B382)</f>
        <v/>
      </c>
      <c r="AJ382" s="34">
        <f>IF(C382="","",IFERROR(VALUE(ASC(SUBSTITUTE(C382&amp;"","観点",""))),""))</f>
        <v/>
      </c>
      <c r="AK382" s="34">
        <f>IF(E382="","",UPPER(LEFT(TRIM(ASC(E382&amp;"")),3)))</f>
        <v/>
      </c>
      <c r="AL382" s="34">
        <f>IF(I382="","",IFERROR(VALUE(SUBSTITUTE(SUBSTITUTE(SUBSTITUTE(SUBSTITUTE(SUBSTITUTE(SUBSTITUTE(SUBSTITUTE(SUBSTITUTE(SUBSTITUTE(SUBSTITUTE(SUBSTITUTE(SUBSTITUTE(ASC(I382&amp;""),"約",""),"程度",""),"ほど",""),"回",""),"毎",""),"週",""),"月",""),"年",""),"日",""),"に",""),"/","")," ","")),""))</f>
        <v/>
      </c>
      <c r="AM382" s="34">
        <f>IF(I382="","",IF(ISNUMBER(I382),I382,IFERROR(VALUE(ASC(I382&amp;"")),IF(AL382&lt;&gt;"",AL382*IF(ISNUMBER(SEARCH("週",I382)),4.3,IF(ISNUMBER(SEARCH("年",I382)),1/12,IF(ISNUMBER(SEARCH("日",I382)),20,1))),IF(ISNUMBER(SEARCH("日",I382)),20,IF(ISNUMBER(SEARCH("週",I382)),4.3,IF(ISNUMBER(SEARCH("月",I382)),1,"")))))))</f>
        <v/>
      </c>
      <c r="AN382" s="34">
        <f>IF(J382="","",IF(ISNUMBER(J382),J382,IFERROR(VALUE(ASC(J382&amp;"")),IF(ISNUMBER(SEARCH("時間",J382)),IFERROR(VALUE(SUBSTITUTE(SUBSTITUTE(SUBSTITUTE(SUBSTITUTE(SUBSTITUTE(ASC(J382&amp;""),"約",""),"程度",""),"ほど",""),"時間","")," ",""))*60,""),IFERROR(VALUE(SUBSTITUTE(SUBSTITUTE(SUBSTITUTE(SUBSTITUTE(SUBSTITUTE(ASC(J382&amp;""),"約",""),"程度",""),"ほど",""),"分","")," ","")),"")))))</f>
        <v/>
      </c>
      <c r="AO382" s="34">
        <f>IF(K382="","",IF(ISNUMBER(K382),K382,IFERROR(VALUE(SUBSTITUTE(SUBSTITUTE(SUBSTITUTE(ASC(K382&amp;""),"約",""),"件","")," ","")),"")))</f>
        <v/>
      </c>
      <c r="AP382" s="34">
        <f>IF(W382&lt;&gt;"OK","",IF(COUNTIFS($D$5:$D$404,D382,$W$5:$W$404,"OK")&gt;1,"同名あり",""))</f>
        <v/>
      </c>
      <c r="AQ382" s="35">
        <f>IF(L382="","",IF(ISNUMBER(L382),L382,IFERROR(DATEVALUE(SUBSTITUTE(SUBSTITUTE(ASC(L382&amp;""),"-","/"),".","/")&amp;"/01"),"")))</f>
        <v/>
      </c>
      <c r="AR382" s="35">
        <f>IF(M382="","",IF(ISNUMBER(M382),M382,IFERROR(DATEVALUE(SUBSTITUTE(SUBSTITUTE(ASC(M382&amp;""),"-","/"),".","/")&amp;"/01"),"")))</f>
        <v/>
      </c>
      <c r="AS382" s="34">
        <f>IF(OR(W382&lt;&gt;"OK",AQ382=""),"",IF(AQ382&gt;='01_設定'!$C$26,1,0))</f>
        <v/>
      </c>
      <c r="AT382" s="34">
        <f>IF(AND(W382="OK",Y382&lt;&gt;"除外"),COUNTIFS($W$5:W382,"OK",$Y$5:Y382,"&lt;&gt;除外"),"")</f>
        <v/>
      </c>
      <c r="AU382" s="34">
        <f>IF(OR(AT382="",AD382=""),"",AD382+ROW()/1000000000)</f>
        <v/>
      </c>
    </row>
    <row r="383">
      <c r="W383">
        <f>IF(AND(A383="",D383=""),"",IF(ISNUMBER(SEARCH("##END",AH383)),"（終わりの印）",IF(ISNUMBER(SEARCH("##続き",AH383)),"（続きありの印）",IF(AH383="調査ID","（見出し行）",IF(AND(AH383&lt;&gt;"R1",AH383&lt;&gt;"R2"),"×表以外の行（集計されない）",IF(COUNTIF($AI$5:AI383,AI383)&gt;1,"△重複（集計されない）",IF(D383="","△タスク名なし",IF(ISNA(MATCH(AK383,'M1_類型マスタ'!$A$5:$A$19,0)),"△類型が不正",IF(OR(AM383="",AN383=""),"△回数・分が読めない",IF(SUMPRODUCT(--ISNUMBER(--O383:U383))&lt;7,"△採点が足りない",IF(SUMPRODUCT((--O383:U383&gt;2)+(--O383:U383&lt;0))&gt;0,"△採点が範囲外","OK")))))))))))</f>
        <v/>
      </c>
      <c r="X383">
        <f>IF(W383&lt;&gt;"OK","",TRIM(IF(AND(AO383&lt;&gt;"",N(AO383)&lt;=1),"根拠1件 ","")&amp;IF(AP383&lt;&gt;"","同名あり ","")&amp;IF(AND(NOT(ISNUMBER(I383)),I383&lt;&gt;""),"回数を換算 ","")))</f>
        <v/>
      </c>
      <c r="Y383" s="31" t="n"/>
      <c r="Z383" s="32" t="n"/>
      <c r="AA383" s="32" t="n"/>
      <c r="AB383" s="31" t="n"/>
      <c r="AC383">
        <f>IF(W383&lt;&gt;"OK","",IF(AB383&lt;&gt;"",AB383,AE383))</f>
        <v/>
      </c>
      <c r="AD383" s="33">
        <f>IF(W383&lt;&gt;"OK","",IFERROR(IF(Z383&lt;&gt;"",Z383,AM383)*IF(AA383&lt;&gt;"",AA383,AN383)/60,""))</f>
        <v/>
      </c>
      <c r="AE383">
        <f>IF(W383&lt;&gt;"OK","",IF(OR(VALUE(O383)=2,VALUE(P383)=2,VALUE(Q383)=2),"社内残置",IF(AND(VALUE(O383)=0,VALUE(R383)=0,VALUE(T383)=0),"自動化候補",IF(AND(VALUE(P383)=0,VALUE(R383)&lt;=1,VALUE(S383)&lt;=1,VALUE(T383)&lt;=1,VALUE(U383)&lt;=1),"オフショア候補",IF(AND(VALUE(T383)&lt;=1,VALUE(U383)&lt;=1),"ニアショア候補","社内で手順化→再評価")))))</f>
        <v/>
      </c>
      <c r="AF383">
        <f>IF(W383&lt;&gt;"OK","",14-SUMPRODUCT(--O383:U383))</f>
        <v/>
      </c>
      <c r="AG383" s="33">
        <f>IF(W383&lt;&gt;"OK","",AM383*AN383/60)</f>
        <v/>
      </c>
      <c r="AH383" s="34">
        <f>IF(A383="","",UPPER(TRIM(ASC(A383&amp;""))))</f>
        <v/>
      </c>
      <c r="AI383" s="34">
        <f>IF(AH383="","",AH383&amp;"-"&amp;B383)</f>
        <v/>
      </c>
      <c r="AJ383" s="34">
        <f>IF(C383="","",IFERROR(VALUE(ASC(SUBSTITUTE(C383&amp;"","観点",""))),""))</f>
        <v/>
      </c>
      <c r="AK383" s="34">
        <f>IF(E383="","",UPPER(LEFT(TRIM(ASC(E383&amp;"")),3)))</f>
        <v/>
      </c>
      <c r="AL383" s="34">
        <f>IF(I383="","",IFERROR(VALUE(SUBSTITUTE(SUBSTITUTE(SUBSTITUTE(SUBSTITUTE(SUBSTITUTE(SUBSTITUTE(SUBSTITUTE(SUBSTITUTE(SUBSTITUTE(SUBSTITUTE(SUBSTITUTE(SUBSTITUTE(ASC(I383&amp;""),"約",""),"程度",""),"ほど",""),"回",""),"毎",""),"週",""),"月",""),"年",""),"日",""),"に",""),"/","")," ","")),""))</f>
        <v/>
      </c>
      <c r="AM383" s="34">
        <f>IF(I383="","",IF(ISNUMBER(I383),I383,IFERROR(VALUE(ASC(I383&amp;"")),IF(AL383&lt;&gt;"",AL383*IF(ISNUMBER(SEARCH("週",I383)),4.3,IF(ISNUMBER(SEARCH("年",I383)),1/12,IF(ISNUMBER(SEARCH("日",I383)),20,1))),IF(ISNUMBER(SEARCH("日",I383)),20,IF(ISNUMBER(SEARCH("週",I383)),4.3,IF(ISNUMBER(SEARCH("月",I383)),1,"")))))))</f>
        <v/>
      </c>
      <c r="AN383" s="34">
        <f>IF(J383="","",IF(ISNUMBER(J383),J383,IFERROR(VALUE(ASC(J383&amp;"")),IF(ISNUMBER(SEARCH("時間",J383)),IFERROR(VALUE(SUBSTITUTE(SUBSTITUTE(SUBSTITUTE(SUBSTITUTE(SUBSTITUTE(ASC(J383&amp;""),"約",""),"程度",""),"ほど",""),"時間","")," ",""))*60,""),IFERROR(VALUE(SUBSTITUTE(SUBSTITUTE(SUBSTITUTE(SUBSTITUTE(SUBSTITUTE(ASC(J383&amp;""),"約",""),"程度",""),"ほど",""),"分","")," ","")),"")))))</f>
        <v/>
      </c>
      <c r="AO383" s="34">
        <f>IF(K383="","",IF(ISNUMBER(K383),K383,IFERROR(VALUE(SUBSTITUTE(SUBSTITUTE(SUBSTITUTE(ASC(K383&amp;""),"約",""),"件","")," ","")),"")))</f>
        <v/>
      </c>
      <c r="AP383" s="34">
        <f>IF(W383&lt;&gt;"OK","",IF(COUNTIFS($D$5:$D$404,D383,$W$5:$W$404,"OK")&gt;1,"同名あり",""))</f>
        <v/>
      </c>
      <c r="AQ383" s="35">
        <f>IF(L383="","",IF(ISNUMBER(L383),L383,IFERROR(DATEVALUE(SUBSTITUTE(SUBSTITUTE(ASC(L383&amp;""),"-","/"),".","/")&amp;"/01"),"")))</f>
        <v/>
      </c>
      <c r="AR383" s="35">
        <f>IF(M383="","",IF(ISNUMBER(M383),M383,IFERROR(DATEVALUE(SUBSTITUTE(SUBSTITUTE(ASC(M383&amp;""),"-","/"),".","/")&amp;"/01"),"")))</f>
        <v/>
      </c>
      <c r="AS383" s="34">
        <f>IF(OR(W383&lt;&gt;"OK",AQ383=""),"",IF(AQ383&gt;='01_設定'!$C$26,1,0))</f>
        <v/>
      </c>
      <c r="AT383" s="34">
        <f>IF(AND(W383="OK",Y383&lt;&gt;"除外"),COUNTIFS($W$5:W383,"OK",$Y$5:Y383,"&lt;&gt;除外"),"")</f>
        <v/>
      </c>
      <c r="AU383" s="34">
        <f>IF(OR(AT383="",AD383=""),"",AD383+ROW()/1000000000)</f>
        <v/>
      </c>
    </row>
    <row r="384">
      <c r="W384">
        <f>IF(AND(A384="",D384=""),"",IF(ISNUMBER(SEARCH("##END",AH384)),"（終わりの印）",IF(ISNUMBER(SEARCH("##続き",AH384)),"（続きありの印）",IF(AH384="調査ID","（見出し行）",IF(AND(AH384&lt;&gt;"R1",AH384&lt;&gt;"R2"),"×表以外の行（集計されない）",IF(COUNTIF($AI$5:AI384,AI384)&gt;1,"△重複（集計されない）",IF(D384="","△タスク名なし",IF(ISNA(MATCH(AK384,'M1_類型マスタ'!$A$5:$A$19,0)),"△類型が不正",IF(OR(AM384="",AN384=""),"△回数・分が読めない",IF(SUMPRODUCT(--ISNUMBER(--O384:U384))&lt;7,"△採点が足りない",IF(SUMPRODUCT((--O384:U384&gt;2)+(--O384:U384&lt;0))&gt;0,"△採点が範囲外","OK")))))))))))</f>
        <v/>
      </c>
      <c r="X384">
        <f>IF(W384&lt;&gt;"OK","",TRIM(IF(AND(AO384&lt;&gt;"",N(AO384)&lt;=1),"根拠1件 ","")&amp;IF(AP384&lt;&gt;"","同名あり ","")&amp;IF(AND(NOT(ISNUMBER(I384)),I384&lt;&gt;""),"回数を換算 ","")))</f>
        <v/>
      </c>
      <c r="Y384" s="31" t="n"/>
      <c r="Z384" s="32" t="n"/>
      <c r="AA384" s="32" t="n"/>
      <c r="AB384" s="31" t="n"/>
      <c r="AC384">
        <f>IF(W384&lt;&gt;"OK","",IF(AB384&lt;&gt;"",AB384,AE384))</f>
        <v/>
      </c>
      <c r="AD384" s="33">
        <f>IF(W384&lt;&gt;"OK","",IFERROR(IF(Z384&lt;&gt;"",Z384,AM384)*IF(AA384&lt;&gt;"",AA384,AN384)/60,""))</f>
        <v/>
      </c>
      <c r="AE384">
        <f>IF(W384&lt;&gt;"OK","",IF(OR(VALUE(O384)=2,VALUE(P384)=2,VALUE(Q384)=2),"社内残置",IF(AND(VALUE(O384)=0,VALUE(R384)=0,VALUE(T384)=0),"自動化候補",IF(AND(VALUE(P384)=0,VALUE(R384)&lt;=1,VALUE(S384)&lt;=1,VALUE(T384)&lt;=1,VALUE(U384)&lt;=1),"オフショア候補",IF(AND(VALUE(T384)&lt;=1,VALUE(U384)&lt;=1),"ニアショア候補","社内で手順化→再評価")))))</f>
        <v/>
      </c>
      <c r="AF384">
        <f>IF(W384&lt;&gt;"OK","",14-SUMPRODUCT(--O384:U384))</f>
        <v/>
      </c>
      <c r="AG384" s="33">
        <f>IF(W384&lt;&gt;"OK","",AM384*AN384/60)</f>
        <v/>
      </c>
      <c r="AH384" s="34">
        <f>IF(A384="","",UPPER(TRIM(ASC(A384&amp;""))))</f>
        <v/>
      </c>
      <c r="AI384" s="34">
        <f>IF(AH384="","",AH384&amp;"-"&amp;B384)</f>
        <v/>
      </c>
      <c r="AJ384" s="34">
        <f>IF(C384="","",IFERROR(VALUE(ASC(SUBSTITUTE(C384&amp;"","観点",""))),""))</f>
        <v/>
      </c>
      <c r="AK384" s="34">
        <f>IF(E384="","",UPPER(LEFT(TRIM(ASC(E384&amp;"")),3)))</f>
        <v/>
      </c>
      <c r="AL384" s="34">
        <f>IF(I384="","",IFERROR(VALUE(SUBSTITUTE(SUBSTITUTE(SUBSTITUTE(SUBSTITUTE(SUBSTITUTE(SUBSTITUTE(SUBSTITUTE(SUBSTITUTE(SUBSTITUTE(SUBSTITUTE(SUBSTITUTE(SUBSTITUTE(ASC(I384&amp;""),"約",""),"程度",""),"ほど",""),"回",""),"毎",""),"週",""),"月",""),"年",""),"日",""),"に",""),"/","")," ","")),""))</f>
        <v/>
      </c>
      <c r="AM384" s="34">
        <f>IF(I384="","",IF(ISNUMBER(I384),I384,IFERROR(VALUE(ASC(I384&amp;"")),IF(AL384&lt;&gt;"",AL384*IF(ISNUMBER(SEARCH("週",I384)),4.3,IF(ISNUMBER(SEARCH("年",I384)),1/12,IF(ISNUMBER(SEARCH("日",I384)),20,1))),IF(ISNUMBER(SEARCH("日",I384)),20,IF(ISNUMBER(SEARCH("週",I384)),4.3,IF(ISNUMBER(SEARCH("月",I384)),1,"")))))))</f>
        <v/>
      </c>
      <c r="AN384" s="34">
        <f>IF(J384="","",IF(ISNUMBER(J384),J384,IFERROR(VALUE(ASC(J384&amp;"")),IF(ISNUMBER(SEARCH("時間",J384)),IFERROR(VALUE(SUBSTITUTE(SUBSTITUTE(SUBSTITUTE(SUBSTITUTE(SUBSTITUTE(ASC(J384&amp;""),"約",""),"程度",""),"ほど",""),"時間","")," ",""))*60,""),IFERROR(VALUE(SUBSTITUTE(SUBSTITUTE(SUBSTITUTE(SUBSTITUTE(SUBSTITUTE(ASC(J384&amp;""),"約",""),"程度",""),"ほど",""),"分","")," ","")),"")))))</f>
        <v/>
      </c>
      <c r="AO384" s="34">
        <f>IF(K384="","",IF(ISNUMBER(K384),K384,IFERROR(VALUE(SUBSTITUTE(SUBSTITUTE(SUBSTITUTE(ASC(K384&amp;""),"約",""),"件","")," ","")),"")))</f>
        <v/>
      </c>
      <c r="AP384" s="34">
        <f>IF(W384&lt;&gt;"OK","",IF(COUNTIFS($D$5:$D$404,D384,$W$5:$W$404,"OK")&gt;1,"同名あり",""))</f>
        <v/>
      </c>
      <c r="AQ384" s="35">
        <f>IF(L384="","",IF(ISNUMBER(L384),L384,IFERROR(DATEVALUE(SUBSTITUTE(SUBSTITUTE(ASC(L384&amp;""),"-","/"),".","/")&amp;"/01"),"")))</f>
        <v/>
      </c>
      <c r="AR384" s="35">
        <f>IF(M384="","",IF(ISNUMBER(M384),M384,IFERROR(DATEVALUE(SUBSTITUTE(SUBSTITUTE(ASC(M384&amp;""),"-","/"),".","/")&amp;"/01"),"")))</f>
        <v/>
      </c>
      <c r="AS384" s="34">
        <f>IF(OR(W384&lt;&gt;"OK",AQ384=""),"",IF(AQ384&gt;='01_設定'!$C$26,1,0))</f>
        <v/>
      </c>
      <c r="AT384" s="34">
        <f>IF(AND(W384="OK",Y384&lt;&gt;"除外"),COUNTIFS($W$5:W384,"OK",$Y$5:Y384,"&lt;&gt;除外"),"")</f>
        <v/>
      </c>
      <c r="AU384" s="34">
        <f>IF(OR(AT384="",AD384=""),"",AD384+ROW()/1000000000)</f>
        <v/>
      </c>
    </row>
    <row r="385">
      <c r="W385">
        <f>IF(AND(A385="",D385=""),"",IF(ISNUMBER(SEARCH("##END",AH385)),"（終わりの印）",IF(ISNUMBER(SEARCH("##続き",AH385)),"（続きありの印）",IF(AH385="調査ID","（見出し行）",IF(AND(AH385&lt;&gt;"R1",AH385&lt;&gt;"R2"),"×表以外の行（集計されない）",IF(COUNTIF($AI$5:AI385,AI385)&gt;1,"△重複（集計されない）",IF(D385="","△タスク名なし",IF(ISNA(MATCH(AK385,'M1_類型マスタ'!$A$5:$A$19,0)),"△類型が不正",IF(OR(AM385="",AN385=""),"△回数・分が読めない",IF(SUMPRODUCT(--ISNUMBER(--O385:U385))&lt;7,"△採点が足りない",IF(SUMPRODUCT((--O385:U385&gt;2)+(--O385:U385&lt;0))&gt;0,"△採点が範囲外","OK")))))))))))</f>
        <v/>
      </c>
      <c r="X385">
        <f>IF(W385&lt;&gt;"OK","",TRIM(IF(AND(AO385&lt;&gt;"",N(AO385)&lt;=1),"根拠1件 ","")&amp;IF(AP385&lt;&gt;"","同名あり ","")&amp;IF(AND(NOT(ISNUMBER(I385)),I385&lt;&gt;""),"回数を換算 ","")))</f>
        <v/>
      </c>
      <c r="Y385" s="31" t="n"/>
      <c r="Z385" s="32" t="n"/>
      <c r="AA385" s="32" t="n"/>
      <c r="AB385" s="31" t="n"/>
      <c r="AC385">
        <f>IF(W385&lt;&gt;"OK","",IF(AB385&lt;&gt;"",AB385,AE385))</f>
        <v/>
      </c>
      <c r="AD385" s="33">
        <f>IF(W385&lt;&gt;"OK","",IFERROR(IF(Z385&lt;&gt;"",Z385,AM385)*IF(AA385&lt;&gt;"",AA385,AN385)/60,""))</f>
        <v/>
      </c>
      <c r="AE385">
        <f>IF(W385&lt;&gt;"OK","",IF(OR(VALUE(O385)=2,VALUE(P385)=2,VALUE(Q385)=2),"社内残置",IF(AND(VALUE(O385)=0,VALUE(R385)=0,VALUE(T385)=0),"自動化候補",IF(AND(VALUE(P385)=0,VALUE(R385)&lt;=1,VALUE(S385)&lt;=1,VALUE(T385)&lt;=1,VALUE(U385)&lt;=1),"オフショア候補",IF(AND(VALUE(T385)&lt;=1,VALUE(U385)&lt;=1),"ニアショア候補","社内で手順化→再評価")))))</f>
        <v/>
      </c>
      <c r="AF385">
        <f>IF(W385&lt;&gt;"OK","",14-SUMPRODUCT(--O385:U385))</f>
        <v/>
      </c>
      <c r="AG385" s="33">
        <f>IF(W385&lt;&gt;"OK","",AM385*AN385/60)</f>
        <v/>
      </c>
      <c r="AH385" s="34">
        <f>IF(A385="","",UPPER(TRIM(ASC(A385&amp;""))))</f>
        <v/>
      </c>
      <c r="AI385" s="34">
        <f>IF(AH385="","",AH385&amp;"-"&amp;B385)</f>
        <v/>
      </c>
      <c r="AJ385" s="34">
        <f>IF(C385="","",IFERROR(VALUE(ASC(SUBSTITUTE(C385&amp;"","観点",""))),""))</f>
        <v/>
      </c>
      <c r="AK385" s="34">
        <f>IF(E385="","",UPPER(LEFT(TRIM(ASC(E385&amp;"")),3)))</f>
        <v/>
      </c>
      <c r="AL385" s="34">
        <f>IF(I385="","",IFERROR(VALUE(SUBSTITUTE(SUBSTITUTE(SUBSTITUTE(SUBSTITUTE(SUBSTITUTE(SUBSTITUTE(SUBSTITUTE(SUBSTITUTE(SUBSTITUTE(SUBSTITUTE(SUBSTITUTE(SUBSTITUTE(ASC(I385&amp;""),"約",""),"程度",""),"ほど",""),"回",""),"毎",""),"週",""),"月",""),"年",""),"日",""),"に",""),"/","")," ","")),""))</f>
        <v/>
      </c>
      <c r="AM385" s="34">
        <f>IF(I385="","",IF(ISNUMBER(I385),I385,IFERROR(VALUE(ASC(I385&amp;"")),IF(AL385&lt;&gt;"",AL385*IF(ISNUMBER(SEARCH("週",I385)),4.3,IF(ISNUMBER(SEARCH("年",I385)),1/12,IF(ISNUMBER(SEARCH("日",I385)),20,1))),IF(ISNUMBER(SEARCH("日",I385)),20,IF(ISNUMBER(SEARCH("週",I385)),4.3,IF(ISNUMBER(SEARCH("月",I385)),1,"")))))))</f>
        <v/>
      </c>
      <c r="AN385" s="34">
        <f>IF(J385="","",IF(ISNUMBER(J385),J385,IFERROR(VALUE(ASC(J385&amp;"")),IF(ISNUMBER(SEARCH("時間",J385)),IFERROR(VALUE(SUBSTITUTE(SUBSTITUTE(SUBSTITUTE(SUBSTITUTE(SUBSTITUTE(ASC(J385&amp;""),"約",""),"程度",""),"ほど",""),"時間","")," ",""))*60,""),IFERROR(VALUE(SUBSTITUTE(SUBSTITUTE(SUBSTITUTE(SUBSTITUTE(SUBSTITUTE(ASC(J385&amp;""),"約",""),"程度",""),"ほど",""),"分","")," ","")),"")))))</f>
        <v/>
      </c>
      <c r="AO385" s="34">
        <f>IF(K385="","",IF(ISNUMBER(K385),K385,IFERROR(VALUE(SUBSTITUTE(SUBSTITUTE(SUBSTITUTE(ASC(K385&amp;""),"約",""),"件","")," ","")),"")))</f>
        <v/>
      </c>
      <c r="AP385" s="34">
        <f>IF(W385&lt;&gt;"OK","",IF(COUNTIFS($D$5:$D$404,D385,$W$5:$W$404,"OK")&gt;1,"同名あり",""))</f>
        <v/>
      </c>
      <c r="AQ385" s="35">
        <f>IF(L385="","",IF(ISNUMBER(L385),L385,IFERROR(DATEVALUE(SUBSTITUTE(SUBSTITUTE(ASC(L385&amp;""),"-","/"),".","/")&amp;"/01"),"")))</f>
        <v/>
      </c>
      <c r="AR385" s="35">
        <f>IF(M385="","",IF(ISNUMBER(M385),M385,IFERROR(DATEVALUE(SUBSTITUTE(SUBSTITUTE(ASC(M385&amp;""),"-","/"),".","/")&amp;"/01"),"")))</f>
        <v/>
      </c>
      <c r="AS385" s="34">
        <f>IF(OR(W385&lt;&gt;"OK",AQ385=""),"",IF(AQ385&gt;='01_設定'!$C$26,1,0))</f>
        <v/>
      </c>
      <c r="AT385" s="34">
        <f>IF(AND(W385="OK",Y385&lt;&gt;"除外"),COUNTIFS($W$5:W385,"OK",$Y$5:Y385,"&lt;&gt;除外"),"")</f>
        <v/>
      </c>
      <c r="AU385" s="34">
        <f>IF(OR(AT385="",AD385=""),"",AD385+ROW()/1000000000)</f>
        <v/>
      </c>
    </row>
    <row r="386">
      <c r="W386">
        <f>IF(AND(A386="",D386=""),"",IF(ISNUMBER(SEARCH("##END",AH386)),"（終わりの印）",IF(ISNUMBER(SEARCH("##続き",AH386)),"（続きありの印）",IF(AH386="調査ID","（見出し行）",IF(AND(AH386&lt;&gt;"R1",AH386&lt;&gt;"R2"),"×表以外の行（集計されない）",IF(COUNTIF($AI$5:AI386,AI386)&gt;1,"△重複（集計されない）",IF(D386="","△タスク名なし",IF(ISNA(MATCH(AK386,'M1_類型マスタ'!$A$5:$A$19,0)),"△類型が不正",IF(OR(AM386="",AN386=""),"△回数・分が読めない",IF(SUMPRODUCT(--ISNUMBER(--O386:U386))&lt;7,"△採点が足りない",IF(SUMPRODUCT((--O386:U386&gt;2)+(--O386:U386&lt;0))&gt;0,"△採点が範囲外","OK")))))))))))</f>
        <v/>
      </c>
      <c r="X386">
        <f>IF(W386&lt;&gt;"OK","",TRIM(IF(AND(AO386&lt;&gt;"",N(AO386)&lt;=1),"根拠1件 ","")&amp;IF(AP386&lt;&gt;"","同名あり ","")&amp;IF(AND(NOT(ISNUMBER(I386)),I386&lt;&gt;""),"回数を換算 ","")))</f>
        <v/>
      </c>
      <c r="Y386" s="31" t="n"/>
      <c r="Z386" s="32" t="n"/>
      <c r="AA386" s="32" t="n"/>
      <c r="AB386" s="31" t="n"/>
      <c r="AC386">
        <f>IF(W386&lt;&gt;"OK","",IF(AB386&lt;&gt;"",AB386,AE386))</f>
        <v/>
      </c>
      <c r="AD386" s="33">
        <f>IF(W386&lt;&gt;"OK","",IFERROR(IF(Z386&lt;&gt;"",Z386,AM386)*IF(AA386&lt;&gt;"",AA386,AN386)/60,""))</f>
        <v/>
      </c>
      <c r="AE386">
        <f>IF(W386&lt;&gt;"OK","",IF(OR(VALUE(O386)=2,VALUE(P386)=2,VALUE(Q386)=2),"社内残置",IF(AND(VALUE(O386)=0,VALUE(R386)=0,VALUE(T386)=0),"自動化候補",IF(AND(VALUE(P386)=0,VALUE(R386)&lt;=1,VALUE(S386)&lt;=1,VALUE(T386)&lt;=1,VALUE(U386)&lt;=1),"オフショア候補",IF(AND(VALUE(T386)&lt;=1,VALUE(U386)&lt;=1),"ニアショア候補","社内で手順化→再評価")))))</f>
        <v/>
      </c>
      <c r="AF386">
        <f>IF(W386&lt;&gt;"OK","",14-SUMPRODUCT(--O386:U386))</f>
        <v/>
      </c>
      <c r="AG386" s="33">
        <f>IF(W386&lt;&gt;"OK","",AM386*AN386/60)</f>
        <v/>
      </c>
      <c r="AH386" s="34">
        <f>IF(A386="","",UPPER(TRIM(ASC(A386&amp;""))))</f>
        <v/>
      </c>
      <c r="AI386" s="34">
        <f>IF(AH386="","",AH386&amp;"-"&amp;B386)</f>
        <v/>
      </c>
      <c r="AJ386" s="34">
        <f>IF(C386="","",IFERROR(VALUE(ASC(SUBSTITUTE(C386&amp;"","観点",""))),""))</f>
        <v/>
      </c>
      <c r="AK386" s="34">
        <f>IF(E386="","",UPPER(LEFT(TRIM(ASC(E386&amp;"")),3)))</f>
        <v/>
      </c>
      <c r="AL386" s="34">
        <f>IF(I386="","",IFERROR(VALUE(SUBSTITUTE(SUBSTITUTE(SUBSTITUTE(SUBSTITUTE(SUBSTITUTE(SUBSTITUTE(SUBSTITUTE(SUBSTITUTE(SUBSTITUTE(SUBSTITUTE(SUBSTITUTE(SUBSTITUTE(ASC(I386&amp;""),"約",""),"程度",""),"ほど",""),"回",""),"毎",""),"週",""),"月",""),"年",""),"日",""),"に",""),"/","")," ","")),""))</f>
        <v/>
      </c>
      <c r="AM386" s="34">
        <f>IF(I386="","",IF(ISNUMBER(I386),I386,IFERROR(VALUE(ASC(I386&amp;"")),IF(AL386&lt;&gt;"",AL386*IF(ISNUMBER(SEARCH("週",I386)),4.3,IF(ISNUMBER(SEARCH("年",I386)),1/12,IF(ISNUMBER(SEARCH("日",I386)),20,1))),IF(ISNUMBER(SEARCH("日",I386)),20,IF(ISNUMBER(SEARCH("週",I386)),4.3,IF(ISNUMBER(SEARCH("月",I386)),1,"")))))))</f>
        <v/>
      </c>
      <c r="AN386" s="34">
        <f>IF(J386="","",IF(ISNUMBER(J386),J386,IFERROR(VALUE(ASC(J386&amp;"")),IF(ISNUMBER(SEARCH("時間",J386)),IFERROR(VALUE(SUBSTITUTE(SUBSTITUTE(SUBSTITUTE(SUBSTITUTE(SUBSTITUTE(ASC(J386&amp;""),"約",""),"程度",""),"ほど",""),"時間","")," ",""))*60,""),IFERROR(VALUE(SUBSTITUTE(SUBSTITUTE(SUBSTITUTE(SUBSTITUTE(SUBSTITUTE(ASC(J386&amp;""),"約",""),"程度",""),"ほど",""),"分","")," ","")),"")))))</f>
        <v/>
      </c>
      <c r="AO386" s="34">
        <f>IF(K386="","",IF(ISNUMBER(K386),K386,IFERROR(VALUE(SUBSTITUTE(SUBSTITUTE(SUBSTITUTE(ASC(K386&amp;""),"約",""),"件","")," ","")),"")))</f>
        <v/>
      </c>
      <c r="AP386" s="34">
        <f>IF(W386&lt;&gt;"OK","",IF(COUNTIFS($D$5:$D$404,D386,$W$5:$W$404,"OK")&gt;1,"同名あり",""))</f>
        <v/>
      </c>
      <c r="AQ386" s="35">
        <f>IF(L386="","",IF(ISNUMBER(L386),L386,IFERROR(DATEVALUE(SUBSTITUTE(SUBSTITUTE(ASC(L386&amp;""),"-","/"),".","/")&amp;"/01"),"")))</f>
        <v/>
      </c>
      <c r="AR386" s="35">
        <f>IF(M386="","",IF(ISNUMBER(M386),M386,IFERROR(DATEVALUE(SUBSTITUTE(SUBSTITUTE(ASC(M386&amp;""),"-","/"),".","/")&amp;"/01"),"")))</f>
        <v/>
      </c>
      <c r="AS386" s="34">
        <f>IF(OR(W386&lt;&gt;"OK",AQ386=""),"",IF(AQ386&gt;='01_設定'!$C$26,1,0))</f>
        <v/>
      </c>
      <c r="AT386" s="34">
        <f>IF(AND(W386="OK",Y386&lt;&gt;"除外"),COUNTIFS($W$5:W386,"OK",$Y$5:Y386,"&lt;&gt;除外"),"")</f>
        <v/>
      </c>
      <c r="AU386" s="34">
        <f>IF(OR(AT386="",AD386=""),"",AD386+ROW()/1000000000)</f>
        <v/>
      </c>
    </row>
    <row r="387">
      <c r="W387">
        <f>IF(AND(A387="",D387=""),"",IF(ISNUMBER(SEARCH("##END",AH387)),"（終わりの印）",IF(ISNUMBER(SEARCH("##続き",AH387)),"（続きありの印）",IF(AH387="調査ID","（見出し行）",IF(AND(AH387&lt;&gt;"R1",AH387&lt;&gt;"R2"),"×表以外の行（集計されない）",IF(COUNTIF($AI$5:AI387,AI387)&gt;1,"△重複（集計されない）",IF(D387="","△タスク名なし",IF(ISNA(MATCH(AK387,'M1_類型マスタ'!$A$5:$A$19,0)),"△類型が不正",IF(OR(AM387="",AN387=""),"△回数・分が読めない",IF(SUMPRODUCT(--ISNUMBER(--O387:U387))&lt;7,"△採点が足りない",IF(SUMPRODUCT((--O387:U387&gt;2)+(--O387:U387&lt;0))&gt;0,"△採点が範囲外","OK")))))))))))</f>
        <v/>
      </c>
      <c r="X387">
        <f>IF(W387&lt;&gt;"OK","",TRIM(IF(AND(AO387&lt;&gt;"",N(AO387)&lt;=1),"根拠1件 ","")&amp;IF(AP387&lt;&gt;"","同名あり ","")&amp;IF(AND(NOT(ISNUMBER(I387)),I387&lt;&gt;""),"回数を換算 ","")))</f>
        <v/>
      </c>
      <c r="Y387" s="31" t="n"/>
      <c r="Z387" s="32" t="n"/>
      <c r="AA387" s="32" t="n"/>
      <c r="AB387" s="31" t="n"/>
      <c r="AC387">
        <f>IF(W387&lt;&gt;"OK","",IF(AB387&lt;&gt;"",AB387,AE387))</f>
        <v/>
      </c>
      <c r="AD387" s="33">
        <f>IF(W387&lt;&gt;"OK","",IFERROR(IF(Z387&lt;&gt;"",Z387,AM387)*IF(AA387&lt;&gt;"",AA387,AN387)/60,""))</f>
        <v/>
      </c>
      <c r="AE387">
        <f>IF(W387&lt;&gt;"OK","",IF(OR(VALUE(O387)=2,VALUE(P387)=2,VALUE(Q387)=2),"社内残置",IF(AND(VALUE(O387)=0,VALUE(R387)=0,VALUE(T387)=0),"自動化候補",IF(AND(VALUE(P387)=0,VALUE(R387)&lt;=1,VALUE(S387)&lt;=1,VALUE(T387)&lt;=1,VALUE(U387)&lt;=1),"オフショア候補",IF(AND(VALUE(T387)&lt;=1,VALUE(U387)&lt;=1),"ニアショア候補","社内で手順化→再評価")))))</f>
        <v/>
      </c>
      <c r="AF387">
        <f>IF(W387&lt;&gt;"OK","",14-SUMPRODUCT(--O387:U387))</f>
        <v/>
      </c>
      <c r="AG387" s="33">
        <f>IF(W387&lt;&gt;"OK","",AM387*AN387/60)</f>
        <v/>
      </c>
      <c r="AH387" s="34">
        <f>IF(A387="","",UPPER(TRIM(ASC(A387&amp;""))))</f>
        <v/>
      </c>
      <c r="AI387" s="34">
        <f>IF(AH387="","",AH387&amp;"-"&amp;B387)</f>
        <v/>
      </c>
      <c r="AJ387" s="34">
        <f>IF(C387="","",IFERROR(VALUE(ASC(SUBSTITUTE(C387&amp;"","観点",""))),""))</f>
        <v/>
      </c>
      <c r="AK387" s="34">
        <f>IF(E387="","",UPPER(LEFT(TRIM(ASC(E387&amp;"")),3)))</f>
        <v/>
      </c>
      <c r="AL387" s="34">
        <f>IF(I387="","",IFERROR(VALUE(SUBSTITUTE(SUBSTITUTE(SUBSTITUTE(SUBSTITUTE(SUBSTITUTE(SUBSTITUTE(SUBSTITUTE(SUBSTITUTE(SUBSTITUTE(SUBSTITUTE(SUBSTITUTE(SUBSTITUTE(ASC(I387&amp;""),"約",""),"程度",""),"ほど",""),"回",""),"毎",""),"週",""),"月",""),"年",""),"日",""),"に",""),"/","")," ","")),""))</f>
        <v/>
      </c>
      <c r="AM387" s="34">
        <f>IF(I387="","",IF(ISNUMBER(I387),I387,IFERROR(VALUE(ASC(I387&amp;"")),IF(AL387&lt;&gt;"",AL387*IF(ISNUMBER(SEARCH("週",I387)),4.3,IF(ISNUMBER(SEARCH("年",I387)),1/12,IF(ISNUMBER(SEARCH("日",I387)),20,1))),IF(ISNUMBER(SEARCH("日",I387)),20,IF(ISNUMBER(SEARCH("週",I387)),4.3,IF(ISNUMBER(SEARCH("月",I387)),1,"")))))))</f>
        <v/>
      </c>
      <c r="AN387" s="34">
        <f>IF(J387="","",IF(ISNUMBER(J387),J387,IFERROR(VALUE(ASC(J387&amp;"")),IF(ISNUMBER(SEARCH("時間",J387)),IFERROR(VALUE(SUBSTITUTE(SUBSTITUTE(SUBSTITUTE(SUBSTITUTE(SUBSTITUTE(ASC(J387&amp;""),"約",""),"程度",""),"ほど",""),"時間","")," ",""))*60,""),IFERROR(VALUE(SUBSTITUTE(SUBSTITUTE(SUBSTITUTE(SUBSTITUTE(SUBSTITUTE(ASC(J387&amp;""),"約",""),"程度",""),"ほど",""),"分","")," ","")),"")))))</f>
        <v/>
      </c>
      <c r="AO387" s="34">
        <f>IF(K387="","",IF(ISNUMBER(K387),K387,IFERROR(VALUE(SUBSTITUTE(SUBSTITUTE(SUBSTITUTE(ASC(K387&amp;""),"約",""),"件","")," ","")),"")))</f>
        <v/>
      </c>
      <c r="AP387" s="34">
        <f>IF(W387&lt;&gt;"OK","",IF(COUNTIFS($D$5:$D$404,D387,$W$5:$W$404,"OK")&gt;1,"同名あり",""))</f>
        <v/>
      </c>
      <c r="AQ387" s="35">
        <f>IF(L387="","",IF(ISNUMBER(L387),L387,IFERROR(DATEVALUE(SUBSTITUTE(SUBSTITUTE(ASC(L387&amp;""),"-","/"),".","/")&amp;"/01"),"")))</f>
        <v/>
      </c>
      <c r="AR387" s="35">
        <f>IF(M387="","",IF(ISNUMBER(M387),M387,IFERROR(DATEVALUE(SUBSTITUTE(SUBSTITUTE(ASC(M387&amp;""),"-","/"),".","/")&amp;"/01"),"")))</f>
        <v/>
      </c>
      <c r="AS387" s="34">
        <f>IF(OR(W387&lt;&gt;"OK",AQ387=""),"",IF(AQ387&gt;='01_設定'!$C$26,1,0))</f>
        <v/>
      </c>
      <c r="AT387" s="34">
        <f>IF(AND(W387="OK",Y387&lt;&gt;"除外"),COUNTIFS($W$5:W387,"OK",$Y$5:Y387,"&lt;&gt;除外"),"")</f>
        <v/>
      </c>
      <c r="AU387" s="34">
        <f>IF(OR(AT387="",AD387=""),"",AD387+ROW()/1000000000)</f>
        <v/>
      </c>
    </row>
    <row r="388">
      <c r="W388">
        <f>IF(AND(A388="",D388=""),"",IF(ISNUMBER(SEARCH("##END",AH388)),"（終わりの印）",IF(ISNUMBER(SEARCH("##続き",AH388)),"（続きありの印）",IF(AH388="調査ID","（見出し行）",IF(AND(AH388&lt;&gt;"R1",AH388&lt;&gt;"R2"),"×表以外の行（集計されない）",IF(COUNTIF($AI$5:AI388,AI388)&gt;1,"△重複（集計されない）",IF(D388="","△タスク名なし",IF(ISNA(MATCH(AK388,'M1_類型マスタ'!$A$5:$A$19,0)),"△類型が不正",IF(OR(AM388="",AN388=""),"△回数・分が読めない",IF(SUMPRODUCT(--ISNUMBER(--O388:U388))&lt;7,"△採点が足りない",IF(SUMPRODUCT((--O388:U388&gt;2)+(--O388:U388&lt;0))&gt;0,"△採点が範囲外","OK")))))))))))</f>
        <v/>
      </c>
      <c r="X388">
        <f>IF(W388&lt;&gt;"OK","",TRIM(IF(AND(AO388&lt;&gt;"",N(AO388)&lt;=1),"根拠1件 ","")&amp;IF(AP388&lt;&gt;"","同名あり ","")&amp;IF(AND(NOT(ISNUMBER(I388)),I388&lt;&gt;""),"回数を換算 ","")))</f>
        <v/>
      </c>
      <c r="Y388" s="31" t="n"/>
      <c r="Z388" s="32" t="n"/>
      <c r="AA388" s="32" t="n"/>
      <c r="AB388" s="31" t="n"/>
      <c r="AC388">
        <f>IF(W388&lt;&gt;"OK","",IF(AB388&lt;&gt;"",AB388,AE388))</f>
        <v/>
      </c>
      <c r="AD388" s="33">
        <f>IF(W388&lt;&gt;"OK","",IFERROR(IF(Z388&lt;&gt;"",Z388,AM388)*IF(AA388&lt;&gt;"",AA388,AN388)/60,""))</f>
        <v/>
      </c>
      <c r="AE388">
        <f>IF(W388&lt;&gt;"OK","",IF(OR(VALUE(O388)=2,VALUE(P388)=2,VALUE(Q388)=2),"社内残置",IF(AND(VALUE(O388)=0,VALUE(R388)=0,VALUE(T388)=0),"自動化候補",IF(AND(VALUE(P388)=0,VALUE(R388)&lt;=1,VALUE(S388)&lt;=1,VALUE(T388)&lt;=1,VALUE(U388)&lt;=1),"オフショア候補",IF(AND(VALUE(T388)&lt;=1,VALUE(U388)&lt;=1),"ニアショア候補","社内で手順化→再評価")))))</f>
        <v/>
      </c>
      <c r="AF388">
        <f>IF(W388&lt;&gt;"OK","",14-SUMPRODUCT(--O388:U388))</f>
        <v/>
      </c>
      <c r="AG388" s="33">
        <f>IF(W388&lt;&gt;"OK","",AM388*AN388/60)</f>
        <v/>
      </c>
      <c r="AH388" s="34">
        <f>IF(A388="","",UPPER(TRIM(ASC(A388&amp;""))))</f>
        <v/>
      </c>
      <c r="AI388" s="34">
        <f>IF(AH388="","",AH388&amp;"-"&amp;B388)</f>
        <v/>
      </c>
      <c r="AJ388" s="34">
        <f>IF(C388="","",IFERROR(VALUE(ASC(SUBSTITUTE(C388&amp;"","観点",""))),""))</f>
        <v/>
      </c>
      <c r="AK388" s="34">
        <f>IF(E388="","",UPPER(LEFT(TRIM(ASC(E388&amp;"")),3)))</f>
        <v/>
      </c>
      <c r="AL388" s="34">
        <f>IF(I388="","",IFERROR(VALUE(SUBSTITUTE(SUBSTITUTE(SUBSTITUTE(SUBSTITUTE(SUBSTITUTE(SUBSTITUTE(SUBSTITUTE(SUBSTITUTE(SUBSTITUTE(SUBSTITUTE(SUBSTITUTE(SUBSTITUTE(ASC(I388&amp;""),"約",""),"程度",""),"ほど",""),"回",""),"毎",""),"週",""),"月",""),"年",""),"日",""),"に",""),"/","")," ","")),""))</f>
        <v/>
      </c>
      <c r="AM388" s="34">
        <f>IF(I388="","",IF(ISNUMBER(I388),I388,IFERROR(VALUE(ASC(I388&amp;"")),IF(AL388&lt;&gt;"",AL388*IF(ISNUMBER(SEARCH("週",I388)),4.3,IF(ISNUMBER(SEARCH("年",I388)),1/12,IF(ISNUMBER(SEARCH("日",I388)),20,1))),IF(ISNUMBER(SEARCH("日",I388)),20,IF(ISNUMBER(SEARCH("週",I388)),4.3,IF(ISNUMBER(SEARCH("月",I388)),1,"")))))))</f>
        <v/>
      </c>
      <c r="AN388" s="34">
        <f>IF(J388="","",IF(ISNUMBER(J388),J388,IFERROR(VALUE(ASC(J388&amp;"")),IF(ISNUMBER(SEARCH("時間",J388)),IFERROR(VALUE(SUBSTITUTE(SUBSTITUTE(SUBSTITUTE(SUBSTITUTE(SUBSTITUTE(ASC(J388&amp;""),"約",""),"程度",""),"ほど",""),"時間","")," ",""))*60,""),IFERROR(VALUE(SUBSTITUTE(SUBSTITUTE(SUBSTITUTE(SUBSTITUTE(SUBSTITUTE(ASC(J388&amp;""),"約",""),"程度",""),"ほど",""),"分","")," ","")),"")))))</f>
        <v/>
      </c>
      <c r="AO388" s="34">
        <f>IF(K388="","",IF(ISNUMBER(K388),K388,IFERROR(VALUE(SUBSTITUTE(SUBSTITUTE(SUBSTITUTE(ASC(K388&amp;""),"約",""),"件","")," ","")),"")))</f>
        <v/>
      </c>
      <c r="AP388" s="34">
        <f>IF(W388&lt;&gt;"OK","",IF(COUNTIFS($D$5:$D$404,D388,$W$5:$W$404,"OK")&gt;1,"同名あり",""))</f>
        <v/>
      </c>
      <c r="AQ388" s="35">
        <f>IF(L388="","",IF(ISNUMBER(L388),L388,IFERROR(DATEVALUE(SUBSTITUTE(SUBSTITUTE(ASC(L388&amp;""),"-","/"),".","/")&amp;"/01"),"")))</f>
        <v/>
      </c>
      <c r="AR388" s="35">
        <f>IF(M388="","",IF(ISNUMBER(M388),M388,IFERROR(DATEVALUE(SUBSTITUTE(SUBSTITUTE(ASC(M388&amp;""),"-","/"),".","/")&amp;"/01"),"")))</f>
        <v/>
      </c>
      <c r="AS388" s="34">
        <f>IF(OR(W388&lt;&gt;"OK",AQ388=""),"",IF(AQ388&gt;='01_設定'!$C$26,1,0))</f>
        <v/>
      </c>
      <c r="AT388" s="34">
        <f>IF(AND(W388="OK",Y388&lt;&gt;"除外"),COUNTIFS($W$5:W388,"OK",$Y$5:Y388,"&lt;&gt;除外"),"")</f>
        <v/>
      </c>
      <c r="AU388" s="34">
        <f>IF(OR(AT388="",AD388=""),"",AD388+ROW()/1000000000)</f>
        <v/>
      </c>
    </row>
    <row r="389">
      <c r="W389">
        <f>IF(AND(A389="",D389=""),"",IF(ISNUMBER(SEARCH("##END",AH389)),"（終わりの印）",IF(ISNUMBER(SEARCH("##続き",AH389)),"（続きありの印）",IF(AH389="調査ID","（見出し行）",IF(AND(AH389&lt;&gt;"R1",AH389&lt;&gt;"R2"),"×表以外の行（集計されない）",IF(COUNTIF($AI$5:AI389,AI389)&gt;1,"△重複（集計されない）",IF(D389="","△タスク名なし",IF(ISNA(MATCH(AK389,'M1_類型マスタ'!$A$5:$A$19,0)),"△類型が不正",IF(OR(AM389="",AN389=""),"△回数・分が読めない",IF(SUMPRODUCT(--ISNUMBER(--O389:U389))&lt;7,"△採点が足りない",IF(SUMPRODUCT((--O389:U389&gt;2)+(--O389:U389&lt;0))&gt;0,"△採点が範囲外","OK")))))))))))</f>
        <v/>
      </c>
      <c r="X389">
        <f>IF(W389&lt;&gt;"OK","",TRIM(IF(AND(AO389&lt;&gt;"",N(AO389)&lt;=1),"根拠1件 ","")&amp;IF(AP389&lt;&gt;"","同名あり ","")&amp;IF(AND(NOT(ISNUMBER(I389)),I389&lt;&gt;""),"回数を換算 ","")))</f>
        <v/>
      </c>
      <c r="Y389" s="31" t="n"/>
      <c r="Z389" s="32" t="n"/>
      <c r="AA389" s="32" t="n"/>
      <c r="AB389" s="31" t="n"/>
      <c r="AC389">
        <f>IF(W389&lt;&gt;"OK","",IF(AB389&lt;&gt;"",AB389,AE389))</f>
        <v/>
      </c>
      <c r="AD389" s="33">
        <f>IF(W389&lt;&gt;"OK","",IFERROR(IF(Z389&lt;&gt;"",Z389,AM389)*IF(AA389&lt;&gt;"",AA389,AN389)/60,""))</f>
        <v/>
      </c>
      <c r="AE389">
        <f>IF(W389&lt;&gt;"OK","",IF(OR(VALUE(O389)=2,VALUE(P389)=2,VALUE(Q389)=2),"社内残置",IF(AND(VALUE(O389)=0,VALUE(R389)=0,VALUE(T389)=0),"自動化候補",IF(AND(VALUE(P389)=0,VALUE(R389)&lt;=1,VALUE(S389)&lt;=1,VALUE(T389)&lt;=1,VALUE(U389)&lt;=1),"オフショア候補",IF(AND(VALUE(T389)&lt;=1,VALUE(U389)&lt;=1),"ニアショア候補","社内で手順化→再評価")))))</f>
        <v/>
      </c>
      <c r="AF389">
        <f>IF(W389&lt;&gt;"OK","",14-SUMPRODUCT(--O389:U389))</f>
        <v/>
      </c>
      <c r="AG389" s="33">
        <f>IF(W389&lt;&gt;"OK","",AM389*AN389/60)</f>
        <v/>
      </c>
      <c r="AH389" s="34">
        <f>IF(A389="","",UPPER(TRIM(ASC(A389&amp;""))))</f>
        <v/>
      </c>
      <c r="AI389" s="34">
        <f>IF(AH389="","",AH389&amp;"-"&amp;B389)</f>
        <v/>
      </c>
      <c r="AJ389" s="34">
        <f>IF(C389="","",IFERROR(VALUE(ASC(SUBSTITUTE(C389&amp;"","観点",""))),""))</f>
        <v/>
      </c>
      <c r="AK389" s="34">
        <f>IF(E389="","",UPPER(LEFT(TRIM(ASC(E389&amp;"")),3)))</f>
        <v/>
      </c>
      <c r="AL389" s="34">
        <f>IF(I389="","",IFERROR(VALUE(SUBSTITUTE(SUBSTITUTE(SUBSTITUTE(SUBSTITUTE(SUBSTITUTE(SUBSTITUTE(SUBSTITUTE(SUBSTITUTE(SUBSTITUTE(SUBSTITUTE(SUBSTITUTE(SUBSTITUTE(ASC(I389&amp;""),"約",""),"程度",""),"ほど",""),"回",""),"毎",""),"週",""),"月",""),"年",""),"日",""),"に",""),"/","")," ","")),""))</f>
        <v/>
      </c>
      <c r="AM389" s="34">
        <f>IF(I389="","",IF(ISNUMBER(I389),I389,IFERROR(VALUE(ASC(I389&amp;"")),IF(AL389&lt;&gt;"",AL389*IF(ISNUMBER(SEARCH("週",I389)),4.3,IF(ISNUMBER(SEARCH("年",I389)),1/12,IF(ISNUMBER(SEARCH("日",I389)),20,1))),IF(ISNUMBER(SEARCH("日",I389)),20,IF(ISNUMBER(SEARCH("週",I389)),4.3,IF(ISNUMBER(SEARCH("月",I389)),1,"")))))))</f>
        <v/>
      </c>
      <c r="AN389" s="34">
        <f>IF(J389="","",IF(ISNUMBER(J389),J389,IFERROR(VALUE(ASC(J389&amp;"")),IF(ISNUMBER(SEARCH("時間",J389)),IFERROR(VALUE(SUBSTITUTE(SUBSTITUTE(SUBSTITUTE(SUBSTITUTE(SUBSTITUTE(ASC(J389&amp;""),"約",""),"程度",""),"ほど",""),"時間","")," ",""))*60,""),IFERROR(VALUE(SUBSTITUTE(SUBSTITUTE(SUBSTITUTE(SUBSTITUTE(SUBSTITUTE(ASC(J389&amp;""),"約",""),"程度",""),"ほど",""),"分","")," ","")),"")))))</f>
        <v/>
      </c>
      <c r="AO389" s="34">
        <f>IF(K389="","",IF(ISNUMBER(K389),K389,IFERROR(VALUE(SUBSTITUTE(SUBSTITUTE(SUBSTITUTE(ASC(K389&amp;""),"約",""),"件","")," ","")),"")))</f>
        <v/>
      </c>
      <c r="AP389" s="34">
        <f>IF(W389&lt;&gt;"OK","",IF(COUNTIFS($D$5:$D$404,D389,$W$5:$W$404,"OK")&gt;1,"同名あり",""))</f>
        <v/>
      </c>
      <c r="AQ389" s="35">
        <f>IF(L389="","",IF(ISNUMBER(L389),L389,IFERROR(DATEVALUE(SUBSTITUTE(SUBSTITUTE(ASC(L389&amp;""),"-","/"),".","/")&amp;"/01"),"")))</f>
        <v/>
      </c>
      <c r="AR389" s="35">
        <f>IF(M389="","",IF(ISNUMBER(M389),M389,IFERROR(DATEVALUE(SUBSTITUTE(SUBSTITUTE(ASC(M389&amp;""),"-","/"),".","/")&amp;"/01"),"")))</f>
        <v/>
      </c>
      <c r="AS389" s="34">
        <f>IF(OR(W389&lt;&gt;"OK",AQ389=""),"",IF(AQ389&gt;='01_設定'!$C$26,1,0))</f>
        <v/>
      </c>
      <c r="AT389" s="34">
        <f>IF(AND(W389="OK",Y389&lt;&gt;"除外"),COUNTIFS($W$5:W389,"OK",$Y$5:Y389,"&lt;&gt;除外"),"")</f>
        <v/>
      </c>
      <c r="AU389" s="34">
        <f>IF(OR(AT389="",AD389=""),"",AD389+ROW()/1000000000)</f>
        <v/>
      </c>
    </row>
    <row r="390">
      <c r="W390">
        <f>IF(AND(A390="",D390=""),"",IF(ISNUMBER(SEARCH("##END",AH390)),"（終わりの印）",IF(ISNUMBER(SEARCH("##続き",AH390)),"（続きありの印）",IF(AH390="調査ID","（見出し行）",IF(AND(AH390&lt;&gt;"R1",AH390&lt;&gt;"R2"),"×表以外の行（集計されない）",IF(COUNTIF($AI$5:AI390,AI390)&gt;1,"△重複（集計されない）",IF(D390="","△タスク名なし",IF(ISNA(MATCH(AK390,'M1_類型マスタ'!$A$5:$A$19,0)),"△類型が不正",IF(OR(AM390="",AN390=""),"△回数・分が読めない",IF(SUMPRODUCT(--ISNUMBER(--O390:U390))&lt;7,"△採点が足りない",IF(SUMPRODUCT((--O390:U390&gt;2)+(--O390:U390&lt;0))&gt;0,"△採点が範囲外","OK")))))))))))</f>
        <v/>
      </c>
      <c r="X390">
        <f>IF(W390&lt;&gt;"OK","",TRIM(IF(AND(AO390&lt;&gt;"",N(AO390)&lt;=1),"根拠1件 ","")&amp;IF(AP390&lt;&gt;"","同名あり ","")&amp;IF(AND(NOT(ISNUMBER(I390)),I390&lt;&gt;""),"回数を換算 ","")))</f>
        <v/>
      </c>
      <c r="Y390" s="31" t="n"/>
      <c r="Z390" s="32" t="n"/>
      <c r="AA390" s="32" t="n"/>
      <c r="AB390" s="31" t="n"/>
      <c r="AC390">
        <f>IF(W390&lt;&gt;"OK","",IF(AB390&lt;&gt;"",AB390,AE390))</f>
        <v/>
      </c>
      <c r="AD390" s="33">
        <f>IF(W390&lt;&gt;"OK","",IFERROR(IF(Z390&lt;&gt;"",Z390,AM390)*IF(AA390&lt;&gt;"",AA390,AN390)/60,""))</f>
        <v/>
      </c>
      <c r="AE390">
        <f>IF(W390&lt;&gt;"OK","",IF(OR(VALUE(O390)=2,VALUE(P390)=2,VALUE(Q390)=2),"社内残置",IF(AND(VALUE(O390)=0,VALUE(R390)=0,VALUE(T390)=0),"自動化候補",IF(AND(VALUE(P390)=0,VALUE(R390)&lt;=1,VALUE(S390)&lt;=1,VALUE(T390)&lt;=1,VALUE(U390)&lt;=1),"オフショア候補",IF(AND(VALUE(T390)&lt;=1,VALUE(U390)&lt;=1),"ニアショア候補","社内で手順化→再評価")))))</f>
        <v/>
      </c>
      <c r="AF390">
        <f>IF(W390&lt;&gt;"OK","",14-SUMPRODUCT(--O390:U390))</f>
        <v/>
      </c>
      <c r="AG390" s="33">
        <f>IF(W390&lt;&gt;"OK","",AM390*AN390/60)</f>
        <v/>
      </c>
      <c r="AH390" s="34">
        <f>IF(A390="","",UPPER(TRIM(ASC(A390&amp;""))))</f>
        <v/>
      </c>
      <c r="AI390" s="34">
        <f>IF(AH390="","",AH390&amp;"-"&amp;B390)</f>
        <v/>
      </c>
      <c r="AJ390" s="34">
        <f>IF(C390="","",IFERROR(VALUE(ASC(SUBSTITUTE(C390&amp;"","観点",""))),""))</f>
        <v/>
      </c>
      <c r="AK390" s="34">
        <f>IF(E390="","",UPPER(LEFT(TRIM(ASC(E390&amp;"")),3)))</f>
        <v/>
      </c>
      <c r="AL390" s="34">
        <f>IF(I390="","",IFERROR(VALUE(SUBSTITUTE(SUBSTITUTE(SUBSTITUTE(SUBSTITUTE(SUBSTITUTE(SUBSTITUTE(SUBSTITUTE(SUBSTITUTE(SUBSTITUTE(SUBSTITUTE(SUBSTITUTE(SUBSTITUTE(ASC(I390&amp;""),"約",""),"程度",""),"ほど",""),"回",""),"毎",""),"週",""),"月",""),"年",""),"日",""),"に",""),"/","")," ","")),""))</f>
        <v/>
      </c>
      <c r="AM390" s="34">
        <f>IF(I390="","",IF(ISNUMBER(I390),I390,IFERROR(VALUE(ASC(I390&amp;"")),IF(AL390&lt;&gt;"",AL390*IF(ISNUMBER(SEARCH("週",I390)),4.3,IF(ISNUMBER(SEARCH("年",I390)),1/12,IF(ISNUMBER(SEARCH("日",I390)),20,1))),IF(ISNUMBER(SEARCH("日",I390)),20,IF(ISNUMBER(SEARCH("週",I390)),4.3,IF(ISNUMBER(SEARCH("月",I390)),1,"")))))))</f>
        <v/>
      </c>
      <c r="AN390" s="34">
        <f>IF(J390="","",IF(ISNUMBER(J390),J390,IFERROR(VALUE(ASC(J390&amp;"")),IF(ISNUMBER(SEARCH("時間",J390)),IFERROR(VALUE(SUBSTITUTE(SUBSTITUTE(SUBSTITUTE(SUBSTITUTE(SUBSTITUTE(ASC(J390&amp;""),"約",""),"程度",""),"ほど",""),"時間","")," ",""))*60,""),IFERROR(VALUE(SUBSTITUTE(SUBSTITUTE(SUBSTITUTE(SUBSTITUTE(SUBSTITUTE(ASC(J390&amp;""),"約",""),"程度",""),"ほど",""),"分","")," ","")),"")))))</f>
        <v/>
      </c>
      <c r="AO390" s="34">
        <f>IF(K390="","",IF(ISNUMBER(K390),K390,IFERROR(VALUE(SUBSTITUTE(SUBSTITUTE(SUBSTITUTE(ASC(K390&amp;""),"約",""),"件","")," ","")),"")))</f>
        <v/>
      </c>
      <c r="AP390" s="34">
        <f>IF(W390&lt;&gt;"OK","",IF(COUNTIFS($D$5:$D$404,D390,$W$5:$W$404,"OK")&gt;1,"同名あり",""))</f>
        <v/>
      </c>
      <c r="AQ390" s="35">
        <f>IF(L390="","",IF(ISNUMBER(L390),L390,IFERROR(DATEVALUE(SUBSTITUTE(SUBSTITUTE(ASC(L390&amp;""),"-","/"),".","/")&amp;"/01"),"")))</f>
        <v/>
      </c>
      <c r="AR390" s="35">
        <f>IF(M390="","",IF(ISNUMBER(M390),M390,IFERROR(DATEVALUE(SUBSTITUTE(SUBSTITUTE(ASC(M390&amp;""),"-","/"),".","/")&amp;"/01"),"")))</f>
        <v/>
      </c>
      <c r="AS390" s="34">
        <f>IF(OR(W390&lt;&gt;"OK",AQ390=""),"",IF(AQ390&gt;='01_設定'!$C$26,1,0))</f>
        <v/>
      </c>
      <c r="AT390" s="34">
        <f>IF(AND(W390="OK",Y390&lt;&gt;"除外"),COUNTIFS($W$5:W390,"OK",$Y$5:Y390,"&lt;&gt;除外"),"")</f>
        <v/>
      </c>
      <c r="AU390" s="34">
        <f>IF(OR(AT390="",AD390=""),"",AD390+ROW()/1000000000)</f>
        <v/>
      </c>
    </row>
    <row r="391">
      <c r="W391">
        <f>IF(AND(A391="",D391=""),"",IF(ISNUMBER(SEARCH("##END",AH391)),"（終わりの印）",IF(ISNUMBER(SEARCH("##続き",AH391)),"（続きありの印）",IF(AH391="調査ID","（見出し行）",IF(AND(AH391&lt;&gt;"R1",AH391&lt;&gt;"R2"),"×表以外の行（集計されない）",IF(COUNTIF($AI$5:AI391,AI391)&gt;1,"△重複（集計されない）",IF(D391="","△タスク名なし",IF(ISNA(MATCH(AK391,'M1_類型マスタ'!$A$5:$A$19,0)),"△類型が不正",IF(OR(AM391="",AN391=""),"△回数・分が読めない",IF(SUMPRODUCT(--ISNUMBER(--O391:U391))&lt;7,"△採点が足りない",IF(SUMPRODUCT((--O391:U391&gt;2)+(--O391:U391&lt;0))&gt;0,"△採点が範囲外","OK")))))))))))</f>
        <v/>
      </c>
      <c r="X391">
        <f>IF(W391&lt;&gt;"OK","",TRIM(IF(AND(AO391&lt;&gt;"",N(AO391)&lt;=1),"根拠1件 ","")&amp;IF(AP391&lt;&gt;"","同名あり ","")&amp;IF(AND(NOT(ISNUMBER(I391)),I391&lt;&gt;""),"回数を換算 ","")))</f>
        <v/>
      </c>
      <c r="Y391" s="31" t="n"/>
      <c r="Z391" s="32" t="n"/>
      <c r="AA391" s="32" t="n"/>
      <c r="AB391" s="31" t="n"/>
      <c r="AC391">
        <f>IF(W391&lt;&gt;"OK","",IF(AB391&lt;&gt;"",AB391,AE391))</f>
        <v/>
      </c>
      <c r="AD391" s="33">
        <f>IF(W391&lt;&gt;"OK","",IFERROR(IF(Z391&lt;&gt;"",Z391,AM391)*IF(AA391&lt;&gt;"",AA391,AN391)/60,""))</f>
        <v/>
      </c>
      <c r="AE391">
        <f>IF(W391&lt;&gt;"OK","",IF(OR(VALUE(O391)=2,VALUE(P391)=2,VALUE(Q391)=2),"社内残置",IF(AND(VALUE(O391)=0,VALUE(R391)=0,VALUE(T391)=0),"自動化候補",IF(AND(VALUE(P391)=0,VALUE(R391)&lt;=1,VALUE(S391)&lt;=1,VALUE(T391)&lt;=1,VALUE(U391)&lt;=1),"オフショア候補",IF(AND(VALUE(T391)&lt;=1,VALUE(U391)&lt;=1),"ニアショア候補","社内で手順化→再評価")))))</f>
        <v/>
      </c>
      <c r="AF391">
        <f>IF(W391&lt;&gt;"OK","",14-SUMPRODUCT(--O391:U391))</f>
        <v/>
      </c>
      <c r="AG391" s="33">
        <f>IF(W391&lt;&gt;"OK","",AM391*AN391/60)</f>
        <v/>
      </c>
      <c r="AH391" s="34">
        <f>IF(A391="","",UPPER(TRIM(ASC(A391&amp;""))))</f>
        <v/>
      </c>
      <c r="AI391" s="34">
        <f>IF(AH391="","",AH391&amp;"-"&amp;B391)</f>
        <v/>
      </c>
      <c r="AJ391" s="34">
        <f>IF(C391="","",IFERROR(VALUE(ASC(SUBSTITUTE(C391&amp;"","観点",""))),""))</f>
        <v/>
      </c>
      <c r="AK391" s="34">
        <f>IF(E391="","",UPPER(LEFT(TRIM(ASC(E391&amp;"")),3)))</f>
        <v/>
      </c>
      <c r="AL391" s="34">
        <f>IF(I391="","",IFERROR(VALUE(SUBSTITUTE(SUBSTITUTE(SUBSTITUTE(SUBSTITUTE(SUBSTITUTE(SUBSTITUTE(SUBSTITUTE(SUBSTITUTE(SUBSTITUTE(SUBSTITUTE(SUBSTITUTE(SUBSTITUTE(ASC(I391&amp;""),"約",""),"程度",""),"ほど",""),"回",""),"毎",""),"週",""),"月",""),"年",""),"日",""),"に",""),"/","")," ","")),""))</f>
        <v/>
      </c>
      <c r="AM391" s="34">
        <f>IF(I391="","",IF(ISNUMBER(I391),I391,IFERROR(VALUE(ASC(I391&amp;"")),IF(AL391&lt;&gt;"",AL391*IF(ISNUMBER(SEARCH("週",I391)),4.3,IF(ISNUMBER(SEARCH("年",I391)),1/12,IF(ISNUMBER(SEARCH("日",I391)),20,1))),IF(ISNUMBER(SEARCH("日",I391)),20,IF(ISNUMBER(SEARCH("週",I391)),4.3,IF(ISNUMBER(SEARCH("月",I391)),1,"")))))))</f>
        <v/>
      </c>
      <c r="AN391" s="34">
        <f>IF(J391="","",IF(ISNUMBER(J391),J391,IFERROR(VALUE(ASC(J391&amp;"")),IF(ISNUMBER(SEARCH("時間",J391)),IFERROR(VALUE(SUBSTITUTE(SUBSTITUTE(SUBSTITUTE(SUBSTITUTE(SUBSTITUTE(ASC(J391&amp;""),"約",""),"程度",""),"ほど",""),"時間","")," ",""))*60,""),IFERROR(VALUE(SUBSTITUTE(SUBSTITUTE(SUBSTITUTE(SUBSTITUTE(SUBSTITUTE(ASC(J391&amp;""),"約",""),"程度",""),"ほど",""),"分","")," ","")),"")))))</f>
        <v/>
      </c>
      <c r="AO391" s="34">
        <f>IF(K391="","",IF(ISNUMBER(K391),K391,IFERROR(VALUE(SUBSTITUTE(SUBSTITUTE(SUBSTITUTE(ASC(K391&amp;""),"約",""),"件","")," ","")),"")))</f>
        <v/>
      </c>
      <c r="AP391" s="34">
        <f>IF(W391&lt;&gt;"OK","",IF(COUNTIFS($D$5:$D$404,D391,$W$5:$W$404,"OK")&gt;1,"同名あり",""))</f>
        <v/>
      </c>
      <c r="AQ391" s="35">
        <f>IF(L391="","",IF(ISNUMBER(L391),L391,IFERROR(DATEVALUE(SUBSTITUTE(SUBSTITUTE(ASC(L391&amp;""),"-","/"),".","/")&amp;"/01"),"")))</f>
        <v/>
      </c>
      <c r="AR391" s="35">
        <f>IF(M391="","",IF(ISNUMBER(M391),M391,IFERROR(DATEVALUE(SUBSTITUTE(SUBSTITUTE(ASC(M391&amp;""),"-","/"),".","/")&amp;"/01"),"")))</f>
        <v/>
      </c>
      <c r="AS391" s="34">
        <f>IF(OR(W391&lt;&gt;"OK",AQ391=""),"",IF(AQ391&gt;='01_設定'!$C$26,1,0))</f>
        <v/>
      </c>
      <c r="AT391" s="34">
        <f>IF(AND(W391="OK",Y391&lt;&gt;"除外"),COUNTIFS($W$5:W391,"OK",$Y$5:Y391,"&lt;&gt;除外"),"")</f>
        <v/>
      </c>
      <c r="AU391" s="34">
        <f>IF(OR(AT391="",AD391=""),"",AD391+ROW()/1000000000)</f>
        <v/>
      </c>
    </row>
    <row r="392">
      <c r="W392">
        <f>IF(AND(A392="",D392=""),"",IF(ISNUMBER(SEARCH("##END",AH392)),"（終わりの印）",IF(ISNUMBER(SEARCH("##続き",AH392)),"（続きありの印）",IF(AH392="調査ID","（見出し行）",IF(AND(AH392&lt;&gt;"R1",AH392&lt;&gt;"R2"),"×表以外の行（集計されない）",IF(COUNTIF($AI$5:AI392,AI392)&gt;1,"△重複（集計されない）",IF(D392="","△タスク名なし",IF(ISNA(MATCH(AK392,'M1_類型マスタ'!$A$5:$A$19,0)),"△類型が不正",IF(OR(AM392="",AN392=""),"△回数・分が読めない",IF(SUMPRODUCT(--ISNUMBER(--O392:U392))&lt;7,"△採点が足りない",IF(SUMPRODUCT((--O392:U392&gt;2)+(--O392:U392&lt;0))&gt;0,"△採点が範囲外","OK")))))))))))</f>
        <v/>
      </c>
      <c r="X392">
        <f>IF(W392&lt;&gt;"OK","",TRIM(IF(AND(AO392&lt;&gt;"",N(AO392)&lt;=1),"根拠1件 ","")&amp;IF(AP392&lt;&gt;"","同名あり ","")&amp;IF(AND(NOT(ISNUMBER(I392)),I392&lt;&gt;""),"回数を換算 ","")))</f>
        <v/>
      </c>
      <c r="Y392" s="31" t="n"/>
      <c r="Z392" s="32" t="n"/>
      <c r="AA392" s="32" t="n"/>
      <c r="AB392" s="31" t="n"/>
      <c r="AC392">
        <f>IF(W392&lt;&gt;"OK","",IF(AB392&lt;&gt;"",AB392,AE392))</f>
        <v/>
      </c>
      <c r="AD392" s="33">
        <f>IF(W392&lt;&gt;"OK","",IFERROR(IF(Z392&lt;&gt;"",Z392,AM392)*IF(AA392&lt;&gt;"",AA392,AN392)/60,""))</f>
        <v/>
      </c>
      <c r="AE392">
        <f>IF(W392&lt;&gt;"OK","",IF(OR(VALUE(O392)=2,VALUE(P392)=2,VALUE(Q392)=2),"社内残置",IF(AND(VALUE(O392)=0,VALUE(R392)=0,VALUE(T392)=0),"自動化候補",IF(AND(VALUE(P392)=0,VALUE(R392)&lt;=1,VALUE(S392)&lt;=1,VALUE(T392)&lt;=1,VALUE(U392)&lt;=1),"オフショア候補",IF(AND(VALUE(T392)&lt;=1,VALUE(U392)&lt;=1),"ニアショア候補","社内で手順化→再評価")))))</f>
        <v/>
      </c>
      <c r="AF392">
        <f>IF(W392&lt;&gt;"OK","",14-SUMPRODUCT(--O392:U392))</f>
        <v/>
      </c>
      <c r="AG392" s="33">
        <f>IF(W392&lt;&gt;"OK","",AM392*AN392/60)</f>
        <v/>
      </c>
      <c r="AH392" s="34">
        <f>IF(A392="","",UPPER(TRIM(ASC(A392&amp;""))))</f>
        <v/>
      </c>
      <c r="AI392" s="34">
        <f>IF(AH392="","",AH392&amp;"-"&amp;B392)</f>
        <v/>
      </c>
      <c r="AJ392" s="34">
        <f>IF(C392="","",IFERROR(VALUE(ASC(SUBSTITUTE(C392&amp;"","観点",""))),""))</f>
        <v/>
      </c>
      <c r="AK392" s="34">
        <f>IF(E392="","",UPPER(LEFT(TRIM(ASC(E392&amp;"")),3)))</f>
        <v/>
      </c>
      <c r="AL392" s="34">
        <f>IF(I392="","",IFERROR(VALUE(SUBSTITUTE(SUBSTITUTE(SUBSTITUTE(SUBSTITUTE(SUBSTITUTE(SUBSTITUTE(SUBSTITUTE(SUBSTITUTE(SUBSTITUTE(SUBSTITUTE(SUBSTITUTE(SUBSTITUTE(ASC(I392&amp;""),"約",""),"程度",""),"ほど",""),"回",""),"毎",""),"週",""),"月",""),"年",""),"日",""),"に",""),"/","")," ","")),""))</f>
        <v/>
      </c>
      <c r="AM392" s="34">
        <f>IF(I392="","",IF(ISNUMBER(I392),I392,IFERROR(VALUE(ASC(I392&amp;"")),IF(AL392&lt;&gt;"",AL392*IF(ISNUMBER(SEARCH("週",I392)),4.3,IF(ISNUMBER(SEARCH("年",I392)),1/12,IF(ISNUMBER(SEARCH("日",I392)),20,1))),IF(ISNUMBER(SEARCH("日",I392)),20,IF(ISNUMBER(SEARCH("週",I392)),4.3,IF(ISNUMBER(SEARCH("月",I392)),1,"")))))))</f>
        <v/>
      </c>
      <c r="AN392" s="34">
        <f>IF(J392="","",IF(ISNUMBER(J392),J392,IFERROR(VALUE(ASC(J392&amp;"")),IF(ISNUMBER(SEARCH("時間",J392)),IFERROR(VALUE(SUBSTITUTE(SUBSTITUTE(SUBSTITUTE(SUBSTITUTE(SUBSTITUTE(ASC(J392&amp;""),"約",""),"程度",""),"ほど",""),"時間","")," ",""))*60,""),IFERROR(VALUE(SUBSTITUTE(SUBSTITUTE(SUBSTITUTE(SUBSTITUTE(SUBSTITUTE(ASC(J392&amp;""),"約",""),"程度",""),"ほど",""),"分","")," ","")),"")))))</f>
        <v/>
      </c>
      <c r="AO392" s="34">
        <f>IF(K392="","",IF(ISNUMBER(K392),K392,IFERROR(VALUE(SUBSTITUTE(SUBSTITUTE(SUBSTITUTE(ASC(K392&amp;""),"約",""),"件","")," ","")),"")))</f>
        <v/>
      </c>
      <c r="AP392" s="34">
        <f>IF(W392&lt;&gt;"OK","",IF(COUNTIFS($D$5:$D$404,D392,$W$5:$W$404,"OK")&gt;1,"同名あり",""))</f>
        <v/>
      </c>
      <c r="AQ392" s="35">
        <f>IF(L392="","",IF(ISNUMBER(L392),L392,IFERROR(DATEVALUE(SUBSTITUTE(SUBSTITUTE(ASC(L392&amp;""),"-","/"),".","/")&amp;"/01"),"")))</f>
        <v/>
      </c>
      <c r="AR392" s="35">
        <f>IF(M392="","",IF(ISNUMBER(M392),M392,IFERROR(DATEVALUE(SUBSTITUTE(SUBSTITUTE(ASC(M392&amp;""),"-","/"),".","/")&amp;"/01"),"")))</f>
        <v/>
      </c>
      <c r="AS392" s="34">
        <f>IF(OR(W392&lt;&gt;"OK",AQ392=""),"",IF(AQ392&gt;='01_設定'!$C$26,1,0))</f>
        <v/>
      </c>
      <c r="AT392" s="34">
        <f>IF(AND(W392="OK",Y392&lt;&gt;"除外"),COUNTIFS($W$5:W392,"OK",$Y$5:Y392,"&lt;&gt;除外"),"")</f>
        <v/>
      </c>
      <c r="AU392" s="34">
        <f>IF(OR(AT392="",AD392=""),"",AD392+ROW()/1000000000)</f>
        <v/>
      </c>
    </row>
    <row r="393">
      <c r="W393">
        <f>IF(AND(A393="",D393=""),"",IF(ISNUMBER(SEARCH("##END",AH393)),"（終わりの印）",IF(ISNUMBER(SEARCH("##続き",AH393)),"（続きありの印）",IF(AH393="調査ID","（見出し行）",IF(AND(AH393&lt;&gt;"R1",AH393&lt;&gt;"R2"),"×表以外の行（集計されない）",IF(COUNTIF($AI$5:AI393,AI393)&gt;1,"△重複（集計されない）",IF(D393="","△タスク名なし",IF(ISNA(MATCH(AK393,'M1_類型マスタ'!$A$5:$A$19,0)),"△類型が不正",IF(OR(AM393="",AN393=""),"△回数・分が読めない",IF(SUMPRODUCT(--ISNUMBER(--O393:U393))&lt;7,"△採点が足りない",IF(SUMPRODUCT((--O393:U393&gt;2)+(--O393:U393&lt;0))&gt;0,"△採点が範囲外","OK")))))))))))</f>
        <v/>
      </c>
      <c r="X393">
        <f>IF(W393&lt;&gt;"OK","",TRIM(IF(AND(AO393&lt;&gt;"",N(AO393)&lt;=1),"根拠1件 ","")&amp;IF(AP393&lt;&gt;"","同名あり ","")&amp;IF(AND(NOT(ISNUMBER(I393)),I393&lt;&gt;""),"回数を換算 ","")))</f>
        <v/>
      </c>
      <c r="Y393" s="31" t="n"/>
      <c r="Z393" s="32" t="n"/>
      <c r="AA393" s="32" t="n"/>
      <c r="AB393" s="31" t="n"/>
      <c r="AC393">
        <f>IF(W393&lt;&gt;"OK","",IF(AB393&lt;&gt;"",AB393,AE393))</f>
        <v/>
      </c>
      <c r="AD393" s="33">
        <f>IF(W393&lt;&gt;"OK","",IFERROR(IF(Z393&lt;&gt;"",Z393,AM393)*IF(AA393&lt;&gt;"",AA393,AN393)/60,""))</f>
        <v/>
      </c>
      <c r="AE393">
        <f>IF(W393&lt;&gt;"OK","",IF(OR(VALUE(O393)=2,VALUE(P393)=2,VALUE(Q393)=2),"社内残置",IF(AND(VALUE(O393)=0,VALUE(R393)=0,VALUE(T393)=0),"自動化候補",IF(AND(VALUE(P393)=0,VALUE(R393)&lt;=1,VALUE(S393)&lt;=1,VALUE(T393)&lt;=1,VALUE(U393)&lt;=1),"オフショア候補",IF(AND(VALUE(T393)&lt;=1,VALUE(U393)&lt;=1),"ニアショア候補","社内で手順化→再評価")))))</f>
        <v/>
      </c>
      <c r="AF393">
        <f>IF(W393&lt;&gt;"OK","",14-SUMPRODUCT(--O393:U393))</f>
        <v/>
      </c>
      <c r="AG393" s="33">
        <f>IF(W393&lt;&gt;"OK","",AM393*AN393/60)</f>
        <v/>
      </c>
      <c r="AH393" s="34">
        <f>IF(A393="","",UPPER(TRIM(ASC(A393&amp;""))))</f>
        <v/>
      </c>
      <c r="AI393" s="34">
        <f>IF(AH393="","",AH393&amp;"-"&amp;B393)</f>
        <v/>
      </c>
      <c r="AJ393" s="34">
        <f>IF(C393="","",IFERROR(VALUE(ASC(SUBSTITUTE(C393&amp;"","観点",""))),""))</f>
        <v/>
      </c>
      <c r="AK393" s="34">
        <f>IF(E393="","",UPPER(LEFT(TRIM(ASC(E393&amp;"")),3)))</f>
        <v/>
      </c>
      <c r="AL393" s="34">
        <f>IF(I393="","",IFERROR(VALUE(SUBSTITUTE(SUBSTITUTE(SUBSTITUTE(SUBSTITUTE(SUBSTITUTE(SUBSTITUTE(SUBSTITUTE(SUBSTITUTE(SUBSTITUTE(SUBSTITUTE(SUBSTITUTE(SUBSTITUTE(ASC(I393&amp;""),"約",""),"程度",""),"ほど",""),"回",""),"毎",""),"週",""),"月",""),"年",""),"日",""),"に",""),"/","")," ","")),""))</f>
        <v/>
      </c>
      <c r="AM393" s="34">
        <f>IF(I393="","",IF(ISNUMBER(I393),I393,IFERROR(VALUE(ASC(I393&amp;"")),IF(AL393&lt;&gt;"",AL393*IF(ISNUMBER(SEARCH("週",I393)),4.3,IF(ISNUMBER(SEARCH("年",I393)),1/12,IF(ISNUMBER(SEARCH("日",I393)),20,1))),IF(ISNUMBER(SEARCH("日",I393)),20,IF(ISNUMBER(SEARCH("週",I393)),4.3,IF(ISNUMBER(SEARCH("月",I393)),1,"")))))))</f>
        <v/>
      </c>
      <c r="AN393" s="34">
        <f>IF(J393="","",IF(ISNUMBER(J393),J393,IFERROR(VALUE(ASC(J393&amp;"")),IF(ISNUMBER(SEARCH("時間",J393)),IFERROR(VALUE(SUBSTITUTE(SUBSTITUTE(SUBSTITUTE(SUBSTITUTE(SUBSTITUTE(ASC(J393&amp;""),"約",""),"程度",""),"ほど",""),"時間","")," ",""))*60,""),IFERROR(VALUE(SUBSTITUTE(SUBSTITUTE(SUBSTITUTE(SUBSTITUTE(SUBSTITUTE(ASC(J393&amp;""),"約",""),"程度",""),"ほど",""),"分","")," ","")),"")))))</f>
        <v/>
      </c>
      <c r="AO393" s="34">
        <f>IF(K393="","",IF(ISNUMBER(K393),K393,IFERROR(VALUE(SUBSTITUTE(SUBSTITUTE(SUBSTITUTE(ASC(K393&amp;""),"約",""),"件","")," ","")),"")))</f>
        <v/>
      </c>
      <c r="AP393" s="34">
        <f>IF(W393&lt;&gt;"OK","",IF(COUNTIFS($D$5:$D$404,D393,$W$5:$W$404,"OK")&gt;1,"同名あり",""))</f>
        <v/>
      </c>
      <c r="AQ393" s="35">
        <f>IF(L393="","",IF(ISNUMBER(L393),L393,IFERROR(DATEVALUE(SUBSTITUTE(SUBSTITUTE(ASC(L393&amp;""),"-","/"),".","/")&amp;"/01"),"")))</f>
        <v/>
      </c>
      <c r="AR393" s="35">
        <f>IF(M393="","",IF(ISNUMBER(M393),M393,IFERROR(DATEVALUE(SUBSTITUTE(SUBSTITUTE(ASC(M393&amp;""),"-","/"),".","/")&amp;"/01"),"")))</f>
        <v/>
      </c>
      <c r="AS393" s="34">
        <f>IF(OR(W393&lt;&gt;"OK",AQ393=""),"",IF(AQ393&gt;='01_設定'!$C$26,1,0))</f>
        <v/>
      </c>
      <c r="AT393" s="34">
        <f>IF(AND(W393="OK",Y393&lt;&gt;"除外"),COUNTIFS($W$5:W393,"OK",$Y$5:Y393,"&lt;&gt;除外"),"")</f>
        <v/>
      </c>
      <c r="AU393" s="34">
        <f>IF(OR(AT393="",AD393=""),"",AD393+ROW()/1000000000)</f>
        <v/>
      </c>
    </row>
    <row r="394">
      <c r="W394">
        <f>IF(AND(A394="",D394=""),"",IF(ISNUMBER(SEARCH("##END",AH394)),"（終わりの印）",IF(ISNUMBER(SEARCH("##続き",AH394)),"（続きありの印）",IF(AH394="調査ID","（見出し行）",IF(AND(AH394&lt;&gt;"R1",AH394&lt;&gt;"R2"),"×表以外の行（集計されない）",IF(COUNTIF($AI$5:AI394,AI394)&gt;1,"△重複（集計されない）",IF(D394="","△タスク名なし",IF(ISNA(MATCH(AK394,'M1_類型マスタ'!$A$5:$A$19,0)),"△類型が不正",IF(OR(AM394="",AN394=""),"△回数・分が読めない",IF(SUMPRODUCT(--ISNUMBER(--O394:U394))&lt;7,"△採点が足りない",IF(SUMPRODUCT((--O394:U394&gt;2)+(--O394:U394&lt;0))&gt;0,"△採点が範囲外","OK")))))))))))</f>
        <v/>
      </c>
      <c r="X394">
        <f>IF(W394&lt;&gt;"OK","",TRIM(IF(AND(AO394&lt;&gt;"",N(AO394)&lt;=1),"根拠1件 ","")&amp;IF(AP394&lt;&gt;"","同名あり ","")&amp;IF(AND(NOT(ISNUMBER(I394)),I394&lt;&gt;""),"回数を換算 ","")))</f>
        <v/>
      </c>
      <c r="Y394" s="31" t="n"/>
      <c r="Z394" s="32" t="n"/>
      <c r="AA394" s="32" t="n"/>
      <c r="AB394" s="31" t="n"/>
      <c r="AC394">
        <f>IF(W394&lt;&gt;"OK","",IF(AB394&lt;&gt;"",AB394,AE394))</f>
        <v/>
      </c>
      <c r="AD394" s="33">
        <f>IF(W394&lt;&gt;"OK","",IFERROR(IF(Z394&lt;&gt;"",Z394,AM394)*IF(AA394&lt;&gt;"",AA394,AN394)/60,""))</f>
        <v/>
      </c>
      <c r="AE394">
        <f>IF(W394&lt;&gt;"OK","",IF(OR(VALUE(O394)=2,VALUE(P394)=2,VALUE(Q394)=2),"社内残置",IF(AND(VALUE(O394)=0,VALUE(R394)=0,VALUE(T394)=0),"自動化候補",IF(AND(VALUE(P394)=0,VALUE(R394)&lt;=1,VALUE(S394)&lt;=1,VALUE(T394)&lt;=1,VALUE(U394)&lt;=1),"オフショア候補",IF(AND(VALUE(T394)&lt;=1,VALUE(U394)&lt;=1),"ニアショア候補","社内で手順化→再評価")))))</f>
        <v/>
      </c>
      <c r="AF394">
        <f>IF(W394&lt;&gt;"OK","",14-SUMPRODUCT(--O394:U394))</f>
        <v/>
      </c>
      <c r="AG394" s="33">
        <f>IF(W394&lt;&gt;"OK","",AM394*AN394/60)</f>
        <v/>
      </c>
      <c r="AH394" s="34">
        <f>IF(A394="","",UPPER(TRIM(ASC(A394&amp;""))))</f>
        <v/>
      </c>
      <c r="AI394" s="34">
        <f>IF(AH394="","",AH394&amp;"-"&amp;B394)</f>
        <v/>
      </c>
      <c r="AJ394" s="34">
        <f>IF(C394="","",IFERROR(VALUE(ASC(SUBSTITUTE(C394&amp;"","観点",""))),""))</f>
        <v/>
      </c>
      <c r="AK394" s="34">
        <f>IF(E394="","",UPPER(LEFT(TRIM(ASC(E394&amp;"")),3)))</f>
        <v/>
      </c>
      <c r="AL394" s="34">
        <f>IF(I394="","",IFERROR(VALUE(SUBSTITUTE(SUBSTITUTE(SUBSTITUTE(SUBSTITUTE(SUBSTITUTE(SUBSTITUTE(SUBSTITUTE(SUBSTITUTE(SUBSTITUTE(SUBSTITUTE(SUBSTITUTE(SUBSTITUTE(ASC(I394&amp;""),"約",""),"程度",""),"ほど",""),"回",""),"毎",""),"週",""),"月",""),"年",""),"日",""),"に",""),"/","")," ","")),""))</f>
        <v/>
      </c>
      <c r="AM394" s="34">
        <f>IF(I394="","",IF(ISNUMBER(I394),I394,IFERROR(VALUE(ASC(I394&amp;"")),IF(AL394&lt;&gt;"",AL394*IF(ISNUMBER(SEARCH("週",I394)),4.3,IF(ISNUMBER(SEARCH("年",I394)),1/12,IF(ISNUMBER(SEARCH("日",I394)),20,1))),IF(ISNUMBER(SEARCH("日",I394)),20,IF(ISNUMBER(SEARCH("週",I394)),4.3,IF(ISNUMBER(SEARCH("月",I394)),1,"")))))))</f>
        <v/>
      </c>
      <c r="AN394" s="34">
        <f>IF(J394="","",IF(ISNUMBER(J394),J394,IFERROR(VALUE(ASC(J394&amp;"")),IF(ISNUMBER(SEARCH("時間",J394)),IFERROR(VALUE(SUBSTITUTE(SUBSTITUTE(SUBSTITUTE(SUBSTITUTE(SUBSTITUTE(ASC(J394&amp;""),"約",""),"程度",""),"ほど",""),"時間","")," ",""))*60,""),IFERROR(VALUE(SUBSTITUTE(SUBSTITUTE(SUBSTITUTE(SUBSTITUTE(SUBSTITUTE(ASC(J394&amp;""),"約",""),"程度",""),"ほど",""),"分","")," ","")),"")))))</f>
        <v/>
      </c>
      <c r="AO394" s="34">
        <f>IF(K394="","",IF(ISNUMBER(K394),K394,IFERROR(VALUE(SUBSTITUTE(SUBSTITUTE(SUBSTITUTE(ASC(K394&amp;""),"約",""),"件","")," ","")),"")))</f>
        <v/>
      </c>
      <c r="AP394" s="34">
        <f>IF(W394&lt;&gt;"OK","",IF(COUNTIFS($D$5:$D$404,D394,$W$5:$W$404,"OK")&gt;1,"同名あり",""))</f>
        <v/>
      </c>
      <c r="AQ394" s="35">
        <f>IF(L394="","",IF(ISNUMBER(L394),L394,IFERROR(DATEVALUE(SUBSTITUTE(SUBSTITUTE(ASC(L394&amp;""),"-","/"),".","/")&amp;"/01"),"")))</f>
        <v/>
      </c>
      <c r="AR394" s="35">
        <f>IF(M394="","",IF(ISNUMBER(M394),M394,IFERROR(DATEVALUE(SUBSTITUTE(SUBSTITUTE(ASC(M394&amp;""),"-","/"),".","/")&amp;"/01"),"")))</f>
        <v/>
      </c>
      <c r="AS394" s="34">
        <f>IF(OR(W394&lt;&gt;"OK",AQ394=""),"",IF(AQ394&gt;='01_設定'!$C$26,1,0))</f>
        <v/>
      </c>
      <c r="AT394" s="34">
        <f>IF(AND(W394="OK",Y394&lt;&gt;"除外"),COUNTIFS($W$5:W394,"OK",$Y$5:Y394,"&lt;&gt;除外"),"")</f>
        <v/>
      </c>
      <c r="AU394" s="34">
        <f>IF(OR(AT394="",AD394=""),"",AD394+ROW()/1000000000)</f>
        <v/>
      </c>
    </row>
    <row r="395">
      <c r="W395">
        <f>IF(AND(A395="",D395=""),"",IF(ISNUMBER(SEARCH("##END",AH395)),"（終わりの印）",IF(ISNUMBER(SEARCH("##続き",AH395)),"（続きありの印）",IF(AH395="調査ID","（見出し行）",IF(AND(AH395&lt;&gt;"R1",AH395&lt;&gt;"R2"),"×表以外の行（集計されない）",IF(COUNTIF($AI$5:AI395,AI395)&gt;1,"△重複（集計されない）",IF(D395="","△タスク名なし",IF(ISNA(MATCH(AK395,'M1_類型マスタ'!$A$5:$A$19,0)),"△類型が不正",IF(OR(AM395="",AN395=""),"△回数・分が読めない",IF(SUMPRODUCT(--ISNUMBER(--O395:U395))&lt;7,"△採点が足りない",IF(SUMPRODUCT((--O395:U395&gt;2)+(--O395:U395&lt;0))&gt;0,"△採点が範囲外","OK")))))))))))</f>
        <v/>
      </c>
      <c r="X395">
        <f>IF(W395&lt;&gt;"OK","",TRIM(IF(AND(AO395&lt;&gt;"",N(AO395)&lt;=1),"根拠1件 ","")&amp;IF(AP395&lt;&gt;"","同名あり ","")&amp;IF(AND(NOT(ISNUMBER(I395)),I395&lt;&gt;""),"回数を換算 ","")))</f>
        <v/>
      </c>
      <c r="Y395" s="31" t="n"/>
      <c r="Z395" s="32" t="n"/>
      <c r="AA395" s="32" t="n"/>
      <c r="AB395" s="31" t="n"/>
      <c r="AC395">
        <f>IF(W395&lt;&gt;"OK","",IF(AB395&lt;&gt;"",AB395,AE395))</f>
        <v/>
      </c>
      <c r="AD395" s="33">
        <f>IF(W395&lt;&gt;"OK","",IFERROR(IF(Z395&lt;&gt;"",Z395,AM395)*IF(AA395&lt;&gt;"",AA395,AN395)/60,""))</f>
        <v/>
      </c>
      <c r="AE395">
        <f>IF(W395&lt;&gt;"OK","",IF(OR(VALUE(O395)=2,VALUE(P395)=2,VALUE(Q395)=2),"社内残置",IF(AND(VALUE(O395)=0,VALUE(R395)=0,VALUE(T395)=0),"自動化候補",IF(AND(VALUE(P395)=0,VALUE(R395)&lt;=1,VALUE(S395)&lt;=1,VALUE(T395)&lt;=1,VALUE(U395)&lt;=1),"オフショア候補",IF(AND(VALUE(T395)&lt;=1,VALUE(U395)&lt;=1),"ニアショア候補","社内で手順化→再評価")))))</f>
        <v/>
      </c>
      <c r="AF395">
        <f>IF(W395&lt;&gt;"OK","",14-SUMPRODUCT(--O395:U395))</f>
        <v/>
      </c>
      <c r="AG395" s="33">
        <f>IF(W395&lt;&gt;"OK","",AM395*AN395/60)</f>
        <v/>
      </c>
      <c r="AH395" s="34">
        <f>IF(A395="","",UPPER(TRIM(ASC(A395&amp;""))))</f>
        <v/>
      </c>
      <c r="AI395" s="34">
        <f>IF(AH395="","",AH395&amp;"-"&amp;B395)</f>
        <v/>
      </c>
      <c r="AJ395" s="34">
        <f>IF(C395="","",IFERROR(VALUE(ASC(SUBSTITUTE(C395&amp;"","観点",""))),""))</f>
        <v/>
      </c>
      <c r="AK395" s="34">
        <f>IF(E395="","",UPPER(LEFT(TRIM(ASC(E395&amp;"")),3)))</f>
        <v/>
      </c>
      <c r="AL395" s="34">
        <f>IF(I395="","",IFERROR(VALUE(SUBSTITUTE(SUBSTITUTE(SUBSTITUTE(SUBSTITUTE(SUBSTITUTE(SUBSTITUTE(SUBSTITUTE(SUBSTITUTE(SUBSTITUTE(SUBSTITUTE(SUBSTITUTE(SUBSTITUTE(ASC(I395&amp;""),"約",""),"程度",""),"ほど",""),"回",""),"毎",""),"週",""),"月",""),"年",""),"日",""),"に",""),"/","")," ","")),""))</f>
        <v/>
      </c>
      <c r="AM395" s="34">
        <f>IF(I395="","",IF(ISNUMBER(I395),I395,IFERROR(VALUE(ASC(I395&amp;"")),IF(AL395&lt;&gt;"",AL395*IF(ISNUMBER(SEARCH("週",I395)),4.3,IF(ISNUMBER(SEARCH("年",I395)),1/12,IF(ISNUMBER(SEARCH("日",I395)),20,1))),IF(ISNUMBER(SEARCH("日",I395)),20,IF(ISNUMBER(SEARCH("週",I395)),4.3,IF(ISNUMBER(SEARCH("月",I395)),1,"")))))))</f>
        <v/>
      </c>
      <c r="AN395" s="34">
        <f>IF(J395="","",IF(ISNUMBER(J395),J395,IFERROR(VALUE(ASC(J395&amp;"")),IF(ISNUMBER(SEARCH("時間",J395)),IFERROR(VALUE(SUBSTITUTE(SUBSTITUTE(SUBSTITUTE(SUBSTITUTE(SUBSTITUTE(ASC(J395&amp;""),"約",""),"程度",""),"ほど",""),"時間","")," ",""))*60,""),IFERROR(VALUE(SUBSTITUTE(SUBSTITUTE(SUBSTITUTE(SUBSTITUTE(SUBSTITUTE(ASC(J395&amp;""),"約",""),"程度",""),"ほど",""),"分","")," ","")),"")))))</f>
        <v/>
      </c>
      <c r="AO395" s="34">
        <f>IF(K395="","",IF(ISNUMBER(K395),K395,IFERROR(VALUE(SUBSTITUTE(SUBSTITUTE(SUBSTITUTE(ASC(K395&amp;""),"約",""),"件","")," ","")),"")))</f>
        <v/>
      </c>
      <c r="AP395" s="34">
        <f>IF(W395&lt;&gt;"OK","",IF(COUNTIFS($D$5:$D$404,D395,$W$5:$W$404,"OK")&gt;1,"同名あり",""))</f>
        <v/>
      </c>
      <c r="AQ395" s="35">
        <f>IF(L395="","",IF(ISNUMBER(L395),L395,IFERROR(DATEVALUE(SUBSTITUTE(SUBSTITUTE(ASC(L395&amp;""),"-","/"),".","/")&amp;"/01"),"")))</f>
        <v/>
      </c>
      <c r="AR395" s="35">
        <f>IF(M395="","",IF(ISNUMBER(M395),M395,IFERROR(DATEVALUE(SUBSTITUTE(SUBSTITUTE(ASC(M395&amp;""),"-","/"),".","/")&amp;"/01"),"")))</f>
        <v/>
      </c>
      <c r="AS395" s="34">
        <f>IF(OR(W395&lt;&gt;"OK",AQ395=""),"",IF(AQ395&gt;='01_設定'!$C$26,1,0))</f>
        <v/>
      </c>
      <c r="AT395" s="34">
        <f>IF(AND(W395="OK",Y395&lt;&gt;"除外"),COUNTIFS($W$5:W395,"OK",$Y$5:Y395,"&lt;&gt;除外"),"")</f>
        <v/>
      </c>
      <c r="AU395" s="34">
        <f>IF(OR(AT395="",AD395=""),"",AD395+ROW()/1000000000)</f>
        <v/>
      </c>
    </row>
    <row r="396">
      <c r="W396">
        <f>IF(AND(A396="",D396=""),"",IF(ISNUMBER(SEARCH("##END",AH396)),"（終わりの印）",IF(ISNUMBER(SEARCH("##続き",AH396)),"（続きありの印）",IF(AH396="調査ID","（見出し行）",IF(AND(AH396&lt;&gt;"R1",AH396&lt;&gt;"R2"),"×表以外の行（集計されない）",IF(COUNTIF($AI$5:AI396,AI396)&gt;1,"△重複（集計されない）",IF(D396="","△タスク名なし",IF(ISNA(MATCH(AK396,'M1_類型マスタ'!$A$5:$A$19,0)),"△類型が不正",IF(OR(AM396="",AN396=""),"△回数・分が読めない",IF(SUMPRODUCT(--ISNUMBER(--O396:U396))&lt;7,"△採点が足りない",IF(SUMPRODUCT((--O396:U396&gt;2)+(--O396:U396&lt;0))&gt;0,"△採点が範囲外","OK")))))))))))</f>
        <v/>
      </c>
      <c r="X396">
        <f>IF(W396&lt;&gt;"OK","",TRIM(IF(AND(AO396&lt;&gt;"",N(AO396)&lt;=1),"根拠1件 ","")&amp;IF(AP396&lt;&gt;"","同名あり ","")&amp;IF(AND(NOT(ISNUMBER(I396)),I396&lt;&gt;""),"回数を換算 ","")))</f>
        <v/>
      </c>
      <c r="Y396" s="31" t="n"/>
      <c r="Z396" s="32" t="n"/>
      <c r="AA396" s="32" t="n"/>
      <c r="AB396" s="31" t="n"/>
      <c r="AC396">
        <f>IF(W396&lt;&gt;"OK","",IF(AB396&lt;&gt;"",AB396,AE396))</f>
        <v/>
      </c>
      <c r="AD396" s="33">
        <f>IF(W396&lt;&gt;"OK","",IFERROR(IF(Z396&lt;&gt;"",Z396,AM396)*IF(AA396&lt;&gt;"",AA396,AN396)/60,""))</f>
        <v/>
      </c>
      <c r="AE396">
        <f>IF(W396&lt;&gt;"OK","",IF(OR(VALUE(O396)=2,VALUE(P396)=2,VALUE(Q396)=2),"社内残置",IF(AND(VALUE(O396)=0,VALUE(R396)=0,VALUE(T396)=0),"自動化候補",IF(AND(VALUE(P396)=0,VALUE(R396)&lt;=1,VALUE(S396)&lt;=1,VALUE(T396)&lt;=1,VALUE(U396)&lt;=1),"オフショア候補",IF(AND(VALUE(T396)&lt;=1,VALUE(U396)&lt;=1),"ニアショア候補","社内で手順化→再評価")))))</f>
        <v/>
      </c>
      <c r="AF396">
        <f>IF(W396&lt;&gt;"OK","",14-SUMPRODUCT(--O396:U396))</f>
        <v/>
      </c>
      <c r="AG396" s="33">
        <f>IF(W396&lt;&gt;"OK","",AM396*AN396/60)</f>
        <v/>
      </c>
      <c r="AH396" s="34">
        <f>IF(A396="","",UPPER(TRIM(ASC(A396&amp;""))))</f>
        <v/>
      </c>
      <c r="AI396" s="34">
        <f>IF(AH396="","",AH396&amp;"-"&amp;B396)</f>
        <v/>
      </c>
      <c r="AJ396" s="34">
        <f>IF(C396="","",IFERROR(VALUE(ASC(SUBSTITUTE(C396&amp;"","観点",""))),""))</f>
        <v/>
      </c>
      <c r="AK396" s="34">
        <f>IF(E396="","",UPPER(LEFT(TRIM(ASC(E396&amp;"")),3)))</f>
        <v/>
      </c>
      <c r="AL396" s="34">
        <f>IF(I396="","",IFERROR(VALUE(SUBSTITUTE(SUBSTITUTE(SUBSTITUTE(SUBSTITUTE(SUBSTITUTE(SUBSTITUTE(SUBSTITUTE(SUBSTITUTE(SUBSTITUTE(SUBSTITUTE(SUBSTITUTE(SUBSTITUTE(ASC(I396&amp;""),"約",""),"程度",""),"ほど",""),"回",""),"毎",""),"週",""),"月",""),"年",""),"日",""),"に",""),"/","")," ","")),""))</f>
        <v/>
      </c>
      <c r="AM396" s="34">
        <f>IF(I396="","",IF(ISNUMBER(I396),I396,IFERROR(VALUE(ASC(I396&amp;"")),IF(AL396&lt;&gt;"",AL396*IF(ISNUMBER(SEARCH("週",I396)),4.3,IF(ISNUMBER(SEARCH("年",I396)),1/12,IF(ISNUMBER(SEARCH("日",I396)),20,1))),IF(ISNUMBER(SEARCH("日",I396)),20,IF(ISNUMBER(SEARCH("週",I396)),4.3,IF(ISNUMBER(SEARCH("月",I396)),1,"")))))))</f>
        <v/>
      </c>
      <c r="AN396" s="34">
        <f>IF(J396="","",IF(ISNUMBER(J396),J396,IFERROR(VALUE(ASC(J396&amp;"")),IF(ISNUMBER(SEARCH("時間",J396)),IFERROR(VALUE(SUBSTITUTE(SUBSTITUTE(SUBSTITUTE(SUBSTITUTE(SUBSTITUTE(ASC(J396&amp;""),"約",""),"程度",""),"ほど",""),"時間","")," ",""))*60,""),IFERROR(VALUE(SUBSTITUTE(SUBSTITUTE(SUBSTITUTE(SUBSTITUTE(SUBSTITUTE(ASC(J396&amp;""),"約",""),"程度",""),"ほど",""),"分","")," ","")),"")))))</f>
        <v/>
      </c>
      <c r="AO396" s="34">
        <f>IF(K396="","",IF(ISNUMBER(K396),K396,IFERROR(VALUE(SUBSTITUTE(SUBSTITUTE(SUBSTITUTE(ASC(K396&amp;""),"約",""),"件","")," ","")),"")))</f>
        <v/>
      </c>
      <c r="AP396" s="34">
        <f>IF(W396&lt;&gt;"OK","",IF(COUNTIFS($D$5:$D$404,D396,$W$5:$W$404,"OK")&gt;1,"同名あり",""))</f>
        <v/>
      </c>
      <c r="AQ396" s="35">
        <f>IF(L396="","",IF(ISNUMBER(L396),L396,IFERROR(DATEVALUE(SUBSTITUTE(SUBSTITUTE(ASC(L396&amp;""),"-","/"),".","/")&amp;"/01"),"")))</f>
        <v/>
      </c>
      <c r="AR396" s="35">
        <f>IF(M396="","",IF(ISNUMBER(M396),M396,IFERROR(DATEVALUE(SUBSTITUTE(SUBSTITUTE(ASC(M396&amp;""),"-","/"),".","/")&amp;"/01"),"")))</f>
        <v/>
      </c>
      <c r="AS396" s="34">
        <f>IF(OR(W396&lt;&gt;"OK",AQ396=""),"",IF(AQ396&gt;='01_設定'!$C$26,1,0))</f>
        <v/>
      </c>
      <c r="AT396" s="34">
        <f>IF(AND(W396="OK",Y396&lt;&gt;"除外"),COUNTIFS($W$5:W396,"OK",$Y$5:Y396,"&lt;&gt;除外"),"")</f>
        <v/>
      </c>
      <c r="AU396" s="34">
        <f>IF(OR(AT396="",AD396=""),"",AD396+ROW()/1000000000)</f>
        <v/>
      </c>
    </row>
    <row r="397">
      <c r="W397">
        <f>IF(AND(A397="",D397=""),"",IF(ISNUMBER(SEARCH("##END",AH397)),"（終わりの印）",IF(ISNUMBER(SEARCH("##続き",AH397)),"（続きありの印）",IF(AH397="調査ID","（見出し行）",IF(AND(AH397&lt;&gt;"R1",AH397&lt;&gt;"R2"),"×表以外の行（集計されない）",IF(COUNTIF($AI$5:AI397,AI397)&gt;1,"△重複（集計されない）",IF(D397="","△タスク名なし",IF(ISNA(MATCH(AK397,'M1_類型マスタ'!$A$5:$A$19,0)),"△類型が不正",IF(OR(AM397="",AN397=""),"△回数・分が読めない",IF(SUMPRODUCT(--ISNUMBER(--O397:U397))&lt;7,"△採点が足りない",IF(SUMPRODUCT((--O397:U397&gt;2)+(--O397:U397&lt;0))&gt;0,"△採点が範囲外","OK")))))))))))</f>
        <v/>
      </c>
      <c r="X397">
        <f>IF(W397&lt;&gt;"OK","",TRIM(IF(AND(AO397&lt;&gt;"",N(AO397)&lt;=1),"根拠1件 ","")&amp;IF(AP397&lt;&gt;"","同名あり ","")&amp;IF(AND(NOT(ISNUMBER(I397)),I397&lt;&gt;""),"回数を換算 ","")))</f>
        <v/>
      </c>
      <c r="Y397" s="31" t="n"/>
      <c r="Z397" s="32" t="n"/>
      <c r="AA397" s="32" t="n"/>
      <c r="AB397" s="31" t="n"/>
      <c r="AC397">
        <f>IF(W397&lt;&gt;"OK","",IF(AB397&lt;&gt;"",AB397,AE397))</f>
        <v/>
      </c>
      <c r="AD397" s="33">
        <f>IF(W397&lt;&gt;"OK","",IFERROR(IF(Z397&lt;&gt;"",Z397,AM397)*IF(AA397&lt;&gt;"",AA397,AN397)/60,""))</f>
        <v/>
      </c>
      <c r="AE397">
        <f>IF(W397&lt;&gt;"OK","",IF(OR(VALUE(O397)=2,VALUE(P397)=2,VALUE(Q397)=2),"社内残置",IF(AND(VALUE(O397)=0,VALUE(R397)=0,VALUE(T397)=0),"自動化候補",IF(AND(VALUE(P397)=0,VALUE(R397)&lt;=1,VALUE(S397)&lt;=1,VALUE(T397)&lt;=1,VALUE(U397)&lt;=1),"オフショア候補",IF(AND(VALUE(T397)&lt;=1,VALUE(U397)&lt;=1),"ニアショア候補","社内で手順化→再評価")))))</f>
        <v/>
      </c>
      <c r="AF397">
        <f>IF(W397&lt;&gt;"OK","",14-SUMPRODUCT(--O397:U397))</f>
        <v/>
      </c>
      <c r="AG397" s="33">
        <f>IF(W397&lt;&gt;"OK","",AM397*AN397/60)</f>
        <v/>
      </c>
      <c r="AH397" s="34">
        <f>IF(A397="","",UPPER(TRIM(ASC(A397&amp;""))))</f>
        <v/>
      </c>
      <c r="AI397" s="34">
        <f>IF(AH397="","",AH397&amp;"-"&amp;B397)</f>
        <v/>
      </c>
      <c r="AJ397" s="34">
        <f>IF(C397="","",IFERROR(VALUE(ASC(SUBSTITUTE(C397&amp;"","観点",""))),""))</f>
        <v/>
      </c>
      <c r="AK397" s="34">
        <f>IF(E397="","",UPPER(LEFT(TRIM(ASC(E397&amp;"")),3)))</f>
        <v/>
      </c>
      <c r="AL397" s="34">
        <f>IF(I397="","",IFERROR(VALUE(SUBSTITUTE(SUBSTITUTE(SUBSTITUTE(SUBSTITUTE(SUBSTITUTE(SUBSTITUTE(SUBSTITUTE(SUBSTITUTE(SUBSTITUTE(SUBSTITUTE(SUBSTITUTE(SUBSTITUTE(ASC(I397&amp;""),"約",""),"程度",""),"ほど",""),"回",""),"毎",""),"週",""),"月",""),"年",""),"日",""),"に",""),"/","")," ","")),""))</f>
        <v/>
      </c>
      <c r="AM397" s="34">
        <f>IF(I397="","",IF(ISNUMBER(I397),I397,IFERROR(VALUE(ASC(I397&amp;"")),IF(AL397&lt;&gt;"",AL397*IF(ISNUMBER(SEARCH("週",I397)),4.3,IF(ISNUMBER(SEARCH("年",I397)),1/12,IF(ISNUMBER(SEARCH("日",I397)),20,1))),IF(ISNUMBER(SEARCH("日",I397)),20,IF(ISNUMBER(SEARCH("週",I397)),4.3,IF(ISNUMBER(SEARCH("月",I397)),1,"")))))))</f>
        <v/>
      </c>
      <c r="AN397" s="34">
        <f>IF(J397="","",IF(ISNUMBER(J397),J397,IFERROR(VALUE(ASC(J397&amp;"")),IF(ISNUMBER(SEARCH("時間",J397)),IFERROR(VALUE(SUBSTITUTE(SUBSTITUTE(SUBSTITUTE(SUBSTITUTE(SUBSTITUTE(ASC(J397&amp;""),"約",""),"程度",""),"ほど",""),"時間","")," ",""))*60,""),IFERROR(VALUE(SUBSTITUTE(SUBSTITUTE(SUBSTITUTE(SUBSTITUTE(SUBSTITUTE(ASC(J397&amp;""),"約",""),"程度",""),"ほど",""),"分","")," ","")),"")))))</f>
        <v/>
      </c>
      <c r="AO397" s="34">
        <f>IF(K397="","",IF(ISNUMBER(K397),K397,IFERROR(VALUE(SUBSTITUTE(SUBSTITUTE(SUBSTITUTE(ASC(K397&amp;""),"約",""),"件","")," ","")),"")))</f>
        <v/>
      </c>
      <c r="AP397" s="34">
        <f>IF(W397&lt;&gt;"OK","",IF(COUNTIFS($D$5:$D$404,D397,$W$5:$W$404,"OK")&gt;1,"同名あり",""))</f>
        <v/>
      </c>
      <c r="AQ397" s="35">
        <f>IF(L397="","",IF(ISNUMBER(L397),L397,IFERROR(DATEVALUE(SUBSTITUTE(SUBSTITUTE(ASC(L397&amp;""),"-","/"),".","/")&amp;"/01"),"")))</f>
        <v/>
      </c>
      <c r="AR397" s="35">
        <f>IF(M397="","",IF(ISNUMBER(M397),M397,IFERROR(DATEVALUE(SUBSTITUTE(SUBSTITUTE(ASC(M397&amp;""),"-","/"),".","/")&amp;"/01"),"")))</f>
        <v/>
      </c>
      <c r="AS397" s="34">
        <f>IF(OR(W397&lt;&gt;"OK",AQ397=""),"",IF(AQ397&gt;='01_設定'!$C$26,1,0))</f>
        <v/>
      </c>
      <c r="AT397" s="34">
        <f>IF(AND(W397="OK",Y397&lt;&gt;"除外"),COUNTIFS($W$5:W397,"OK",$Y$5:Y397,"&lt;&gt;除外"),"")</f>
        <v/>
      </c>
      <c r="AU397" s="34">
        <f>IF(OR(AT397="",AD397=""),"",AD397+ROW()/1000000000)</f>
        <v/>
      </c>
    </row>
    <row r="398">
      <c r="W398">
        <f>IF(AND(A398="",D398=""),"",IF(ISNUMBER(SEARCH("##END",AH398)),"（終わりの印）",IF(ISNUMBER(SEARCH("##続き",AH398)),"（続きありの印）",IF(AH398="調査ID","（見出し行）",IF(AND(AH398&lt;&gt;"R1",AH398&lt;&gt;"R2"),"×表以外の行（集計されない）",IF(COUNTIF($AI$5:AI398,AI398)&gt;1,"△重複（集計されない）",IF(D398="","△タスク名なし",IF(ISNA(MATCH(AK398,'M1_類型マスタ'!$A$5:$A$19,0)),"△類型が不正",IF(OR(AM398="",AN398=""),"△回数・分が読めない",IF(SUMPRODUCT(--ISNUMBER(--O398:U398))&lt;7,"△採点が足りない",IF(SUMPRODUCT((--O398:U398&gt;2)+(--O398:U398&lt;0))&gt;0,"△採点が範囲外","OK")))))))))))</f>
        <v/>
      </c>
      <c r="X398">
        <f>IF(W398&lt;&gt;"OK","",TRIM(IF(AND(AO398&lt;&gt;"",N(AO398)&lt;=1),"根拠1件 ","")&amp;IF(AP398&lt;&gt;"","同名あり ","")&amp;IF(AND(NOT(ISNUMBER(I398)),I398&lt;&gt;""),"回数を換算 ","")))</f>
        <v/>
      </c>
      <c r="Y398" s="31" t="n"/>
      <c r="Z398" s="32" t="n"/>
      <c r="AA398" s="32" t="n"/>
      <c r="AB398" s="31" t="n"/>
      <c r="AC398">
        <f>IF(W398&lt;&gt;"OK","",IF(AB398&lt;&gt;"",AB398,AE398))</f>
        <v/>
      </c>
      <c r="AD398" s="33">
        <f>IF(W398&lt;&gt;"OK","",IFERROR(IF(Z398&lt;&gt;"",Z398,AM398)*IF(AA398&lt;&gt;"",AA398,AN398)/60,""))</f>
        <v/>
      </c>
      <c r="AE398">
        <f>IF(W398&lt;&gt;"OK","",IF(OR(VALUE(O398)=2,VALUE(P398)=2,VALUE(Q398)=2),"社内残置",IF(AND(VALUE(O398)=0,VALUE(R398)=0,VALUE(T398)=0),"自動化候補",IF(AND(VALUE(P398)=0,VALUE(R398)&lt;=1,VALUE(S398)&lt;=1,VALUE(T398)&lt;=1,VALUE(U398)&lt;=1),"オフショア候補",IF(AND(VALUE(T398)&lt;=1,VALUE(U398)&lt;=1),"ニアショア候補","社内で手順化→再評価")))))</f>
        <v/>
      </c>
      <c r="AF398">
        <f>IF(W398&lt;&gt;"OK","",14-SUMPRODUCT(--O398:U398))</f>
        <v/>
      </c>
      <c r="AG398" s="33">
        <f>IF(W398&lt;&gt;"OK","",AM398*AN398/60)</f>
        <v/>
      </c>
      <c r="AH398" s="34">
        <f>IF(A398="","",UPPER(TRIM(ASC(A398&amp;""))))</f>
        <v/>
      </c>
      <c r="AI398" s="34">
        <f>IF(AH398="","",AH398&amp;"-"&amp;B398)</f>
        <v/>
      </c>
      <c r="AJ398" s="34">
        <f>IF(C398="","",IFERROR(VALUE(ASC(SUBSTITUTE(C398&amp;"","観点",""))),""))</f>
        <v/>
      </c>
      <c r="AK398" s="34">
        <f>IF(E398="","",UPPER(LEFT(TRIM(ASC(E398&amp;"")),3)))</f>
        <v/>
      </c>
      <c r="AL398" s="34">
        <f>IF(I398="","",IFERROR(VALUE(SUBSTITUTE(SUBSTITUTE(SUBSTITUTE(SUBSTITUTE(SUBSTITUTE(SUBSTITUTE(SUBSTITUTE(SUBSTITUTE(SUBSTITUTE(SUBSTITUTE(SUBSTITUTE(SUBSTITUTE(ASC(I398&amp;""),"約",""),"程度",""),"ほど",""),"回",""),"毎",""),"週",""),"月",""),"年",""),"日",""),"に",""),"/","")," ","")),""))</f>
        <v/>
      </c>
      <c r="AM398" s="34">
        <f>IF(I398="","",IF(ISNUMBER(I398),I398,IFERROR(VALUE(ASC(I398&amp;"")),IF(AL398&lt;&gt;"",AL398*IF(ISNUMBER(SEARCH("週",I398)),4.3,IF(ISNUMBER(SEARCH("年",I398)),1/12,IF(ISNUMBER(SEARCH("日",I398)),20,1))),IF(ISNUMBER(SEARCH("日",I398)),20,IF(ISNUMBER(SEARCH("週",I398)),4.3,IF(ISNUMBER(SEARCH("月",I398)),1,"")))))))</f>
        <v/>
      </c>
      <c r="AN398" s="34">
        <f>IF(J398="","",IF(ISNUMBER(J398),J398,IFERROR(VALUE(ASC(J398&amp;"")),IF(ISNUMBER(SEARCH("時間",J398)),IFERROR(VALUE(SUBSTITUTE(SUBSTITUTE(SUBSTITUTE(SUBSTITUTE(SUBSTITUTE(ASC(J398&amp;""),"約",""),"程度",""),"ほど",""),"時間","")," ",""))*60,""),IFERROR(VALUE(SUBSTITUTE(SUBSTITUTE(SUBSTITUTE(SUBSTITUTE(SUBSTITUTE(ASC(J398&amp;""),"約",""),"程度",""),"ほど",""),"分","")," ","")),"")))))</f>
        <v/>
      </c>
      <c r="AO398" s="34">
        <f>IF(K398="","",IF(ISNUMBER(K398),K398,IFERROR(VALUE(SUBSTITUTE(SUBSTITUTE(SUBSTITUTE(ASC(K398&amp;""),"約",""),"件","")," ","")),"")))</f>
        <v/>
      </c>
      <c r="AP398" s="34">
        <f>IF(W398&lt;&gt;"OK","",IF(COUNTIFS($D$5:$D$404,D398,$W$5:$W$404,"OK")&gt;1,"同名あり",""))</f>
        <v/>
      </c>
      <c r="AQ398" s="35">
        <f>IF(L398="","",IF(ISNUMBER(L398),L398,IFERROR(DATEVALUE(SUBSTITUTE(SUBSTITUTE(ASC(L398&amp;""),"-","/"),".","/")&amp;"/01"),"")))</f>
        <v/>
      </c>
      <c r="AR398" s="35">
        <f>IF(M398="","",IF(ISNUMBER(M398),M398,IFERROR(DATEVALUE(SUBSTITUTE(SUBSTITUTE(ASC(M398&amp;""),"-","/"),".","/")&amp;"/01"),"")))</f>
        <v/>
      </c>
      <c r="AS398" s="34">
        <f>IF(OR(W398&lt;&gt;"OK",AQ398=""),"",IF(AQ398&gt;='01_設定'!$C$26,1,0))</f>
        <v/>
      </c>
      <c r="AT398" s="34">
        <f>IF(AND(W398="OK",Y398&lt;&gt;"除外"),COUNTIFS($W$5:W398,"OK",$Y$5:Y398,"&lt;&gt;除外"),"")</f>
        <v/>
      </c>
      <c r="AU398" s="34">
        <f>IF(OR(AT398="",AD398=""),"",AD398+ROW()/1000000000)</f>
        <v/>
      </c>
    </row>
    <row r="399">
      <c r="W399">
        <f>IF(AND(A399="",D399=""),"",IF(ISNUMBER(SEARCH("##END",AH399)),"（終わりの印）",IF(ISNUMBER(SEARCH("##続き",AH399)),"（続きありの印）",IF(AH399="調査ID","（見出し行）",IF(AND(AH399&lt;&gt;"R1",AH399&lt;&gt;"R2"),"×表以外の行（集計されない）",IF(COUNTIF($AI$5:AI399,AI399)&gt;1,"△重複（集計されない）",IF(D399="","△タスク名なし",IF(ISNA(MATCH(AK399,'M1_類型マスタ'!$A$5:$A$19,0)),"△類型が不正",IF(OR(AM399="",AN399=""),"△回数・分が読めない",IF(SUMPRODUCT(--ISNUMBER(--O399:U399))&lt;7,"△採点が足りない",IF(SUMPRODUCT((--O399:U399&gt;2)+(--O399:U399&lt;0))&gt;0,"△採点が範囲外","OK")))))))))))</f>
        <v/>
      </c>
      <c r="X399">
        <f>IF(W399&lt;&gt;"OK","",TRIM(IF(AND(AO399&lt;&gt;"",N(AO399)&lt;=1),"根拠1件 ","")&amp;IF(AP399&lt;&gt;"","同名あり ","")&amp;IF(AND(NOT(ISNUMBER(I399)),I399&lt;&gt;""),"回数を換算 ","")))</f>
        <v/>
      </c>
      <c r="Y399" s="31" t="n"/>
      <c r="Z399" s="32" t="n"/>
      <c r="AA399" s="32" t="n"/>
      <c r="AB399" s="31" t="n"/>
      <c r="AC399">
        <f>IF(W399&lt;&gt;"OK","",IF(AB399&lt;&gt;"",AB399,AE399))</f>
        <v/>
      </c>
      <c r="AD399" s="33">
        <f>IF(W399&lt;&gt;"OK","",IFERROR(IF(Z399&lt;&gt;"",Z399,AM399)*IF(AA399&lt;&gt;"",AA399,AN399)/60,""))</f>
        <v/>
      </c>
      <c r="AE399">
        <f>IF(W399&lt;&gt;"OK","",IF(OR(VALUE(O399)=2,VALUE(P399)=2,VALUE(Q399)=2),"社内残置",IF(AND(VALUE(O399)=0,VALUE(R399)=0,VALUE(T399)=0),"自動化候補",IF(AND(VALUE(P399)=0,VALUE(R399)&lt;=1,VALUE(S399)&lt;=1,VALUE(T399)&lt;=1,VALUE(U399)&lt;=1),"オフショア候補",IF(AND(VALUE(T399)&lt;=1,VALUE(U399)&lt;=1),"ニアショア候補","社内で手順化→再評価")))))</f>
        <v/>
      </c>
      <c r="AF399">
        <f>IF(W399&lt;&gt;"OK","",14-SUMPRODUCT(--O399:U399))</f>
        <v/>
      </c>
      <c r="AG399" s="33">
        <f>IF(W399&lt;&gt;"OK","",AM399*AN399/60)</f>
        <v/>
      </c>
      <c r="AH399" s="34">
        <f>IF(A399="","",UPPER(TRIM(ASC(A399&amp;""))))</f>
        <v/>
      </c>
      <c r="AI399" s="34">
        <f>IF(AH399="","",AH399&amp;"-"&amp;B399)</f>
        <v/>
      </c>
      <c r="AJ399" s="34">
        <f>IF(C399="","",IFERROR(VALUE(ASC(SUBSTITUTE(C399&amp;"","観点",""))),""))</f>
        <v/>
      </c>
      <c r="AK399" s="34">
        <f>IF(E399="","",UPPER(LEFT(TRIM(ASC(E399&amp;"")),3)))</f>
        <v/>
      </c>
      <c r="AL399" s="34">
        <f>IF(I399="","",IFERROR(VALUE(SUBSTITUTE(SUBSTITUTE(SUBSTITUTE(SUBSTITUTE(SUBSTITUTE(SUBSTITUTE(SUBSTITUTE(SUBSTITUTE(SUBSTITUTE(SUBSTITUTE(SUBSTITUTE(SUBSTITUTE(ASC(I399&amp;""),"約",""),"程度",""),"ほど",""),"回",""),"毎",""),"週",""),"月",""),"年",""),"日",""),"に",""),"/","")," ","")),""))</f>
        <v/>
      </c>
      <c r="AM399" s="34">
        <f>IF(I399="","",IF(ISNUMBER(I399),I399,IFERROR(VALUE(ASC(I399&amp;"")),IF(AL399&lt;&gt;"",AL399*IF(ISNUMBER(SEARCH("週",I399)),4.3,IF(ISNUMBER(SEARCH("年",I399)),1/12,IF(ISNUMBER(SEARCH("日",I399)),20,1))),IF(ISNUMBER(SEARCH("日",I399)),20,IF(ISNUMBER(SEARCH("週",I399)),4.3,IF(ISNUMBER(SEARCH("月",I399)),1,"")))))))</f>
        <v/>
      </c>
      <c r="AN399" s="34">
        <f>IF(J399="","",IF(ISNUMBER(J399),J399,IFERROR(VALUE(ASC(J399&amp;"")),IF(ISNUMBER(SEARCH("時間",J399)),IFERROR(VALUE(SUBSTITUTE(SUBSTITUTE(SUBSTITUTE(SUBSTITUTE(SUBSTITUTE(ASC(J399&amp;""),"約",""),"程度",""),"ほど",""),"時間","")," ",""))*60,""),IFERROR(VALUE(SUBSTITUTE(SUBSTITUTE(SUBSTITUTE(SUBSTITUTE(SUBSTITUTE(ASC(J399&amp;""),"約",""),"程度",""),"ほど",""),"分","")," ","")),"")))))</f>
        <v/>
      </c>
      <c r="AO399" s="34">
        <f>IF(K399="","",IF(ISNUMBER(K399),K399,IFERROR(VALUE(SUBSTITUTE(SUBSTITUTE(SUBSTITUTE(ASC(K399&amp;""),"約",""),"件","")," ","")),"")))</f>
        <v/>
      </c>
      <c r="AP399" s="34">
        <f>IF(W399&lt;&gt;"OK","",IF(COUNTIFS($D$5:$D$404,D399,$W$5:$W$404,"OK")&gt;1,"同名あり",""))</f>
        <v/>
      </c>
      <c r="AQ399" s="35">
        <f>IF(L399="","",IF(ISNUMBER(L399),L399,IFERROR(DATEVALUE(SUBSTITUTE(SUBSTITUTE(ASC(L399&amp;""),"-","/"),".","/")&amp;"/01"),"")))</f>
        <v/>
      </c>
      <c r="AR399" s="35">
        <f>IF(M399="","",IF(ISNUMBER(M399),M399,IFERROR(DATEVALUE(SUBSTITUTE(SUBSTITUTE(ASC(M399&amp;""),"-","/"),".","/")&amp;"/01"),"")))</f>
        <v/>
      </c>
      <c r="AS399" s="34">
        <f>IF(OR(W399&lt;&gt;"OK",AQ399=""),"",IF(AQ399&gt;='01_設定'!$C$26,1,0))</f>
        <v/>
      </c>
      <c r="AT399" s="34">
        <f>IF(AND(W399="OK",Y399&lt;&gt;"除外"),COUNTIFS($W$5:W399,"OK",$Y$5:Y399,"&lt;&gt;除外"),"")</f>
        <v/>
      </c>
      <c r="AU399" s="34">
        <f>IF(OR(AT399="",AD399=""),"",AD399+ROW()/1000000000)</f>
        <v/>
      </c>
    </row>
    <row r="400">
      <c r="W400">
        <f>IF(AND(A400="",D400=""),"",IF(ISNUMBER(SEARCH("##END",AH400)),"（終わりの印）",IF(ISNUMBER(SEARCH("##続き",AH400)),"（続きありの印）",IF(AH400="調査ID","（見出し行）",IF(AND(AH400&lt;&gt;"R1",AH400&lt;&gt;"R2"),"×表以外の行（集計されない）",IF(COUNTIF($AI$5:AI400,AI400)&gt;1,"△重複（集計されない）",IF(D400="","△タスク名なし",IF(ISNA(MATCH(AK400,'M1_類型マスタ'!$A$5:$A$19,0)),"△類型が不正",IF(OR(AM400="",AN400=""),"△回数・分が読めない",IF(SUMPRODUCT(--ISNUMBER(--O400:U400))&lt;7,"△採点が足りない",IF(SUMPRODUCT((--O400:U400&gt;2)+(--O400:U400&lt;0))&gt;0,"△採点が範囲外","OK")))))))))))</f>
        <v/>
      </c>
      <c r="X400">
        <f>IF(W400&lt;&gt;"OK","",TRIM(IF(AND(AO400&lt;&gt;"",N(AO400)&lt;=1),"根拠1件 ","")&amp;IF(AP400&lt;&gt;"","同名あり ","")&amp;IF(AND(NOT(ISNUMBER(I400)),I400&lt;&gt;""),"回数を換算 ","")))</f>
        <v/>
      </c>
      <c r="Y400" s="31" t="n"/>
      <c r="Z400" s="32" t="n"/>
      <c r="AA400" s="32" t="n"/>
      <c r="AB400" s="31" t="n"/>
      <c r="AC400">
        <f>IF(W400&lt;&gt;"OK","",IF(AB400&lt;&gt;"",AB400,AE400))</f>
        <v/>
      </c>
      <c r="AD400" s="33">
        <f>IF(W400&lt;&gt;"OK","",IFERROR(IF(Z400&lt;&gt;"",Z400,AM400)*IF(AA400&lt;&gt;"",AA400,AN400)/60,""))</f>
        <v/>
      </c>
      <c r="AE400">
        <f>IF(W400&lt;&gt;"OK","",IF(OR(VALUE(O400)=2,VALUE(P400)=2,VALUE(Q400)=2),"社内残置",IF(AND(VALUE(O400)=0,VALUE(R400)=0,VALUE(T400)=0),"自動化候補",IF(AND(VALUE(P400)=0,VALUE(R400)&lt;=1,VALUE(S400)&lt;=1,VALUE(T400)&lt;=1,VALUE(U400)&lt;=1),"オフショア候補",IF(AND(VALUE(T400)&lt;=1,VALUE(U400)&lt;=1),"ニアショア候補","社内で手順化→再評価")))))</f>
        <v/>
      </c>
      <c r="AF400">
        <f>IF(W400&lt;&gt;"OK","",14-SUMPRODUCT(--O400:U400))</f>
        <v/>
      </c>
      <c r="AG400" s="33">
        <f>IF(W400&lt;&gt;"OK","",AM400*AN400/60)</f>
        <v/>
      </c>
      <c r="AH400" s="34">
        <f>IF(A400="","",UPPER(TRIM(ASC(A400&amp;""))))</f>
        <v/>
      </c>
      <c r="AI400" s="34">
        <f>IF(AH400="","",AH400&amp;"-"&amp;B400)</f>
        <v/>
      </c>
      <c r="AJ400" s="34">
        <f>IF(C400="","",IFERROR(VALUE(ASC(SUBSTITUTE(C400&amp;"","観点",""))),""))</f>
        <v/>
      </c>
      <c r="AK400" s="34">
        <f>IF(E400="","",UPPER(LEFT(TRIM(ASC(E400&amp;"")),3)))</f>
        <v/>
      </c>
      <c r="AL400" s="34">
        <f>IF(I400="","",IFERROR(VALUE(SUBSTITUTE(SUBSTITUTE(SUBSTITUTE(SUBSTITUTE(SUBSTITUTE(SUBSTITUTE(SUBSTITUTE(SUBSTITUTE(SUBSTITUTE(SUBSTITUTE(SUBSTITUTE(SUBSTITUTE(ASC(I400&amp;""),"約",""),"程度",""),"ほど",""),"回",""),"毎",""),"週",""),"月",""),"年",""),"日",""),"に",""),"/","")," ","")),""))</f>
        <v/>
      </c>
      <c r="AM400" s="34">
        <f>IF(I400="","",IF(ISNUMBER(I400),I400,IFERROR(VALUE(ASC(I400&amp;"")),IF(AL400&lt;&gt;"",AL400*IF(ISNUMBER(SEARCH("週",I400)),4.3,IF(ISNUMBER(SEARCH("年",I400)),1/12,IF(ISNUMBER(SEARCH("日",I400)),20,1))),IF(ISNUMBER(SEARCH("日",I400)),20,IF(ISNUMBER(SEARCH("週",I400)),4.3,IF(ISNUMBER(SEARCH("月",I400)),1,"")))))))</f>
        <v/>
      </c>
      <c r="AN400" s="34">
        <f>IF(J400="","",IF(ISNUMBER(J400),J400,IFERROR(VALUE(ASC(J400&amp;"")),IF(ISNUMBER(SEARCH("時間",J400)),IFERROR(VALUE(SUBSTITUTE(SUBSTITUTE(SUBSTITUTE(SUBSTITUTE(SUBSTITUTE(ASC(J400&amp;""),"約",""),"程度",""),"ほど",""),"時間","")," ",""))*60,""),IFERROR(VALUE(SUBSTITUTE(SUBSTITUTE(SUBSTITUTE(SUBSTITUTE(SUBSTITUTE(ASC(J400&amp;""),"約",""),"程度",""),"ほど",""),"分","")," ","")),"")))))</f>
        <v/>
      </c>
      <c r="AO400" s="34">
        <f>IF(K400="","",IF(ISNUMBER(K400),K400,IFERROR(VALUE(SUBSTITUTE(SUBSTITUTE(SUBSTITUTE(ASC(K400&amp;""),"約",""),"件","")," ","")),"")))</f>
        <v/>
      </c>
      <c r="AP400" s="34">
        <f>IF(W400&lt;&gt;"OK","",IF(COUNTIFS($D$5:$D$404,D400,$W$5:$W$404,"OK")&gt;1,"同名あり",""))</f>
        <v/>
      </c>
      <c r="AQ400" s="35">
        <f>IF(L400="","",IF(ISNUMBER(L400),L400,IFERROR(DATEVALUE(SUBSTITUTE(SUBSTITUTE(ASC(L400&amp;""),"-","/"),".","/")&amp;"/01"),"")))</f>
        <v/>
      </c>
      <c r="AR400" s="35">
        <f>IF(M400="","",IF(ISNUMBER(M400),M400,IFERROR(DATEVALUE(SUBSTITUTE(SUBSTITUTE(ASC(M400&amp;""),"-","/"),".","/")&amp;"/01"),"")))</f>
        <v/>
      </c>
      <c r="AS400" s="34">
        <f>IF(OR(W400&lt;&gt;"OK",AQ400=""),"",IF(AQ400&gt;='01_設定'!$C$26,1,0))</f>
        <v/>
      </c>
      <c r="AT400" s="34">
        <f>IF(AND(W400="OK",Y400&lt;&gt;"除外"),COUNTIFS($W$5:W400,"OK",$Y$5:Y400,"&lt;&gt;除外"),"")</f>
        <v/>
      </c>
      <c r="AU400" s="34">
        <f>IF(OR(AT400="",AD400=""),"",AD400+ROW()/1000000000)</f>
        <v/>
      </c>
    </row>
    <row r="401">
      <c r="W401">
        <f>IF(AND(A401="",D401=""),"",IF(ISNUMBER(SEARCH("##END",AH401)),"（終わりの印）",IF(ISNUMBER(SEARCH("##続き",AH401)),"（続きありの印）",IF(AH401="調査ID","（見出し行）",IF(AND(AH401&lt;&gt;"R1",AH401&lt;&gt;"R2"),"×表以外の行（集計されない）",IF(COUNTIF($AI$5:AI401,AI401)&gt;1,"△重複（集計されない）",IF(D401="","△タスク名なし",IF(ISNA(MATCH(AK401,'M1_類型マスタ'!$A$5:$A$19,0)),"△類型が不正",IF(OR(AM401="",AN401=""),"△回数・分が読めない",IF(SUMPRODUCT(--ISNUMBER(--O401:U401))&lt;7,"△採点が足りない",IF(SUMPRODUCT((--O401:U401&gt;2)+(--O401:U401&lt;0))&gt;0,"△採点が範囲外","OK")))))))))))</f>
        <v/>
      </c>
      <c r="X401">
        <f>IF(W401&lt;&gt;"OK","",TRIM(IF(AND(AO401&lt;&gt;"",N(AO401)&lt;=1),"根拠1件 ","")&amp;IF(AP401&lt;&gt;"","同名あり ","")&amp;IF(AND(NOT(ISNUMBER(I401)),I401&lt;&gt;""),"回数を換算 ","")))</f>
        <v/>
      </c>
      <c r="Y401" s="31" t="n"/>
      <c r="Z401" s="32" t="n"/>
      <c r="AA401" s="32" t="n"/>
      <c r="AB401" s="31" t="n"/>
      <c r="AC401">
        <f>IF(W401&lt;&gt;"OK","",IF(AB401&lt;&gt;"",AB401,AE401))</f>
        <v/>
      </c>
      <c r="AD401" s="33">
        <f>IF(W401&lt;&gt;"OK","",IFERROR(IF(Z401&lt;&gt;"",Z401,AM401)*IF(AA401&lt;&gt;"",AA401,AN401)/60,""))</f>
        <v/>
      </c>
      <c r="AE401">
        <f>IF(W401&lt;&gt;"OK","",IF(OR(VALUE(O401)=2,VALUE(P401)=2,VALUE(Q401)=2),"社内残置",IF(AND(VALUE(O401)=0,VALUE(R401)=0,VALUE(T401)=0),"自動化候補",IF(AND(VALUE(P401)=0,VALUE(R401)&lt;=1,VALUE(S401)&lt;=1,VALUE(T401)&lt;=1,VALUE(U401)&lt;=1),"オフショア候補",IF(AND(VALUE(T401)&lt;=1,VALUE(U401)&lt;=1),"ニアショア候補","社内で手順化→再評価")))))</f>
        <v/>
      </c>
      <c r="AF401">
        <f>IF(W401&lt;&gt;"OK","",14-SUMPRODUCT(--O401:U401))</f>
        <v/>
      </c>
      <c r="AG401" s="33">
        <f>IF(W401&lt;&gt;"OK","",AM401*AN401/60)</f>
        <v/>
      </c>
      <c r="AH401" s="34">
        <f>IF(A401="","",UPPER(TRIM(ASC(A401&amp;""))))</f>
        <v/>
      </c>
      <c r="AI401" s="34">
        <f>IF(AH401="","",AH401&amp;"-"&amp;B401)</f>
        <v/>
      </c>
      <c r="AJ401" s="34">
        <f>IF(C401="","",IFERROR(VALUE(ASC(SUBSTITUTE(C401&amp;"","観点",""))),""))</f>
        <v/>
      </c>
      <c r="AK401" s="34">
        <f>IF(E401="","",UPPER(LEFT(TRIM(ASC(E401&amp;"")),3)))</f>
        <v/>
      </c>
      <c r="AL401" s="34">
        <f>IF(I401="","",IFERROR(VALUE(SUBSTITUTE(SUBSTITUTE(SUBSTITUTE(SUBSTITUTE(SUBSTITUTE(SUBSTITUTE(SUBSTITUTE(SUBSTITUTE(SUBSTITUTE(SUBSTITUTE(SUBSTITUTE(SUBSTITUTE(ASC(I401&amp;""),"約",""),"程度",""),"ほど",""),"回",""),"毎",""),"週",""),"月",""),"年",""),"日",""),"に",""),"/","")," ","")),""))</f>
        <v/>
      </c>
      <c r="AM401" s="34">
        <f>IF(I401="","",IF(ISNUMBER(I401),I401,IFERROR(VALUE(ASC(I401&amp;"")),IF(AL401&lt;&gt;"",AL401*IF(ISNUMBER(SEARCH("週",I401)),4.3,IF(ISNUMBER(SEARCH("年",I401)),1/12,IF(ISNUMBER(SEARCH("日",I401)),20,1))),IF(ISNUMBER(SEARCH("日",I401)),20,IF(ISNUMBER(SEARCH("週",I401)),4.3,IF(ISNUMBER(SEARCH("月",I401)),1,"")))))))</f>
        <v/>
      </c>
      <c r="AN401" s="34">
        <f>IF(J401="","",IF(ISNUMBER(J401),J401,IFERROR(VALUE(ASC(J401&amp;"")),IF(ISNUMBER(SEARCH("時間",J401)),IFERROR(VALUE(SUBSTITUTE(SUBSTITUTE(SUBSTITUTE(SUBSTITUTE(SUBSTITUTE(ASC(J401&amp;""),"約",""),"程度",""),"ほど",""),"時間","")," ",""))*60,""),IFERROR(VALUE(SUBSTITUTE(SUBSTITUTE(SUBSTITUTE(SUBSTITUTE(SUBSTITUTE(ASC(J401&amp;""),"約",""),"程度",""),"ほど",""),"分","")," ","")),"")))))</f>
        <v/>
      </c>
      <c r="AO401" s="34">
        <f>IF(K401="","",IF(ISNUMBER(K401),K401,IFERROR(VALUE(SUBSTITUTE(SUBSTITUTE(SUBSTITUTE(ASC(K401&amp;""),"約",""),"件","")," ","")),"")))</f>
        <v/>
      </c>
      <c r="AP401" s="34">
        <f>IF(W401&lt;&gt;"OK","",IF(COUNTIFS($D$5:$D$404,D401,$W$5:$W$404,"OK")&gt;1,"同名あり",""))</f>
        <v/>
      </c>
      <c r="AQ401" s="35">
        <f>IF(L401="","",IF(ISNUMBER(L401),L401,IFERROR(DATEVALUE(SUBSTITUTE(SUBSTITUTE(ASC(L401&amp;""),"-","/"),".","/")&amp;"/01"),"")))</f>
        <v/>
      </c>
      <c r="AR401" s="35">
        <f>IF(M401="","",IF(ISNUMBER(M401),M401,IFERROR(DATEVALUE(SUBSTITUTE(SUBSTITUTE(ASC(M401&amp;""),"-","/"),".","/")&amp;"/01"),"")))</f>
        <v/>
      </c>
      <c r="AS401" s="34">
        <f>IF(OR(W401&lt;&gt;"OK",AQ401=""),"",IF(AQ401&gt;='01_設定'!$C$26,1,0))</f>
        <v/>
      </c>
      <c r="AT401" s="34">
        <f>IF(AND(W401="OK",Y401&lt;&gt;"除外"),COUNTIFS($W$5:W401,"OK",$Y$5:Y401,"&lt;&gt;除外"),"")</f>
        <v/>
      </c>
      <c r="AU401" s="34">
        <f>IF(OR(AT401="",AD401=""),"",AD401+ROW()/1000000000)</f>
        <v/>
      </c>
    </row>
    <row r="402">
      <c r="W402">
        <f>IF(AND(A402="",D402=""),"",IF(ISNUMBER(SEARCH("##END",AH402)),"（終わりの印）",IF(ISNUMBER(SEARCH("##続き",AH402)),"（続きありの印）",IF(AH402="調査ID","（見出し行）",IF(AND(AH402&lt;&gt;"R1",AH402&lt;&gt;"R2"),"×表以外の行（集計されない）",IF(COUNTIF($AI$5:AI402,AI402)&gt;1,"△重複（集計されない）",IF(D402="","△タスク名なし",IF(ISNA(MATCH(AK402,'M1_類型マスタ'!$A$5:$A$19,0)),"△類型が不正",IF(OR(AM402="",AN402=""),"△回数・分が読めない",IF(SUMPRODUCT(--ISNUMBER(--O402:U402))&lt;7,"△採点が足りない",IF(SUMPRODUCT((--O402:U402&gt;2)+(--O402:U402&lt;0))&gt;0,"△採点が範囲外","OK")))))))))))</f>
        <v/>
      </c>
      <c r="X402">
        <f>IF(W402&lt;&gt;"OK","",TRIM(IF(AND(AO402&lt;&gt;"",N(AO402)&lt;=1),"根拠1件 ","")&amp;IF(AP402&lt;&gt;"","同名あり ","")&amp;IF(AND(NOT(ISNUMBER(I402)),I402&lt;&gt;""),"回数を換算 ","")))</f>
        <v/>
      </c>
      <c r="Y402" s="31" t="n"/>
      <c r="Z402" s="32" t="n"/>
      <c r="AA402" s="32" t="n"/>
      <c r="AB402" s="31" t="n"/>
      <c r="AC402">
        <f>IF(W402&lt;&gt;"OK","",IF(AB402&lt;&gt;"",AB402,AE402))</f>
        <v/>
      </c>
      <c r="AD402" s="33">
        <f>IF(W402&lt;&gt;"OK","",IFERROR(IF(Z402&lt;&gt;"",Z402,AM402)*IF(AA402&lt;&gt;"",AA402,AN402)/60,""))</f>
        <v/>
      </c>
      <c r="AE402">
        <f>IF(W402&lt;&gt;"OK","",IF(OR(VALUE(O402)=2,VALUE(P402)=2,VALUE(Q402)=2),"社内残置",IF(AND(VALUE(O402)=0,VALUE(R402)=0,VALUE(T402)=0),"自動化候補",IF(AND(VALUE(P402)=0,VALUE(R402)&lt;=1,VALUE(S402)&lt;=1,VALUE(T402)&lt;=1,VALUE(U402)&lt;=1),"オフショア候補",IF(AND(VALUE(T402)&lt;=1,VALUE(U402)&lt;=1),"ニアショア候補","社内で手順化→再評価")))))</f>
        <v/>
      </c>
      <c r="AF402">
        <f>IF(W402&lt;&gt;"OK","",14-SUMPRODUCT(--O402:U402))</f>
        <v/>
      </c>
      <c r="AG402" s="33">
        <f>IF(W402&lt;&gt;"OK","",AM402*AN402/60)</f>
        <v/>
      </c>
      <c r="AH402" s="34">
        <f>IF(A402="","",UPPER(TRIM(ASC(A402&amp;""))))</f>
        <v/>
      </c>
      <c r="AI402" s="34">
        <f>IF(AH402="","",AH402&amp;"-"&amp;B402)</f>
        <v/>
      </c>
      <c r="AJ402" s="34">
        <f>IF(C402="","",IFERROR(VALUE(ASC(SUBSTITUTE(C402&amp;"","観点",""))),""))</f>
        <v/>
      </c>
      <c r="AK402" s="34">
        <f>IF(E402="","",UPPER(LEFT(TRIM(ASC(E402&amp;"")),3)))</f>
        <v/>
      </c>
      <c r="AL402" s="34">
        <f>IF(I402="","",IFERROR(VALUE(SUBSTITUTE(SUBSTITUTE(SUBSTITUTE(SUBSTITUTE(SUBSTITUTE(SUBSTITUTE(SUBSTITUTE(SUBSTITUTE(SUBSTITUTE(SUBSTITUTE(SUBSTITUTE(SUBSTITUTE(ASC(I402&amp;""),"約",""),"程度",""),"ほど",""),"回",""),"毎",""),"週",""),"月",""),"年",""),"日",""),"に",""),"/","")," ","")),""))</f>
        <v/>
      </c>
      <c r="AM402" s="34">
        <f>IF(I402="","",IF(ISNUMBER(I402),I402,IFERROR(VALUE(ASC(I402&amp;"")),IF(AL402&lt;&gt;"",AL402*IF(ISNUMBER(SEARCH("週",I402)),4.3,IF(ISNUMBER(SEARCH("年",I402)),1/12,IF(ISNUMBER(SEARCH("日",I402)),20,1))),IF(ISNUMBER(SEARCH("日",I402)),20,IF(ISNUMBER(SEARCH("週",I402)),4.3,IF(ISNUMBER(SEARCH("月",I402)),1,"")))))))</f>
        <v/>
      </c>
      <c r="AN402" s="34">
        <f>IF(J402="","",IF(ISNUMBER(J402),J402,IFERROR(VALUE(ASC(J402&amp;"")),IF(ISNUMBER(SEARCH("時間",J402)),IFERROR(VALUE(SUBSTITUTE(SUBSTITUTE(SUBSTITUTE(SUBSTITUTE(SUBSTITUTE(ASC(J402&amp;""),"約",""),"程度",""),"ほど",""),"時間","")," ",""))*60,""),IFERROR(VALUE(SUBSTITUTE(SUBSTITUTE(SUBSTITUTE(SUBSTITUTE(SUBSTITUTE(ASC(J402&amp;""),"約",""),"程度",""),"ほど",""),"分","")," ","")),"")))))</f>
        <v/>
      </c>
      <c r="AO402" s="34">
        <f>IF(K402="","",IF(ISNUMBER(K402),K402,IFERROR(VALUE(SUBSTITUTE(SUBSTITUTE(SUBSTITUTE(ASC(K402&amp;""),"約",""),"件","")," ","")),"")))</f>
        <v/>
      </c>
      <c r="AP402" s="34">
        <f>IF(W402&lt;&gt;"OK","",IF(COUNTIFS($D$5:$D$404,D402,$W$5:$W$404,"OK")&gt;1,"同名あり",""))</f>
        <v/>
      </c>
      <c r="AQ402" s="35">
        <f>IF(L402="","",IF(ISNUMBER(L402),L402,IFERROR(DATEVALUE(SUBSTITUTE(SUBSTITUTE(ASC(L402&amp;""),"-","/"),".","/")&amp;"/01"),"")))</f>
        <v/>
      </c>
      <c r="AR402" s="35">
        <f>IF(M402="","",IF(ISNUMBER(M402),M402,IFERROR(DATEVALUE(SUBSTITUTE(SUBSTITUTE(ASC(M402&amp;""),"-","/"),".","/")&amp;"/01"),"")))</f>
        <v/>
      </c>
      <c r="AS402" s="34">
        <f>IF(OR(W402&lt;&gt;"OK",AQ402=""),"",IF(AQ402&gt;='01_設定'!$C$26,1,0))</f>
        <v/>
      </c>
      <c r="AT402" s="34">
        <f>IF(AND(W402="OK",Y402&lt;&gt;"除外"),COUNTIFS($W$5:W402,"OK",$Y$5:Y402,"&lt;&gt;除外"),"")</f>
        <v/>
      </c>
      <c r="AU402" s="34">
        <f>IF(OR(AT402="",AD402=""),"",AD402+ROW()/1000000000)</f>
        <v/>
      </c>
    </row>
    <row r="403">
      <c r="W403">
        <f>IF(AND(A403="",D403=""),"",IF(ISNUMBER(SEARCH("##END",AH403)),"（終わりの印）",IF(ISNUMBER(SEARCH("##続き",AH403)),"（続きありの印）",IF(AH403="調査ID","（見出し行）",IF(AND(AH403&lt;&gt;"R1",AH403&lt;&gt;"R2"),"×表以外の行（集計されない）",IF(COUNTIF($AI$5:AI403,AI403)&gt;1,"△重複（集計されない）",IF(D403="","△タスク名なし",IF(ISNA(MATCH(AK403,'M1_類型マスタ'!$A$5:$A$19,0)),"△類型が不正",IF(OR(AM403="",AN403=""),"△回数・分が読めない",IF(SUMPRODUCT(--ISNUMBER(--O403:U403))&lt;7,"△採点が足りない",IF(SUMPRODUCT((--O403:U403&gt;2)+(--O403:U403&lt;0))&gt;0,"△採点が範囲外","OK")))))))))))</f>
        <v/>
      </c>
      <c r="X403">
        <f>IF(W403&lt;&gt;"OK","",TRIM(IF(AND(AO403&lt;&gt;"",N(AO403)&lt;=1),"根拠1件 ","")&amp;IF(AP403&lt;&gt;"","同名あり ","")&amp;IF(AND(NOT(ISNUMBER(I403)),I403&lt;&gt;""),"回数を換算 ","")))</f>
        <v/>
      </c>
      <c r="Y403" s="31" t="n"/>
      <c r="Z403" s="32" t="n"/>
      <c r="AA403" s="32" t="n"/>
      <c r="AB403" s="31" t="n"/>
      <c r="AC403">
        <f>IF(W403&lt;&gt;"OK","",IF(AB403&lt;&gt;"",AB403,AE403))</f>
        <v/>
      </c>
      <c r="AD403" s="33">
        <f>IF(W403&lt;&gt;"OK","",IFERROR(IF(Z403&lt;&gt;"",Z403,AM403)*IF(AA403&lt;&gt;"",AA403,AN403)/60,""))</f>
        <v/>
      </c>
      <c r="AE403">
        <f>IF(W403&lt;&gt;"OK","",IF(OR(VALUE(O403)=2,VALUE(P403)=2,VALUE(Q403)=2),"社内残置",IF(AND(VALUE(O403)=0,VALUE(R403)=0,VALUE(T403)=0),"自動化候補",IF(AND(VALUE(P403)=0,VALUE(R403)&lt;=1,VALUE(S403)&lt;=1,VALUE(T403)&lt;=1,VALUE(U403)&lt;=1),"オフショア候補",IF(AND(VALUE(T403)&lt;=1,VALUE(U403)&lt;=1),"ニアショア候補","社内で手順化→再評価")))))</f>
        <v/>
      </c>
      <c r="AF403">
        <f>IF(W403&lt;&gt;"OK","",14-SUMPRODUCT(--O403:U403))</f>
        <v/>
      </c>
      <c r="AG403" s="33">
        <f>IF(W403&lt;&gt;"OK","",AM403*AN403/60)</f>
        <v/>
      </c>
      <c r="AH403" s="34">
        <f>IF(A403="","",UPPER(TRIM(ASC(A403&amp;""))))</f>
        <v/>
      </c>
      <c r="AI403" s="34">
        <f>IF(AH403="","",AH403&amp;"-"&amp;B403)</f>
        <v/>
      </c>
      <c r="AJ403" s="34">
        <f>IF(C403="","",IFERROR(VALUE(ASC(SUBSTITUTE(C403&amp;"","観点",""))),""))</f>
        <v/>
      </c>
      <c r="AK403" s="34">
        <f>IF(E403="","",UPPER(LEFT(TRIM(ASC(E403&amp;"")),3)))</f>
        <v/>
      </c>
      <c r="AL403" s="34">
        <f>IF(I403="","",IFERROR(VALUE(SUBSTITUTE(SUBSTITUTE(SUBSTITUTE(SUBSTITUTE(SUBSTITUTE(SUBSTITUTE(SUBSTITUTE(SUBSTITUTE(SUBSTITUTE(SUBSTITUTE(SUBSTITUTE(SUBSTITUTE(ASC(I403&amp;""),"約",""),"程度",""),"ほど",""),"回",""),"毎",""),"週",""),"月",""),"年",""),"日",""),"に",""),"/","")," ","")),""))</f>
        <v/>
      </c>
      <c r="AM403" s="34">
        <f>IF(I403="","",IF(ISNUMBER(I403),I403,IFERROR(VALUE(ASC(I403&amp;"")),IF(AL403&lt;&gt;"",AL403*IF(ISNUMBER(SEARCH("週",I403)),4.3,IF(ISNUMBER(SEARCH("年",I403)),1/12,IF(ISNUMBER(SEARCH("日",I403)),20,1))),IF(ISNUMBER(SEARCH("日",I403)),20,IF(ISNUMBER(SEARCH("週",I403)),4.3,IF(ISNUMBER(SEARCH("月",I403)),1,"")))))))</f>
        <v/>
      </c>
      <c r="AN403" s="34">
        <f>IF(J403="","",IF(ISNUMBER(J403),J403,IFERROR(VALUE(ASC(J403&amp;"")),IF(ISNUMBER(SEARCH("時間",J403)),IFERROR(VALUE(SUBSTITUTE(SUBSTITUTE(SUBSTITUTE(SUBSTITUTE(SUBSTITUTE(ASC(J403&amp;""),"約",""),"程度",""),"ほど",""),"時間","")," ",""))*60,""),IFERROR(VALUE(SUBSTITUTE(SUBSTITUTE(SUBSTITUTE(SUBSTITUTE(SUBSTITUTE(ASC(J403&amp;""),"約",""),"程度",""),"ほど",""),"分","")," ","")),"")))))</f>
        <v/>
      </c>
      <c r="AO403" s="34">
        <f>IF(K403="","",IF(ISNUMBER(K403),K403,IFERROR(VALUE(SUBSTITUTE(SUBSTITUTE(SUBSTITUTE(ASC(K403&amp;""),"約",""),"件","")," ","")),"")))</f>
        <v/>
      </c>
      <c r="AP403" s="34">
        <f>IF(W403&lt;&gt;"OK","",IF(COUNTIFS($D$5:$D$404,D403,$W$5:$W$404,"OK")&gt;1,"同名あり",""))</f>
        <v/>
      </c>
      <c r="AQ403" s="35">
        <f>IF(L403="","",IF(ISNUMBER(L403),L403,IFERROR(DATEVALUE(SUBSTITUTE(SUBSTITUTE(ASC(L403&amp;""),"-","/"),".","/")&amp;"/01"),"")))</f>
        <v/>
      </c>
      <c r="AR403" s="35">
        <f>IF(M403="","",IF(ISNUMBER(M403),M403,IFERROR(DATEVALUE(SUBSTITUTE(SUBSTITUTE(ASC(M403&amp;""),"-","/"),".","/")&amp;"/01"),"")))</f>
        <v/>
      </c>
      <c r="AS403" s="34">
        <f>IF(OR(W403&lt;&gt;"OK",AQ403=""),"",IF(AQ403&gt;='01_設定'!$C$26,1,0))</f>
        <v/>
      </c>
      <c r="AT403" s="34">
        <f>IF(AND(W403="OK",Y403&lt;&gt;"除外"),COUNTIFS($W$5:W403,"OK",$Y$5:Y403,"&lt;&gt;除外"),"")</f>
        <v/>
      </c>
      <c r="AU403" s="34">
        <f>IF(OR(AT403="",AD403=""),"",AD403+ROW()/1000000000)</f>
        <v/>
      </c>
    </row>
    <row r="404">
      <c r="W404">
        <f>IF(AND(A404="",D404=""),"",IF(ISNUMBER(SEARCH("##END",AH404)),"（終わりの印）",IF(ISNUMBER(SEARCH("##続き",AH404)),"（続きありの印）",IF(AH404="調査ID","（見出し行）",IF(AND(AH404&lt;&gt;"R1",AH404&lt;&gt;"R2"),"×表以外の行（集計されない）",IF(COUNTIF($AI$5:AI404,AI404)&gt;1,"△重複（集計されない）",IF(D404="","△タスク名なし",IF(ISNA(MATCH(AK404,'M1_類型マスタ'!$A$5:$A$19,0)),"△類型が不正",IF(OR(AM404="",AN404=""),"△回数・分が読めない",IF(SUMPRODUCT(--ISNUMBER(--O404:U404))&lt;7,"△採点が足りない",IF(SUMPRODUCT((--O404:U404&gt;2)+(--O404:U404&lt;0))&gt;0,"△採点が範囲外","OK")))))))))))</f>
        <v/>
      </c>
      <c r="X404">
        <f>IF(W404&lt;&gt;"OK","",TRIM(IF(AND(AO404&lt;&gt;"",N(AO404)&lt;=1),"根拠1件 ","")&amp;IF(AP404&lt;&gt;"","同名あり ","")&amp;IF(AND(NOT(ISNUMBER(I404)),I404&lt;&gt;""),"回数を換算 ","")))</f>
        <v/>
      </c>
      <c r="Y404" s="31" t="n"/>
      <c r="Z404" s="32" t="n"/>
      <c r="AA404" s="32" t="n"/>
      <c r="AB404" s="31" t="n"/>
      <c r="AC404">
        <f>IF(W404&lt;&gt;"OK","",IF(AB404&lt;&gt;"",AB404,AE404))</f>
        <v/>
      </c>
      <c r="AD404" s="33">
        <f>IF(W404&lt;&gt;"OK","",IFERROR(IF(Z404&lt;&gt;"",Z404,AM404)*IF(AA404&lt;&gt;"",AA404,AN404)/60,""))</f>
        <v/>
      </c>
      <c r="AE404">
        <f>IF(W404&lt;&gt;"OK","",IF(OR(VALUE(O404)=2,VALUE(P404)=2,VALUE(Q404)=2),"社内残置",IF(AND(VALUE(O404)=0,VALUE(R404)=0,VALUE(T404)=0),"自動化候補",IF(AND(VALUE(P404)=0,VALUE(R404)&lt;=1,VALUE(S404)&lt;=1,VALUE(T404)&lt;=1,VALUE(U404)&lt;=1),"オフショア候補",IF(AND(VALUE(T404)&lt;=1,VALUE(U404)&lt;=1),"ニアショア候補","社内で手順化→再評価")))))</f>
        <v/>
      </c>
      <c r="AF404">
        <f>IF(W404&lt;&gt;"OK","",14-SUMPRODUCT(--O404:U404))</f>
        <v/>
      </c>
      <c r="AG404" s="33">
        <f>IF(W404&lt;&gt;"OK","",AM404*AN404/60)</f>
        <v/>
      </c>
      <c r="AH404" s="34">
        <f>IF(A404="","",UPPER(TRIM(ASC(A404&amp;""))))</f>
        <v/>
      </c>
      <c r="AI404" s="34">
        <f>IF(AH404="","",AH404&amp;"-"&amp;B404)</f>
        <v/>
      </c>
      <c r="AJ404" s="34">
        <f>IF(C404="","",IFERROR(VALUE(ASC(SUBSTITUTE(C404&amp;"","観点",""))),""))</f>
        <v/>
      </c>
      <c r="AK404" s="34">
        <f>IF(E404="","",UPPER(LEFT(TRIM(ASC(E404&amp;"")),3)))</f>
        <v/>
      </c>
      <c r="AL404" s="34">
        <f>IF(I404="","",IFERROR(VALUE(SUBSTITUTE(SUBSTITUTE(SUBSTITUTE(SUBSTITUTE(SUBSTITUTE(SUBSTITUTE(SUBSTITUTE(SUBSTITUTE(SUBSTITUTE(SUBSTITUTE(SUBSTITUTE(SUBSTITUTE(ASC(I404&amp;""),"約",""),"程度",""),"ほど",""),"回",""),"毎",""),"週",""),"月",""),"年",""),"日",""),"に",""),"/","")," ","")),""))</f>
        <v/>
      </c>
      <c r="AM404" s="34">
        <f>IF(I404="","",IF(ISNUMBER(I404),I404,IFERROR(VALUE(ASC(I404&amp;"")),IF(AL404&lt;&gt;"",AL404*IF(ISNUMBER(SEARCH("週",I404)),4.3,IF(ISNUMBER(SEARCH("年",I404)),1/12,IF(ISNUMBER(SEARCH("日",I404)),20,1))),IF(ISNUMBER(SEARCH("日",I404)),20,IF(ISNUMBER(SEARCH("週",I404)),4.3,IF(ISNUMBER(SEARCH("月",I404)),1,"")))))))</f>
        <v/>
      </c>
      <c r="AN404" s="34">
        <f>IF(J404="","",IF(ISNUMBER(J404),J404,IFERROR(VALUE(ASC(J404&amp;"")),IF(ISNUMBER(SEARCH("時間",J404)),IFERROR(VALUE(SUBSTITUTE(SUBSTITUTE(SUBSTITUTE(SUBSTITUTE(SUBSTITUTE(ASC(J404&amp;""),"約",""),"程度",""),"ほど",""),"時間","")," ",""))*60,""),IFERROR(VALUE(SUBSTITUTE(SUBSTITUTE(SUBSTITUTE(SUBSTITUTE(SUBSTITUTE(ASC(J404&amp;""),"約",""),"程度",""),"ほど",""),"分","")," ","")),"")))))</f>
        <v/>
      </c>
      <c r="AO404" s="34">
        <f>IF(K404="","",IF(ISNUMBER(K404),K404,IFERROR(VALUE(SUBSTITUTE(SUBSTITUTE(SUBSTITUTE(ASC(K404&amp;""),"約",""),"件","")," ","")),"")))</f>
        <v/>
      </c>
      <c r="AP404" s="34">
        <f>IF(W404&lt;&gt;"OK","",IF(COUNTIFS($D$5:$D$404,D404,$W$5:$W$404,"OK")&gt;1,"同名あり",""))</f>
        <v/>
      </c>
      <c r="AQ404" s="35">
        <f>IF(L404="","",IF(ISNUMBER(L404),L404,IFERROR(DATEVALUE(SUBSTITUTE(SUBSTITUTE(ASC(L404&amp;""),"-","/"),".","/")&amp;"/01"),"")))</f>
        <v/>
      </c>
      <c r="AR404" s="35">
        <f>IF(M404="","",IF(ISNUMBER(M404),M404,IFERROR(DATEVALUE(SUBSTITUTE(SUBSTITUTE(ASC(M404&amp;""),"-","/"),".","/")&amp;"/01"),"")))</f>
        <v/>
      </c>
      <c r="AS404" s="34">
        <f>IF(OR(W404&lt;&gt;"OK",AQ404=""),"",IF(AQ404&gt;='01_設定'!$C$26,1,0))</f>
        <v/>
      </c>
      <c r="AT404" s="34">
        <f>IF(AND(W404="OK",Y404&lt;&gt;"除外"),COUNTIFS($W$5:W404,"OK",$Y$5:Y404,"&lt;&gt;除外"),"")</f>
        <v/>
      </c>
      <c r="AU404" s="34">
        <f>IF(OR(AT404="",AD404=""),"",AD404+ROW()/1000000000)</f>
        <v/>
      </c>
    </row>
  </sheetData>
  <conditionalFormatting sqref="W5:W404">
    <cfRule type="expression" priority="1" dxfId="1">
      <formula>LEFT($W5,1)="△"</formula>
    </cfRule>
    <cfRule type="expression" priority="2" dxfId="2">
      <formula>$W5="OK"</formula>
    </cfRule>
    <cfRule type="expression" priority="3" dxfId="3">
      <formula>OR(LEFT($W5,1)="×",LEFT($W5,1)="（")</formula>
    </cfRule>
  </conditionalFormatting>
  <conditionalFormatting sqref="X5:X404">
    <cfRule type="expression" priority="4" dxfId="4">
      <formula>$X5&lt;&gt;""</formula>
    </cfRule>
  </conditionalFormatting>
  <conditionalFormatting sqref="A5:AE404">
    <cfRule type="expression" priority="5" dxfId="5">
      <formula>$Y5="除外"</formula>
    </cfRule>
  </conditionalFormatting>
  <dataValidations count="3">
    <dataValidation sqref="AB5:AB404" showDropDown="0" showInputMessage="0" showErrorMessage="1" allowBlank="1" type="list">
      <formula1>='M2_区分マスタ'!$G$5:$G$9</formula1>
    </dataValidation>
    <dataValidation sqref="Y5:Y404" showDropDown="0" showInputMessage="0" showErrorMessage="1" allowBlank="1" type="list">
      <formula1>='M2_区分マスタ'!$H$5:$H$5</formula1>
    </dataValidation>
    <dataValidation sqref="Z5:AA404" showDropDown="0" showInputMessage="0" showErrorMessage="0" allowBlank="1"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AG304"/>
  <sheetViews>
    <sheetView showGridLines="1" workbookViewId="0">
      <pane xSplit="9" ySplit="4" topLeftCell="J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11" customWidth="1" min="5" max="5"/>
    <col width="6" customWidth="1" min="6" max="6"/>
    <col width="5" customWidth="1" min="7" max="7"/>
    <col width="5" customWidth="1" min="8" max="8"/>
    <col width="26" customWidth="1" min="9" max="9"/>
    <col width="6" customWidth="1" min="10" max="10"/>
    <col width="16" customWidth="1" min="11" max="11"/>
    <col width="34" customWidth="1" min="12" max="12"/>
    <col width="9" customWidth="1" min="13" max="13"/>
    <col width="7" customWidth="1" min="14" max="14"/>
    <col width="8" customWidth="1" min="15" max="15"/>
    <col width="8" customWidth="1" min="16" max="16"/>
    <col width="8" customWidth="1" min="17" max="17"/>
    <col width="6" customWidth="1" min="18" max="18"/>
    <col width="9" customWidth="1" min="19" max="19"/>
    <col width="9" customWidth="1" min="20" max="20"/>
    <col width="26"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7" customWidth="1" min="29" max="29"/>
    <col width="16" customWidth="1" min="30" max="30"/>
    <col width="30" customWidth="1" min="31" max="31"/>
    <col width="12" customWidth="1" min="32" max="32"/>
    <col width="5" customWidth="1" min="33" max="33"/>
  </cols>
  <sheetData>
    <row r="1">
      <c r="A1" s="5" t="inlineStr">
        <is>
          <t>05_タスク一覧（提出用・最終成果物）</t>
        </is>
      </c>
    </row>
    <row r="2">
      <c r="A2" s="2" t="inlineStr">
        <is>
          <t>04_調査結果のうち、判定が OK で「除外」していないタスクが自動で並ぶ。直接は編集しない（直すときは 04 で）。</t>
        </is>
      </c>
    </row>
    <row r="3" ht="36" customHeight="1">
      <c r="A3" s="6" t="inlineStr">
        <is>
          <t>実行者ID</t>
        </is>
      </c>
      <c r="B3" s="6" t="inlineStr">
        <is>
          <t>部署区分</t>
        </is>
      </c>
      <c r="C3" s="6" t="inlineStr">
        <is>
          <t>役職区分</t>
        </is>
      </c>
      <c r="D3" s="6" t="inlineStr">
        <is>
          <t>実行日</t>
        </is>
      </c>
      <c r="E3" s="6" t="inlineStr">
        <is>
          <t>対象開始日</t>
        </is>
      </c>
      <c r="F3" s="6" t="inlineStr">
        <is>
          <t>台帳の版</t>
        </is>
      </c>
      <c r="G3" s="6" t="inlineStr">
        <is>
          <t>No</t>
        </is>
      </c>
      <c r="H3" s="6" t="inlineStr">
        <is>
          <t>観点</t>
        </is>
      </c>
      <c r="I3" s="6" t="inlineStr">
        <is>
          <t>タスク名</t>
        </is>
      </c>
      <c r="J3" s="6" t="inlineStr">
        <is>
          <t>類型</t>
        </is>
      </c>
      <c r="K3" s="6" t="inlineStr">
        <is>
          <t>類型名</t>
        </is>
      </c>
      <c r="L3" s="6" t="inlineStr">
        <is>
          <t>説明</t>
        </is>
      </c>
      <c r="M3" s="6" t="inlineStr">
        <is>
          <t>主な相手</t>
        </is>
      </c>
      <c r="N3" s="6" t="inlineStr">
        <is>
          <t>明示暗黙</t>
        </is>
      </c>
      <c r="O3" s="6" t="inlineStr">
        <is>
          <t>月あたり回数</t>
        </is>
      </c>
      <c r="P3" s="6" t="inlineStr">
        <is>
          <t>1回あたり分</t>
        </is>
      </c>
      <c r="Q3" s="6" t="inlineStr">
        <is>
          <t>月あたり時間h</t>
        </is>
      </c>
      <c r="R3" s="6" t="inlineStr">
        <is>
          <t>根拠の件数</t>
        </is>
      </c>
      <c r="S3" s="6" t="inlineStr">
        <is>
          <t>根拠の最初</t>
        </is>
      </c>
      <c r="T3" s="6" t="inlineStr">
        <is>
          <t>根拠の最後</t>
        </is>
      </c>
      <c r="U3" s="6" t="inlineStr">
        <is>
          <t>暗黙の理由</t>
        </is>
      </c>
      <c r="V3" s="6" t="inlineStr">
        <is>
          <t>A1</t>
        </is>
      </c>
      <c r="W3" s="6" t="inlineStr">
        <is>
          <t>A2</t>
        </is>
      </c>
      <c r="X3" s="6" t="inlineStr">
        <is>
          <t>A3</t>
        </is>
      </c>
      <c r="Y3" s="6" t="inlineStr">
        <is>
          <t>A4</t>
        </is>
      </c>
      <c r="Z3" s="6" t="inlineStr">
        <is>
          <t>A5</t>
        </is>
      </c>
      <c r="AA3" s="6" t="inlineStr">
        <is>
          <t>A6</t>
        </is>
      </c>
      <c r="AB3" s="6" t="inlineStr">
        <is>
          <t>A7</t>
        </is>
      </c>
      <c r="AC3" s="6" t="inlineStr">
        <is>
          <t>任せやすさ</t>
        </is>
      </c>
      <c r="AD3" s="6" t="inlineStr">
        <is>
          <t>採用区分</t>
        </is>
      </c>
      <c r="AE3" s="6" t="inlineStr">
        <is>
          <t>任せるための前提条件</t>
        </is>
      </c>
      <c r="AF3" s="6" t="inlineStr">
        <is>
          <t>要確認</t>
        </is>
      </c>
      <c r="AG3" s="29" t="inlineStr">
        <is>
          <t>行</t>
        </is>
      </c>
    </row>
    <row r="5">
      <c r="A5">
        <f>IF($AG5="","",'01_設定'!$C$4)</f>
        <v/>
      </c>
      <c r="B5">
        <f>IF($AG5="","",'01_設定'!$C$5)</f>
        <v/>
      </c>
      <c r="C5">
        <f>IF($AG5="","",'01_設定'!$C$6)</f>
        <v/>
      </c>
      <c r="D5" s="36">
        <f>IF($AG5="","",'01_設定'!$C$22)</f>
        <v/>
      </c>
      <c r="E5" s="36">
        <f>IF($AG5="","",'01_設定'!$C$23)</f>
        <v/>
      </c>
      <c r="F5">
        <f>IF($AG5="","",'01_設定'!$C$32)</f>
        <v/>
      </c>
      <c r="G5">
        <f>IF($AG5="","",ROW()-4)</f>
        <v/>
      </c>
      <c r="H5">
        <f>IF($AG5="","",INDEX('04_調査結果'!$AJ$5:$AJ$404,$AG5))</f>
        <v/>
      </c>
      <c r="I5">
        <f>IF($AG5="","",INDEX('04_調査結果'!$D$5:$D$404,$AG5)&amp;"")</f>
        <v/>
      </c>
      <c r="J5">
        <f>IF($AG5="","",INDEX('04_調査結果'!$AK$5:$AK$404,$AG5)&amp;"")</f>
        <v/>
      </c>
      <c r="K5">
        <f>IF($AG5="","",IFERROR(INDEX('M1_類型マスタ'!$B$5:$B$19,MATCH(J5,'M1_類型マスタ'!$A$5:$A$19,0)),""))</f>
        <v/>
      </c>
      <c r="L5">
        <f>IF($AG5="","",INDEX('04_調査結果'!$F$5:$F$404,$AG5)&amp;"")</f>
        <v/>
      </c>
      <c r="M5">
        <f>IF($AG5="","",INDEX('04_調査結果'!$G$5:$G$404,$AG5)&amp;"")</f>
        <v/>
      </c>
      <c r="N5">
        <f>IF($AG5="","",INDEX('04_調査結果'!$H$5:$H$404,$AG5)&amp;"")</f>
        <v/>
      </c>
      <c r="O5" s="33">
        <f>IF($AG5="","",IF(INDEX('04_調査結果'!$Z$5:$Z$404,$AG5)&lt;&gt;"",INDEX('04_調査結果'!$Z$5:$Z$404,$AG5),INDEX('04_調査結果'!$AM$5:$AM$404,$AG5)))</f>
        <v/>
      </c>
      <c r="P5" s="33">
        <f>IF($AG5="","",IF(INDEX('04_調査結果'!$AA$5:$AA$404,$AG5)&lt;&gt;"",INDEX('04_調査結果'!$AA$5:$AA$404,$AG5),INDEX('04_調査結果'!$AN$5:$AN$404,$AG5)))</f>
        <v/>
      </c>
      <c r="Q5" s="33">
        <f>IF($AG5="","",INDEX('04_調査結果'!$AD$5:$AD$404,$AG5))</f>
        <v/>
      </c>
      <c r="R5">
        <f>IF($AG5="","",INDEX('04_調査結果'!$AO$5:$AO$404,$AG5))</f>
        <v/>
      </c>
      <c r="S5" s="37">
        <f>IF($AG5="","",INDEX('04_調査結果'!$AQ$5:$AQ$404,$AG5))</f>
        <v/>
      </c>
      <c r="T5" s="37">
        <f>IF($AG5="","",INDEX('04_調査結果'!$AR$5:$AR$404,$AG5))</f>
        <v/>
      </c>
      <c r="U5">
        <f>IF($AG5="","",INDEX('04_調査結果'!$N$5:$N$404,$AG5)&amp;"")</f>
        <v/>
      </c>
      <c r="V5">
        <f>IF($AG5="","",INDEX('04_調査結果'!$O$5:$O$404,$AG5))</f>
        <v/>
      </c>
      <c r="W5">
        <f>IF($AG5="","",INDEX('04_調査結果'!$P$5:$P$404,$AG5))</f>
        <v/>
      </c>
      <c r="X5">
        <f>IF($AG5="","",INDEX('04_調査結果'!$Q$5:$Q$404,$AG5))</f>
        <v/>
      </c>
      <c r="Y5">
        <f>IF($AG5="","",INDEX('04_調査結果'!$R$5:$R$404,$AG5))</f>
        <v/>
      </c>
      <c r="Z5">
        <f>IF($AG5="","",INDEX('04_調査結果'!$S$5:$S$404,$AG5))</f>
        <v/>
      </c>
      <c r="AA5">
        <f>IF($AG5="","",INDEX('04_調査結果'!$T$5:$T$404,$AG5))</f>
        <v/>
      </c>
      <c r="AB5">
        <f>IF($AG5="","",INDEX('04_調査結果'!$U$5:$U$404,$AG5))</f>
        <v/>
      </c>
      <c r="AC5">
        <f>IF($AG5="","",INDEX('04_調査結果'!$AF$5:$AF$404,$AG5))</f>
        <v/>
      </c>
      <c r="AD5">
        <f>IF($AG5="","",INDEX('04_調査結果'!$AC$5:$AC$404,$AG5)&amp;"")</f>
        <v/>
      </c>
      <c r="AE5">
        <f>IF($AG5="","",INDEX('04_調査結果'!$V$5:$V$404,$AG5)&amp;"")</f>
        <v/>
      </c>
      <c r="AF5">
        <f>IF($AG5="","",INDEX('04_調査結果'!$X$5:$X$404,$AG5)&amp;"")</f>
        <v/>
      </c>
      <c r="AG5" s="34">
        <f>IFERROR(MATCH(ROW()-4,'04_調査結果'!$AT$5:$AT$404,0),"")</f>
        <v/>
      </c>
    </row>
    <row r="6">
      <c r="A6">
        <f>IF($AG6="","",'01_設定'!$C$4)</f>
        <v/>
      </c>
      <c r="B6">
        <f>IF($AG6="","",'01_設定'!$C$5)</f>
        <v/>
      </c>
      <c r="C6">
        <f>IF($AG6="","",'01_設定'!$C$6)</f>
        <v/>
      </c>
      <c r="D6" s="36">
        <f>IF($AG6="","",'01_設定'!$C$22)</f>
        <v/>
      </c>
      <c r="E6" s="36">
        <f>IF($AG6="","",'01_設定'!$C$23)</f>
        <v/>
      </c>
      <c r="F6">
        <f>IF($AG6="","",'01_設定'!$C$32)</f>
        <v/>
      </c>
      <c r="G6">
        <f>IF($AG6="","",ROW()-4)</f>
        <v/>
      </c>
      <c r="H6">
        <f>IF($AG6="","",INDEX('04_調査結果'!$AJ$5:$AJ$404,$AG6))</f>
        <v/>
      </c>
      <c r="I6">
        <f>IF($AG6="","",INDEX('04_調査結果'!$D$5:$D$404,$AG6)&amp;"")</f>
        <v/>
      </c>
      <c r="J6">
        <f>IF($AG6="","",INDEX('04_調査結果'!$AK$5:$AK$404,$AG6)&amp;"")</f>
        <v/>
      </c>
      <c r="K6">
        <f>IF($AG6="","",IFERROR(INDEX('M1_類型マスタ'!$B$5:$B$19,MATCH(J6,'M1_類型マスタ'!$A$5:$A$19,0)),""))</f>
        <v/>
      </c>
      <c r="L6">
        <f>IF($AG6="","",INDEX('04_調査結果'!$F$5:$F$404,$AG6)&amp;"")</f>
        <v/>
      </c>
      <c r="M6">
        <f>IF($AG6="","",INDEX('04_調査結果'!$G$5:$G$404,$AG6)&amp;"")</f>
        <v/>
      </c>
      <c r="N6">
        <f>IF($AG6="","",INDEX('04_調査結果'!$H$5:$H$404,$AG6)&amp;"")</f>
        <v/>
      </c>
      <c r="O6" s="33">
        <f>IF($AG6="","",IF(INDEX('04_調査結果'!$Z$5:$Z$404,$AG6)&lt;&gt;"",INDEX('04_調査結果'!$Z$5:$Z$404,$AG6),INDEX('04_調査結果'!$AM$5:$AM$404,$AG6)))</f>
        <v/>
      </c>
      <c r="P6" s="33">
        <f>IF($AG6="","",IF(INDEX('04_調査結果'!$AA$5:$AA$404,$AG6)&lt;&gt;"",INDEX('04_調査結果'!$AA$5:$AA$404,$AG6),INDEX('04_調査結果'!$AN$5:$AN$404,$AG6)))</f>
        <v/>
      </c>
      <c r="Q6" s="33">
        <f>IF($AG6="","",INDEX('04_調査結果'!$AD$5:$AD$404,$AG6))</f>
        <v/>
      </c>
      <c r="R6">
        <f>IF($AG6="","",INDEX('04_調査結果'!$AO$5:$AO$404,$AG6))</f>
        <v/>
      </c>
      <c r="S6" s="37">
        <f>IF($AG6="","",INDEX('04_調査結果'!$AQ$5:$AQ$404,$AG6))</f>
        <v/>
      </c>
      <c r="T6" s="37">
        <f>IF($AG6="","",INDEX('04_調査結果'!$AR$5:$AR$404,$AG6))</f>
        <v/>
      </c>
      <c r="U6">
        <f>IF($AG6="","",INDEX('04_調査結果'!$N$5:$N$404,$AG6)&amp;"")</f>
        <v/>
      </c>
      <c r="V6">
        <f>IF($AG6="","",INDEX('04_調査結果'!$O$5:$O$404,$AG6))</f>
        <v/>
      </c>
      <c r="W6">
        <f>IF($AG6="","",INDEX('04_調査結果'!$P$5:$P$404,$AG6))</f>
        <v/>
      </c>
      <c r="X6">
        <f>IF($AG6="","",INDEX('04_調査結果'!$Q$5:$Q$404,$AG6))</f>
        <v/>
      </c>
      <c r="Y6">
        <f>IF($AG6="","",INDEX('04_調査結果'!$R$5:$R$404,$AG6))</f>
        <v/>
      </c>
      <c r="Z6">
        <f>IF($AG6="","",INDEX('04_調査結果'!$S$5:$S$404,$AG6))</f>
        <v/>
      </c>
      <c r="AA6">
        <f>IF($AG6="","",INDEX('04_調査結果'!$T$5:$T$404,$AG6))</f>
        <v/>
      </c>
      <c r="AB6">
        <f>IF($AG6="","",INDEX('04_調査結果'!$U$5:$U$404,$AG6))</f>
        <v/>
      </c>
      <c r="AC6">
        <f>IF($AG6="","",INDEX('04_調査結果'!$AF$5:$AF$404,$AG6))</f>
        <v/>
      </c>
      <c r="AD6">
        <f>IF($AG6="","",INDEX('04_調査結果'!$AC$5:$AC$404,$AG6)&amp;"")</f>
        <v/>
      </c>
      <c r="AE6">
        <f>IF($AG6="","",INDEX('04_調査結果'!$V$5:$V$404,$AG6)&amp;"")</f>
        <v/>
      </c>
      <c r="AF6">
        <f>IF($AG6="","",INDEX('04_調査結果'!$X$5:$X$404,$AG6)&amp;"")</f>
        <v/>
      </c>
      <c r="AG6" s="34">
        <f>IFERROR(MATCH(ROW()-4,'04_調査結果'!$AT$5:$AT$404,0),"")</f>
        <v/>
      </c>
    </row>
    <row r="7">
      <c r="A7">
        <f>IF($AG7="","",'01_設定'!$C$4)</f>
        <v/>
      </c>
      <c r="B7">
        <f>IF($AG7="","",'01_設定'!$C$5)</f>
        <v/>
      </c>
      <c r="C7">
        <f>IF($AG7="","",'01_設定'!$C$6)</f>
        <v/>
      </c>
      <c r="D7" s="36">
        <f>IF($AG7="","",'01_設定'!$C$22)</f>
        <v/>
      </c>
      <c r="E7" s="36">
        <f>IF($AG7="","",'01_設定'!$C$23)</f>
        <v/>
      </c>
      <c r="F7">
        <f>IF($AG7="","",'01_設定'!$C$32)</f>
        <v/>
      </c>
      <c r="G7">
        <f>IF($AG7="","",ROW()-4)</f>
        <v/>
      </c>
      <c r="H7">
        <f>IF($AG7="","",INDEX('04_調査結果'!$AJ$5:$AJ$404,$AG7))</f>
        <v/>
      </c>
      <c r="I7">
        <f>IF($AG7="","",INDEX('04_調査結果'!$D$5:$D$404,$AG7)&amp;"")</f>
        <v/>
      </c>
      <c r="J7">
        <f>IF($AG7="","",INDEX('04_調査結果'!$AK$5:$AK$404,$AG7)&amp;"")</f>
        <v/>
      </c>
      <c r="K7">
        <f>IF($AG7="","",IFERROR(INDEX('M1_類型マスタ'!$B$5:$B$19,MATCH(J7,'M1_類型マスタ'!$A$5:$A$19,0)),""))</f>
        <v/>
      </c>
      <c r="L7">
        <f>IF($AG7="","",INDEX('04_調査結果'!$F$5:$F$404,$AG7)&amp;"")</f>
        <v/>
      </c>
      <c r="M7">
        <f>IF($AG7="","",INDEX('04_調査結果'!$G$5:$G$404,$AG7)&amp;"")</f>
        <v/>
      </c>
      <c r="N7">
        <f>IF($AG7="","",INDEX('04_調査結果'!$H$5:$H$404,$AG7)&amp;"")</f>
        <v/>
      </c>
      <c r="O7" s="33">
        <f>IF($AG7="","",IF(INDEX('04_調査結果'!$Z$5:$Z$404,$AG7)&lt;&gt;"",INDEX('04_調査結果'!$Z$5:$Z$404,$AG7),INDEX('04_調査結果'!$AM$5:$AM$404,$AG7)))</f>
        <v/>
      </c>
      <c r="P7" s="33">
        <f>IF($AG7="","",IF(INDEX('04_調査結果'!$AA$5:$AA$404,$AG7)&lt;&gt;"",INDEX('04_調査結果'!$AA$5:$AA$404,$AG7),INDEX('04_調査結果'!$AN$5:$AN$404,$AG7)))</f>
        <v/>
      </c>
      <c r="Q7" s="33">
        <f>IF($AG7="","",INDEX('04_調査結果'!$AD$5:$AD$404,$AG7))</f>
        <v/>
      </c>
      <c r="R7">
        <f>IF($AG7="","",INDEX('04_調査結果'!$AO$5:$AO$404,$AG7))</f>
        <v/>
      </c>
      <c r="S7" s="37">
        <f>IF($AG7="","",INDEX('04_調査結果'!$AQ$5:$AQ$404,$AG7))</f>
        <v/>
      </c>
      <c r="T7" s="37">
        <f>IF($AG7="","",INDEX('04_調査結果'!$AR$5:$AR$404,$AG7))</f>
        <v/>
      </c>
      <c r="U7">
        <f>IF($AG7="","",INDEX('04_調査結果'!$N$5:$N$404,$AG7)&amp;"")</f>
        <v/>
      </c>
      <c r="V7">
        <f>IF($AG7="","",INDEX('04_調査結果'!$O$5:$O$404,$AG7))</f>
        <v/>
      </c>
      <c r="W7">
        <f>IF($AG7="","",INDEX('04_調査結果'!$P$5:$P$404,$AG7))</f>
        <v/>
      </c>
      <c r="X7">
        <f>IF($AG7="","",INDEX('04_調査結果'!$Q$5:$Q$404,$AG7))</f>
        <v/>
      </c>
      <c r="Y7">
        <f>IF($AG7="","",INDEX('04_調査結果'!$R$5:$R$404,$AG7))</f>
        <v/>
      </c>
      <c r="Z7">
        <f>IF($AG7="","",INDEX('04_調査結果'!$S$5:$S$404,$AG7))</f>
        <v/>
      </c>
      <c r="AA7">
        <f>IF($AG7="","",INDEX('04_調査結果'!$T$5:$T$404,$AG7))</f>
        <v/>
      </c>
      <c r="AB7">
        <f>IF($AG7="","",INDEX('04_調査結果'!$U$5:$U$404,$AG7))</f>
        <v/>
      </c>
      <c r="AC7">
        <f>IF($AG7="","",INDEX('04_調査結果'!$AF$5:$AF$404,$AG7))</f>
        <v/>
      </c>
      <c r="AD7">
        <f>IF($AG7="","",INDEX('04_調査結果'!$AC$5:$AC$404,$AG7)&amp;"")</f>
        <v/>
      </c>
      <c r="AE7">
        <f>IF($AG7="","",INDEX('04_調査結果'!$V$5:$V$404,$AG7)&amp;"")</f>
        <v/>
      </c>
      <c r="AF7">
        <f>IF($AG7="","",INDEX('04_調査結果'!$X$5:$X$404,$AG7)&amp;"")</f>
        <v/>
      </c>
      <c r="AG7" s="34">
        <f>IFERROR(MATCH(ROW()-4,'04_調査結果'!$AT$5:$AT$404,0),"")</f>
        <v/>
      </c>
    </row>
    <row r="8">
      <c r="A8">
        <f>IF($AG8="","",'01_設定'!$C$4)</f>
        <v/>
      </c>
      <c r="B8">
        <f>IF($AG8="","",'01_設定'!$C$5)</f>
        <v/>
      </c>
      <c r="C8">
        <f>IF($AG8="","",'01_設定'!$C$6)</f>
        <v/>
      </c>
      <c r="D8" s="36">
        <f>IF($AG8="","",'01_設定'!$C$22)</f>
        <v/>
      </c>
      <c r="E8" s="36">
        <f>IF($AG8="","",'01_設定'!$C$23)</f>
        <v/>
      </c>
      <c r="F8">
        <f>IF($AG8="","",'01_設定'!$C$32)</f>
        <v/>
      </c>
      <c r="G8">
        <f>IF($AG8="","",ROW()-4)</f>
        <v/>
      </c>
      <c r="H8">
        <f>IF($AG8="","",INDEX('04_調査結果'!$AJ$5:$AJ$404,$AG8))</f>
        <v/>
      </c>
      <c r="I8">
        <f>IF($AG8="","",INDEX('04_調査結果'!$D$5:$D$404,$AG8)&amp;"")</f>
        <v/>
      </c>
      <c r="J8">
        <f>IF($AG8="","",INDEX('04_調査結果'!$AK$5:$AK$404,$AG8)&amp;"")</f>
        <v/>
      </c>
      <c r="K8">
        <f>IF($AG8="","",IFERROR(INDEX('M1_類型マスタ'!$B$5:$B$19,MATCH(J8,'M1_類型マスタ'!$A$5:$A$19,0)),""))</f>
        <v/>
      </c>
      <c r="L8">
        <f>IF($AG8="","",INDEX('04_調査結果'!$F$5:$F$404,$AG8)&amp;"")</f>
        <v/>
      </c>
      <c r="M8">
        <f>IF($AG8="","",INDEX('04_調査結果'!$G$5:$G$404,$AG8)&amp;"")</f>
        <v/>
      </c>
      <c r="N8">
        <f>IF($AG8="","",INDEX('04_調査結果'!$H$5:$H$404,$AG8)&amp;"")</f>
        <v/>
      </c>
      <c r="O8" s="33">
        <f>IF($AG8="","",IF(INDEX('04_調査結果'!$Z$5:$Z$404,$AG8)&lt;&gt;"",INDEX('04_調査結果'!$Z$5:$Z$404,$AG8),INDEX('04_調査結果'!$AM$5:$AM$404,$AG8)))</f>
        <v/>
      </c>
      <c r="P8" s="33">
        <f>IF($AG8="","",IF(INDEX('04_調査結果'!$AA$5:$AA$404,$AG8)&lt;&gt;"",INDEX('04_調査結果'!$AA$5:$AA$404,$AG8),INDEX('04_調査結果'!$AN$5:$AN$404,$AG8)))</f>
        <v/>
      </c>
      <c r="Q8" s="33">
        <f>IF($AG8="","",INDEX('04_調査結果'!$AD$5:$AD$404,$AG8))</f>
        <v/>
      </c>
      <c r="R8">
        <f>IF($AG8="","",INDEX('04_調査結果'!$AO$5:$AO$404,$AG8))</f>
        <v/>
      </c>
      <c r="S8" s="37">
        <f>IF($AG8="","",INDEX('04_調査結果'!$AQ$5:$AQ$404,$AG8))</f>
        <v/>
      </c>
      <c r="T8" s="37">
        <f>IF($AG8="","",INDEX('04_調査結果'!$AR$5:$AR$404,$AG8))</f>
        <v/>
      </c>
      <c r="U8">
        <f>IF($AG8="","",INDEX('04_調査結果'!$N$5:$N$404,$AG8)&amp;"")</f>
        <v/>
      </c>
      <c r="V8">
        <f>IF($AG8="","",INDEX('04_調査結果'!$O$5:$O$404,$AG8))</f>
        <v/>
      </c>
      <c r="W8">
        <f>IF($AG8="","",INDEX('04_調査結果'!$P$5:$P$404,$AG8))</f>
        <v/>
      </c>
      <c r="X8">
        <f>IF($AG8="","",INDEX('04_調査結果'!$Q$5:$Q$404,$AG8))</f>
        <v/>
      </c>
      <c r="Y8">
        <f>IF($AG8="","",INDEX('04_調査結果'!$R$5:$R$404,$AG8))</f>
        <v/>
      </c>
      <c r="Z8">
        <f>IF($AG8="","",INDEX('04_調査結果'!$S$5:$S$404,$AG8))</f>
        <v/>
      </c>
      <c r="AA8">
        <f>IF($AG8="","",INDEX('04_調査結果'!$T$5:$T$404,$AG8))</f>
        <v/>
      </c>
      <c r="AB8">
        <f>IF($AG8="","",INDEX('04_調査結果'!$U$5:$U$404,$AG8))</f>
        <v/>
      </c>
      <c r="AC8">
        <f>IF($AG8="","",INDEX('04_調査結果'!$AF$5:$AF$404,$AG8))</f>
        <v/>
      </c>
      <c r="AD8">
        <f>IF($AG8="","",INDEX('04_調査結果'!$AC$5:$AC$404,$AG8)&amp;"")</f>
        <v/>
      </c>
      <c r="AE8">
        <f>IF($AG8="","",INDEX('04_調査結果'!$V$5:$V$404,$AG8)&amp;"")</f>
        <v/>
      </c>
      <c r="AF8">
        <f>IF($AG8="","",INDEX('04_調査結果'!$X$5:$X$404,$AG8)&amp;"")</f>
        <v/>
      </c>
      <c r="AG8" s="34">
        <f>IFERROR(MATCH(ROW()-4,'04_調査結果'!$AT$5:$AT$404,0),"")</f>
        <v/>
      </c>
    </row>
    <row r="9">
      <c r="A9">
        <f>IF($AG9="","",'01_設定'!$C$4)</f>
        <v/>
      </c>
      <c r="B9">
        <f>IF($AG9="","",'01_設定'!$C$5)</f>
        <v/>
      </c>
      <c r="C9">
        <f>IF($AG9="","",'01_設定'!$C$6)</f>
        <v/>
      </c>
      <c r="D9" s="36">
        <f>IF($AG9="","",'01_設定'!$C$22)</f>
        <v/>
      </c>
      <c r="E9" s="36">
        <f>IF($AG9="","",'01_設定'!$C$23)</f>
        <v/>
      </c>
      <c r="F9">
        <f>IF($AG9="","",'01_設定'!$C$32)</f>
        <v/>
      </c>
      <c r="G9">
        <f>IF($AG9="","",ROW()-4)</f>
        <v/>
      </c>
      <c r="H9">
        <f>IF($AG9="","",INDEX('04_調査結果'!$AJ$5:$AJ$404,$AG9))</f>
        <v/>
      </c>
      <c r="I9">
        <f>IF($AG9="","",INDEX('04_調査結果'!$D$5:$D$404,$AG9)&amp;"")</f>
        <v/>
      </c>
      <c r="J9">
        <f>IF($AG9="","",INDEX('04_調査結果'!$AK$5:$AK$404,$AG9)&amp;"")</f>
        <v/>
      </c>
      <c r="K9">
        <f>IF($AG9="","",IFERROR(INDEX('M1_類型マスタ'!$B$5:$B$19,MATCH(J9,'M1_類型マスタ'!$A$5:$A$19,0)),""))</f>
        <v/>
      </c>
      <c r="L9">
        <f>IF($AG9="","",INDEX('04_調査結果'!$F$5:$F$404,$AG9)&amp;"")</f>
        <v/>
      </c>
      <c r="M9">
        <f>IF($AG9="","",INDEX('04_調査結果'!$G$5:$G$404,$AG9)&amp;"")</f>
        <v/>
      </c>
      <c r="N9">
        <f>IF($AG9="","",INDEX('04_調査結果'!$H$5:$H$404,$AG9)&amp;"")</f>
        <v/>
      </c>
      <c r="O9" s="33">
        <f>IF($AG9="","",IF(INDEX('04_調査結果'!$Z$5:$Z$404,$AG9)&lt;&gt;"",INDEX('04_調査結果'!$Z$5:$Z$404,$AG9),INDEX('04_調査結果'!$AM$5:$AM$404,$AG9)))</f>
        <v/>
      </c>
      <c r="P9" s="33">
        <f>IF($AG9="","",IF(INDEX('04_調査結果'!$AA$5:$AA$404,$AG9)&lt;&gt;"",INDEX('04_調査結果'!$AA$5:$AA$404,$AG9),INDEX('04_調査結果'!$AN$5:$AN$404,$AG9)))</f>
        <v/>
      </c>
      <c r="Q9" s="33">
        <f>IF($AG9="","",INDEX('04_調査結果'!$AD$5:$AD$404,$AG9))</f>
        <v/>
      </c>
      <c r="R9">
        <f>IF($AG9="","",INDEX('04_調査結果'!$AO$5:$AO$404,$AG9))</f>
        <v/>
      </c>
      <c r="S9" s="37">
        <f>IF($AG9="","",INDEX('04_調査結果'!$AQ$5:$AQ$404,$AG9))</f>
        <v/>
      </c>
      <c r="T9" s="37">
        <f>IF($AG9="","",INDEX('04_調査結果'!$AR$5:$AR$404,$AG9))</f>
        <v/>
      </c>
      <c r="U9">
        <f>IF($AG9="","",INDEX('04_調査結果'!$N$5:$N$404,$AG9)&amp;"")</f>
        <v/>
      </c>
      <c r="V9">
        <f>IF($AG9="","",INDEX('04_調査結果'!$O$5:$O$404,$AG9))</f>
        <v/>
      </c>
      <c r="W9">
        <f>IF($AG9="","",INDEX('04_調査結果'!$P$5:$P$404,$AG9))</f>
        <v/>
      </c>
      <c r="X9">
        <f>IF($AG9="","",INDEX('04_調査結果'!$Q$5:$Q$404,$AG9))</f>
        <v/>
      </c>
      <c r="Y9">
        <f>IF($AG9="","",INDEX('04_調査結果'!$R$5:$R$404,$AG9))</f>
        <v/>
      </c>
      <c r="Z9">
        <f>IF($AG9="","",INDEX('04_調査結果'!$S$5:$S$404,$AG9))</f>
        <v/>
      </c>
      <c r="AA9">
        <f>IF($AG9="","",INDEX('04_調査結果'!$T$5:$T$404,$AG9))</f>
        <v/>
      </c>
      <c r="AB9">
        <f>IF($AG9="","",INDEX('04_調査結果'!$U$5:$U$404,$AG9))</f>
        <v/>
      </c>
      <c r="AC9">
        <f>IF($AG9="","",INDEX('04_調査結果'!$AF$5:$AF$404,$AG9))</f>
        <v/>
      </c>
      <c r="AD9">
        <f>IF($AG9="","",INDEX('04_調査結果'!$AC$5:$AC$404,$AG9)&amp;"")</f>
        <v/>
      </c>
      <c r="AE9">
        <f>IF($AG9="","",INDEX('04_調査結果'!$V$5:$V$404,$AG9)&amp;"")</f>
        <v/>
      </c>
      <c r="AF9">
        <f>IF($AG9="","",INDEX('04_調査結果'!$X$5:$X$404,$AG9)&amp;"")</f>
        <v/>
      </c>
      <c r="AG9" s="34">
        <f>IFERROR(MATCH(ROW()-4,'04_調査結果'!$AT$5:$AT$404,0),"")</f>
        <v/>
      </c>
    </row>
    <row r="10">
      <c r="A10">
        <f>IF($AG10="","",'01_設定'!$C$4)</f>
        <v/>
      </c>
      <c r="B10">
        <f>IF($AG10="","",'01_設定'!$C$5)</f>
        <v/>
      </c>
      <c r="C10">
        <f>IF($AG10="","",'01_設定'!$C$6)</f>
        <v/>
      </c>
      <c r="D10" s="36">
        <f>IF($AG10="","",'01_設定'!$C$22)</f>
        <v/>
      </c>
      <c r="E10" s="36">
        <f>IF($AG10="","",'01_設定'!$C$23)</f>
        <v/>
      </c>
      <c r="F10">
        <f>IF($AG10="","",'01_設定'!$C$32)</f>
        <v/>
      </c>
      <c r="G10">
        <f>IF($AG10="","",ROW()-4)</f>
        <v/>
      </c>
      <c r="H10">
        <f>IF($AG10="","",INDEX('04_調査結果'!$AJ$5:$AJ$404,$AG10))</f>
        <v/>
      </c>
      <c r="I10">
        <f>IF($AG10="","",INDEX('04_調査結果'!$D$5:$D$404,$AG10)&amp;"")</f>
        <v/>
      </c>
      <c r="J10">
        <f>IF($AG10="","",INDEX('04_調査結果'!$AK$5:$AK$404,$AG10)&amp;"")</f>
        <v/>
      </c>
      <c r="K10">
        <f>IF($AG10="","",IFERROR(INDEX('M1_類型マスタ'!$B$5:$B$19,MATCH(J10,'M1_類型マスタ'!$A$5:$A$19,0)),""))</f>
        <v/>
      </c>
      <c r="L10">
        <f>IF($AG10="","",INDEX('04_調査結果'!$F$5:$F$404,$AG10)&amp;"")</f>
        <v/>
      </c>
      <c r="M10">
        <f>IF($AG10="","",INDEX('04_調査結果'!$G$5:$G$404,$AG10)&amp;"")</f>
        <v/>
      </c>
      <c r="N10">
        <f>IF($AG10="","",INDEX('04_調査結果'!$H$5:$H$404,$AG10)&amp;"")</f>
        <v/>
      </c>
      <c r="O10" s="33">
        <f>IF($AG10="","",IF(INDEX('04_調査結果'!$Z$5:$Z$404,$AG10)&lt;&gt;"",INDEX('04_調査結果'!$Z$5:$Z$404,$AG10),INDEX('04_調査結果'!$AM$5:$AM$404,$AG10)))</f>
        <v/>
      </c>
      <c r="P10" s="33">
        <f>IF($AG10="","",IF(INDEX('04_調査結果'!$AA$5:$AA$404,$AG10)&lt;&gt;"",INDEX('04_調査結果'!$AA$5:$AA$404,$AG10),INDEX('04_調査結果'!$AN$5:$AN$404,$AG10)))</f>
        <v/>
      </c>
      <c r="Q10" s="33">
        <f>IF($AG10="","",INDEX('04_調査結果'!$AD$5:$AD$404,$AG10))</f>
        <v/>
      </c>
      <c r="R10">
        <f>IF($AG10="","",INDEX('04_調査結果'!$AO$5:$AO$404,$AG10))</f>
        <v/>
      </c>
      <c r="S10" s="37">
        <f>IF($AG10="","",INDEX('04_調査結果'!$AQ$5:$AQ$404,$AG10))</f>
        <v/>
      </c>
      <c r="T10" s="37">
        <f>IF($AG10="","",INDEX('04_調査結果'!$AR$5:$AR$404,$AG10))</f>
        <v/>
      </c>
      <c r="U10">
        <f>IF($AG10="","",INDEX('04_調査結果'!$N$5:$N$404,$AG10)&amp;"")</f>
        <v/>
      </c>
      <c r="V10">
        <f>IF($AG10="","",INDEX('04_調査結果'!$O$5:$O$404,$AG10))</f>
        <v/>
      </c>
      <c r="W10">
        <f>IF($AG10="","",INDEX('04_調査結果'!$P$5:$P$404,$AG10))</f>
        <v/>
      </c>
      <c r="X10">
        <f>IF($AG10="","",INDEX('04_調査結果'!$Q$5:$Q$404,$AG10))</f>
        <v/>
      </c>
      <c r="Y10">
        <f>IF($AG10="","",INDEX('04_調査結果'!$R$5:$R$404,$AG10))</f>
        <v/>
      </c>
      <c r="Z10">
        <f>IF($AG10="","",INDEX('04_調査結果'!$S$5:$S$404,$AG10))</f>
        <v/>
      </c>
      <c r="AA10">
        <f>IF($AG10="","",INDEX('04_調査結果'!$T$5:$T$404,$AG10))</f>
        <v/>
      </c>
      <c r="AB10">
        <f>IF($AG10="","",INDEX('04_調査結果'!$U$5:$U$404,$AG10))</f>
        <v/>
      </c>
      <c r="AC10">
        <f>IF($AG10="","",INDEX('04_調査結果'!$AF$5:$AF$404,$AG10))</f>
        <v/>
      </c>
      <c r="AD10">
        <f>IF($AG10="","",INDEX('04_調査結果'!$AC$5:$AC$404,$AG10)&amp;"")</f>
        <v/>
      </c>
      <c r="AE10">
        <f>IF($AG10="","",INDEX('04_調査結果'!$V$5:$V$404,$AG10)&amp;"")</f>
        <v/>
      </c>
      <c r="AF10">
        <f>IF($AG10="","",INDEX('04_調査結果'!$X$5:$X$404,$AG10)&amp;"")</f>
        <v/>
      </c>
      <c r="AG10" s="34">
        <f>IFERROR(MATCH(ROW()-4,'04_調査結果'!$AT$5:$AT$404,0),"")</f>
        <v/>
      </c>
    </row>
    <row r="11">
      <c r="A11">
        <f>IF($AG11="","",'01_設定'!$C$4)</f>
        <v/>
      </c>
      <c r="B11">
        <f>IF($AG11="","",'01_設定'!$C$5)</f>
        <v/>
      </c>
      <c r="C11">
        <f>IF($AG11="","",'01_設定'!$C$6)</f>
        <v/>
      </c>
      <c r="D11" s="36">
        <f>IF($AG11="","",'01_設定'!$C$22)</f>
        <v/>
      </c>
      <c r="E11" s="36">
        <f>IF($AG11="","",'01_設定'!$C$23)</f>
        <v/>
      </c>
      <c r="F11">
        <f>IF($AG11="","",'01_設定'!$C$32)</f>
        <v/>
      </c>
      <c r="G11">
        <f>IF($AG11="","",ROW()-4)</f>
        <v/>
      </c>
      <c r="H11">
        <f>IF($AG11="","",INDEX('04_調査結果'!$AJ$5:$AJ$404,$AG11))</f>
        <v/>
      </c>
      <c r="I11">
        <f>IF($AG11="","",INDEX('04_調査結果'!$D$5:$D$404,$AG11)&amp;"")</f>
        <v/>
      </c>
      <c r="J11">
        <f>IF($AG11="","",INDEX('04_調査結果'!$AK$5:$AK$404,$AG11)&amp;"")</f>
        <v/>
      </c>
      <c r="K11">
        <f>IF($AG11="","",IFERROR(INDEX('M1_類型マスタ'!$B$5:$B$19,MATCH(J11,'M1_類型マスタ'!$A$5:$A$19,0)),""))</f>
        <v/>
      </c>
      <c r="L11">
        <f>IF($AG11="","",INDEX('04_調査結果'!$F$5:$F$404,$AG11)&amp;"")</f>
        <v/>
      </c>
      <c r="M11">
        <f>IF($AG11="","",INDEX('04_調査結果'!$G$5:$G$404,$AG11)&amp;"")</f>
        <v/>
      </c>
      <c r="N11">
        <f>IF($AG11="","",INDEX('04_調査結果'!$H$5:$H$404,$AG11)&amp;"")</f>
        <v/>
      </c>
      <c r="O11" s="33">
        <f>IF($AG11="","",IF(INDEX('04_調査結果'!$Z$5:$Z$404,$AG11)&lt;&gt;"",INDEX('04_調査結果'!$Z$5:$Z$404,$AG11),INDEX('04_調査結果'!$AM$5:$AM$404,$AG11)))</f>
        <v/>
      </c>
      <c r="P11" s="33">
        <f>IF($AG11="","",IF(INDEX('04_調査結果'!$AA$5:$AA$404,$AG11)&lt;&gt;"",INDEX('04_調査結果'!$AA$5:$AA$404,$AG11),INDEX('04_調査結果'!$AN$5:$AN$404,$AG11)))</f>
        <v/>
      </c>
      <c r="Q11" s="33">
        <f>IF($AG11="","",INDEX('04_調査結果'!$AD$5:$AD$404,$AG11))</f>
        <v/>
      </c>
      <c r="R11">
        <f>IF($AG11="","",INDEX('04_調査結果'!$AO$5:$AO$404,$AG11))</f>
        <v/>
      </c>
      <c r="S11" s="37">
        <f>IF($AG11="","",INDEX('04_調査結果'!$AQ$5:$AQ$404,$AG11))</f>
        <v/>
      </c>
      <c r="T11" s="37">
        <f>IF($AG11="","",INDEX('04_調査結果'!$AR$5:$AR$404,$AG11))</f>
        <v/>
      </c>
      <c r="U11">
        <f>IF($AG11="","",INDEX('04_調査結果'!$N$5:$N$404,$AG11)&amp;"")</f>
        <v/>
      </c>
      <c r="V11">
        <f>IF($AG11="","",INDEX('04_調査結果'!$O$5:$O$404,$AG11))</f>
        <v/>
      </c>
      <c r="W11">
        <f>IF($AG11="","",INDEX('04_調査結果'!$P$5:$P$404,$AG11))</f>
        <v/>
      </c>
      <c r="X11">
        <f>IF($AG11="","",INDEX('04_調査結果'!$Q$5:$Q$404,$AG11))</f>
        <v/>
      </c>
      <c r="Y11">
        <f>IF($AG11="","",INDEX('04_調査結果'!$R$5:$R$404,$AG11))</f>
        <v/>
      </c>
      <c r="Z11">
        <f>IF($AG11="","",INDEX('04_調査結果'!$S$5:$S$404,$AG11))</f>
        <v/>
      </c>
      <c r="AA11">
        <f>IF($AG11="","",INDEX('04_調査結果'!$T$5:$T$404,$AG11))</f>
        <v/>
      </c>
      <c r="AB11">
        <f>IF($AG11="","",INDEX('04_調査結果'!$U$5:$U$404,$AG11))</f>
        <v/>
      </c>
      <c r="AC11">
        <f>IF($AG11="","",INDEX('04_調査結果'!$AF$5:$AF$404,$AG11))</f>
        <v/>
      </c>
      <c r="AD11">
        <f>IF($AG11="","",INDEX('04_調査結果'!$AC$5:$AC$404,$AG11)&amp;"")</f>
        <v/>
      </c>
      <c r="AE11">
        <f>IF($AG11="","",INDEX('04_調査結果'!$V$5:$V$404,$AG11)&amp;"")</f>
        <v/>
      </c>
      <c r="AF11">
        <f>IF($AG11="","",INDEX('04_調査結果'!$X$5:$X$404,$AG11)&amp;"")</f>
        <v/>
      </c>
      <c r="AG11" s="34">
        <f>IFERROR(MATCH(ROW()-4,'04_調査結果'!$AT$5:$AT$404,0),"")</f>
        <v/>
      </c>
    </row>
    <row r="12">
      <c r="A12">
        <f>IF($AG12="","",'01_設定'!$C$4)</f>
        <v/>
      </c>
      <c r="B12">
        <f>IF($AG12="","",'01_設定'!$C$5)</f>
        <v/>
      </c>
      <c r="C12">
        <f>IF($AG12="","",'01_設定'!$C$6)</f>
        <v/>
      </c>
      <c r="D12" s="36">
        <f>IF($AG12="","",'01_設定'!$C$22)</f>
        <v/>
      </c>
      <c r="E12" s="36">
        <f>IF($AG12="","",'01_設定'!$C$23)</f>
        <v/>
      </c>
      <c r="F12">
        <f>IF($AG12="","",'01_設定'!$C$32)</f>
        <v/>
      </c>
      <c r="G12">
        <f>IF($AG12="","",ROW()-4)</f>
        <v/>
      </c>
      <c r="H12">
        <f>IF($AG12="","",INDEX('04_調査結果'!$AJ$5:$AJ$404,$AG12))</f>
        <v/>
      </c>
      <c r="I12">
        <f>IF($AG12="","",INDEX('04_調査結果'!$D$5:$D$404,$AG12)&amp;"")</f>
        <v/>
      </c>
      <c r="J12">
        <f>IF($AG12="","",INDEX('04_調査結果'!$AK$5:$AK$404,$AG12)&amp;"")</f>
        <v/>
      </c>
      <c r="K12">
        <f>IF($AG12="","",IFERROR(INDEX('M1_類型マスタ'!$B$5:$B$19,MATCH(J12,'M1_類型マスタ'!$A$5:$A$19,0)),""))</f>
        <v/>
      </c>
      <c r="L12">
        <f>IF($AG12="","",INDEX('04_調査結果'!$F$5:$F$404,$AG12)&amp;"")</f>
        <v/>
      </c>
      <c r="M12">
        <f>IF($AG12="","",INDEX('04_調査結果'!$G$5:$G$404,$AG12)&amp;"")</f>
        <v/>
      </c>
      <c r="N12">
        <f>IF($AG12="","",INDEX('04_調査結果'!$H$5:$H$404,$AG12)&amp;"")</f>
        <v/>
      </c>
      <c r="O12" s="33">
        <f>IF($AG12="","",IF(INDEX('04_調査結果'!$Z$5:$Z$404,$AG12)&lt;&gt;"",INDEX('04_調査結果'!$Z$5:$Z$404,$AG12),INDEX('04_調査結果'!$AM$5:$AM$404,$AG12)))</f>
        <v/>
      </c>
      <c r="P12" s="33">
        <f>IF($AG12="","",IF(INDEX('04_調査結果'!$AA$5:$AA$404,$AG12)&lt;&gt;"",INDEX('04_調査結果'!$AA$5:$AA$404,$AG12),INDEX('04_調査結果'!$AN$5:$AN$404,$AG12)))</f>
        <v/>
      </c>
      <c r="Q12" s="33">
        <f>IF($AG12="","",INDEX('04_調査結果'!$AD$5:$AD$404,$AG12))</f>
        <v/>
      </c>
      <c r="R12">
        <f>IF($AG12="","",INDEX('04_調査結果'!$AO$5:$AO$404,$AG12))</f>
        <v/>
      </c>
      <c r="S12" s="37">
        <f>IF($AG12="","",INDEX('04_調査結果'!$AQ$5:$AQ$404,$AG12))</f>
        <v/>
      </c>
      <c r="T12" s="37">
        <f>IF($AG12="","",INDEX('04_調査結果'!$AR$5:$AR$404,$AG12))</f>
        <v/>
      </c>
      <c r="U12">
        <f>IF($AG12="","",INDEX('04_調査結果'!$N$5:$N$404,$AG12)&amp;"")</f>
        <v/>
      </c>
      <c r="V12">
        <f>IF($AG12="","",INDEX('04_調査結果'!$O$5:$O$404,$AG12))</f>
        <v/>
      </c>
      <c r="W12">
        <f>IF($AG12="","",INDEX('04_調査結果'!$P$5:$P$404,$AG12))</f>
        <v/>
      </c>
      <c r="X12">
        <f>IF($AG12="","",INDEX('04_調査結果'!$Q$5:$Q$404,$AG12))</f>
        <v/>
      </c>
      <c r="Y12">
        <f>IF($AG12="","",INDEX('04_調査結果'!$R$5:$R$404,$AG12))</f>
        <v/>
      </c>
      <c r="Z12">
        <f>IF($AG12="","",INDEX('04_調査結果'!$S$5:$S$404,$AG12))</f>
        <v/>
      </c>
      <c r="AA12">
        <f>IF($AG12="","",INDEX('04_調査結果'!$T$5:$T$404,$AG12))</f>
        <v/>
      </c>
      <c r="AB12">
        <f>IF($AG12="","",INDEX('04_調査結果'!$U$5:$U$404,$AG12))</f>
        <v/>
      </c>
      <c r="AC12">
        <f>IF($AG12="","",INDEX('04_調査結果'!$AF$5:$AF$404,$AG12))</f>
        <v/>
      </c>
      <c r="AD12">
        <f>IF($AG12="","",INDEX('04_調査結果'!$AC$5:$AC$404,$AG12)&amp;"")</f>
        <v/>
      </c>
      <c r="AE12">
        <f>IF($AG12="","",INDEX('04_調査結果'!$V$5:$V$404,$AG12)&amp;"")</f>
        <v/>
      </c>
      <c r="AF12">
        <f>IF($AG12="","",INDEX('04_調査結果'!$X$5:$X$404,$AG12)&amp;"")</f>
        <v/>
      </c>
      <c r="AG12" s="34">
        <f>IFERROR(MATCH(ROW()-4,'04_調査結果'!$AT$5:$AT$404,0),"")</f>
        <v/>
      </c>
    </row>
    <row r="13">
      <c r="A13">
        <f>IF($AG13="","",'01_設定'!$C$4)</f>
        <v/>
      </c>
      <c r="B13">
        <f>IF($AG13="","",'01_設定'!$C$5)</f>
        <v/>
      </c>
      <c r="C13">
        <f>IF($AG13="","",'01_設定'!$C$6)</f>
        <v/>
      </c>
      <c r="D13" s="36">
        <f>IF($AG13="","",'01_設定'!$C$22)</f>
        <v/>
      </c>
      <c r="E13" s="36">
        <f>IF($AG13="","",'01_設定'!$C$23)</f>
        <v/>
      </c>
      <c r="F13">
        <f>IF($AG13="","",'01_設定'!$C$32)</f>
        <v/>
      </c>
      <c r="G13">
        <f>IF($AG13="","",ROW()-4)</f>
        <v/>
      </c>
      <c r="H13">
        <f>IF($AG13="","",INDEX('04_調査結果'!$AJ$5:$AJ$404,$AG13))</f>
        <v/>
      </c>
      <c r="I13">
        <f>IF($AG13="","",INDEX('04_調査結果'!$D$5:$D$404,$AG13)&amp;"")</f>
        <v/>
      </c>
      <c r="J13">
        <f>IF($AG13="","",INDEX('04_調査結果'!$AK$5:$AK$404,$AG13)&amp;"")</f>
        <v/>
      </c>
      <c r="K13">
        <f>IF($AG13="","",IFERROR(INDEX('M1_類型マスタ'!$B$5:$B$19,MATCH(J13,'M1_類型マスタ'!$A$5:$A$19,0)),""))</f>
        <v/>
      </c>
      <c r="L13">
        <f>IF($AG13="","",INDEX('04_調査結果'!$F$5:$F$404,$AG13)&amp;"")</f>
        <v/>
      </c>
      <c r="M13">
        <f>IF($AG13="","",INDEX('04_調査結果'!$G$5:$G$404,$AG13)&amp;"")</f>
        <v/>
      </c>
      <c r="N13">
        <f>IF($AG13="","",INDEX('04_調査結果'!$H$5:$H$404,$AG13)&amp;"")</f>
        <v/>
      </c>
      <c r="O13" s="33">
        <f>IF($AG13="","",IF(INDEX('04_調査結果'!$Z$5:$Z$404,$AG13)&lt;&gt;"",INDEX('04_調査結果'!$Z$5:$Z$404,$AG13),INDEX('04_調査結果'!$AM$5:$AM$404,$AG13)))</f>
        <v/>
      </c>
      <c r="P13" s="33">
        <f>IF($AG13="","",IF(INDEX('04_調査結果'!$AA$5:$AA$404,$AG13)&lt;&gt;"",INDEX('04_調査結果'!$AA$5:$AA$404,$AG13),INDEX('04_調査結果'!$AN$5:$AN$404,$AG13)))</f>
        <v/>
      </c>
      <c r="Q13" s="33">
        <f>IF($AG13="","",INDEX('04_調査結果'!$AD$5:$AD$404,$AG13))</f>
        <v/>
      </c>
      <c r="R13">
        <f>IF($AG13="","",INDEX('04_調査結果'!$AO$5:$AO$404,$AG13))</f>
        <v/>
      </c>
      <c r="S13" s="37">
        <f>IF($AG13="","",INDEX('04_調査結果'!$AQ$5:$AQ$404,$AG13))</f>
        <v/>
      </c>
      <c r="T13" s="37">
        <f>IF($AG13="","",INDEX('04_調査結果'!$AR$5:$AR$404,$AG13))</f>
        <v/>
      </c>
      <c r="U13">
        <f>IF($AG13="","",INDEX('04_調査結果'!$N$5:$N$404,$AG13)&amp;"")</f>
        <v/>
      </c>
      <c r="V13">
        <f>IF($AG13="","",INDEX('04_調査結果'!$O$5:$O$404,$AG13))</f>
        <v/>
      </c>
      <c r="W13">
        <f>IF($AG13="","",INDEX('04_調査結果'!$P$5:$P$404,$AG13))</f>
        <v/>
      </c>
      <c r="X13">
        <f>IF($AG13="","",INDEX('04_調査結果'!$Q$5:$Q$404,$AG13))</f>
        <v/>
      </c>
      <c r="Y13">
        <f>IF($AG13="","",INDEX('04_調査結果'!$R$5:$R$404,$AG13))</f>
        <v/>
      </c>
      <c r="Z13">
        <f>IF($AG13="","",INDEX('04_調査結果'!$S$5:$S$404,$AG13))</f>
        <v/>
      </c>
      <c r="AA13">
        <f>IF($AG13="","",INDEX('04_調査結果'!$T$5:$T$404,$AG13))</f>
        <v/>
      </c>
      <c r="AB13">
        <f>IF($AG13="","",INDEX('04_調査結果'!$U$5:$U$404,$AG13))</f>
        <v/>
      </c>
      <c r="AC13">
        <f>IF($AG13="","",INDEX('04_調査結果'!$AF$5:$AF$404,$AG13))</f>
        <v/>
      </c>
      <c r="AD13">
        <f>IF($AG13="","",INDEX('04_調査結果'!$AC$5:$AC$404,$AG13)&amp;"")</f>
        <v/>
      </c>
      <c r="AE13">
        <f>IF($AG13="","",INDEX('04_調査結果'!$V$5:$V$404,$AG13)&amp;"")</f>
        <v/>
      </c>
      <c r="AF13">
        <f>IF($AG13="","",INDEX('04_調査結果'!$X$5:$X$404,$AG13)&amp;"")</f>
        <v/>
      </c>
      <c r="AG13" s="34">
        <f>IFERROR(MATCH(ROW()-4,'04_調査結果'!$AT$5:$AT$404,0),"")</f>
        <v/>
      </c>
    </row>
    <row r="14">
      <c r="A14">
        <f>IF($AG14="","",'01_設定'!$C$4)</f>
        <v/>
      </c>
      <c r="B14">
        <f>IF($AG14="","",'01_設定'!$C$5)</f>
        <v/>
      </c>
      <c r="C14">
        <f>IF($AG14="","",'01_設定'!$C$6)</f>
        <v/>
      </c>
      <c r="D14" s="36">
        <f>IF($AG14="","",'01_設定'!$C$22)</f>
        <v/>
      </c>
      <c r="E14" s="36">
        <f>IF($AG14="","",'01_設定'!$C$23)</f>
        <v/>
      </c>
      <c r="F14">
        <f>IF($AG14="","",'01_設定'!$C$32)</f>
        <v/>
      </c>
      <c r="G14">
        <f>IF($AG14="","",ROW()-4)</f>
        <v/>
      </c>
      <c r="H14">
        <f>IF($AG14="","",INDEX('04_調査結果'!$AJ$5:$AJ$404,$AG14))</f>
        <v/>
      </c>
      <c r="I14">
        <f>IF($AG14="","",INDEX('04_調査結果'!$D$5:$D$404,$AG14)&amp;"")</f>
        <v/>
      </c>
      <c r="J14">
        <f>IF($AG14="","",INDEX('04_調査結果'!$AK$5:$AK$404,$AG14)&amp;"")</f>
        <v/>
      </c>
      <c r="K14">
        <f>IF($AG14="","",IFERROR(INDEX('M1_類型マスタ'!$B$5:$B$19,MATCH(J14,'M1_類型マスタ'!$A$5:$A$19,0)),""))</f>
        <v/>
      </c>
      <c r="L14">
        <f>IF($AG14="","",INDEX('04_調査結果'!$F$5:$F$404,$AG14)&amp;"")</f>
        <v/>
      </c>
      <c r="M14">
        <f>IF($AG14="","",INDEX('04_調査結果'!$G$5:$G$404,$AG14)&amp;"")</f>
        <v/>
      </c>
      <c r="N14">
        <f>IF($AG14="","",INDEX('04_調査結果'!$H$5:$H$404,$AG14)&amp;"")</f>
        <v/>
      </c>
      <c r="O14" s="33">
        <f>IF($AG14="","",IF(INDEX('04_調査結果'!$Z$5:$Z$404,$AG14)&lt;&gt;"",INDEX('04_調査結果'!$Z$5:$Z$404,$AG14),INDEX('04_調査結果'!$AM$5:$AM$404,$AG14)))</f>
        <v/>
      </c>
      <c r="P14" s="33">
        <f>IF($AG14="","",IF(INDEX('04_調査結果'!$AA$5:$AA$404,$AG14)&lt;&gt;"",INDEX('04_調査結果'!$AA$5:$AA$404,$AG14),INDEX('04_調査結果'!$AN$5:$AN$404,$AG14)))</f>
        <v/>
      </c>
      <c r="Q14" s="33">
        <f>IF($AG14="","",INDEX('04_調査結果'!$AD$5:$AD$404,$AG14))</f>
        <v/>
      </c>
      <c r="R14">
        <f>IF($AG14="","",INDEX('04_調査結果'!$AO$5:$AO$404,$AG14))</f>
        <v/>
      </c>
      <c r="S14" s="37">
        <f>IF($AG14="","",INDEX('04_調査結果'!$AQ$5:$AQ$404,$AG14))</f>
        <v/>
      </c>
      <c r="T14" s="37">
        <f>IF($AG14="","",INDEX('04_調査結果'!$AR$5:$AR$404,$AG14))</f>
        <v/>
      </c>
      <c r="U14">
        <f>IF($AG14="","",INDEX('04_調査結果'!$N$5:$N$404,$AG14)&amp;"")</f>
        <v/>
      </c>
      <c r="V14">
        <f>IF($AG14="","",INDEX('04_調査結果'!$O$5:$O$404,$AG14))</f>
        <v/>
      </c>
      <c r="W14">
        <f>IF($AG14="","",INDEX('04_調査結果'!$P$5:$P$404,$AG14))</f>
        <v/>
      </c>
      <c r="X14">
        <f>IF($AG14="","",INDEX('04_調査結果'!$Q$5:$Q$404,$AG14))</f>
        <v/>
      </c>
      <c r="Y14">
        <f>IF($AG14="","",INDEX('04_調査結果'!$R$5:$R$404,$AG14))</f>
        <v/>
      </c>
      <c r="Z14">
        <f>IF($AG14="","",INDEX('04_調査結果'!$S$5:$S$404,$AG14))</f>
        <v/>
      </c>
      <c r="AA14">
        <f>IF($AG14="","",INDEX('04_調査結果'!$T$5:$T$404,$AG14))</f>
        <v/>
      </c>
      <c r="AB14">
        <f>IF($AG14="","",INDEX('04_調査結果'!$U$5:$U$404,$AG14))</f>
        <v/>
      </c>
      <c r="AC14">
        <f>IF($AG14="","",INDEX('04_調査結果'!$AF$5:$AF$404,$AG14))</f>
        <v/>
      </c>
      <c r="AD14">
        <f>IF($AG14="","",INDEX('04_調査結果'!$AC$5:$AC$404,$AG14)&amp;"")</f>
        <v/>
      </c>
      <c r="AE14">
        <f>IF($AG14="","",INDEX('04_調査結果'!$V$5:$V$404,$AG14)&amp;"")</f>
        <v/>
      </c>
      <c r="AF14">
        <f>IF($AG14="","",INDEX('04_調査結果'!$X$5:$X$404,$AG14)&amp;"")</f>
        <v/>
      </c>
      <c r="AG14" s="34">
        <f>IFERROR(MATCH(ROW()-4,'04_調査結果'!$AT$5:$AT$404,0),"")</f>
        <v/>
      </c>
    </row>
    <row r="15">
      <c r="A15">
        <f>IF($AG15="","",'01_設定'!$C$4)</f>
        <v/>
      </c>
      <c r="B15">
        <f>IF($AG15="","",'01_設定'!$C$5)</f>
        <v/>
      </c>
      <c r="C15">
        <f>IF($AG15="","",'01_設定'!$C$6)</f>
        <v/>
      </c>
      <c r="D15" s="36">
        <f>IF($AG15="","",'01_設定'!$C$22)</f>
        <v/>
      </c>
      <c r="E15" s="36">
        <f>IF($AG15="","",'01_設定'!$C$23)</f>
        <v/>
      </c>
      <c r="F15">
        <f>IF($AG15="","",'01_設定'!$C$32)</f>
        <v/>
      </c>
      <c r="G15">
        <f>IF($AG15="","",ROW()-4)</f>
        <v/>
      </c>
      <c r="H15">
        <f>IF($AG15="","",INDEX('04_調査結果'!$AJ$5:$AJ$404,$AG15))</f>
        <v/>
      </c>
      <c r="I15">
        <f>IF($AG15="","",INDEX('04_調査結果'!$D$5:$D$404,$AG15)&amp;"")</f>
        <v/>
      </c>
      <c r="J15">
        <f>IF($AG15="","",INDEX('04_調査結果'!$AK$5:$AK$404,$AG15)&amp;"")</f>
        <v/>
      </c>
      <c r="K15">
        <f>IF($AG15="","",IFERROR(INDEX('M1_類型マスタ'!$B$5:$B$19,MATCH(J15,'M1_類型マスタ'!$A$5:$A$19,0)),""))</f>
        <v/>
      </c>
      <c r="L15">
        <f>IF($AG15="","",INDEX('04_調査結果'!$F$5:$F$404,$AG15)&amp;"")</f>
        <v/>
      </c>
      <c r="M15">
        <f>IF($AG15="","",INDEX('04_調査結果'!$G$5:$G$404,$AG15)&amp;"")</f>
        <v/>
      </c>
      <c r="N15">
        <f>IF($AG15="","",INDEX('04_調査結果'!$H$5:$H$404,$AG15)&amp;"")</f>
        <v/>
      </c>
      <c r="O15" s="33">
        <f>IF($AG15="","",IF(INDEX('04_調査結果'!$Z$5:$Z$404,$AG15)&lt;&gt;"",INDEX('04_調査結果'!$Z$5:$Z$404,$AG15),INDEX('04_調査結果'!$AM$5:$AM$404,$AG15)))</f>
        <v/>
      </c>
      <c r="P15" s="33">
        <f>IF($AG15="","",IF(INDEX('04_調査結果'!$AA$5:$AA$404,$AG15)&lt;&gt;"",INDEX('04_調査結果'!$AA$5:$AA$404,$AG15),INDEX('04_調査結果'!$AN$5:$AN$404,$AG15)))</f>
        <v/>
      </c>
      <c r="Q15" s="33">
        <f>IF($AG15="","",INDEX('04_調査結果'!$AD$5:$AD$404,$AG15))</f>
        <v/>
      </c>
      <c r="R15">
        <f>IF($AG15="","",INDEX('04_調査結果'!$AO$5:$AO$404,$AG15))</f>
        <v/>
      </c>
      <c r="S15" s="37">
        <f>IF($AG15="","",INDEX('04_調査結果'!$AQ$5:$AQ$404,$AG15))</f>
        <v/>
      </c>
      <c r="T15" s="37">
        <f>IF($AG15="","",INDEX('04_調査結果'!$AR$5:$AR$404,$AG15))</f>
        <v/>
      </c>
      <c r="U15">
        <f>IF($AG15="","",INDEX('04_調査結果'!$N$5:$N$404,$AG15)&amp;"")</f>
        <v/>
      </c>
      <c r="V15">
        <f>IF($AG15="","",INDEX('04_調査結果'!$O$5:$O$404,$AG15))</f>
        <v/>
      </c>
      <c r="W15">
        <f>IF($AG15="","",INDEX('04_調査結果'!$P$5:$P$404,$AG15))</f>
        <v/>
      </c>
      <c r="X15">
        <f>IF($AG15="","",INDEX('04_調査結果'!$Q$5:$Q$404,$AG15))</f>
        <v/>
      </c>
      <c r="Y15">
        <f>IF($AG15="","",INDEX('04_調査結果'!$R$5:$R$404,$AG15))</f>
        <v/>
      </c>
      <c r="Z15">
        <f>IF($AG15="","",INDEX('04_調査結果'!$S$5:$S$404,$AG15))</f>
        <v/>
      </c>
      <c r="AA15">
        <f>IF($AG15="","",INDEX('04_調査結果'!$T$5:$T$404,$AG15))</f>
        <v/>
      </c>
      <c r="AB15">
        <f>IF($AG15="","",INDEX('04_調査結果'!$U$5:$U$404,$AG15))</f>
        <v/>
      </c>
      <c r="AC15">
        <f>IF($AG15="","",INDEX('04_調査結果'!$AF$5:$AF$404,$AG15))</f>
        <v/>
      </c>
      <c r="AD15">
        <f>IF($AG15="","",INDEX('04_調査結果'!$AC$5:$AC$404,$AG15)&amp;"")</f>
        <v/>
      </c>
      <c r="AE15">
        <f>IF($AG15="","",INDEX('04_調査結果'!$V$5:$V$404,$AG15)&amp;"")</f>
        <v/>
      </c>
      <c r="AF15">
        <f>IF($AG15="","",INDEX('04_調査結果'!$X$5:$X$404,$AG15)&amp;"")</f>
        <v/>
      </c>
      <c r="AG15" s="34">
        <f>IFERROR(MATCH(ROW()-4,'04_調査結果'!$AT$5:$AT$404,0),"")</f>
        <v/>
      </c>
    </row>
    <row r="16">
      <c r="A16">
        <f>IF($AG16="","",'01_設定'!$C$4)</f>
        <v/>
      </c>
      <c r="B16">
        <f>IF($AG16="","",'01_設定'!$C$5)</f>
        <v/>
      </c>
      <c r="C16">
        <f>IF($AG16="","",'01_設定'!$C$6)</f>
        <v/>
      </c>
      <c r="D16" s="36">
        <f>IF($AG16="","",'01_設定'!$C$22)</f>
        <v/>
      </c>
      <c r="E16" s="36">
        <f>IF($AG16="","",'01_設定'!$C$23)</f>
        <v/>
      </c>
      <c r="F16">
        <f>IF($AG16="","",'01_設定'!$C$32)</f>
        <v/>
      </c>
      <c r="G16">
        <f>IF($AG16="","",ROW()-4)</f>
        <v/>
      </c>
      <c r="H16">
        <f>IF($AG16="","",INDEX('04_調査結果'!$AJ$5:$AJ$404,$AG16))</f>
        <v/>
      </c>
      <c r="I16">
        <f>IF($AG16="","",INDEX('04_調査結果'!$D$5:$D$404,$AG16)&amp;"")</f>
        <v/>
      </c>
      <c r="J16">
        <f>IF($AG16="","",INDEX('04_調査結果'!$AK$5:$AK$404,$AG16)&amp;"")</f>
        <v/>
      </c>
      <c r="K16">
        <f>IF($AG16="","",IFERROR(INDEX('M1_類型マスタ'!$B$5:$B$19,MATCH(J16,'M1_類型マスタ'!$A$5:$A$19,0)),""))</f>
        <v/>
      </c>
      <c r="L16">
        <f>IF($AG16="","",INDEX('04_調査結果'!$F$5:$F$404,$AG16)&amp;"")</f>
        <v/>
      </c>
      <c r="M16">
        <f>IF($AG16="","",INDEX('04_調査結果'!$G$5:$G$404,$AG16)&amp;"")</f>
        <v/>
      </c>
      <c r="N16">
        <f>IF($AG16="","",INDEX('04_調査結果'!$H$5:$H$404,$AG16)&amp;"")</f>
        <v/>
      </c>
      <c r="O16" s="33">
        <f>IF($AG16="","",IF(INDEX('04_調査結果'!$Z$5:$Z$404,$AG16)&lt;&gt;"",INDEX('04_調査結果'!$Z$5:$Z$404,$AG16),INDEX('04_調査結果'!$AM$5:$AM$404,$AG16)))</f>
        <v/>
      </c>
      <c r="P16" s="33">
        <f>IF($AG16="","",IF(INDEX('04_調査結果'!$AA$5:$AA$404,$AG16)&lt;&gt;"",INDEX('04_調査結果'!$AA$5:$AA$404,$AG16),INDEX('04_調査結果'!$AN$5:$AN$404,$AG16)))</f>
        <v/>
      </c>
      <c r="Q16" s="33">
        <f>IF($AG16="","",INDEX('04_調査結果'!$AD$5:$AD$404,$AG16))</f>
        <v/>
      </c>
      <c r="R16">
        <f>IF($AG16="","",INDEX('04_調査結果'!$AO$5:$AO$404,$AG16))</f>
        <v/>
      </c>
      <c r="S16" s="37">
        <f>IF($AG16="","",INDEX('04_調査結果'!$AQ$5:$AQ$404,$AG16))</f>
        <v/>
      </c>
      <c r="T16" s="37">
        <f>IF($AG16="","",INDEX('04_調査結果'!$AR$5:$AR$404,$AG16))</f>
        <v/>
      </c>
      <c r="U16">
        <f>IF($AG16="","",INDEX('04_調査結果'!$N$5:$N$404,$AG16)&amp;"")</f>
        <v/>
      </c>
      <c r="V16">
        <f>IF($AG16="","",INDEX('04_調査結果'!$O$5:$O$404,$AG16))</f>
        <v/>
      </c>
      <c r="W16">
        <f>IF($AG16="","",INDEX('04_調査結果'!$P$5:$P$404,$AG16))</f>
        <v/>
      </c>
      <c r="X16">
        <f>IF($AG16="","",INDEX('04_調査結果'!$Q$5:$Q$404,$AG16))</f>
        <v/>
      </c>
      <c r="Y16">
        <f>IF($AG16="","",INDEX('04_調査結果'!$R$5:$R$404,$AG16))</f>
        <v/>
      </c>
      <c r="Z16">
        <f>IF($AG16="","",INDEX('04_調査結果'!$S$5:$S$404,$AG16))</f>
        <v/>
      </c>
      <c r="AA16">
        <f>IF($AG16="","",INDEX('04_調査結果'!$T$5:$T$404,$AG16))</f>
        <v/>
      </c>
      <c r="AB16">
        <f>IF($AG16="","",INDEX('04_調査結果'!$U$5:$U$404,$AG16))</f>
        <v/>
      </c>
      <c r="AC16">
        <f>IF($AG16="","",INDEX('04_調査結果'!$AF$5:$AF$404,$AG16))</f>
        <v/>
      </c>
      <c r="AD16">
        <f>IF($AG16="","",INDEX('04_調査結果'!$AC$5:$AC$404,$AG16)&amp;"")</f>
        <v/>
      </c>
      <c r="AE16">
        <f>IF($AG16="","",INDEX('04_調査結果'!$V$5:$V$404,$AG16)&amp;"")</f>
        <v/>
      </c>
      <c r="AF16">
        <f>IF($AG16="","",INDEX('04_調査結果'!$X$5:$X$404,$AG16)&amp;"")</f>
        <v/>
      </c>
      <c r="AG16" s="34">
        <f>IFERROR(MATCH(ROW()-4,'04_調査結果'!$AT$5:$AT$404,0),"")</f>
        <v/>
      </c>
    </row>
    <row r="17">
      <c r="A17">
        <f>IF($AG17="","",'01_設定'!$C$4)</f>
        <v/>
      </c>
      <c r="B17">
        <f>IF($AG17="","",'01_設定'!$C$5)</f>
        <v/>
      </c>
      <c r="C17">
        <f>IF($AG17="","",'01_設定'!$C$6)</f>
        <v/>
      </c>
      <c r="D17" s="36">
        <f>IF($AG17="","",'01_設定'!$C$22)</f>
        <v/>
      </c>
      <c r="E17" s="36">
        <f>IF($AG17="","",'01_設定'!$C$23)</f>
        <v/>
      </c>
      <c r="F17">
        <f>IF($AG17="","",'01_設定'!$C$32)</f>
        <v/>
      </c>
      <c r="G17">
        <f>IF($AG17="","",ROW()-4)</f>
        <v/>
      </c>
      <c r="H17">
        <f>IF($AG17="","",INDEX('04_調査結果'!$AJ$5:$AJ$404,$AG17))</f>
        <v/>
      </c>
      <c r="I17">
        <f>IF($AG17="","",INDEX('04_調査結果'!$D$5:$D$404,$AG17)&amp;"")</f>
        <v/>
      </c>
      <c r="J17">
        <f>IF($AG17="","",INDEX('04_調査結果'!$AK$5:$AK$404,$AG17)&amp;"")</f>
        <v/>
      </c>
      <c r="K17">
        <f>IF($AG17="","",IFERROR(INDEX('M1_類型マスタ'!$B$5:$B$19,MATCH(J17,'M1_類型マスタ'!$A$5:$A$19,0)),""))</f>
        <v/>
      </c>
      <c r="L17">
        <f>IF($AG17="","",INDEX('04_調査結果'!$F$5:$F$404,$AG17)&amp;"")</f>
        <v/>
      </c>
      <c r="M17">
        <f>IF($AG17="","",INDEX('04_調査結果'!$G$5:$G$404,$AG17)&amp;"")</f>
        <v/>
      </c>
      <c r="N17">
        <f>IF($AG17="","",INDEX('04_調査結果'!$H$5:$H$404,$AG17)&amp;"")</f>
        <v/>
      </c>
      <c r="O17" s="33">
        <f>IF($AG17="","",IF(INDEX('04_調査結果'!$Z$5:$Z$404,$AG17)&lt;&gt;"",INDEX('04_調査結果'!$Z$5:$Z$404,$AG17),INDEX('04_調査結果'!$AM$5:$AM$404,$AG17)))</f>
        <v/>
      </c>
      <c r="P17" s="33">
        <f>IF($AG17="","",IF(INDEX('04_調査結果'!$AA$5:$AA$404,$AG17)&lt;&gt;"",INDEX('04_調査結果'!$AA$5:$AA$404,$AG17),INDEX('04_調査結果'!$AN$5:$AN$404,$AG17)))</f>
        <v/>
      </c>
      <c r="Q17" s="33">
        <f>IF($AG17="","",INDEX('04_調査結果'!$AD$5:$AD$404,$AG17))</f>
        <v/>
      </c>
      <c r="R17">
        <f>IF($AG17="","",INDEX('04_調査結果'!$AO$5:$AO$404,$AG17))</f>
        <v/>
      </c>
      <c r="S17" s="37">
        <f>IF($AG17="","",INDEX('04_調査結果'!$AQ$5:$AQ$404,$AG17))</f>
        <v/>
      </c>
      <c r="T17" s="37">
        <f>IF($AG17="","",INDEX('04_調査結果'!$AR$5:$AR$404,$AG17))</f>
        <v/>
      </c>
      <c r="U17">
        <f>IF($AG17="","",INDEX('04_調査結果'!$N$5:$N$404,$AG17)&amp;"")</f>
        <v/>
      </c>
      <c r="V17">
        <f>IF($AG17="","",INDEX('04_調査結果'!$O$5:$O$404,$AG17))</f>
        <v/>
      </c>
      <c r="W17">
        <f>IF($AG17="","",INDEX('04_調査結果'!$P$5:$P$404,$AG17))</f>
        <v/>
      </c>
      <c r="X17">
        <f>IF($AG17="","",INDEX('04_調査結果'!$Q$5:$Q$404,$AG17))</f>
        <v/>
      </c>
      <c r="Y17">
        <f>IF($AG17="","",INDEX('04_調査結果'!$R$5:$R$404,$AG17))</f>
        <v/>
      </c>
      <c r="Z17">
        <f>IF($AG17="","",INDEX('04_調査結果'!$S$5:$S$404,$AG17))</f>
        <v/>
      </c>
      <c r="AA17">
        <f>IF($AG17="","",INDEX('04_調査結果'!$T$5:$T$404,$AG17))</f>
        <v/>
      </c>
      <c r="AB17">
        <f>IF($AG17="","",INDEX('04_調査結果'!$U$5:$U$404,$AG17))</f>
        <v/>
      </c>
      <c r="AC17">
        <f>IF($AG17="","",INDEX('04_調査結果'!$AF$5:$AF$404,$AG17))</f>
        <v/>
      </c>
      <c r="AD17">
        <f>IF($AG17="","",INDEX('04_調査結果'!$AC$5:$AC$404,$AG17)&amp;"")</f>
        <v/>
      </c>
      <c r="AE17">
        <f>IF($AG17="","",INDEX('04_調査結果'!$V$5:$V$404,$AG17)&amp;"")</f>
        <v/>
      </c>
      <c r="AF17">
        <f>IF($AG17="","",INDEX('04_調査結果'!$X$5:$X$404,$AG17)&amp;"")</f>
        <v/>
      </c>
      <c r="AG17" s="34">
        <f>IFERROR(MATCH(ROW()-4,'04_調査結果'!$AT$5:$AT$404,0),"")</f>
        <v/>
      </c>
    </row>
    <row r="18">
      <c r="A18">
        <f>IF($AG18="","",'01_設定'!$C$4)</f>
        <v/>
      </c>
      <c r="B18">
        <f>IF($AG18="","",'01_設定'!$C$5)</f>
        <v/>
      </c>
      <c r="C18">
        <f>IF($AG18="","",'01_設定'!$C$6)</f>
        <v/>
      </c>
      <c r="D18" s="36">
        <f>IF($AG18="","",'01_設定'!$C$22)</f>
        <v/>
      </c>
      <c r="E18" s="36">
        <f>IF($AG18="","",'01_設定'!$C$23)</f>
        <v/>
      </c>
      <c r="F18">
        <f>IF($AG18="","",'01_設定'!$C$32)</f>
        <v/>
      </c>
      <c r="G18">
        <f>IF($AG18="","",ROW()-4)</f>
        <v/>
      </c>
      <c r="H18">
        <f>IF($AG18="","",INDEX('04_調査結果'!$AJ$5:$AJ$404,$AG18))</f>
        <v/>
      </c>
      <c r="I18">
        <f>IF($AG18="","",INDEX('04_調査結果'!$D$5:$D$404,$AG18)&amp;"")</f>
        <v/>
      </c>
      <c r="J18">
        <f>IF($AG18="","",INDEX('04_調査結果'!$AK$5:$AK$404,$AG18)&amp;"")</f>
        <v/>
      </c>
      <c r="K18">
        <f>IF($AG18="","",IFERROR(INDEX('M1_類型マスタ'!$B$5:$B$19,MATCH(J18,'M1_類型マスタ'!$A$5:$A$19,0)),""))</f>
        <v/>
      </c>
      <c r="L18">
        <f>IF($AG18="","",INDEX('04_調査結果'!$F$5:$F$404,$AG18)&amp;"")</f>
        <v/>
      </c>
      <c r="M18">
        <f>IF($AG18="","",INDEX('04_調査結果'!$G$5:$G$404,$AG18)&amp;"")</f>
        <v/>
      </c>
      <c r="N18">
        <f>IF($AG18="","",INDEX('04_調査結果'!$H$5:$H$404,$AG18)&amp;"")</f>
        <v/>
      </c>
      <c r="O18" s="33">
        <f>IF($AG18="","",IF(INDEX('04_調査結果'!$Z$5:$Z$404,$AG18)&lt;&gt;"",INDEX('04_調査結果'!$Z$5:$Z$404,$AG18),INDEX('04_調査結果'!$AM$5:$AM$404,$AG18)))</f>
        <v/>
      </c>
      <c r="P18" s="33">
        <f>IF($AG18="","",IF(INDEX('04_調査結果'!$AA$5:$AA$404,$AG18)&lt;&gt;"",INDEX('04_調査結果'!$AA$5:$AA$404,$AG18),INDEX('04_調査結果'!$AN$5:$AN$404,$AG18)))</f>
        <v/>
      </c>
      <c r="Q18" s="33">
        <f>IF($AG18="","",INDEX('04_調査結果'!$AD$5:$AD$404,$AG18))</f>
        <v/>
      </c>
      <c r="R18">
        <f>IF($AG18="","",INDEX('04_調査結果'!$AO$5:$AO$404,$AG18))</f>
        <v/>
      </c>
      <c r="S18" s="37">
        <f>IF($AG18="","",INDEX('04_調査結果'!$AQ$5:$AQ$404,$AG18))</f>
        <v/>
      </c>
      <c r="T18" s="37">
        <f>IF($AG18="","",INDEX('04_調査結果'!$AR$5:$AR$404,$AG18))</f>
        <v/>
      </c>
      <c r="U18">
        <f>IF($AG18="","",INDEX('04_調査結果'!$N$5:$N$404,$AG18)&amp;"")</f>
        <v/>
      </c>
      <c r="V18">
        <f>IF($AG18="","",INDEX('04_調査結果'!$O$5:$O$404,$AG18))</f>
        <v/>
      </c>
      <c r="W18">
        <f>IF($AG18="","",INDEX('04_調査結果'!$P$5:$P$404,$AG18))</f>
        <v/>
      </c>
      <c r="X18">
        <f>IF($AG18="","",INDEX('04_調査結果'!$Q$5:$Q$404,$AG18))</f>
        <v/>
      </c>
      <c r="Y18">
        <f>IF($AG18="","",INDEX('04_調査結果'!$R$5:$R$404,$AG18))</f>
        <v/>
      </c>
      <c r="Z18">
        <f>IF($AG18="","",INDEX('04_調査結果'!$S$5:$S$404,$AG18))</f>
        <v/>
      </c>
      <c r="AA18">
        <f>IF($AG18="","",INDEX('04_調査結果'!$T$5:$T$404,$AG18))</f>
        <v/>
      </c>
      <c r="AB18">
        <f>IF($AG18="","",INDEX('04_調査結果'!$U$5:$U$404,$AG18))</f>
        <v/>
      </c>
      <c r="AC18">
        <f>IF($AG18="","",INDEX('04_調査結果'!$AF$5:$AF$404,$AG18))</f>
        <v/>
      </c>
      <c r="AD18">
        <f>IF($AG18="","",INDEX('04_調査結果'!$AC$5:$AC$404,$AG18)&amp;"")</f>
        <v/>
      </c>
      <c r="AE18">
        <f>IF($AG18="","",INDEX('04_調査結果'!$V$5:$V$404,$AG18)&amp;"")</f>
        <v/>
      </c>
      <c r="AF18">
        <f>IF($AG18="","",INDEX('04_調査結果'!$X$5:$X$404,$AG18)&amp;"")</f>
        <v/>
      </c>
      <c r="AG18" s="34">
        <f>IFERROR(MATCH(ROW()-4,'04_調査結果'!$AT$5:$AT$404,0),"")</f>
        <v/>
      </c>
    </row>
    <row r="19">
      <c r="A19">
        <f>IF($AG19="","",'01_設定'!$C$4)</f>
        <v/>
      </c>
      <c r="B19">
        <f>IF($AG19="","",'01_設定'!$C$5)</f>
        <v/>
      </c>
      <c r="C19">
        <f>IF($AG19="","",'01_設定'!$C$6)</f>
        <v/>
      </c>
      <c r="D19" s="36">
        <f>IF($AG19="","",'01_設定'!$C$22)</f>
        <v/>
      </c>
      <c r="E19" s="36">
        <f>IF($AG19="","",'01_設定'!$C$23)</f>
        <v/>
      </c>
      <c r="F19">
        <f>IF($AG19="","",'01_設定'!$C$32)</f>
        <v/>
      </c>
      <c r="G19">
        <f>IF($AG19="","",ROW()-4)</f>
        <v/>
      </c>
      <c r="H19">
        <f>IF($AG19="","",INDEX('04_調査結果'!$AJ$5:$AJ$404,$AG19))</f>
        <v/>
      </c>
      <c r="I19">
        <f>IF($AG19="","",INDEX('04_調査結果'!$D$5:$D$404,$AG19)&amp;"")</f>
        <v/>
      </c>
      <c r="J19">
        <f>IF($AG19="","",INDEX('04_調査結果'!$AK$5:$AK$404,$AG19)&amp;"")</f>
        <v/>
      </c>
      <c r="K19">
        <f>IF($AG19="","",IFERROR(INDEX('M1_類型マスタ'!$B$5:$B$19,MATCH(J19,'M1_類型マスタ'!$A$5:$A$19,0)),""))</f>
        <v/>
      </c>
      <c r="L19">
        <f>IF($AG19="","",INDEX('04_調査結果'!$F$5:$F$404,$AG19)&amp;"")</f>
        <v/>
      </c>
      <c r="M19">
        <f>IF($AG19="","",INDEX('04_調査結果'!$G$5:$G$404,$AG19)&amp;"")</f>
        <v/>
      </c>
      <c r="N19">
        <f>IF($AG19="","",INDEX('04_調査結果'!$H$5:$H$404,$AG19)&amp;"")</f>
        <v/>
      </c>
      <c r="O19" s="33">
        <f>IF($AG19="","",IF(INDEX('04_調査結果'!$Z$5:$Z$404,$AG19)&lt;&gt;"",INDEX('04_調査結果'!$Z$5:$Z$404,$AG19),INDEX('04_調査結果'!$AM$5:$AM$404,$AG19)))</f>
        <v/>
      </c>
      <c r="P19" s="33">
        <f>IF($AG19="","",IF(INDEX('04_調査結果'!$AA$5:$AA$404,$AG19)&lt;&gt;"",INDEX('04_調査結果'!$AA$5:$AA$404,$AG19),INDEX('04_調査結果'!$AN$5:$AN$404,$AG19)))</f>
        <v/>
      </c>
      <c r="Q19" s="33">
        <f>IF($AG19="","",INDEX('04_調査結果'!$AD$5:$AD$404,$AG19))</f>
        <v/>
      </c>
      <c r="R19">
        <f>IF($AG19="","",INDEX('04_調査結果'!$AO$5:$AO$404,$AG19))</f>
        <v/>
      </c>
      <c r="S19" s="37">
        <f>IF($AG19="","",INDEX('04_調査結果'!$AQ$5:$AQ$404,$AG19))</f>
        <v/>
      </c>
      <c r="T19" s="37">
        <f>IF($AG19="","",INDEX('04_調査結果'!$AR$5:$AR$404,$AG19))</f>
        <v/>
      </c>
      <c r="U19">
        <f>IF($AG19="","",INDEX('04_調査結果'!$N$5:$N$404,$AG19)&amp;"")</f>
        <v/>
      </c>
      <c r="V19">
        <f>IF($AG19="","",INDEX('04_調査結果'!$O$5:$O$404,$AG19))</f>
        <v/>
      </c>
      <c r="W19">
        <f>IF($AG19="","",INDEX('04_調査結果'!$P$5:$P$404,$AG19))</f>
        <v/>
      </c>
      <c r="X19">
        <f>IF($AG19="","",INDEX('04_調査結果'!$Q$5:$Q$404,$AG19))</f>
        <v/>
      </c>
      <c r="Y19">
        <f>IF($AG19="","",INDEX('04_調査結果'!$R$5:$R$404,$AG19))</f>
        <v/>
      </c>
      <c r="Z19">
        <f>IF($AG19="","",INDEX('04_調査結果'!$S$5:$S$404,$AG19))</f>
        <v/>
      </c>
      <c r="AA19">
        <f>IF($AG19="","",INDEX('04_調査結果'!$T$5:$T$404,$AG19))</f>
        <v/>
      </c>
      <c r="AB19">
        <f>IF($AG19="","",INDEX('04_調査結果'!$U$5:$U$404,$AG19))</f>
        <v/>
      </c>
      <c r="AC19">
        <f>IF($AG19="","",INDEX('04_調査結果'!$AF$5:$AF$404,$AG19))</f>
        <v/>
      </c>
      <c r="AD19">
        <f>IF($AG19="","",INDEX('04_調査結果'!$AC$5:$AC$404,$AG19)&amp;"")</f>
        <v/>
      </c>
      <c r="AE19">
        <f>IF($AG19="","",INDEX('04_調査結果'!$V$5:$V$404,$AG19)&amp;"")</f>
        <v/>
      </c>
      <c r="AF19">
        <f>IF($AG19="","",INDEX('04_調査結果'!$X$5:$X$404,$AG19)&amp;"")</f>
        <v/>
      </c>
      <c r="AG19" s="34">
        <f>IFERROR(MATCH(ROW()-4,'04_調査結果'!$AT$5:$AT$404,0),"")</f>
        <v/>
      </c>
    </row>
    <row r="20">
      <c r="A20">
        <f>IF($AG20="","",'01_設定'!$C$4)</f>
        <v/>
      </c>
      <c r="B20">
        <f>IF($AG20="","",'01_設定'!$C$5)</f>
        <v/>
      </c>
      <c r="C20">
        <f>IF($AG20="","",'01_設定'!$C$6)</f>
        <v/>
      </c>
      <c r="D20" s="36">
        <f>IF($AG20="","",'01_設定'!$C$22)</f>
        <v/>
      </c>
      <c r="E20" s="36">
        <f>IF($AG20="","",'01_設定'!$C$23)</f>
        <v/>
      </c>
      <c r="F20">
        <f>IF($AG20="","",'01_設定'!$C$32)</f>
        <v/>
      </c>
      <c r="G20">
        <f>IF($AG20="","",ROW()-4)</f>
        <v/>
      </c>
      <c r="H20">
        <f>IF($AG20="","",INDEX('04_調査結果'!$AJ$5:$AJ$404,$AG20))</f>
        <v/>
      </c>
      <c r="I20">
        <f>IF($AG20="","",INDEX('04_調査結果'!$D$5:$D$404,$AG20)&amp;"")</f>
        <v/>
      </c>
      <c r="J20">
        <f>IF($AG20="","",INDEX('04_調査結果'!$AK$5:$AK$404,$AG20)&amp;"")</f>
        <v/>
      </c>
      <c r="K20">
        <f>IF($AG20="","",IFERROR(INDEX('M1_類型マスタ'!$B$5:$B$19,MATCH(J20,'M1_類型マスタ'!$A$5:$A$19,0)),""))</f>
        <v/>
      </c>
      <c r="L20">
        <f>IF($AG20="","",INDEX('04_調査結果'!$F$5:$F$404,$AG20)&amp;"")</f>
        <v/>
      </c>
      <c r="M20">
        <f>IF($AG20="","",INDEX('04_調査結果'!$G$5:$G$404,$AG20)&amp;"")</f>
        <v/>
      </c>
      <c r="N20">
        <f>IF($AG20="","",INDEX('04_調査結果'!$H$5:$H$404,$AG20)&amp;"")</f>
        <v/>
      </c>
      <c r="O20" s="33">
        <f>IF($AG20="","",IF(INDEX('04_調査結果'!$Z$5:$Z$404,$AG20)&lt;&gt;"",INDEX('04_調査結果'!$Z$5:$Z$404,$AG20),INDEX('04_調査結果'!$AM$5:$AM$404,$AG20)))</f>
        <v/>
      </c>
      <c r="P20" s="33">
        <f>IF($AG20="","",IF(INDEX('04_調査結果'!$AA$5:$AA$404,$AG20)&lt;&gt;"",INDEX('04_調査結果'!$AA$5:$AA$404,$AG20),INDEX('04_調査結果'!$AN$5:$AN$404,$AG20)))</f>
        <v/>
      </c>
      <c r="Q20" s="33">
        <f>IF($AG20="","",INDEX('04_調査結果'!$AD$5:$AD$404,$AG20))</f>
        <v/>
      </c>
      <c r="R20">
        <f>IF($AG20="","",INDEX('04_調査結果'!$AO$5:$AO$404,$AG20))</f>
        <v/>
      </c>
      <c r="S20" s="37">
        <f>IF($AG20="","",INDEX('04_調査結果'!$AQ$5:$AQ$404,$AG20))</f>
        <v/>
      </c>
      <c r="T20" s="37">
        <f>IF($AG20="","",INDEX('04_調査結果'!$AR$5:$AR$404,$AG20))</f>
        <v/>
      </c>
      <c r="U20">
        <f>IF($AG20="","",INDEX('04_調査結果'!$N$5:$N$404,$AG20)&amp;"")</f>
        <v/>
      </c>
      <c r="V20">
        <f>IF($AG20="","",INDEX('04_調査結果'!$O$5:$O$404,$AG20))</f>
        <v/>
      </c>
      <c r="W20">
        <f>IF($AG20="","",INDEX('04_調査結果'!$P$5:$P$404,$AG20))</f>
        <v/>
      </c>
      <c r="X20">
        <f>IF($AG20="","",INDEX('04_調査結果'!$Q$5:$Q$404,$AG20))</f>
        <v/>
      </c>
      <c r="Y20">
        <f>IF($AG20="","",INDEX('04_調査結果'!$R$5:$R$404,$AG20))</f>
        <v/>
      </c>
      <c r="Z20">
        <f>IF($AG20="","",INDEX('04_調査結果'!$S$5:$S$404,$AG20))</f>
        <v/>
      </c>
      <c r="AA20">
        <f>IF($AG20="","",INDEX('04_調査結果'!$T$5:$T$404,$AG20))</f>
        <v/>
      </c>
      <c r="AB20">
        <f>IF($AG20="","",INDEX('04_調査結果'!$U$5:$U$404,$AG20))</f>
        <v/>
      </c>
      <c r="AC20">
        <f>IF($AG20="","",INDEX('04_調査結果'!$AF$5:$AF$404,$AG20))</f>
        <v/>
      </c>
      <c r="AD20">
        <f>IF($AG20="","",INDEX('04_調査結果'!$AC$5:$AC$404,$AG20)&amp;"")</f>
        <v/>
      </c>
      <c r="AE20">
        <f>IF($AG20="","",INDEX('04_調査結果'!$V$5:$V$404,$AG20)&amp;"")</f>
        <v/>
      </c>
      <c r="AF20">
        <f>IF($AG20="","",INDEX('04_調査結果'!$X$5:$X$404,$AG20)&amp;"")</f>
        <v/>
      </c>
      <c r="AG20" s="34">
        <f>IFERROR(MATCH(ROW()-4,'04_調査結果'!$AT$5:$AT$404,0),"")</f>
        <v/>
      </c>
    </row>
    <row r="21">
      <c r="A21">
        <f>IF($AG21="","",'01_設定'!$C$4)</f>
        <v/>
      </c>
      <c r="B21">
        <f>IF($AG21="","",'01_設定'!$C$5)</f>
        <v/>
      </c>
      <c r="C21">
        <f>IF($AG21="","",'01_設定'!$C$6)</f>
        <v/>
      </c>
      <c r="D21" s="36">
        <f>IF($AG21="","",'01_設定'!$C$22)</f>
        <v/>
      </c>
      <c r="E21" s="36">
        <f>IF($AG21="","",'01_設定'!$C$23)</f>
        <v/>
      </c>
      <c r="F21">
        <f>IF($AG21="","",'01_設定'!$C$32)</f>
        <v/>
      </c>
      <c r="G21">
        <f>IF($AG21="","",ROW()-4)</f>
        <v/>
      </c>
      <c r="H21">
        <f>IF($AG21="","",INDEX('04_調査結果'!$AJ$5:$AJ$404,$AG21))</f>
        <v/>
      </c>
      <c r="I21">
        <f>IF($AG21="","",INDEX('04_調査結果'!$D$5:$D$404,$AG21)&amp;"")</f>
        <v/>
      </c>
      <c r="J21">
        <f>IF($AG21="","",INDEX('04_調査結果'!$AK$5:$AK$404,$AG21)&amp;"")</f>
        <v/>
      </c>
      <c r="K21">
        <f>IF($AG21="","",IFERROR(INDEX('M1_類型マスタ'!$B$5:$B$19,MATCH(J21,'M1_類型マスタ'!$A$5:$A$19,0)),""))</f>
        <v/>
      </c>
      <c r="L21">
        <f>IF($AG21="","",INDEX('04_調査結果'!$F$5:$F$404,$AG21)&amp;"")</f>
        <v/>
      </c>
      <c r="M21">
        <f>IF($AG21="","",INDEX('04_調査結果'!$G$5:$G$404,$AG21)&amp;"")</f>
        <v/>
      </c>
      <c r="N21">
        <f>IF($AG21="","",INDEX('04_調査結果'!$H$5:$H$404,$AG21)&amp;"")</f>
        <v/>
      </c>
      <c r="O21" s="33">
        <f>IF($AG21="","",IF(INDEX('04_調査結果'!$Z$5:$Z$404,$AG21)&lt;&gt;"",INDEX('04_調査結果'!$Z$5:$Z$404,$AG21),INDEX('04_調査結果'!$AM$5:$AM$404,$AG21)))</f>
        <v/>
      </c>
      <c r="P21" s="33">
        <f>IF($AG21="","",IF(INDEX('04_調査結果'!$AA$5:$AA$404,$AG21)&lt;&gt;"",INDEX('04_調査結果'!$AA$5:$AA$404,$AG21),INDEX('04_調査結果'!$AN$5:$AN$404,$AG21)))</f>
        <v/>
      </c>
      <c r="Q21" s="33">
        <f>IF($AG21="","",INDEX('04_調査結果'!$AD$5:$AD$404,$AG21))</f>
        <v/>
      </c>
      <c r="R21">
        <f>IF($AG21="","",INDEX('04_調査結果'!$AO$5:$AO$404,$AG21))</f>
        <v/>
      </c>
      <c r="S21" s="37">
        <f>IF($AG21="","",INDEX('04_調査結果'!$AQ$5:$AQ$404,$AG21))</f>
        <v/>
      </c>
      <c r="T21" s="37">
        <f>IF($AG21="","",INDEX('04_調査結果'!$AR$5:$AR$404,$AG21))</f>
        <v/>
      </c>
      <c r="U21">
        <f>IF($AG21="","",INDEX('04_調査結果'!$N$5:$N$404,$AG21)&amp;"")</f>
        <v/>
      </c>
      <c r="V21">
        <f>IF($AG21="","",INDEX('04_調査結果'!$O$5:$O$404,$AG21))</f>
        <v/>
      </c>
      <c r="W21">
        <f>IF($AG21="","",INDEX('04_調査結果'!$P$5:$P$404,$AG21))</f>
        <v/>
      </c>
      <c r="X21">
        <f>IF($AG21="","",INDEX('04_調査結果'!$Q$5:$Q$404,$AG21))</f>
        <v/>
      </c>
      <c r="Y21">
        <f>IF($AG21="","",INDEX('04_調査結果'!$R$5:$R$404,$AG21))</f>
        <v/>
      </c>
      <c r="Z21">
        <f>IF($AG21="","",INDEX('04_調査結果'!$S$5:$S$404,$AG21))</f>
        <v/>
      </c>
      <c r="AA21">
        <f>IF($AG21="","",INDEX('04_調査結果'!$T$5:$T$404,$AG21))</f>
        <v/>
      </c>
      <c r="AB21">
        <f>IF($AG21="","",INDEX('04_調査結果'!$U$5:$U$404,$AG21))</f>
        <v/>
      </c>
      <c r="AC21">
        <f>IF($AG21="","",INDEX('04_調査結果'!$AF$5:$AF$404,$AG21))</f>
        <v/>
      </c>
      <c r="AD21">
        <f>IF($AG21="","",INDEX('04_調査結果'!$AC$5:$AC$404,$AG21)&amp;"")</f>
        <v/>
      </c>
      <c r="AE21">
        <f>IF($AG21="","",INDEX('04_調査結果'!$V$5:$V$404,$AG21)&amp;"")</f>
        <v/>
      </c>
      <c r="AF21">
        <f>IF($AG21="","",INDEX('04_調査結果'!$X$5:$X$404,$AG21)&amp;"")</f>
        <v/>
      </c>
      <c r="AG21" s="34">
        <f>IFERROR(MATCH(ROW()-4,'04_調査結果'!$AT$5:$AT$404,0),"")</f>
        <v/>
      </c>
    </row>
    <row r="22">
      <c r="A22">
        <f>IF($AG22="","",'01_設定'!$C$4)</f>
        <v/>
      </c>
      <c r="B22">
        <f>IF($AG22="","",'01_設定'!$C$5)</f>
        <v/>
      </c>
      <c r="C22">
        <f>IF($AG22="","",'01_設定'!$C$6)</f>
        <v/>
      </c>
      <c r="D22" s="36">
        <f>IF($AG22="","",'01_設定'!$C$22)</f>
        <v/>
      </c>
      <c r="E22" s="36">
        <f>IF($AG22="","",'01_設定'!$C$23)</f>
        <v/>
      </c>
      <c r="F22">
        <f>IF($AG22="","",'01_設定'!$C$32)</f>
        <v/>
      </c>
      <c r="G22">
        <f>IF($AG22="","",ROW()-4)</f>
        <v/>
      </c>
      <c r="H22">
        <f>IF($AG22="","",INDEX('04_調査結果'!$AJ$5:$AJ$404,$AG22))</f>
        <v/>
      </c>
      <c r="I22">
        <f>IF($AG22="","",INDEX('04_調査結果'!$D$5:$D$404,$AG22)&amp;"")</f>
        <v/>
      </c>
      <c r="J22">
        <f>IF($AG22="","",INDEX('04_調査結果'!$AK$5:$AK$404,$AG22)&amp;"")</f>
        <v/>
      </c>
      <c r="K22">
        <f>IF($AG22="","",IFERROR(INDEX('M1_類型マスタ'!$B$5:$B$19,MATCH(J22,'M1_類型マスタ'!$A$5:$A$19,0)),""))</f>
        <v/>
      </c>
      <c r="L22">
        <f>IF($AG22="","",INDEX('04_調査結果'!$F$5:$F$404,$AG22)&amp;"")</f>
        <v/>
      </c>
      <c r="M22">
        <f>IF($AG22="","",INDEX('04_調査結果'!$G$5:$G$404,$AG22)&amp;"")</f>
        <v/>
      </c>
      <c r="N22">
        <f>IF($AG22="","",INDEX('04_調査結果'!$H$5:$H$404,$AG22)&amp;"")</f>
        <v/>
      </c>
      <c r="O22" s="33">
        <f>IF($AG22="","",IF(INDEX('04_調査結果'!$Z$5:$Z$404,$AG22)&lt;&gt;"",INDEX('04_調査結果'!$Z$5:$Z$404,$AG22),INDEX('04_調査結果'!$AM$5:$AM$404,$AG22)))</f>
        <v/>
      </c>
      <c r="P22" s="33">
        <f>IF($AG22="","",IF(INDEX('04_調査結果'!$AA$5:$AA$404,$AG22)&lt;&gt;"",INDEX('04_調査結果'!$AA$5:$AA$404,$AG22),INDEX('04_調査結果'!$AN$5:$AN$404,$AG22)))</f>
        <v/>
      </c>
      <c r="Q22" s="33">
        <f>IF($AG22="","",INDEX('04_調査結果'!$AD$5:$AD$404,$AG22))</f>
        <v/>
      </c>
      <c r="R22">
        <f>IF($AG22="","",INDEX('04_調査結果'!$AO$5:$AO$404,$AG22))</f>
        <v/>
      </c>
      <c r="S22" s="37">
        <f>IF($AG22="","",INDEX('04_調査結果'!$AQ$5:$AQ$404,$AG22))</f>
        <v/>
      </c>
      <c r="T22" s="37">
        <f>IF($AG22="","",INDEX('04_調査結果'!$AR$5:$AR$404,$AG22))</f>
        <v/>
      </c>
      <c r="U22">
        <f>IF($AG22="","",INDEX('04_調査結果'!$N$5:$N$404,$AG22)&amp;"")</f>
        <v/>
      </c>
      <c r="V22">
        <f>IF($AG22="","",INDEX('04_調査結果'!$O$5:$O$404,$AG22))</f>
        <v/>
      </c>
      <c r="W22">
        <f>IF($AG22="","",INDEX('04_調査結果'!$P$5:$P$404,$AG22))</f>
        <v/>
      </c>
      <c r="X22">
        <f>IF($AG22="","",INDEX('04_調査結果'!$Q$5:$Q$404,$AG22))</f>
        <v/>
      </c>
      <c r="Y22">
        <f>IF($AG22="","",INDEX('04_調査結果'!$R$5:$R$404,$AG22))</f>
        <v/>
      </c>
      <c r="Z22">
        <f>IF($AG22="","",INDEX('04_調査結果'!$S$5:$S$404,$AG22))</f>
        <v/>
      </c>
      <c r="AA22">
        <f>IF($AG22="","",INDEX('04_調査結果'!$T$5:$T$404,$AG22))</f>
        <v/>
      </c>
      <c r="AB22">
        <f>IF($AG22="","",INDEX('04_調査結果'!$U$5:$U$404,$AG22))</f>
        <v/>
      </c>
      <c r="AC22">
        <f>IF($AG22="","",INDEX('04_調査結果'!$AF$5:$AF$404,$AG22))</f>
        <v/>
      </c>
      <c r="AD22">
        <f>IF($AG22="","",INDEX('04_調査結果'!$AC$5:$AC$404,$AG22)&amp;"")</f>
        <v/>
      </c>
      <c r="AE22">
        <f>IF($AG22="","",INDEX('04_調査結果'!$V$5:$V$404,$AG22)&amp;"")</f>
        <v/>
      </c>
      <c r="AF22">
        <f>IF($AG22="","",INDEX('04_調査結果'!$X$5:$X$404,$AG22)&amp;"")</f>
        <v/>
      </c>
      <c r="AG22" s="34">
        <f>IFERROR(MATCH(ROW()-4,'04_調査結果'!$AT$5:$AT$404,0),"")</f>
        <v/>
      </c>
    </row>
    <row r="23">
      <c r="A23">
        <f>IF($AG23="","",'01_設定'!$C$4)</f>
        <v/>
      </c>
      <c r="B23">
        <f>IF($AG23="","",'01_設定'!$C$5)</f>
        <v/>
      </c>
      <c r="C23">
        <f>IF($AG23="","",'01_設定'!$C$6)</f>
        <v/>
      </c>
      <c r="D23" s="36">
        <f>IF($AG23="","",'01_設定'!$C$22)</f>
        <v/>
      </c>
      <c r="E23" s="36">
        <f>IF($AG23="","",'01_設定'!$C$23)</f>
        <v/>
      </c>
      <c r="F23">
        <f>IF($AG23="","",'01_設定'!$C$32)</f>
        <v/>
      </c>
      <c r="G23">
        <f>IF($AG23="","",ROW()-4)</f>
        <v/>
      </c>
      <c r="H23">
        <f>IF($AG23="","",INDEX('04_調査結果'!$AJ$5:$AJ$404,$AG23))</f>
        <v/>
      </c>
      <c r="I23">
        <f>IF($AG23="","",INDEX('04_調査結果'!$D$5:$D$404,$AG23)&amp;"")</f>
        <v/>
      </c>
      <c r="J23">
        <f>IF($AG23="","",INDEX('04_調査結果'!$AK$5:$AK$404,$AG23)&amp;"")</f>
        <v/>
      </c>
      <c r="K23">
        <f>IF($AG23="","",IFERROR(INDEX('M1_類型マスタ'!$B$5:$B$19,MATCH(J23,'M1_類型マスタ'!$A$5:$A$19,0)),""))</f>
        <v/>
      </c>
      <c r="L23">
        <f>IF($AG23="","",INDEX('04_調査結果'!$F$5:$F$404,$AG23)&amp;"")</f>
        <v/>
      </c>
      <c r="M23">
        <f>IF($AG23="","",INDEX('04_調査結果'!$G$5:$G$404,$AG23)&amp;"")</f>
        <v/>
      </c>
      <c r="N23">
        <f>IF($AG23="","",INDEX('04_調査結果'!$H$5:$H$404,$AG23)&amp;"")</f>
        <v/>
      </c>
      <c r="O23" s="33">
        <f>IF($AG23="","",IF(INDEX('04_調査結果'!$Z$5:$Z$404,$AG23)&lt;&gt;"",INDEX('04_調査結果'!$Z$5:$Z$404,$AG23),INDEX('04_調査結果'!$AM$5:$AM$404,$AG23)))</f>
        <v/>
      </c>
      <c r="P23" s="33">
        <f>IF($AG23="","",IF(INDEX('04_調査結果'!$AA$5:$AA$404,$AG23)&lt;&gt;"",INDEX('04_調査結果'!$AA$5:$AA$404,$AG23),INDEX('04_調査結果'!$AN$5:$AN$404,$AG23)))</f>
        <v/>
      </c>
      <c r="Q23" s="33">
        <f>IF($AG23="","",INDEX('04_調査結果'!$AD$5:$AD$404,$AG23))</f>
        <v/>
      </c>
      <c r="R23">
        <f>IF($AG23="","",INDEX('04_調査結果'!$AO$5:$AO$404,$AG23))</f>
        <v/>
      </c>
      <c r="S23" s="37">
        <f>IF($AG23="","",INDEX('04_調査結果'!$AQ$5:$AQ$404,$AG23))</f>
        <v/>
      </c>
      <c r="T23" s="37">
        <f>IF($AG23="","",INDEX('04_調査結果'!$AR$5:$AR$404,$AG23))</f>
        <v/>
      </c>
      <c r="U23">
        <f>IF($AG23="","",INDEX('04_調査結果'!$N$5:$N$404,$AG23)&amp;"")</f>
        <v/>
      </c>
      <c r="V23">
        <f>IF($AG23="","",INDEX('04_調査結果'!$O$5:$O$404,$AG23))</f>
        <v/>
      </c>
      <c r="W23">
        <f>IF($AG23="","",INDEX('04_調査結果'!$P$5:$P$404,$AG23))</f>
        <v/>
      </c>
      <c r="X23">
        <f>IF($AG23="","",INDEX('04_調査結果'!$Q$5:$Q$404,$AG23))</f>
        <v/>
      </c>
      <c r="Y23">
        <f>IF($AG23="","",INDEX('04_調査結果'!$R$5:$R$404,$AG23))</f>
        <v/>
      </c>
      <c r="Z23">
        <f>IF($AG23="","",INDEX('04_調査結果'!$S$5:$S$404,$AG23))</f>
        <v/>
      </c>
      <c r="AA23">
        <f>IF($AG23="","",INDEX('04_調査結果'!$T$5:$T$404,$AG23))</f>
        <v/>
      </c>
      <c r="AB23">
        <f>IF($AG23="","",INDEX('04_調査結果'!$U$5:$U$404,$AG23))</f>
        <v/>
      </c>
      <c r="AC23">
        <f>IF($AG23="","",INDEX('04_調査結果'!$AF$5:$AF$404,$AG23))</f>
        <v/>
      </c>
      <c r="AD23">
        <f>IF($AG23="","",INDEX('04_調査結果'!$AC$5:$AC$404,$AG23)&amp;"")</f>
        <v/>
      </c>
      <c r="AE23">
        <f>IF($AG23="","",INDEX('04_調査結果'!$V$5:$V$404,$AG23)&amp;"")</f>
        <v/>
      </c>
      <c r="AF23">
        <f>IF($AG23="","",INDEX('04_調査結果'!$X$5:$X$404,$AG23)&amp;"")</f>
        <v/>
      </c>
      <c r="AG23" s="34">
        <f>IFERROR(MATCH(ROW()-4,'04_調査結果'!$AT$5:$AT$404,0),"")</f>
        <v/>
      </c>
    </row>
    <row r="24">
      <c r="A24">
        <f>IF($AG24="","",'01_設定'!$C$4)</f>
        <v/>
      </c>
      <c r="B24">
        <f>IF($AG24="","",'01_設定'!$C$5)</f>
        <v/>
      </c>
      <c r="C24">
        <f>IF($AG24="","",'01_設定'!$C$6)</f>
        <v/>
      </c>
      <c r="D24" s="36">
        <f>IF($AG24="","",'01_設定'!$C$22)</f>
        <v/>
      </c>
      <c r="E24" s="36">
        <f>IF($AG24="","",'01_設定'!$C$23)</f>
        <v/>
      </c>
      <c r="F24">
        <f>IF($AG24="","",'01_設定'!$C$32)</f>
        <v/>
      </c>
      <c r="G24">
        <f>IF($AG24="","",ROW()-4)</f>
        <v/>
      </c>
      <c r="H24">
        <f>IF($AG24="","",INDEX('04_調査結果'!$AJ$5:$AJ$404,$AG24))</f>
        <v/>
      </c>
      <c r="I24">
        <f>IF($AG24="","",INDEX('04_調査結果'!$D$5:$D$404,$AG24)&amp;"")</f>
        <v/>
      </c>
      <c r="J24">
        <f>IF($AG24="","",INDEX('04_調査結果'!$AK$5:$AK$404,$AG24)&amp;"")</f>
        <v/>
      </c>
      <c r="K24">
        <f>IF($AG24="","",IFERROR(INDEX('M1_類型マスタ'!$B$5:$B$19,MATCH(J24,'M1_類型マスタ'!$A$5:$A$19,0)),""))</f>
        <v/>
      </c>
      <c r="L24">
        <f>IF($AG24="","",INDEX('04_調査結果'!$F$5:$F$404,$AG24)&amp;"")</f>
        <v/>
      </c>
      <c r="M24">
        <f>IF($AG24="","",INDEX('04_調査結果'!$G$5:$G$404,$AG24)&amp;"")</f>
        <v/>
      </c>
      <c r="N24">
        <f>IF($AG24="","",INDEX('04_調査結果'!$H$5:$H$404,$AG24)&amp;"")</f>
        <v/>
      </c>
      <c r="O24" s="33">
        <f>IF($AG24="","",IF(INDEX('04_調査結果'!$Z$5:$Z$404,$AG24)&lt;&gt;"",INDEX('04_調査結果'!$Z$5:$Z$404,$AG24),INDEX('04_調査結果'!$AM$5:$AM$404,$AG24)))</f>
        <v/>
      </c>
      <c r="P24" s="33">
        <f>IF($AG24="","",IF(INDEX('04_調査結果'!$AA$5:$AA$404,$AG24)&lt;&gt;"",INDEX('04_調査結果'!$AA$5:$AA$404,$AG24),INDEX('04_調査結果'!$AN$5:$AN$404,$AG24)))</f>
        <v/>
      </c>
      <c r="Q24" s="33">
        <f>IF($AG24="","",INDEX('04_調査結果'!$AD$5:$AD$404,$AG24))</f>
        <v/>
      </c>
      <c r="R24">
        <f>IF($AG24="","",INDEX('04_調査結果'!$AO$5:$AO$404,$AG24))</f>
        <v/>
      </c>
      <c r="S24" s="37">
        <f>IF($AG24="","",INDEX('04_調査結果'!$AQ$5:$AQ$404,$AG24))</f>
        <v/>
      </c>
      <c r="T24" s="37">
        <f>IF($AG24="","",INDEX('04_調査結果'!$AR$5:$AR$404,$AG24))</f>
        <v/>
      </c>
      <c r="U24">
        <f>IF($AG24="","",INDEX('04_調査結果'!$N$5:$N$404,$AG24)&amp;"")</f>
        <v/>
      </c>
      <c r="V24">
        <f>IF($AG24="","",INDEX('04_調査結果'!$O$5:$O$404,$AG24))</f>
        <v/>
      </c>
      <c r="W24">
        <f>IF($AG24="","",INDEX('04_調査結果'!$P$5:$P$404,$AG24))</f>
        <v/>
      </c>
      <c r="X24">
        <f>IF($AG24="","",INDEX('04_調査結果'!$Q$5:$Q$404,$AG24))</f>
        <v/>
      </c>
      <c r="Y24">
        <f>IF($AG24="","",INDEX('04_調査結果'!$R$5:$R$404,$AG24))</f>
        <v/>
      </c>
      <c r="Z24">
        <f>IF($AG24="","",INDEX('04_調査結果'!$S$5:$S$404,$AG24))</f>
        <v/>
      </c>
      <c r="AA24">
        <f>IF($AG24="","",INDEX('04_調査結果'!$T$5:$T$404,$AG24))</f>
        <v/>
      </c>
      <c r="AB24">
        <f>IF($AG24="","",INDEX('04_調査結果'!$U$5:$U$404,$AG24))</f>
        <v/>
      </c>
      <c r="AC24">
        <f>IF($AG24="","",INDEX('04_調査結果'!$AF$5:$AF$404,$AG24))</f>
        <v/>
      </c>
      <c r="AD24">
        <f>IF($AG24="","",INDEX('04_調査結果'!$AC$5:$AC$404,$AG24)&amp;"")</f>
        <v/>
      </c>
      <c r="AE24">
        <f>IF($AG24="","",INDEX('04_調査結果'!$V$5:$V$404,$AG24)&amp;"")</f>
        <v/>
      </c>
      <c r="AF24">
        <f>IF($AG24="","",INDEX('04_調査結果'!$X$5:$X$404,$AG24)&amp;"")</f>
        <v/>
      </c>
      <c r="AG24" s="34">
        <f>IFERROR(MATCH(ROW()-4,'04_調査結果'!$AT$5:$AT$404,0),"")</f>
        <v/>
      </c>
    </row>
    <row r="25">
      <c r="A25">
        <f>IF($AG25="","",'01_設定'!$C$4)</f>
        <v/>
      </c>
      <c r="B25">
        <f>IF($AG25="","",'01_設定'!$C$5)</f>
        <v/>
      </c>
      <c r="C25">
        <f>IF($AG25="","",'01_設定'!$C$6)</f>
        <v/>
      </c>
      <c r="D25" s="36">
        <f>IF($AG25="","",'01_設定'!$C$22)</f>
        <v/>
      </c>
      <c r="E25" s="36">
        <f>IF($AG25="","",'01_設定'!$C$23)</f>
        <v/>
      </c>
      <c r="F25">
        <f>IF($AG25="","",'01_設定'!$C$32)</f>
        <v/>
      </c>
      <c r="G25">
        <f>IF($AG25="","",ROW()-4)</f>
        <v/>
      </c>
      <c r="H25">
        <f>IF($AG25="","",INDEX('04_調査結果'!$AJ$5:$AJ$404,$AG25))</f>
        <v/>
      </c>
      <c r="I25">
        <f>IF($AG25="","",INDEX('04_調査結果'!$D$5:$D$404,$AG25)&amp;"")</f>
        <v/>
      </c>
      <c r="J25">
        <f>IF($AG25="","",INDEX('04_調査結果'!$AK$5:$AK$404,$AG25)&amp;"")</f>
        <v/>
      </c>
      <c r="K25">
        <f>IF($AG25="","",IFERROR(INDEX('M1_類型マスタ'!$B$5:$B$19,MATCH(J25,'M1_類型マスタ'!$A$5:$A$19,0)),""))</f>
        <v/>
      </c>
      <c r="L25">
        <f>IF($AG25="","",INDEX('04_調査結果'!$F$5:$F$404,$AG25)&amp;"")</f>
        <v/>
      </c>
      <c r="M25">
        <f>IF($AG25="","",INDEX('04_調査結果'!$G$5:$G$404,$AG25)&amp;"")</f>
        <v/>
      </c>
      <c r="N25">
        <f>IF($AG25="","",INDEX('04_調査結果'!$H$5:$H$404,$AG25)&amp;"")</f>
        <v/>
      </c>
      <c r="O25" s="33">
        <f>IF($AG25="","",IF(INDEX('04_調査結果'!$Z$5:$Z$404,$AG25)&lt;&gt;"",INDEX('04_調査結果'!$Z$5:$Z$404,$AG25),INDEX('04_調査結果'!$AM$5:$AM$404,$AG25)))</f>
        <v/>
      </c>
      <c r="P25" s="33">
        <f>IF($AG25="","",IF(INDEX('04_調査結果'!$AA$5:$AA$404,$AG25)&lt;&gt;"",INDEX('04_調査結果'!$AA$5:$AA$404,$AG25),INDEX('04_調査結果'!$AN$5:$AN$404,$AG25)))</f>
        <v/>
      </c>
      <c r="Q25" s="33">
        <f>IF($AG25="","",INDEX('04_調査結果'!$AD$5:$AD$404,$AG25))</f>
        <v/>
      </c>
      <c r="R25">
        <f>IF($AG25="","",INDEX('04_調査結果'!$AO$5:$AO$404,$AG25))</f>
        <v/>
      </c>
      <c r="S25" s="37">
        <f>IF($AG25="","",INDEX('04_調査結果'!$AQ$5:$AQ$404,$AG25))</f>
        <v/>
      </c>
      <c r="T25" s="37">
        <f>IF($AG25="","",INDEX('04_調査結果'!$AR$5:$AR$404,$AG25))</f>
        <v/>
      </c>
      <c r="U25">
        <f>IF($AG25="","",INDEX('04_調査結果'!$N$5:$N$404,$AG25)&amp;"")</f>
        <v/>
      </c>
      <c r="V25">
        <f>IF($AG25="","",INDEX('04_調査結果'!$O$5:$O$404,$AG25))</f>
        <v/>
      </c>
      <c r="W25">
        <f>IF($AG25="","",INDEX('04_調査結果'!$P$5:$P$404,$AG25))</f>
        <v/>
      </c>
      <c r="X25">
        <f>IF($AG25="","",INDEX('04_調査結果'!$Q$5:$Q$404,$AG25))</f>
        <v/>
      </c>
      <c r="Y25">
        <f>IF($AG25="","",INDEX('04_調査結果'!$R$5:$R$404,$AG25))</f>
        <v/>
      </c>
      <c r="Z25">
        <f>IF($AG25="","",INDEX('04_調査結果'!$S$5:$S$404,$AG25))</f>
        <v/>
      </c>
      <c r="AA25">
        <f>IF($AG25="","",INDEX('04_調査結果'!$T$5:$T$404,$AG25))</f>
        <v/>
      </c>
      <c r="AB25">
        <f>IF($AG25="","",INDEX('04_調査結果'!$U$5:$U$404,$AG25))</f>
        <v/>
      </c>
      <c r="AC25">
        <f>IF($AG25="","",INDEX('04_調査結果'!$AF$5:$AF$404,$AG25))</f>
        <v/>
      </c>
      <c r="AD25">
        <f>IF($AG25="","",INDEX('04_調査結果'!$AC$5:$AC$404,$AG25)&amp;"")</f>
        <v/>
      </c>
      <c r="AE25">
        <f>IF($AG25="","",INDEX('04_調査結果'!$V$5:$V$404,$AG25)&amp;"")</f>
        <v/>
      </c>
      <c r="AF25">
        <f>IF($AG25="","",INDEX('04_調査結果'!$X$5:$X$404,$AG25)&amp;"")</f>
        <v/>
      </c>
      <c r="AG25" s="34">
        <f>IFERROR(MATCH(ROW()-4,'04_調査結果'!$AT$5:$AT$404,0),"")</f>
        <v/>
      </c>
    </row>
    <row r="26">
      <c r="A26">
        <f>IF($AG26="","",'01_設定'!$C$4)</f>
        <v/>
      </c>
      <c r="B26">
        <f>IF($AG26="","",'01_設定'!$C$5)</f>
        <v/>
      </c>
      <c r="C26">
        <f>IF($AG26="","",'01_設定'!$C$6)</f>
        <v/>
      </c>
      <c r="D26" s="36">
        <f>IF($AG26="","",'01_設定'!$C$22)</f>
        <v/>
      </c>
      <c r="E26" s="36">
        <f>IF($AG26="","",'01_設定'!$C$23)</f>
        <v/>
      </c>
      <c r="F26">
        <f>IF($AG26="","",'01_設定'!$C$32)</f>
        <v/>
      </c>
      <c r="G26">
        <f>IF($AG26="","",ROW()-4)</f>
        <v/>
      </c>
      <c r="H26">
        <f>IF($AG26="","",INDEX('04_調査結果'!$AJ$5:$AJ$404,$AG26))</f>
        <v/>
      </c>
      <c r="I26">
        <f>IF($AG26="","",INDEX('04_調査結果'!$D$5:$D$404,$AG26)&amp;"")</f>
        <v/>
      </c>
      <c r="J26">
        <f>IF($AG26="","",INDEX('04_調査結果'!$AK$5:$AK$404,$AG26)&amp;"")</f>
        <v/>
      </c>
      <c r="K26">
        <f>IF($AG26="","",IFERROR(INDEX('M1_類型マスタ'!$B$5:$B$19,MATCH(J26,'M1_類型マスタ'!$A$5:$A$19,0)),""))</f>
        <v/>
      </c>
      <c r="L26">
        <f>IF($AG26="","",INDEX('04_調査結果'!$F$5:$F$404,$AG26)&amp;"")</f>
        <v/>
      </c>
      <c r="M26">
        <f>IF($AG26="","",INDEX('04_調査結果'!$G$5:$G$404,$AG26)&amp;"")</f>
        <v/>
      </c>
      <c r="N26">
        <f>IF($AG26="","",INDEX('04_調査結果'!$H$5:$H$404,$AG26)&amp;"")</f>
        <v/>
      </c>
      <c r="O26" s="33">
        <f>IF($AG26="","",IF(INDEX('04_調査結果'!$Z$5:$Z$404,$AG26)&lt;&gt;"",INDEX('04_調査結果'!$Z$5:$Z$404,$AG26),INDEX('04_調査結果'!$AM$5:$AM$404,$AG26)))</f>
        <v/>
      </c>
      <c r="P26" s="33">
        <f>IF($AG26="","",IF(INDEX('04_調査結果'!$AA$5:$AA$404,$AG26)&lt;&gt;"",INDEX('04_調査結果'!$AA$5:$AA$404,$AG26),INDEX('04_調査結果'!$AN$5:$AN$404,$AG26)))</f>
        <v/>
      </c>
      <c r="Q26" s="33">
        <f>IF($AG26="","",INDEX('04_調査結果'!$AD$5:$AD$404,$AG26))</f>
        <v/>
      </c>
      <c r="R26">
        <f>IF($AG26="","",INDEX('04_調査結果'!$AO$5:$AO$404,$AG26))</f>
        <v/>
      </c>
      <c r="S26" s="37">
        <f>IF($AG26="","",INDEX('04_調査結果'!$AQ$5:$AQ$404,$AG26))</f>
        <v/>
      </c>
      <c r="T26" s="37">
        <f>IF($AG26="","",INDEX('04_調査結果'!$AR$5:$AR$404,$AG26))</f>
        <v/>
      </c>
      <c r="U26">
        <f>IF($AG26="","",INDEX('04_調査結果'!$N$5:$N$404,$AG26)&amp;"")</f>
        <v/>
      </c>
      <c r="V26">
        <f>IF($AG26="","",INDEX('04_調査結果'!$O$5:$O$404,$AG26))</f>
        <v/>
      </c>
      <c r="W26">
        <f>IF($AG26="","",INDEX('04_調査結果'!$P$5:$P$404,$AG26))</f>
        <v/>
      </c>
      <c r="X26">
        <f>IF($AG26="","",INDEX('04_調査結果'!$Q$5:$Q$404,$AG26))</f>
        <v/>
      </c>
      <c r="Y26">
        <f>IF($AG26="","",INDEX('04_調査結果'!$R$5:$R$404,$AG26))</f>
        <v/>
      </c>
      <c r="Z26">
        <f>IF($AG26="","",INDEX('04_調査結果'!$S$5:$S$404,$AG26))</f>
        <v/>
      </c>
      <c r="AA26">
        <f>IF($AG26="","",INDEX('04_調査結果'!$T$5:$T$404,$AG26))</f>
        <v/>
      </c>
      <c r="AB26">
        <f>IF($AG26="","",INDEX('04_調査結果'!$U$5:$U$404,$AG26))</f>
        <v/>
      </c>
      <c r="AC26">
        <f>IF($AG26="","",INDEX('04_調査結果'!$AF$5:$AF$404,$AG26))</f>
        <v/>
      </c>
      <c r="AD26">
        <f>IF($AG26="","",INDEX('04_調査結果'!$AC$5:$AC$404,$AG26)&amp;"")</f>
        <v/>
      </c>
      <c r="AE26">
        <f>IF($AG26="","",INDEX('04_調査結果'!$V$5:$V$404,$AG26)&amp;"")</f>
        <v/>
      </c>
      <c r="AF26">
        <f>IF($AG26="","",INDEX('04_調査結果'!$X$5:$X$404,$AG26)&amp;"")</f>
        <v/>
      </c>
      <c r="AG26" s="34">
        <f>IFERROR(MATCH(ROW()-4,'04_調査結果'!$AT$5:$AT$404,0),"")</f>
        <v/>
      </c>
    </row>
    <row r="27">
      <c r="A27">
        <f>IF($AG27="","",'01_設定'!$C$4)</f>
        <v/>
      </c>
      <c r="B27">
        <f>IF($AG27="","",'01_設定'!$C$5)</f>
        <v/>
      </c>
      <c r="C27">
        <f>IF($AG27="","",'01_設定'!$C$6)</f>
        <v/>
      </c>
      <c r="D27" s="36">
        <f>IF($AG27="","",'01_設定'!$C$22)</f>
        <v/>
      </c>
      <c r="E27" s="36">
        <f>IF($AG27="","",'01_設定'!$C$23)</f>
        <v/>
      </c>
      <c r="F27">
        <f>IF($AG27="","",'01_設定'!$C$32)</f>
        <v/>
      </c>
      <c r="G27">
        <f>IF($AG27="","",ROW()-4)</f>
        <v/>
      </c>
      <c r="H27">
        <f>IF($AG27="","",INDEX('04_調査結果'!$AJ$5:$AJ$404,$AG27))</f>
        <v/>
      </c>
      <c r="I27">
        <f>IF($AG27="","",INDEX('04_調査結果'!$D$5:$D$404,$AG27)&amp;"")</f>
        <v/>
      </c>
      <c r="J27">
        <f>IF($AG27="","",INDEX('04_調査結果'!$AK$5:$AK$404,$AG27)&amp;"")</f>
        <v/>
      </c>
      <c r="K27">
        <f>IF($AG27="","",IFERROR(INDEX('M1_類型マスタ'!$B$5:$B$19,MATCH(J27,'M1_類型マスタ'!$A$5:$A$19,0)),""))</f>
        <v/>
      </c>
      <c r="L27">
        <f>IF($AG27="","",INDEX('04_調査結果'!$F$5:$F$404,$AG27)&amp;"")</f>
        <v/>
      </c>
      <c r="M27">
        <f>IF($AG27="","",INDEX('04_調査結果'!$G$5:$G$404,$AG27)&amp;"")</f>
        <v/>
      </c>
      <c r="N27">
        <f>IF($AG27="","",INDEX('04_調査結果'!$H$5:$H$404,$AG27)&amp;"")</f>
        <v/>
      </c>
      <c r="O27" s="33">
        <f>IF($AG27="","",IF(INDEX('04_調査結果'!$Z$5:$Z$404,$AG27)&lt;&gt;"",INDEX('04_調査結果'!$Z$5:$Z$404,$AG27),INDEX('04_調査結果'!$AM$5:$AM$404,$AG27)))</f>
        <v/>
      </c>
      <c r="P27" s="33">
        <f>IF($AG27="","",IF(INDEX('04_調査結果'!$AA$5:$AA$404,$AG27)&lt;&gt;"",INDEX('04_調査結果'!$AA$5:$AA$404,$AG27),INDEX('04_調査結果'!$AN$5:$AN$404,$AG27)))</f>
        <v/>
      </c>
      <c r="Q27" s="33">
        <f>IF($AG27="","",INDEX('04_調査結果'!$AD$5:$AD$404,$AG27))</f>
        <v/>
      </c>
      <c r="R27">
        <f>IF($AG27="","",INDEX('04_調査結果'!$AO$5:$AO$404,$AG27))</f>
        <v/>
      </c>
      <c r="S27" s="37">
        <f>IF($AG27="","",INDEX('04_調査結果'!$AQ$5:$AQ$404,$AG27))</f>
        <v/>
      </c>
      <c r="T27" s="37">
        <f>IF($AG27="","",INDEX('04_調査結果'!$AR$5:$AR$404,$AG27))</f>
        <v/>
      </c>
      <c r="U27">
        <f>IF($AG27="","",INDEX('04_調査結果'!$N$5:$N$404,$AG27)&amp;"")</f>
        <v/>
      </c>
      <c r="V27">
        <f>IF($AG27="","",INDEX('04_調査結果'!$O$5:$O$404,$AG27))</f>
        <v/>
      </c>
      <c r="W27">
        <f>IF($AG27="","",INDEX('04_調査結果'!$P$5:$P$404,$AG27))</f>
        <v/>
      </c>
      <c r="X27">
        <f>IF($AG27="","",INDEX('04_調査結果'!$Q$5:$Q$404,$AG27))</f>
        <v/>
      </c>
      <c r="Y27">
        <f>IF($AG27="","",INDEX('04_調査結果'!$R$5:$R$404,$AG27))</f>
        <v/>
      </c>
      <c r="Z27">
        <f>IF($AG27="","",INDEX('04_調査結果'!$S$5:$S$404,$AG27))</f>
        <v/>
      </c>
      <c r="AA27">
        <f>IF($AG27="","",INDEX('04_調査結果'!$T$5:$T$404,$AG27))</f>
        <v/>
      </c>
      <c r="AB27">
        <f>IF($AG27="","",INDEX('04_調査結果'!$U$5:$U$404,$AG27))</f>
        <v/>
      </c>
      <c r="AC27">
        <f>IF($AG27="","",INDEX('04_調査結果'!$AF$5:$AF$404,$AG27))</f>
        <v/>
      </c>
      <c r="AD27">
        <f>IF($AG27="","",INDEX('04_調査結果'!$AC$5:$AC$404,$AG27)&amp;"")</f>
        <v/>
      </c>
      <c r="AE27">
        <f>IF($AG27="","",INDEX('04_調査結果'!$V$5:$V$404,$AG27)&amp;"")</f>
        <v/>
      </c>
      <c r="AF27">
        <f>IF($AG27="","",INDEX('04_調査結果'!$X$5:$X$404,$AG27)&amp;"")</f>
        <v/>
      </c>
      <c r="AG27" s="34">
        <f>IFERROR(MATCH(ROW()-4,'04_調査結果'!$AT$5:$AT$404,0),"")</f>
        <v/>
      </c>
    </row>
    <row r="28">
      <c r="A28">
        <f>IF($AG28="","",'01_設定'!$C$4)</f>
        <v/>
      </c>
      <c r="B28">
        <f>IF($AG28="","",'01_設定'!$C$5)</f>
        <v/>
      </c>
      <c r="C28">
        <f>IF($AG28="","",'01_設定'!$C$6)</f>
        <v/>
      </c>
      <c r="D28" s="36">
        <f>IF($AG28="","",'01_設定'!$C$22)</f>
        <v/>
      </c>
      <c r="E28" s="36">
        <f>IF($AG28="","",'01_設定'!$C$23)</f>
        <v/>
      </c>
      <c r="F28">
        <f>IF($AG28="","",'01_設定'!$C$32)</f>
        <v/>
      </c>
      <c r="G28">
        <f>IF($AG28="","",ROW()-4)</f>
        <v/>
      </c>
      <c r="H28">
        <f>IF($AG28="","",INDEX('04_調査結果'!$AJ$5:$AJ$404,$AG28))</f>
        <v/>
      </c>
      <c r="I28">
        <f>IF($AG28="","",INDEX('04_調査結果'!$D$5:$D$404,$AG28)&amp;"")</f>
        <v/>
      </c>
      <c r="J28">
        <f>IF($AG28="","",INDEX('04_調査結果'!$AK$5:$AK$404,$AG28)&amp;"")</f>
        <v/>
      </c>
      <c r="K28">
        <f>IF($AG28="","",IFERROR(INDEX('M1_類型マスタ'!$B$5:$B$19,MATCH(J28,'M1_類型マスタ'!$A$5:$A$19,0)),""))</f>
        <v/>
      </c>
      <c r="L28">
        <f>IF($AG28="","",INDEX('04_調査結果'!$F$5:$F$404,$AG28)&amp;"")</f>
        <v/>
      </c>
      <c r="M28">
        <f>IF($AG28="","",INDEX('04_調査結果'!$G$5:$G$404,$AG28)&amp;"")</f>
        <v/>
      </c>
      <c r="N28">
        <f>IF($AG28="","",INDEX('04_調査結果'!$H$5:$H$404,$AG28)&amp;"")</f>
        <v/>
      </c>
      <c r="O28" s="33">
        <f>IF($AG28="","",IF(INDEX('04_調査結果'!$Z$5:$Z$404,$AG28)&lt;&gt;"",INDEX('04_調査結果'!$Z$5:$Z$404,$AG28),INDEX('04_調査結果'!$AM$5:$AM$404,$AG28)))</f>
        <v/>
      </c>
      <c r="P28" s="33">
        <f>IF($AG28="","",IF(INDEX('04_調査結果'!$AA$5:$AA$404,$AG28)&lt;&gt;"",INDEX('04_調査結果'!$AA$5:$AA$404,$AG28),INDEX('04_調査結果'!$AN$5:$AN$404,$AG28)))</f>
        <v/>
      </c>
      <c r="Q28" s="33">
        <f>IF($AG28="","",INDEX('04_調査結果'!$AD$5:$AD$404,$AG28))</f>
        <v/>
      </c>
      <c r="R28">
        <f>IF($AG28="","",INDEX('04_調査結果'!$AO$5:$AO$404,$AG28))</f>
        <v/>
      </c>
      <c r="S28" s="37">
        <f>IF($AG28="","",INDEX('04_調査結果'!$AQ$5:$AQ$404,$AG28))</f>
        <v/>
      </c>
      <c r="T28" s="37">
        <f>IF($AG28="","",INDEX('04_調査結果'!$AR$5:$AR$404,$AG28))</f>
        <v/>
      </c>
      <c r="U28">
        <f>IF($AG28="","",INDEX('04_調査結果'!$N$5:$N$404,$AG28)&amp;"")</f>
        <v/>
      </c>
      <c r="V28">
        <f>IF($AG28="","",INDEX('04_調査結果'!$O$5:$O$404,$AG28))</f>
        <v/>
      </c>
      <c r="W28">
        <f>IF($AG28="","",INDEX('04_調査結果'!$P$5:$P$404,$AG28))</f>
        <v/>
      </c>
      <c r="X28">
        <f>IF($AG28="","",INDEX('04_調査結果'!$Q$5:$Q$404,$AG28))</f>
        <v/>
      </c>
      <c r="Y28">
        <f>IF($AG28="","",INDEX('04_調査結果'!$R$5:$R$404,$AG28))</f>
        <v/>
      </c>
      <c r="Z28">
        <f>IF($AG28="","",INDEX('04_調査結果'!$S$5:$S$404,$AG28))</f>
        <v/>
      </c>
      <c r="AA28">
        <f>IF($AG28="","",INDEX('04_調査結果'!$T$5:$T$404,$AG28))</f>
        <v/>
      </c>
      <c r="AB28">
        <f>IF($AG28="","",INDEX('04_調査結果'!$U$5:$U$404,$AG28))</f>
        <v/>
      </c>
      <c r="AC28">
        <f>IF($AG28="","",INDEX('04_調査結果'!$AF$5:$AF$404,$AG28))</f>
        <v/>
      </c>
      <c r="AD28">
        <f>IF($AG28="","",INDEX('04_調査結果'!$AC$5:$AC$404,$AG28)&amp;"")</f>
        <v/>
      </c>
      <c r="AE28">
        <f>IF($AG28="","",INDEX('04_調査結果'!$V$5:$V$404,$AG28)&amp;"")</f>
        <v/>
      </c>
      <c r="AF28">
        <f>IF($AG28="","",INDEX('04_調査結果'!$X$5:$X$404,$AG28)&amp;"")</f>
        <v/>
      </c>
      <c r="AG28" s="34">
        <f>IFERROR(MATCH(ROW()-4,'04_調査結果'!$AT$5:$AT$404,0),"")</f>
        <v/>
      </c>
    </row>
    <row r="29">
      <c r="A29">
        <f>IF($AG29="","",'01_設定'!$C$4)</f>
        <v/>
      </c>
      <c r="B29">
        <f>IF($AG29="","",'01_設定'!$C$5)</f>
        <v/>
      </c>
      <c r="C29">
        <f>IF($AG29="","",'01_設定'!$C$6)</f>
        <v/>
      </c>
      <c r="D29" s="36">
        <f>IF($AG29="","",'01_設定'!$C$22)</f>
        <v/>
      </c>
      <c r="E29" s="36">
        <f>IF($AG29="","",'01_設定'!$C$23)</f>
        <v/>
      </c>
      <c r="F29">
        <f>IF($AG29="","",'01_設定'!$C$32)</f>
        <v/>
      </c>
      <c r="G29">
        <f>IF($AG29="","",ROW()-4)</f>
        <v/>
      </c>
      <c r="H29">
        <f>IF($AG29="","",INDEX('04_調査結果'!$AJ$5:$AJ$404,$AG29))</f>
        <v/>
      </c>
      <c r="I29">
        <f>IF($AG29="","",INDEX('04_調査結果'!$D$5:$D$404,$AG29)&amp;"")</f>
        <v/>
      </c>
      <c r="J29">
        <f>IF($AG29="","",INDEX('04_調査結果'!$AK$5:$AK$404,$AG29)&amp;"")</f>
        <v/>
      </c>
      <c r="K29">
        <f>IF($AG29="","",IFERROR(INDEX('M1_類型マスタ'!$B$5:$B$19,MATCH(J29,'M1_類型マスタ'!$A$5:$A$19,0)),""))</f>
        <v/>
      </c>
      <c r="L29">
        <f>IF($AG29="","",INDEX('04_調査結果'!$F$5:$F$404,$AG29)&amp;"")</f>
        <v/>
      </c>
      <c r="M29">
        <f>IF($AG29="","",INDEX('04_調査結果'!$G$5:$G$404,$AG29)&amp;"")</f>
        <v/>
      </c>
      <c r="N29">
        <f>IF($AG29="","",INDEX('04_調査結果'!$H$5:$H$404,$AG29)&amp;"")</f>
        <v/>
      </c>
      <c r="O29" s="33">
        <f>IF($AG29="","",IF(INDEX('04_調査結果'!$Z$5:$Z$404,$AG29)&lt;&gt;"",INDEX('04_調査結果'!$Z$5:$Z$404,$AG29),INDEX('04_調査結果'!$AM$5:$AM$404,$AG29)))</f>
        <v/>
      </c>
      <c r="P29" s="33">
        <f>IF($AG29="","",IF(INDEX('04_調査結果'!$AA$5:$AA$404,$AG29)&lt;&gt;"",INDEX('04_調査結果'!$AA$5:$AA$404,$AG29),INDEX('04_調査結果'!$AN$5:$AN$404,$AG29)))</f>
        <v/>
      </c>
      <c r="Q29" s="33">
        <f>IF($AG29="","",INDEX('04_調査結果'!$AD$5:$AD$404,$AG29))</f>
        <v/>
      </c>
      <c r="R29">
        <f>IF($AG29="","",INDEX('04_調査結果'!$AO$5:$AO$404,$AG29))</f>
        <v/>
      </c>
      <c r="S29" s="37">
        <f>IF($AG29="","",INDEX('04_調査結果'!$AQ$5:$AQ$404,$AG29))</f>
        <v/>
      </c>
      <c r="T29" s="37">
        <f>IF($AG29="","",INDEX('04_調査結果'!$AR$5:$AR$404,$AG29))</f>
        <v/>
      </c>
      <c r="U29">
        <f>IF($AG29="","",INDEX('04_調査結果'!$N$5:$N$404,$AG29)&amp;"")</f>
        <v/>
      </c>
      <c r="V29">
        <f>IF($AG29="","",INDEX('04_調査結果'!$O$5:$O$404,$AG29))</f>
        <v/>
      </c>
      <c r="W29">
        <f>IF($AG29="","",INDEX('04_調査結果'!$P$5:$P$404,$AG29))</f>
        <v/>
      </c>
      <c r="X29">
        <f>IF($AG29="","",INDEX('04_調査結果'!$Q$5:$Q$404,$AG29))</f>
        <v/>
      </c>
      <c r="Y29">
        <f>IF($AG29="","",INDEX('04_調査結果'!$R$5:$R$404,$AG29))</f>
        <v/>
      </c>
      <c r="Z29">
        <f>IF($AG29="","",INDEX('04_調査結果'!$S$5:$S$404,$AG29))</f>
        <v/>
      </c>
      <c r="AA29">
        <f>IF($AG29="","",INDEX('04_調査結果'!$T$5:$T$404,$AG29))</f>
        <v/>
      </c>
      <c r="AB29">
        <f>IF($AG29="","",INDEX('04_調査結果'!$U$5:$U$404,$AG29))</f>
        <v/>
      </c>
      <c r="AC29">
        <f>IF($AG29="","",INDEX('04_調査結果'!$AF$5:$AF$404,$AG29))</f>
        <v/>
      </c>
      <c r="AD29">
        <f>IF($AG29="","",INDEX('04_調査結果'!$AC$5:$AC$404,$AG29)&amp;"")</f>
        <v/>
      </c>
      <c r="AE29">
        <f>IF($AG29="","",INDEX('04_調査結果'!$V$5:$V$404,$AG29)&amp;"")</f>
        <v/>
      </c>
      <c r="AF29">
        <f>IF($AG29="","",INDEX('04_調査結果'!$X$5:$X$404,$AG29)&amp;"")</f>
        <v/>
      </c>
      <c r="AG29" s="34">
        <f>IFERROR(MATCH(ROW()-4,'04_調査結果'!$AT$5:$AT$404,0),"")</f>
        <v/>
      </c>
    </row>
    <row r="30">
      <c r="A30">
        <f>IF($AG30="","",'01_設定'!$C$4)</f>
        <v/>
      </c>
      <c r="B30">
        <f>IF($AG30="","",'01_設定'!$C$5)</f>
        <v/>
      </c>
      <c r="C30">
        <f>IF($AG30="","",'01_設定'!$C$6)</f>
        <v/>
      </c>
      <c r="D30" s="36">
        <f>IF($AG30="","",'01_設定'!$C$22)</f>
        <v/>
      </c>
      <c r="E30" s="36">
        <f>IF($AG30="","",'01_設定'!$C$23)</f>
        <v/>
      </c>
      <c r="F30">
        <f>IF($AG30="","",'01_設定'!$C$32)</f>
        <v/>
      </c>
      <c r="G30">
        <f>IF($AG30="","",ROW()-4)</f>
        <v/>
      </c>
      <c r="H30">
        <f>IF($AG30="","",INDEX('04_調査結果'!$AJ$5:$AJ$404,$AG30))</f>
        <v/>
      </c>
      <c r="I30">
        <f>IF($AG30="","",INDEX('04_調査結果'!$D$5:$D$404,$AG30)&amp;"")</f>
        <v/>
      </c>
      <c r="J30">
        <f>IF($AG30="","",INDEX('04_調査結果'!$AK$5:$AK$404,$AG30)&amp;"")</f>
        <v/>
      </c>
      <c r="K30">
        <f>IF($AG30="","",IFERROR(INDEX('M1_類型マスタ'!$B$5:$B$19,MATCH(J30,'M1_類型マスタ'!$A$5:$A$19,0)),""))</f>
        <v/>
      </c>
      <c r="L30">
        <f>IF($AG30="","",INDEX('04_調査結果'!$F$5:$F$404,$AG30)&amp;"")</f>
        <v/>
      </c>
      <c r="M30">
        <f>IF($AG30="","",INDEX('04_調査結果'!$G$5:$G$404,$AG30)&amp;"")</f>
        <v/>
      </c>
      <c r="N30">
        <f>IF($AG30="","",INDEX('04_調査結果'!$H$5:$H$404,$AG30)&amp;"")</f>
        <v/>
      </c>
      <c r="O30" s="33">
        <f>IF($AG30="","",IF(INDEX('04_調査結果'!$Z$5:$Z$404,$AG30)&lt;&gt;"",INDEX('04_調査結果'!$Z$5:$Z$404,$AG30),INDEX('04_調査結果'!$AM$5:$AM$404,$AG30)))</f>
        <v/>
      </c>
      <c r="P30" s="33">
        <f>IF($AG30="","",IF(INDEX('04_調査結果'!$AA$5:$AA$404,$AG30)&lt;&gt;"",INDEX('04_調査結果'!$AA$5:$AA$404,$AG30),INDEX('04_調査結果'!$AN$5:$AN$404,$AG30)))</f>
        <v/>
      </c>
      <c r="Q30" s="33">
        <f>IF($AG30="","",INDEX('04_調査結果'!$AD$5:$AD$404,$AG30))</f>
        <v/>
      </c>
      <c r="R30">
        <f>IF($AG30="","",INDEX('04_調査結果'!$AO$5:$AO$404,$AG30))</f>
        <v/>
      </c>
      <c r="S30" s="37">
        <f>IF($AG30="","",INDEX('04_調査結果'!$AQ$5:$AQ$404,$AG30))</f>
        <v/>
      </c>
      <c r="T30" s="37">
        <f>IF($AG30="","",INDEX('04_調査結果'!$AR$5:$AR$404,$AG30))</f>
        <v/>
      </c>
      <c r="U30">
        <f>IF($AG30="","",INDEX('04_調査結果'!$N$5:$N$404,$AG30)&amp;"")</f>
        <v/>
      </c>
      <c r="V30">
        <f>IF($AG30="","",INDEX('04_調査結果'!$O$5:$O$404,$AG30))</f>
        <v/>
      </c>
      <c r="W30">
        <f>IF($AG30="","",INDEX('04_調査結果'!$P$5:$P$404,$AG30))</f>
        <v/>
      </c>
      <c r="X30">
        <f>IF($AG30="","",INDEX('04_調査結果'!$Q$5:$Q$404,$AG30))</f>
        <v/>
      </c>
      <c r="Y30">
        <f>IF($AG30="","",INDEX('04_調査結果'!$R$5:$R$404,$AG30))</f>
        <v/>
      </c>
      <c r="Z30">
        <f>IF($AG30="","",INDEX('04_調査結果'!$S$5:$S$404,$AG30))</f>
        <v/>
      </c>
      <c r="AA30">
        <f>IF($AG30="","",INDEX('04_調査結果'!$T$5:$T$404,$AG30))</f>
        <v/>
      </c>
      <c r="AB30">
        <f>IF($AG30="","",INDEX('04_調査結果'!$U$5:$U$404,$AG30))</f>
        <v/>
      </c>
      <c r="AC30">
        <f>IF($AG30="","",INDEX('04_調査結果'!$AF$5:$AF$404,$AG30))</f>
        <v/>
      </c>
      <c r="AD30">
        <f>IF($AG30="","",INDEX('04_調査結果'!$AC$5:$AC$404,$AG30)&amp;"")</f>
        <v/>
      </c>
      <c r="AE30">
        <f>IF($AG30="","",INDEX('04_調査結果'!$V$5:$V$404,$AG30)&amp;"")</f>
        <v/>
      </c>
      <c r="AF30">
        <f>IF($AG30="","",INDEX('04_調査結果'!$X$5:$X$404,$AG30)&amp;"")</f>
        <v/>
      </c>
      <c r="AG30" s="34">
        <f>IFERROR(MATCH(ROW()-4,'04_調査結果'!$AT$5:$AT$404,0),"")</f>
        <v/>
      </c>
    </row>
    <row r="31">
      <c r="A31">
        <f>IF($AG31="","",'01_設定'!$C$4)</f>
        <v/>
      </c>
      <c r="B31">
        <f>IF($AG31="","",'01_設定'!$C$5)</f>
        <v/>
      </c>
      <c r="C31">
        <f>IF($AG31="","",'01_設定'!$C$6)</f>
        <v/>
      </c>
      <c r="D31" s="36">
        <f>IF($AG31="","",'01_設定'!$C$22)</f>
        <v/>
      </c>
      <c r="E31" s="36">
        <f>IF($AG31="","",'01_設定'!$C$23)</f>
        <v/>
      </c>
      <c r="F31">
        <f>IF($AG31="","",'01_設定'!$C$32)</f>
        <v/>
      </c>
      <c r="G31">
        <f>IF($AG31="","",ROW()-4)</f>
        <v/>
      </c>
      <c r="H31">
        <f>IF($AG31="","",INDEX('04_調査結果'!$AJ$5:$AJ$404,$AG31))</f>
        <v/>
      </c>
      <c r="I31">
        <f>IF($AG31="","",INDEX('04_調査結果'!$D$5:$D$404,$AG31)&amp;"")</f>
        <v/>
      </c>
      <c r="J31">
        <f>IF($AG31="","",INDEX('04_調査結果'!$AK$5:$AK$404,$AG31)&amp;"")</f>
        <v/>
      </c>
      <c r="K31">
        <f>IF($AG31="","",IFERROR(INDEX('M1_類型マスタ'!$B$5:$B$19,MATCH(J31,'M1_類型マスタ'!$A$5:$A$19,0)),""))</f>
        <v/>
      </c>
      <c r="L31">
        <f>IF($AG31="","",INDEX('04_調査結果'!$F$5:$F$404,$AG31)&amp;"")</f>
        <v/>
      </c>
      <c r="M31">
        <f>IF($AG31="","",INDEX('04_調査結果'!$G$5:$G$404,$AG31)&amp;"")</f>
        <v/>
      </c>
      <c r="N31">
        <f>IF($AG31="","",INDEX('04_調査結果'!$H$5:$H$404,$AG31)&amp;"")</f>
        <v/>
      </c>
      <c r="O31" s="33">
        <f>IF($AG31="","",IF(INDEX('04_調査結果'!$Z$5:$Z$404,$AG31)&lt;&gt;"",INDEX('04_調査結果'!$Z$5:$Z$404,$AG31),INDEX('04_調査結果'!$AM$5:$AM$404,$AG31)))</f>
        <v/>
      </c>
      <c r="P31" s="33">
        <f>IF($AG31="","",IF(INDEX('04_調査結果'!$AA$5:$AA$404,$AG31)&lt;&gt;"",INDEX('04_調査結果'!$AA$5:$AA$404,$AG31),INDEX('04_調査結果'!$AN$5:$AN$404,$AG31)))</f>
        <v/>
      </c>
      <c r="Q31" s="33">
        <f>IF($AG31="","",INDEX('04_調査結果'!$AD$5:$AD$404,$AG31))</f>
        <v/>
      </c>
      <c r="R31">
        <f>IF($AG31="","",INDEX('04_調査結果'!$AO$5:$AO$404,$AG31))</f>
        <v/>
      </c>
      <c r="S31" s="37">
        <f>IF($AG31="","",INDEX('04_調査結果'!$AQ$5:$AQ$404,$AG31))</f>
        <v/>
      </c>
      <c r="T31" s="37">
        <f>IF($AG31="","",INDEX('04_調査結果'!$AR$5:$AR$404,$AG31))</f>
        <v/>
      </c>
      <c r="U31">
        <f>IF($AG31="","",INDEX('04_調査結果'!$N$5:$N$404,$AG31)&amp;"")</f>
        <v/>
      </c>
      <c r="V31">
        <f>IF($AG31="","",INDEX('04_調査結果'!$O$5:$O$404,$AG31))</f>
        <v/>
      </c>
      <c r="W31">
        <f>IF($AG31="","",INDEX('04_調査結果'!$P$5:$P$404,$AG31))</f>
        <v/>
      </c>
      <c r="X31">
        <f>IF($AG31="","",INDEX('04_調査結果'!$Q$5:$Q$404,$AG31))</f>
        <v/>
      </c>
      <c r="Y31">
        <f>IF($AG31="","",INDEX('04_調査結果'!$R$5:$R$404,$AG31))</f>
        <v/>
      </c>
      <c r="Z31">
        <f>IF($AG31="","",INDEX('04_調査結果'!$S$5:$S$404,$AG31))</f>
        <v/>
      </c>
      <c r="AA31">
        <f>IF($AG31="","",INDEX('04_調査結果'!$T$5:$T$404,$AG31))</f>
        <v/>
      </c>
      <c r="AB31">
        <f>IF($AG31="","",INDEX('04_調査結果'!$U$5:$U$404,$AG31))</f>
        <v/>
      </c>
      <c r="AC31">
        <f>IF($AG31="","",INDEX('04_調査結果'!$AF$5:$AF$404,$AG31))</f>
        <v/>
      </c>
      <c r="AD31">
        <f>IF($AG31="","",INDEX('04_調査結果'!$AC$5:$AC$404,$AG31)&amp;"")</f>
        <v/>
      </c>
      <c r="AE31">
        <f>IF($AG31="","",INDEX('04_調査結果'!$V$5:$V$404,$AG31)&amp;"")</f>
        <v/>
      </c>
      <c r="AF31">
        <f>IF($AG31="","",INDEX('04_調査結果'!$X$5:$X$404,$AG31)&amp;"")</f>
        <v/>
      </c>
      <c r="AG31" s="34">
        <f>IFERROR(MATCH(ROW()-4,'04_調査結果'!$AT$5:$AT$404,0),"")</f>
        <v/>
      </c>
    </row>
    <row r="32">
      <c r="A32">
        <f>IF($AG32="","",'01_設定'!$C$4)</f>
        <v/>
      </c>
      <c r="B32">
        <f>IF($AG32="","",'01_設定'!$C$5)</f>
        <v/>
      </c>
      <c r="C32">
        <f>IF($AG32="","",'01_設定'!$C$6)</f>
        <v/>
      </c>
      <c r="D32" s="36">
        <f>IF($AG32="","",'01_設定'!$C$22)</f>
        <v/>
      </c>
      <c r="E32" s="36">
        <f>IF($AG32="","",'01_設定'!$C$23)</f>
        <v/>
      </c>
      <c r="F32">
        <f>IF($AG32="","",'01_設定'!$C$32)</f>
        <v/>
      </c>
      <c r="G32">
        <f>IF($AG32="","",ROW()-4)</f>
        <v/>
      </c>
      <c r="H32">
        <f>IF($AG32="","",INDEX('04_調査結果'!$AJ$5:$AJ$404,$AG32))</f>
        <v/>
      </c>
      <c r="I32">
        <f>IF($AG32="","",INDEX('04_調査結果'!$D$5:$D$404,$AG32)&amp;"")</f>
        <v/>
      </c>
      <c r="J32">
        <f>IF($AG32="","",INDEX('04_調査結果'!$AK$5:$AK$404,$AG32)&amp;"")</f>
        <v/>
      </c>
      <c r="K32">
        <f>IF($AG32="","",IFERROR(INDEX('M1_類型マスタ'!$B$5:$B$19,MATCH(J32,'M1_類型マスタ'!$A$5:$A$19,0)),""))</f>
        <v/>
      </c>
      <c r="L32">
        <f>IF($AG32="","",INDEX('04_調査結果'!$F$5:$F$404,$AG32)&amp;"")</f>
        <v/>
      </c>
      <c r="M32">
        <f>IF($AG32="","",INDEX('04_調査結果'!$G$5:$G$404,$AG32)&amp;"")</f>
        <v/>
      </c>
      <c r="N32">
        <f>IF($AG32="","",INDEX('04_調査結果'!$H$5:$H$404,$AG32)&amp;"")</f>
        <v/>
      </c>
      <c r="O32" s="33">
        <f>IF($AG32="","",IF(INDEX('04_調査結果'!$Z$5:$Z$404,$AG32)&lt;&gt;"",INDEX('04_調査結果'!$Z$5:$Z$404,$AG32),INDEX('04_調査結果'!$AM$5:$AM$404,$AG32)))</f>
        <v/>
      </c>
      <c r="P32" s="33">
        <f>IF($AG32="","",IF(INDEX('04_調査結果'!$AA$5:$AA$404,$AG32)&lt;&gt;"",INDEX('04_調査結果'!$AA$5:$AA$404,$AG32),INDEX('04_調査結果'!$AN$5:$AN$404,$AG32)))</f>
        <v/>
      </c>
      <c r="Q32" s="33">
        <f>IF($AG32="","",INDEX('04_調査結果'!$AD$5:$AD$404,$AG32))</f>
        <v/>
      </c>
      <c r="R32">
        <f>IF($AG32="","",INDEX('04_調査結果'!$AO$5:$AO$404,$AG32))</f>
        <v/>
      </c>
      <c r="S32" s="37">
        <f>IF($AG32="","",INDEX('04_調査結果'!$AQ$5:$AQ$404,$AG32))</f>
        <v/>
      </c>
      <c r="T32" s="37">
        <f>IF($AG32="","",INDEX('04_調査結果'!$AR$5:$AR$404,$AG32))</f>
        <v/>
      </c>
      <c r="U32">
        <f>IF($AG32="","",INDEX('04_調査結果'!$N$5:$N$404,$AG32)&amp;"")</f>
        <v/>
      </c>
      <c r="V32">
        <f>IF($AG32="","",INDEX('04_調査結果'!$O$5:$O$404,$AG32))</f>
        <v/>
      </c>
      <c r="W32">
        <f>IF($AG32="","",INDEX('04_調査結果'!$P$5:$P$404,$AG32))</f>
        <v/>
      </c>
      <c r="X32">
        <f>IF($AG32="","",INDEX('04_調査結果'!$Q$5:$Q$404,$AG32))</f>
        <v/>
      </c>
      <c r="Y32">
        <f>IF($AG32="","",INDEX('04_調査結果'!$R$5:$R$404,$AG32))</f>
        <v/>
      </c>
      <c r="Z32">
        <f>IF($AG32="","",INDEX('04_調査結果'!$S$5:$S$404,$AG32))</f>
        <v/>
      </c>
      <c r="AA32">
        <f>IF($AG32="","",INDEX('04_調査結果'!$T$5:$T$404,$AG32))</f>
        <v/>
      </c>
      <c r="AB32">
        <f>IF($AG32="","",INDEX('04_調査結果'!$U$5:$U$404,$AG32))</f>
        <v/>
      </c>
      <c r="AC32">
        <f>IF($AG32="","",INDEX('04_調査結果'!$AF$5:$AF$404,$AG32))</f>
        <v/>
      </c>
      <c r="AD32">
        <f>IF($AG32="","",INDEX('04_調査結果'!$AC$5:$AC$404,$AG32)&amp;"")</f>
        <v/>
      </c>
      <c r="AE32">
        <f>IF($AG32="","",INDEX('04_調査結果'!$V$5:$V$404,$AG32)&amp;"")</f>
        <v/>
      </c>
      <c r="AF32">
        <f>IF($AG32="","",INDEX('04_調査結果'!$X$5:$X$404,$AG32)&amp;"")</f>
        <v/>
      </c>
      <c r="AG32" s="34">
        <f>IFERROR(MATCH(ROW()-4,'04_調査結果'!$AT$5:$AT$404,0),"")</f>
        <v/>
      </c>
    </row>
    <row r="33">
      <c r="A33">
        <f>IF($AG33="","",'01_設定'!$C$4)</f>
        <v/>
      </c>
      <c r="B33">
        <f>IF($AG33="","",'01_設定'!$C$5)</f>
        <v/>
      </c>
      <c r="C33">
        <f>IF($AG33="","",'01_設定'!$C$6)</f>
        <v/>
      </c>
      <c r="D33" s="36">
        <f>IF($AG33="","",'01_設定'!$C$22)</f>
        <v/>
      </c>
      <c r="E33" s="36">
        <f>IF($AG33="","",'01_設定'!$C$23)</f>
        <v/>
      </c>
      <c r="F33">
        <f>IF($AG33="","",'01_設定'!$C$32)</f>
        <v/>
      </c>
      <c r="G33">
        <f>IF($AG33="","",ROW()-4)</f>
        <v/>
      </c>
      <c r="H33">
        <f>IF($AG33="","",INDEX('04_調査結果'!$AJ$5:$AJ$404,$AG33))</f>
        <v/>
      </c>
      <c r="I33">
        <f>IF($AG33="","",INDEX('04_調査結果'!$D$5:$D$404,$AG33)&amp;"")</f>
        <v/>
      </c>
      <c r="J33">
        <f>IF($AG33="","",INDEX('04_調査結果'!$AK$5:$AK$404,$AG33)&amp;"")</f>
        <v/>
      </c>
      <c r="K33">
        <f>IF($AG33="","",IFERROR(INDEX('M1_類型マスタ'!$B$5:$B$19,MATCH(J33,'M1_類型マスタ'!$A$5:$A$19,0)),""))</f>
        <v/>
      </c>
      <c r="L33">
        <f>IF($AG33="","",INDEX('04_調査結果'!$F$5:$F$404,$AG33)&amp;"")</f>
        <v/>
      </c>
      <c r="M33">
        <f>IF($AG33="","",INDEX('04_調査結果'!$G$5:$G$404,$AG33)&amp;"")</f>
        <v/>
      </c>
      <c r="N33">
        <f>IF($AG33="","",INDEX('04_調査結果'!$H$5:$H$404,$AG33)&amp;"")</f>
        <v/>
      </c>
      <c r="O33" s="33">
        <f>IF($AG33="","",IF(INDEX('04_調査結果'!$Z$5:$Z$404,$AG33)&lt;&gt;"",INDEX('04_調査結果'!$Z$5:$Z$404,$AG33),INDEX('04_調査結果'!$AM$5:$AM$404,$AG33)))</f>
        <v/>
      </c>
      <c r="P33" s="33">
        <f>IF($AG33="","",IF(INDEX('04_調査結果'!$AA$5:$AA$404,$AG33)&lt;&gt;"",INDEX('04_調査結果'!$AA$5:$AA$404,$AG33),INDEX('04_調査結果'!$AN$5:$AN$404,$AG33)))</f>
        <v/>
      </c>
      <c r="Q33" s="33">
        <f>IF($AG33="","",INDEX('04_調査結果'!$AD$5:$AD$404,$AG33))</f>
        <v/>
      </c>
      <c r="R33">
        <f>IF($AG33="","",INDEX('04_調査結果'!$AO$5:$AO$404,$AG33))</f>
        <v/>
      </c>
      <c r="S33" s="37">
        <f>IF($AG33="","",INDEX('04_調査結果'!$AQ$5:$AQ$404,$AG33))</f>
        <v/>
      </c>
      <c r="T33" s="37">
        <f>IF($AG33="","",INDEX('04_調査結果'!$AR$5:$AR$404,$AG33))</f>
        <v/>
      </c>
      <c r="U33">
        <f>IF($AG33="","",INDEX('04_調査結果'!$N$5:$N$404,$AG33)&amp;"")</f>
        <v/>
      </c>
      <c r="V33">
        <f>IF($AG33="","",INDEX('04_調査結果'!$O$5:$O$404,$AG33))</f>
        <v/>
      </c>
      <c r="W33">
        <f>IF($AG33="","",INDEX('04_調査結果'!$P$5:$P$404,$AG33))</f>
        <v/>
      </c>
      <c r="X33">
        <f>IF($AG33="","",INDEX('04_調査結果'!$Q$5:$Q$404,$AG33))</f>
        <v/>
      </c>
      <c r="Y33">
        <f>IF($AG33="","",INDEX('04_調査結果'!$R$5:$R$404,$AG33))</f>
        <v/>
      </c>
      <c r="Z33">
        <f>IF($AG33="","",INDEX('04_調査結果'!$S$5:$S$404,$AG33))</f>
        <v/>
      </c>
      <c r="AA33">
        <f>IF($AG33="","",INDEX('04_調査結果'!$T$5:$T$404,$AG33))</f>
        <v/>
      </c>
      <c r="AB33">
        <f>IF($AG33="","",INDEX('04_調査結果'!$U$5:$U$404,$AG33))</f>
        <v/>
      </c>
      <c r="AC33">
        <f>IF($AG33="","",INDEX('04_調査結果'!$AF$5:$AF$404,$AG33))</f>
        <v/>
      </c>
      <c r="AD33">
        <f>IF($AG33="","",INDEX('04_調査結果'!$AC$5:$AC$404,$AG33)&amp;"")</f>
        <v/>
      </c>
      <c r="AE33">
        <f>IF($AG33="","",INDEX('04_調査結果'!$V$5:$V$404,$AG33)&amp;"")</f>
        <v/>
      </c>
      <c r="AF33">
        <f>IF($AG33="","",INDEX('04_調査結果'!$X$5:$X$404,$AG33)&amp;"")</f>
        <v/>
      </c>
      <c r="AG33" s="34">
        <f>IFERROR(MATCH(ROW()-4,'04_調査結果'!$AT$5:$AT$404,0),"")</f>
        <v/>
      </c>
    </row>
    <row r="34">
      <c r="A34">
        <f>IF($AG34="","",'01_設定'!$C$4)</f>
        <v/>
      </c>
      <c r="B34">
        <f>IF($AG34="","",'01_設定'!$C$5)</f>
        <v/>
      </c>
      <c r="C34">
        <f>IF($AG34="","",'01_設定'!$C$6)</f>
        <v/>
      </c>
      <c r="D34" s="36">
        <f>IF($AG34="","",'01_設定'!$C$22)</f>
        <v/>
      </c>
      <c r="E34" s="36">
        <f>IF($AG34="","",'01_設定'!$C$23)</f>
        <v/>
      </c>
      <c r="F34">
        <f>IF($AG34="","",'01_設定'!$C$32)</f>
        <v/>
      </c>
      <c r="G34">
        <f>IF($AG34="","",ROW()-4)</f>
        <v/>
      </c>
      <c r="H34">
        <f>IF($AG34="","",INDEX('04_調査結果'!$AJ$5:$AJ$404,$AG34))</f>
        <v/>
      </c>
      <c r="I34">
        <f>IF($AG34="","",INDEX('04_調査結果'!$D$5:$D$404,$AG34)&amp;"")</f>
        <v/>
      </c>
      <c r="J34">
        <f>IF($AG34="","",INDEX('04_調査結果'!$AK$5:$AK$404,$AG34)&amp;"")</f>
        <v/>
      </c>
      <c r="K34">
        <f>IF($AG34="","",IFERROR(INDEX('M1_類型マスタ'!$B$5:$B$19,MATCH(J34,'M1_類型マスタ'!$A$5:$A$19,0)),""))</f>
        <v/>
      </c>
      <c r="L34">
        <f>IF($AG34="","",INDEX('04_調査結果'!$F$5:$F$404,$AG34)&amp;"")</f>
        <v/>
      </c>
      <c r="M34">
        <f>IF($AG34="","",INDEX('04_調査結果'!$G$5:$G$404,$AG34)&amp;"")</f>
        <v/>
      </c>
      <c r="N34">
        <f>IF($AG34="","",INDEX('04_調査結果'!$H$5:$H$404,$AG34)&amp;"")</f>
        <v/>
      </c>
      <c r="O34" s="33">
        <f>IF($AG34="","",IF(INDEX('04_調査結果'!$Z$5:$Z$404,$AG34)&lt;&gt;"",INDEX('04_調査結果'!$Z$5:$Z$404,$AG34),INDEX('04_調査結果'!$AM$5:$AM$404,$AG34)))</f>
        <v/>
      </c>
      <c r="P34" s="33">
        <f>IF($AG34="","",IF(INDEX('04_調査結果'!$AA$5:$AA$404,$AG34)&lt;&gt;"",INDEX('04_調査結果'!$AA$5:$AA$404,$AG34),INDEX('04_調査結果'!$AN$5:$AN$404,$AG34)))</f>
        <v/>
      </c>
      <c r="Q34" s="33">
        <f>IF($AG34="","",INDEX('04_調査結果'!$AD$5:$AD$404,$AG34))</f>
        <v/>
      </c>
      <c r="R34">
        <f>IF($AG34="","",INDEX('04_調査結果'!$AO$5:$AO$404,$AG34))</f>
        <v/>
      </c>
      <c r="S34" s="37">
        <f>IF($AG34="","",INDEX('04_調査結果'!$AQ$5:$AQ$404,$AG34))</f>
        <v/>
      </c>
      <c r="T34" s="37">
        <f>IF($AG34="","",INDEX('04_調査結果'!$AR$5:$AR$404,$AG34))</f>
        <v/>
      </c>
      <c r="U34">
        <f>IF($AG34="","",INDEX('04_調査結果'!$N$5:$N$404,$AG34)&amp;"")</f>
        <v/>
      </c>
      <c r="V34">
        <f>IF($AG34="","",INDEX('04_調査結果'!$O$5:$O$404,$AG34))</f>
        <v/>
      </c>
      <c r="W34">
        <f>IF($AG34="","",INDEX('04_調査結果'!$P$5:$P$404,$AG34))</f>
        <v/>
      </c>
      <c r="X34">
        <f>IF($AG34="","",INDEX('04_調査結果'!$Q$5:$Q$404,$AG34))</f>
        <v/>
      </c>
      <c r="Y34">
        <f>IF($AG34="","",INDEX('04_調査結果'!$R$5:$R$404,$AG34))</f>
        <v/>
      </c>
      <c r="Z34">
        <f>IF($AG34="","",INDEX('04_調査結果'!$S$5:$S$404,$AG34))</f>
        <v/>
      </c>
      <c r="AA34">
        <f>IF($AG34="","",INDEX('04_調査結果'!$T$5:$T$404,$AG34))</f>
        <v/>
      </c>
      <c r="AB34">
        <f>IF($AG34="","",INDEX('04_調査結果'!$U$5:$U$404,$AG34))</f>
        <v/>
      </c>
      <c r="AC34">
        <f>IF($AG34="","",INDEX('04_調査結果'!$AF$5:$AF$404,$AG34))</f>
        <v/>
      </c>
      <c r="AD34">
        <f>IF($AG34="","",INDEX('04_調査結果'!$AC$5:$AC$404,$AG34)&amp;"")</f>
        <v/>
      </c>
      <c r="AE34">
        <f>IF($AG34="","",INDEX('04_調査結果'!$V$5:$V$404,$AG34)&amp;"")</f>
        <v/>
      </c>
      <c r="AF34">
        <f>IF($AG34="","",INDEX('04_調査結果'!$X$5:$X$404,$AG34)&amp;"")</f>
        <v/>
      </c>
      <c r="AG34" s="34">
        <f>IFERROR(MATCH(ROW()-4,'04_調査結果'!$AT$5:$AT$404,0),"")</f>
        <v/>
      </c>
    </row>
    <row r="35">
      <c r="A35">
        <f>IF($AG35="","",'01_設定'!$C$4)</f>
        <v/>
      </c>
      <c r="B35">
        <f>IF($AG35="","",'01_設定'!$C$5)</f>
        <v/>
      </c>
      <c r="C35">
        <f>IF($AG35="","",'01_設定'!$C$6)</f>
        <v/>
      </c>
      <c r="D35" s="36">
        <f>IF($AG35="","",'01_設定'!$C$22)</f>
        <v/>
      </c>
      <c r="E35" s="36">
        <f>IF($AG35="","",'01_設定'!$C$23)</f>
        <v/>
      </c>
      <c r="F35">
        <f>IF($AG35="","",'01_設定'!$C$32)</f>
        <v/>
      </c>
      <c r="G35">
        <f>IF($AG35="","",ROW()-4)</f>
        <v/>
      </c>
      <c r="H35">
        <f>IF($AG35="","",INDEX('04_調査結果'!$AJ$5:$AJ$404,$AG35))</f>
        <v/>
      </c>
      <c r="I35">
        <f>IF($AG35="","",INDEX('04_調査結果'!$D$5:$D$404,$AG35)&amp;"")</f>
        <v/>
      </c>
      <c r="J35">
        <f>IF($AG35="","",INDEX('04_調査結果'!$AK$5:$AK$404,$AG35)&amp;"")</f>
        <v/>
      </c>
      <c r="K35">
        <f>IF($AG35="","",IFERROR(INDEX('M1_類型マスタ'!$B$5:$B$19,MATCH(J35,'M1_類型マスタ'!$A$5:$A$19,0)),""))</f>
        <v/>
      </c>
      <c r="L35">
        <f>IF($AG35="","",INDEX('04_調査結果'!$F$5:$F$404,$AG35)&amp;"")</f>
        <v/>
      </c>
      <c r="M35">
        <f>IF($AG35="","",INDEX('04_調査結果'!$G$5:$G$404,$AG35)&amp;"")</f>
        <v/>
      </c>
      <c r="N35">
        <f>IF($AG35="","",INDEX('04_調査結果'!$H$5:$H$404,$AG35)&amp;"")</f>
        <v/>
      </c>
      <c r="O35" s="33">
        <f>IF($AG35="","",IF(INDEX('04_調査結果'!$Z$5:$Z$404,$AG35)&lt;&gt;"",INDEX('04_調査結果'!$Z$5:$Z$404,$AG35),INDEX('04_調査結果'!$AM$5:$AM$404,$AG35)))</f>
        <v/>
      </c>
      <c r="P35" s="33">
        <f>IF($AG35="","",IF(INDEX('04_調査結果'!$AA$5:$AA$404,$AG35)&lt;&gt;"",INDEX('04_調査結果'!$AA$5:$AA$404,$AG35),INDEX('04_調査結果'!$AN$5:$AN$404,$AG35)))</f>
        <v/>
      </c>
      <c r="Q35" s="33">
        <f>IF($AG35="","",INDEX('04_調査結果'!$AD$5:$AD$404,$AG35))</f>
        <v/>
      </c>
      <c r="R35">
        <f>IF($AG35="","",INDEX('04_調査結果'!$AO$5:$AO$404,$AG35))</f>
        <v/>
      </c>
      <c r="S35" s="37">
        <f>IF($AG35="","",INDEX('04_調査結果'!$AQ$5:$AQ$404,$AG35))</f>
        <v/>
      </c>
      <c r="T35" s="37">
        <f>IF($AG35="","",INDEX('04_調査結果'!$AR$5:$AR$404,$AG35))</f>
        <v/>
      </c>
      <c r="U35">
        <f>IF($AG35="","",INDEX('04_調査結果'!$N$5:$N$404,$AG35)&amp;"")</f>
        <v/>
      </c>
      <c r="V35">
        <f>IF($AG35="","",INDEX('04_調査結果'!$O$5:$O$404,$AG35))</f>
        <v/>
      </c>
      <c r="W35">
        <f>IF($AG35="","",INDEX('04_調査結果'!$P$5:$P$404,$AG35))</f>
        <v/>
      </c>
      <c r="X35">
        <f>IF($AG35="","",INDEX('04_調査結果'!$Q$5:$Q$404,$AG35))</f>
        <v/>
      </c>
      <c r="Y35">
        <f>IF($AG35="","",INDEX('04_調査結果'!$R$5:$R$404,$AG35))</f>
        <v/>
      </c>
      <c r="Z35">
        <f>IF($AG35="","",INDEX('04_調査結果'!$S$5:$S$404,$AG35))</f>
        <v/>
      </c>
      <c r="AA35">
        <f>IF($AG35="","",INDEX('04_調査結果'!$T$5:$T$404,$AG35))</f>
        <v/>
      </c>
      <c r="AB35">
        <f>IF($AG35="","",INDEX('04_調査結果'!$U$5:$U$404,$AG35))</f>
        <v/>
      </c>
      <c r="AC35">
        <f>IF($AG35="","",INDEX('04_調査結果'!$AF$5:$AF$404,$AG35))</f>
        <v/>
      </c>
      <c r="AD35">
        <f>IF($AG35="","",INDEX('04_調査結果'!$AC$5:$AC$404,$AG35)&amp;"")</f>
        <v/>
      </c>
      <c r="AE35">
        <f>IF($AG35="","",INDEX('04_調査結果'!$V$5:$V$404,$AG35)&amp;"")</f>
        <v/>
      </c>
      <c r="AF35">
        <f>IF($AG35="","",INDEX('04_調査結果'!$X$5:$X$404,$AG35)&amp;"")</f>
        <v/>
      </c>
      <c r="AG35" s="34">
        <f>IFERROR(MATCH(ROW()-4,'04_調査結果'!$AT$5:$AT$404,0),"")</f>
        <v/>
      </c>
    </row>
    <row r="36">
      <c r="A36">
        <f>IF($AG36="","",'01_設定'!$C$4)</f>
        <v/>
      </c>
      <c r="B36">
        <f>IF($AG36="","",'01_設定'!$C$5)</f>
        <v/>
      </c>
      <c r="C36">
        <f>IF($AG36="","",'01_設定'!$C$6)</f>
        <v/>
      </c>
      <c r="D36" s="36">
        <f>IF($AG36="","",'01_設定'!$C$22)</f>
        <v/>
      </c>
      <c r="E36" s="36">
        <f>IF($AG36="","",'01_設定'!$C$23)</f>
        <v/>
      </c>
      <c r="F36">
        <f>IF($AG36="","",'01_設定'!$C$32)</f>
        <v/>
      </c>
      <c r="G36">
        <f>IF($AG36="","",ROW()-4)</f>
        <v/>
      </c>
      <c r="H36">
        <f>IF($AG36="","",INDEX('04_調査結果'!$AJ$5:$AJ$404,$AG36))</f>
        <v/>
      </c>
      <c r="I36">
        <f>IF($AG36="","",INDEX('04_調査結果'!$D$5:$D$404,$AG36)&amp;"")</f>
        <v/>
      </c>
      <c r="J36">
        <f>IF($AG36="","",INDEX('04_調査結果'!$AK$5:$AK$404,$AG36)&amp;"")</f>
        <v/>
      </c>
      <c r="K36">
        <f>IF($AG36="","",IFERROR(INDEX('M1_類型マスタ'!$B$5:$B$19,MATCH(J36,'M1_類型マスタ'!$A$5:$A$19,0)),""))</f>
        <v/>
      </c>
      <c r="L36">
        <f>IF($AG36="","",INDEX('04_調査結果'!$F$5:$F$404,$AG36)&amp;"")</f>
        <v/>
      </c>
      <c r="M36">
        <f>IF($AG36="","",INDEX('04_調査結果'!$G$5:$G$404,$AG36)&amp;"")</f>
        <v/>
      </c>
      <c r="N36">
        <f>IF($AG36="","",INDEX('04_調査結果'!$H$5:$H$404,$AG36)&amp;"")</f>
        <v/>
      </c>
      <c r="O36" s="33">
        <f>IF($AG36="","",IF(INDEX('04_調査結果'!$Z$5:$Z$404,$AG36)&lt;&gt;"",INDEX('04_調査結果'!$Z$5:$Z$404,$AG36),INDEX('04_調査結果'!$AM$5:$AM$404,$AG36)))</f>
        <v/>
      </c>
      <c r="P36" s="33">
        <f>IF($AG36="","",IF(INDEX('04_調査結果'!$AA$5:$AA$404,$AG36)&lt;&gt;"",INDEX('04_調査結果'!$AA$5:$AA$404,$AG36),INDEX('04_調査結果'!$AN$5:$AN$404,$AG36)))</f>
        <v/>
      </c>
      <c r="Q36" s="33">
        <f>IF($AG36="","",INDEX('04_調査結果'!$AD$5:$AD$404,$AG36))</f>
        <v/>
      </c>
      <c r="R36">
        <f>IF($AG36="","",INDEX('04_調査結果'!$AO$5:$AO$404,$AG36))</f>
        <v/>
      </c>
      <c r="S36" s="37">
        <f>IF($AG36="","",INDEX('04_調査結果'!$AQ$5:$AQ$404,$AG36))</f>
        <v/>
      </c>
      <c r="T36" s="37">
        <f>IF($AG36="","",INDEX('04_調査結果'!$AR$5:$AR$404,$AG36))</f>
        <v/>
      </c>
      <c r="U36">
        <f>IF($AG36="","",INDEX('04_調査結果'!$N$5:$N$404,$AG36)&amp;"")</f>
        <v/>
      </c>
      <c r="V36">
        <f>IF($AG36="","",INDEX('04_調査結果'!$O$5:$O$404,$AG36))</f>
        <v/>
      </c>
      <c r="W36">
        <f>IF($AG36="","",INDEX('04_調査結果'!$P$5:$P$404,$AG36))</f>
        <v/>
      </c>
      <c r="X36">
        <f>IF($AG36="","",INDEX('04_調査結果'!$Q$5:$Q$404,$AG36))</f>
        <v/>
      </c>
      <c r="Y36">
        <f>IF($AG36="","",INDEX('04_調査結果'!$R$5:$R$404,$AG36))</f>
        <v/>
      </c>
      <c r="Z36">
        <f>IF($AG36="","",INDEX('04_調査結果'!$S$5:$S$404,$AG36))</f>
        <v/>
      </c>
      <c r="AA36">
        <f>IF($AG36="","",INDEX('04_調査結果'!$T$5:$T$404,$AG36))</f>
        <v/>
      </c>
      <c r="AB36">
        <f>IF($AG36="","",INDEX('04_調査結果'!$U$5:$U$404,$AG36))</f>
        <v/>
      </c>
      <c r="AC36">
        <f>IF($AG36="","",INDEX('04_調査結果'!$AF$5:$AF$404,$AG36))</f>
        <v/>
      </c>
      <c r="AD36">
        <f>IF($AG36="","",INDEX('04_調査結果'!$AC$5:$AC$404,$AG36)&amp;"")</f>
        <v/>
      </c>
      <c r="AE36">
        <f>IF($AG36="","",INDEX('04_調査結果'!$V$5:$V$404,$AG36)&amp;"")</f>
        <v/>
      </c>
      <c r="AF36">
        <f>IF($AG36="","",INDEX('04_調査結果'!$X$5:$X$404,$AG36)&amp;"")</f>
        <v/>
      </c>
      <c r="AG36" s="34">
        <f>IFERROR(MATCH(ROW()-4,'04_調査結果'!$AT$5:$AT$404,0),"")</f>
        <v/>
      </c>
    </row>
    <row r="37">
      <c r="A37">
        <f>IF($AG37="","",'01_設定'!$C$4)</f>
        <v/>
      </c>
      <c r="B37">
        <f>IF($AG37="","",'01_設定'!$C$5)</f>
        <v/>
      </c>
      <c r="C37">
        <f>IF($AG37="","",'01_設定'!$C$6)</f>
        <v/>
      </c>
      <c r="D37" s="36">
        <f>IF($AG37="","",'01_設定'!$C$22)</f>
        <v/>
      </c>
      <c r="E37" s="36">
        <f>IF($AG37="","",'01_設定'!$C$23)</f>
        <v/>
      </c>
      <c r="F37">
        <f>IF($AG37="","",'01_設定'!$C$32)</f>
        <v/>
      </c>
      <c r="G37">
        <f>IF($AG37="","",ROW()-4)</f>
        <v/>
      </c>
      <c r="H37">
        <f>IF($AG37="","",INDEX('04_調査結果'!$AJ$5:$AJ$404,$AG37))</f>
        <v/>
      </c>
      <c r="I37">
        <f>IF($AG37="","",INDEX('04_調査結果'!$D$5:$D$404,$AG37)&amp;"")</f>
        <v/>
      </c>
      <c r="J37">
        <f>IF($AG37="","",INDEX('04_調査結果'!$AK$5:$AK$404,$AG37)&amp;"")</f>
        <v/>
      </c>
      <c r="K37">
        <f>IF($AG37="","",IFERROR(INDEX('M1_類型マスタ'!$B$5:$B$19,MATCH(J37,'M1_類型マスタ'!$A$5:$A$19,0)),""))</f>
        <v/>
      </c>
      <c r="L37">
        <f>IF($AG37="","",INDEX('04_調査結果'!$F$5:$F$404,$AG37)&amp;"")</f>
        <v/>
      </c>
      <c r="M37">
        <f>IF($AG37="","",INDEX('04_調査結果'!$G$5:$G$404,$AG37)&amp;"")</f>
        <v/>
      </c>
      <c r="N37">
        <f>IF($AG37="","",INDEX('04_調査結果'!$H$5:$H$404,$AG37)&amp;"")</f>
        <v/>
      </c>
      <c r="O37" s="33">
        <f>IF($AG37="","",IF(INDEX('04_調査結果'!$Z$5:$Z$404,$AG37)&lt;&gt;"",INDEX('04_調査結果'!$Z$5:$Z$404,$AG37),INDEX('04_調査結果'!$AM$5:$AM$404,$AG37)))</f>
        <v/>
      </c>
      <c r="P37" s="33">
        <f>IF($AG37="","",IF(INDEX('04_調査結果'!$AA$5:$AA$404,$AG37)&lt;&gt;"",INDEX('04_調査結果'!$AA$5:$AA$404,$AG37),INDEX('04_調査結果'!$AN$5:$AN$404,$AG37)))</f>
        <v/>
      </c>
      <c r="Q37" s="33">
        <f>IF($AG37="","",INDEX('04_調査結果'!$AD$5:$AD$404,$AG37))</f>
        <v/>
      </c>
      <c r="R37">
        <f>IF($AG37="","",INDEX('04_調査結果'!$AO$5:$AO$404,$AG37))</f>
        <v/>
      </c>
      <c r="S37" s="37">
        <f>IF($AG37="","",INDEX('04_調査結果'!$AQ$5:$AQ$404,$AG37))</f>
        <v/>
      </c>
      <c r="T37" s="37">
        <f>IF($AG37="","",INDEX('04_調査結果'!$AR$5:$AR$404,$AG37))</f>
        <v/>
      </c>
      <c r="U37">
        <f>IF($AG37="","",INDEX('04_調査結果'!$N$5:$N$404,$AG37)&amp;"")</f>
        <v/>
      </c>
      <c r="V37">
        <f>IF($AG37="","",INDEX('04_調査結果'!$O$5:$O$404,$AG37))</f>
        <v/>
      </c>
      <c r="W37">
        <f>IF($AG37="","",INDEX('04_調査結果'!$P$5:$P$404,$AG37))</f>
        <v/>
      </c>
      <c r="X37">
        <f>IF($AG37="","",INDEX('04_調査結果'!$Q$5:$Q$404,$AG37))</f>
        <v/>
      </c>
      <c r="Y37">
        <f>IF($AG37="","",INDEX('04_調査結果'!$R$5:$R$404,$AG37))</f>
        <v/>
      </c>
      <c r="Z37">
        <f>IF($AG37="","",INDEX('04_調査結果'!$S$5:$S$404,$AG37))</f>
        <v/>
      </c>
      <c r="AA37">
        <f>IF($AG37="","",INDEX('04_調査結果'!$T$5:$T$404,$AG37))</f>
        <v/>
      </c>
      <c r="AB37">
        <f>IF($AG37="","",INDEX('04_調査結果'!$U$5:$U$404,$AG37))</f>
        <v/>
      </c>
      <c r="AC37">
        <f>IF($AG37="","",INDEX('04_調査結果'!$AF$5:$AF$404,$AG37))</f>
        <v/>
      </c>
      <c r="AD37">
        <f>IF($AG37="","",INDEX('04_調査結果'!$AC$5:$AC$404,$AG37)&amp;"")</f>
        <v/>
      </c>
      <c r="AE37">
        <f>IF($AG37="","",INDEX('04_調査結果'!$V$5:$V$404,$AG37)&amp;"")</f>
        <v/>
      </c>
      <c r="AF37">
        <f>IF($AG37="","",INDEX('04_調査結果'!$X$5:$X$404,$AG37)&amp;"")</f>
        <v/>
      </c>
      <c r="AG37" s="34">
        <f>IFERROR(MATCH(ROW()-4,'04_調査結果'!$AT$5:$AT$404,0),"")</f>
        <v/>
      </c>
    </row>
    <row r="38">
      <c r="A38">
        <f>IF($AG38="","",'01_設定'!$C$4)</f>
        <v/>
      </c>
      <c r="B38">
        <f>IF($AG38="","",'01_設定'!$C$5)</f>
        <v/>
      </c>
      <c r="C38">
        <f>IF($AG38="","",'01_設定'!$C$6)</f>
        <v/>
      </c>
      <c r="D38" s="36">
        <f>IF($AG38="","",'01_設定'!$C$22)</f>
        <v/>
      </c>
      <c r="E38" s="36">
        <f>IF($AG38="","",'01_設定'!$C$23)</f>
        <v/>
      </c>
      <c r="F38">
        <f>IF($AG38="","",'01_設定'!$C$32)</f>
        <v/>
      </c>
      <c r="G38">
        <f>IF($AG38="","",ROW()-4)</f>
        <v/>
      </c>
      <c r="H38">
        <f>IF($AG38="","",INDEX('04_調査結果'!$AJ$5:$AJ$404,$AG38))</f>
        <v/>
      </c>
      <c r="I38">
        <f>IF($AG38="","",INDEX('04_調査結果'!$D$5:$D$404,$AG38)&amp;"")</f>
        <v/>
      </c>
      <c r="J38">
        <f>IF($AG38="","",INDEX('04_調査結果'!$AK$5:$AK$404,$AG38)&amp;"")</f>
        <v/>
      </c>
      <c r="K38">
        <f>IF($AG38="","",IFERROR(INDEX('M1_類型マスタ'!$B$5:$B$19,MATCH(J38,'M1_類型マスタ'!$A$5:$A$19,0)),""))</f>
        <v/>
      </c>
      <c r="L38">
        <f>IF($AG38="","",INDEX('04_調査結果'!$F$5:$F$404,$AG38)&amp;"")</f>
        <v/>
      </c>
      <c r="M38">
        <f>IF($AG38="","",INDEX('04_調査結果'!$G$5:$G$404,$AG38)&amp;"")</f>
        <v/>
      </c>
      <c r="N38">
        <f>IF($AG38="","",INDEX('04_調査結果'!$H$5:$H$404,$AG38)&amp;"")</f>
        <v/>
      </c>
      <c r="O38" s="33">
        <f>IF($AG38="","",IF(INDEX('04_調査結果'!$Z$5:$Z$404,$AG38)&lt;&gt;"",INDEX('04_調査結果'!$Z$5:$Z$404,$AG38),INDEX('04_調査結果'!$AM$5:$AM$404,$AG38)))</f>
        <v/>
      </c>
      <c r="P38" s="33">
        <f>IF($AG38="","",IF(INDEX('04_調査結果'!$AA$5:$AA$404,$AG38)&lt;&gt;"",INDEX('04_調査結果'!$AA$5:$AA$404,$AG38),INDEX('04_調査結果'!$AN$5:$AN$404,$AG38)))</f>
        <v/>
      </c>
      <c r="Q38" s="33">
        <f>IF($AG38="","",INDEX('04_調査結果'!$AD$5:$AD$404,$AG38))</f>
        <v/>
      </c>
      <c r="R38">
        <f>IF($AG38="","",INDEX('04_調査結果'!$AO$5:$AO$404,$AG38))</f>
        <v/>
      </c>
      <c r="S38" s="37">
        <f>IF($AG38="","",INDEX('04_調査結果'!$AQ$5:$AQ$404,$AG38))</f>
        <v/>
      </c>
      <c r="T38" s="37">
        <f>IF($AG38="","",INDEX('04_調査結果'!$AR$5:$AR$404,$AG38))</f>
        <v/>
      </c>
      <c r="U38">
        <f>IF($AG38="","",INDEX('04_調査結果'!$N$5:$N$404,$AG38)&amp;"")</f>
        <v/>
      </c>
      <c r="V38">
        <f>IF($AG38="","",INDEX('04_調査結果'!$O$5:$O$404,$AG38))</f>
        <v/>
      </c>
      <c r="W38">
        <f>IF($AG38="","",INDEX('04_調査結果'!$P$5:$P$404,$AG38))</f>
        <v/>
      </c>
      <c r="X38">
        <f>IF($AG38="","",INDEX('04_調査結果'!$Q$5:$Q$404,$AG38))</f>
        <v/>
      </c>
      <c r="Y38">
        <f>IF($AG38="","",INDEX('04_調査結果'!$R$5:$R$404,$AG38))</f>
        <v/>
      </c>
      <c r="Z38">
        <f>IF($AG38="","",INDEX('04_調査結果'!$S$5:$S$404,$AG38))</f>
        <v/>
      </c>
      <c r="AA38">
        <f>IF($AG38="","",INDEX('04_調査結果'!$T$5:$T$404,$AG38))</f>
        <v/>
      </c>
      <c r="AB38">
        <f>IF($AG38="","",INDEX('04_調査結果'!$U$5:$U$404,$AG38))</f>
        <v/>
      </c>
      <c r="AC38">
        <f>IF($AG38="","",INDEX('04_調査結果'!$AF$5:$AF$404,$AG38))</f>
        <v/>
      </c>
      <c r="AD38">
        <f>IF($AG38="","",INDEX('04_調査結果'!$AC$5:$AC$404,$AG38)&amp;"")</f>
        <v/>
      </c>
      <c r="AE38">
        <f>IF($AG38="","",INDEX('04_調査結果'!$V$5:$V$404,$AG38)&amp;"")</f>
        <v/>
      </c>
      <c r="AF38">
        <f>IF($AG38="","",INDEX('04_調査結果'!$X$5:$X$404,$AG38)&amp;"")</f>
        <v/>
      </c>
      <c r="AG38" s="34">
        <f>IFERROR(MATCH(ROW()-4,'04_調査結果'!$AT$5:$AT$404,0),"")</f>
        <v/>
      </c>
    </row>
    <row r="39">
      <c r="A39">
        <f>IF($AG39="","",'01_設定'!$C$4)</f>
        <v/>
      </c>
      <c r="B39">
        <f>IF($AG39="","",'01_設定'!$C$5)</f>
        <v/>
      </c>
      <c r="C39">
        <f>IF($AG39="","",'01_設定'!$C$6)</f>
        <v/>
      </c>
      <c r="D39" s="36">
        <f>IF($AG39="","",'01_設定'!$C$22)</f>
        <v/>
      </c>
      <c r="E39" s="36">
        <f>IF($AG39="","",'01_設定'!$C$23)</f>
        <v/>
      </c>
      <c r="F39">
        <f>IF($AG39="","",'01_設定'!$C$32)</f>
        <v/>
      </c>
      <c r="G39">
        <f>IF($AG39="","",ROW()-4)</f>
        <v/>
      </c>
      <c r="H39">
        <f>IF($AG39="","",INDEX('04_調査結果'!$AJ$5:$AJ$404,$AG39))</f>
        <v/>
      </c>
      <c r="I39">
        <f>IF($AG39="","",INDEX('04_調査結果'!$D$5:$D$404,$AG39)&amp;"")</f>
        <v/>
      </c>
      <c r="J39">
        <f>IF($AG39="","",INDEX('04_調査結果'!$AK$5:$AK$404,$AG39)&amp;"")</f>
        <v/>
      </c>
      <c r="K39">
        <f>IF($AG39="","",IFERROR(INDEX('M1_類型マスタ'!$B$5:$B$19,MATCH(J39,'M1_類型マスタ'!$A$5:$A$19,0)),""))</f>
        <v/>
      </c>
      <c r="L39">
        <f>IF($AG39="","",INDEX('04_調査結果'!$F$5:$F$404,$AG39)&amp;"")</f>
        <v/>
      </c>
      <c r="M39">
        <f>IF($AG39="","",INDEX('04_調査結果'!$G$5:$G$404,$AG39)&amp;"")</f>
        <v/>
      </c>
      <c r="N39">
        <f>IF($AG39="","",INDEX('04_調査結果'!$H$5:$H$404,$AG39)&amp;"")</f>
        <v/>
      </c>
      <c r="O39" s="33">
        <f>IF($AG39="","",IF(INDEX('04_調査結果'!$Z$5:$Z$404,$AG39)&lt;&gt;"",INDEX('04_調査結果'!$Z$5:$Z$404,$AG39),INDEX('04_調査結果'!$AM$5:$AM$404,$AG39)))</f>
        <v/>
      </c>
      <c r="P39" s="33">
        <f>IF($AG39="","",IF(INDEX('04_調査結果'!$AA$5:$AA$404,$AG39)&lt;&gt;"",INDEX('04_調査結果'!$AA$5:$AA$404,$AG39),INDEX('04_調査結果'!$AN$5:$AN$404,$AG39)))</f>
        <v/>
      </c>
      <c r="Q39" s="33">
        <f>IF($AG39="","",INDEX('04_調査結果'!$AD$5:$AD$404,$AG39))</f>
        <v/>
      </c>
      <c r="R39">
        <f>IF($AG39="","",INDEX('04_調査結果'!$AO$5:$AO$404,$AG39))</f>
        <v/>
      </c>
      <c r="S39" s="37">
        <f>IF($AG39="","",INDEX('04_調査結果'!$AQ$5:$AQ$404,$AG39))</f>
        <v/>
      </c>
      <c r="T39" s="37">
        <f>IF($AG39="","",INDEX('04_調査結果'!$AR$5:$AR$404,$AG39))</f>
        <v/>
      </c>
      <c r="U39">
        <f>IF($AG39="","",INDEX('04_調査結果'!$N$5:$N$404,$AG39)&amp;"")</f>
        <v/>
      </c>
      <c r="V39">
        <f>IF($AG39="","",INDEX('04_調査結果'!$O$5:$O$404,$AG39))</f>
        <v/>
      </c>
      <c r="W39">
        <f>IF($AG39="","",INDEX('04_調査結果'!$P$5:$P$404,$AG39))</f>
        <v/>
      </c>
      <c r="X39">
        <f>IF($AG39="","",INDEX('04_調査結果'!$Q$5:$Q$404,$AG39))</f>
        <v/>
      </c>
      <c r="Y39">
        <f>IF($AG39="","",INDEX('04_調査結果'!$R$5:$R$404,$AG39))</f>
        <v/>
      </c>
      <c r="Z39">
        <f>IF($AG39="","",INDEX('04_調査結果'!$S$5:$S$404,$AG39))</f>
        <v/>
      </c>
      <c r="AA39">
        <f>IF($AG39="","",INDEX('04_調査結果'!$T$5:$T$404,$AG39))</f>
        <v/>
      </c>
      <c r="AB39">
        <f>IF($AG39="","",INDEX('04_調査結果'!$U$5:$U$404,$AG39))</f>
        <v/>
      </c>
      <c r="AC39">
        <f>IF($AG39="","",INDEX('04_調査結果'!$AF$5:$AF$404,$AG39))</f>
        <v/>
      </c>
      <c r="AD39">
        <f>IF($AG39="","",INDEX('04_調査結果'!$AC$5:$AC$404,$AG39)&amp;"")</f>
        <v/>
      </c>
      <c r="AE39">
        <f>IF($AG39="","",INDEX('04_調査結果'!$V$5:$V$404,$AG39)&amp;"")</f>
        <v/>
      </c>
      <c r="AF39">
        <f>IF($AG39="","",INDEX('04_調査結果'!$X$5:$X$404,$AG39)&amp;"")</f>
        <v/>
      </c>
      <c r="AG39" s="34">
        <f>IFERROR(MATCH(ROW()-4,'04_調査結果'!$AT$5:$AT$404,0),"")</f>
        <v/>
      </c>
    </row>
    <row r="40">
      <c r="A40">
        <f>IF($AG40="","",'01_設定'!$C$4)</f>
        <v/>
      </c>
      <c r="B40">
        <f>IF($AG40="","",'01_設定'!$C$5)</f>
        <v/>
      </c>
      <c r="C40">
        <f>IF($AG40="","",'01_設定'!$C$6)</f>
        <v/>
      </c>
      <c r="D40" s="36">
        <f>IF($AG40="","",'01_設定'!$C$22)</f>
        <v/>
      </c>
      <c r="E40" s="36">
        <f>IF($AG40="","",'01_設定'!$C$23)</f>
        <v/>
      </c>
      <c r="F40">
        <f>IF($AG40="","",'01_設定'!$C$32)</f>
        <v/>
      </c>
      <c r="G40">
        <f>IF($AG40="","",ROW()-4)</f>
        <v/>
      </c>
      <c r="H40">
        <f>IF($AG40="","",INDEX('04_調査結果'!$AJ$5:$AJ$404,$AG40))</f>
        <v/>
      </c>
      <c r="I40">
        <f>IF($AG40="","",INDEX('04_調査結果'!$D$5:$D$404,$AG40)&amp;"")</f>
        <v/>
      </c>
      <c r="J40">
        <f>IF($AG40="","",INDEX('04_調査結果'!$AK$5:$AK$404,$AG40)&amp;"")</f>
        <v/>
      </c>
      <c r="K40">
        <f>IF($AG40="","",IFERROR(INDEX('M1_類型マスタ'!$B$5:$B$19,MATCH(J40,'M1_類型マスタ'!$A$5:$A$19,0)),""))</f>
        <v/>
      </c>
      <c r="L40">
        <f>IF($AG40="","",INDEX('04_調査結果'!$F$5:$F$404,$AG40)&amp;"")</f>
        <v/>
      </c>
      <c r="M40">
        <f>IF($AG40="","",INDEX('04_調査結果'!$G$5:$G$404,$AG40)&amp;"")</f>
        <v/>
      </c>
      <c r="N40">
        <f>IF($AG40="","",INDEX('04_調査結果'!$H$5:$H$404,$AG40)&amp;"")</f>
        <v/>
      </c>
      <c r="O40" s="33">
        <f>IF($AG40="","",IF(INDEX('04_調査結果'!$Z$5:$Z$404,$AG40)&lt;&gt;"",INDEX('04_調査結果'!$Z$5:$Z$404,$AG40),INDEX('04_調査結果'!$AM$5:$AM$404,$AG40)))</f>
        <v/>
      </c>
      <c r="P40" s="33">
        <f>IF($AG40="","",IF(INDEX('04_調査結果'!$AA$5:$AA$404,$AG40)&lt;&gt;"",INDEX('04_調査結果'!$AA$5:$AA$404,$AG40),INDEX('04_調査結果'!$AN$5:$AN$404,$AG40)))</f>
        <v/>
      </c>
      <c r="Q40" s="33">
        <f>IF($AG40="","",INDEX('04_調査結果'!$AD$5:$AD$404,$AG40))</f>
        <v/>
      </c>
      <c r="R40">
        <f>IF($AG40="","",INDEX('04_調査結果'!$AO$5:$AO$404,$AG40))</f>
        <v/>
      </c>
      <c r="S40" s="37">
        <f>IF($AG40="","",INDEX('04_調査結果'!$AQ$5:$AQ$404,$AG40))</f>
        <v/>
      </c>
      <c r="T40" s="37">
        <f>IF($AG40="","",INDEX('04_調査結果'!$AR$5:$AR$404,$AG40))</f>
        <v/>
      </c>
      <c r="U40">
        <f>IF($AG40="","",INDEX('04_調査結果'!$N$5:$N$404,$AG40)&amp;"")</f>
        <v/>
      </c>
      <c r="V40">
        <f>IF($AG40="","",INDEX('04_調査結果'!$O$5:$O$404,$AG40))</f>
        <v/>
      </c>
      <c r="W40">
        <f>IF($AG40="","",INDEX('04_調査結果'!$P$5:$P$404,$AG40))</f>
        <v/>
      </c>
      <c r="X40">
        <f>IF($AG40="","",INDEX('04_調査結果'!$Q$5:$Q$404,$AG40))</f>
        <v/>
      </c>
      <c r="Y40">
        <f>IF($AG40="","",INDEX('04_調査結果'!$R$5:$R$404,$AG40))</f>
        <v/>
      </c>
      <c r="Z40">
        <f>IF($AG40="","",INDEX('04_調査結果'!$S$5:$S$404,$AG40))</f>
        <v/>
      </c>
      <c r="AA40">
        <f>IF($AG40="","",INDEX('04_調査結果'!$T$5:$T$404,$AG40))</f>
        <v/>
      </c>
      <c r="AB40">
        <f>IF($AG40="","",INDEX('04_調査結果'!$U$5:$U$404,$AG40))</f>
        <v/>
      </c>
      <c r="AC40">
        <f>IF($AG40="","",INDEX('04_調査結果'!$AF$5:$AF$404,$AG40))</f>
        <v/>
      </c>
      <c r="AD40">
        <f>IF($AG40="","",INDEX('04_調査結果'!$AC$5:$AC$404,$AG40)&amp;"")</f>
        <v/>
      </c>
      <c r="AE40">
        <f>IF($AG40="","",INDEX('04_調査結果'!$V$5:$V$404,$AG40)&amp;"")</f>
        <v/>
      </c>
      <c r="AF40">
        <f>IF($AG40="","",INDEX('04_調査結果'!$X$5:$X$404,$AG40)&amp;"")</f>
        <v/>
      </c>
      <c r="AG40" s="34">
        <f>IFERROR(MATCH(ROW()-4,'04_調査結果'!$AT$5:$AT$404,0),"")</f>
        <v/>
      </c>
    </row>
    <row r="41">
      <c r="A41">
        <f>IF($AG41="","",'01_設定'!$C$4)</f>
        <v/>
      </c>
      <c r="B41">
        <f>IF($AG41="","",'01_設定'!$C$5)</f>
        <v/>
      </c>
      <c r="C41">
        <f>IF($AG41="","",'01_設定'!$C$6)</f>
        <v/>
      </c>
      <c r="D41" s="36">
        <f>IF($AG41="","",'01_設定'!$C$22)</f>
        <v/>
      </c>
      <c r="E41" s="36">
        <f>IF($AG41="","",'01_設定'!$C$23)</f>
        <v/>
      </c>
      <c r="F41">
        <f>IF($AG41="","",'01_設定'!$C$32)</f>
        <v/>
      </c>
      <c r="G41">
        <f>IF($AG41="","",ROW()-4)</f>
        <v/>
      </c>
      <c r="H41">
        <f>IF($AG41="","",INDEX('04_調査結果'!$AJ$5:$AJ$404,$AG41))</f>
        <v/>
      </c>
      <c r="I41">
        <f>IF($AG41="","",INDEX('04_調査結果'!$D$5:$D$404,$AG41)&amp;"")</f>
        <v/>
      </c>
      <c r="J41">
        <f>IF($AG41="","",INDEX('04_調査結果'!$AK$5:$AK$404,$AG41)&amp;"")</f>
        <v/>
      </c>
      <c r="K41">
        <f>IF($AG41="","",IFERROR(INDEX('M1_類型マスタ'!$B$5:$B$19,MATCH(J41,'M1_類型マスタ'!$A$5:$A$19,0)),""))</f>
        <v/>
      </c>
      <c r="L41">
        <f>IF($AG41="","",INDEX('04_調査結果'!$F$5:$F$404,$AG41)&amp;"")</f>
        <v/>
      </c>
      <c r="M41">
        <f>IF($AG41="","",INDEX('04_調査結果'!$G$5:$G$404,$AG41)&amp;"")</f>
        <v/>
      </c>
      <c r="N41">
        <f>IF($AG41="","",INDEX('04_調査結果'!$H$5:$H$404,$AG41)&amp;"")</f>
        <v/>
      </c>
      <c r="O41" s="33">
        <f>IF($AG41="","",IF(INDEX('04_調査結果'!$Z$5:$Z$404,$AG41)&lt;&gt;"",INDEX('04_調査結果'!$Z$5:$Z$404,$AG41),INDEX('04_調査結果'!$AM$5:$AM$404,$AG41)))</f>
        <v/>
      </c>
      <c r="P41" s="33">
        <f>IF($AG41="","",IF(INDEX('04_調査結果'!$AA$5:$AA$404,$AG41)&lt;&gt;"",INDEX('04_調査結果'!$AA$5:$AA$404,$AG41),INDEX('04_調査結果'!$AN$5:$AN$404,$AG41)))</f>
        <v/>
      </c>
      <c r="Q41" s="33">
        <f>IF($AG41="","",INDEX('04_調査結果'!$AD$5:$AD$404,$AG41))</f>
        <v/>
      </c>
      <c r="R41">
        <f>IF($AG41="","",INDEX('04_調査結果'!$AO$5:$AO$404,$AG41))</f>
        <v/>
      </c>
      <c r="S41" s="37">
        <f>IF($AG41="","",INDEX('04_調査結果'!$AQ$5:$AQ$404,$AG41))</f>
        <v/>
      </c>
      <c r="T41" s="37">
        <f>IF($AG41="","",INDEX('04_調査結果'!$AR$5:$AR$404,$AG41))</f>
        <v/>
      </c>
      <c r="U41">
        <f>IF($AG41="","",INDEX('04_調査結果'!$N$5:$N$404,$AG41)&amp;"")</f>
        <v/>
      </c>
      <c r="V41">
        <f>IF($AG41="","",INDEX('04_調査結果'!$O$5:$O$404,$AG41))</f>
        <v/>
      </c>
      <c r="W41">
        <f>IF($AG41="","",INDEX('04_調査結果'!$P$5:$P$404,$AG41))</f>
        <v/>
      </c>
      <c r="X41">
        <f>IF($AG41="","",INDEX('04_調査結果'!$Q$5:$Q$404,$AG41))</f>
        <v/>
      </c>
      <c r="Y41">
        <f>IF($AG41="","",INDEX('04_調査結果'!$R$5:$R$404,$AG41))</f>
        <v/>
      </c>
      <c r="Z41">
        <f>IF($AG41="","",INDEX('04_調査結果'!$S$5:$S$404,$AG41))</f>
        <v/>
      </c>
      <c r="AA41">
        <f>IF($AG41="","",INDEX('04_調査結果'!$T$5:$T$404,$AG41))</f>
        <v/>
      </c>
      <c r="AB41">
        <f>IF($AG41="","",INDEX('04_調査結果'!$U$5:$U$404,$AG41))</f>
        <v/>
      </c>
      <c r="AC41">
        <f>IF($AG41="","",INDEX('04_調査結果'!$AF$5:$AF$404,$AG41))</f>
        <v/>
      </c>
      <c r="AD41">
        <f>IF($AG41="","",INDEX('04_調査結果'!$AC$5:$AC$404,$AG41)&amp;"")</f>
        <v/>
      </c>
      <c r="AE41">
        <f>IF($AG41="","",INDEX('04_調査結果'!$V$5:$V$404,$AG41)&amp;"")</f>
        <v/>
      </c>
      <c r="AF41">
        <f>IF($AG41="","",INDEX('04_調査結果'!$X$5:$X$404,$AG41)&amp;"")</f>
        <v/>
      </c>
      <c r="AG41" s="34">
        <f>IFERROR(MATCH(ROW()-4,'04_調査結果'!$AT$5:$AT$404,0),"")</f>
        <v/>
      </c>
    </row>
    <row r="42">
      <c r="A42">
        <f>IF($AG42="","",'01_設定'!$C$4)</f>
        <v/>
      </c>
      <c r="B42">
        <f>IF($AG42="","",'01_設定'!$C$5)</f>
        <v/>
      </c>
      <c r="C42">
        <f>IF($AG42="","",'01_設定'!$C$6)</f>
        <v/>
      </c>
      <c r="D42" s="36">
        <f>IF($AG42="","",'01_設定'!$C$22)</f>
        <v/>
      </c>
      <c r="E42" s="36">
        <f>IF($AG42="","",'01_設定'!$C$23)</f>
        <v/>
      </c>
      <c r="F42">
        <f>IF($AG42="","",'01_設定'!$C$32)</f>
        <v/>
      </c>
      <c r="G42">
        <f>IF($AG42="","",ROW()-4)</f>
        <v/>
      </c>
      <c r="H42">
        <f>IF($AG42="","",INDEX('04_調査結果'!$AJ$5:$AJ$404,$AG42))</f>
        <v/>
      </c>
      <c r="I42">
        <f>IF($AG42="","",INDEX('04_調査結果'!$D$5:$D$404,$AG42)&amp;"")</f>
        <v/>
      </c>
      <c r="J42">
        <f>IF($AG42="","",INDEX('04_調査結果'!$AK$5:$AK$404,$AG42)&amp;"")</f>
        <v/>
      </c>
      <c r="K42">
        <f>IF($AG42="","",IFERROR(INDEX('M1_類型マスタ'!$B$5:$B$19,MATCH(J42,'M1_類型マスタ'!$A$5:$A$19,0)),""))</f>
        <v/>
      </c>
      <c r="L42">
        <f>IF($AG42="","",INDEX('04_調査結果'!$F$5:$F$404,$AG42)&amp;"")</f>
        <v/>
      </c>
      <c r="M42">
        <f>IF($AG42="","",INDEX('04_調査結果'!$G$5:$G$404,$AG42)&amp;"")</f>
        <v/>
      </c>
      <c r="N42">
        <f>IF($AG42="","",INDEX('04_調査結果'!$H$5:$H$404,$AG42)&amp;"")</f>
        <v/>
      </c>
      <c r="O42" s="33">
        <f>IF($AG42="","",IF(INDEX('04_調査結果'!$Z$5:$Z$404,$AG42)&lt;&gt;"",INDEX('04_調査結果'!$Z$5:$Z$404,$AG42),INDEX('04_調査結果'!$AM$5:$AM$404,$AG42)))</f>
        <v/>
      </c>
      <c r="P42" s="33">
        <f>IF($AG42="","",IF(INDEX('04_調査結果'!$AA$5:$AA$404,$AG42)&lt;&gt;"",INDEX('04_調査結果'!$AA$5:$AA$404,$AG42),INDEX('04_調査結果'!$AN$5:$AN$404,$AG42)))</f>
        <v/>
      </c>
      <c r="Q42" s="33">
        <f>IF($AG42="","",INDEX('04_調査結果'!$AD$5:$AD$404,$AG42))</f>
        <v/>
      </c>
      <c r="R42">
        <f>IF($AG42="","",INDEX('04_調査結果'!$AO$5:$AO$404,$AG42))</f>
        <v/>
      </c>
      <c r="S42" s="37">
        <f>IF($AG42="","",INDEX('04_調査結果'!$AQ$5:$AQ$404,$AG42))</f>
        <v/>
      </c>
      <c r="T42" s="37">
        <f>IF($AG42="","",INDEX('04_調査結果'!$AR$5:$AR$404,$AG42))</f>
        <v/>
      </c>
      <c r="U42">
        <f>IF($AG42="","",INDEX('04_調査結果'!$N$5:$N$404,$AG42)&amp;"")</f>
        <v/>
      </c>
      <c r="V42">
        <f>IF($AG42="","",INDEX('04_調査結果'!$O$5:$O$404,$AG42))</f>
        <v/>
      </c>
      <c r="W42">
        <f>IF($AG42="","",INDEX('04_調査結果'!$P$5:$P$404,$AG42))</f>
        <v/>
      </c>
      <c r="X42">
        <f>IF($AG42="","",INDEX('04_調査結果'!$Q$5:$Q$404,$AG42))</f>
        <v/>
      </c>
      <c r="Y42">
        <f>IF($AG42="","",INDEX('04_調査結果'!$R$5:$R$404,$AG42))</f>
        <v/>
      </c>
      <c r="Z42">
        <f>IF($AG42="","",INDEX('04_調査結果'!$S$5:$S$404,$AG42))</f>
        <v/>
      </c>
      <c r="AA42">
        <f>IF($AG42="","",INDEX('04_調査結果'!$T$5:$T$404,$AG42))</f>
        <v/>
      </c>
      <c r="AB42">
        <f>IF($AG42="","",INDEX('04_調査結果'!$U$5:$U$404,$AG42))</f>
        <v/>
      </c>
      <c r="AC42">
        <f>IF($AG42="","",INDEX('04_調査結果'!$AF$5:$AF$404,$AG42))</f>
        <v/>
      </c>
      <c r="AD42">
        <f>IF($AG42="","",INDEX('04_調査結果'!$AC$5:$AC$404,$AG42)&amp;"")</f>
        <v/>
      </c>
      <c r="AE42">
        <f>IF($AG42="","",INDEX('04_調査結果'!$V$5:$V$404,$AG42)&amp;"")</f>
        <v/>
      </c>
      <c r="AF42">
        <f>IF($AG42="","",INDEX('04_調査結果'!$X$5:$X$404,$AG42)&amp;"")</f>
        <v/>
      </c>
      <c r="AG42" s="34">
        <f>IFERROR(MATCH(ROW()-4,'04_調査結果'!$AT$5:$AT$404,0),"")</f>
        <v/>
      </c>
    </row>
    <row r="43">
      <c r="A43">
        <f>IF($AG43="","",'01_設定'!$C$4)</f>
        <v/>
      </c>
      <c r="B43">
        <f>IF($AG43="","",'01_設定'!$C$5)</f>
        <v/>
      </c>
      <c r="C43">
        <f>IF($AG43="","",'01_設定'!$C$6)</f>
        <v/>
      </c>
      <c r="D43" s="36">
        <f>IF($AG43="","",'01_設定'!$C$22)</f>
        <v/>
      </c>
      <c r="E43" s="36">
        <f>IF($AG43="","",'01_設定'!$C$23)</f>
        <v/>
      </c>
      <c r="F43">
        <f>IF($AG43="","",'01_設定'!$C$32)</f>
        <v/>
      </c>
      <c r="G43">
        <f>IF($AG43="","",ROW()-4)</f>
        <v/>
      </c>
      <c r="H43">
        <f>IF($AG43="","",INDEX('04_調査結果'!$AJ$5:$AJ$404,$AG43))</f>
        <v/>
      </c>
      <c r="I43">
        <f>IF($AG43="","",INDEX('04_調査結果'!$D$5:$D$404,$AG43)&amp;"")</f>
        <v/>
      </c>
      <c r="J43">
        <f>IF($AG43="","",INDEX('04_調査結果'!$AK$5:$AK$404,$AG43)&amp;"")</f>
        <v/>
      </c>
      <c r="K43">
        <f>IF($AG43="","",IFERROR(INDEX('M1_類型マスタ'!$B$5:$B$19,MATCH(J43,'M1_類型マスタ'!$A$5:$A$19,0)),""))</f>
        <v/>
      </c>
      <c r="L43">
        <f>IF($AG43="","",INDEX('04_調査結果'!$F$5:$F$404,$AG43)&amp;"")</f>
        <v/>
      </c>
      <c r="M43">
        <f>IF($AG43="","",INDEX('04_調査結果'!$G$5:$G$404,$AG43)&amp;"")</f>
        <v/>
      </c>
      <c r="N43">
        <f>IF($AG43="","",INDEX('04_調査結果'!$H$5:$H$404,$AG43)&amp;"")</f>
        <v/>
      </c>
      <c r="O43" s="33">
        <f>IF($AG43="","",IF(INDEX('04_調査結果'!$Z$5:$Z$404,$AG43)&lt;&gt;"",INDEX('04_調査結果'!$Z$5:$Z$404,$AG43),INDEX('04_調査結果'!$AM$5:$AM$404,$AG43)))</f>
        <v/>
      </c>
      <c r="P43" s="33">
        <f>IF($AG43="","",IF(INDEX('04_調査結果'!$AA$5:$AA$404,$AG43)&lt;&gt;"",INDEX('04_調査結果'!$AA$5:$AA$404,$AG43),INDEX('04_調査結果'!$AN$5:$AN$404,$AG43)))</f>
        <v/>
      </c>
      <c r="Q43" s="33">
        <f>IF($AG43="","",INDEX('04_調査結果'!$AD$5:$AD$404,$AG43))</f>
        <v/>
      </c>
      <c r="R43">
        <f>IF($AG43="","",INDEX('04_調査結果'!$AO$5:$AO$404,$AG43))</f>
        <v/>
      </c>
      <c r="S43" s="37">
        <f>IF($AG43="","",INDEX('04_調査結果'!$AQ$5:$AQ$404,$AG43))</f>
        <v/>
      </c>
      <c r="T43" s="37">
        <f>IF($AG43="","",INDEX('04_調査結果'!$AR$5:$AR$404,$AG43))</f>
        <v/>
      </c>
      <c r="U43">
        <f>IF($AG43="","",INDEX('04_調査結果'!$N$5:$N$404,$AG43)&amp;"")</f>
        <v/>
      </c>
      <c r="V43">
        <f>IF($AG43="","",INDEX('04_調査結果'!$O$5:$O$404,$AG43))</f>
        <v/>
      </c>
      <c r="W43">
        <f>IF($AG43="","",INDEX('04_調査結果'!$P$5:$P$404,$AG43))</f>
        <v/>
      </c>
      <c r="X43">
        <f>IF($AG43="","",INDEX('04_調査結果'!$Q$5:$Q$404,$AG43))</f>
        <v/>
      </c>
      <c r="Y43">
        <f>IF($AG43="","",INDEX('04_調査結果'!$R$5:$R$404,$AG43))</f>
        <v/>
      </c>
      <c r="Z43">
        <f>IF($AG43="","",INDEX('04_調査結果'!$S$5:$S$404,$AG43))</f>
        <v/>
      </c>
      <c r="AA43">
        <f>IF($AG43="","",INDEX('04_調査結果'!$T$5:$T$404,$AG43))</f>
        <v/>
      </c>
      <c r="AB43">
        <f>IF($AG43="","",INDEX('04_調査結果'!$U$5:$U$404,$AG43))</f>
        <v/>
      </c>
      <c r="AC43">
        <f>IF($AG43="","",INDEX('04_調査結果'!$AF$5:$AF$404,$AG43))</f>
        <v/>
      </c>
      <c r="AD43">
        <f>IF($AG43="","",INDEX('04_調査結果'!$AC$5:$AC$404,$AG43)&amp;"")</f>
        <v/>
      </c>
      <c r="AE43">
        <f>IF($AG43="","",INDEX('04_調査結果'!$V$5:$V$404,$AG43)&amp;"")</f>
        <v/>
      </c>
      <c r="AF43">
        <f>IF($AG43="","",INDEX('04_調査結果'!$X$5:$X$404,$AG43)&amp;"")</f>
        <v/>
      </c>
      <c r="AG43" s="34">
        <f>IFERROR(MATCH(ROW()-4,'04_調査結果'!$AT$5:$AT$404,0),"")</f>
        <v/>
      </c>
    </row>
    <row r="44">
      <c r="A44">
        <f>IF($AG44="","",'01_設定'!$C$4)</f>
        <v/>
      </c>
      <c r="B44">
        <f>IF($AG44="","",'01_設定'!$C$5)</f>
        <v/>
      </c>
      <c r="C44">
        <f>IF($AG44="","",'01_設定'!$C$6)</f>
        <v/>
      </c>
      <c r="D44" s="36">
        <f>IF($AG44="","",'01_設定'!$C$22)</f>
        <v/>
      </c>
      <c r="E44" s="36">
        <f>IF($AG44="","",'01_設定'!$C$23)</f>
        <v/>
      </c>
      <c r="F44">
        <f>IF($AG44="","",'01_設定'!$C$32)</f>
        <v/>
      </c>
      <c r="G44">
        <f>IF($AG44="","",ROW()-4)</f>
        <v/>
      </c>
      <c r="H44">
        <f>IF($AG44="","",INDEX('04_調査結果'!$AJ$5:$AJ$404,$AG44))</f>
        <v/>
      </c>
      <c r="I44">
        <f>IF($AG44="","",INDEX('04_調査結果'!$D$5:$D$404,$AG44)&amp;"")</f>
        <v/>
      </c>
      <c r="J44">
        <f>IF($AG44="","",INDEX('04_調査結果'!$AK$5:$AK$404,$AG44)&amp;"")</f>
        <v/>
      </c>
      <c r="K44">
        <f>IF($AG44="","",IFERROR(INDEX('M1_類型マスタ'!$B$5:$B$19,MATCH(J44,'M1_類型マスタ'!$A$5:$A$19,0)),""))</f>
        <v/>
      </c>
      <c r="L44">
        <f>IF($AG44="","",INDEX('04_調査結果'!$F$5:$F$404,$AG44)&amp;"")</f>
        <v/>
      </c>
      <c r="M44">
        <f>IF($AG44="","",INDEX('04_調査結果'!$G$5:$G$404,$AG44)&amp;"")</f>
        <v/>
      </c>
      <c r="N44">
        <f>IF($AG44="","",INDEX('04_調査結果'!$H$5:$H$404,$AG44)&amp;"")</f>
        <v/>
      </c>
      <c r="O44" s="33">
        <f>IF($AG44="","",IF(INDEX('04_調査結果'!$Z$5:$Z$404,$AG44)&lt;&gt;"",INDEX('04_調査結果'!$Z$5:$Z$404,$AG44),INDEX('04_調査結果'!$AM$5:$AM$404,$AG44)))</f>
        <v/>
      </c>
      <c r="P44" s="33">
        <f>IF($AG44="","",IF(INDEX('04_調査結果'!$AA$5:$AA$404,$AG44)&lt;&gt;"",INDEX('04_調査結果'!$AA$5:$AA$404,$AG44),INDEX('04_調査結果'!$AN$5:$AN$404,$AG44)))</f>
        <v/>
      </c>
      <c r="Q44" s="33">
        <f>IF($AG44="","",INDEX('04_調査結果'!$AD$5:$AD$404,$AG44))</f>
        <v/>
      </c>
      <c r="R44">
        <f>IF($AG44="","",INDEX('04_調査結果'!$AO$5:$AO$404,$AG44))</f>
        <v/>
      </c>
      <c r="S44" s="37">
        <f>IF($AG44="","",INDEX('04_調査結果'!$AQ$5:$AQ$404,$AG44))</f>
        <v/>
      </c>
      <c r="T44" s="37">
        <f>IF($AG44="","",INDEX('04_調査結果'!$AR$5:$AR$404,$AG44))</f>
        <v/>
      </c>
      <c r="U44">
        <f>IF($AG44="","",INDEX('04_調査結果'!$N$5:$N$404,$AG44)&amp;"")</f>
        <v/>
      </c>
      <c r="V44">
        <f>IF($AG44="","",INDEX('04_調査結果'!$O$5:$O$404,$AG44))</f>
        <v/>
      </c>
      <c r="W44">
        <f>IF($AG44="","",INDEX('04_調査結果'!$P$5:$P$404,$AG44))</f>
        <v/>
      </c>
      <c r="X44">
        <f>IF($AG44="","",INDEX('04_調査結果'!$Q$5:$Q$404,$AG44))</f>
        <v/>
      </c>
      <c r="Y44">
        <f>IF($AG44="","",INDEX('04_調査結果'!$R$5:$R$404,$AG44))</f>
        <v/>
      </c>
      <c r="Z44">
        <f>IF($AG44="","",INDEX('04_調査結果'!$S$5:$S$404,$AG44))</f>
        <v/>
      </c>
      <c r="AA44">
        <f>IF($AG44="","",INDEX('04_調査結果'!$T$5:$T$404,$AG44))</f>
        <v/>
      </c>
      <c r="AB44">
        <f>IF($AG44="","",INDEX('04_調査結果'!$U$5:$U$404,$AG44))</f>
        <v/>
      </c>
      <c r="AC44">
        <f>IF($AG44="","",INDEX('04_調査結果'!$AF$5:$AF$404,$AG44))</f>
        <v/>
      </c>
      <c r="AD44">
        <f>IF($AG44="","",INDEX('04_調査結果'!$AC$5:$AC$404,$AG44)&amp;"")</f>
        <v/>
      </c>
      <c r="AE44">
        <f>IF($AG44="","",INDEX('04_調査結果'!$V$5:$V$404,$AG44)&amp;"")</f>
        <v/>
      </c>
      <c r="AF44">
        <f>IF($AG44="","",INDEX('04_調査結果'!$X$5:$X$404,$AG44)&amp;"")</f>
        <v/>
      </c>
      <c r="AG44" s="34">
        <f>IFERROR(MATCH(ROW()-4,'04_調査結果'!$AT$5:$AT$404,0),"")</f>
        <v/>
      </c>
    </row>
    <row r="45">
      <c r="A45">
        <f>IF($AG45="","",'01_設定'!$C$4)</f>
        <v/>
      </c>
      <c r="B45">
        <f>IF($AG45="","",'01_設定'!$C$5)</f>
        <v/>
      </c>
      <c r="C45">
        <f>IF($AG45="","",'01_設定'!$C$6)</f>
        <v/>
      </c>
      <c r="D45" s="36">
        <f>IF($AG45="","",'01_設定'!$C$22)</f>
        <v/>
      </c>
      <c r="E45" s="36">
        <f>IF($AG45="","",'01_設定'!$C$23)</f>
        <v/>
      </c>
      <c r="F45">
        <f>IF($AG45="","",'01_設定'!$C$32)</f>
        <v/>
      </c>
      <c r="G45">
        <f>IF($AG45="","",ROW()-4)</f>
        <v/>
      </c>
      <c r="H45">
        <f>IF($AG45="","",INDEX('04_調査結果'!$AJ$5:$AJ$404,$AG45))</f>
        <v/>
      </c>
      <c r="I45">
        <f>IF($AG45="","",INDEX('04_調査結果'!$D$5:$D$404,$AG45)&amp;"")</f>
        <v/>
      </c>
      <c r="J45">
        <f>IF($AG45="","",INDEX('04_調査結果'!$AK$5:$AK$404,$AG45)&amp;"")</f>
        <v/>
      </c>
      <c r="K45">
        <f>IF($AG45="","",IFERROR(INDEX('M1_類型マスタ'!$B$5:$B$19,MATCH(J45,'M1_類型マスタ'!$A$5:$A$19,0)),""))</f>
        <v/>
      </c>
      <c r="L45">
        <f>IF($AG45="","",INDEX('04_調査結果'!$F$5:$F$404,$AG45)&amp;"")</f>
        <v/>
      </c>
      <c r="M45">
        <f>IF($AG45="","",INDEX('04_調査結果'!$G$5:$G$404,$AG45)&amp;"")</f>
        <v/>
      </c>
      <c r="N45">
        <f>IF($AG45="","",INDEX('04_調査結果'!$H$5:$H$404,$AG45)&amp;"")</f>
        <v/>
      </c>
      <c r="O45" s="33">
        <f>IF($AG45="","",IF(INDEX('04_調査結果'!$Z$5:$Z$404,$AG45)&lt;&gt;"",INDEX('04_調査結果'!$Z$5:$Z$404,$AG45),INDEX('04_調査結果'!$AM$5:$AM$404,$AG45)))</f>
        <v/>
      </c>
      <c r="P45" s="33">
        <f>IF($AG45="","",IF(INDEX('04_調査結果'!$AA$5:$AA$404,$AG45)&lt;&gt;"",INDEX('04_調査結果'!$AA$5:$AA$404,$AG45),INDEX('04_調査結果'!$AN$5:$AN$404,$AG45)))</f>
        <v/>
      </c>
      <c r="Q45" s="33">
        <f>IF($AG45="","",INDEX('04_調査結果'!$AD$5:$AD$404,$AG45))</f>
        <v/>
      </c>
      <c r="R45">
        <f>IF($AG45="","",INDEX('04_調査結果'!$AO$5:$AO$404,$AG45))</f>
        <v/>
      </c>
      <c r="S45" s="37">
        <f>IF($AG45="","",INDEX('04_調査結果'!$AQ$5:$AQ$404,$AG45))</f>
        <v/>
      </c>
      <c r="T45" s="37">
        <f>IF($AG45="","",INDEX('04_調査結果'!$AR$5:$AR$404,$AG45))</f>
        <v/>
      </c>
      <c r="U45">
        <f>IF($AG45="","",INDEX('04_調査結果'!$N$5:$N$404,$AG45)&amp;"")</f>
        <v/>
      </c>
      <c r="V45">
        <f>IF($AG45="","",INDEX('04_調査結果'!$O$5:$O$404,$AG45))</f>
        <v/>
      </c>
      <c r="W45">
        <f>IF($AG45="","",INDEX('04_調査結果'!$P$5:$P$404,$AG45))</f>
        <v/>
      </c>
      <c r="X45">
        <f>IF($AG45="","",INDEX('04_調査結果'!$Q$5:$Q$404,$AG45))</f>
        <v/>
      </c>
      <c r="Y45">
        <f>IF($AG45="","",INDEX('04_調査結果'!$R$5:$R$404,$AG45))</f>
        <v/>
      </c>
      <c r="Z45">
        <f>IF($AG45="","",INDEX('04_調査結果'!$S$5:$S$404,$AG45))</f>
        <v/>
      </c>
      <c r="AA45">
        <f>IF($AG45="","",INDEX('04_調査結果'!$T$5:$T$404,$AG45))</f>
        <v/>
      </c>
      <c r="AB45">
        <f>IF($AG45="","",INDEX('04_調査結果'!$U$5:$U$404,$AG45))</f>
        <v/>
      </c>
      <c r="AC45">
        <f>IF($AG45="","",INDEX('04_調査結果'!$AF$5:$AF$404,$AG45))</f>
        <v/>
      </c>
      <c r="AD45">
        <f>IF($AG45="","",INDEX('04_調査結果'!$AC$5:$AC$404,$AG45)&amp;"")</f>
        <v/>
      </c>
      <c r="AE45">
        <f>IF($AG45="","",INDEX('04_調査結果'!$V$5:$V$404,$AG45)&amp;"")</f>
        <v/>
      </c>
      <c r="AF45">
        <f>IF($AG45="","",INDEX('04_調査結果'!$X$5:$X$404,$AG45)&amp;"")</f>
        <v/>
      </c>
      <c r="AG45" s="34">
        <f>IFERROR(MATCH(ROW()-4,'04_調査結果'!$AT$5:$AT$404,0),"")</f>
        <v/>
      </c>
    </row>
    <row r="46">
      <c r="A46">
        <f>IF($AG46="","",'01_設定'!$C$4)</f>
        <v/>
      </c>
      <c r="B46">
        <f>IF($AG46="","",'01_設定'!$C$5)</f>
        <v/>
      </c>
      <c r="C46">
        <f>IF($AG46="","",'01_設定'!$C$6)</f>
        <v/>
      </c>
      <c r="D46" s="36">
        <f>IF($AG46="","",'01_設定'!$C$22)</f>
        <v/>
      </c>
      <c r="E46" s="36">
        <f>IF($AG46="","",'01_設定'!$C$23)</f>
        <v/>
      </c>
      <c r="F46">
        <f>IF($AG46="","",'01_設定'!$C$32)</f>
        <v/>
      </c>
      <c r="G46">
        <f>IF($AG46="","",ROW()-4)</f>
        <v/>
      </c>
      <c r="H46">
        <f>IF($AG46="","",INDEX('04_調査結果'!$AJ$5:$AJ$404,$AG46))</f>
        <v/>
      </c>
      <c r="I46">
        <f>IF($AG46="","",INDEX('04_調査結果'!$D$5:$D$404,$AG46)&amp;"")</f>
        <v/>
      </c>
      <c r="J46">
        <f>IF($AG46="","",INDEX('04_調査結果'!$AK$5:$AK$404,$AG46)&amp;"")</f>
        <v/>
      </c>
      <c r="K46">
        <f>IF($AG46="","",IFERROR(INDEX('M1_類型マスタ'!$B$5:$B$19,MATCH(J46,'M1_類型マスタ'!$A$5:$A$19,0)),""))</f>
        <v/>
      </c>
      <c r="L46">
        <f>IF($AG46="","",INDEX('04_調査結果'!$F$5:$F$404,$AG46)&amp;"")</f>
        <v/>
      </c>
      <c r="M46">
        <f>IF($AG46="","",INDEX('04_調査結果'!$G$5:$G$404,$AG46)&amp;"")</f>
        <v/>
      </c>
      <c r="N46">
        <f>IF($AG46="","",INDEX('04_調査結果'!$H$5:$H$404,$AG46)&amp;"")</f>
        <v/>
      </c>
      <c r="O46" s="33">
        <f>IF($AG46="","",IF(INDEX('04_調査結果'!$Z$5:$Z$404,$AG46)&lt;&gt;"",INDEX('04_調査結果'!$Z$5:$Z$404,$AG46),INDEX('04_調査結果'!$AM$5:$AM$404,$AG46)))</f>
        <v/>
      </c>
      <c r="P46" s="33">
        <f>IF($AG46="","",IF(INDEX('04_調査結果'!$AA$5:$AA$404,$AG46)&lt;&gt;"",INDEX('04_調査結果'!$AA$5:$AA$404,$AG46),INDEX('04_調査結果'!$AN$5:$AN$404,$AG46)))</f>
        <v/>
      </c>
      <c r="Q46" s="33">
        <f>IF($AG46="","",INDEX('04_調査結果'!$AD$5:$AD$404,$AG46))</f>
        <v/>
      </c>
      <c r="R46">
        <f>IF($AG46="","",INDEX('04_調査結果'!$AO$5:$AO$404,$AG46))</f>
        <v/>
      </c>
      <c r="S46" s="37">
        <f>IF($AG46="","",INDEX('04_調査結果'!$AQ$5:$AQ$404,$AG46))</f>
        <v/>
      </c>
      <c r="T46" s="37">
        <f>IF($AG46="","",INDEX('04_調査結果'!$AR$5:$AR$404,$AG46))</f>
        <v/>
      </c>
      <c r="U46">
        <f>IF($AG46="","",INDEX('04_調査結果'!$N$5:$N$404,$AG46)&amp;"")</f>
        <v/>
      </c>
      <c r="V46">
        <f>IF($AG46="","",INDEX('04_調査結果'!$O$5:$O$404,$AG46))</f>
        <v/>
      </c>
      <c r="W46">
        <f>IF($AG46="","",INDEX('04_調査結果'!$P$5:$P$404,$AG46))</f>
        <v/>
      </c>
      <c r="X46">
        <f>IF($AG46="","",INDEX('04_調査結果'!$Q$5:$Q$404,$AG46))</f>
        <v/>
      </c>
      <c r="Y46">
        <f>IF($AG46="","",INDEX('04_調査結果'!$R$5:$R$404,$AG46))</f>
        <v/>
      </c>
      <c r="Z46">
        <f>IF($AG46="","",INDEX('04_調査結果'!$S$5:$S$404,$AG46))</f>
        <v/>
      </c>
      <c r="AA46">
        <f>IF($AG46="","",INDEX('04_調査結果'!$T$5:$T$404,$AG46))</f>
        <v/>
      </c>
      <c r="AB46">
        <f>IF($AG46="","",INDEX('04_調査結果'!$U$5:$U$404,$AG46))</f>
        <v/>
      </c>
      <c r="AC46">
        <f>IF($AG46="","",INDEX('04_調査結果'!$AF$5:$AF$404,$AG46))</f>
        <v/>
      </c>
      <c r="AD46">
        <f>IF($AG46="","",INDEX('04_調査結果'!$AC$5:$AC$404,$AG46)&amp;"")</f>
        <v/>
      </c>
      <c r="AE46">
        <f>IF($AG46="","",INDEX('04_調査結果'!$V$5:$V$404,$AG46)&amp;"")</f>
        <v/>
      </c>
      <c r="AF46">
        <f>IF($AG46="","",INDEX('04_調査結果'!$X$5:$X$404,$AG46)&amp;"")</f>
        <v/>
      </c>
      <c r="AG46" s="34">
        <f>IFERROR(MATCH(ROW()-4,'04_調査結果'!$AT$5:$AT$404,0),"")</f>
        <v/>
      </c>
    </row>
    <row r="47">
      <c r="A47">
        <f>IF($AG47="","",'01_設定'!$C$4)</f>
        <v/>
      </c>
      <c r="B47">
        <f>IF($AG47="","",'01_設定'!$C$5)</f>
        <v/>
      </c>
      <c r="C47">
        <f>IF($AG47="","",'01_設定'!$C$6)</f>
        <v/>
      </c>
      <c r="D47" s="36">
        <f>IF($AG47="","",'01_設定'!$C$22)</f>
        <v/>
      </c>
      <c r="E47" s="36">
        <f>IF($AG47="","",'01_設定'!$C$23)</f>
        <v/>
      </c>
      <c r="F47">
        <f>IF($AG47="","",'01_設定'!$C$32)</f>
        <v/>
      </c>
      <c r="G47">
        <f>IF($AG47="","",ROW()-4)</f>
        <v/>
      </c>
      <c r="H47">
        <f>IF($AG47="","",INDEX('04_調査結果'!$AJ$5:$AJ$404,$AG47))</f>
        <v/>
      </c>
      <c r="I47">
        <f>IF($AG47="","",INDEX('04_調査結果'!$D$5:$D$404,$AG47)&amp;"")</f>
        <v/>
      </c>
      <c r="J47">
        <f>IF($AG47="","",INDEX('04_調査結果'!$AK$5:$AK$404,$AG47)&amp;"")</f>
        <v/>
      </c>
      <c r="K47">
        <f>IF($AG47="","",IFERROR(INDEX('M1_類型マスタ'!$B$5:$B$19,MATCH(J47,'M1_類型マスタ'!$A$5:$A$19,0)),""))</f>
        <v/>
      </c>
      <c r="L47">
        <f>IF($AG47="","",INDEX('04_調査結果'!$F$5:$F$404,$AG47)&amp;"")</f>
        <v/>
      </c>
      <c r="M47">
        <f>IF($AG47="","",INDEX('04_調査結果'!$G$5:$G$404,$AG47)&amp;"")</f>
        <v/>
      </c>
      <c r="N47">
        <f>IF($AG47="","",INDEX('04_調査結果'!$H$5:$H$404,$AG47)&amp;"")</f>
        <v/>
      </c>
      <c r="O47" s="33">
        <f>IF($AG47="","",IF(INDEX('04_調査結果'!$Z$5:$Z$404,$AG47)&lt;&gt;"",INDEX('04_調査結果'!$Z$5:$Z$404,$AG47),INDEX('04_調査結果'!$AM$5:$AM$404,$AG47)))</f>
        <v/>
      </c>
      <c r="P47" s="33">
        <f>IF($AG47="","",IF(INDEX('04_調査結果'!$AA$5:$AA$404,$AG47)&lt;&gt;"",INDEX('04_調査結果'!$AA$5:$AA$404,$AG47),INDEX('04_調査結果'!$AN$5:$AN$404,$AG47)))</f>
        <v/>
      </c>
      <c r="Q47" s="33">
        <f>IF($AG47="","",INDEX('04_調査結果'!$AD$5:$AD$404,$AG47))</f>
        <v/>
      </c>
      <c r="R47">
        <f>IF($AG47="","",INDEX('04_調査結果'!$AO$5:$AO$404,$AG47))</f>
        <v/>
      </c>
      <c r="S47" s="37">
        <f>IF($AG47="","",INDEX('04_調査結果'!$AQ$5:$AQ$404,$AG47))</f>
        <v/>
      </c>
      <c r="T47" s="37">
        <f>IF($AG47="","",INDEX('04_調査結果'!$AR$5:$AR$404,$AG47))</f>
        <v/>
      </c>
      <c r="U47">
        <f>IF($AG47="","",INDEX('04_調査結果'!$N$5:$N$404,$AG47)&amp;"")</f>
        <v/>
      </c>
      <c r="V47">
        <f>IF($AG47="","",INDEX('04_調査結果'!$O$5:$O$404,$AG47))</f>
        <v/>
      </c>
      <c r="W47">
        <f>IF($AG47="","",INDEX('04_調査結果'!$P$5:$P$404,$AG47))</f>
        <v/>
      </c>
      <c r="X47">
        <f>IF($AG47="","",INDEX('04_調査結果'!$Q$5:$Q$404,$AG47))</f>
        <v/>
      </c>
      <c r="Y47">
        <f>IF($AG47="","",INDEX('04_調査結果'!$R$5:$R$404,$AG47))</f>
        <v/>
      </c>
      <c r="Z47">
        <f>IF($AG47="","",INDEX('04_調査結果'!$S$5:$S$404,$AG47))</f>
        <v/>
      </c>
      <c r="AA47">
        <f>IF($AG47="","",INDEX('04_調査結果'!$T$5:$T$404,$AG47))</f>
        <v/>
      </c>
      <c r="AB47">
        <f>IF($AG47="","",INDEX('04_調査結果'!$U$5:$U$404,$AG47))</f>
        <v/>
      </c>
      <c r="AC47">
        <f>IF($AG47="","",INDEX('04_調査結果'!$AF$5:$AF$404,$AG47))</f>
        <v/>
      </c>
      <c r="AD47">
        <f>IF($AG47="","",INDEX('04_調査結果'!$AC$5:$AC$404,$AG47)&amp;"")</f>
        <v/>
      </c>
      <c r="AE47">
        <f>IF($AG47="","",INDEX('04_調査結果'!$V$5:$V$404,$AG47)&amp;"")</f>
        <v/>
      </c>
      <c r="AF47">
        <f>IF($AG47="","",INDEX('04_調査結果'!$X$5:$X$404,$AG47)&amp;"")</f>
        <v/>
      </c>
      <c r="AG47" s="34">
        <f>IFERROR(MATCH(ROW()-4,'04_調査結果'!$AT$5:$AT$404,0),"")</f>
        <v/>
      </c>
    </row>
    <row r="48">
      <c r="A48">
        <f>IF($AG48="","",'01_設定'!$C$4)</f>
        <v/>
      </c>
      <c r="B48">
        <f>IF($AG48="","",'01_設定'!$C$5)</f>
        <v/>
      </c>
      <c r="C48">
        <f>IF($AG48="","",'01_設定'!$C$6)</f>
        <v/>
      </c>
      <c r="D48" s="36">
        <f>IF($AG48="","",'01_設定'!$C$22)</f>
        <v/>
      </c>
      <c r="E48" s="36">
        <f>IF($AG48="","",'01_設定'!$C$23)</f>
        <v/>
      </c>
      <c r="F48">
        <f>IF($AG48="","",'01_設定'!$C$32)</f>
        <v/>
      </c>
      <c r="G48">
        <f>IF($AG48="","",ROW()-4)</f>
        <v/>
      </c>
      <c r="H48">
        <f>IF($AG48="","",INDEX('04_調査結果'!$AJ$5:$AJ$404,$AG48))</f>
        <v/>
      </c>
      <c r="I48">
        <f>IF($AG48="","",INDEX('04_調査結果'!$D$5:$D$404,$AG48)&amp;"")</f>
        <v/>
      </c>
      <c r="J48">
        <f>IF($AG48="","",INDEX('04_調査結果'!$AK$5:$AK$404,$AG48)&amp;"")</f>
        <v/>
      </c>
      <c r="K48">
        <f>IF($AG48="","",IFERROR(INDEX('M1_類型マスタ'!$B$5:$B$19,MATCH(J48,'M1_類型マスタ'!$A$5:$A$19,0)),""))</f>
        <v/>
      </c>
      <c r="L48">
        <f>IF($AG48="","",INDEX('04_調査結果'!$F$5:$F$404,$AG48)&amp;"")</f>
        <v/>
      </c>
      <c r="M48">
        <f>IF($AG48="","",INDEX('04_調査結果'!$G$5:$G$404,$AG48)&amp;"")</f>
        <v/>
      </c>
      <c r="N48">
        <f>IF($AG48="","",INDEX('04_調査結果'!$H$5:$H$404,$AG48)&amp;"")</f>
        <v/>
      </c>
      <c r="O48" s="33">
        <f>IF($AG48="","",IF(INDEX('04_調査結果'!$Z$5:$Z$404,$AG48)&lt;&gt;"",INDEX('04_調査結果'!$Z$5:$Z$404,$AG48),INDEX('04_調査結果'!$AM$5:$AM$404,$AG48)))</f>
        <v/>
      </c>
      <c r="P48" s="33">
        <f>IF($AG48="","",IF(INDEX('04_調査結果'!$AA$5:$AA$404,$AG48)&lt;&gt;"",INDEX('04_調査結果'!$AA$5:$AA$404,$AG48),INDEX('04_調査結果'!$AN$5:$AN$404,$AG48)))</f>
        <v/>
      </c>
      <c r="Q48" s="33">
        <f>IF($AG48="","",INDEX('04_調査結果'!$AD$5:$AD$404,$AG48))</f>
        <v/>
      </c>
      <c r="R48">
        <f>IF($AG48="","",INDEX('04_調査結果'!$AO$5:$AO$404,$AG48))</f>
        <v/>
      </c>
      <c r="S48" s="37">
        <f>IF($AG48="","",INDEX('04_調査結果'!$AQ$5:$AQ$404,$AG48))</f>
        <v/>
      </c>
      <c r="T48" s="37">
        <f>IF($AG48="","",INDEX('04_調査結果'!$AR$5:$AR$404,$AG48))</f>
        <v/>
      </c>
      <c r="U48">
        <f>IF($AG48="","",INDEX('04_調査結果'!$N$5:$N$404,$AG48)&amp;"")</f>
        <v/>
      </c>
      <c r="V48">
        <f>IF($AG48="","",INDEX('04_調査結果'!$O$5:$O$404,$AG48))</f>
        <v/>
      </c>
      <c r="W48">
        <f>IF($AG48="","",INDEX('04_調査結果'!$P$5:$P$404,$AG48))</f>
        <v/>
      </c>
      <c r="X48">
        <f>IF($AG48="","",INDEX('04_調査結果'!$Q$5:$Q$404,$AG48))</f>
        <v/>
      </c>
      <c r="Y48">
        <f>IF($AG48="","",INDEX('04_調査結果'!$R$5:$R$404,$AG48))</f>
        <v/>
      </c>
      <c r="Z48">
        <f>IF($AG48="","",INDEX('04_調査結果'!$S$5:$S$404,$AG48))</f>
        <v/>
      </c>
      <c r="AA48">
        <f>IF($AG48="","",INDEX('04_調査結果'!$T$5:$T$404,$AG48))</f>
        <v/>
      </c>
      <c r="AB48">
        <f>IF($AG48="","",INDEX('04_調査結果'!$U$5:$U$404,$AG48))</f>
        <v/>
      </c>
      <c r="AC48">
        <f>IF($AG48="","",INDEX('04_調査結果'!$AF$5:$AF$404,$AG48))</f>
        <v/>
      </c>
      <c r="AD48">
        <f>IF($AG48="","",INDEX('04_調査結果'!$AC$5:$AC$404,$AG48)&amp;"")</f>
        <v/>
      </c>
      <c r="AE48">
        <f>IF($AG48="","",INDEX('04_調査結果'!$V$5:$V$404,$AG48)&amp;"")</f>
        <v/>
      </c>
      <c r="AF48">
        <f>IF($AG48="","",INDEX('04_調査結果'!$X$5:$X$404,$AG48)&amp;"")</f>
        <v/>
      </c>
      <c r="AG48" s="34">
        <f>IFERROR(MATCH(ROW()-4,'04_調査結果'!$AT$5:$AT$404,0),"")</f>
        <v/>
      </c>
    </row>
    <row r="49">
      <c r="A49">
        <f>IF($AG49="","",'01_設定'!$C$4)</f>
        <v/>
      </c>
      <c r="B49">
        <f>IF($AG49="","",'01_設定'!$C$5)</f>
        <v/>
      </c>
      <c r="C49">
        <f>IF($AG49="","",'01_設定'!$C$6)</f>
        <v/>
      </c>
      <c r="D49" s="36">
        <f>IF($AG49="","",'01_設定'!$C$22)</f>
        <v/>
      </c>
      <c r="E49" s="36">
        <f>IF($AG49="","",'01_設定'!$C$23)</f>
        <v/>
      </c>
      <c r="F49">
        <f>IF($AG49="","",'01_設定'!$C$32)</f>
        <v/>
      </c>
      <c r="G49">
        <f>IF($AG49="","",ROW()-4)</f>
        <v/>
      </c>
      <c r="H49">
        <f>IF($AG49="","",INDEX('04_調査結果'!$AJ$5:$AJ$404,$AG49))</f>
        <v/>
      </c>
      <c r="I49">
        <f>IF($AG49="","",INDEX('04_調査結果'!$D$5:$D$404,$AG49)&amp;"")</f>
        <v/>
      </c>
      <c r="J49">
        <f>IF($AG49="","",INDEX('04_調査結果'!$AK$5:$AK$404,$AG49)&amp;"")</f>
        <v/>
      </c>
      <c r="K49">
        <f>IF($AG49="","",IFERROR(INDEX('M1_類型マスタ'!$B$5:$B$19,MATCH(J49,'M1_類型マスタ'!$A$5:$A$19,0)),""))</f>
        <v/>
      </c>
      <c r="L49">
        <f>IF($AG49="","",INDEX('04_調査結果'!$F$5:$F$404,$AG49)&amp;"")</f>
        <v/>
      </c>
      <c r="M49">
        <f>IF($AG49="","",INDEX('04_調査結果'!$G$5:$G$404,$AG49)&amp;"")</f>
        <v/>
      </c>
      <c r="N49">
        <f>IF($AG49="","",INDEX('04_調査結果'!$H$5:$H$404,$AG49)&amp;"")</f>
        <v/>
      </c>
      <c r="O49" s="33">
        <f>IF($AG49="","",IF(INDEX('04_調査結果'!$Z$5:$Z$404,$AG49)&lt;&gt;"",INDEX('04_調査結果'!$Z$5:$Z$404,$AG49),INDEX('04_調査結果'!$AM$5:$AM$404,$AG49)))</f>
        <v/>
      </c>
      <c r="P49" s="33">
        <f>IF($AG49="","",IF(INDEX('04_調査結果'!$AA$5:$AA$404,$AG49)&lt;&gt;"",INDEX('04_調査結果'!$AA$5:$AA$404,$AG49),INDEX('04_調査結果'!$AN$5:$AN$404,$AG49)))</f>
        <v/>
      </c>
      <c r="Q49" s="33">
        <f>IF($AG49="","",INDEX('04_調査結果'!$AD$5:$AD$404,$AG49))</f>
        <v/>
      </c>
      <c r="R49">
        <f>IF($AG49="","",INDEX('04_調査結果'!$AO$5:$AO$404,$AG49))</f>
        <v/>
      </c>
      <c r="S49" s="37">
        <f>IF($AG49="","",INDEX('04_調査結果'!$AQ$5:$AQ$404,$AG49))</f>
        <v/>
      </c>
      <c r="T49" s="37">
        <f>IF($AG49="","",INDEX('04_調査結果'!$AR$5:$AR$404,$AG49))</f>
        <v/>
      </c>
      <c r="U49">
        <f>IF($AG49="","",INDEX('04_調査結果'!$N$5:$N$404,$AG49)&amp;"")</f>
        <v/>
      </c>
      <c r="V49">
        <f>IF($AG49="","",INDEX('04_調査結果'!$O$5:$O$404,$AG49))</f>
        <v/>
      </c>
      <c r="W49">
        <f>IF($AG49="","",INDEX('04_調査結果'!$P$5:$P$404,$AG49))</f>
        <v/>
      </c>
      <c r="X49">
        <f>IF($AG49="","",INDEX('04_調査結果'!$Q$5:$Q$404,$AG49))</f>
        <v/>
      </c>
      <c r="Y49">
        <f>IF($AG49="","",INDEX('04_調査結果'!$R$5:$R$404,$AG49))</f>
        <v/>
      </c>
      <c r="Z49">
        <f>IF($AG49="","",INDEX('04_調査結果'!$S$5:$S$404,$AG49))</f>
        <v/>
      </c>
      <c r="AA49">
        <f>IF($AG49="","",INDEX('04_調査結果'!$T$5:$T$404,$AG49))</f>
        <v/>
      </c>
      <c r="AB49">
        <f>IF($AG49="","",INDEX('04_調査結果'!$U$5:$U$404,$AG49))</f>
        <v/>
      </c>
      <c r="AC49">
        <f>IF($AG49="","",INDEX('04_調査結果'!$AF$5:$AF$404,$AG49))</f>
        <v/>
      </c>
      <c r="AD49">
        <f>IF($AG49="","",INDEX('04_調査結果'!$AC$5:$AC$404,$AG49)&amp;"")</f>
        <v/>
      </c>
      <c r="AE49">
        <f>IF($AG49="","",INDEX('04_調査結果'!$V$5:$V$404,$AG49)&amp;"")</f>
        <v/>
      </c>
      <c r="AF49">
        <f>IF($AG49="","",INDEX('04_調査結果'!$X$5:$X$404,$AG49)&amp;"")</f>
        <v/>
      </c>
      <c r="AG49" s="34">
        <f>IFERROR(MATCH(ROW()-4,'04_調査結果'!$AT$5:$AT$404,0),"")</f>
        <v/>
      </c>
    </row>
    <row r="50">
      <c r="A50">
        <f>IF($AG50="","",'01_設定'!$C$4)</f>
        <v/>
      </c>
      <c r="B50">
        <f>IF($AG50="","",'01_設定'!$C$5)</f>
        <v/>
      </c>
      <c r="C50">
        <f>IF($AG50="","",'01_設定'!$C$6)</f>
        <v/>
      </c>
      <c r="D50" s="36">
        <f>IF($AG50="","",'01_設定'!$C$22)</f>
        <v/>
      </c>
      <c r="E50" s="36">
        <f>IF($AG50="","",'01_設定'!$C$23)</f>
        <v/>
      </c>
      <c r="F50">
        <f>IF($AG50="","",'01_設定'!$C$32)</f>
        <v/>
      </c>
      <c r="G50">
        <f>IF($AG50="","",ROW()-4)</f>
        <v/>
      </c>
      <c r="H50">
        <f>IF($AG50="","",INDEX('04_調査結果'!$AJ$5:$AJ$404,$AG50))</f>
        <v/>
      </c>
      <c r="I50">
        <f>IF($AG50="","",INDEX('04_調査結果'!$D$5:$D$404,$AG50)&amp;"")</f>
        <v/>
      </c>
      <c r="J50">
        <f>IF($AG50="","",INDEX('04_調査結果'!$AK$5:$AK$404,$AG50)&amp;"")</f>
        <v/>
      </c>
      <c r="K50">
        <f>IF($AG50="","",IFERROR(INDEX('M1_類型マスタ'!$B$5:$B$19,MATCH(J50,'M1_類型マスタ'!$A$5:$A$19,0)),""))</f>
        <v/>
      </c>
      <c r="L50">
        <f>IF($AG50="","",INDEX('04_調査結果'!$F$5:$F$404,$AG50)&amp;"")</f>
        <v/>
      </c>
      <c r="M50">
        <f>IF($AG50="","",INDEX('04_調査結果'!$G$5:$G$404,$AG50)&amp;"")</f>
        <v/>
      </c>
      <c r="N50">
        <f>IF($AG50="","",INDEX('04_調査結果'!$H$5:$H$404,$AG50)&amp;"")</f>
        <v/>
      </c>
      <c r="O50" s="33">
        <f>IF($AG50="","",IF(INDEX('04_調査結果'!$Z$5:$Z$404,$AG50)&lt;&gt;"",INDEX('04_調査結果'!$Z$5:$Z$404,$AG50),INDEX('04_調査結果'!$AM$5:$AM$404,$AG50)))</f>
        <v/>
      </c>
      <c r="P50" s="33">
        <f>IF($AG50="","",IF(INDEX('04_調査結果'!$AA$5:$AA$404,$AG50)&lt;&gt;"",INDEX('04_調査結果'!$AA$5:$AA$404,$AG50),INDEX('04_調査結果'!$AN$5:$AN$404,$AG50)))</f>
        <v/>
      </c>
      <c r="Q50" s="33">
        <f>IF($AG50="","",INDEX('04_調査結果'!$AD$5:$AD$404,$AG50))</f>
        <v/>
      </c>
      <c r="R50">
        <f>IF($AG50="","",INDEX('04_調査結果'!$AO$5:$AO$404,$AG50))</f>
        <v/>
      </c>
      <c r="S50" s="37">
        <f>IF($AG50="","",INDEX('04_調査結果'!$AQ$5:$AQ$404,$AG50))</f>
        <v/>
      </c>
      <c r="T50" s="37">
        <f>IF($AG50="","",INDEX('04_調査結果'!$AR$5:$AR$404,$AG50))</f>
        <v/>
      </c>
      <c r="U50">
        <f>IF($AG50="","",INDEX('04_調査結果'!$N$5:$N$404,$AG50)&amp;"")</f>
        <v/>
      </c>
      <c r="V50">
        <f>IF($AG50="","",INDEX('04_調査結果'!$O$5:$O$404,$AG50))</f>
        <v/>
      </c>
      <c r="W50">
        <f>IF($AG50="","",INDEX('04_調査結果'!$P$5:$P$404,$AG50))</f>
        <v/>
      </c>
      <c r="X50">
        <f>IF($AG50="","",INDEX('04_調査結果'!$Q$5:$Q$404,$AG50))</f>
        <v/>
      </c>
      <c r="Y50">
        <f>IF($AG50="","",INDEX('04_調査結果'!$R$5:$R$404,$AG50))</f>
        <v/>
      </c>
      <c r="Z50">
        <f>IF($AG50="","",INDEX('04_調査結果'!$S$5:$S$404,$AG50))</f>
        <v/>
      </c>
      <c r="AA50">
        <f>IF($AG50="","",INDEX('04_調査結果'!$T$5:$T$404,$AG50))</f>
        <v/>
      </c>
      <c r="AB50">
        <f>IF($AG50="","",INDEX('04_調査結果'!$U$5:$U$404,$AG50))</f>
        <v/>
      </c>
      <c r="AC50">
        <f>IF($AG50="","",INDEX('04_調査結果'!$AF$5:$AF$404,$AG50))</f>
        <v/>
      </c>
      <c r="AD50">
        <f>IF($AG50="","",INDEX('04_調査結果'!$AC$5:$AC$404,$AG50)&amp;"")</f>
        <v/>
      </c>
      <c r="AE50">
        <f>IF($AG50="","",INDEX('04_調査結果'!$V$5:$V$404,$AG50)&amp;"")</f>
        <v/>
      </c>
      <c r="AF50">
        <f>IF($AG50="","",INDEX('04_調査結果'!$X$5:$X$404,$AG50)&amp;"")</f>
        <v/>
      </c>
      <c r="AG50" s="34">
        <f>IFERROR(MATCH(ROW()-4,'04_調査結果'!$AT$5:$AT$404,0),"")</f>
        <v/>
      </c>
    </row>
    <row r="51">
      <c r="A51">
        <f>IF($AG51="","",'01_設定'!$C$4)</f>
        <v/>
      </c>
      <c r="B51">
        <f>IF($AG51="","",'01_設定'!$C$5)</f>
        <v/>
      </c>
      <c r="C51">
        <f>IF($AG51="","",'01_設定'!$C$6)</f>
        <v/>
      </c>
      <c r="D51" s="36">
        <f>IF($AG51="","",'01_設定'!$C$22)</f>
        <v/>
      </c>
      <c r="E51" s="36">
        <f>IF($AG51="","",'01_設定'!$C$23)</f>
        <v/>
      </c>
      <c r="F51">
        <f>IF($AG51="","",'01_設定'!$C$32)</f>
        <v/>
      </c>
      <c r="G51">
        <f>IF($AG51="","",ROW()-4)</f>
        <v/>
      </c>
      <c r="H51">
        <f>IF($AG51="","",INDEX('04_調査結果'!$AJ$5:$AJ$404,$AG51))</f>
        <v/>
      </c>
      <c r="I51">
        <f>IF($AG51="","",INDEX('04_調査結果'!$D$5:$D$404,$AG51)&amp;"")</f>
        <v/>
      </c>
      <c r="J51">
        <f>IF($AG51="","",INDEX('04_調査結果'!$AK$5:$AK$404,$AG51)&amp;"")</f>
        <v/>
      </c>
      <c r="K51">
        <f>IF($AG51="","",IFERROR(INDEX('M1_類型マスタ'!$B$5:$B$19,MATCH(J51,'M1_類型マスタ'!$A$5:$A$19,0)),""))</f>
        <v/>
      </c>
      <c r="L51">
        <f>IF($AG51="","",INDEX('04_調査結果'!$F$5:$F$404,$AG51)&amp;"")</f>
        <v/>
      </c>
      <c r="M51">
        <f>IF($AG51="","",INDEX('04_調査結果'!$G$5:$G$404,$AG51)&amp;"")</f>
        <v/>
      </c>
      <c r="N51">
        <f>IF($AG51="","",INDEX('04_調査結果'!$H$5:$H$404,$AG51)&amp;"")</f>
        <v/>
      </c>
      <c r="O51" s="33">
        <f>IF($AG51="","",IF(INDEX('04_調査結果'!$Z$5:$Z$404,$AG51)&lt;&gt;"",INDEX('04_調査結果'!$Z$5:$Z$404,$AG51),INDEX('04_調査結果'!$AM$5:$AM$404,$AG51)))</f>
        <v/>
      </c>
      <c r="P51" s="33">
        <f>IF($AG51="","",IF(INDEX('04_調査結果'!$AA$5:$AA$404,$AG51)&lt;&gt;"",INDEX('04_調査結果'!$AA$5:$AA$404,$AG51),INDEX('04_調査結果'!$AN$5:$AN$404,$AG51)))</f>
        <v/>
      </c>
      <c r="Q51" s="33">
        <f>IF($AG51="","",INDEX('04_調査結果'!$AD$5:$AD$404,$AG51))</f>
        <v/>
      </c>
      <c r="R51">
        <f>IF($AG51="","",INDEX('04_調査結果'!$AO$5:$AO$404,$AG51))</f>
        <v/>
      </c>
      <c r="S51" s="37">
        <f>IF($AG51="","",INDEX('04_調査結果'!$AQ$5:$AQ$404,$AG51))</f>
        <v/>
      </c>
      <c r="T51" s="37">
        <f>IF($AG51="","",INDEX('04_調査結果'!$AR$5:$AR$404,$AG51))</f>
        <v/>
      </c>
      <c r="U51">
        <f>IF($AG51="","",INDEX('04_調査結果'!$N$5:$N$404,$AG51)&amp;"")</f>
        <v/>
      </c>
      <c r="V51">
        <f>IF($AG51="","",INDEX('04_調査結果'!$O$5:$O$404,$AG51))</f>
        <v/>
      </c>
      <c r="W51">
        <f>IF($AG51="","",INDEX('04_調査結果'!$P$5:$P$404,$AG51))</f>
        <v/>
      </c>
      <c r="X51">
        <f>IF($AG51="","",INDEX('04_調査結果'!$Q$5:$Q$404,$AG51))</f>
        <v/>
      </c>
      <c r="Y51">
        <f>IF($AG51="","",INDEX('04_調査結果'!$R$5:$R$404,$AG51))</f>
        <v/>
      </c>
      <c r="Z51">
        <f>IF($AG51="","",INDEX('04_調査結果'!$S$5:$S$404,$AG51))</f>
        <v/>
      </c>
      <c r="AA51">
        <f>IF($AG51="","",INDEX('04_調査結果'!$T$5:$T$404,$AG51))</f>
        <v/>
      </c>
      <c r="AB51">
        <f>IF($AG51="","",INDEX('04_調査結果'!$U$5:$U$404,$AG51))</f>
        <v/>
      </c>
      <c r="AC51">
        <f>IF($AG51="","",INDEX('04_調査結果'!$AF$5:$AF$404,$AG51))</f>
        <v/>
      </c>
      <c r="AD51">
        <f>IF($AG51="","",INDEX('04_調査結果'!$AC$5:$AC$404,$AG51)&amp;"")</f>
        <v/>
      </c>
      <c r="AE51">
        <f>IF($AG51="","",INDEX('04_調査結果'!$V$5:$V$404,$AG51)&amp;"")</f>
        <v/>
      </c>
      <c r="AF51">
        <f>IF($AG51="","",INDEX('04_調査結果'!$X$5:$X$404,$AG51)&amp;"")</f>
        <v/>
      </c>
      <c r="AG51" s="34">
        <f>IFERROR(MATCH(ROW()-4,'04_調査結果'!$AT$5:$AT$404,0),"")</f>
        <v/>
      </c>
    </row>
    <row r="52">
      <c r="A52">
        <f>IF($AG52="","",'01_設定'!$C$4)</f>
        <v/>
      </c>
      <c r="B52">
        <f>IF($AG52="","",'01_設定'!$C$5)</f>
        <v/>
      </c>
      <c r="C52">
        <f>IF($AG52="","",'01_設定'!$C$6)</f>
        <v/>
      </c>
      <c r="D52" s="36">
        <f>IF($AG52="","",'01_設定'!$C$22)</f>
        <v/>
      </c>
      <c r="E52" s="36">
        <f>IF($AG52="","",'01_設定'!$C$23)</f>
        <v/>
      </c>
      <c r="F52">
        <f>IF($AG52="","",'01_設定'!$C$32)</f>
        <v/>
      </c>
      <c r="G52">
        <f>IF($AG52="","",ROW()-4)</f>
        <v/>
      </c>
      <c r="H52">
        <f>IF($AG52="","",INDEX('04_調査結果'!$AJ$5:$AJ$404,$AG52))</f>
        <v/>
      </c>
      <c r="I52">
        <f>IF($AG52="","",INDEX('04_調査結果'!$D$5:$D$404,$AG52)&amp;"")</f>
        <v/>
      </c>
      <c r="J52">
        <f>IF($AG52="","",INDEX('04_調査結果'!$AK$5:$AK$404,$AG52)&amp;"")</f>
        <v/>
      </c>
      <c r="K52">
        <f>IF($AG52="","",IFERROR(INDEX('M1_類型マスタ'!$B$5:$B$19,MATCH(J52,'M1_類型マスタ'!$A$5:$A$19,0)),""))</f>
        <v/>
      </c>
      <c r="L52">
        <f>IF($AG52="","",INDEX('04_調査結果'!$F$5:$F$404,$AG52)&amp;"")</f>
        <v/>
      </c>
      <c r="M52">
        <f>IF($AG52="","",INDEX('04_調査結果'!$G$5:$G$404,$AG52)&amp;"")</f>
        <v/>
      </c>
      <c r="N52">
        <f>IF($AG52="","",INDEX('04_調査結果'!$H$5:$H$404,$AG52)&amp;"")</f>
        <v/>
      </c>
      <c r="O52" s="33">
        <f>IF($AG52="","",IF(INDEX('04_調査結果'!$Z$5:$Z$404,$AG52)&lt;&gt;"",INDEX('04_調査結果'!$Z$5:$Z$404,$AG52),INDEX('04_調査結果'!$AM$5:$AM$404,$AG52)))</f>
        <v/>
      </c>
      <c r="P52" s="33">
        <f>IF($AG52="","",IF(INDEX('04_調査結果'!$AA$5:$AA$404,$AG52)&lt;&gt;"",INDEX('04_調査結果'!$AA$5:$AA$404,$AG52),INDEX('04_調査結果'!$AN$5:$AN$404,$AG52)))</f>
        <v/>
      </c>
      <c r="Q52" s="33">
        <f>IF($AG52="","",INDEX('04_調査結果'!$AD$5:$AD$404,$AG52))</f>
        <v/>
      </c>
      <c r="R52">
        <f>IF($AG52="","",INDEX('04_調査結果'!$AO$5:$AO$404,$AG52))</f>
        <v/>
      </c>
      <c r="S52" s="37">
        <f>IF($AG52="","",INDEX('04_調査結果'!$AQ$5:$AQ$404,$AG52))</f>
        <v/>
      </c>
      <c r="T52" s="37">
        <f>IF($AG52="","",INDEX('04_調査結果'!$AR$5:$AR$404,$AG52))</f>
        <v/>
      </c>
      <c r="U52">
        <f>IF($AG52="","",INDEX('04_調査結果'!$N$5:$N$404,$AG52)&amp;"")</f>
        <v/>
      </c>
      <c r="V52">
        <f>IF($AG52="","",INDEX('04_調査結果'!$O$5:$O$404,$AG52))</f>
        <v/>
      </c>
      <c r="W52">
        <f>IF($AG52="","",INDEX('04_調査結果'!$P$5:$P$404,$AG52))</f>
        <v/>
      </c>
      <c r="X52">
        <f>IF($AG52="","",INDEX('04_調査結果'!$Q$5:$Q$404,$AG52))</f>
        <v/>
      </c>
      <c r="Y52">
        <f>IF($AG52="","",INDEX('04_調査結果'!$R$5:$R$404,$AG52))</f>
        <v/>
      </c>
      <c r="Z52">
        <f>IF($AG52="","",INDEX('04_調査結果'!$S$5:$S$404,$AG52))</f>
        <v/>
      </c>
      <c r="AA52">
        <f>IF($AG52="","",INDEX('04_調査結果'!$T$5:$T$404,$AG52))</f>
        <v/>
      </c>
      <c r="AB52">
        <f>IF($AG52="","",INDEX('04_調査結果'!$U$5:$U$404,$AG52))</f>
        <v/>
      </c>
      <c r="AC52">
        <f>IF($AG52="","",INDEX('04_調査結果'!$AF$5:$AF$404,$AG52))</f>
        <v/>
      </c>
      <c r="AD52">
        <f>IF($AG52="","",INDEX('04_調査結果'!$AC$5:$AC$404,$AG52)&amp;"")</f>
        <v/>
      </c>
      <c r="AE52">
        <f>IF($AG52="","",INDEX('04_調査結果'!$V$5:$V$404,$AG52)&amp;"")</f>
        <v/>
      </c>
      <c r="AF52">
        <f>IF($AG52="","",INDEX('04_調査結果'!$X$5:$X$404,$AG52)&amp;"")</f>
        <v/>
      </c>
      <c r="AG52" s="34">
        <f>IFERROR(MATCH(ROW()-4,'04_調査結果'!$AT$5:$AT$404,0),"")</f>
        <v/>
      </c>
    </row>
    <row r="53">
      <c r="A53">
        <f>IF($AG53="","",'01_設定'!$C$4)</f>
        <v/>
      </c>
      <c r="B53">
        <f>IF($AG53="","",'01_設定'!$C$5)</f>
        <v/>
      </c>
      <c r="C53">
        <f>IF($AG53="","",'01_設定'!$C$6)</f>
        <v/>
      </c>
      <c r="D53" s="36">
        <f>IF($AG53="","",'01_設定'!$C$22)</f>
        <v/>
      </c>
      <c r="E53" s="36">
        <f>IF($AG53="","",'01_設定'!$C$23)</f>
        <v/>
      </c>
      <c r="F53">
        <f>IF($AG53="","",'01_設定'!$C$32)</f>
        <v/>
      </c>
      <c r="G53">
        <f>IF($AG53="","",ROW()-4)</f>
        <v/>
      </c>
      <c r="H53">
        <f>IF($AG53="","",INDEX('04_調査結果'!$AJ$5:$AJ$404,$AG53))</f>
        <v/>
      </c>
      <c r="I53">
        <f>IF($AG53="","",INDEX('04_調査結果'!$D$5:$D$404,$AG53)&amp;"")</f>
        <v/>
      </c>
      <c r="J53">
        <f>IF($AG53="","",INDEX('04_調査結果'!$AK$5:$AK$404,$AG53)&amp;"")</f>
        <v/>
      </c>
      <c r="K53">
        <f>IF($AG53="","",IFERROR(INDEX('M1_類型マスタ'!$B$5:$B$19,MATCH(J53,'M1_類型マスタ'!$A$5:$A$19,0)),""))</f>
        <v/>
      </c>
      <c r="L53">
        <f>IF($AG53="","",INDEX('04_調査結果'!$F$5:$F$404,$AG53)&amp;"")</f>
        <v/>
      </c>
      <c r="M53">
        <f>IF($AG53="","",INDEX('04_調査結果'!$G$5:$G$404,$AG53)&amp;"")</f>
        <v/>
      </c>
      <c r="N53">
        <f>IF($AG53="","",INDEX('04_調査結果'!$H$5:$H$404,$AG53)&amp;"")</f>
        <v/>
      </c>
      <c r="O53" s="33">
        <f>IF($AG53="","",IF(INDEX('04_調査結果'!$Z$5:$Z$404,$AG53)&lt;&gt;"",INDEX('04_調査結果'!$Z$5:$Z$404,$AG53),INDEX('04_調査結果'!$AM$5:$AM$404,$AG53)))</f>
        <v/>
      </c>
      <c r="P53" s="33">
        <f>IF($AG53="","",IF(INDEX('04_調査結果'!$AA$5:$AA$404,$AG53)&lt;&gt;"",INDEX('04_調査結果'!$AA$5:$AA$404,$AG53),INDEX('04_調査結果'!$AN$5:$AN$404,$AG53)))</f>
        <v/>
      </c>
      <c r="Q53" s="33">
        <f>IF($AG53="","",INDEX('04_調査結果'!$AD$5:$AD$404,$AG53))</f>
        <v/>
      </c>
      <c r="R53">
        <f>IF($AG53="","",INDEX('04_調査結果'!$AO$5:$AO$404,$AG53))</f>
        <v/>
      </c>
      <c r="S53" s="37">
        <f>IF($AG53="","",INDEX('04_調査結果'!$AQ$5:$AQ$404,$AG53))</f>
        <v/>
      </c>
      <c r="T53" s="37">
        <f>IF($AG53="","",INDEX('04_調査結果'!$AR$5:$AR$404,$AG53))</f>
        <v/>
      </c>
      <c r="U53">
        <f>IF($AG53="","",INDEX('04_調査結果'!$N$5:$N$404,$AG53)&amp;"")</f>
        <v/>
      </c>
      <c r="V53">
        <f>IF($AG53="","",INDEX('04_調査結果'!$O$5:$O$404,$AG53))</f>
        <v/>
      </c>
      <c r="W53">
        <f>IF($AG53="","",INDEX('04_調査結果'!$P$5:$P$404,$AG53))</f>
        <v/>
      </c>
      <c r="X53">
        <f>IF($AG53="","",INDEX('04_調査結果'!$Q$5:$Q$404,$AG53))</f>
        <v/>
      </c>
      <c r="Y53">
        <f>IF($AG53="","",INDEX('04_調査結果'!$R$5:$R$404,$AG53))</f>
        <v/>
      </c>
      <c r="Z53">
        <f>IF($AG53="","",INDEX('04_調査結果'!$S$5:$S$404,$AG53))</f>
        <v/>
      </c>
      <c r="AA53">
        <f>IF($AG53="","",INDEX('04_調査結果'!$T$5:$T$404,$AG53))</f>
        <v/>
      </c>
      <c r="AB53">
        <f>IF($AG53="","",INDEX('04_調査結果'!$U$5:$U$404,$AG53))</f>
        <v/>
      </c>
      <c r="AC53">
        <f>IF($AG53="","",INDEX('04_調査結果'!$AF$5:$AF$404,$AG53))</f>
        <v/>
      </c>
      <c r="AD53">
        <f>IF($AG53="","",INDEX('04_調査結果'!$AC$5:$AC$404,$AG53)&amp;"")</f>
        <v/>
      </c>
      <c r="AE53">
        <f>IF($AG53="","",INDEX('04_調査結果'!$V$5:$V$404,$AG53)&amp;"")</f>
        <v/>
      </c>
      <c r="AF53">
        <f>IF($AG53="","",INDEX('04_調査結果'!$X$5:$X$404,$AG53)&amp;"")</f>
        <v/>
      </c>
      <c r="AG53" s="34">
        <f>IFERROR(MATCH(ROW()-4,'04_調査結果'!$AT$5:$AT$404,0),"")</f>
        <v/>
      </c>
    </row>
    <row r="54">
      <c r="A54">
        <f>IF($AG54="","",'01_設定'!$C$4)</f>
        <v/>
      </c>
      <c r="B54">
        <f>IF($AG54="","",'01_設定'!$C$5)</f>
        <v/>
      </c>
      <c r="C54">
        <f>IF($AG54="","",'01_設定'!$C$6)</f>
        <v/>
      </c>
      <c r="D54" s="36">
        <f>IF($AG54="","",'01_設定'!$C$22)</f>
        <v/>
      </c>
      <c r="E54" s="36">
        <f>IF($AG54="","",'01_設定'!$C$23)</f>
        <v/>
      </c>
      <c r="F54">
        <f>IF($AG54="","",'01_設定'!$C$32)</f>
        <v/>
      </c>
      <c r="G54">
        <f>IF($AG54="","",ROW()-4)</f>
        <v/>
      </c>
      <c r="H54">
        <f>IF($AG54="","",INDEX('04_調査結果'!$AJ$5:$AJ$404,$AG54))</f>
        <v/>
      </c>
      <c r="I54">
        <f>IF($AG54="","",INDEX('04_調査結果'!$D$5:$D$404,$AG54)&amp;"")</f>
        <v/>
      </c>
      <c r="J54">
        <f>IF($AG54="","",INDEX('04_調査結果'!$AK$5:$AK$404,$AG54)&amp;"")</f>
        <v/>
      </c>
      <c r="K54">
        <f>IF($AG54="","",IFERROR(INDEX('M1_類型マスタ'!$B$5:$B$19,MATCH(J54,'M1_類型マスタ'!$A$5:$A$19,0)),""))</f>
        <v/>
      </c>
      <c r="L54">
        <f>IF($AG54="","",INDEX('04_調査結果'!$F$5:$F$404,$AG54)&amp;"")</f>
        <v/>
      </c>
      <c r="M54">
        <f>IF($AG54="","",INDEX('04_調査結果'!$G$5:$G$404,$AG54)&amp;"")</f>
        <v/>
      </c>
      <c r="N54">
        <f>IF($AG54="","",INDEX('04_調査結果'!$H$5:$H$404,$AG54)&amp;"")</f>
        <v/>
      </c>
      <c r="O54" s="33">
        <f>IF($AG54="","",IF(INDEX('04_調査結果'!$Z$5:$Z$404,$AG54)&lt;&gt;"",INDEX('04_調査結果'!$Z$5:$Z$404,$AG54),INDEX('04_調査結果'!$AM$5:$AM$404,$AG54)))</f>
        <v/>
      </c>
      <c r="P54" s="33">
        <f>IF($AG54="","",IF(INDEX('04_調査結果'!$AA$5:$AA$404,$AG54)&lt;&gt;"",INDEX('04_調査結果'!$AA$5:$AA$404,$AG54),INDEX('04_調査結果'!$AN$5:$AN$404,$AG54)))</f>
        <v/>
      </c>
      <c r="Q54" s="33">
        <f>IF($AG54="","",INDEX('04_調査結果'!$AD$5:$AD$404,$AG54))</f>
        <v/>
      </c>
      <c r="R54">
        <f>IF($AG54="","",INDEX('04_調査結果'!$AO$5:$AO$404,$AG54))</f>
        <v/>
      </c>
      <c r="S54" s="37">
        <f>IF($AG54="","",INDEX('04_調査結果'!$AQ$5:$AQ$404,$AG54))</f>
        <v/>
      </c>
      <c r="T54" s="37">
        <f>IF($AG54="","",INDEX('04_調査結果'!$AR$5:$AR$404,$AG54))</f>
        <v/>
      </c>
      <c r="U54">
        <f>IF($AG54="","",INDEX('04_調査結果'!$N$5:$N$404,$AG54)&amp;"")</f>
        <v/>
      </c>
      <c r="V54">
        <f>IF($AG54="","",INDEX('04_調査結果'!$O$5:$O$404,$AG54))</f>
        <v/>
      </c>
      <c r="W54">
        <f>IF($AG54="","",INDEX('04_調査結果'!$P$5:$P$404,$AG54))</f>
        <v/>
      </c>
      <c r="X54">
        <f>IF($AG54="","",INDEX('04_調査結果'!$Q$5:$Q$404,$AG54))</f>
        <v/>
      </c>
      <c r="Y54">
        <f>IF($AG54="","",INDEX('04_調査結果'!$R$5:$R$404,$AG54))</f>
        <v/>
      </c>
      <c r="Z54">
        <f>IF($AG54="","",INDEX('04_調査結果'!$S$5:$S$404,$AG54))</f>
        <v/>
      </c>
      <c r="AA54">
        <f>IF($AG54="","",INDEX('04_調査結果'!$T$5:$T$404,$AG54))</f>
        <v/>
      </c>
      <c r="AB54">
        <f>IF($AG54="","",INDEX('04_調査結果'!$U$5:$U$404,$AG54))</f>
        <v/>
      </c>
      <c r="AC54">
        <f>IF($AG54="","",INDEX('04_調査結果'!$AF$5:$AF$404,$AG54))</f>
        <v/>
      </c>
      <c r="AD54">
        <f>IF($AG54="","",INDEX('04_調査結果'!$AC$5:$AC$404,$AG54)&amp;"")</f>
        <v/>
      </c>
      <c r="AE54">
        <f>IF($AG54="","",INDEX('04_調査結果'!$V$5:$V$404,$AG54)&amp;"")</f>
        <v/>
      </c>
      <c r="AF54">
        <f>IF($AG54="","",INDEX('04_調査結果'!$X$5:$X$404,$AG54)&amp;"")</f>
        <v/>
      </c>
      <c r="AG54" s="34">
        <f>IFERROR(MATCH(ROW()-4,'04_調査結果'!$AT$5:$AT$404,0),"")</f>
        <v/>
      </c>
    </row>
    <row r="55">
      <c r="A55">
        <f>IF($AG55="","",'01_設定'!$C$4)</f>
        <v/>
      </c>
      <c r="B55">
        <f>IF($AG55="","",'01_設定'!$C$5)</f>
        <v/>
      </c>
      <c r="C55">
        <f>IF($AG55="","",'01_設定'!$C$6)</f>
        <v/>
      </c>
      <c r="D55" s="36">
        <f>IF($AG55="","",'01_設定'!$C$22)</f>
        <v/>
      </c>
      <c r="E55" s="36">
        <f>IF($AG55="","",'01_設定'!$C$23)</f>
        <v/>
      </c>
      <c r="F55">
        <f>IF($AG55="","",'01_設定'!$C$32)</f>
        <v/>
      </c>
      <c r="G55">
        <f>IF($AG55="","",ROW()-4)</f>
        <v/>
      </c>
      <c r="H55">
        <f>IF($AG55="","",INDEX('04_調査結果'!$AJ$5:$AJ$404,$AG55))</f>
        <v/>
      </c>
      <c r="I55">
        <f>IF($AG55="","",INDEX('04_調査結果'!$D$5:$D$404,$AG55)&amp;"")</f>
        <v/>
      </c>
      <c r="J55">
        <f>IF($AG55="","",INDEX('04_調査結果'!$AK$5:$AK$404,$AG55)&amp;"")</f>
        <v/>
      </c>
      <c r="K55">
        <f>IF($AG55="","",IFERROR(INDEX('M1_類型マスタ'!$B$5:$B$19,MATCH(J55,'M1_類型マスタ'!$A$5:$A$19,0)),""))</f>
        <v/>
      </c>
      <c r="L55">
        <f>IF($AG55="","",INDEX('04_調査結果'!$F$5:$F$404,$AG55)&amp;"")</f>
        <v/>
      </c>
      <c r="M55">
        <f>IF($AG55="","",INDEX('04_調査結果'!$G$5:$G$404,$AG55)&amp;"")</f>
        <v/>
      </c>
      <c r="N55">
        <f>IF($AG55="","",INDEX('04_調査結果'!$H$5:$H$404,$AG55)&amp;"")</f>
        <v/>
      </c>
      <c r="O55" s="33">
        <f>IF($AG55="","",IF(INDEX('04_調査結果'!$Z$5:$Z$404,$AG55)&lt;&gt;"",INDEX('04_調査結果'!$Z$5:$Z$404,$AG55),INDEX('04_調査結果'!$AM$5:$AM$404,$AG55)))</f>
        <v/>
      </c>
      <c r="P55" s="33">
        <f>IF($AG55="","",IF(INDEX('04_調査結果'!$AA$5:$AA$404,$AG55)&lt;&gt;"",INDEX('04_調査結果'!$AA$5:$AA$404,$AG55),INDEX('04_調査結果'!$AN$5:$AN$404,$AG55)))</f>
        <v/>
      </c>
      <c r="Q55" s="33">
        <f>IF($AG55="","",INDEX('04_調査結果'!$AD$5:$AD$404,$AG55))</f>
        <v/>
      </c>
      <c r="R55">
        <f>IF($AG55="","",INDEX('04_調査結果'!$AO$5:$AO$404,$AG55))</f>
        <v/>
      </c>
      <c r="S55" s="37">
        <f>IF($AG55="","",INDEX('04_調査結果'!$AQ$5:$AQ$404,$AG55))</f>
        <v/>
      </c>
      <c r="T55" s="37">
        <f>IF($AG55="","",INDEX('04_調査結果'!$AR$5:$AR$404,$AG55))</f>
        <v/>
      </c>
      <c r="U55">
        <f>IF($AG55="","",INDEX('04_調査結果'!$N$5:$N$404,$AG55)&amp;"")</f>
        <v/>
      </c>
      <c r="V55">
        <f>IF($AG55="","",INDEX('04_調査結果'!$O$5:$O$404,$AG55))</f>
        <v/>
      </c>
      <c r="W55">
        <f>IF($AG55="","",INDEX('04_調査結果'!$P$5:$P$404,$AG55))</f>
        <v/>
      </c>
      <c r="X55">
        <f>IF($AG55="","",INDEX('04_調査結果'!$Q$5:$Q$404,$AG55))</f>
        <v/>
      </c>
      <c r="Y55">
        <f>IF($AG55="","",INDEX('04_調査結果'!$R$5:$R$404,$AG55))</f>
        <v/>
      </c>
      <c r="Z55">
        <f>IF($AG55="","",INDEX('04_調査結果'!$S$5:$S$404,$AG55))</f>
        <v/>
      </c>
      <c r="AA55">
        <f>IF($AG55="","",INDEX('04_調査結果'!$T$5:$T$404,$AG55))</f>
        <v/>
      </c>
      <c r="AB55">
        <f>IF($AG55="","",INDEX('04_調査結果'!$U$5:$U$404,$AG55))</f>
        <v/>
      </c>
      <c r="AC55">
        <f>IF($AG55="","",INDEX('04_調査結果'!$AF$5:$AF$404,$AG55))</f>
        <v/>
      </c>
      <c r="AD55">
        <f>IF($AG55="","",INDEX('04_調査結果'!$AC$5:$AC$404,$AG55)&amp;"")</f>
        <v/>
      </c>
      <c r="AE55">
        <f>IF($AG55="","",INDEX('04_調査結果'!$V$5:$V$404,$AG55)&amp;"")</f>
        <v/>
      </c>
      <c r="AF55">
        <f>IF($AG55="","",INDEX('04_調査結果'!$X$5:$X$404,$AG55)&amp;"")</f>
        <v/>
      </c>
      <c r="AG55" s="34">
        <f>IFERROR(MATCH(ROW()-4,'04_調査結果'!$AT$5:$AT$404,0),"")</f>
        <v/>
      </c>
    </row>
    <row r="56">
      <c r="A56">
        <f>IF($AG56="","",'01_設定'!$C$4)</f>
        <v/>
      </c>
      <c r="B56">
        <f>IF($AG56="","",'01_設定'!$C$5)</f>
        <v/>
      </c>
      <c r="C56">
        <f>IF($AG56="","",'01_設定'!$C$6)</f>
        <v/>
      </c>
      <c r="D56" s="36">
        <f>IF($AG56="","",'01_設定'!$C$22)</f>
        <v/>
      </c>
      <c r="E56" s="36">
        <f>IF($AG56="","",'01_設定'!$C$23)</f>
        <v/>
      </c>
      <c r="F56">
        <f>IF($AG56="","",'01_設定'!$C$32)</f>
        <v/>
      </c>
      <c r="G56">
        <f>IF($AG56="","",ROW()-4)</f>
        <v/>
      </c>
      <c r="H56">
        <f>IF($AG56="","",INDEX('04_調査結果'!$AJ$5:$AJ$404,$AG56))</f>
        <v/>
      </c>
      <c r="I56">
        <f>IF($AG56="","",INDEX('04_調査結果'!$D$5:$D$404,$AG56)&amp;"")</f>
        <v/>
      </c>
      <c r="J56">
        <f>IF($AG56="","",INDEX('04_調査結果'!$AK$5:$AK$404,$AG56)&amp;"")</f>
        <v/>
      </c>
      <c r="K56">
        <f>IF($AG56="","",IFERROR(INDEX('M1_類型マスタ'!$B$5:$B$19,MATCH(J56,'M1_類型マスタ'!$A$5:$A$19,0)),""))</f>
        <v/>
      </c>
      <c r="L56">
        <f>IF($AG56="","",INDEX('04_調査結果'!$F$5:$F$404,$AG56)&amp;"")</f>
        <v/>
      </c>
      <c r="M56">
        <f>IF($AG56="","",INDEX('04_調査結果'!$G$5:$G$404,$AG56)&amp;"")</f>
        <v/>
      </c>
      <c r="N56">
        <f>IF($AG56="","",INDEX('04_調査結果'!$H$5:$H$404,$AG56)&amp;"")</f>
        <v/>
      </c>
      <c r="O56" s="33">
        <f>IF($AG56="","",IF(INDEX('04_調査結果'!$Z$5:$Z$404,$AG56)&lt;&gt;"",INDEX('04_調査結果'!$Z$5:$Z$404,$AG56),INDEX('04_調査結果'!$AM$5:$AM$404,$AG56)))</f>
        <v/>
      </c>
      <c r="P56" s="33">
        <f>IF($AG56="","",IF(INDEX('04_調査結果'!$AA$5:$AA$404,$AG56)&lt;&gt;"",INDEX('04_調査結果'!$AA$5:$AA$404,$AG56),INDEX('04_調査結果'!$AN$5:$AN$404,$AG56)))</f>
        <v/>
      </c>
      <c r="Q56" s="33">
        <f>IF($AG56="","",INDEX('04_調査結果'!$AD$5:$AD$404,$AG56))</f>
        <v/>
      </c>
      <c r="R56">
        <f>IF($AG56="","",INDEX('04_調査結果'!$AO$5:$AO$404,$AG56))</f>
        <v/>
      </c>
      <c r="S56" s="37">
        <f>IF($AG56="","",INDEX('04_調査結果'!$AQ$5:$AQ$404,$AG56))</f>
        <v/>
      </c>
      <c r="T56" s="37">
        <f>IF($AG56="","",INDEX('04_調査結果'!$AR$5:$AR$404,$AG56))</f>
        <v/>
      </c>
      <c r="U56">
        <f>IF($AG56="","",INDEX('04_調査結果'!$N$5:$N$404,$AG56)&amp;"")</f>
        <v/>
      </c>
      <c r="V56">
        <f>IF($AG56="","",INDEX('04_調査結果'!$O$5:$O$404,$AG56))</f>
        <v/>
      </c>
      <c r="W56">
        <f>IF($AG56="","",INDEX('04_調査結果'!$P$5:$P$404,$AG56))</f>
        <v/>
      </c>
      <c r="X56">
        <f>IF($AG56="","",INDEX('04_調査結果'!$Q$5:$Q$404,$AG56))</f>
        <v/>
      </c>
      <c r="Y56">
        <f>IF($AG56="","",INDEX('04_調査結果'!$R$5:$R$404,$AG56))</f>
        <v/>
      </c>
      <c r="Z56">
        <f>IF($AG56="","",INDEX('04_調査結果'!$S$5:$S$404,$AG56))</f>
        <v/>
      </c>
      <c r="AA56">
        <f>IF($AG56="","",INDEX('04_調査結果'!$T$5:$T$404,$AG56))</f>
        <v/>
      </c>
      <c r="AB56">
        <f>IF($AG56="","",INDEX('04_調査結果'!$U$5:$U$404,$AG56))</f>
        <v/>
      </c>
      <c r="AC56">
        <f>IF($AG56="","",INDEX('04_調査結果'!$AF$5:$AF$404,$AG56))</f>
        <v/>
      </c>
      <c r="AD56">
        <f>IF($AG56="","",INDEX('04_調査結果'!$AC$5:$AC$404,$AG56)&amp;"")</f>
        <v/>
      </c>
      <c r="AE56">
        <f>IF($AG56="","",INDEX('04_調査結果'!$V$5:$V$404,$AG56)&amp;"")</f>
        <v/>
      </c>
      <c r="AF56">
        <f>IF($AG56="","",INDEX('04_調査結果'!$X$5:$X$404,$AG56)&amp;"")</f>
        <v/>
      </c>
      <c r="AG56" s="34">
        <f>IFERROR(MATCH(ROW()-4,'04_調査結果'!$AT$5:$AT$404,0),"")</f>
        <v/>
      </c>
    </row>
    <row r="57">
      <c r="A57">
        <f>IF($AG57="","",'01_設定'!$C$4)</f>
        <v/>
      </c>
      <c r="B57">
        <f>IF($AG57="","",'01_設定'!$C$5)</f>
        <v/>
      </c>
      <c r="C57">
        <f>IF($AG57="","",'01_設定'!$C$6)</f>
        <v/>
      </c>
      <c r="D57" s="36">
        <f>IF($AG57="","",'01_設定'!$C$22)</f>
        <v/>
      </c>
      <c r="E57" s="36">
        <f>IF($AG57="","",'01_設定'!$C$23)</f>
        <v/>
      </c>
      <c r="F57">
        <f>IF($AG57="","",'01_設定'!$C$32)</f>
        <v/>
      </c>
      <c r="G57">
        <f>IF($AG57="","",ROW()-4)</f>
        <v/>
      </c>
      <c r="H57">
        <f>IF($AG57="","",INDEX('04_調査結果'!$AJ$5:$AJ$404,$AG57))</f>
        <v/>
      </c>
      <c r="I57">
        <f>IF($AG57="","",INDEX('04_調査結果'!$D$5:$D$404,$AG57)&amp;"")</f>
        <v/>
      </c>
      <c r="J57">
        <f>IF($AG57="","",INDEX('04_調査結果'!$AK$5:$AK$404,$AG57)&amp;"")</f>
        <v/>
      </c>
      <c r="K57">
        <f>IF($AG57="","",IFERROR(INDEX('M1_類型マスタ'!$B$5:$B$19,MATCH(J57,'M1_類型マスタ'!$A$5:$A$19,0)),""))</f>
        <v/>
      </c>
      <c r="L57">
        <f>IF($AG57="","",INDEX('04_調査結果'!$F$5:$F$404,$AG57)&amp;"")</f>
        <v/>
      </c>
      <c r="M57">
        <f>IF($AG57="","",INDEX('04_調査結果'!$G$5:$G$404,$AG57)&amp;"")</f>
        <v/>
      </c>
      <c r="N57">
        <f>IF($AG57="","",INDEX('04_調査結果'!$H$5:$H$404,$AG57)&amp;"")</f>
        <v/>
      </c>
      <c r="O57" s="33">
        <f>IF($AG57="","",IF(INDEX('04_調査結果'!$Z$5:$Z$404,$AG57)&lt;&gt;"",INDEX('04_調査結果'!$Z$5:$Z$404,$AG57),INDEX('04_調査結果'!$AM$5:$AM$404,$AG57)))</f>
        <v/>
      </c>
      <c r="P57" s="33">
        <f>IF($AG57="","",IF(INDEX('04_調査結果'!$AA$5:$AA$404,$AG57)&lt;&gt;"",INDEX('04_調査結果'!$AA$5:$AA$404,$AG57),INDEX('04_調査結果'!$AN$5:$AN$404,$AG57)))</f>
        <v/>
      </c>
      <c r="Q57" s="33">
        <f>IF($AG57="","",INDEX('04_調査結果'!$AD$5:$AD$404,$AG57))</f>
        <v/>
      </c>
      <c r="R57">
        <f>IF($AG57="","",INDEX('04_調査結果'!$AO$5:$AO$404,$AG57))</f>
        <v/>
      </c>
      <c r="S57" s="37">
        <f>IF($AG57="","",INDEX('04_調査結果'!$AQ$5:$AQ$404,$AG57))</f>
        <v/>
      </c>
      <c r="T57" s="37">
        <f>IF($AG57="","",INDEX('04_調査結果'!$AR$5:$AR$404,$AG57))</f>
        <v/>
      </c>
      <c r="U57">
        <f>IF($AG57="","",INDEX('04_調査結果'!$N$5:$N$404,$AG57)&amp;"")</f>
        <v/>
      </c>
      <c r="V57">
        <f>IF($AG57="","",INDEX('04_調査結果'!$O$5:$O$404,$AG57))</f>
        <v/>
      </c>
      <c r="W57">
        <f>IF($AG57="","",INDEX('04_調査結果'!$P$5:$P$404,$AG57))</f>
        <v/>
      </c>
      <c r="X57">
        <f>IF($AG57="","",INDEX('04_調査結果'!$Q$5:$Q$404,$AG57))</f>
        <v/>
      </c>
      <c r="Y57">
        <f>IF($AG57="","",INDEX('04_調査結果'!$R$5:$R$404,$AG57))</f>
        <v/>
      </c>
      <c r="Z57">
        <f>IF($AG57="","",INDEX('04_調査結果'!$S$5:$S$404,$AG57))</f>
        <v/>
      </c>
      <c r="AA57">
        <f>IF($AG57="","",INDEX('04_調査結果'!$T$5:$T$404,$AG57))</f>
        <v/>
      </c>
      <c r="AB57">
        <f>IF($AG57="","",INDEX('04_調査結果'!$U$5:$U$404,$AG57))</f>
        <v/>
      </c>
      <c r="AC57">
        <f>IF($AG57="","",INDEX('04_調査結果'!$AF$5:$AF$404,$AG57))</f>
        <v/>
      </c>
      <c r="AD57">
        <f>IF($AG57="","",INDEX('04_調査結果'!$AC$5:$AC$404,$AG57)&amp;"")</f>
        <v/>
      </c>
      <c r="AE57">
        <f>IF($AG57="","",INDEX('04_調査結果'!$V$5:$V$404,$AG57)&amp;"")</f>
        <v/>
      </c>
      <c r="AF57">
        <f>IF($AG57="","",INDEX('04_調査結果'!$X$5:$X$404,$AG57)&amp;"")</f>
        <v/>
      </c>
      <c r="AG57" s="34">
        <f>IFERROR(MATCH(ROW()-4,'04_調査結果'!$AT$5:$AT$404,0),"")</f>
        <v/>
      </c>
    </row>
    <row r="58">
      <c r="A58">
        <f>IF($AG58="","",'01_設定'!$C$4)</f>
        <v/>
      </c>
      <c r="B58">
        <f>IF($AG58="","",'01_設定'!$C$5)</f>
        <v/>
      </c>
      <c r="C58">
        <f>IF($AG58="","",'01_設定'!$C$6)</f>
        <v/>
      </c>
      <c r="D58" s="36">
        <f>IF($AG58="","",'01_設定'!$C$22)</f>
        <v/>
      </c>
      <c r="E58" s="36">
        <f>IF($AG58="","",'01_設定'!$C$23)</f>
        <v/>
      </c>
      <c r="F58">
        <f>IF($AG58="","",'01_設定'!$C$32)</f>
        <v/>
      </c>
      <c r="G58">
        <f>IF($AG58="","",ROW()-4)</f>
        <v/>
      </c>
      <c r="H58">
        <f>IF($AG58="","",INDEX('04_調査結果'!$AJ$5:$AJ$404,$AG58))</f>
        <v/>
      </c>
      <c r="I58">
        <f>IF($AG58="","",INDEX('04_調査結果'!$D$5:$D$404,$AG58)&amp;"")</f>
        <v/>
      </c>
      <c r="J58">
        <f>IF($AG58="","",INDEX('04_調査結果'!$AK$5:$AK$404,$AG58)&amp;"")</f>
        <v/>
      </c>
      <c r="K58">
        <f>IF($AG58="","",IFERROR(INDEX('M1_類型マスタ'!$B$5:$B$19,MATCH(J58,'M1_類型マスタ'!$A$5:$A$19,0)),""))</f>
        <v/>
      </c>
      <c r="L58">
        <f>IF($AG58="","",INDEX('04_調査結果'!$F$5:$F$404,$AG58)&amp;"")</f>
        <v/>
      </c>
      <c r="M58">
        <f>IF($AG58="","",INDEX('04_調査結果'!$G$5:$G$404,$AG58)&amp;"")</f>
        <v/>
      </c>
      <c r="N58">
        <f>IF($AG58="","",INDEX('04_調査結果'!$H$5:$H$404,$AG58)&amp;"")</f>
        <v/>
      </c>
      <c r="O58" s="33">
        <f>IF($AG58="","",IF(INDEX('04_調査結果'!$Z$5:$Z$404,$AG58)&lt;&gt;"",INDEX('04_調査結果'!$Z$5:$Z$404,$AG58),INDEX('04_調査結果'!$AM$5:$AM$404,$AG58)))</f>
        <v/>
      </c>
      <c r="P58" s="33">
        <f>IF($AG58="","",IF(INDEX('04_調査結果'!$AA$5:$AA$404,$AG58)&lt;&gt;"",INDEX('04_調査結果'!$AA$5:$AA$404,$AG58),INDEX('04_調査結果'!$AN$5:$AN$404,$AG58)))</f>
        <v/>
      </c>
      <c r="Q58" s="33">
        <f>IF($AG58="","",INDEX('04_調査結果'!$AD$5:$AD$404,$AG58))</f>
        <v/>
      </c>
      <c r="R58">
        <f>IF($AG58="","",INDEX('04_調査結果'!$AO$5:$AO$404,$AG58))</f>
        <v/>
      </c>
      <c r="S58" s="37">
        <f>IF($AG58="","",INDEX('04_調査結果'!$AQ$5:$AQ$404,$AG58))</f>
        <v/>
      </c>
      <c r="T58" s="37">
        <f>IF($AG58="","",INDEX('04_調査結果'!$AR$5:$AR$404,$AG58))</f>
        <v/>
      </c>
      <c r="U58">
        <f>IF($AG58="","",INDEX('04_調査結果'!$N$5:$N$404,$AG58)&amp;"")</f>
        <v/>
      </c>
      <c r="V58">
        <f>IF($AG58="","",INDEX('04_調査結果'!$O$5:$O$404,$AG58))</f>
        <v/>
      </c>
      <c r="W58">
        <f>IF($AG58="","",INDEX('04_調査結果'!$P$5:$P$404,$AG58))</f>
        <v/>
      </c>
      <c r="X58">
        <f>IF($AG58="","",INDEX('04_調査結果'!$Q$5:$Q$404,$AG58))</f>
        <v/>
      </c>
      <c r="Y58">
        <f>IF($AG58="","",INDEX('04_調査結果'!$R$5:$R$404,$AG58))</f>
        <v/>
      </c>
      <c r="Z58">
        <f>IF($AG58="","",INDEX('04_調査結果'!$S$5:$S$404,$AG58))</f>
        <v/>
      </c>
      <c r="AA58">
        <f>IF($AG58="","",INDEX('04_調査結果'!$T$5:$T$404,$AG58))</f>
        <v/>
      </c>
      <c r="AB58">
        <f>IF($AG58="","",INDEX('04_調査結果'!$U$5:$U$404,$AG58))</f>
        <v/>
      </c>
      <c r="AC58">
        <f>IF($AG58="","",INDEX('04_調査結果'!$AF$5:$AF$404,$AG58))</f>
        <v/>
      </c>
      <c r="AD58">
        <f>IF($AG58="","",INDEX('04_調査結果'!$AC$5:$AC$404,$AG58)&amp;"")</f>
        <v/>
      </c>
      <c r="AE58">
        <f>IF($AG58="","",INDEX('04_調査結果'!$V$5:$V$404,$AG58)&amp;"")</f>
        <v/>
      </c>
      <c r="AF58">
        <f>IF($AG58="","",INDEX('04_調査結果'!$X$5:$X$404,$AG58)&amp;"")</f>
        <v/>
      </c>
      <c r="AG58" s="34">
        <f>IFERROR(MATCH(ROW()-4,'04_調査結果'!$AT$5:$AT$404,0),"")</f>
        <v/>
      </c>
    </row>
    <row r="59">
      <c r="A59">
        <f>IF($AG59="","",'01_設定'!$C$4)</f>
        <v/>
      </c>
      <c r="B59">
        <f>IF($AG59="","",'01_設定'!$C$5)</f>
        <v/>
      </c>
      <c r="C59">
        <f>IF($AG59="","",'01_設定'!$C$6)</f>
        <v/>
      </c>
      <c r="D59" s="36">
        <f>IF($AG59="","",'01_設定'!$C$22)</f>
        <v/>
      </c>
      <c r="E59" s="36">
        <f>IF($AG59="","",'01_設定'!$C$23)</f>
        <v/>
      </c>
      <c r="F59">
        <f>IF($AG59="","",'01_設定'!$C$32)</f>
        <v/>
      </c>
      <c r="G59">
        <f>IF($AG59="","",ROW()-4)</f>
        <v/>
      </c>
      <c r="H59">
        <f>IF($AG59="","",INDEX('04_調査結果'!$AJ$5:$AJ$404,$AG59))</f>
        <v/>
      </c>
      <c r="I59">
        <f>IF($AG59="","",INDEX('04_調査結果'!$D$5:$D$404,$AG59)&amp;"")</f>
        <v/>
      </c>
      <c r="J59">
        <f>IF($AG59="","",INDEX('04_調査結果'!$AK$5:$AK$404,$AG59)&amp;"")</f>
        <v/>
      </c>
      <c r="K59">
        <f>IF($AG59="","",IFERROR(INDEX('M1_類型マスタ'!$B$5:$B$19,MATCH(J59,'M1_類型マスタ'!$A$5:$A$19,0)),""))</f>
        <v/>
      </c>
      <c r="L59">
        <f>IF($AG59="","",INDEX('04_調査結果'!$F$5:$F$404,$AG59)&amp;"")</f>
        <v/>
      </c>
      <c r="M59">
        <f>IF($AG59="","",INDEX('04_調査結果'!$G$5:$G$404,$AG59)&amp;"")</f>
        <v/>
      </c>
      <c r="N59">
        <f>IF($AG59="","",INDEX('04_調査結果'!$H$5:$H$404,$AG59)&amp;"")</f>
        <v/>
      </c>
      <c r="O59" s="33">
        <f>IF($AG59="","",IF(INDEX('04_調査結果'!$Z$5:$Z$404,$AG59)&lt;&gt;"",INDEX('04_調査結果'!$Z$5:$Z$404,$AG59),INDEX('04_調査結果'!$AM$5:$AM$404,$AG59)))</f>
        <v/>
      </c>
      <c r="P59" s="33">
        <f>IF($AG59="","",IF(INDEX('04_調査結果'!$AA$5:$AA$404,$AG59)&lt;&gt;"",INDEX('04_調査結果'!$AA$5:$AA$404,$AG59),INDEX('04_調査結果'!$AN$5:$AN$404,$AG59)))</f>
        <v/>
      </c>
      <c r="Q59" s="33">
        <f>IF($AG59="","",INDEX('04_調査結果'!$AD$5:$AD$404,$AG59))</f>
        <v/>
      </c>
      <c r="R59">
        <f>IF($AG59="","",INDEX('04_調査結果'!$AO$5:$AO$404,$AG59))</f>
        <v/>
      </c>
      <c r="S59" s="37">
        <f>IF($AG59="","",INDEX('04_調査結果'!$AQ$5:$AQ$404,$AG59))</f>
        <v/>
      </c>
      <c r="T59" s="37">
        <f>IF($AG59="","",INDEX('04_調査結果'!$AR$5:$AR$404,$AG59))</f>
        <v/>
      </c>
      <c r="U59">
        <f>IF($AG59="","",INDEX('04_調査結果'!$N$5:$N$404,$AG59)&amp;"")</f>
        <v/>
      </c>
      <c r="V59">
        <f>IF($AG59="","",INDEX('04_調査結果'!$O$5:$O$404,$AG59))</f>
        <v/>
      </c>
      <c r="W59">
        <f>IF($AG59="","",INDEX('04_調査結果'!$P$5:$P$404,$AG59))</f>
        <v/>
      </c>
      <c r="X59">
        <f>IF($AG59="","",INDEX('04_調査結果'!$Q$5:$Q$404,$AG59))</f>
        <v/>
      </c>
      <c r="Y59">
        <f>IF($AG59="","",INDEX('04_調査結果'!$R$5:$R$404,$AG59))</f>
        <v/>
      </c>
      <c r="Z59">
        <f>IF($AG59="","",INDEX('04_調査結果'!$S$5:$S$404,$AG59))</f>
        <v/>
      </c>
      <c r="AA59">
        <f>IF($AG59="","",INDEX('04_調査結果'!$T$5:$T$404,$AG59))</f>
        <v/>
      </c>
      <c r="AB59">
        <f>IF($AG59="","",INDEX('04_調査結果'!$U$5:$U$404,$AG59))</f>
        <v/>
      </c>
      <c r="AC59">
        <f>IF($AG59="","",INDEX('04_調査結果'!$AF$5:$AF$404,$AG59))</f>
        <v/>
      </c>
      <c r="AD59">
        <f>IF($AG59="","",INDEX('04_調査結果'!$AC$5:$AC$404,$AG59)&amp;"")</f>
        <v/>
      </c>
      <c r="AE59">
        <f>IF($AG59="","",INDEX('04_調査結果'!$V$5:$V$404,$AG59)&amp;"")</f>
        <v/>
      </c>
      <c r="AF59">
        <f>IF($AG59="","",INDEX('04_調査結果'!$X$5:$X$404,$AG59)&amp;"")</f>
        <v/>
      </c>
      <c r="AG59" s="34">
        <f>IFERROR(MATCH(ROW()-4,'04_調査結果'!$AT$5:$AT$404,0),"")</f>
        <v/>
      </c>
    </row>
    <row r="60">
      <c r="A60">
        <f>IF($AG60="","",'01_設定'!$C$4)</f>
        <v/>
      </c>
      <c r="B60">
        <f>IF($AG60="","",'01_設定'!$C$5)</f>
        <v/>
      </c>
      <c r="C60">
        <f>IF($AG60="","",'01_設定'!$C$6)</f>
        <v/>
      </c>
      <c r="D60" s="36">
        <f>IF($AG60="","",'01_設定'!$C$22)</f>
        <v/>
      </c>
      <c r="E60" s="36">
        <f>IF($AG60="","",'01_設定'!$C$23)</f>
        <v/>
      </c>
      <c r="F60">
        <f>IF($AG60="","",'01_設定'!$C$32)</f>
        <v/>
      </c>
      <c r="G60">
        <f>IF($AG60="","",ROW()-4)</f>
        <v/>
      </c>
      <c r="H60">
        <f>IF($AG60="","",INDEX('04_調査結果'!$AJ$5:$AJ$404,$AG60))</f>
        <v/>
      </c>
      <c r="I60">
        <f>IF($AG60="","",INDEX('04_調査結果'!$D$5:$D$404,$AG60)&amp;"")</f>
        <v/>
      </c>
      <c r="J60">
        <f>IF($AG60="","",INDEX('04_調査結果'!$AK$5:$AK$404,$AG60)&amp;"")</f>
        <v/>
      </c>
      <c r="K60">
        <f>IF($AG60="","",IFERROR(INDEX('M1_類型マスタ'!$B$5:$B$19,MATCH(J60,'M1_類型マスタ'!$A$5:$A$19,0)),""))</f>
        <v/>
      </c>
      <c r="L60">
        <f>IF($AG60="","",INDEX('04_調査結果'!$F$5:$F$404,$AG60)&amp;"")</f>
        <v/>
      </c>
      <c r="M60">
        <f>IF($AG60="","",INDEX('04_調査結果'!$G$5:$G$404,$AG60)&amp;"")</f>
        <v/>
      </c>
      <c r="N60">
        <f>IF($AG60="","",INDEX('04_調査結果'!$H$5:$H$404,$AG60)&amp;"")</f>
        <v/>
      </c>
      <c r="O60" s="33">
        <f>IF($AG60="","",IF(INDEX('04_調査結果'!$Z$5:$Z$404,$AG60)&lt;&gt;"",INDEX('04_調査結果'!$Z$5:$Z$404,$AG60),INDEX('04_調査結果'!$AM$5:$AM$404,$AG60)))</f>
        <v/>
      </c>
      <c r="P60" s="33">
        <f>IF($AG60="","",IF(INDEX('04_調査結果'!$AA$5:$AA$404,$AG60)&lt;&gt;"",INDEX('04_調査結果'!$AA$5:$AA$404,$AG60),INDEX('04_調査結果'!$AN$5:$AN$404,$AG60)))</f>
        <v/>
      </c>
      <c r="Q60" s="33">
        <f>IF($AG60="","",INDEX('04_調査結果'!$AD$5:$AD$404,$AG60))</f>
        <v/>
      </c>
      <c r="R60">
        <f>IF($AG60="","",INDEX('04_調査結果'!$AO$5:$AO$404,$AG60))</f>
        <v/>
      </c>
      <c r="S60" s="37">
        <f>IF($AG60="","",INDEX('04_調査結果'!$AQ$5:$AQ$404,$AG60))</f>
        <v/>
      </c>
      <c r="T60" s="37">
        <f>IF($AG60="","",INDEX('04_調査結果'!$AR$5:$AR$404,$AG60))</f>
        <v/>
      </c>
      <c r="U60">
        <f>IF($AG60="","",INDEX('04_調査結果'!$N$5:$N$404,$AG60)&amp;"")</f>
        <v/>
      </c>
      <c r="V60">
        <f>IF($AG60="","",INDEX('04_調査結果'!$O$5:$O$404,$AG60))</f>
        <v/>
      </c>
      <c r="W60">
        <f>IF($AG60="","",INDEX('04_調査結果'!$P$5:$P$404,$AG60))</f>
        <v/>
      </c>
      <c r="X60">
        <f>IF($AG60="","",INDEX('04_調査結果'!$Q$5:$Q$404,$AG60))</f>
        <v/>
      </c>
      <c r="Y60">
        <f>IF($AG60="","",INDEX('04_調査結果'!$R$5:$R$404,$AG60))</f>
        <v/>
      </c>
      <c r="Z60">
        <f>IF($AG60="","",INDEX('04_調査結果'!$S$5:$S$404,$AG60))</f>
        <v/>
      </c>
      <c r="AA60">
        <f>IF($AG60="","",INDEX('04_調査結果'!$T$5:$T$404,$AG60))</f>
        <v/>
      </c>
      <c r="AB60">
        <f>IF($AG60="","",INDEX('04_調査結果'!$U$5:$U$404,$AG60))</f>
        <v/>
      </c>
      <c r="AC60">
        <f>IF($AG60="","",INDEX('04_調査結果'!$AF$5:$AF$404,$AG60))</f>
        <v/>
      </c>
      <c r="AD60">
        <f>IF($AG60="","",INDEX('04_調査結果'!$AC$5:$AC$404,$AG60)&amp;"")</f>
        <v/>
      </c>
      <c r="AE60">
        <f>IF($AG60="","",INDEX('04_調査結果'!$V$5:$V$404,$AG60)&amp;"")</f>
        <v/>
      </c>
      <c r="AF60">
        <f>IF($AG60="","",INDEX('04_調査結果'!$X$5:$X$404,$AG60)&amp;"")</f>
        <v/>
      </c>
      <c r="AG60" s="34">
        <f>IFERROR(MATCH(ROW()-4,'04_調査結果'!$AT$5:$AT$404,0),"")</f>
        <v/>
      </c>
    </row>
    <row r="61">
      <c r="A61">
        <f>IF($AG61="","",'01_設定'!$C$4)</f>
        <v/>
      </c>
      <c r="B61">
        <f>IF($AG61="","",'01_設定'!$C$5)</f>
        <v/>
      </c>
      <c r="C61">
        <f>IF($AG61="","",'01_設定'!$C$6)</f>
        <v/>
      </c>
      <c r="D61" s="36">
        <f>IF($AG61="","",'01_設定'!$C$22)</f>
        <v/>
      </c>
      <c r="E61" s="36">
        <f>IF($AG61="","",'01_設定'!$C$23)</f>
        <v/>
      </c>
      <c r="F61">
        <f>IF($AG61="","",'01_設定'!$C$32)</f>
        <v/>
      </c>
      <c r="G61">
        <f>IF($AG61="","",ROW()-4)</f>
        <v/>
      </c>
      <c r="H61">
        <f>IF($AG61="","",INDEX('04_調査結果'!$AJ$5:$AJ$404,$AG61))</f>
        <v/>
      </c>
      <c r="I61">
        <f>IF($AG61="","",INDEX('04_調査結果'!$D$5:$D$404,$AG61)&amp;"")</f>
        <v/>
      </c>
      <c r="J61">
        <f>IF($AG61="","",INDEX('04_調査結果'!$AK$5:$AK$404,$AG61)&amp;"")</f>
        <v/>
      </c>
      <c r="K61">
        <f>IF($AG61="","",IFERROR(INDEX('M1_類型マスタ'!$B$5:$B$19,MATCH(J61,'M1_類型マスタ'!$A$5:$A$19,0)),""))</f>
        <v/>
      </c>
      <c r="L61">
        <f>IF($AG61="","",INDEX('04_調査結果'!$F$5:$F$404,$AG61)&amp;"")</f>
        <v/>
      </c>
      <c r="M61">
        <f>IF($AG61="","",INDEX('04_調査結果'!$G$5:$G$404,$AG61)&amp;"")</f>
        <v/>
      </c>
      <c r="N61">
        <f>IF($AG61="","",INDEX('04_調査結果'!$H$5:$H$404,$AG61)&amp;"")</f>
        <v/>
      </c>
      <c r="O61" s="33">
        <f>IF($AG61="","",IF(INDEX('04_調査結果'!$Z$5:$Z$404,$AG61)&lt;&gt;"",INDEX('04_調査結果'!$Z$5:$Z$404,$AG61),INDEX('04_調査結果'!$AM$5:$AM$404,$AG61)))</f>
        <v/>
      </c>
      <c r="P61" s="33">
        <f>IF($AG61="","",IF(INDEX('04_調査結果'!$AA$5:$AA$404,$AG61)&lt;&gt;"",INDEX('04_調査結果'!$AA$5:$AA$404,$AG61),INDEX('04_調査結果'!$AN$5:$AN$404,$AG61)))</f>
        <v/>
      </c>
      <c r="Q61" s="33">
        <f>IF($AG61="","",INDEX('04_調査結果'!$AD$5:$AD$404,$AG61))</f>
        <v/>
      </c>
      <c r="R61">
        <f>IF($AG61="","",INDEX('04_調査結果'!$AO$5:$AO$404,$AG61))</f>
        <v/>
      </c>
      <c r="S61" s="37">
        <f>IF($AG61="","",INDEX('04_調査結果'!$AQ$5:$AQ$404,$AG61))</f>
        <v/>
      </c>
      <c r="T61" s="37">
        <f>IF($AG61="","",INDEX('04_調査結果'!$AR$5:$AR$404,$AG61))</f>
        <v/>
      </c>
      <c r="U61">
        <f>IF($AG61="","",INDEX('04_調査結果'!$N$5:$N$404,$AG61)&amp;"")</f>
        <v/>
      </c>
      <c r="V61">
        <f>IF($AG61="","",INDEX('04_調査結果'!$O$5:$O$404,$AG61))</f>
        <v/>
      </c>
      <c r="W61">
        <f>IF($AG61="","",INDEX('04_調査結果'!$P$5:$P$404,$AG61))</f>
        <v/>
      </c>
      <c r="X61">
        <f>IF($AG61="","",INDEX('04_調査結果'!$Q$5:$Q$404,$AG61))</f>
        <v/>
      </c>
      <c r="Y61">
        <f>IF($AG61="","",INDEX('04_調査結果'!$R$5:$R$404,$AG61))</f>
        <v/>
      </c>
      <c r="Z61">
        <f>IF($AG61="","",INDEX('04_調査結果'!$S$5:$S$404,$AG61))</f>
        <v/>
      </c>
      <c r="AA61">
        <f>IF($AG61="","",INDEX('04_調査結果'!$T$5:$T$404,$AG61))</f>
        <v/>
      </c>
      <c r="AB61">
        <f>IF($AG61="","",INDEX('04_調査結果'!$U$5:$U$404,$AG61))</f>
        <v/>
      </c>
      <c r="AC61">
        <f>IF($AG61="","",INDEX('04_調査結果'!$AF$5:$AF$404,$AG61))</f>
        <v/>
      </c>
      <c r="AD61">
        <f>IF($AG61="","",INDEX('04_調査結果'!$AC$5:$AC$404,$AG61)&amp;"")</f>
        <v/>
      </c>
      <c r="AE61">
        <f>IF($AG61="","",INDEX('04_調査結果'!$V$5:$V$404,$AG61)&amp;"")</f>
        <v/>
      </c>
      <c r="AF61">
        <f>IF($AG61="","",INDEX('04_調査結果'!$X$5:$X$404,$AG61)&amp;"")</f>
        <v/>
      </c>
      <c r="AG61" s="34">
        <f>IFERROR(MATCH(ROW()-4,'04_調査結果'!$AT$5:$AT$404,0),"")</f>
        <v/>
      </c>
    </row>
    <row r="62">
      <c r="A62">
        <f>IF($AG62="","",'01_設定'!$C$4)</f>
        <v/>
      </c>
      <c r="B62">
        <f>IF($AG62="","",'01_設定'!$C$5)</f>
        <v/>
      </c>
      <c r="C62">
        <f>IF($AG62="","",'01_設定'!$C$6)</f>
        <v/>
      </c>
      <c r="D62" s="36">
        <f>IF($AG62="","",'01_設定'!$C$22)</f>
        <v/>
      </c>
      <c r="E62" s="36">
        <f>IF($AG62="","",'01_設定'!$C$23)</f>
        <v/>
      </c>
      <c r="F62">
        <f>IF($AG62="","",'01_設定'!$C$32)</f>
        <v/>
      </c>
      <c r="G62">
        <f>IF($AG62="","",ROW()-4)</f>
        <v/>
      </c>
      <c r="H62">
        <f>IF($AG62="","",INDEX('04_調査結果'!$AJ$5:$AJ$404,$AG62))</f>
        <v/>
      </c>
      <c r="I62">
        <f>IF($AG62="","",INDEX('04_調査結果'!$D$5:$D$404,$AG62)&amp;"")</f>
        <v/>
      </c>
      <c r="J62">
        <f>IF($AG62="","",INDEX('04_調査結果'!$AK$5:$AK$404,$AG62)&amp;"")</f>
        <v/>
      </c>
      <c r="K62">
        <f>IF($AG62="","",IFERROR(INDEX('M1_類型マスタ'!$B$5:$B$19,MATCH(J62,'M1_類型マスタ'!$A$5:$A$19,0)),""))</f>
        <v/>
      </c>
      <c r="L62">
        <f>IF($AG62="","",INDEX('04_調査結果'!$F$5:$F$404,$AG62)&amp;"")</f>
        <v/>
      </c>
      <c r="M62">
        <f>IF($AG62="","",INDEX('04_調査結果'!$G$5:$G$404,$AG62)&amp;"")</f>
        <v/>
      </c>
      <c r="N62">
        <f>IF($AG62="","",INDEX('04_調査結果'!$H$5:$H$404,$AG62)&amp;"")</f>
        <v/>
      </c>
      <c r="O62" s="33">
        <f>IF($AG62="","",IF(INDEX('04_調査結果'!$Z$5:$Z$404,$AG62)&lt;&gt;"",INDEX('04_調査結果'!$Z$5:$Z$404,$AG62),INDEX('04_調査結果'!$AM$5:$AM$404,$AG62)))</f>
        <v/>
      </c>
      <c r="P62" s="33">
        <f>IF($AG62="","",IF(INDEX('04_調査結果'!$AA$5:$AA$404,$AG62)&lt;&gt;"",INDEX('04_調査結果'!$AA$5:$AA$404,$AG62),INDEX('04_調査結果'!$AN$5:$AN$404,$AG62)))</f>
        <v/>
      </c>
      <c r="Q62" s="33">
        <f>IF($AG62="","",INDEX('04_調査結果'!$AD$5:$AD$404,$AG62))</f>
        <v/>
      </c>
      <c r="R62">
        <f>IF($AG62="","",INDEX('04_調査結果'!$AO$5:$AO$404,$AG62))</f>
        <v/>
      </c>
      <c r="S62" s="37">
        <f>IF($AG62="","",INDEX('04_調査結果'!$AQ$5:$AQ$404,$AG62))</f>
        <v/>
      </c>
      <c r="T62" s="37">
        <f>IF($AG62="","",INDEX('04_調査結果'!$AR$5:$AR$404,$AG62))</f>
        <v/>
      </c>
      <c r="U62">
        <f>IF($AG62="","",INDEX('04_調査結果'!$N$5:$N$404,$AG62)&amp;"")</f>
        <v/>
      </c>
      <c r="V62">
        <f>IF($AG62="","",INDEX('04_調査結果'!$O$5:$O$404,$AG62))</f>
        <v/>
      </c>
      <c r="W62">
        <f>IF($AG62="","",INDEX('04_調査結果'!$P$5:$P$404,$AG62))</f>
        <v/>
      </c>
      <c r="X62">
        <f>IF($AG62="","",INDEX('04_調査結果'!$Q$5:$Q$404,$AG62))</f>
        <v/>
      </c>
      <c r="Y62">
        <f>IF($AG62="","",INDEX('04_調査結果'!$R$5:$R$404,$AG62))</f>
        <v/>
      </c>
      <c r="Z62">
        <f>IF($AG62="","",INDEX('04_調査結果'!$S$5:$S$404,$AG62))</f>
        <v/>
      </c>
      <c r="AA62">
        <f>IF($AG62="","",INDEX('04_調査結果'!$T$5:$T$404,$AG62))</f>
        <v/>
      </c>
      <c r="AB62">
        <f>IF($AG62="","",INDEX('04_調査結果'!$U$5:$U$404,$AG62))</f>
        <v/>
      </c>
      <c r="AC62">
        <f>IF($AG62="","",INDEX('04_調査結果'!$AF$5:$AF$404,$AG62))</f>
        <v/>
      </c>
      <c r="AD62">
        <f>IF($AG62="","",INDEX('04_調査結果'!$AC$5:$AC$404,$AG62)&amp;"")</f>
        <v/>
      </c>
      <c r="AE62">
        <f>IF($AG62="","",INDEX('04_調査結果'!$V$5:$V$404,$AG62)&amp;"")</f>
        <v/>
      </c>
      <c r="AF62">
        <f>IF($AG62="","",INDEX('04_調査結果'!$X$5:$X$404,$AG62)&amp;"")</f>
        <v/>
      </c>
      <c r="AG62" s="34">
        <f>IFERROR(MATCH(ROW()-4,'04_調査結果'!$AT$5:$AT$404,0),"")</f>
        <v/>
      </c>
    </row>
    <row r="63">
      <c r="A63">
        <f>IF($AG63="","",'01_設定'!$C$4)</f>
        <v/>
      </c>
      <c r="B63">
        <f>IF($AG63="","",'01_設定'!$C$5)</f>
        <v/>
      </c>
      <c r="C63">
        <f>IF($AG63="","",'01_設定'!$C$6)</f>
        <v/>
      </c>
      <c r="D63" s="36">
        <f>IF($AG63="","",'01_設定'!$C$22)</f>
        <v/>
      </c>
      <c r="E63" s="36">
        <f>IF($AG63="","",'01_設定'!$C$23)</f>
        <v/>
      </c>
      <c r="F63">
        <f>IF($AG63="","",'01_設定'!$C$32)</f>
        <v/>
      </c>
      <c r="G63">
        <f>IF($AG63="","",ROW()-4)</f>
        <v/>
      </c>
      <c r="H63">
        <f>IF($AG63="","",INDEX('04_調査結果'!$AJ$5:$AJ$404,$AG63))</f>
        <v/>
      </c>
      <c r="I63">
        <f>IF($AG63="","",INDEX('04_調査結果'!$D$5:$D$404,$AG63)&amp;"")</f>
        <v/>
      </c>
      <c r="J63">
        <f>IF($AG63="","",INDEX('04_調査結果'!$AK$5:$AK$404,$AG63)&amp;"")</f>
        <v/>
      </c>
      <c r="K63">
        <f>IF($AG63="","",IFERROR(INDEX('M1_類型マスタ'!$B$5:$B$19,MATCH(J63,'M1_類型マスタ'!$A$5:$A$19,0)),""))</f>
        <v/>
      </c>
      <c r="L63">
        <f>IF($AG63="","",INDEX('04_調査結果'!$F$5:$F$404,$AG63)&amp;"")</f>
        <v/>
      </c>
      <c r="M63">
        <f>IF($AG63="","",INDEX('04_調査結果'!$G$5:$G$404,$AG63)&amp;"")</f>
        <v/>
      </c>
      <c r="N63">
        <f>IF($AG63="","",INDEX('04_調査結果'!$H$5:$H$404,$AG63)&amp;"")</f>
        <v/>
      </c>
      <c r="O63" s="33">
        <f>IF($AG63="","",IF(INDEX('04_調査結果'!$Z$5:$Z$404,$AG63)&lt;&gt;"",INDEX('04_調査結果'!$Z$5:$Z$404,$AG63),INDEX('04_調査結果'!$AM$5:$AM$404,$AG63)))</f>
        <v/>
      </c>
      <c r="P63" s="33">
        <f>IF($AG63="","",IF(INDEX('04_調査結果'!$AA$5:$AA$404,$AG63)&lt;&gt;"",INDEX('04_調査結果'!$AA$5:$AA$404,$AG63),INDEX('04_調査結果'!$AN$5:$AN$404,$AG63)))</f>
        <v/>
      </c>
      <c r="Q63" s="33">
        <f>IF($AG63="","",INDEX('04_調査結果'!$AD$5:$AD$404,$AG63))</f>
        <v/>
      </c>
      <c r="R63">
        <f>IF($AG63="","",INDEX('04_調査結果'!$AO$5:$AO$404,$AG63))</f>
        <v/>
      </c>
      <c r="S63" s="37">
        <f>IF($AG63="","",INDEX('04_調査結果'!$AQ$5:$AQ$404,$AG63))</f>
        <v/>
      </c>
      <c r="T63" s="37">
        <f>IF($AG63="","",INDEX('04_調査結果'!$AR$5:$AR$404,$AG63))</f>
        <v/>
      </c>
      <c r="U63">
        <f>IF($AG63="","",INDEX('04_調査結果'!$N$5:$N$404,$AG63)&amp;"")</f>
        <v/>
      </c>
      <c r="V63">
        <f>IF($AG63="","",INDEX('04_調査結果'!$O$5:$O$404,$AG63))</f>
        <v/>
      </c>
      <c r="W63">
        <f>IF($AG63="","",INDEX('04_調査結果'!$P$5:$P$404,$AG63))</f>
        <v/>
      </c>
      <c r="X63">
        <f>IF($AG63="","",INDEX('04_調査結果'!$Q$5:$Q$404,$AG63))</f>
        <v/>
      </c>
      <c r="Y63">
        <f>IF($AG63="","",INDEX('04_調査結果'!$R$5:$R$404,$AG63))</f>
        <v/>
      </c>
      <c r="Z63">
        <f>IF($AG63="","",INDEX('04_調査結果'!$S$5:$S$404,$AG63))</f>
        <v/>
      </c>
      <c r="AA63">
        <f>IF($AG63="","",INDEX('04_調査結果'!$T$5:$T$404,$AG63))</f>
        <v/>
      </c>
      <c r="AB63">
        <f>IF($AG63="","",INDEX('04_調査結果'!$U$5:$U$404,$AG63))</f>
        <v/>
      </c>
      <c r="AC63">
        <f>IF($AG63="","",INDEX('04_調査結果'!$AF$5:$AF$404,$AG63))</f>
        <v/>
      </c>
      <c r="AD63">
        <f>IF($AG63="","",INDEX('04_調査結果'!$AC$5:$AC$404,$AG63)&amp;"")</f>
        <v/>
      </c>
      <c r="AE63">
        <f>IF($AG63="","",INDEX('04_調査結果'!$V$5:$V$404,$AG63)&amp;"")</f>
        <v/>
      </c>
      <c r="AF63">
        <f>IF($AG63="","",INDEX('04_調査結果'!$X$5:$X$404,$AG63)&amp;"")</f>
        <v/>
      </c>
      <c r="AG63" s="34">
        <f>IFERROR(MATCH(ROW()-4,'04_調査結果'!$AT$5:$AT$404,0),"")</f>
        <v/>
      </c>
    </row>
    <row r="64">
      <c r="A64">
        <f>IF($AG64="","",'01_設定'!$C$4)</f>
        <v/>
      </c>
      <c r="B64">
        <f>IF($AG64="","",'01_設定'!$C$5)</f>
        <v/>
      </c>
      <c r="C64">
        <f>IF($AG64="","",'01_設定'!$C$6)</f>
        <v/>
      </c>
      <c r="D64" s="36">
        <f>IF($AG64="","",'01_設定'!$C$22)</f>
        <v/>
      </c>
      <c r="E64" s="36">
        <f>IF($AG64="","",'01_設定'!$C$23)</f>
        <v/>
      </c>
      <c r="F64">
        <f>IF($AG64="","",'01_設定'!$C$32)</f>
        <v/>
      </c>
      <c r="G64">
        <f>IF($AG64="","",ROW()-4)</f>
        <v/>
      </c>
      <c r="H64">
        <f>IF($AG64="","",INDEX('04_調査結果'!$AJ$5:$AJ$404,$AG64))</f>
        <v/>
      </c>
      <c r="I64">
        <f>IF($AG64="","",INDEX('04_調査結果'!$D$5:$D$404,$AG64)&amp;"")</f>
        <v/>
      </c>
      <c r="J64">
        <f>IF($AG64="","",INDEX('04_調査結果'!$AK$5:$AK$404,$AG64)&amp;"")</f>
        <v/>
      </c>
      <c r="K64">
        <f>IF($AG64="","",IFERROR(INDEX('M1_類型マスタ'!$B$5:$B$19,MATCH(J64,'M1_類型マスタ'!$A$5:$A$19,0)),""))</f>
        <v/>
      </c>
      <c r="L64">
        <f>IF($AG64="","",INDEX('04_調査結果'!$F$5:$F$404,$AG64)&amp;"")</f>
        <v/>
      </c>
      <c r="M64">
        <f>IF($AG64="","",INDEX('04_調査結果'!$G$5:$G$404,$AG64)&amp;"")</f>
        <v/>
      </c>
      <c r="N64">
        <f>IF($AG64="","",INDEX('04_調査結果'!$H$5:$H$404,$AG64)&amp;"")</f>
        <v/>
      </c>
      <c r="O64" s="33">
        <f>IF($AG64="","",IF(INDEX('04_調査結果'!$Z$5:$Z$404,$AG64)&lt;&gt;"",INDEX('04_調査結果'!$Z$5:$Z$404,$AG64),INDEX('04_調査結果'!$AM$5:$AM$404,$AG64)))</f>
        <v/>
      </c>
      <c r="P64" s="33">
        <f>IF($AG64="","",IF(INDEX('04_調査結果'!$AA$5:$AA$404,$AG64)&lt;&gt;"",INDEX('04_調査結果'!$AA$5:$AA$404,$AG64),INDEX('04_調査結果'!$AN$5:$AN$404,$AG64)))</f>
        <v/>
      </c>
      <c r="Q64" s="33">
        <f>IF($AG64="","",INDEX('04_調査結果'!$AD$5:$AD$404,$AG64))</f>
        <v/>
      </c>
      <c r="R64">
        <f>IF($AG64="","",INDEX('04_調査結果'!$AO$5:$AO$404,$AG64))</f>
        <v/>
      </c>
      <c r="S64" s="37">
        <f>IF($AG64="","",INDEX('04_調査結果'!$AQ$5:$AQ$404,$AG64))</f>
        <v/>
      </c>
      <c r="T64" s="37">
        <f>IF($AG64="","",INDEX('04_調査結果'!$AR$5:$AR$404,$AG64))</f>
        <v/>
      </c>
      <c r="U64">
        <f>IF($AG64="","",INDEX('04_調査結果'!$N$5:$N$404,$AG64)&amp;"")</f>
        <v/>
      </c>
      <c r="V64">
        <f>IF($AG64="","",INDEX('04_調査結果'!$O$5:$O$404,$AG64))</f>
        <v/>
      </c>
      <c r="W64">
        <f>IF($AG64="","",INDEX('04_調査結果'!$P$5:$P$404,$AG64))</f>
        <v/>
      </c>
      <c r="X64">
        <f>IF($AG64="","",INDEX('04_調査結果'!$Q$5:$Q$404,$AG64))</f>
        <v/>
      </c>
      <c r="Y64">
        <f>IF($AG64="","",INDEX('04_調査結果'!$R$5:$R$404,$AG64))</f>
        <v/>
      </c>
      <c r="Z64">
        <f>IF($AG64="","",INDEX('04_調査結果'!$S$5:$S$404,$AG64))</f>
        <v/>
      </c>
      <c r="AA64">
        <f>IF($AG64="","",INDEX('04_調査結果'!$T$5:$T$404,$AG64))</f>
        <v/>
      </c>
      <c r="AB64">
        <f>IF($AG64="","",INDEX('04_調査結果'!$U$5:$U$404,$AG64))</f>
        <v/>
      </c>
      <c r="AC64">
        <f>IF($AG64="","",INDEX('04_調査結果'!$AF$5:$AF$404,$AG64))</f>
        <v/>
      </c>
      <c r="AD64">
        <f>IF($AG64="","",INDEX('04_調査結果'!$AC$5:$AC$404,$AG64)&amp;"")</f>
        <v/>
      </c>
      <c r="AE64">
        <f>IF($AG64="","",INDEX('04_調査結果'!$V$5:$V$404,$AG64)&amp;"")</f>
        <v/>
      </c>
      <c r="AF64">
        <f>IF($AG64="","",INDEX('04_調査結果'!$X$5:$X$404,$AG64)&amp;"")</f>
        <v/>
      </c>
      <c r="AG64" s="34">
        <f>IFERROR(MATCH(ROW()-4,'04_調査結果'!$AT$5:$AT$404,0),"")</f>
        <v/>
      </c>
    </row>
    <row r="65">
      <c r="A65">
        <f>IF($AG65="","",'01_設定'!$C$4)</f>
        <v/>
      </c>
      <c r="B65">
        <f>IF($AG65="","",'01_設定'!$C$5)</f>
        <v/>
      </c>
      <c r="C65">
        <f>IF($AG65="","",'01_設定'!$C$6)</f>
        <v/>
      </c>
      <c r="D65" s="36">
        <f>IF($AG65="","",'01_設定'!$C$22)</f>
        <v/>
      </c>
      <c r="E65" s="36">
        <f>IF($AG65="","",'01_設定'!$C$23)</f>
        <v/>
      </c>
      <c r="F65">
        <f>IF($AG65="","",'01_設定'!$C$32)</f>
        <v/>
      </c>
      <c r="G65">
        <f>IF($AG65="","",ROW()-4)</f>
        <v/>
      </c>
      <c r="H65">
        <f>IF($AG65="","",INDEX('04_調査結果'!$AJ$5:$AJ$404,$AG65))</f>
        <v/>
      </c>
      <c r="I65">
        <f>IF($AG65="","",INDEX('04_調査結果'!$D$5:$D$404,$AG65)&amp;"")</f>
        <v/>
      </c>
      <c r="J65">
        <f>IF($AG65="","",INDEX('04_調査結果'!$AK$5:$AK$404,$AG65)&amp;"")</f>
        <v/>
      </c>
      <c r="K65">
        <f>IF($AG65="","",IFERROR(INDEX('M1_類型マスタ'!$B$5:$B$19,MATCH(J65,'M1_類型マスタ'!$A$5:$A$19,0)),""))</f>
        <v/>
      </c>
      <c r="L65">
        <f>IF($AG65="","",INDEX('04_調査結果'!$F$5:$F$404,$AG65)&amp;"")</f>
        <v/>
      </c>
      <c r="M65">
        <f>IF($AG65="","",INDEX('04_調査結果'!$G$5:$G$404,$AG65)&amp;"")</f>
        <v/>
      </c>
      <c r="N65">
        <f>IF($AG65="","",INDEX('04_調査結果'!$H$5:$H$404,$AG65)&amp;"")</f>
        <v/>
      </c>
      <c r="O65" s="33">
        <f>IF($AG65="","",IF(INDEX('04_調査結果'!$Z$5:$Z$404,$AG65)&lt;&gt;"",INDEX('04_調査結果'!$Z$5:$Z$404,$AG65),INDEX('04_調査結果'!$AM$5:$AM$404,$AG65)))</f>
        <v/>
      </c>
      <c r="P65" s="33">
        <f>IF($AG65="","",IF(INDEX('04_調査結果'!$AA$5:$AA$404,$AG65)&lt;&gt;"",INDEX('04_調査結果'!$AA$5:$AA$404,$AG65),INDEX('04_調査結果'!$AN$5:$AN$404,$AG65)))</f>
        <v/>
      </c>
      <c r="Q65" s="33">
        <f>IF($AG65="","",INDEX('04_調査結果'!$AD$5:$AD$404,$AG65))</f>
        <v/>
      </c>
      <c r="R65">
        <f>IF($AG65="","",INDEX('04_調査結果'!$AO$5:$AO$404,$AG65))</f>
        <v/>
      </c>
      <c r="S65" s="37">
        <f>IF($AG65="","",INDEX('04_調査結果'!$AQ$5:$AQ$404,$AG65))</f>
        <v/>
      </c>
      <c r="T65" s="37">
        <f>IF($AG65="","",INDEX('04_調査結果'!$AR$5:$AR$404,$AG65))</f>
        <v/>
      </c>
      <c r="U65">
        <f>IF($AG65="","",INDEX('04_調査結果'!$N$5:$N$404,$AG65)&amp;"")</f>
        <v/>
      </c>
      <c r="V65">
        <f>IF($AG65="","",INDEX('04_調査結果'!$O$5:$O$404,$AG65))</f>
        <v/>
      </c>
      <c r="W65">
        <f>IF($AG65="","",INDEX('04_調査結果'!$P$5:$P$404,$AG65))</f>
        <v/>
      </c>
      <c r="X65">
        <f>IF($AG65="","",INDEX('04_調査結果'!$Q$5:$Q$404,$AG65))</f>
        <v/>
      </c>
      <c r="Y65">
        <f>IF($AG65="","",INDEX('04_調査結果'!$R$5:$R$404,$AG65))</f>
        <v/>
      </c>
      <c r="Z65">
        <f>IF($AG65="","",INDEX('04_調査結果'!$S$5:$S$404,$AG65))</f>
        <v/>
      </c>
      <c r="AA65">
        <f>IF($AG65="","",INDEX('04_調査結果'!$T$5:$T$404,$AG65))</f>
        <v/>
      </c>
      <c r="AB65">
        <f>IF($AG65="","",INDEX('04_調査結果'!$U$5:$U$404,$AG65))</f>
        <v/>
      </c>
      <c r="AC65">
        <f>IF($AG65="","",INDEX('04_調査結果'!$AF$5:$AF$404,$AG65))</f>
        <v/>
      </c>
      <c r="AD65">
        <f>IF($AG65="","",INDEX('04_調査結果'!$AC$5:$AC$404,$AG65)&amp;"")</f>
        <v/>
      </c>
      <c r="AE65">
        <f>IF($AG65="","",INDEX('04_調査結果'!$V$5:$V$404,$AG65)&amp;"")</f>
        <v/>
      </c>
      <c r="AF65">
        <f>IF($AG65="","",INDEX('04_調査結果'!$X$5:$X$404,$AG65)&amp;"")</f>
        <v/>
      </c>
      <c r="AG65" s="34">
        <f>IFERROR(MATCH(ROW()-4,'04_調査結果'!$AT$5:$AT$404,0),"")</f>
        <v/>
      </c>
    </row>
    <row r="66">
      <c r="A66">
        <f>IF($AG66="","",'01_設定'!$C$4)</f>
        <v/>
      </c>
      <c r="B66">
        <f>IF($AG66="","",'01_設定'!$C$5)</f>
        <v/>
      </c>
      <c r="C66">
        <f>IF($AG66="","",'01_設定'!$C$6)</f>
        <v/>
      </c>
      <c r="D66" s="36">
        <f>IF($AG66="","",'01_設定'!$C$22)</f>
        <v/>
      </c>
      <c r="E66" s="36">
        <f>IF($AG66="","",'01_設定'!$C$23)</f>
        <v/>
      </c>
      <c r="F66">
        <f>IF($AG66="","",'01_設定'!$C$32)</f>
        <v/>
      </c>
      <c r="G66">
        <f>IF($AG66="","",ROW()-4)</f>
        <v/>
      </c>
      <c r="H66">
        <f>IF($AG66="","",INDEX('04_調査結果'!$AJ$5:$AJ$404,$AG66))</f>
        <v/>
      </c>
      <c r="I66">
        <f>IF($AG66="","",INDEX('04_調査結果'!$D$5:$D$404,$AG66)&amp;"")</f>
        <v/>
      </c>
      <c r="J66">
        <f>IF($AG66="","",INDEX('04_調査結果'!$AK$5:$AK$404,$AG66)&amp;"")</f>
        <v/>
      </c>
      <c r="K66">
        <f>IF($AG66="","",IFERROR(INDEX('M1_類型マスタ'!$B$5:$B$19,MATCH(J66,'M1_類型マスタ'!$A$5:$A$19,0)),""))</f>
        <v/>
      </c>
      <c r="L66">
        <f>IF($AG66="","",INDEX('04_調査結果'!$F$5:$F$404,$AG66)&amp;"")</f>
        <v/>
      </c>
      <c r="M66">
        <f>IF($AG66="","",INDEX('04_調査結果'!$G$5:$G$404,$AG66)&amp;"")</f>
        <v/>
      </c>
      <c r="N66">
        <f>IF($AG66="","",INDEX('04_調査結果'!$H$5:$H$404,$AG66)&amp;"")</f>
        <v/>
      </c>
      <c r="O66" s="33">
        <f>IF($AG66="","",IF(INDEX('04_調査結果'!$Z$5:$Z$404,$AG66)&lt;&gt;"",INDEX('04_調査結果'!$Z$5:$Z$404,$AG66),INDEX('04_調査結果'!$AM$5:$AM$404,$AG66)))</f>
        <v/>
      </c>
      <c r="P66" s="33">
        <f>IF($AG66="","",IF(INDEX('04_調査結果'!$AA$5:$AA$404,$AG66)&lt;&gt;"",INDEX('04_調査結果'!$AA$5:$AA$404,$AG66),INDEX('04_調査結果'!$AN$5:$AN$404,$AG66)))</f>
        <v/>
      </c>
      <c r="Q66" s="33">
        <f>IF($AG66="","",INDEX('04_調査結果'!$AD$5:$AD$404,$AG66))</f>
        <v/>
      </c>
      <c r="R66">
        <f>IF($AG66="","",INDEX('04_調査結果'!$AO$5:$AO$404,$AG66))</f>
        <v/>
      </c>
      <c r="S66" s="37">
        <f>IF($AG66="","",INDEX('04_調査結果'!$AQ$5:$AQ$404,$AG66))</f>
        <v/>
      </c>
      <c r="T66" s="37">
        <f>IF($AG66="","",INDEX('04_調査結果'!$AR$5:$AR$404,$AG66))</f>
        <v/>
      </c>
      <c r="U66">
        <f>IF($AG66="","",INDEX('04_調査結果'!$N$5:$N$404,$AG66)&amp;"")</f>
        <v/>
      </c>
      <c r="V66">
        <f>IF($AG66="","",INDEX('04_調査結果'!$O$5:$O$404,$AG66))</f>
        <v/>
      </c>
      <c r="W66">
        <f>IF($AG66="","",INDEX('04_調査結果'!$P$5:$P$404,$AG66))</f>
        <v/>
      </c>
      <c r="X66">
        <f>IF($AG66="","",INDEX('04_調査結果'!$Q$5:$Q$404,$AG66))</f>
        <v/>
      </c>
      <c r="Y66">
        <f>IF($AG66="","",INDEX('04_調査結果'!$R$5:$R$404,$AG66))</f>
        <v/>
      </c>
      <c r="Z66">
        <f>IF($AG66="","",INDEX('04_調査結果'!$S$5:$S$404,$AG66))</f>
        <v/>
      </c>
      <c r="AA66">
        <f>IF($AG66="","",INDEX('04_調査結果'!$T$5:$T$404,$AG66))</f>
        <v/>
      </c>
      <c r="AB66">
        <f>IF($AG66="","",INDEX('04_調査結果'!$U$5:$U$404,$AG66))</f>
        <v/>
      </c>
      <c r="AC66">
        <f>IF($AG66="","",INDEX('04_調査結果'!$AF$5:$AF$404,$AG66))</f>
        <v/>
      </c>
      <c r="AD66">
        <f>IF($AG66="","",INDEX('04_調査結果'!$AC$5:$AC$404,$AG66)&amp;"")</f>
        <v/>
      </c>
      <c r="AE66">
        <f>IF($AG66="","",INDEX('04_調査結果'!$V$5:$V$404,$AG66)&amp;"")</f>
        <v/>
      </c>
      <c r="AF66">
        <f>IF($AG66="","",INDEX('04_調査結果'!$X$5:$X$404,$AG66)&amp;"")</f>
        <v/>
      </c>
      <c r="AG66" s="34">
        <f>IFERROR(MATCH(ROW()-4,'04_調査結果'!$AT$5:$AT$404,0),"")</f>
        <v/>
      </c>
    </row>
    <row r="67">
      <c r="A67">
        <f>IF($AG67="","",'01_設定'!$C$4)</f>
        <v/>
      </c>
      <c r="B67">
        <f>IF($AG67="","",'01_設定'!$C$5)</f>
        <v/>
      </c>
      <c r="C67">
        <f>IF($AG67="","",'01_設定'!$C$6)</f>
        <v/>
      </c>
      <c r="D67" s="36">
        <f>IF($AG67="","",'01_設定'!$C$22)</f>
        <v/>
      </c>
      <c r="E67" s="36">
        <f>IF($AG67="","",'01_設定'!$C$23)</f>
        <v/>
      </c>
      <c r="F67">
        <f>IF($AG67="","",'01_設定'!$C$32)</f>
        <v/>
      </c>
      <c r="G67">
        <f>IF($AG67="","",ROW()-4)</f>
        <v/>
      </c>
      <c r="H67">
        <f>IF($AG67="","",INDEX('04_調査結果'!$AJ$5:$AJ$404,$AG67))</f>
        <v/>
      </c>
      <c r="I67">
        <f>IF($AG67="","",INDEX('04_調査結果'!$D$5:$D$404,$AG67)&amp;"")</f>
        <v/>
      </c>
      <c r="J67">
        <f>IF($AG67="","",INDEX('04_調査結果'!$AK$5:$AK$404,$AG67)&amp;"")</f>
        <v/>
      </c>
      <c r="K67">
        <f>IF($AG67="","",IFERROR(INDEX('M1_類型マスタ'!$B$5:$B$19,MATCH(J67,'M1_類型マスタ'!$A$5:$A$19,0)),""))</f>
        <v/>
      </c>
      <c r="L67">
        <f>IF($AG67="","",INDEX('04_調査結果'!$F$5:$F$404,$AG67)&amp;"")</f>
        <v/>
      </c>
      <c r="M67">
        <f>IF($AG67="","",INDEX('04_調査結果'!$G$5:$G$404,$AG67)&amp;"")</f>
        <v/>
      </c>
      <c r="N67">
        <f>IF($AG67="","",INDEX('04_調査結果'!$H$5:$H$404,$AG67)&amp;"")</f>
        <v/>
      </c>
      <c r="O67" s="33">
        <f>IF($AG67="","",IF(INDEX('04_調査結果'!$Z$5:$Z$404,$AG67)&lt;&gt;"",INDEX('04_調査結果'!$Z$5:$Z$404,$AG67),INDEX('04_調査結果'!$AM$5:$AM$404,$AG67)))</f>
        <v/>
      </c>
      <c r="P67" s="33">
        <f>IF($AG67="","",IF(INDEX('04_調査結果'!$AA$5:$AA$404,$AG67)&lt;&gt;"",INDEX('04_調査結果'!$AA$5:$AA$404,$AG67),INDEX('04_調査結果'!$AN$5:$AN$404,$AG67)))</f>
        <v/>
      </c>
      <c r="Q67" s="33">
        <f>IF($AG67="","",INDEX('04_調査結果'!$AD$5:$AD$404,$AG67))</f>
        <v/>
      </c>
      <c r="R67">
        <f>IF($AG67="","",INDEX('04_調査結果'!$AO$5:$AO$404,$AG67))</f>
        <v/>
      </c>
      <c r="S67" s="37">
        <f>IF($AG67="","",INDEX('04_調査結果'!$AQ$5:$AQ$404,$AG67))</f>
        <v/>
      </c>
      <c r="T67" s="37">
        <f>IF($AG67="","",INDEX('04_調査結果'!$AR$5:$AR$404,$AG67))</f>
        <v/>
      </c>
      <c r="U67">
        <f>IF($AG67="","",INDEX('04_調査結果'!$N$5:$N$404,$AG67)&amp;"")</f>
        <v/>
      </c>
      <c r="V67">
        <f>IF($AG67="","",INDEX('04_調査結果'!$O$5:$O$404,$AG67))</f>
        <v/>
      </c>
      <c r="W67">
        <f>IF($AG67="","",INDEX('04_調査結果'!$P$5:$P$404,$AG67))</f>
        <v/>
      </c>
      <c r="X67">
        <f>IF($AG67="","",INDEX('04_調査結果'!$Q$5:$Q$404,$AG67))</f>
        <v/>
      </c>
      <c r="Y67">
        <f>IF($AG67="","",INDEX('04_調査結果'!$R$5:$R$404,$AG67))</f>
        <v/>
      </c>
      <c r="Z67">
        <f>IF($AG67="","",INDEX('04_調査結果'!$S$5:$S$404,$AG67))</f>
        <v/>
      </c>
      <c r="AA67">
        <f>IF($AG67="","",INDEX('04_調査結果'!$T$5:$T$404,$AG67))</f>
        <v/>
      </c>
      <c r="AB67">
        <f>IF($AG67="","",INDEX('04_調査結果'!$U$5:$U$404,$AG67))</f>
        <v/>
      </c>
      <c r="AC67">
        <f>IF($AG67="","",INDEX('04_調査結果'!$AF$5:$AF$404,$AG67))</f>
        <v/>
      </c>
      <c r="AD67">
        <f>IF($AG67="","",INDEX('04_調査結果'!$AC$5:$AC$404,$AG67)&amp;"")</f>
        <v/>
      </c>
      <c r="AE67">
        <f>IF($AG67="","",INDEX('04_調査結果'!$V$5:$V$404,$AG67)&amp;"")</f>
        <v/>
      </c>
      <c r="AF67">
        <f>IF($AG67="","",INDEX('04_調査結果'!$X$5:$X$404,$AG67)&amp;"")</f>
        <v/>
      </c>
      <c r="AG67" s="34">
        <f>IFERROR(MATCH(ROW()-4,'04_調査結果'!$AT$5:$AT$404,0),"")</f>
        <v/>
      </c>
    </row>
    <row r="68">
      <c r="A68">
        <f>IF($AG68="","",'01_設定'!$C$4)</f>
        <v/>
      </c>
      <c r="B68">
        <f>IF($AG68="","",'01_設定'!$C$5)</f>
        <v/>
      </c>
      <c r="C68">
        <f>IF($AG68="","",'01_設定'!$C$6)</f>
        <v/>
      </c>
      <c r="D68" s="36">
        <f>IF($AG68="","",'01_設定'!$C$22)</f>
        <v/>
      </c>
      <c r="E68" s="36">
        <f>IF($AG68="","",'01_設定'!$C$23)</f>
        <v/>
      </c>
      <c r="F68">
        <f>IF($AG68="","",'01_設定'!$C$32)</f>
        <v/>
      </c>
      <c r="G68">
        <f>IF($AG68="","",ROW()-4)</f>
        <v/>
      </c>
      <c r="H68">
        <f>IF($AG68="","",INDEX('04_調査結果'!$AJ$5:$AJ$404,$AG68))</f>
        <v/>
      </c>
      <c r="I68">
        <f>IF($AG68="","",INDEX('04_調査結果'!$D$5:$D$404,$AG68)&amp;"")</f>
        <v/>
      </c>
      <c r="J68">
        <f>IF($AG68="","",INDEX('04_調査結果'!$AK$5:$AK$404,$AG68)&amp;"")</f>
        <v/>
      </c>
      <c r="K68">
        <f>IF($AG68="","",IFERROR(INDEX('M1_類型マスタ'!$B$5:$B$19,MATCH(J68,'M1_類型マスタ'!$A$5:$A$19,0)),""))</f>
        <v/>
      </c>
      <c r="L68">
        <f>IF($AG68="","",INDEX('04_調査結果'!$F$5:$F$404,$AG68)&amp;"")</f>
        <v/>
      </c>
      <c r="M68">
        <f>IF($AG68="","",INDEX('04_調査結果'!$G$5:$G$404,$AG68)&amp;"")</f>
        <v/>
      </c>
      <c r="N68">
        <f>IF($AG68="","",INDEX('04_調査結果'!$H$5:$H$404,$AG68)&amp;"")</f>
        <v/>
      </c>
      <c r="O68" s="33">
        <f>IF($AG68="","",IF(INDEX('04_調査結果'!$Z$5:$Z$404,$AG68)&lt;&gt;"",INDEX('04_調査結果'!$Z$5:$Z$404,$AG68),INDEX('04_調査結果'!$AM$5:$AM$404,$AG68)))</f>
        <v/>
      </c>
      <c r="P68" s="33">
        <f>IF($AG68="","",IF(INDEX('04_調査結果'!$AA$5:$AA$404,$AG68)&lt;&gt;"",INDEX('04_調査結果'!$AA$5:$AA$404,$AG68),INDEX('04_調査結果'!$AN$5:$AN$404,$AG68)))</f>
        <v/>
      </c>
      <c r="Q68" s="33">
        <f>IF($AG68="","",INDEX('04_調査結果'!$AD$5:$AD$404,$AG68))</f>
        <v/>
      </c>
      <c r="R68">
        <f>IF($AG68="","",INDEX('04_調査結果'!$AO$5:$AO$404,$AG68))</f>
        <v/>
      </c>
      <c r="S68" s="37">
        <f>IF($AG68="","",INDEX('04_調査結果'!$AQ$5:$AQ$404,$AG68))</f>
        <v/>
      </c>
      <c r="T68" s="37">
        <f>IF($AG68="","",INDEX('04_調査結果'!$AR$5:$AR$404,$AG68))</f>
        <v/>
      </c>
      <c r="U68">
        <f>IF($AG68="","",INDEX('04_調査結果'!$N$5:$N$404,$AG68)&amp;"")</f>
        <v/>
      </c>
      <c r="V68">
        <f>IF($AG68="","",INDEX('04_調査結果'!$O$5:$O$404,$AG68))</f>
        <v/>
      </c>
      <c r="W68">
        <f>IF($AG68="","",INDEX('04_調査結果'!$P$5:$P$404,$AG68))</f>
        <v/>
      </c>
      <c r="X68">
        <f>IF($AG68="","",INDEX('04_調査結果'!$Q$5:$Q$404,$AG68))</f>
        <v/>
      </c>
      <c r="Y68">
        <f>IF($AG68="","",INDEX('04_調査結果'!$R$5:$R$404,$AG68))</f>
        <v/>
      </c>
      <c r="Z68">
        <f>IF($AG68="","",INDEX('04_調査結果'!$S$5:$S$404,$AG68))</f>
        <v/>
      </c>
      <c r="AA68">
        <f>IF($AG68="","",INDEX('04_調査結果'!$T$5:$T$404,$AG68))</f>
        <v/>
      </c>
      <c r="AB68">
        <f>IF($AG68="","",INDEX('04_調査結果'!$U$5:$U$404,$AG68))</f>
        <v/>
      </c>
      <c r="AC68">
        <f>IF($AG68="","",INDEX('04_調査結果'!$AF$5:$AF$404,$AG68))</f>
        <v/>
      </c>
      <c r="AD68">
        <f>IF($AG68="","",INDEX('04_調査結果'!$AC$5:$AC$404,$AG68)&amp;"")</f>
        <v/>
      </c>
      <c r="AE68">
        <f>IF($AG68="","",INDEX('04_調査結果'!$V$5:$V$404,$AG68)&amp;"")</f>
        <v/>
      </c>
      <c r="AF68">
        <f>IF($AG68="","",INDEX('04_調査結果'!$X$5:$X$404,$AG68)&amp;"")</f>
        <v/>
      </c>
      <c r="AG68" s="34">
        <f>IFERROR(MATCH(ROW()-4,'04_調査結果'!$AT$5:$AT$404,0),"")</f>
        <v/>
      </c>
    </row>
    <row r="69">
      <c r="A69">
        <f>IF($AG69="","",'01_設定'!$C$4)</f>
        <v/>
      </c>
      <c r="B69">
        <f>IF($AG69="","",'01_設定'!$C$5)</f>
        <v/>
      </c>
      <c r="C69">
        <f>IF($AG69="","",'01_設定'!$C$6)</f>
        <v/>
      </c>
      <c r="D69" s="36">
        <f>IF($AG69="","",'01_設定'!$C$22)</f>
        <v/>
      </c>
      <c r="E69" s="36">
        <f>IF($AG69="","",'01_設定'!$C$23)</f>
        <v/>
      </c>
      <c r="F69">
        <f>IF($AG69="","",'01_設定'!$C$32)</f>
        <v/>
      </c>
      <c r="G69">
        <f>IF($AG69="","",ROW()-4)</f>
        <v/>
      </c>
      <c r="H69">
        <f>IF($AG69="","",INDEX('04_調査結果'!$AJ$5:$AJ$404,$AG69))</f>
        <v/>
      </c>
      <c r="I69">
        <f>IF($AG69="","",INDEX('04_調査結果'!$D$5:$D$404,$AG69)&amp;"")</f>
        <v/>
      </c>
      <c r="J69">
        <f>IF($AG69="","",INDEX('04_調査結果'!$AK$5:$AK$404,$AG69)&amp;"")</f>
        <v/>
      </c>
      <c r="K69">
        <f>IF($AG69="","",IFERROR(INDEX('M1_類型マスタ'!$B$5:$B$19,MATCH(J69,'M1_類型マスタ'!$A$5:$A$19,0)),""))</f>
        <v/>
      </c>
      <c r="L69">
        <f>IF($AG69="","",INDEX('04_調査結果'!$F$5:$F$404,$AG69)&amp;"")</f>
        <v/>
      </c>
      <c r="M69">
        <f>IF($AG69="","",INDEX('04_調査結果'!$G$5:$G$404,$AG69)&amp;"")</f>
        <v/>
      </c>
      <c r="N69">
        <f>IF($AG69="","",INDEX('04_調査結果'!$H$5:$H$404,$AG69)&amp;"")</f>
        <v/>
      </c>
      <c r="O69" s="33">
        <f>IF($AG69="","",IF(INDEX('04_調査結果'!$Z$5:$Z$404,$AG69)&lt;&gt;"",INDEX('04_調査結果'!$Z$5:$Z$404,$AG69),INDEX('04_調査結果'!$AM$5:$AM$404,$AG69)))</f>
        <v/>
      </c>
      <c r="P69" s="33">
        <f>IF($AG69="","",IF(INDEX('04_調査結果'!$AA$5:$AA$404,$AG69)&lt;&gt;"",INDEX('04_調査結果'!$AA$5:$AA$404,$AG69),INDEX('04_調査結果'!$AN$5:$AN$404,$AG69)))</f>
        <v/>
      </c>
      <c r="Q69" s="33">
        <f>IF($AG69="","",INDEX('04_調査結果'!$AD$5:$AD$404,$AG69))</f>
        <v/>
      </c>
      <c r="R69">
        <f>IF($AG69="","",INDEX('04_調査結果'!$AO$5:$AO$404,$AG69))</f>
        <v/>
      </c>
      <c r="S69" s="37">
        <f>IF($AG69="","",INDEX('04_調査結果'!$AQ$5:$AQ$404,$AG69))</f>
        <v/>
      </c>
      <c r="T69" s="37">
        <f>IF($AG69="","",INDEX('04_調査結果'!$AR$5:$AR$404,$AG69))</f>
        <v/>
      </c>
      <c r="U69">
        <f>IF($AG69="","",INDEX('04_調査結果'!$N$5:$N$404,$AG69)&amp;"")</f>
        <v/>
      </c>
      <c r="V69">
        <f>IF($AG69="","",INDEX('04_調査結果'!$O$5:$O$404,$AG69))</f>
        <v/>
      </c>
      <c r="W69">
        <f>IF($AG69="","",INDEX('04_調査結果'!$P$5:$P$404,$AG69))</f>
        <v/>
      </c>
      <c r="X69">
        <f>IF($AG69="","",INDEX('04_調査結果'!$Q$5:$Q$404,$AG69))</f>
        <v/>
      </c>
      <c r="Y69">
        <f>IF($AG69="","",INDEX('04_調査結果'!$R$5:$R$404,$AG69))</f>
        <v/>
      </c>
      <c r="Z69">
        <f>IF($AG69="","",INDEX('04_調査結果'!$S$5:$S$404,$AG69))</f>
        <v/>
      </c>
      <c r="AA69">
        <f>IF($AG69="","",INDEX('04_調査結果'!$T$5:$T$404,$AG69))</f>
        <v/>
      </c>
      <c r="AB69">
        <f>IF($AG69="","",INDEX('04_調査結果'!$U$5:$U$404,$AG69))</f>
        <v/>
      </c>
      <c r="AC69">
        <f>IF($AG69="","",INDEX('04_調査結果'!$AF$5:$AF$404,$AG69))</f>
        <v/>
      </c>
      <c r="AD69">
        <f>IF($AG69="","",INDEX('04_調査結果'!$AC$5:$AC$404,$AG69)&amp;"")</f>
        <v/>
      </c>
      <c r="AE69">
        <f>IF($AG69="","",INDEX('04_調査結果'!$V$5:$V$404,$AG69)&amp;"")</f>
        <v/>
      </c>
      <c r="AF69">
        <f>IF($AG69="","",INDEX('04_調査結果'!$X$5:$X$404,$AG69)&amp;"")</f>
        <v/>
      </c>
      <c r="AG69" s="34">
        <f>IFERROR(MATCH(ROW()-4,'04_調査結果'!$AT$5:$AT$404,0),"")</f>
        <v/>
      </c>
    </row>
    <row r="70">
      <c r="A70">
        <f>IF($AG70="","",'01_設定'!$C$4)</f>
        <v/>
      </c>
      <c r="B70">
        <f>IF($AG70="","",'01_設定'!$C$5)</f>
        <v/>
      </c>
      <c r="C70">
        <f>IF($AG70="","",'01_設定'!$C$6)</f>
        <v/>
      </c>
      <c r="D70" s="36">
        <f>IF($AG70="","",'01_設定'!$C$22)</f>
        <v/>
      </c>
      <c r="E70" s="36">
        <f>IF($AG70="","",'01_設定'!$C$23)</f>
        <v/>
      </c>
      <c r="F70">
        <f>IF($AG70="","",'01_設定'!$C$32)</f>
        <v/>
      </c>
      <c r="G70">
        <f>IF($AG70="","",ROW()-4)</f>
        <v/>
      </c>
      <c r="H70">
        <f>IF($AG70="","",INDEX('04_調査結果'!$AJ$5:$AJ$404,$AG70))</f>
        <v/>
      </c>
      <c r="I70">
        <f>IF($AG70="","",INDEX('04_調査結果'!$D$5:$D$404,$AG70)&amp;"")</f>
        <v/>
      </c>
      <c r="J70">
        <f>IF($AG70="","",INDEX('04_調査結果'!$AK$5:$AK$404,$AG70)&amp;"")</f>
        <v/>
      </c>
      <c r="K70">
        <f>IF($AG70="","",IFERROR(INDEX('M1_類型マスタ'!$B$5:$B$19,MATCH(J70,'M1_類型マスタ'!$A$5:$A$19,0)),""))</f>
        <v/>
      </c>
      <c r="L70">
        <f>IF($AG70="","",INDEX('04_調査結果'!$F$5:$F$404,$AG70)&amp;"")</f>
        <v/>
      </c>
      <c r="M70">
        <f>IF($AG70="","",INDEX('04_調査結果'!$G$5:$G$404,$AG70)&amp;"")</f>
        <v/>
      </c>
      <c r="N70">
        <f>IF($AG70="","",INDEX('04_調査結果'!$H$5:$H$404,$AG70)&amp;"")</f>
        <v/>
      </c>
      <c r="O70" s="33">
        <f>IF($AG70="","",IF(INDEX('04_調査結果'!$Z$5:$Z$404,$AG70)&lt;&gt;"",INDEX('04_調査結果'!$Z$5:$Z$404,$AG70),INDEX('04_調査結果'!$AM$5:$AM$404,$AG70)))</f>
        <v/>
      </c>
      <c r="P70" s="33">
        <f>IF($AG70="","",IF(INDEX('04_調査結果'!$AA$5:$AA$404,$AG70)&lt;&gt;"",INDEX('04_調査結果'!$AA$5:$AA$404,$AG70),INDEX('04_調査結果'!$AN$5:$AN$404,$AG70)))</f>
        <v/>
      </c>
      <c r="Q70" s="33">
        <f>IF($AG70="","",INDEX('04_調査結果'!$AD$5:$AD$404,$AG70))</f>
        <v/>
      </c>
      <c r="R70">
        <f>IF($AG70="","",INDEX('04_調査結果'!$AO$5:$AO$404,$AG70))</f>
        <v/>
      </c>
      <c r="S70" s="37">
        <f>IF($AG70="","",INDEX('04_調査結果'!$AQ$5:$AQ$404,$AG70))</f>
        <v/>
      </c>
      <c r="T70" s="37">
        <f>IF($AG70="","",INDEX('04_調査結果'!$AR$5:$AR$404,$AG70))</f>
        <v/>
      </c>
      <c r="U70">
        <f>IF($AG70="","",INDEX('04_調査結果'!$N$5:$N$404,$AG70)&amp;"")</f>
        <v/>
      </c>
      <c r="V70">
        <f>IF($AG70="","",INDEX('04_調査結果'!$O$5:$O$404,$AG70))</f>
        <v/>
      </c>
      <c r="W70">
        <f>IF($AG70="","",INDEX('04_調査結果'!$P$5:$P$404,$AG70))</f>
        <v/>
      </c>
      <c r="X70">
        <f>IF($AG70="","",INDEX('04_調査結果'!$Q$5:$Q$404,$AG70))</f>
        <v/>
      </c>
      <c r="Y70">
        <f>IF($AG70="","",INDEX('04_調査結果'!$R$5:$R$404,$AG70))</f>
        <v/>
      </c>
      <c r="Z70">
        <f>IF($AG70="","",INDEX('04_調査結果'!$S$5:$S$404,$AG70))</f>
        <v/>
      </c>
      <c r="AA70">
        <f>IF($AG70="","",INDEX('04_調査結果'!$T$5:$T$404,$AG70))</f>
        <v/>
      </c>
      <c r="AB70">
        <f>IF($AG70="","",INDEX('04_調査結果'!$U$5:$U$404,$AG70))</f>
        <v/>
      </c>
      <c r="AC70">
        <f>IF($AG70="","",INDEX('04_調査結果'!$AF$5:$AF$404,$AG70))</f>
        <v/>
      </c>
      <c r="AD70">
        <f>IF($AG70="","",INDEX('04_調査結果'!$AC$5:$AC$404,$AG70)&amp;"")</f>
        <v/>
      </c>
      <c r="AE70">
        <f>IF($AG70="","",INDEX('04_調査結果'!$V$5:$V$404,$AG70)&amp;"")</f>
        <v/>
      </c>
      <c r="AF70">
        <f>IF($AG70="","",INDEX('04_調査結果'!$X$5:$X$404,$AG70)&amp;"")</f>
        <v/>
      </c>
      <c r="AG70" s="34">
        <f>IFERROR(MATCH(ROW()-4,'04_調査結果'!$AT$5:$AT$404,0),"")</f>
        <v/>
      </c>
    </row>
    <row r="71">
      <c r="A71">
        <f>IF($AG71="","",'01_設定'!$C$4)</f>
        <v/>
      </c>
      <c r="B71">
        <f>IF($AG71="","",'01_設定'!$C$5)</f>
        <v/>
      </c>
      <c r="C71">
        <f>IF($AG71="","",'01_設定'!$C$6)</f>
        <v/>
      </c>
      <c r="D71" s="36">
        <f>IF($AG71="","",'01_設定'!$C$22)</f>
        <v/>
      </c>
      <c r="E71" s="36">
        <f>IF($AG71="","",'01_設定'!$C$23)</f>
        <v/>
      </c>
      <c r="F71">
        <f>IF($AG71="","",'01_設定'!$C$32)</f>
        <v/>
      </c>
      <c r="G71">
        <f>IF($AG71="","",ROW()-4)</f>
        <v/>
      </c>
      <c r="H71">
        <f>IF($AG71="","",INDEX('04_調査結果'!$AJ$5:$AJ$404,$AG71))</f>
        <v/>
      </c>
      <c r="I71">
        <f>IF($AG71="","",INDEX('04_調査結果'!$D$5:$D$404,$AG71)&amp;"")</f>
        <v/>
      </c>
      <c r="J71">
        <f>IF($AG71="","",INDEX('04_調査結果'!$AK$5:$AK$404,$AG71)&amp;"")</f>
        <v/>
      </c>
      <c r="K71">
        <f>IF($AG71="","",IFERROR(INDEX('M1_類型マスタ'!$B$5:$B$19,MATCH(J71,'M1_類型マスタ'!$A$5:$A$19,0)),""))</f>
        <v/>
      </c>
      <c r="L71">
        <f>IF($AG71="","",INDEX('04_調査結果'!$F$5:$F$404,$AG71)&amp;"")</f>
        <v/>
      </c>
      <c r="M71">
        <f>IF($AG71="","",INDEX('04_調査結果'!$G$5:$G$404,$AG71)&amp;"")</f>
        <v/>
      </c>
      <c r="N71">
        <f>IF($AG71="","",INDEX('04_調査結果'!$H$5:$H$404,$AG71)&amp;"")</f>
        <v/>
      </c>
      <c r="O71" s="33">
        <f>IF($AG71="","",IF(INDEX('04_調査結果'!$Z$5:$Z$404,$AG71)&lt;&gt;"",INDEX('04_調査結果'!$Z$5:$Z$404,$AG71),INDEX('04_調査結果'!$AM$5:$AM$404,$AG71)))</f>
        <v/>
      </c>
      <c r="P71" s="33">
        <f>IF($AG71="","",IF(INDEX('04_調査結果'!$AA$5:$AA$404,$AG71)&lt;&gt;"",INDEX('04_調査結果'!$AA$5:$AA$404,$AG71),INDEX('04_調査結果'!$AN$5:$AN$404,$AG71)))</f>
        <v/>
      </c>
      <c r="Q71" s="33">
        <f>IF($AG71="","",INDEX('04_調査結果'!$AD$5:$AD$404,$AG71))</f>
        <v/>
      </c>
      <c r="R71">
        <f>IF($AG71="","",INDEX('04_調査結果'!$AO$5:$AO$404,$AG71))</f>
        <v/>
      </c>
      <c r="S71" s="37">
        <f>IF($AG71="","",INDEX('04_調査結果'!$AQ$5:$AQ$404,$AG71))</f>
        <v/>
      </c>
      <c r="T71" s="37">
        <f>IF($AG71="","",INDEX('04_調査結果'!$AR$5:$AR$404,$AG71))</f>
        <v/>
      </c>
      <c r="U71">
        <f>IF($AG71="","",INDEX('04_調査結果'!$N$5:$N$404,$AG71)&amp;"")</f>
        <v/>
      </c>
      <c r="V71">
        <f>IF($AG71="","",INDEX('04_調査結果'!$O$5:$O$404,$AG71))</f>
        <v/>
      </c>
      <c r="W71">
        <f>IF($AG71="","",INDEX('04_調査結果'!$P$5:$P$404,$AG71))</f>
        <v/>
      </c>
      <c r="X71">
        <f>IF($AG71="","",INDEX('04_調査結果'!$Q$5:$Q$404,$AG71))</f>
        <v/>
      </c>
      <c r="Y71">
        <f>IF($AG71="","",INDEX('04_調査結果'!$R$5:$R$404,$AG71))</f>
        <v/>
      </c>
      <c r="Z71">
        <f>IF($AG71="","",INDEX('04_調査結果'!$S$5:$S$404,$AG71))</f>
        <v/>
      </c>
      <c r="AA71">
        <f>IF($AG71="","",INDEX('04_調査結果'!$T$5:$T$404,$AG71))</f>
        <v/>
      </c>
      <c r="AB71">
        <f>IF($AG71="","",INDEX('04_調査結果'!$U$5:$U$404,$AG71))</f>
        <v/>
      </c>
      <c r="AC71">
        <f>IF($AG71="","",INDEX('04_調査結果'!$AF$5:$AF$404,$AG71))</f>
        <v/>
      </c>
      <c r="AD71">
        <f>IF($AG71="","",INDEX('04_調査結果'!$AC$5:$AC$404,$AG71)&amp;"")</f>
        <v/>
      </c>
      <c r="AE71">
        <f>IF($AG71="","",INDEX('04_調査結果'!$V$5:$V$404,$AG71)&amp;"")</f>
        <v/>
      </c>
      <c r="AF71">
        <f>IF($AG71="","",INDEX('04_調査結果'!$X$5:$X$404,$AG71)&amp;"")</f>
        <v/>
      </c>
      <c r="AG71" s="34">
        <f>IFERROR(MATCH(ROW()-4,'04_調査結果'!$AT$5:$AT$404,0),"")</f>
        <v/>
      </c>
    </row>
    <row r="72">
      <c r="A72">
        <f>IF($AG72="","",'01_設定'!$C$4)</f>
        <v/>
      </c>
      <c r="B72">
        <f>IF($AG72="","",'01_設定'!$C$5)</f>
        <v/>
      </c>
      <c r="C72">
        <f>IF($AG72="","",'01_設定'!$C$6)</f>
        <v/>
      </c>
      <c r="D72" s="36">
        <f>IF($AG72="","",'01_設定'!$C$22)</f>
        <v/>
      </c>
      <c r="E72" s="36">
        <f>IF($AG72="","",'01_設定'!$C$23)</f>
        <v/>
      </c>
      <c r="F72">
        <f>IF($AG72="","",'01_設定'!$C$32)</f>
        <v/>
      </c>
      <c r="G72">
        <f>IF($AG72="","",ROW()-4)</f>
        <v/>
      </c>
      <c r="H72">
        <f>IF($AG72="","",INDEX('04_調査結果'!$AJ$5:$AJ$404,$AG72))</f>
        <v/>
      </c>
      <c r="I72">
        <f>IF($AG72="","",INDEX('04_調査結果'!$D$5:$D$404,$AG72)&amp;"")</f>
        <v/>
      </c>
      <c r="J72">
        <f>IF($AG72="","",INDEX('04_調査結果'!$AK$5:$AK$404,$AG72)&amp;"")</f>
        <v/>
      </c>
      <c r="K72">
        <f>IF($AG72="","",IFERROR(INDEX('M1_類型マスタ'!$B$5:$B$19,MATCH(J72,'M1_類型マスタ'!$A$5:$A$19,0)),""))</f>
        <v/>
      </c>
      <c r="L72">
        <f>IF($AG72="","",INDEX('04_調査結果'!$F$5:$F$404,$AG72)&amp;"")</f>
        <v/>
      </c>
      <c r="M72">
        <f>IF($AG72="","",INDEX('04_調査結果'!$G$5:$G$404,$AG72)&amp;"")</f>
        <v/>
      </c>
      <c r="N72">
        <f>IF($AG72="","",INDEX('04_調査結果'!$H$5:$H$404,$AG72)&amp;"")</f>
        <v/>
      </c>
      <c r="O72" s="33">
        <f>IF($AG72="","",IF(INDEX('04_調査結果'!$Z$5:$Z$404,$AG72)&lt;&gt;"",INDEX('04_調査結果'!$Z$5:$Z$404,$AG72),INDEX('04_調査結果'!$AM$5:$AM$404,$AG72)))</f>
        <v/>
      </c>
      <c r="P72" s="33">
        <f>IF($AG72="","",IF(INDEX('04_調査結果'!$AA$5:$AA$404,$AG72)&lt;&gt;"",INDEX('04_調査結果'!$AA$5:$AA$404,$AG72),INDEX('04_調査結果'!$AN$5:$AN$404,$AG72)))</f>
        <v/>
      </c>
      <c r="Q72" s="33">
        <f>IF($AG72="","",INDEX('04_調査結果'!$AD$5:$AD$404,$AG72))</f>
        <v/>
      </c>
      <c r="R72">
        <f>IF($AG72="","",INDEX('04_調査結果'!$AO$5:$AO$404,$AG72))</f>
        <v/>
      </c>
      <c r="S72" s="37">
        <f>IF($AG72="","",INDEX('04_調査結果'!$AQ$5:$AQ$404,$AG72))</f>
        <v/>
      </c>
      <c r="T72" s="37">
        <f>IF($AG72="","",INDEX('04_調査結果'!$AR$5:$AR$404,$AG72))</f>
        <v/>
      </c>
      <c r="U72">
        <f>IF($AG72="","",INDEX('04_調査結果'!$N$5:$N$404,$AG72)&amp;"")</f>
        <v/>
      </c>
      <c r="V72">
        <f>IF($AG72="","",INDEX('04_調査結果'!$O$5:$O$404,$AG72))</f>
        <v/>
      </c>
      <c r="W72">
        <f>IF($AG72="","",INDEX('04_調査結果'!$P$5:$P$404,$AG72))</f>
        <v/>
      </c>
      <c r="X72">
        <f>IF($AG72="","",INDEX('04_調査結果'!$Q$5:$Q$404,$AG72))</f>
        <v/>
      </c>
      <c r="Y72">
        <f>IF($AG72="","",INDEX('04_調査結果'!$R$5:$R$404,$AG72))</f>
        <v/>
      </c>
      <c r="Z72">
        <f>IF($AG72="","",INDEX('04_調査結果'!$S$5:$S$404,$AG72))</f>
        <v/>
      </c>
      <c r="AA72">
        <f>IF($AG72="","",INDEX('04_調査結果'!$T$5:$T$404,$AG72))</f>
        <v/>
      </c>
      <c r="AB72">
        <f>IF($AG72="","",INDEX('04_調査結果'!$U$5:$U$404,$AG72))</f>
        <v/>
      </c>
      <c r="AC72">
        <f>IF($AG72="","",INDEX('04_調査結果'!$AF$5:$AF$404,$AG72))</f>
        <v/>
      </c>
      <c r="AD72">
        <f>IF($AG72="","",INDEX('04_調査結果'!$AC$5:$AC$404,$AG72)&amp;"")</f>
        <v/>
      </c>
      <c r="AE72">
        <f>IF($AG72="","",INDEX('04_調査結果'!$V$5:$V$404,$AG72)&amp;"")</f>
        <v/>
      </c>
      <c r="AF72">
        <f>IF($AG72="","",INDEX('04_調査結果'!$X$5:$X$404,$AG72)&amp;"")</f>
        <v/>
      </c>
      <c r="AG72" s="34">
        <f>IFERROR(MATCH(ROW()-4,'04_調査結果'!$AT$5:$AT$404,0),"")</f>
        <v/>
      </c>
    </row>
    <row r="73">
      <c r="A73">
        <f>IF($AG73="","",'01_設定'!$C$4)</f>
        <v/>
      </c>
      <c r="B73">
        <f>IF($AG73="","",'01_設定'!$C$5)</f>
        <v/>
      </c>
      <c r="C73">
        <f>IF($AG73="","",'01_設定'!$C$6)</f>
        <v/>
      </c>
      <c r="D73" s="36">
        <f>IF($AG73="","",'01_設定'!$C$22)</f>
        <v/>
      </c>
      <c r="E73" s="36">
        <f>IF($AG73="","",'01_設定'!$C$23)</f>
        <v/>
      </c>
      <c r="F73">
        <f>IF($AG73="","",'01_設定'!$C$32)</f>
        <v/>
      </c>
      <c r="G73">
        <f>IF($AG73="","",ROW()-4)</f>
        <v/>
      </c>
      <c r="H73">
        <f>IF($AG73="","",INDEX('04_調査結果'!$AJ$5:$AJ$404,$AG73))</f>
        <v/>
      </c>
      <c r="I73">
        <f>IF($AG73="","",INDEX('04_調査結果'!$D$5:$D$404,$AG73)&amp;"")</f>
        <v/>
      </c>
      <c r="J73">
        <f>IF($AG73="","",INDEX('04_調査結果'!$AK$5:$AK$404,$AG73)&amp;"")</f>
        <v/>
      </c>
      <c r="K73">
        <f>IF($AG73="","",IFERROR(INDEX('M1_類型マスタ'!$B$5:$B$19,MATCH(J73,'M1_類型マスタ'!$A$5:$A$19,0)),""))</f>
        <v/>
      </c>
      <c r="L73">
        <f>IF($AG73="","",INDEX('04_調査結果'!$F$5:$F$404,$AG73)&amp;"")</f>
        <v/>
      </c>
      <c r="M73">
        <f>IF($AG73="","",INDEX('04_調査結果'!$G$5:$G$404,$AG73)&amp;"")</f>
        <v/>
      </c>
      <c r="N73">
        <f>IF($AG73="","",INDEX('04_調査結果'!$H$5:$H$404,$AG73)&amp;"")</f>
        <v/>
      </c>
      <c r="O73" s="33">
        <f>IF($AG73="","",IF(INDEX('04_調査結果'!$Z$5:$Z$404,$AG73)&lt;&gt;"",INDEX('04_調査結果'!$Z$5:$Z$404,$AG73),INDEX('04_調査結果'!$AM$5:$AM$404,$AG73)))</f>
        <v/>
      </c>
      <c r="P73" s="33">
        <f>IF($AG73="","",IF(INDEX('04_調査結果'!$AA$5:$AA$404,$AG73)&lt;&gt;"",INDEX('04_調査結果'!$AA$5:$AA$404,$AG73),INDEX('04_調査結果'!$AN$5:$AN$404,$AG73)))</f>
        <v/>
      </c>
      <c r="Q73" s="33">
        <f>IF($AG73="","",INDEX('04_調査結果'!$AD$5:$AD$404,$AG73))</f>
        <v/>
      </c>
      <c r="R73">
        <f>IF($AG73="","",INDEX('04_調査結果'!$AO$5:$AO$404,$AG73))</f>
        <v/>
      </c>
      <c r="S73" s="37">
        <f>IF($AG73="","",INDEX('04_調査結果'!$AQ$5:$AQ$404,$AG73))</f>
        <v/>
      </c>
      <c r="T73" s="37">
        <f>IF($AG73="","",INDEX('04_調査結果'!$AR$5:$AR$404,$AG73))</f>
        <v/>
      </c>
      <c r="U73">
        <f>IF($AG73="","",INDEX('04_調査結果'!$N$5:$N$404,$AG73)&amp;"")</f>
        <v/>
      </c>
      <c r="V73">
        <f>IF($AG73="","",INDEX('04_調査結果'!$O$5:$O$404,$AG73))</f>
        <v/>
      </c>
      <c r="W73">
        <f>IF($AG73="","",INDEX('04_調査結果'!$P$5:$P$404,$AG73))</f>
        <v/>
      </c>
      <c r="X73">
        <f>IF($AG73="","",INDEX('04_調査結果'!$Q$5:$Q$404,$AG73))</f>
        <v/>
      </c>
      <c r="Y73">
        <f>IF($AG73="","",INDEX('04_調査結果'!$R$5:$R$404,$AG73))</f>
        <v/>
      </c>
      <c r="Z73">
        <f>IF($AG73="","",INDEX('04_調査結果'!$S$5:$S$404,$AG73))</f>
        <v/>
      </c>
      <c r="AA73">
        <f>IF($AG73="","",INDEX('04_調査結果'!$T$5:$T$404,$AG73))</f>
        <v/>
      </c>
      <c r="AB73">
        <f>IF($AG73="","",INDEX('04_調査結果'!$U$5:$U$404,$AG73))</f>
        <v/>
      </c>
      <c r="AC73">
        <f>IF($AG73="","",INDEX('04_調査結果'!$AF$5:$AF$404,$AG73))</f>
        <v/>
      </c>
      <c r="AD73">
        <f>IF($AG73="","",INDEX('04_調査結果'!$AC$5:$AC$404,$AG73)&amp;"")</f>
        <v/>
      </c>
      <c r="AE73">
        <f>IF($AG73="","",INDEX('04_調査結果'!$V$5:$V$404,$AG73)&amp;"")</f>
        <v/>
      </c>
      <c r="AF73">
        <f>IF($AG73="","",INDEX('04_調査結果'!$X$5:$X$404,$AG73)&amp;"")</f>
        <v/>
      </c>
      <c r="AG73" s="34">
        <f>IFERROR(MATCH(ROW()-4,'04_調査結果'!$AT$5:$AT$404,0),"")</f>
        <v/>
      </c>
    </row>
    <row r="74">
      <c r="A74">
        <f>IF($AG74="","",'01_設定'!$C$4)</f>
        <v/>
      </c>
      <c r="B74">
        <f>IF($AG74="","",'01_設定'!$C$5)</f>
        <v/>
      </c>
      <c r="C74">
        <f>IF($AG74="","",'01_設定'!$C$6)</f>
        <v/>
      </c>
      <c r="D74" s="36">
        <f>IF($AG74="","",'01_設定'!$C$22)</f>
        <v/>
      </c>
      <c r="E74" s="36">
        <f>IF($AG74="","",'01_設定'!$C$23)</f>
        <v/>
      </c>
      <c r="F74">
        <f>IF($AG74="","",'01_設定'!$C$32)</f>
        <v/>
      </c>
      <c r="G74">
        <f>IF($AG74="","",ROW()-4)</f>
        <v/>
      </c>
      <c r="H74">
        <f>IF($AG74="","",INDEX('04_調査結果'!$AJ$5:$AJ$404,$AG74))</f>
        <v/>
      </c>
      <c r="I74">
        <f>IF($AG74="","",INDEX('04_調査結果'!$D$5:$D$404,$AG74)&amp;"")</f>
        <v/>
      </c>
      <c r="J74">
        <f>IF($AG74="","",INDEX('04_調査結果'!$AK$5:$AK$404,$AG74)&amp;"")</f>
        <v/>
      </c>
      <c r="K74">
        <f>IF($AG74="","",IFERROR(INDEX('M1_類型マスタ'!$B$5:$B$19,MATCH(J74,'M1_類型マスタ'!$A$5:$A$19,0)),""))</f>
        <v/>
      </c>
      <c r="L74">
        <f>IF($AG74="","",INDEX('04_調査結果'!$F$5:$F$404,$AG74)&amp;"")</f>
        <v/>
      </c>
      <c r="M74">
        <f>IF($AG74="","",INDEX('04_調査結果'!$G$5:$G$404,$AG74)&amp;"")</f>
        <v/>
      </c>
      <c r="N74">
        <f>IF($AG74="","",INDEX('04_調査結果'!$H$5:$H$404,$AG74)&amp;"")</f>
        <v/>
      </c>
      <c r="O74" s="33">
        <f>IF($AG74="","",IF(INDEX('04_調査結果'!$Z$5:$Z$404,$AG74)&lt;&gt;"",INDEX('04_調査結果'!$Z$5:$Z$404,$AG74),INDEX('04_調査結果'!$AM$5:$AM$404,$AG74)))</f>
        <v/>
      </c>
      <c r="P74" s="33">
        <f>IF($AG74="","",IF(INDEX('04_調査結果'!$AA$5:$AA$404,$AG74)&lt;&gt;"",INDEX('04_調査結果'!$AA$5:$AA$404,$AG74),INDEX('04_調査結果'!$AN$5:$AN$404,$AG74)))</f>
        <v/>
      </c>
      <c r="Q74" s="33">
        <f>IF($AG74="","",INDEX('04_調査結果'!$AD$5:$AD$404,$AG74))</f>
        <v/>
      </c>
      <c r="R74">
        <f>IF($AG74="","",INDEX('04_調査結果'!$AO$5:$AO$404,$AG74))</f>
        <v/>
      </c>
      <c r="S74" s="37">
        <f>IF($AG74="","",INDEX('04_調査結果'!$AQ$5:$AQ$404,$AG74))</f>
        <v/>
      </c>
      <c r="T74" s="37">
        <f>IF($AG74="","",INDEX('04_調査結果'!$AR$5:$AR$404,$AG74))</f>
        <v/>
      </c>
      <c r="U74">
        <f>IF($AG74="","",INDEX('04_調査結果'!$N$5:$N$404,$AG74)&amp;"")</f>
        <v/>
      </c>
      <c r="V74">
        <f>IF($AG74="","",INDEX('04_調査結果'!$O$5:$O$404,$AG74))</f>
        <v/>
      </c>
      <c r="W74">
        <f>IF($AG74="","",INDEX('04_調査結果'!$P$5:$P$404,$AG74))</f>
        <v/>
      </c>
      <c r="X74">
        <f>IF($AG74="","",INDEX('04_調査結果'!$Q$5:$Q$404,$AG74))</f>
        <v/>
      </c>
      <c r="Y74">
        <f>IF($AG74="","",INDEX('04_調査結果'!$R$5:$R$404,$AG74))</f>
        <v/>
      </c>
      <c r="Z74">
        <f>IF($AG74="","",INDEX('04_調査結果'!$S$5:$S$404,$AG74))</f>
        <v/>
      </c>
      <c r="AA74">
        <f>IF($AG74="","",INDEX('04_調査結果'!$T$5:$T$404,$AG74))</f>
        <v/>
      </c>
      <c r="AB74">
        <f>IF($AG74="","",INDEX('04_調査結果'!$U$5:$U$404,$AG74))</f>
        <v/>
      </c>
      <c r="AC74">
        <f>IF($AG74="","",INDEX('04_調査結果'!$AF$5:$AF$404,$AG74))</f>
        <v/>
      </c>
      <c r="AD74">
        <f>IF($AG74="","",INDEX('04_調査結果'!$AC$5:$AC$404,$AG74)&amp;"")</f>
        <v/>
      </c>
      <c r="AE74">
        <f>IF($AG74="","",INDEX('04_調査結果'!$V$5:$V$404,$AG74)&amp;"")</f>
        <v/>
      </c>
      <c r="AF74">
        <f>IF($AG74="","",INDEX('04_調査結果'!$X$5:$X$404,$AG74)&amp;"")</f>
        <v/>
      </c>
      <c r="AG74" s="34">
        <f>IFERROR(MATCH(ROW()-4,'04_調査結果'!$AT$5:$AT$404,0),"")</f>
        <v/>
      </c>
    </row>
    <row r="75">
      <c r="A75">
        <f>IF($AG75="","",'01_設定'!$C$4)</f>
        <v/>
      </c>
      <c r="B75">
        <f>IF($AG75="","",'01_設定'!$C$5)</f>
        <v/>
      </c>
      <c r="C75">
        <f>IF($AG75="","",'01_設定'!$C$6)</f>
        <v/>
      </c>
      <c r="D75" s="36">
        <f>IF($AG75="","",'01_設定'!$C$22)</f>
        <v/>
      </c>
      <c r="E75" s="36">
        <f>IF($AG75="","",'01_設定'!$C$23)</f>
        <v/>
      </c>
      <c r="F75">
        <f>IF($AG75="","",'01_設定'!$C$32)</f>
        <v/>
      </c>
      <c r="G75">
        <f>IF($AG75="","",ROW()-4)</f>
        <v/>
      </c>
      <c r="H75">
        <f>IF($AG75="","",INDEX('04_調査結果'!$AJ$5:$AJ$404,$AG75))</f>
        <v/>
      </c>
      <c r="I75">
        <f>IF($AG75="","",INDEX('04_調査結果'!$D$5:$D$404,$AG75)&amp;"")</f>
        <v/>
      </c>
      <c r="J75">
        <f>IF($AG75="","",INDEX('04_調査結果'!$AK$5:$AK$404,$AG75)&amp;"")</f>
        <v/>
      </c>
      <c r="K75">
        <f>IF($AG75="","",IFERROR(INDEX('M1_類型マスタ'!$B$5:$B$19,MATCH(J75,'M1_類型マスタ'!$A$5:$A$19,0)),""))</f>
        <v/>
      </c>
      <c r="L75">
        <f>IF($AG75="","",INDEX('04_調査結果'!$F$5:$F$404,$AG75)&amp;"")</f>
        <v/>
      </c>
      <c r="M75">
        <f>IF($AG75="","",INDEX('04_調査結果'!$G$5:$G$404,$AG75)&amp;"")</f>
        <v/>
      </c>
      <c r="N75">
        <f>IF($AG75="","",INDEX('04_調査結果'!$H$5:$H$404,$AG75)&amp;"")</f>
        <v/>
      </c>
      <c r="O75" s="33">
        <f>IF($AG75="","",IF(INDEX('04_調査結果'!$Z$5:$Z$404,$AG75)&lt;&gt;"",INDEX('04_調査結果'!$Z$5:$Z$404,$AG75),INDEX('04_調査結果'!$AM$5:$AM$404,$AG75)))</f>
        <v/>
      </c>
      <c r="P75" s="33">
        <f>IF($AG75="","",IF(INDEX('04_調査結果'!$AA$5:$AA$404,$AG75)&lt;&gt;"",INDEX('04_調査結果'!$AA$5:$AA$404,$AG75),INDEX('04_調査結果'!$AN$5:$AN$404,$AG75)))</f>
        <v/>
      </c>
      <c r="Q75" s="33">
        <f>IF($AG75="","",INDEX('04_調査結果'!$AD$5:$AD$404,$AG75))</f>
        <v/>
      </c>
      <c r="R75">
        <f>IF($AG75="","",INDEX('04_調査結果'!$AO$5:$AO$404,$AG75))</f>
        <v/>
      </c>
      <c r="S75" s="37">
        <f>IF($AG75="","",INDEX('04_調査結果'!$AQ$5:$AQ$404,$AG75))</f>
        <v/>
      </c>
      <c r="T75" s="37">
        <f>IF($AG75="","",INDEX('04_調査結果'!$AR$5:$AR$404,$AG75))</f>
        <v/>
      </c>
      <c r="U75">
        <f>IF($AG75="","",INDEX('04_調査結果'!$N$5:$N$404,$AG75)&amp;"")</f>
        <v/>
      </c>
      <c r="V75">
        <f>IF($AG75="","",INDEX('04_調査結果'!$O$5:$O$404,$AG75))</f>
        <v/>
      </c>
      <c r="W75">
        <f>IF($AG75="","",INDEX('04_調査結果'!$P$5:$P$404,$AG75))</f>
        <v/>
      </c>
      <c r="X75">
        <f>IF($AG75="","",INDEX('04_調査結果'!$Q$5:$Q$404,$AG75))</f>
        <v/>
      </c>
      <c r="Y75">
        <f>IF($AG75="","",INDEX('04_調査結果'!$R$5:$R$404,$AG75))</f>
        <v/>
      </c>
      <c r="Z75">
        <f>IF($AG75="","",INDEX('04_調査結果'!$S$5:$S$404,$AG75))</f>
        <v/>
      </c>
      <c r="AA75">
        <f>IF($AG75="","",INDEX('04_調査結果'!$T$5:$T$404,$AG75))</f>
        <v/>
      </c>
      <c r="AB75">
        <f>IF($AG75="","",INDEX('04_調査結果'!$U$5:$U$404,$AG75))</f>
        <v/>
      </c>
      <c r="AC75">
        <f>IF($AG75="","",INDEX('04_調査結果'!$AF$5:$AF$404,$AG75))</f>
        <v/>
      </c>
      <c r="AD75">
        <f>IF($AG75="","",INDEX('04_調査結果'!$AC$5:$AC$404,$AG75)&amp;"")</f>
        <v/>
      </c>
      <c r="AE75">
        <f>IF($AG75="","",INDEX('04_調査結果'!$V$5:$V$404,$AG75)&amp;"")</f>
        <v/>
      </c>
      <c r="AF75">
        <f>IF($AG75="","",INDEX('04_調査結果'!$X$5:$X$404,$AG75)&amp;"")</f>
        <v/>
      </c>
      <c r="AG75" s="34">
        <f>IFERROR(MATCH(ROW()-4,'04_調査結果'!$AT$5:$AT$404,0),"")</f>
        <v/>
      </c>
    </row>
    <row r="76">
      <c r="A76">
        <f>IF($AG76="","",'01_設定'!$C$4)</f>
        <v/>
      </c>
      <c r="B76">
        <f>IF($AG76="","",'01_設定'!$C$5)</f>
        <v/>
      </c>
      <c r="C76">
        <f>IF($AG76="","",'01_設定'!$C$6)</f>
        <v/>
      </c>
      <c r="D76" s="36">
        <f>IF($AG76="","",'01_設定'!$C$22)</f>
        <v/>
      </c>
      <c r="E76" s="36">
        <f>IF($AG76="","",'01_設定'!$C$23)</f>
        <v/>
      </c>
      <c r="F76">
        <f>IF($AG76="","",'01_設定'!$C$32)</f>
        <v/>
      </c>
      <c r="G76">
        <f>IF($AG76="","",ROW()-4)</f>
        <v/>
      </c>
      <c r="H76">
        <f>IF($AG76="","",INDEX('04_調査結果'!$AJ$5:$AJ$404,$AG76))</f>
        <v/>
      </c>
      <c r="I76">
        <f>IF($AG76="","",INDEX('04_調査結果'!$D$5:$D$404,$AG76)&amp;"")</f>
        <v/>
      </c>
      <c r="J76">
        <f>IF($AG76="","",INDEX('04_調査結果'!$AK$5:$AK$404,$AG76)&amp;"")</f>
        <v/>
      </c>
      <c r="K76">
        <f>IF($AG76="","",IFERROR(INDEX('M1_類型マスタ'!$B$5:$B$19,MATCH(J76,'M1_類型マスタ'!$A$5:$A$19,0)),""))</f>
        <v/>
      </c>
      <c r="L76">
        <f>IF($AG76="","",INDEX('04_調査結果'!$F$5:$F$404,$AG76)&amp;"")</f>
        <v/>
      </c>
      <c r="M76">
        <f>IF($AG76="","",INDEX('04_調査結果'!$G$5:$G$404,$AG76)&amp;"")</f>
        <v/>
      </c>
      <c r="N76">
        <f>IF($AG76="","",INDEX('04_調査結果'!$H$5:$H$404,$AG76)&amp;"")</f>
        <v/>
      </c>
      <c r="O76" s="33">
        <f>IF($AG76="","",IF(INDEX('04_調査結果'!$Z$5:$Z$404,$AG76)&lt;&gt;"",INDEX('04_調査結果'!$Z$5:$Z$404,$AG76),INDEX('04_調査結果'!$AM$5:$AM$404,$AG76)))</f>
        <v/>
      </c>
      <c r="P76" s="33">
        <f>IF($AG76="","",IF(INDEX('04_調査結果'!$AA$5:$AA$404,$AG76)&lt;&gt;"",INDEX('04_調査結果'!$AA$5:$AA$404,$AG76),INDEX('04_調査結果'!$AN$5:$AN$404,$AG76)))</f>
        <v/>
      </c>
      <c r="Q76" s="33">
        <f>IF($AG76="","",INDEX('04_調査結果'!$AD$5:$AD$404,$AG76))</f>
        <v/>
      </c>
      <c r="R76">
        <f>IF($AG76="","",INDEX('04_調査結果'!$AO$5:$AO$404,$AG76))</f>
        <v/>
      </c>
      <c r="S76" s="37">
        <f>IF($AG76="","",INDEX('04_調査結果'!$AQ$5:$AQ$404,$AG76))</f>
        <v/>
      </c>
      <c r="T76" s="37">
        <f>IF($AG76="","",INDEX('04_調査結果'!$AR$5:$AR$404,$AG76))</f>
        <v/>
      </c>
      <c r="U76">
        <f>IF($AG76="","",INDEX('04_調査結果'!$N$5:$N$404,$AG76)&amp;"")</f>
        <v/>
      </c>
      <c r="V76">
        <f>IF($AG76="","",INDEX('04_調査結果'!$O$5:$O$404,$AG76))</f>
        <v/>
      </c>
      <c r="W76">
        <f>IF($AG76="","",INDEX('04_調査結果'!$P$5:$P$404,$AG76))</f>
        <v/>
      </c>
      <c r="X76">
        <f>IF($AG76="","",INDEX('04_調査結果'!$Q$5:$Q$404,$AG76))</f>
        <v/>
      </c>
      <c r="Y76">
        <f>IF($AG76="","",INDEX('04_調査結果'!$R$5:$R$404,$AG76))</f>
        <v/>
      </c>
      <c r="Z76">
        <f>IF($AG76="","",INDEX('04_調査結果'!$S$5:$S$404,$AG76))</f>
        <v/>
      </c>
      <c r="AA76">
        <f>IF($AG76="","",INDEX('04_調査結果'!$T$5:$T$404,$AG76))</f>
        <v/>
      </c>
      <c r="AB76">
        <f>IF($AG76="","",INDEX('04_調査結果'!$U$5:$U$404,$AG76))</f>
        <v/>
      </c>
      <c r="AC76">
        <f>IF($AG76="","",INDEX('04_調査結果'!$AF$5:$AF$404,$AG76))</f>
        <v/>
      </c>
      <c r="AD76">
        <f>IF($AG76="","",INDEX('04_調査結果'!$AC$5:$AC$404,$AG76)&amp;"")</f>
        <v/>
      </c>
      <c r="AE76">
        <f>IF($AG76="","",INDEX('04_調査結果'!$V$5:$V$404,$AG76)&amp;"")</f>
        <v/>
      </c>
      <c r="AF76">
        <f>IF($AG76="","",INDEX('04_調査結果'!$X$5:$X$404,$AG76)&amp;"")</f>
        <v/>
      </c>
      <c r="AG76" s="34">
        <f>IFERROR(MATCH(ROW()-4,'04_調査結果'!$AT$5:$AT$404,0),"")</f>
        <v/>
      </c>
    </row>
    <row r="77">
      <c r="A77">
        <f>IF($AG77="","",'01_設定'!$C$4)</f>
        <v/>
      </c>
      <c r="B77">
        <f>IF($AG77="","",'01_設定'!$C$5)</f>
        <v/>
      </c>
      <c r="C77">
        <f>IF($AG77="","",'01_設定'!$C$6)</f>
        <v/>
      </c>
      <c r="D77" s="36">
        <f>IF($AG77="","",'01_設定'!$C$22)</f>
        <v/>
      </c>
      <c r="E77" s="36">
        <f>IF($AG77="","",'01_設定'!$C$23)</f>
        <v/>
      </c>
      <c r="F77">
        <f>IF($AG77="","",'01_設定'!$C$32)</f>
        <v/>
      </c>
      <c r="G77">
        <f>IF($AG77="","",ROW()-4)</f>
        <v/>
      </c>
      <c r="H77">
        <f>IF($AG77="","",INDEX('04_調査結果'!$AJ$5:$AJ$404,$AG77))</f>
        <v/>
      </c>
      <c r="I77">
        <f>IF($AG77="","",INDEX('04_調査結果'!$D$5:$D$404,$AG77)&amp;"")</f>
        <v/>
      </c>
      <c r="J77">
        <f>IF($AG77="","",INDEX('04_調査結果'!$AK$5:$AK$404,$AG77)&amp;"")</f>
        <v/>
      </c>
      <c r="K77">
        <f>IF($AG77="","",IFERROR(INDEX('M1_類型マスタ'!$B$5:$B$19,MATCH(J77,'M1_類型マスタ'!$A$5:$A$19,0)),""))</f>
        <v/>
      </c>
      <c r="L77">
        <f>IF($AG77="","",INDEX('04_調査結果'!$F$5:$F$404,$AG77)&amp;"")</f>
        <v/>
      </c>
      <c r="M77">
        <f>IF($AG77="","",INDEX('04_調査結果'!$G$5:$G$404,$AG77)&amp;"")</f>
        <v/>
      </c>
      <c r="N77">
        <f>IF($AG77="","",INDEX('04_調査結果'!$H$5:$H$404,$AG77)&amp;"")</f>
        <v/>
      </c>
      <c r="O77" s="33">
        <f>IF($AG77="","",IF(INDEX('04_調査結果'!$Z$5:$Z$404,$AG77)&lt;&gt;"",INDEX('04_調査結果'!$Z$5:$Z$404,$AG77),INDEX('04_調査結果'!$AM$5:$AM$404,$AG77)))</f>
        <v/>
      </c>
      <c r="P77" s="33">
        <f>IF($AG77="","",IF(INDEX('04_調査結果'!$AA$5:$AA$404,$AG77)&lt;&gt;"",INDEX('04_調査結果'!$AA$5:$AA$404,$AG77),INDEX('04_調査結果'!$AN$5:$AN$404,$AG77)))</f>
        <v/>
      </c>
      <c r="Q77" s="33">
        <f>IF($AG77="","",INDEX('04_調査結果'!$AD$5:$AD$404,$AG77))</f>
        <v/>
      </c>
      <c r="R77">
        <f>IF($AG77="","",INDEX('04_調査結果'!$AO$5:$AO$404,$AG77))</f>
        <v/>
      </c>
      <c r="S77" s="37">
        <f>IF($AG77="","",INDEX('04_調査結果'!$AQ$5:$AQ$404,$AG77))</f>
        <v/>
      </c>
      <c r="T77" s="37">
        <f>IF($AG77="","",INDEX('04_調査結果'!$AR$5:$AR$404,$AG77))</f>
        <v/>
      </c>
      <c r="U77">
        <f>IF($AG77="","",INDEX('04_調査結果'!$N$5:$N$404,$AG77)&amp;"")</f>
        <v/>
      </c>
      <c r="V77">
        <f>IF($AG77="","",INDEX('04_調査結果'!$O$5:$O$404,$AG77))</f>
        <v/>
      </c>
      <c r="W77">
        <f>IF($AG77="","",INDEX('04_調査結果'!$P$5:$P$404,$AG77))</f>
        <v/>
      </c>
      <c r="X77">
        <f>IF($AG77="","",INDEX('04_調査結果'!$Q$5:$Q$404,$AG77))</f>
        <v/>
      </c>
      <c r="Y77">
        <f>IF($AG77="","",INDEX('04_調査結果'!$R$5:$R$404,$AG77))</f>
        <v/>
      </c>
      <c r="Z77">
        <f>IF($AG77="","",INDEX('04_調査結果'!$S$5:$S$404,$AG77))</f>
        <v/>
      </c>
      <c r="AA77">
        <f>IF($AG77="","",INDEX('04_調査結果'!$T$5:$T$404,$AG77))</f>
        <v/>
      </c>
      <c r="AB77">
        <f>IF($AG77="","",INDEX('04_調査結果'!$U$5:$U$404,$AG77))</f>
        <v/>
      </c>
      <c r="AC77">
        <f>IF($AG77="","",INDEX('04_調査結果'!$AF$5:$AF$404,$AG77))</f>
        <v/>
      </c>
      <c r="AD77">
        <f>IF($AG77="","",INDEX('04_調査結果'!$AC$5:$AC$404,$AG77)&amp;"")</f>
        <v/>
      </c>
      <c r="AE77">
        <f>IF($AG77="","",INDEX('04_調査結果'!$V$5:$V$404,$AG77)&amp;"")</f>
        <v/>
      </c>
      <c r="AF77">
        <f>IF($AG77="","",INDEX('04_調査結果'!$X$5:$X$404,$AG77)&amp;"")</f>
        <v/>
      </c>
      <c r="AG77" s="34">
        <f>IFERROR(MATCH(ROW()-4,'04_調査結果'!$AT$5:$AT$404,0),"")</f>
        <v/>
      </c>
    </row>
    <row r="78">
      <c r="A78">
        <f>IF($AG78="","",'01_設定'!$C$4)</f>
        <v/>
      </c>
      <c r="B78">
        <f>IF($AG78="","",'01_設定'!$C$5)</f>
        <v/>
      </c>
      <c r="C78">
        <f>IF($AG78="","",'01_設定'!$C$6)</f>
        <v/>
      </c>
      <c r="D78" s="36">
        <f>IF($AG78="","",'01_設定'!$C$22)</f>
        <v/>
      </c>
      <c r="E78" s="36">
        <f>IF($AG78="","",'01_設定'!$C$23)</f>
        <v/>
      </c>
      <c r="F78">
        <f>IF($AG78="","",'01_設定'!$C$32)</f>
        <v/>
      </c>
      <c r="G78">
        <f>IF($AG78="","",ROW()-4)</f>
        <v/>
      </c>
      <c r="H78">
        <f>IF($AG78="","",INDEX('04_調査結果'!$AJ$5:$AJ$404,$AG78))</f>
        <v/>
      </c>
      <c r="I78">
        <f>IF($AG78="","",INDEX('04_調査結果'!$D$5:$D$404,$AG78)&amp;"")</f>
        <v/>
      </c>
      <c r="J78">
        <f>IF($AG78="","",INDEX('04_調査結果'!$AK$5:$AK$404,$AG78)&amp;"")</f>
        <v/>
      </c>
      <c r="K78">
        <f>IF($AG78="","",IFERROR(INDEX('M1_類型マスタ'!$B$5:$B$19,MATCH(J78,'M1_類型マスタ'!$A$5:$A$19,0)),""))</f>
        <v/>
      </c>
      <c r="L78">
        <f>IF($AG78="","",INDEX('04_調査結果'!$F$5:$F$404,$AG78)&amp;"")</f>
        <v/>
      </c>
      <c r="M78">
        <f>IF($AG78="","",INDEX('04_調査結果'!$G$5:$G$404,$AG78)&amp;"")</f>
        <v/>
      </c>
      <c r="N78">
        <f>IF($AG78="","",INDEX('04_調査結果'!$H$5:$H$404,$AG78)&amp;"")</f>
        <v/>
      </c>
      <c r="O78" s="33">
        <f>IF($AG78="","",IF(INDEX('04_調査結果'!$Z$5:$Z$404,$AG78)&lt;&gt;"",INDEX('04_調査結果'!$Z$5:$Z$404,$AG78),INDEX('04_調査結果'!$AM$5:$AM$404,$AG78)))</f>
        <v/>
      </c>
      <c r="P78" s="33">
        <f>IF($AG78="","",IF(INDEX('04_調査結果'!$AA$5:$AA$404,$AG78)&lt;&gt;"",INDEX('04_調査結果'!$AA$5:$AA$404,$AG78),INDEX('04_調査結果'!$AN$5:$AN$404,$AG78)))</f>
        <v/>
      </c>
      <c r="Q78" s="33">
        <f>IF($AG78="","",INDEX('04_調査結果'!$AD$5:$AD$404,$AG78))</f>
        <v/>
      </c>
      <c r="R78">
        <f>IF($AG78="","",INDEX('04_調査結果'!$AO$5:$AO$404,$AG78))</f>
        <v/>
      </c>
      <c r="S78" s="37">
        <f>IF($AG78="","",INDEX('04_調査結果'!$AQ$5:$AQ$404,$AG78))</f>
        <v/>
      </c>
      <c r="T78" s="37">
        <f>IF($AG78="","",INDEX('04_調査結果'!$AR$5:$AR$404,$AG78))</f>
        <v/>
      </c>
      <c r="U78">
        <f>IF($AG78="","",INDEX('04_調査結果'!$N$5:$N$404,$AG78)&amp;"")</f>
        <v/>
      </c>
      <c r="V78">
        <f>IF($AG78="","",INDEX('04_調査結果'!$O$5:$O$404,$AG78))</f>
        <v/>
      </c>
      <c r="W78">
        <f>IF($AG78="","",INDEX('04_調査結果'!$P$5:$P$404,$AG78))</f>
        <v/>
      </c>
      <c r="X78">
        <f>IF($AG78="","",INDEX('04_調査結果'!$Q$5:$Q$404,$AG78))</f>
        <v/>
      </c>
      <c r="Y78">
        <f>IF($AG78="","",INDEX('04_調査結果'!$R$5:$R$404,$AG78))</f>
        <v/>
      </c>
      <c r="Z78">
        <f>IF($AG78="","",INDEX('04_調査結果'!$S$5:$S$404,$AG78))</f>
        <v/>
      </c>
      <c r="AA78">
        <f>IF($AG78="","",INDEX('04_調査結果'!$T$5:$T$404,$AG78))</f>
        <v/>
      </c>
      <c r="AB78">
        <f>IF($AG78="","",INDEX('04_調査結果'!$U$5:$U$404,$AG78))</f>
        <v/>
      </c>
      <c r="AC78">
        <f>IF($AG78="","",INDEX('04_調査結果'!$AF$5:$AF$404,$AG78))</f>
        <v/>
      </c>
      <c r="AD78">
        <f>IF($AG78="","",INDEX('04_調査結果'!$AC$5:$AC$404,$AG78)&amp;"")</f>
        <v/>
      </c>
      <c r="AE78">
        <f>IF($AG78="","",INDEX('04_調査結果'!$V$5:$V$404,$AG78)&amp;"")</f>
        <v/>
      </c>
      <c r="AF78">
        <f>IF($AG78="","",INDEX('04_調査結果'!$X$5:$X$404,$AG78)&amp;"")</f>
        <v/>
      </c>
      <c r="AG78" s="34">
        <f>IFERROR(MATCH(ROW()-4,'04_調査結果'!$AT$5:$AT$404,0),"")</f>
        <v/>
      </c>
    </row>
    <row r="79">
      <c r="A79">
        <f>IF($AG79="","",'01_設定'!$C$4)</f>
        <v/>
      </c>
      <c r="B79">
        <f>IF($AG79="","",'01_設定'!$C$5)</f>
        <v/>
      </c>
      <c r="C79">
        <f>IF($AG79="","",'01_設定'!$C$6)</f>
        <v/>
      </c>
      <c r="D79" s="36">
        <f>IF($AG79="","",'01_設定'!$C$22)</f>
        <v/>
      </c>
      <c r="E79" s="36">
        <f>IF($AG79="","",'01_設定'!$C$23)</f>
        <v/>
      </c>
      <c r="F79">
        <f>IF($AG79="","",'01_設定'!$C$32)</f>
        <v/>
      </c>
      <c r="G79">
        <f>IF($AG79="","",ROW()-4)</f>
        <v/>
      </c>
      <c r="H79">
        <f>IF($AG79="","",INDEX('04_調査結果'!$AJ$5:$AJ$404,$AG79))</f>
        <v/>
      </c>
      <c r="I79">
        <f>IF($AG79="","",INDEX('04_調査結果'!$D$5:$D$404,$AG79)&amp;"")</f>
        <v/>
      </c>
      <c r="J79">
        <f>IF($AG79="","",INDEX('04_調査結果'!$AK$5:$AK$404,$AG79)&amp;"")</f>
        <v/>
      </c>
      <c r="K79">
        <f>IF($AG79="","",IFERROR(INDEX('M1_類型マスタ'!$B$5:$B$19,MATCH(J79,'M1_類型マスタ'!$A$5:$A$19,0)),""))</f>
        <v/>
      </c>
      <c r="L79">
        <f>IF($AG79="","",INDEX('04_調査結果'!$F$5:$F$404,$AG79)&amp;"")</f>
        <v/>
      </c>
      <c r="M79">
        <f>IF($AG79="","",INDEX('04_調査結果'!$G$5:$G$404,$AG79)&amp;"")</f>
        <v/>
      </c>
      <c r="N79">
        <f>IF($AG79="","",INDEX('04_調査結果'!$H$5:$H$404,$AG79)&amp;"")</f>
        <v/>
      </c>
      <c r="O79" s="33">
        <f>IF($AG79="","",IF(INDEX('04_調査結果'!$Z$5:$Z$404,$AG79)&lt;&gt;"",INDEX('04_調査結果'!$Z$5:$Z$404,$AG79),INDEX('04_調査結果'!$AM$5:$AM$404,$AG79)))</f>
        <v/>
      </c>
      <c r="P79" s="33">
        <f>IF($AG79="","",IF(INDEX('04_調査結果'!$AA$5:$AA$404,$AG79)&lt;&gt;"",INDEX('04_調査結果'!$AA$5:$AA$404,$AG79),INDEX('04_調査結果'!$AN$5:$AN$404,$AG79)))</f>
        <v/>
      </c>
      <c r="Q79" s="33">
        <f>IF($AG79="","",INDEX('04_調査結果'!$AD$5:$AD$404,$AG79))</f>
        <v/>
      </c>
      <c r="R79">
        <f>IF($AG79="","",INDEX('04_調査結果'!$AO$5:$AO$404,$AG79))</f>
        <v/>
      </c>
      <c r="S79" s="37">
        <f>IF($AG79="","",INDEX('04_調査結果'!$AQ$5:$AQ$404,$AG79))</f>
        <v/>
      </c>
      <c r="T79" s="37">
        <f>IF($AG79="","",INDEX('04_調査結果'!$AR$5:$AR$404,$AG79))</f>
        <v/>
      </c>
      <c r="U79">
        <f>IF($AG79="","",INDEX('04_調査結果'!$N$5:$N$404,$AG79)&amp;"")</f>
        <v/>
      </c>
      <c r="V79">
        <f>IF($AG79="","",INDEX('04_調査結果'!$O$5:$O$404,$AG79))</f>
        <v/>
      </c>
      <c r="W79">
        <f>IF($AG79="","",INDEX('04_調査結果'!$P$5:$P$404,$AG79))</f>
        <v/>
      </c>
      <c r="X79">
        <f>IF($AG79="","",INDEX('04_調査結果'!$Q$5:$Q$404,$AG79))</f>
        <v/>
      </c>
      <c r="Y79">
        <f>IF($AG79="","",INDEX('04_調査結果'!$R$5:$R$404,$AG79))</f>
        <v/>
      </c>
      <c r="Z79">
        <f>IF($AG79="","",INDEX('04_調査結果'!$S$5:$S$404,$AG79))</f>
        <v/>
      </c>
      <c r="AA79">
        <f>IF($AG79="","",INDEX('04_調査結果'!$T$5:$T$404,$AG79))</f>
        <v/>
      </c>
      <c r="AB79">
        <f>IF($AG79="","",INDEX('04_調査結果'!$U$5:$U$404,$AG79))</f>
        <v/>
      </c>
      <c r="AC79">
        <f>IF($AG79="","",INDEX('04_調査結果'!$AF$5:$AF$404,$AG79))</f>
        <v/>
      </c>
      <c r="AD79">
        <f>IF($AG79="","",INDEX('04_調査結果'!$AC$5:$AC$404,$AG79)&amp;"")</f>
        <v/>
      </c>
      <c r="AE79">
        <f>IF($AG79="","",INDEX('04_調査結果'!$V$5:$V$404,$AG79)&amp;"")</f>
        <v/>
      </c>
      <c r="AF79">
        <f>IF($AG79="","",INDEX('04_調査結果'!$X$5:$X$404,$AG79)&amp;"")</f>
        <v/>
      </c>
      <c r="AG79" s="34">
        <f>IFERROR(MATCH(ROW()-4,'04_調査結果'!$AT$5:$AT$404,0),"")</f>
        <v/>
      </c>
    </row>
    <row r="80">
      <c r="A80">
        <f>IF($AG80="","",'01_設定'!$C$4)</f>
        <v/>
      </c>
      <c r="B80">
        <f>IF($AG80="","",'01_設定'!$C$5)</f>
        <v/>
      </c>
      <c r="C80">
        <f>IF($AG80="","",'01_設定'!$C$6)</f>
        <v/>
      </c>
      <c r="D80" s="36">
        <f>IF($AG80="","",'01_設定'!$C$22)</f>
        <v/>
      </c>
      <c r="E80" s="36">
        <f>IF($AG80="","",'01_設定'!$C$23)</f>
        <v/>
      </c>
      <c r="F80">
        <f>IF($AG80="","",'01_設定'!$C$32)</f>
        <v/>
      </c>
      <c r="G80">
        <f>IF($AG80="","",ROW()-4)</f>
        <v/>
      </c>
      <c r="H80">
        <f>IF($AG80="","",INDEX('04_調査結果'!$AJ$5:$AJ$404,$AG80))</f>
        <v/>
      </c>
      <c r="I80">
        <f>IF($AG80="","",INDEX('04_調査結果'!$D$5:$D$404,$AG80)&amp;"")</f>
        <v/>
      </c>
      <c r="J80">
        <f>IF($AG80="","",INDEX('04_調査結果'!$AK$5:$AK$404,$AG80)&amp;"")</f>
        <v/>
      </c>
      <c r="K80">
        <f>IF($AG80="","",IFERROR(INDEX('M1_類型マスタ'!$B$5:$B$19,MATCH(J80,'M1_類型マスタ'!$A$5:$A$19,0)),""))</f>
        <v/>
      </c>
      <c r="L80">
        <f>IF($AG80="","",INDEX('04_調査結果'!$F$5:$F$404,$AG80)&amp;"")</f>
        <v/>
      </c>
      <c r="M80">
        <f>IF($AG80="","",INDEX('04_調査結果'!$G$5:$G$404,$AG80)&amp;"")</f>
        <v/>
      </c>
      <c r="N80">
        <f>IF($AG80="","",INDEX('04_調査結果'!$H$5:$H$404,$AG80)&amp;"")</f>
        <v/>
      </c>
      <c r="O80" s="33">
        <f>IF($AG80="","",IF(INDEX('04_調査結果'!$Z$5:$Z$404,$AG80)&lt;&gt;"",INDEX('04_調査結果'!$Z$5:$Z$404,$AG80),INDEX('04_調査結果'!$AM$5:$AM$404,$AG80)))</f>
        <v/>
      </c>
      <c r="P80" s="33">
        <f>IF($AG80="","",IF(INDEX('04_調査結果'!$AA$5:$AA$404,$AG80)&lt;&gt;"",INDEX('04_調査結果'!$AA$5:$AA$404,$AG80),INDEX('04_調査結果'!$AN$5:$AN$404,$AG80)))</f>
        <v/>
      </c>
      <c r="Q80" s="33">
        <f>IF($AG80="","",INDEX('04_調査結果'!$AD$5:$AD$404,$AG80))</f>
        <v/>
      </c>
      <c r="R80">
        <f>IF($AG80="","",INDEX('04_調査結果'!$AO$5:$AO$404,$AG80))</f>
        <v/>
      </c>
      <c r="S80" s="37">
        <f>IF($AG80="","",INDEX('04_調査結果'!$AQ$5:$AQ$404,$AG80))</f>
        <v/>
      </c>
      <c r="T80" s="37">
        <f>IF($AG80="","",INDEX('04_調査結果'!$AR$5:$AR$404,$AG80))</f>
        <v/>
      </c>
      <c r="U80">
        <f>IF($AG80="","",INDEX('04_調査結果'!$N$5:$N$404,$AG80)&amp;"")</f>
        <v/>
      </c>
      <c r="V80">
        <f>IF($AG80="","",INDEX('04_調査結果'!$O$5:$O$404,$AG80))</f>
        <v/>
      </c>
      <c r="W80">
        <f>IF($AG80="","",INDEX('04_調査結果'!$P$5:$P$404,$AG80))</f>
        <v/>
      </c>
      <c r="X80">
        <f>IF($AG80="","",INDEX('04_調査結果'!$Q$5:$Q$404,$AG80))</f>
        <v/>
      </c>
      <c r="Y80">
        <f>IF($AG80="","",INDEX('04_調査結果'!$R$5:$R$404,$AG80))</f>
        <v/>
      </c>
      <c r="Z80">
        <f>IF($AG80="","",INDEX('04_調査結果'!$S$5:$S$404,$AG80))</f>
        <v/>
      </c>
      <c r="AA80">
        <f>IF($AG80="","",INDEX('04_調査結果'!$T$5:$T$404,$AG80))</f>
        <v/>
      </c>
      <c r="AB80">
        <f>IF($AG80="","",INDEX('04_調査結果'!$U$5:$U$404,$AG80))</f>
        <v/>
      </c>
      <c r="AC80">
        <f>IF($AG80="","",INDEX('04_調査結果'!$AF$5:$AF$404,$AG80))</f>
        <v/>
      </c>
      <c r="AD80">
        <f>IF($AG80="","",INDEX('04_調査結果'!$AC$5:$AC$404,$AG80)&amp;"")</f>
        <v/>
      </c>
      <c r="AE80">
        <f>IF($AG80="","",INDEX('04_調査結果'!$V$5:$V$404,$AG80)&amp;"")</f>
        <v/>
      </c>
      <c r="AF80">
        <f>IF($AG80="","",INDEX('04_調査結果'!$X$5:$X$404,$AG80)&amp;"")</f>
        <v/>
      </c>
      <c r="AG80" s="34">
        <f>IFERROR(MATCH(ROW()-4,'04_調査結果'!$AT$5:$AT$404,0),"")</f>
        <v/>
      </c>
    </row>
    <row r="81">
      <c r="A81">
        <f>IF($AG81="","",'01_設定'!$C$4)</f>
        <v/>
      </c>
      <c r="B81">
        <f>IF($AG81="","",'01_設定'!$C$5)</f>
        <v/>
      </c>
      <c r="C81">
        <f>IF($AG81="","",'01_設定'!$C$6)</f>
        <v/>
      </c>
      <c r="D81" s="36">
        <f>IF($AG81="","",'01_設定'!$C$22)</f>
        <v/>
      </c>
      <c r="E81" s="36">
        <f>IF($AG81="","",'01_設定'!$C$23)</f>
        <v/>
      </c>
      <c r="F81">
        <f>IF($AG81="","",'01_設定'!$C$32)</f>
        <v/>
      </c>
      <c r="G81">
        <f>IF($AG81="","",ROW()-4)</f>
        <v/>
      </c>
      <c r="H81">
        <f>IF($AG81="","",INDEX('04_調査結果'!$AJ$5:$AJ$404,$AG81))</f>
        <v/>
      </c>
      <c r="I81">
        <f>IF($AG81="","",INDEX('04_調査結果'!$D$5:$D$404,$AG81)&amp;"")</f>
        <v/>
      </c>
      <c r="J81">
        <f>IF($AG81="","",INDEX('04_調査結果'!$AK$5:$AK$404,$AG81)&amp;"")</f>
        <v/>
      </c>
      <c r="K81">
        <f>IF($AG81="","",IFERROR(INDEX('M1_類型マスタ'!$B$5:$B$19,MATCH(J81,'M1_類型マスタ'!$A$5:$A$19,0)),""))</f>
        <v/>
      </c>
      <c r="L81">
        <f>IF($AG81="","",INDEX('04_調査結果'!$F$5:$F$404,$AG81)&amp;"")</f>
        <v/>
      </c>
      <c r="M81">
        <f>IF($AG81="","",INDEX('04_調査結果'!$G$5:$G$404,$AG81)&amp;"")</f>
        <v/>
      </c>
      <c r="N81">
        <f>IF($AG81="","",INDEX('04_調査結果'!$H$5:$H$404,$AG81)&amp;"")</f>
        <v/>
      </c>
      <c r="O81" s="33">
        <f>IF($AG81="","",IF(INDEX('04_調査結果'!$Z$5:$Z$404,$AG81)&lt;&gt;"",INDEX('04_調査結果'!$Z$5:$Z$404,$AG81),INDEX('04_調査結果'!$AM$5:$AM$404,$AG81)))</f>
        <v/>
      </c>
      <c r="P81" s="33">
        <f>IF($AG81="","",IF(INDEX('04_調査結果'!$AA$5:$AA$404,$AG81)&lt;&gt;"",INDEX('04_調査結果'!$AA$5:$AA$404,$AG81),INDEX('04_調査結果'!$AN$5:$AN$404,$AG81)))</f>
        <v/>
      </c>
      <c r="Q81" s="33">
        <f>IF($AG81="","",INDEX('04_調査結果'!$AD$5:$AD$404,$AG81))</f>
        <v/>
      </c>
      <c r="R81">
        <f>IF($AG81="","",INDEX('04_調査結果'!$AO$5:$AO$404,$AG81))</f>
        <v/>
      </c>
      <c r="S81" s="37">
        <f>IF($AG81="","",INDEX('04_調査結果'!$AQ$5:$AQ$404,$AG81))</f>
        <v/>
      </c>
      <c r="T81" s="37">
        <f>IF($AG81="","",INDEX('04_調査結果'!$AR$5:$AR$404,$AG81))</f>
        <v/>
      </c>
      <c r="U81">
        <f>IF($AG81="","",INDEX('04_調査結果'!$N$5:$N$404,$AG81)&amp;"")</f>
        <v/>
      </c>
      <c r="V81">
        <f>IF($AG81="","",INDEX('04_調査結果'!$O$5:$O$404,$AG81))</f>
        <v/>
      </c>
      <c r="W81">
        <f>IF($AG81="","",INDEX('04_調査結果'!$P$5:$P$404,$AG81))</f>
        <v/>
      </c>
      <c r="X81">
        <f>IF($AG81="","",INDEX('04_調査結果'!$Q$5:$Q$404,$AG81))</f>
        <v/>
      </c>
      <c r="Y81">
        <f>IF($AG81="","",INDEX('04_調査結果'!$R$5:$R$404,$AG81))</f>
        <v/>
      </c>
      <c r="Z81">
        <f>IF($AG81="","",INDEX('04_調査結果'!$S$5:$S$404,$AG81))</f>
        <v/>
      </c>
      <c r="AA81">
        <f>IF($AG81="","",INDEX('04_調査結果'!$T$5:$T$404,$AG81))</f>
        <v/>
      </c>
      <c r="AB81">
        <f>IF($AG81="","",INDEX('04_調査結果'!$U$5:$U$404,$AG81))</f>
        <v/>
      </c>
      <c r="AC81">
        <f>IF($AG81="","",INDEX('04_調査結果'!$AF$5:$AF$404,$AG81))</f>
        <v/>
      </c>
      <c r="AD81">
        <f>IF($AG81="","",INDEX('04_調査結果'!$AC$5:$AC$404,$AG81)&amp;"")</f>
        <v/>
      </c>
      <c r="AE81">
        <f>IF($AG81="","",INDEX('04_調査結果'!$V$5:$V$404,$AG81)&amp;"")</f>
        <v/>
      </c>
      <c r="AF81">
        <f>IF($AG81="","",INDEX('04_調査結果'!$X$5:$X$404,$AG81)&amp;"")</f>
        <v/>
      </c>
      <c r="AG81" s="34">
        <f>IFERROR(MATCH(ROW()-4,'04_調査結果'!$AT$5:$AT$404,0),"")</f>
        <v/>
      </c>
    </row>
    <row r="82">
      <c r="A82">
        <f>IF($AG82="","",'01_設定'!$C$4)</f>
        <v/>
      </c>
      <c r="B82">
        <f>IF($AG82="","",'01_設定'!$C$5)</f>
        <v/>
      </c>
      <c r="C82">
        <f>IF($AG82="","",'01_設定'!$C$6)</f>
        <v/>
      </c>
      <c r="D82" s="36">
        <f>IF($AG82="","",'01_設定'!$C$22)</f>
        <v/>
      </c>
      <c r="E82" s="36">
        <f>IF($AG82="","",'01_設定'!$C$23)</f>
        <v/>
      </c>
      <c r="F82">
        <f>IF($AG82="","",'01_設定'!$C$32)</f>
        <v/>
      </c>
      <c r="G82">
        <f>IF($AG82="","",ROW()-4)</f>
        <v/>
      </c>
      <c r="H82">
        <f>IF($AG82="","",INDEX('04_調査結果'!$AJ$5:$AJ$404,$AG82))</f>
        <v/>
      </c>
      <c r="I82">
        <f>IF($AG82="","",INDEX('04_調査結果'!$D$5:$D$404,$AG82)&amp;"")</f>
        <v/>
      </c>
      <c r="J82">
        <f>IF($AG82="","",INDEX('04_調査結果'!$AK$5:$AK$404,$AG82)&amp;"")</f>
        <v/>
      </c>
      <c r="K82">
        <f>IF($AG82="","",IFERROR(INDEX('M1_類型マスタ'!$B$5:$B$19,MATCH(J82,'M1_類型マスタ'!$A$5:$A$19,0)),""))</f>
        <v/>
      </c>
      <c r="L82">
        <f>IF($AG82="","",INDEX('04_調査結果'!$F$5:$F$404,$AG82)&amp;"")</f>
        <v/>
      </c>
      <c r="M82">
        <f>IF($AG82="","",INDEX('04_調査結果'!$G$5:$G$404,$AG82)&amp;"")</f>
        <v/>
      </c>
      <c r="N82">
        <f>IF($AG82="","",INDEX('04_調査結果'!$H$5:$H$404,$AG82)&amp;"")</f>
        <v/>
      </c>
      <c r="O82" s="33">
        <f>IF($AG82="","",IF(INDEX('04_調査結果'!$Z$5:$Z$404,$AG82)&lt;&gt;"",INDEX('04_調査結果'!$Z$5:$Z$404,$AG82),INDEX('04_調査結果'!$AM$5:$AM$404,$AG82)))</f>
        <v/>
      </c>
      <c r="P82" s="33">
        <f>IF($AG82="","",IF(INDEX('04_調査結果'!$AA$5:$AA$404,$AG82)&lt;&gt;"",INDEX('04_調査結果'!$AA$5:$AA$404,$AG82),INDEX('04_調査結果'!$AN$5:$AN$404,$AG82)))</f>
        <v/>
      </c>
      <c r="Q82" s="33">
        <f>IF($AG82="","",INDEX('04_調査結果'!$AD$5:$AD$404,$AG82))</f>
        <v/>
      </c>
      <c r="R82">
        <f>IF($AG82="","",INDEX('04_調査結果'!$AO$5:$AO$404,$AG82))</f>
        <v/>
      </c>
      <c r="S82" s="37">
        <f>IF($AG82="","",INDEX('04_調査結果'!$AQ$5:$AQ$404,$AG82))</f>
        <v/>
      </c>
      <c r="T82" s="37">
        <f>IF($AG82="","",INDEX('04_調査結果'!$AR$5:$AR$404,$AG82))</f>
        <v/>
      </c>
      <c r="U82">
        <f>IF($AG82="","",INDEX('04_調査結果'!$N$5:$N$404,$AG82)&amp;"")</f>
        <v/>
      </c>
      <c r="V82">
        <f>IF($AG82="","",INDEX('04_調査結果'!$O$5:$O$404,$AG82))</f>
        <v/>
      </c>
      <c r="W82">
        <f>IF($AG82="","",INDEX('04_調査結果'!$P$5:$P$404,$AG82))</f>
        <v/>
      </c>
      <c r="X82">
        <f>IF($AG82="","",INDEX('04_調査結果'!$Q$5:$Q$404,$AG82))</f>
        <v/>
      </c>
      <c r="Y82">
        <f>IF($AG82="","",INDEX('04_調査結果'!$R$5:$R$404,$AG82))</f>
        <v/>
      </c>
      <c r="Z82">
        <f>IF($AG82="","",INDEX('04_調査結果'!$S$5:$S$404,$AG82))</f>
        <v/>
      </c>
      <c r="AA82">
        <f>IF($AG82="","",INDEX('04_調査結果'!$T$5:$T$404,$AG82))</f>
        <v/>
      </c>
      <c r="AB82">
        <f>IF($AG82="","",INDEX('04_調査結果'!$U$5:$U$404,$AG82))</f>
        <v/>
      </c>
      <c r="AC82">
        <f>IF($AG82="","",INDEX('04_調査結果'!$AF$5:$AF$404,$AG82))</f>
        <v/>
      </c>
      <c r="AD82">
        <f>IF($AG82="","",INDEX('04_調査結果'!$AC$5:$AC$404,$AG82)&amp;"")</f>
        <v/>
      </c>
      <c r="AE82">
        <f>IF($AG82="","",INDEX('04_調査結果'!$V$5:$V$404,$AG82)&amp;"")</f>
        <v/>
      </c>
      <c r="AF82">
        <f>IF($AG82="","",INDEX('04_調査結果'!$X$5:$X$404,$AG82)&amp;"")</f>
        <v/>
      </c>
      <c r="AG82" s="34">
        <f>IFERROR(MATCH(ROW()-4,'04_調査結果'!$AT$5:$AT$404,0),"")</f>
        <v/>
      </c>
    </row>
    <row r="83">
      <c r="A83">
        <f>IF($AG83="","",'01_設定'!$C$4)</f>
        <v/>
      </c>
      <c r="B83">
        <f>IF($AG83="","",'01_設定'!$C$5)</f>
        <v/>
      </c>
      <c r="C83">
        <f>IF($AG83="","",'01_設定'!$C$6)</f>
        <v/>
      </c>
      <c r="D83" s="36">
        <f>IF($AG83="","",'01_設定'!$C$22)</f>
        <v/>
      </c>
      <c r="E83" s="36">
        <f>IF($AG83="","",'01_設定'!$C$23)</f>
        <v/>
      </c>
      <c r="F83">
        <f>IF($AG83="","",'01_設定'!$C$32)</f>
        <v/>
      </c>
      <c r="G83">
        <f>IF($AG83="","",ROW()-4)</f>
        <v/>
      </c>
      <c r="H83">
        <f>IF($AG83="","",INDEX('04_調査結果'!$AJ$5:$AJ$404,$AG83))</f>
        <v/>
      </c>
      <c r="I83">
        <f>IF($AG83="","",INDEX('04_調査結果'!$D$5:$D$404,$AG83)&amp;"")</f>
        <v/>
      </c>
      <c r="J83">
        <f>IF($AG83="","",INDEX('04_調査結果'!$AK$5:$AK$404,$AG83)&amp;"")</f>
        <v/>
      </c>
      <c r="K83">
        <f>IF($AG83="","",IFERROR(INDEX('M1_類型マスタ'!$B$5:$B$19,MATCH(J83,'M1_類型マスタ'!$A$5:$A$19,0)),""))</f>
        <v/>
      </c>
      <c r="L83">
        <f>IF($AG83="","",INDEX('04_調査結果'!$F$5:$F$404,$AG83)&amp;"")</f>
        <v/>
      </c>
      <c r="M83">
        <f>IF($AG83="","",INDEX('04_調査結果'!$G$5:$G$404,$AG83)&amp;"")</f>
        <v/>
      </c>
      <c r="N83">
        <f>IF($AG83="","",INDEX('04_調査結果'!$H$5:$H$404,$AG83)&amp;"")</f>
        <v/>
      </c>
      <c r="O83" s="33">
        <f>IF($AG83="","",IF(INDEX('04_調査結果'!$Z$5:$Z$404,$AG83)&lt;&gt;"",INDEX('04_調査結果'!$Z$5:$Z$404,$AG83),INDEX('04_調査結果'!$AM$5:$AM$404,$AG83)))</f>
        <v/>
      </c>
      <c r="P83" s="33">
        <f>IF($AG83="","",IF(INDEX('04_調査結果'!$AA$5:$AA$404,$AG83)&lt;&gt;"",INDEX('04_調査結果'!$AA$5:$AA$404,$AG83),INDEX('04_調査結果'!$AN$5:$AN$404,$AG83)))</f>
        <v/>
      </c>
      <c r="Q83" s="33">
        <f>IF($AG83="","",INDEX('04_調査結果'!$AD$5:$AD$404,$AG83))</f>
        <v/>
      </c>
      <c r="R83">
        <f>IF($AG83="","",INDEX('04_調査結果'!$AO$5:$AO$404,$AG83))</f>
        <v/>
      </c>
      <c r="S83" s="37">
        <f>IF($AG83="","",INDEX('04_調査結果'!$AQ$5:$AQ$404,$AG83))</f>
        <v/>
      </c>
      <c r="T83" s="37">
        <f>IF($AG83="","",INDEX('04_調査結果'!$AR$5:$AR$404,$AG83))</f>
        <v/>
      </c>
      <c r="U83">
        <f>IF($AG83="","",INDEX('04_調査結果'!$N$5:$N$404,$AG83)&amp;"")</f>
        <v/>
      </c>
      <c r="V83">
        <f>IF($AG83="","",INDEX('04_調査結果'!$O$5:$O$404,$AG83))</f>
        <v/>
      </c>
      <c r="W83">
        <f>IF($AG83="","",INDEX('04_調査結果'!$P$5:$P$404,$AG83))</f>
        <v/>
      </c>
      <c r="X83">
        <f>IF($AG83="","",INDEX('04_調査結果'!$Q$5:$Q$404,$AG83))</f>
        <v/>
      </c>
      <c r="Y83">
        <f>IF($AG83="","",INDEX('04_調査結果'!$R$5:$R$404,$AG83))</f>
        <v/>
      </c>
      <c r="Z83">
        <f>IF($AG83="","",INDEX('04_調査結果'!$S$5:$S$404,$AG83))</f>
        <v/>
      </c>
      <c r="AA83">
        <f>IF($AG83="","",INDEX('04_調査結果'!$T$5:$T$404,$AG83))</f>
        <v/>
      </c>
      <c r="AB83">
        <f>IF($AG83="","",INDEX('04_調査結果'!$U$5:$U$404,$AG83))</f>
        <v/>
      </c>
      <c r="AC83">
        <f>IF($AG83="","",INDEX('04_調査結果'!$AF$5:$AF$404,$AG83))</f>
        <v/>
      </c>
      <c r="AD83">
        <f>IF($AG83="","",INDEX('04_調査結果'!$AC$5:$AC$404,$AG83)&amp;"")</f>
        <v/>
      </c>
      <c r="AE83">
        <f>IF($AG83="","",INDEX('04_調査結果'!$V$5:$V$404,$AG83)&amp;"")</f>
        <v/>
      </c>
      <c r="AF83">
        <f>IF($AG83="","",INDEX('04_調査結果'!$X$5:$X$404,$AG83)&amp;"")</f>
        <v/>
      </c>
      <c r="AG83" s="34">
        <f>IFERROR(MATCH(ROW()-4,'04_調査結果'!$AT$5:$AT$404,0),"")</f>
        <v/>
      </c>
    </row>
    <row r="84">
      <c r="A84">
        <f>IF($AG84="","",'01_設定'!$C$4)</f>
        <v/>
      </c>
      <c r="B84">
        <f>IF($AG84="","",'01_設定'!$C$5)</f>
        <v/>
      </c>
      <c r="C84">
        <f>IF($AG84="","",'01_設定'!$C$6)</f>
        <v/>
      </c>
      <c r="D84" s="36">
        <f>IF($AG84="","",'01_設定'!$C$22)</f>
        <v/>
      </c>
      <c r="E84" s="36">
        <f>IF($AG84="","",'01_設定'!$C$23)</f>
        <v/>
      </c>
      <c r="F84">
        <f>IF($AG84="","",'01_設定'!$C$32)</f>
        <v/>
      </c>
      <c r="G84">
        <f>IF($AG84="","",ROW()-4)</f>
        <v/>
      </c>
      <c r="H84">
        <f>IF($AG84="","",INDEX('04_調査結果'!$AJ$5:$AJ$404,$AG84))</f>
        <v/>
      </c>
      <c r="I84">
        <f>IF($AG84="","",INDEX('04_調査結果'!$D$5:$D$404,$AG84)&amp;"")</f>
        <v/>
      </c>
      <c r="J84">
        <f>IF($AG84="","",INDEX('04_調査結果'!$AK$5:$AK$404,$AG84)&amp;"")</f>
        <v/>
      </c>
      <c r="K84">
        <f>IF($AG84="","",IFERROR(INDEX('M1_類型マスタ'!$B$5:$B$19,MATCH(J84,'M1_類型マスタ'!$A$5:$A$19,0)),""))</f>
        <v/>
      </c>
      <c r="L84">
        <f>IF($AG84="","",INDEX('04_調査結果'!$F$5:$F$404,$AG84)&amp;"")</f>
        <v/>
      </c>
      <c r="M84">
        <f>IF($AG84="","",INDEX('04_調査結果'!$G$5:$G$404,$AG84)&amp;"")</f>
        <v/>
      </c>
      <c r="N84">
        <f>IF($AG84="","",INDEX('04_調査結果'!$H$5:$H$404,$AG84)&amp;"")</f>
        <v/>
      </c>
      <c r="O84" s="33">
        <f>IF($AG84="","",IF(INDEX('04_調査結果'!$Z$5:$Z$404,$AG84)&lt;&gt;"",INDEX('04_調査結果'!$Z$5:$Z$404,$AG84),INDEX('04_調査結果'!$AM$5:$AM$404,$AG84)))</f>
        <v/>
      </c>
      <c r="P84" s="33">
        <f>IF($AG84="","",IF(INDEX('04_調査結果'!$AA$5:$AA$404,$AG84)&lt;&gt;"",INDEX('04_調査結果'!$AA$5:$AA$404,$AG84),INDEX('04_調査結果'!$AN$5:$AN$404,$AG84)))</f>
        <v/>
      </c>
      <c r="Q84" s="33">
        <f>IF($AG84="","",INDEX('04_調査結果'!$AD$5:$AD$404,$AG84))</f>
        <v/>
      </c>
      <c r="R84">
        <f>IF($AG84="","",INDEX('04_調査結果'!$AO$5:$AO$404,$AG84))</f>
        <v/>
      </c>
      <c r="S84" s="37">
        <f>IF($AG84="","",INDEX('04_調査結果'!$AQ$5:$AQ$404,$AG84))</f>
        <v/>
      </c>
      <c r="T84" s="37">
        <f>IF($AG84="","",INDEX('04_調査結果'!$AR$5:$AR$404,$AG84))</f>
        <v/>
      </c>
      <c r="U84">
        <f>IF($AG84="","",INDEX('04_調査結果'!$N$5:$N$404,$AG84)&amp;"")</f>
        <v/>
      </c>
      <c r="V84">
        <f>IF($AG84="","",INDEX('04_調査結果'!$O$5:$O$404,$AG84))</f>
        <v/>
      </c>
      <c r="W84">
        <f>IF($AG84="","",INDEX('04_調査結果'!$P$5:$P$404,$AG84))</f>
        <v/>
      </c>
      <c r="X84">
        <f>IF($AG84="","",INDEX('04_調査結果'!$Q$5:$Q$404,$AG84))</f>
        <v/>
      </c>
      <c r="Y84">
        <f>IF($AG84="","",INDEX('04_調査結果'!$R$5:$R$404,$AG84))</f>
        <v/>
      </c>
      <c r="Z84">
        <f>IF($AG84="","",INDEX('04_調査結果'!$S$5:$S$404,$AG84))</f>
        <v/>
      </c>
      <c r="AA84">
        <f>IF($AG84="","",INDEX('04_調査結果'!$T$5:$T$404,$AG84))</f>
        <v/>
      </c>
      <c r="AB84">
        <f>IF($AG84="","",INDEX('04_調査結果'!$U$5:$U$404,$AG84))</f>
        <v/>
      </c>
      <c r="AC84">
        <f>IF($AG84="","",INDEX('04_調査結果'!$AF$5:$AF$404,$AG84))</f>
        <v/>
      </c>
      <c r="AD84">
        <f>IF($AG84="","",INDEX('04_調査結果'!$AC$5:$AC$404,$AG84)&amp;"")</f>
        <v/>
      </c>
      <c r="AE84">
        <f>IF($AG84="","",INDEX('04_調査結果'!$V$5:$V$404,$AG84)&amp;"")</f>
        <v/>
      </c>
      <c r="AF84">
        <f>IF($AG84="","",INDEX('04_調査結果'!$X$5:$X$404,$AG84)&amp;"")</f>
        <v/>
      </c>
      <c r="AG84" s="34">
        <f>IFERROR(MATCH(ROW()-4,'04_調査結果'!$AT$5:$AT$404,0),"")</f>
        <v/>
      </c>
    </row>
    <row r="85">
      <c r="A85">
        <f>IF($AG85="","",'01_設定'!$C$4)</f>
        <v/>
      </c>
      <c r="B85">
        <f>IF($AG85="","",'01_設定'!$C$5)</f>
        <v/>
      </c>
      <c r="C85">
        <f>IF($AG85="","",'01_設定'!$C$6)</f>
        <v/>
      </c>
      <c r="D85" s="36">
        <f>IF($AG85="","",'01_設定'!$C$22)</f>
        <v/>
      </c>
      <c r="E85" s="36">
        <f>IF($AG85="","",'01_設定'!$C$23)</f>
        <v/>
      </c>
      <c r="F85">
        <f>IF($AG85="","",'01_設定'!$C$32)</f>
        <v/>
      </c>
      <c r="G85">
        <f>IF($AG85="","",ROW()-4)</f>
        <v/>
      </c>
      <c r="H85">
        <f>IF($AG85="","",INDEX('04_調査結果'!$AJ$5:$AJ$404,$AG85))</f>
        <v/>
      </c>
      <c r="I85">
        <f>IF($AG85="","",INDEX('04_調査結果'!$D$5:$D$404,$AG85)&amp;"")</f>
        <v/>
      </c>
      <c r="J85">
        <f>IF($AG85="","",INDEX('04_調査結果'!$AK$5:$AK$404,$AG85)&amp;"")</f>
        <v/>
      </c>
      <c r="K85">
        <f>IF($AG85="","",IFERROR(INDEX('M1_類型マスタ'!$B$5:$B$19,MATCH(J85,'M1_類型マスタ'!$A$5:$A$19,0)),""))</f>
        <v/>
      </c>
      <c r="L85">
        <f>IF($AG85="","",INDEX('04_調査結果'!$F$5:$F$404,$AG85)&amp;"")</f>
        <v/>
      </c>
      <c r="M85">
        <f>IF($AG85="","",INDEX('04_調査結果'!$G$5:$G$404,$AG85)&amp;"")</f>
        <v/>
      </c>
      <c r="N85">
        <f>IF($AG85="","",INDEX('04_調査結果'!$H$5:$H$404,$AG85)&amp;"")</f>
        <v/>
      </c>
      <c r="O85" s="33">
        <f>IF($AG85="","",IF(INDEX('04_調査結果'!$Z$5:$Z$404,$AG85)&lt;&gt;"",INDEX('04_調査結果'!$Z$5:$Z$404,$AG85),INDEX('04_調査結果'!$AM$5:$AM$404,$AG85)))</f>
        <v/>
      </c>
      <c r="P85" s="33">
        <f>IF($AG85="","",IF(INDEX('04_調査結果'!$AA$5:$AA$404,$AG85)&lt;&gt;"",INDEX('04_調査結果'!$AA$5:$AA$404,$AG85),INDEX('04_調査結果'!$AN$5:$AN$404,$AG85)))</f>
        <v/>
      </c>
      <c r="Q85" s="33">
        <f>IF($AG85="","",INDEX('04_調査結果'!$AD$5:$AD$404,$AG85))</f>
        <v/>
      </c>
      <c r="R85">
        <f>IF($AG85="","",INDEX('04_調査結果'!$AO$5:$AO$404,$AG85))</f>
        <v/>
      </c>
      <c r="S85" s="37">
        <f>IF($AG85="","",INDEX('04_調査結果'!$AQ$5:$AQ$404,$AG85))</f>
        <v/>
      </c>
      <c r="T85" s="37">
        <f>IF($AG85="","",INDEX('04_調査結果'!$AR$5:$AR$404,$AG85))</f>
        <v/>
      </c>
      <c r="U85">
        <f>IF($AG85="","",INDEX('04_調査結果'!$N$5:$N$404,$AG85)&amp;"")</f>
        <v/>
      </c>
      <c r="V85">
        <f>IF($AG85="","",INDEX('04_調査結果'!$O$5:$O$404,$AG85))</f>
        <v/>
      </c>
      <c r="W85">
        <f>IF($AG85="","",INDEX('04_調査結果'!$P$5:$P$404,$AG85))</f>
        <v/>
      </c>
      <c r="X85">
        <f>IF($AG85="","",INDEX('04_調査結果'!$Q$5:$Q$404,$AG85))</f>
        <v/>
      </c>
      <c r="Y85">
        <f>IF($AG85="","",INDEX('04_調査結果'!$R$5:$R$404,$AG85))</f>
        <v/>
      </c>
      <c r="Z85">
        <f>IF($AG85="","",INDEX('04_調査結果'!$S$5:$S$404,$AG85))</f>
        <v/>
      </c>
      <c r="AA85">
        <f>IF($AG85="","",INDEX('04_調査結果'!$T$5:$T$404,$AG85))</f>
        <v/>
      </c>
      <c r="AB85">
        <f>IF($AG85="","",INDEX('04_調査結果'!$U$5:$U$404,$AG85))</f>
        <v/>
      </c>
      <c r="AC85">
        <f>IF($AG85="","",INDEX('04_調査結果'!$AF$5:$AF$404,$AG85))</f>
        <v/>
      </c>
      <c r="AD85">
        <f>IF($AG85="","",INDEX('04_調査結果'!$AC$5:$AC$404,$AG85)&amp;"")</f>
        <v/>
      </c>
      <c r="AE85">
        <f>IF($AG85="","",INDEX('04_調査結果'!$V$5:$V$404,$AG85)&amp;"")</f>
        <v/>
      </c>
      <c r="AF85">
        <f>IF($AG85="","",INDEX('04_調査結果'!$X$5:$X$404,$AG85)&amp;"")</f>
        <v/>
      </c>
      <c r="AG85" s="34">
        <f>IFERROR(MATCH(ROW()-4,'04_調査結果'!$AT$5:$AT$404,0),"")</f>
        <v/>
      </c>
    </row>
    <row r="86">
      <c r="A86">
        <f>IF($AG86="","",'01_設定'!$C$4)</f>
        <v/>
      </c>
      <c r="B86">
        <f>IF($AG86="","",'01_設定'!$C$5)</f>
        <v/>
      </c>
      <c r="C86">
        <f>IF($AG86="","",'01_設定'!$C$6)</f>
        <v/>
      </c>
      <c r="D86" s="36">
        <f>IF($AG86="","",'01_設定'!$C$22)</f>
        <v/>
      </c>
      <c r="E86" s="36">
        <f>IF($AG86="","",'01_設定'!$C$23)</f>
        <v/>
      </c>
      <c r="F86">
        <f>IF($AG86="","",'01_設定'!$C$32)</f>
        <v/>
      </c>
      <c r="G86">
        <f>IF($AG86="","",ROW()-4)</f>
        <v/>
      </c>
      <c r="H86">
        <f>IF($AG86="","",INDEX('04_調査結果'!$AJ$5:$AJ$404,$AG86))</f>
        <v/>
      </c>
      <c r="I86">
        <f>IF($AG86="","",INDEX('04_調査結果'!$D$5:$D$404,$AG86)&amp;"")</f>
        <v/>
      </c>
      <c r="J86">
        <f>IF($AG86="","",INDEX('04_調査結果'!$AK$5:$AK$404,$AG86)&amp;"")</f>
        <v/>
      </c>
      <c r="K86">
        <f>IF($AG86="","",IFERROR(INDEX('M1_類型マスタ'!$B$5:$B$19,MATCH(J86,'M1_類型マスタ'!$A$5:$A$19,0)),""))</f>
        <v/>
      </c>
      <c r="L86">
        <f>IF($AG86="","",INDEX('04_調査結果'!$F$5:$F$404,$AG86)&amp;"")</f>
        <v/>
      </c>
      <c r="M86">
        <f>IF($AG86="","",INDEX('04_調査結果'!$G$5:$G$404,$AG86)&amp;"")</f>
        <v/>
      </c>
      <c r="N86">
        <f>IF($AG86="","",INDEX('04_調査結果'!$H$5:$H$404,$AG86)&amp;"")</f>
        <v/>
      </c>
      <c r="O86" s="33">
        <f>IF($AG86="","",IF(INDEX('04_調査結果'!$Z$5:$Z$404,$AG86)&lt;&gt;"",INDEX('04_調査結果'!$Z$5:$Z$404,$AG86),INDEX('04_調査結果'!$AM$5:$AM$404,$AG86)))</f>
        <v/>
      </c>
      <c r="P86" s="33">
        <f>IF($AG86="","",IF(INDEX('04_調査結果'!$AA$5:$AA$404,$AG86)&lt;&gt;"",INDEX('04_調査結果'!$AA$5:$AA$404,$AG86),INDEX('04_調査結果'!$AN$5:$AN$404,$AG86)))</f>
        <v/>
      </c>
      <c r="Q86" s="33">
        <f>IF($AG86="","",INDEX('04_調査結果'!$AD$5:$AD$404,$AG86))</f>
        <v/>
      </c>
      <c r="R86">
        <f>IF($AG86="","",INDEX('04_調査結果'!$AO$5:$AO$404,$AG86))</f>
        <v/>
      </c>
      <c r="S86" s="37">
        <f>IF($AG86="","",INDEX('04_調査結果'!$AQ$5:$AQ$404,$AG86))</f>
        <v/>
      </c>
      <c r="T86" s="37">
        <f>IF($AG86="","",INDEX('04_調査結果'!$AR$5:$AR$404,$AG86))</f>
        <v/>
      </c>
      <c r="U86">
        <f>IF($AG86="","",INDEX('04_調査結果'!$N$5:$N$404,$AG86)&amp;"")</f>
        <v/>
      </c>
      <c r="V86">
        <f>IF($AG86="","",INDEX('04_調査結果'!$O$5:$O$404,$AG86))</f>
        <v/>
      </c>
      <c r="W86">
        <f>IF($AG86="","",INDEX('04_調査結果'!$P$5:$P$404,$AG86))</f>
        <v/>
      </c>
      <c r="X86">
        <f>IF($AG86="","",INDEX('04_調査結果'!$Q$5:$Q$404,$AG86))</f>
        <v/>
      </c>
      <c r="Y86">
        <f>IF($AG86="","",INDEX('04_調査結果'!$R$5:$R$404,$AG86))</f>
        <v/>
      </c>
      <c r="Z86">
        <f>IF($AG86="","",INDEX('04_調査結果'!$S$5:$S$404,$AG86))</f>
        <v/>
      </c>
      <c r="AA86">
        <f>IF($AG86="","",INDEX('04_調査結果'!$T$5:$T$404,$AG86))</f>
        <v/>
      </c>
      <c r="AB86">
        <f>IF($AG86="","",INDEX('04_調査結果'!$U$5:$U$404,$AG86))</f>
        <v/>
      </c>
      <c r="AC86">
        <f>IF($AG86="","",INDEX('04_調査結果'!$AF$5:$AF$404,$AG86))</f>
        <v/>
      </c>
      <c r="AD86">
        <f>IF($AG86="","",INDEX('04_調査結果'!$AC$5:$AC$404,$AG86)&amp;"")</f>
        <v/>
      </c>
      <c r="AE86">
        <f>IF($AG86="","",INDEX('04_調査結果'!$V$5:$V$404,$AG86)&amp;"")</f>
        <v/>
      </c>
      <c r="AF86">
        <f>IF($AG86="","",INDEX('04_調査結果'!$X$5:$X$404,$AG86)&amp;"")</f>
        <v/>
      </c>
      <c r="AG86" s="34">
        <f>IFERROR(MATCH(ROW()-4,'04_調査結果'!$AT$5:$AT$404,0),"")</f>
        <v/>
      </c>
    </row>
    <row r="87">
      <c r="A87">
        <f>IF($AG87="","",'01_設定'!$C$4)</f>
        <v/>
      </c>
      <c r="B87">
        <f>IF($AG87="","",'01_設定'!$C$5)</f>
        <v/>
      </c>
      <c r="C87">
        <f>IF($AG87="","",'01_設定'!$C$6)</f>
        <v/>
      </c>
      <c r="D87" s="36">
        <f>IF($AG87="","",'01_設定'!$C$22)</f>
        <v/>
      </c>
      <c r="E87" s="36">
        <f>IF($AG87="","",'01_設定'!$C$23)</f>
        <v/>
      </c>
      <c r="F87">
        <f>IF($AG87="","",'01_設定'!$C$32)</f>
        <v/>
      </c>
      <c r="G87">
        <f>IF($AG87="","",ROW()-4)</f>
        <v/>
      </c>
      <c r="H87">
        <f>IF($AG87="","",INDEX('04_調査結果'!$AJ$5:$AJ$404,$AG87))</f>
        <v/>
      </c>
      <c r="I87">
        <f>IF($AG87="","",INDEX('04_調査結果'!$D$5:$D$404,$AG87)&amp;"")</f>
        <v/>
      </c>
      <c r="J87">
        <f>IF($AG87="","",INDEX('04_調査結果'!$AK$5:$AK$404,$AG87)&amp;"")</f>
        <v/>
      </c>
      <c r="K87">
        <f>IF($AG87="","",IFERROR(INDEX('M1_類型マスタ'!$B$5:$B$19,MATCH(J87,'M1_類型マスタ'!$A$5:$A$19,0)),""))</f>
        <v/>
      </c>
      <c r="L87">
        <f>IF($AG87="","",INDEX('04_調査結果'!$F$5:$F$404,$AG87)&amp;"")</f>
        <v/>
      </c>
      <c r="M87">
        <f>IF($AG87="","",INDEX('04_調査結果'!$G$5:$G$404,$AG87)&amp;"")</f>
        <v/>
      </c>
      <c r="N87">
        <f>IF($AG87="","",INDEX('04_調査結果'!$H$5:$H$404,$AG87)&amp;"")</f>
        <v/>
      </c>
      <c r="O87" s="33">
        <f>IF($AG87="","",IF(INDEX('04_調査結果'!$Z$5:$Z$404,$AG87)&lt;&gt;"",INDEX('04_調査結果'!$Z$5:$Z$404,$AG87),INDEX('04_調査結果'!$AM$5:$AM$404,$AG87)))</f>
        <v/>
      </c>
      <c r="P87" s="33">
        <f>IF($AG87="","",IF(INDEX('04_調査結果'!$AA$5:$AA$404,$AG87)&lt;&gt;"",INDEX('04_調査結果'!$AA$5:$AA$404,$AG87),INDEX('04_調査結果'!$AN$5:$AN$404,$AG87)))</f>
        <v/>
      </c>
      <c r="Q87" s="33">
        <f>IF($AG87="","",INDEX('04_調査結果'!$AD$5:$AD$404,$AG87))</f>
        <v/>
      </c>
      <c r="R87">
        <f>IF($AG87="","",INDEX('04_調査結果'!$AO$5:$AO$404,$AG87))</f>
        <v/>
      </c>
      <c r="S87" s="37">
        <f>IF($AG87="","",INDEX('04_調査結果'!$AQ$5:$AQ$404,$AG87))</f>
        <v/>
      </c>
      <c r="T87" s="37">
        <f>IF($AG87="","",INDEX('04_調査結果'!$AR$5:$AR$404,$AG87))</f>
        <v/>
      </c>
      <c r="U87">
        <f>IF($AG87="","",INDEX('04_調査結果'!$N$5:$N$404,$AG87)&amp;"")</f>
        <v/>
      </c>
      <c r="V87">
        <f>IF($AG87="","",INDEX('04_調査結果'!$O$5:$O$404,$AG87))</f>
        <v/>
      </c>
      <c r="W87">
        <f>IF($AG87="","",INDEX('04_調査結果'!$P$5:$P$404,$AG87))</f>
        <v/>
      </c>
      <c r="X87">
        <f>IF($AG87="","",INDEX('04_調査結果'!$Q$5:$Q$404,$AG87))</f>
        <v/>
      </c>
      <c r="Y87">
        <f>IF($AG87="","",INDEX('04_調査結果'!$R$5:$R$404,$AG87))</f>
        <v/>
      </c>
      <c r="Z87">
        <f>IF($AG87="","",INDEX('04_調査結果'!$S$5:$S$404,$AG87))</f>
        <v/>
      </c>
      <c r="AA87">
        <f>IF($AG87="","",INDEX('04_調査結果'!$T$5:$T$404,$AG87))</f>
        <v/>
      </c>
      <c r="AB87">
        <f>IF($AG87="","",INDEX('04_調査結果'!$U$5:$U$404,$AG87))</f>
        <v/>
      </c>
      <c r="AC87">
        <f>IF($AG87="","",INDEX('04_調査結果'!$AF$5:$AF$404,$AG87))</f>
        <v/>
      </c>
      <c r="AD87">
        <f>IF($AG87="","",INDEX('04_調査結果'!$AC$5:$AC$404,$AG87)&amp;"")</f>
        <v/>
      </c>
      <c r="AE87">
        <f>IF($AG87="","",INDEX('04_調査結果'!$V$5:$V$404,$AG87)&amp;"")</f>
        <v/>
      </c>
      <c r="AF87">
        <f>IF($AG87="","",INDEX('04_調査結果'!$X$5:$X$404,$AG87)&amp;"")</f>
        <v/>
      </c>
      <c r="AG87" s="34">
        <f>IFERROR(MATCH(ROW()-4,'04_調査結果'!$AT$5:$AT$404,0),"")</f>
        <v/>
      </c>
    </row>
    <row r="88">
      <c r="A88">
        <f>IF($AG88="","",'01_設定'!$C$4)</f>
        <v/>
      </c>
      <c r="B88">
        <f>IF($AG88="","",'01_設定'!$C$5)</f>
        <v/>
      </c>
      <c r="C88">
        <f>IF($AG88="","",'01_設定'!$C$6)</f>
        <v/>
      </c>
      <c r="D88" s="36">
        <f>IF($AG88="","",'01_設定'!$C$22)</f>
        <v/>
      </c>
      <c r="E88" s="36">
        <f>IF($AG88="","",'01_設定'!$C$23)</f>
        <v/>
      </c>
      <c r="F88">
        <f>IF($AG88="","",'01_設定'!$C$32)</f>
        <v/>
      </c>
      <c r="G88">
        <f>IF($AG88="","",ROW()-4)</f>
        <v/>
      </c>
      <c r="H88">
        <f>IF($AG88="","",INDEX('04_調査結果'!$AJ$5:$AJ$404,$AG88))</f>
        <v/>
      </c>
      <c r="I88">
        <f>IF($AG88="","",INDEX('04_調査結果'!$D$5:$D$404,$AG88)&amp;"")</f>
        <v/>
      </c>
      <c r="J88">
        <f>IF($AG88="","",INDEX('04_調査結果'!$AK$5:$AK$404,$AG88)&amp;"")</f>
        <v/>
      </c>
      <c r="K88">
        <f>IF($AG88="","",IFERROR(INDEX('M1_類型マスタ'!$B$5:$B$19,MATCH(J88,'M1_類型マスタ'!$A$5:$A$19,0)),""))</f>
        <v/>
      </c>
      <c r="L88">
        <f>IF($AG88="","",INDEX('04_調査結果'!$F$5:$F$404,$AG88)&amp;"")</f>
        <v/>
      </c>
      <c r="M88">
        <f>IF($AG88="","",INDEX('04_調査結果'!$G$5:$G$404,$AG88)&amp;"")</f>
        <v/>
      </c>
      <c r="N88">
        <f>IF($AG88="","",INDEX('04_調査結果'!$H$5:$H$404,$AG88)&amp;"")</f>
        <v/>
      </c>
      <c r="O88" s="33">
        <f>IF($AG88="","",IF(INDEX('04_調査結果'!$Z$5:$Z$404,$AG88)&lt;&gt;"",INDEX('04_調査結果'!$Z$5:$Z$404,$AG88),INDEX('04_調査結果'!$AM$5:$AM$404,$AG88)))</f>
        <v/>
      </c>
      <c r="P88" s="33">
        <f>IF($AG88="","",IF(INDEX('04_調査結果'!$AA$5:$AA$404,$AG88)&lt;&gt;"",INDEX('04_調査結果'!$AA$5:$AA$404,$AG88),INDEX('04_調査結果'!$AN$5:$AN$404,$AG88)))</f>
        <v/>
      </c>
      <c r="Q88" s="33">
        <f>IF($AG88="","",INDEX('04_調査結果'!$AD$5:$AD$404,$AG88))</f>
        <v/>
      </c>
      <c r="R88">
        <f>IF($AG88="","",INDEX('04_調査結果'!$AO$5:$AO$404,$AG88))</f>
        <v/>
      </c>
      <c r="S88" s="37">
        <f>IF($AG88="","",INDEX('04_調査結果'!$AQ$5:$AQ$404,$AG88))</f>
        <v/>
      </c>
      <c r="T88" s="37">
        <f>IF($AG88="","",INDEX('04_調査結果'!$AR$5:$AR$404,$AG88))</f>
        <v/>
      </c>
      <c r="U88">
        <f>IF($AG88="","",INDEX('04_調査結果'!$N$5:$N$404,$AG88)&amp;"")</f>
        <v/>
      </c>
      <c r="V88">
        <f>IF($AG88="","",INDEX('04_調査結果'!$O$5:$O$404,$AG88))</f>
        <v/>
      </c>
      <c r="W88">
        <f>IF($AG88="","",INDEX('04_調査結果'!$P$5:$P$404,$AG88))</f>
        <v/>
      </c>
      <c r="X88">
        <f>IF($AG88="","",INDEX('04_調査結果'!$Q$5:$Q$404,$AG88))</f>
        <v/>
      </c>
      <c r="Y88">
        <f>IF($AG88="","",INDEX('04_調査結果'!$R$5:$R$404,$AG88))</f>
        <v/>
      </c>
      <c r="Z88">
        <f>IF($AG88="","",INDEX('04_調査結果'!$S$5:$S$404,$AG88))</f>
        <v/>
      </c>
      <c r="AA88">
        <f>IF($AG88="","",INDEX('04_調査結果'!$T$5:$T$404,$AG88))</f>
        <v/>
      </c>
      <c r="AB88">
        <f>IF($AG88="","",INDEX('04_調査結果'!$U$5:$U$404,$AG88))</f>
        <v/>
      </c>
      <c r="AC88">
        <f>IF($AG88="","",INDEX('04_調査結果'!$AF$5:$AF$404,$AG88))</f>
        <v/>
      </c>
      <c r="AD88">
        <f>IF($AG88="","",INDEX('04_調査結果'!$AC$5:$AC$404,$AG88)&amp;"")</f>
        <v/>
      </c>
      <c r="AE88">
        <f>IF($AG88="","",INDEX('04_調査結果'!$V$5:$V$404,$AG88)&amp;"")</f>
        <v/>
      </c>
      <c r="AF88">
        <f>IF($AG88="","",INDEX('04_調査結果'!$X$5:$X$404,$AG88)&amp;"")</f>
        <v/>
      </c>
      <c r="AG88" s="34">
        <f>IFERROR(MATCH(ROW()-4,'04_調査結果'!$AT$5:$AT$404,0),"")</f>
        <v/>
      </c>
    </row>
    <row r="89">
      <c r="A89">
        <f>IF($AG89="","",'01_設定'!$C$4)</f>
        <v/>
      </c>
      <c r="B89">
        <f>IF($AG89="","",'01_設定'!$C$5)</f>
        <v/>
      </c>
      <c r="C89">
        <f>IF($AG89="","",'01_設定'!$C$6)</f>
        <v/>
      </c>
      <c r="D89" s="36">
        <f>IF($AG89="","",'01_設定'!$C$22)</f>
        <v/>
      </c>
      <c r="E89" s="36">
        <f>IF($AG89="","",'01_設定'!$C$23)</f>
        <v/>
      </c>
      <c r="F89">
        <f>IF($AG89="","",'01_設定'!$C$32)</f>
        <v/>
      </c>
      <c r="G89">
        <f>IF($AG89="","",ROW()-4)</f>
        <v/>
      </c>
      <c r="H89">
        <f>IF($AG89="","",INDEX('04_調査結果'!$AJ$5:$AJ$404,$AG89))</f>
        <v/>
      </c>
      <c r="I89">
        <f>IF($AG89="","",INDEX('04_調査結果'!$D$5:$D$404,$AG89)&amp;"")</f>
        <v/>
      </c>
      <c r="J89">
        <f>IF($AG89="","",INDEX('04_調査結果'!$AK$5:$AK$404,$AG89)&amp;"")</f>
        <v/>
      </c>
      <c r="K89">
        <f>IF($AG89="","",IFERROR(INDEX('M1_類型マスタ'!$B$5:$B$19,MATCH(J89,'M1_類型マスタ'!$A$5:$A$19,0)),""))</f>
        <v/>
      </c>
      <c r="L89">
        <f>IF($AG89="","",INDEX('04_調査結果'!$F$5:$F$404,$AG89)&amp;"")</f>
        <v/>
      </c>
      <c r="M89">
        <f>IF($AG89="","",INDEX('04_調査結果'!$G$5:$G$404,$AG89)&amp;"")</f>
        <v/>
      </c>
      <c r="N89">
        <f>IF($AG89="","",INDEX('04_調査結果'!$H$5:$H$404,$AG89)&amp;"")</f>
        <v/>
      </c>
      <c r="O89" s="33">
        <f>IF($AG89="","",IF(INDEX('04_調査結果'!$Z$5:$Z$404,$AG89)&lt;&gt;"",INDEX('04_調査結果'!$Z$5:$Z$404,$AG89),INDEX('04_調査結果'!$AM$5:$AM$404,$AG89)))</f>
        <v/>
      </c>
      <c r="P89" s="33">
        <f>IF($AG89="","",IF(INDEX('04_調査結果'!$AA$5:$AA$404,$AG89)&lt;&gt;"",INDEX('04_調査結果'!$AA$5:$AA$404,$AG89),INDEX('04_調査結果'!$AN$5:$AN$404,$AG89)))</f>
        <v/>
      </c>
      <c r="Q89" s="33">
        <f>IF($AG89="","",INDEX('04_調査結果'!$AD$5:$AD$404,$AG89))</f>
        <v/>
      </c>
      <c r="R89">
        <f>IF($AG89="","",INDEX('04_調査結果'!$AO$5:$AO$404,$AG89))</f>
        <v/>
      </c>
      <c r="S89" s="37">
        <f>IF($AG89="","",INDEX('04_調査結果'!$AQ$5:$AQ$404,$AG89))</f>
        <v/>
      </c>
      <c r="T89" s="37">
        <f>IF($AG89="","",INDEX('04_調査結果'!$AR$5:$AR$404,$AG89))</f>
        <v/>
      </c>
      <c r="U89">
        <f>IF($AG89="","",INDEX('04_調査結果'!$N$5:$N$404,$AG89)&amp;"")</f>
        <v/>
      </c>
      <c r="V89">
        <f>IF($AG89="","",INDEX('04_調査結果'!$O$5:$O$404,$AG89))</f>
        <v/>
      </c>
      <c r="W89">
        <f>IF($AG89="","",INDEX('04_調査結果'!$P$5:$P$404,$AG89))</f>
        <v/>
      </c>
      <c r="X89">
        <f>IF($AG89="","",INDEX('04_調査結果'!$Q$5:$Q$404,$AG89))</f>
        <v/>
      </c>
      <c r="Y89">
        <f>IF($AG89="","",INDEX('04_調査結果'!$R$5:$R$404,$AG89))</f>
        <v/>
      </c>
      <c r="Z89">
        <f>IF($AG89="","",INDEX('04_調査結果'!$S$5:$S$404,$AG89))</f>
        <v/>
      </c>
      <c r="AA89">
        <f>IF($AG89="","",INDEX('04_調査結果'!$T$5:$T$404,$AG89))</f>
        <v/>
      </c>
      <c r="AB89">
        <f>IF($AG89="","",INDEX('04_調査結果'!$U$5:$U$404,$AG89))</f>
        <v/>
      </c>
      <c r="AC89">
        <f>IF($AG89="","",INDEX('04_調査結果'!$AF$5:$AF$404,$AG89))</f>
        <v/>
      </c>
      <c r="AD89">
        <f>IF($AG89="","",INDEX('04_調査結果'!$AC$5:$AC$404,$AG89)&amp;"")</f>
        <v/>
      </c>
      <c r="AE89">
        <f>IF($AG89="","",INDEX('04_調査結果'!$V$5:$V$404,$AG89)&amp;"")</f>
        <v/>
      </c>
      <c r="AF89">
        <f>IF($AG89="","",INDEX('04_調査結果'!$X$5:$X$404,$AG89)&amp;"")</f>
        <v/>
      </c>
      <c r="AG89" s="34">
        <f>IFERROR(MATCH(ROW()-4,'04_調査結果'!$AT$5:$AT$404,0),"")</f>
        <v/>
      </c>
    </row>
    <row r="90">
      <c r="A90">
        <f>IF($AG90="","",'01_設定'!$C$4)</f>
        <v/>
      </c>
      <c r="B90">
        <f>IF($AG90="","",'01_設定'!$C$5)</f>
        <v/>
      </c>
      <c r="C90">
        <f>IF($AG90="","",'01_設定'!$C$6)</f>
        <v/>
      </c>
      <c r="D90" s="36">
        <f>IF($AG90="","",'01_設定'!$C$22)</f>
        <v/>
      </c>
      <c r="E90" s="36">
        <f>IF($AG90="","",'01_設定'!$C$23)</f>
        <v/>
      </c>
      <c r="F90">
        <f>IF($AG90="","",'01_設定'!$C$32)</f>
        <v/>
      </c>
      <c r="G90">
        <f>IF($AG90="","",ROW()-4)</f>
        <v/>
      </c>
      <c r="H90">
        <f>IF($AG90="","",INDEX('04_調査結果'!$AJ$5:$AJ$404,$AG90))</f>
        <v/>
      </c>
      <c r="I90">
        <f>IF($AG90="","",INDEX('04_調査結果'!$D$5:$D$404,$AG90)&amp;"")</f>
        <v/>
      </c>
      <c r="J90">
        <f>IF($AG90="","",INDEX('04_調査結果'!$AK$5:$AK$404,$AG90)&amp;"")</f>
        <v/>
      </c>
      <c r="K90">
        <f>IF($AG90="","",IFERROR(INDEX('M1_類型マスタ'!$B$5:$B$19,MATCH(J90,'M1_類型マスタ'!$A$5:$A$19,0)),""))</f>
        <v/>
      </c>
      <c r="L90">
        <f>IF($AG90="","",INDEX('04_調査結果'!$F$5:$F$404,$AG90)&amp;"")</f>
        <v/>
      </c>
      <c r="M90">
        <f>IF($AG90="","",INDEX('04_調査結果'!$G$5:$G$404,$AG90)&amp;"")</f>
        <v/>
      </c>
      <c r="N90">
        <f>IF($AG90="","",INDEX('04_調査結果'!$H$5:$H$404,$AG90)&amp;"")</f>
        <v/>
      </c>
      <c r="O90" s="33">
        <f>IF($AG90="","",IF(INDEX('04_調査結果'!$Z$5:$Z$404,$AG90)&lt;&gt;"",INDEX('04_調査結果'!$Z$5:$Z$404,$AG90),INDEX('04_調査結果'!$AM$5:$AM$404,$AG90)))</f>
        <v/>
      </c>
      <c r="P90" s="33">
        <f>IF($AG90="","",IF(INDEX('04_調査結果'!$AA$5:$AA$404,$AG90)&lt;&gt;"",INDEX('04_調査結果'!$AA$5:$AA$404,$AG90),INDEX('04_調査結果'!$AN$5:$AN$404,$AG90)))</f>
        <v/>
      </c>
      <c r="Q90" s="33">
        <f>IF($AG90="","",INDEX('04_調査結果'!$AD$5:$AD$404,$AG90))</f>
        <v/>
      </c>
      <c r="R90">
        <f>IF($AG90="","",INDEX('04_調査結果'!$AO$5:$AO$404,$AG90))</f>
        <v/>
      </c>
      <c r="S90" s="37">
        <f>IF($AG90="","",INDEX('04_調査結果'!$AQ$5:$AQ$404,$AG90))</f>
        <v/>
      </c>
      <c r="T90" s="37">
        <f>IF($AG90="","",INDEX('04_調査結果'!$AR$5:$AR$404,$AG90))</f>
        <v/>
      </c>
      <c r="U90">
        <f>IF($AG90="","",INDEX('04_調査結果'!$N$5:$N$404,$AG90)&amp;"")</f>
        <v/>
      </c>
      <c r="V90">
        <f>IF($AG90="","",INDEX('04_調査結果'!$O$5:$O$404,$AG90))</f>
        <v/>
      </c>
      <c r="W90">
        <f>IF($AG90="","",INDEX('04_調査結果'!$P$5:$P$404,$AG90))</f>
        <v/>
      </c>
      <c r="X90">
        <f>IF($AG90="","",INDEX('04_調査結果'!$Q$5:$Q$404,$AG90))</f>
        <v/>
      </c>
      <c r="Y90">
        <f>IF($AG90="","",INDEX('04_調査結果'!$R$5:$R$404,$AG90))</f>
        <v/>
      </c>
      <c r="Z90">
        <f>IF($AG90="","",INDEX('04_調査結果'!$S$5:$S$404,$AG90))</f>
        <v/>
      </c>
      <c r="AA90">
        <f>IF($AG90="","",INDEX('04_調査結果'!$T$5:$T$404,$AG90))</f>
        <v/>
      </c>
      <c r="AB90">
        <f>IF($AG90="","",INDEX('04_調査結果'!$U$5:$U$404,$AG90))</f>
        <v/>
      </c>
      <c r="AC90">
        <f>IF($AG90="","",INDEX('04_調査結果'!$AF$5:$AF$404,$AG90))</f>
        <v/>
      </c>
      <c r="AD90">
        <f>IF($AG90="","",INDEX('04_調査結果'!$AC$5:$AC$404,$AG90)&amp;"")</f>
        <v/>
      </c>
      <c r="AE90">
        <f>IF($AG90="","",INDEX('04_調査結果'!$V$5:$V$404,$AG90)&amp;"")</f>
        <v/>
      </c>
      <c r="AF90">
        <f>IF($AG90="","",INDEX('04_調査結果'!$X$5:$X$404,$AG90)&amp;"")</f>
        <v/>
      </c>
      <c r="AG90" s="34">
        <f>IFERROR(MATCH(ROW()-4,'04_調査結果'!$AT$5:$AT$404,0),"")</f>
        <v/>
      </c>
    </row>
    <row r="91">
      <c r="A91">
        <f>IF($AG91="","",'01_設定'!$C$4)</f>
        <v/>
      </c>
      <c r="B91">
        <f>IF($AG91="","",'01_設定'!$C$5)</f>
        <v/>
      </c>
      <c r="C91">
        <f>IF($AG91="","",'01_設定'!$C$6)</f>
        <v/>
      </c>
      <c r="D91" s="36">
        <f>IF($AG91="","",'01_設定'!$C$22)</f>
        <v/>
      </c>
      <c r="E91" s="36">
        <f>IF($AG91="","",'01_設定'!$C$23)</f>
        <v/>
      </c>
      <c r="F91">
        <f>IF($AG91="","",'01_設定'!$C$32)</f>
        <v/>
      </c>
      <c r="G91">
        <f>IF($AG91="","",ROW()-4)</f>
        <v/>
      </c>
      <c r="H91">
        <f>IF($AG91="","",INDEX('04_調査結果'!$AJ$5:$AJ$404,$AG91))</f>
        <v/>
      </c>
      <c r="I91">
        <f>IF($AG91="","",INDEX('04_調査結果'!$D$5:$D$404,$AG91)&amp;"")</f>
        <v/>
      </c>
      <c r="J91">
        <f>IF($AG91="","",INDEX('04_調査結果'!$AK$5:$AK$404,$AG91)&amp;"")</f>
        <v/>
      </c>
      <c r="K91">
        <f>IF($AG91="","",IFERROR(INDEX('M1_類型マスタ'!$B$5:$B$19,MATCH(J91,'M1_類型マスタ'!$A$5:$A$19,0)),""))</f>
        <v/>
      </c>
      <c r="L91">
        <f>IF($AG91="","",INDEX('04_調査結果'!$F$5:$F$404,$AG91)&amp;"")</f>
        <v/>
      </c>
      <c r="M91">
        <f>IF($AG91="","",INDEX('04_調査結果'!$G$5:$G$404,$AG91)&amp;"")</f>
        <v/>
      </c>
      <c r="N91">
        <f>IF($AG91="","",INDEX('04_調査結果'!$H$5:$H$404,$AG91)&amp;"")</f>
        <v/>
      </c>
      <c r="O91" s="33">
        <f>IF($AG91="","",IF(INDEX('04_調査結果'!$Z$5:$Z$404,$AG91)&lt;&gt;"",INDEX('04_調査結果'!$Z$5:$Z$404,$AG91),INDEX('04_調査結果'!$AM$5:$AM$404,$AG91)))</f>
        <v/>
      </c>
      <c r="P91" s="33">
        <f>IF($AG91="","",IF(INDEX('04_調査結果'!$AA$5:$AA$404,$AG91)&lt;&gt;"",INDEX('04_調査結果'!$AA$5:$AA$404,$AG91),INDEX('04_調査結果'!$AN$5:$AN$404,$AG91)))</f>
        <v/>
      </c>
      <c r="Q91" s="33">
        <f>IF($AG91="","",INDEX('04_調査結果'!$AD$5:$AD$404,$AG91))</f>
        <v/>
      </c>
      <c r="R91">
        <f>IF($AG91="","",INDEX('04_調査結果'!$AO$5:$AO$404,$AG91))</f>
        <v/>
      </c>
      <c r="S91" s="37">
        <f>IF($AG91="","",INDEX('04_調査結果'!$AQ$5:$AQ$404,$AG91))</f>
        <v/>
      </c>
      <c r="T91" s="37">
        <f>IF($AG91="","",INDEX('04_調査結果'!$AR$5:$AR$404,$AG91))</f>
        <v/>
      </c>
      <c r="U91">
        <f>IF($AG91="","",INDEX('04_調査結果'!$N$5:$N$404,$AG91)&amp;"")</f>
        <v/>
      </c>
      <c r="V91">
        <f>IF($AG91="","",INDEX('04_調査結果'!$O$5:$O$404,$AG91))</f>
        <v/>
      </c>
      <c r="W91">
        <f>IF($AG91="","",INDEX('04_調査結果'!$P$5:$P$404,$AG91))</f>
        <v/>
      </c>
      <c r="X91">
        <f>IF($AG91="","",INDEX('04_調査結果'!$Q$5:$Q$404,$AG91))</f>
        <v/>
      </c>
      <c r="Y91">
        <f>IF($AG91="","",INDEX('04_調査結果'!$R$5:$R$404,$AG91))</f>
        <v/>
      </c>
      <c r="Z91">
        <f>IF($AG91="","",INDEX('04_調査結果'!$S$5:$S$404,$AG91))</f>
        <v/>
      </c>
      <c r="AA91">
        <f>IF($AG91="","",INDEX('04_調査結果'!$T$5:$T$404,$AG91))</f>
        <v/>
      </c>
      <c r="AB91">
        <f>IF($AG91="","",INDEX('04_調査結果'!$U$5:$U$404,$AG91))</f>
        <v/>
      </c>
      <c r="AC91">
        <f>IF($AG91="","",INDEX('04_調査結果'!$AF$5:$AF$404,$AG91))</f>
        <v/>
      </c>
      <c r="AD91">
        <f>IF($AG91="","",INDEX('04_調査結果'!$AC$5:$AC$404,$AG91)&amp;"")</f>
        <v/>
      </c>
      <c r="AE91">
        <f>IF($AG91="","",INDEX('04_調査結果'!$V$5:$V$404,$AG91)&amp;"")</f>
        <v/>
      </c>
      <c r="AF91">
        <f>IF($AG91="","",INDEX('04_調査結果'!$X$5:$X$404,$AG91)&amp;"")</f>
        <v/>
      </c>
      <c r="AG91" s="34">
        <f>IFERROR(MATCH(ROW()-4,'04_調査結果'!$AT$5:$AT$404,0),"")</f>
        <v/>
      </c>
    </row>
    <row r="92">
      <c r="A92">
        <f>IF($AG92="","",'01_設定'!$C$4)</f>
        <v/>
      </c>
      <c r="B92">
        <f>IF($AG92="","",'01_設定'!$C$5)</f>
        <v/>
      </c>
      <c r="C92">
        <f>IF($AG92="","",'01_設定'!$C$6)</f>
        <v/>
      </c>
      <c r="D92" s="36">
        <f>IF($AG92="","",'01_設定'!$C$22)</f>
        <v/>
      </c>
      <c r="E92" s="36">
        <f>IF($AG92="","",'01_設定'!$C$23)</f>
        <v/>
      </c>
      <c r="F92">
        <f>IF($AG92="","",'01_設定'!$C$32)</f>
        <v/>
      </c>
      <c r="G92">
        <f>IF($AG92="","",ROW()-4)</f>
        <v/>
      </c>
      <c r="H92">
        <f>IF($AG92="","",INDEX('04_調査結果'!$AJ$5:$AJ$404,$AG92))</f>
        <v/>
      </c>
      <c r="I92">
        <f>IF($AG92="","",INDEX('04_調査結果'!$D$5:$D$404,$AG92)&amp;"")</f>
        <v/>
      </c>
      <c r="J92">
        <f>IF($AG92="","",INDEX('04_調査結果'!$AK$5:$AK$404,$AG92)&amp;"")</f>
        <v/>
      </c>
      <c r="K92">
        <f>IF($AG92="","",IFERROR(INDEX('M1_類型マスタ'!$B$5:$B$19,MATCH(J92,'M1_類型マスタ'!$A$5:$A$19,0)),""))</f>
        <v/>
      </c>
      <c r="L92">
        <f>IF($AG92="","",INDEX('04_調査結果'!$F$5:$F$404,$AG92)&amp;"")</f>
        <v/>
      </c>
      <c r="M92">
        <f>IF($AG92="","",INDEX('04_調査結果'!$G$5:$G$404,$AG92)&amp;"")</f>
        <v/>
      </c>
      <c r="N92">
        <f>IF($AG92="","",INDEX('04_調査結果'!$H$5:$H$404,$AG92)&amp;"")</f>
        <v/>
      </c>
      <c r="O92" s="33">
        <f>IF($AG92="","",IF(INDEX('04_調査結果'!$Z$5:$Z$404,$AG92)&lt;&gt;"",INDEX('04_調査結果'!$Z$5:$Z$404,$AG92),INDEX('04_調査結果'!$AM$5:$AM$404,$AG92)))</f>
        <v/>
      </c>
      <c r="P92" s="33">
        <f>IF($AG92="","",IF(INDEX('04_調査結果'!$AA$5:$AA$404,$AG92)&lt;&gt;"",INDEX('04_調査結果'!$AA$5:$AA$404,$AG92),INDEX('04_調査結果'!$AN$5:$AN$404,$AG92)))</f>
        <v/>
      </c>
      <c r="Q92" s="33">
        <f>IF($AG92="","",INDEX('04_調査結果'!$AD$5:$AD$404,$AG92))</f>
        <v/>
      </c>
      <c r="R92">
        <f>IF($AG92="","",INDEX('04_調査結果'!$AO$5:$AO$404,$AG92))</f>
        <v/>
      </c>
      <c r="S92" s="37">
        <f>IF($AG92="","",INDEX('04_調査結果'!$AQ$5:$AQ$404,$AG92))</f>
        <v/>
      </c>
      <c r="T92" s="37">
        <f>IF($AG92="","",INDEX('04_調査結果'!$AR$5:$AR$404,$AG92))</f>
        <v/>
      </c>
      <c r="U92">
        <f>IF($AG92="","",INDEX('04_調査結果'!$N$5:$N$404,$AG92)&amp;"")</f>
        <v/>
      </c>
      <c r="V92">
        <f>IF($AG92="","",INDEX('04_調査結果'!$O$5:$O$404,$AG92))</f>
        <v/>
      </c>
      <c r="W92">
        <f>IF($AG92="","",INDEX('04_調査結果'!$P$5:$P$404,$AG92))</f>
        <v/>
      </c>
      <c r="X92">
        <f>IF($AG92="","",INDEX('04_調査結果'!$Q$5:$Q$404,$AG92))</f>
        <v/>
      </c>
      <c r="Y92">
        <f>IF($AG92="","",INDEX('04_調査結果'!$R$5:$R$404,$AG92))</f>
        <v/>
      </c>
      <c r="Z92">
        <f>IF($AG92="","",INDEX('04_調査結果'!$S$5:$S$404,$AG92))</f>
        <v/>
      </c>
      <c r="AA92">
        <f>IF($AG92="","",INDEX('04_調査結果'!$T$5:$T$404,$AG92))</f>
        <v/>
      </c>
      <c r="AB92">
        <f>IF($AG92="","",INDEX('04_調査結果'!$U$5:$U$404,$AG92))</f>
        <v/>
      </c>
      <c r="AC92">
        <f>IF($AG92="","",INDEX('04_調査結果'!$AF$5:$AF$404,$AG92))</f>
        <v/>
      </c>
      <c r="AD92">
        <f>IF($AG92="","",INDEX('04_調査結果'!$AC$5:$AC$404,$AG92)&amp;"")</f>
        <v/>
      </c>
      <c r="AE92">
        <f>IF($AG92="","",INDEX('04_調査結果'!$V$5:$V$404,$AG92)&amp;"")</f>
        <v/>
      </c>
      <c r="AF92">
        <f>IF($AG92="","",INDEX('04_調査結果'!$X$5:$X$404,$AG92)&amp;"")</f>
        <v/>
      </c>
      <c r="AG92" s="34">
        <f>IFERROR(MATCH(ROW()-4,'04_調査結果'!$AT$5:$AT$404,0),"")</f>
        <v/>
      </c>
    </row>
    <row r="93">
      <c r="A93">
        <f>IF($AG93="","",'01_設定'!$C$4)</f>
        <v/>
      </c>
      <c r="B93">
        <f>IF($AG93="","",'01_設定'!$C$5)</f>
        <v/>
      </c>
      <c r="C93">
        <f>IF($AG93="","",'01_設定'!$C$6)</f>
        <v/>
      </c>
      <c r="D93" s="36">
        <f>IF($AG93="","",'01_設定'!$C$22)</f>
        <v/>
      </c>
      <c r="E93" s="36">
        <f>IF($AG93="","",'01_設定'!$C$23)</f>
        <v/>
      </c>
      <c r="F93">
        <f>IF($AG93="","",'01_設定'!$C$32)</f>
        <v/>
      </c>
      <c r="G93">
        <f>IF($AG93="","",ROW()-4)</f>
        <v/>
      </c>
      <c r="H93">
        <f>IF($AG93="","",INDEX('04_調査結果'!$AJ$5:$AJ$404,$AG93))</f>
        <v/>
      </c>
      <c r="I93">
        <f>IF($AG93="","",INDEX('04_調査結果'!$D$5:$D$404,$AG93)&amp;"")</f>
        <v/>
      </c>
      <c r="J93">
        <f>IF($AG93="","",INDEX('04_調査結果'!$AK$5:$AK$404,$AG93)&amp;"")</f>
        <v/>
      </c>
      <c r="K93">
        <f>IF($AG93="","",IFERROR(INDEX('M1_類型マスタ'!$B$5:$B$19,MATCH(J93,'M1_類型マスタ'!$A$5:$A$19,0)),""))</f>
        <v/>
      </c>
      <c r="L93">
        <f>IF($AG93="","",INDEX('04_調査結果'!$F$5:$F$404,$AG93)&amp;"")</f>
        <v/>
      </c>
      <c r="M93">
        <f>IF($AG93="","",INDEX('04_調査結果'!$G$5:$G$404,$AG93)&amp;"")</f>
        <v/>
      </c>
      <c r="N93">
        <f>IF($AG93="","",INDEX('04_調査結果'!$H$5:$H$404,$AG93)&amp;"")</f>
        <v/>
      </c>
      <c r="O93" s="33">
        <f>IF($AG93="","",IF(INDEX('04_調査結果'!$Z$5:$Z$404,$AG93)&lt;&gt;"",INDEX('04_調査結果'!$Z$5:$Z$404,$AG93),INDEX('04_調査結果'!$AM$5:$AM$404,$AG93)))</f>
        <v/>
      </c>
      <c r="P93" s="33">
        <f>IF($AG93="","",IF(INDEX('04_調査結果'!$AA$5:$AA$404,$AG93)&lt;&gt;"",INDEX('04_調査結果'!$AA$5:$AA$404,$AG93),INDEX('04_調査結果'!$AN$5:$AN$404,$AG93)))</f>
        <v/>
      </c>
      <c r="Q93" s="33">
        <f>IF($AG93="","",INDEX('04_調査結果'!$AD$5:$AD$404,$AG93))</f>
        <v/>
      </c>
      <c r="R93">
        <f>IF($AG93="","",INDEX('04_調査結果'!$AO$5:$AO$404,$AG93))</f>
        <v/>
      </c>
      <c r="S93" s="37">
        <f>IF($AG93="","",INDEX('04_調査結果'!$AQ$5:$AQ$404,$AG93))</f>
        <v/>
      </c>
      <c r="T93" s="37">
        <f>IF($AG93="","",INDEX('04_調査結果'!$AR$5:$AR$404,$AG93))</f>
        <v/>
      </c>
      <c r="U93">
        <f>IF($AG93="","",INDEX('04_調査結果'!$N$5:$N$404,$AG93)&amp;"")</f>
        <v/>
      </c>
      <c r="V93">
        <f>IF($AG93="","",INDEX('04_調査結果'!$O$5:$O$404,$AG93))</f>
        <v/>
      </c>
      <c r="W93">
        <f>IF($AG93="","",INDEX('04_調査結果'!$P$5:$P$404,$AG93))</f>
        <v/>
      </c>
      <c r="X93">
        <f>IF($AG93="","",INDEX('04_調査結果'!$Q$5:$Q$404,$AG93))</f>
        <v/>
      </c>
      <c r="Y93">
        <f>IF($AG93="","",INDEX('04_調査結果'!$R$5:$R$404,$AG93))</f>
        <v/>
      </c>
      <c r="Z93">
        <f>IF($AG93="","",INDEX('04_調査結果'!$S$5:$S$404,$AG93))</f>
        <v/>
      </c>
      <c r="AA93">
        <f>IF($AG93="","",INDEX('04_調査結果'!$T$5:$T$404,$AG93))</f>
        <v/>
      </c>
      <c r="AB93">
        <f>IF($AG93="","",INDEX('04_調査結果'!$U$5:$U$404,$AG93))</f>
        <v/>
      </c>
      <c r="AC93">
        <f>IF($AG93="","",INDEX('04_調査結果'!$AF$5:$AF$404,$AG93))</f>
        <v/>
      </c>
      <c r="AD93">
        <f>IF($AG93="","",INDEX('04_調査結果'!$AC$5:$AC$404,$AG93)&amp;"")</f>
        <v/>
      </c>
      <c r="AE93">
        <f>IF($AG93="","",INDEX('04_調査結果'!$V$5:$V$404,$AG93)&amp;"")</f>
        <v/>
      </c>
      <c r="AF93">
        <f>IF($AG93="","",INDEX('04_調査結果'!$X$5:$X$404,$AG93)&amp;"")</f>
        <v/>
      </c>
      <c r="AG93" s="34">
        <f>IFERROR(MATCH(ROW()-4,'04_調査結果'!$AT$5:$AT$404,0),"")</f>
        <v/>
      </c>
    </row>
    <row r="94">
      <c r="A94">
        <f>IF($AG94="","",'01_設定'!$C$4)</f>
        <v/>
      </c>
      <c r="B94">
        <f>IF($AG94="","",'01_設定'!$C$5)</f>
        <v/>
      </c>
      <c r="C94">
        <f>IF($AG94="","",'01_設定'!$C$6)</f>
        <v/>
      </c>
      <c r="D94" s="36">
        <f>IF($AG94="","",'01_設定'!$C$22)</f>
        <v/>
      </c>
      <c r="E94" s="36">
        <f>IF($AG94="","",'01_設定'!$C$23)</f>
        <v/>
      </c>
      <c r="F94">
        <f>IF($AG94="","",'01_設定'!$C$32)</f>
        <v/>
      </c>
      <c r="G94">
        <f>IF($AG94="","",ROW()-4)</f>
        <v/>
      </c>
      <c r="H94">
        <f>IF($AG94="","",INDEX('04_調査結果'!$AJ$5:$AJ$404,$AG94))</f>
        <v/>
      </c>
      <c r="I94">
        <f>IF($AG94="","",INDEX('04_調査結果'!$D$5:$D$404,$AG94)&amp;"")</f>
        <v/>
      </c>
      <c r="J94">
        <f>IF($AG94="","",INDEX('04_調査結果'!$AK$5:$AK$404,$AG94)&amp;"")</f>
        <v/>
      </c>
      <c r="K94">
        <f>IF($AG94="","",IFERROR(INDEX('M1_類型マスタ'!$B$5:$B$19,MATCH(J94,'M1_類型マスタ'!$A$5:$A$19,0)),""))</f>
        <v/>
      </c>
      <c r="L94">
        <f>IF($AG94="","",INDEX('04_調査結果'!$F$5:$F$404,$AG94)&amp;"")</f>
        <v/>
      </c>
      <c r="M94">
        <f>IF($AG94="","",INDEX('04_調査結果'!$G$5:$G$404,$AG94)&amp;"")</f>
        <v/>
      </c>
      <c r="N94">
        <f>IF($AG94="","",INDEX('04_調査結果'!$H$5:$H$404,$AG94)&amp;"")</f>
        <v/>
      </c>
      <c r="O94" s="33">
        <f>IF($AG94="","",IF(INDEX('04_調査結果'!$Z$5:$Z$404,$AG94)&lt;&gt;"",INDEX('04_調査結果'!$Z$5:$Z$404,$AG94),INDEX('04_調査結果'!$AM$5:$AM$404,$AG94)))</f>
        <v/>
      </c>
      <c r="P94" s="33">
        <f>IF($AG94="","",IF(INDEX('04_調査結果'!$AA$5:$AA$404,$AG94)&lt;&gt;"",INDEX('04_調査結果'!$AA$5:$AA$404,$AG94),INDEX('04_調査結果'!$AN$5:$AN$404,$AG94)))</f>
        <v/>
      </c>
      <c r="Q94" s="33">
        <f>IF($AG94="","",INDEX('04_調査結果'!$AD$5:$AD$404,$AG94))</f>
        <v/>
      </c>
      <c r="R94">
        <f>IF($AG94="","",INDEX('04_調査結果'!$AO$5:$AO$404,$AG94))</f>
        <v/>
      </c>
      <c r="S94" s="37">
        <f>IF($AG94="","",INDEX('04_調査結果'!$AQ$5:$AQ$404,$AG94))</f>
        <v/>
      </c>
      <c r="T94" s="37">
        <f>IF($AG94="","",INDEX('04_調査結果'!$AR$5:$AR$404,$AG94))</f>
        <v/>
      </c>
      <c r="U94">
        <f>IF($AG94="","",INDEX('04_調査結果'!$N$5:$N$404,$AG94)&amp;"")</f>
        <v/>
      </c>
      <c r="V94">
        <f>IF($AG94="","",INDEX('04_調査結果'!$O$5:$O$404,$AG94))</f>
        <v/>
      </c>
      <c r="W94">
        <f>IF($AG94="","",INDEX('04_調査結果'!$P$5:$P$404,$AG94))</f>
        <v/>
      </c>
      <c r="X94">
        <f>IF($AG94="","",INDEX('04_調査結果'!$Q$5:$Q$404,$AG94))</f>
        <v/>
      </c>
      <c r="Y94">
        <f>IF($AG94="","",INDEX('04_調査結果'!$R$5:$R$404,$AG94))</f>
        <v/>
      </c>
      <c r="Z94">
        <f>IF($AG94="","",INDEX('04_調査結果'!$S$5:$S$404,$AG94))</f>
        <v/>
      </c>
      <c r="AA94">
        <f>IF($AG94="","",INDEX('04_調査結果'!$T$5:$T$404,$AG94))</f>
        <v/>
      </c>
      <c r="AB94">
        <f>IF($AG94="","",INDEX('04_調査結果'!$U$5:$U$404,$AG94))</f>
        <v/>
      </c>
      <c r="AC94">
        <f>IF($AG94="","",INDEX('04_調査結果'!$AF$5:$AF$404,$AG94))</f>
        <v/>
      </c>
      <c r="AD94">
        <f>IF($AG94="","",INDEX('04_調査結果'!$AC$5:$AC$404,$AG94)&amp;"")</f>
        <v/>
      </c>
      <c r="AE94">
        <f>IF($AG94="","",INDEX('04_調査結果'!$V$5:$V$404,$AG94)&amp;"")</f>
        <v/>
      </c>
      <c r="AF94">
        <f>IF($AG94="","",INDEX('04_調査結果'!$X$5:$X$404,$AG94)&amp;"")</f>
        <v/>
      </c>
      <c r="AG94" s="34">
        <f>IFERROR(MATCH(ROW()-4,'04_調査結果'!$AT$5:$AT$404,0),"")</f>
        <v/>
      </c>
    </row>
    <row r="95">
      <c r="A95">
        <f>IF($AG95="","",'01_設定'!$C$4)</f>
        <v/>
      </c>
      <c r="B95">
        <f>IF($AG95="","",'01_設定'!$C$5)</f>
        <v/>
      </c>
      <c r="C95">
        <f>IF($AG95="","",'01_設定'!$C$6)</f>
        <v/>
      </c>
      <c r="D95" s="36">
        <f>IF($AG95="","",'01_設定'!$C$22)</f>
        <v/>
      </c>
      <c r="E95" s="36">
        <f>IF($AG95="","",'01_設定'!$C$23)</f>
        <v/>
      </c>
      <c r="F95">
        <f>IF($AG95="","",'01_設定'!$C$32)</f>
        <v/>
      </c>
      <c r="G95">
        <f>IF($AG95="","",ROW()-4)</f>
        <v/>
      </c>
      <c r="H95">
        <f>IF($AG95="","",INDEX('04_調査結果'!$AJ$5:$AJ$404,$AG95))</f>
        <v/>
      </c>
      <c r="I95">
        <f>IF($AG95="","",INDEX('04_調査結果'!$D$5:$D$404,$AG95)&amp;"")</f>
        <v/>
      </c>
      <c r="J95">
        <f>IF($AG95="","",INDEX('04_調査結果'!$AK$5:$AK$404,$AG95)&amp;"")</f>
        <v/>
      </c>
      <c r="K95">
        <f>IF($AG95="","",IFERROR(INDEX('M1_類型マスタ'!$B$5:$B$19,MATCH(J95,'M1_類型マスタ'!$A$5:$A$19,0)),""))</f>
        <v/>
      </c>
      <c r="L95">
        <f>IF($AG95="","",INDEX('04_調査結果'!$F$5:$F$404,$AG95)&amp;"")</f>
        <v/>
      </c>
      <c r="M95">
        <f>IF($AG95="","",INDEX('04_調査結果'!$G$5:$G$404,$AG95)&amp;"")</f>
        <v/>
      </c>
      <c r="N95">
        <f>IF($AG95="","",INDEX('04_調査結果'!$H$5:$H$404,$AG95)&amp;"")</f>
        <v/>
      </c>
      <c r="O95" s="33">
        <f>IF($AG95="","",IF(INDEX('04_調査結果'!$Z$5:$Z$404,$AG95)&lt;&gt;"",INDEX('04_調査結果'!$Z$5:$Z$404,$AG95),INDEX('04_調査結果'!$AM$5:$AM$404,$AG95)))</f>
        <v/>
      </c>
      <c r="P95" s="33">
        <f>IF($AG95="","",IF(INDEX('04_調査結果'!$AA$5:$AA$404,$AG95)&lt;&gt;"",INDEX('04_調査結果'!$AA$5:$AA$404,$AG95),INDEX('04_調査結果'!$AN$5:$AN$404,$AG95)))</f>
        <v/>
      </c>
      <c r="Q95" s="33">
        <f>IF($AG95="","",INDEX('04_調査結果'!$AD$5:$AD$404,$AG95))</f>
        <v/>
      </c>
      <c r="R95">
        <f>IF($AG95="","",INDEX('04_調査結果'!$AO$5:$AO$404,$AG95))</f>
        <v/>
      </c>
      <c r="S95" s="37">
        <f>IF($AG95="","",INDEX('04_調査結果'!$AQ$5:$AQ$404,$AG95))</f>
        <v/>
      </c>
      <c r="T95" s="37">
        <f>IF($AG95="","",INDEX('04_調査結果'!$AR$5:$AR$404,$AG95))</f>
        <v/>
      </c>
      <c r="U95">
        <f>IF($AG95="","",INDEX('04_調査結果'!$N$5:$N$404,$AG95)&amp;"")</f>
        <v/>
      </c>
      <c r="V95">
        <f>IF($AG95="","",INDEX('04_調査結果'!$O$5:$O$404,$AG95))</f>
        <v/>
      </c>
      <c r="W95">
        <f>IF($AG95="","",INDEX('04_調査結果'!$P$5:$P$404,$AG95))</f>
        <v/>
      </c>
      <c r="X95">
        <f>IF($AG95="","",INDEX('04_調査結果'!$Q$5:$Q$404,$AG95))</f>
        <v/>
      </c>
      <c r="Y95">
        <f>IF($AG95="","",INDEX('04_調査結果'!$R$5:$R$404,$AG95))</f>
        <v/>
      </c>
      <c r="Z95">
        <f>IF($AG95="","",INDEX('04_調査結果'!$S$5:$S$404,$AG95))</f>
        <v/>
      </c>
      <c r="AA95">
        <f>IF($AG95="","",INDEX('04_調査結果'!$T$5:$T$404,$AG95))</f>
        <v/>
      </c>
      <c r="AB95">
        <f>IF($AG95="","",INDEX('04_調査結果'!$U$5:$U$404,$AG95))</f>
        <v/>
      </c>
      <c r="AC95">
        <f>IF($AG95="","",INDEX('04_調査結果'!$AF$5:$AF$404,$AG95))</f>
        <v/>
      </c>
      <c r="AD95">
        <f>IF($AG95="","",INDEX('04_調査結果'!$AC$5:$AC$404,$AG95)&amp;"")</f>
        <v/>
      </c>
      <c r="AE95">
        <f>IF($AG95="","",INDEX('04_調査結果'!$V$5:$V$404,$AG95)&amp;"")</f>
        <v/>
      </c>
      <c r="AF95">
        <f>IF($AG95="","",INDEX('04_調査結果'!$X$5:$X$404,$AG95)&amp;"")</f>
        <v/>
      </c>
      <c r="AG95" s="34">
        <f>IFERROR(MATCH(ROW()-4,'04_調査結果'!$AT$5:$AT$404,0),"")</f>
        <v/>
      </c>
    </row>
    <row r="96">
      <c r="A96">
        <f>IF($AG96="","",'01_設定'!$C$4)</f>
        <v/>
      </c>
      <c r="B96">
        <f>IF($AG96="","",'01_設定'!$C$5)</f>
        <v/>
      </c>
      <c r="C96">
        <f>IF($AG96="","",'01_設定'!$C$6)</f>
        <v/>
      </c>
      <c r="D96" s="36">
        <f>IF($AG96="","",'01_設定'!$C$22)</f>
        <v/>
      </c>
      <c r="E96" s="36">
        <f>IF($AG96="","",'01_設定'!$C$23)</f>
        <v/>
      </c>
      <c r="F96">
        <f>IF($AG96="","",'01_設定'!$C$32)</f>
        <v/>
      </c>
      <c r="G96">
        <f>IF($AG96="","",ROW()-4)</f>
        <v/>
      </c>
      <c r="H96">
        <f>IF($AG96="","",INDEX('04_調査結果'!$AJ$5:$AJ$404,$AG96))</f>
        <v/>
      </c>
      <c r="I96">
        <f>IF($AG96="","",INDEX('04_調査結果'!$D$5:$D$404,$AG96)&amp;"")</f>
        <v/>
      </c>
      <c r="J96">
        <f>IF($AG96="","",INDEX('04_調査結果'!$AK$5:$AK$404,$AG96)&amp;"")</f>
        <v/>
      </c>
      <c r="K96">
        <f>IF($AG96="","",IFERROR(INDEX('M1_類型マスタ'!$B$5:$B$19,MATCH(J96,'M1_類型マスタ'!$A$5:$A$19,0)),""))</f>
        <v/>
      </c>
      <c r="L96">
        <f>IF($AG96="","",INDEX('04_調査結果'!$F$5:$F$404,$AG96)&amp;"")</f>
        <v/>
      </c>
      <c r="M96">
        <f>IF($AG96="","",INDEX('04_調査結果'!$G$5:$G$404,$AG96)&amp;"")</f>
        <v/>
      </c>
      <c r="N96">
        <f>IF($AG96="","",INDEX('04_調査結果'!$H$5:$H$404,$AG96)&amp;"")</f>
        <v/>
      </c>
      <c r="O96" s="33">
        <f>IF($AG96="","",IF(INDEX('04_調査結果'!$Z$5:$Z$404,$AG96)&lt;&gt;"",INDEX('04_調査結果'!$Z$5:$Z$404,$AG96),INDEX('04_調査結果'!$AM$5:$AM$404,$AG96)))</f>
        <v/>
      </c>
      <c r="P96" s="33">
        <f>IF($AG96="","",IF(INDEX('04_調査結果'!$AA$5:$AA$404,$AG96)&lt;&gt;"",INDEX('04_調査結果'!$AA$5:$AA$404,$AG96),INDEX('04_調査結果'!$AN$5:$AN$404,$AG96)))</f>
        <v/>
      </c>
      <c r="Q96" s="33">
        <f>IF($AG96="","",INDEX('04_調査結果'!$AD$5:$AD$404,$AG96))</f>
        <v/>
      </c>
      <c r="R96">
        <f>IF($AG96="","",INDEX('04_調査結果'!$AO$5:$AO$404,$AG96))</f>
        <v/>
      </c>
      <c r="S96" s="37">
        <f>IF($AG96="","",INDEX('04_調査結果'!$AQ$5:$AQ$404,$AG96))</f>
        <v/>
      </c>
      <c r="T96" s="37">
        <f>IF($AG96="","",INDEX('04_調査結果'!$AR$5:$AR$404,$AG96))</f>
        <v/>
      </c>
      <c r="U96">
        <f>IF($AG96="","",INDEX('04_調査結果'!$N$5:$N$404,$AG96)&amp;"")</f>
        <v/>
      </c>
      <c r="V96">
        <f>IF($AG96="","",INDEX('04_調査結果'!$O$5:$O$404,$AG96))</f>
        <v/>
      </c>
      <c r="W96">
        <f>IF($AG96="","",INDEX('04_調査結果'!$P$5:$P$404,$AG96))</f>
        <v/>
      </c>
      <c r="X96">
        <f>IF($AG96="","",INDEX('04_調査結果'!$Q$5:$Q$404,$AG96))</f>
        <v/>
      </c>
      <c r="Y96">
        <f>IF($AG96="","",INDEX('04_調査結果'!$R$5:$R$404,$AG96))</f>
        <v/>
      </c>
      <c r="Z96">
        <f>IF($AG96="","",INDEX('04_調査結果'!$S$5:$S$404,$AG96))</f>
        <v/>
      </c>
      <c r="AA96">
        <f>IF($AG96="","",INDEX('04_調査結果'!$T$5:$T$404,$AG96))</f>
        <v/>
      </c>
      <c r="AB96">
        <f>IF($AG96="","",INDEX('04_調査結果'!$U$5:$U$404,$AG96))</f>
        <v/>
      </c>
      <c r="AC96">
        <f>IF($AG96="","",INDEX('04_調査結果'!$AF$5:$AF$404,$AG96))</f>
        <v/>
      </c>
      <c r="AD96">
        <f>IF($AG96="","",INDEX('04_調査結果'!$AC$5:$AC$404,$AG96)&amp;"")</f>
        <v/>
      </c>
      <c r="AE96">
        <f>IF($AG96="","",INDEX('04_調査結果'!$V$5:$V$404,$AG96)&amp;"")</f>
        <v/>
      </c>
      <c r="AF96">
        <f>IF($AG96="","",INDEX('04_調査結果'!$X$5:$X$404,$AG96)&amp;"")</f>
        <v/>
      </c>
      <c r="AG96" s="34">
        <f>IFERROR(MATCH(ROW()-4,'04_調査結果'!$AT$5:$AT$404,0),"")</f>
        <v/>
      </c>
    </row>
    <row r="97">
      <c r="A97">
        <f>IF($AG97="","",'01_設定'!$C$4)</f>
        <v/>
      </c>
      <c r="B97">
        <f>IF($AG97="","",'01_設定'!$C$5)</f>
        <v/>
      </c>
      <c r="C97">
        <f>IF($AG97="","",'01_設定'!$C$6)</f>
        <v/>
      </c>
      <c r="D97" s="36">
        <f>IF($AG97="","",'01_設定'!$C$22)</f>
        <v/>
      </c>
      <c r="E97" s="36">
        <f>IF($AG97="","",'01_設定'!$C$23)</f>
        <v/>
      </c>
      <c r="F97">
        <f>IF($AG97="","",'01_設定'!$C$32)</f>
        <v/>
      </c>
      <c r="G97">
        <f>IF($AG97="","",ROW()-4)</f>
        <v/>
      </c>
      <c r="H97">
        <f>IF($AG97="","",INDEX('04_調査結果'!$AJ$5:$AJ$404,$AG97))</f>
        <v/>
      </c>
      <c r="I97">
        <f>IF($AG97="","",INDEX('04_調査結果'!$D$5:$D$404,$AG97)&amp;"")</f>
        <v/>
      </c>
      <c r="J97">
        <f>IF($AG97="","",INDEX('04_調査結果'!$AK$5:$AK$404,$AG97)&amp;"")</f>
        <v/>
      </c>
      <c r="K97">
        <f>IF($AG97="","",IFERROR(INDEX('M1_類型マスタ'!$B$5:$B$19,MATCH(J97,'M1_類型マスタ'!$A$5:$A$19,0)),""))</f>
        <v/>
      </c>
      <c r="L97">
        <f>IF($AG97="","",INDEX('04_調査結果'!$F$5:$F$404,$AG97)&amp;"")</f>
        <v/>
      </c>
      <c r="M97">
        <f>IF($AG97="","",INDEX('04_調査結果'!$G$5:$G$404,$AG97)&amp;"")</f>
        <v/>
      </c>
      <c r="N97">
        <f>IF($AG97="","",INDEX('04_調査結果'!$H$5:$H$404,$AG97)&amp;"")</f>
        <v/>
      </c>
      <c r="O97" s="33">
        <f>IF($AG97="","",IF(INDEX('04_調査結果'!$Z$5:$Z$404,$AG97)&lt;&gt;"",INDEX('04_調査結果'!$Z$5:$Z$404,$AG97),INDEX('04_調査結果'!$AM$5:$AM$404,$AG97)))</f>
        <v/>
      </c>
      <c r="P97" s="33">
        <f>IF($AG97="","",IF(INDEX('04_調査結果'!$AA$5:$AA$404,$AG97)&lt;&gt;"",INDEX('04_調査結果'!$AA$5:$AA$404,$AG97),INDEX('04_調査結果'!$AN$5:$AN$404,$AG97)))</f>
        <v/>
      </c>
      <c r="Q97" s="33">
        <f>IF($AG97="","",INDEX('04_調査結果'!$AD$5:$AD$404,$AG97))</f>
        <v/>
      </c>
      <c r="R97">
        <f>IF($AG97="","",INDEX('04_調査結果'!$AO$5:$AO$404,$AG97))</f>
        <v/>
      </c>
      <c r="S97" s="37">
        <f>IF($AG97="","",INDEX('04_調査結果'!$AQ$5:$AQ$404,$AG97))</f>
        <v/>
      </c>
      <c r="T97" s="37">
        <f>IF($AG97="","",INDEX('04_調査結果'!$AR$5:$AR$404,$AG97))</f>
        <v/>
      </c>
      <c r="U97">
        <f>IF($AG97="","",INDEX('04_調査結果'!$N$5:$N$404,$AG97)&amp;"")</f>
        <v/>
      </c>
      <c r="V97">
        <f>IF($AG97="","",INDEX('04_調査結果'!$O$5:$O$404,$AG97))</f>
        <v/>
      </c>
      <c r="W97">
        <f>IF($AG97="","",INDEX('04_調査結果'!$P$5:$P$404,$AG97))</f>
        <v/>
      </c>
      <c r="X97">
        <f>IF($AG97="","",INDEX('04_調査結果'!$Q$5:$Q$404,$AG97))</f>
        <v/>
      </c>
      <c r="Y97">
        <f>IF($AG97="","",INDEX('04_調査結果'!$R$5:$R$404,$AG97))</f>
        <v/>
      </c>
      <c r="Z97">
        <f>IF($AG97="","",INDEX('04_調査結果'!$S$5:$S$404,$AG97))</f>
        <v/>
      </c>
      <c r="AA97">
        <f>IF($AG97="","",INDEX('04_調査結果'!$T$5:$T$404,$AG97))</f>
        <v/>
      </c>
      <c r="AB97">
        <f>IF($AG97="","",INDEX('04_調査結果'!$U$5:$U$404,$AG97))</f>
        <v/>
      </c>
      <c r="AC97">
        <f>IF($AG97="","",INDEX('04_調査結果'!$AF$5:$AF$404,$AG97))</f>
        <v/>
      </c>
      <c r="AD97">
        <f>IF($AG97="","",INDEX('04_調査結果'!$AC$5:$AC$404,$AG97)&amp;"")</f>
        <v/>
      </c>
      <c r="AE97">
        <f>IF($AG97="","",INDEX('04_調査結果'!$V$5:$V$404,$AG97)&amp;"")</f>
        <v/>
      </c>
      <c r="AF97">
        <f>IF($AG97="","",INDEX('04_調査結果'!$X$5:$X$404,$AG97)&amp;"")</f>
        <v/>
      </c>
      <c r="AG97" s="34">
        <f>IFERROR(MATCH(ROW()-4,'04_調査結果'!$AT$5:$AT$404,0),"")</f>
        <v/>
      </c>
    </row>
    <row r="98">
      <c r="A98">
        <f>IF($AG98="","",'01_設定'!$C$4)</f>
        <v/>
      </c>
      <c r="B98">
        <f>IF($AG98="","",'01_設定'!$C$5)</f>
        <v/>
      </c>
      <c r="C98">
        <f>IF($AG98="","",'01_設定'!$C$6)</f>
        <v/>
      </c>
      <c r="D98" s="36">
        <f>IF($AG98="","",'01_設定'!$C$22)</f>
        <v/>
      </c>
      <c r="E98" s="36">
        <f>IF($AG98="","",'01_設定'!$C$23)</f>
        <v/>
      </c>
      <c r="F98">
        <f>IF($AG98="","",'01_設定'!$C$32)</f>
        <v/>
      </c>
      <c r="G98">
        <f>IF($AG98="","",ROW()-4)</f>
        <v/>
      </c>
      <c r="H98">
        <f>IF($AG98="","",INDEX('04_調査結果'!$AJ$5:$AJ$404,$AG98))</f>
        <v/>
      </c>
      <c r="I98">
        <f>IF($AG98="","",INDEX('04_調査結果'!$D$5:$D$404,$AG98)&amp;"")</f>
        <v/>
      </c>
      <c r="J98">
        <f>IF($AG98="","",INDEX('04_調査結果'!$AK$5:$AK$404,$AG98)&amp;"")</f>
        <v/>
      </c>
      <c r="K98">
        <f>IF($AG98="","",IFERROR(INDEX('M1_類型マスタ'!$B$5:$B$19,MATCH(J98,'M1_類型マスタ'!$A$5:$A$19,0)),""))</f>
        <v/>
      </c>
      <c r="L98">
        <f>IF($AG98="","",INDEX('04_調査結果'!$F$5:$F$404,$AG98)&amp;"")</f>
        <v/>
      </c>
      <c r="M98">
        <f>IF($AG98="","",INDEX('04_調査結果'!$G$5:$G$404,$AG98)&amp;"")</f>
        <v/>
      </c>
      <c r="N98">
        <f>IF($AG98="","",INDEX('04_調査結果'!$H$5:$H$404,$AG98)&amp;"")</f>
        <v/>
      </c>
      <c r="O98" s="33">
        <f>IF($AG98="","",IF(INDEX('04_調査結果'!$Z$5:$Z$404,$AG98)&lt;&gt;"",INDEX('04_調査結果'!$Z$5:$Z$404,$AG98),INDEX('04_調査結果'!$AM$5:$AM$404,$AG98)))</f>
        <v/>
      </c>
      <c r="P98" s="33">
        <f>IF($AG98="","",IF(INDEX('04_調査結果'!$AA$5:$AA$404,$AG98)&lt;&gt;"",INDEX('04_調査結果'!$AA$5:$AA$404,$AG98),INDEX('04_調査結果'!$AN$5:$AN$404,$AG98)))</f>
        <v/>
      </c>
      <c r="Q98" s="33">
        <f>IF($AG98="","",INDEX('04_調査結果'!$AD$5:$AD$404,$AG98))</f>
        <v/>
      </c>
      <c r="R98">
        <f>IF($AG98="","",INDEX('04_調査結果'!$AO$5:$AO$404,$AG98))</f>
        <v/>
      </c>
      <c r="S98" s="37">
        <f>IF($AG98="","",INDEX('04_調査結果'!$AQ$5:$AQ$404,$AG98))</f>
        <v/>
      </c>
      <c r="T98" s="37">
        <f>IF($AG98="","",INDEX('04_調査結果'!$AR$5:$AR$404,$AG98))</f>
        <v/>
      </c>
      <c r="U98">
        <f>IF($AG98="","",INDEX('04_調査結果'!$N$5:$N$404,$AG98)&amp;"")</f>
        <v/>
      </c>
      <c r="V98">
        <f>IF($AG98="","",INDEX('04_調査結果'!$O$5:$O$404,$AG98))</f>
        <v/>
      </c>
      <c r="W98">
        <f>IF($AG98="","",INDEX('04_調査結果'!$P$5:$P$404,$AG98))</f>
        <v/>
      </c>
      <c r="X98">
        <f>IF($AG98="","",INDEX('04_調査結果'!$Q$5:$Q$404,$AG98))</f>
        <v/>
      </c>
      <c r="Y98">
        <f>IF($AG98="","",INDEX('04_調査結果'!$R$5:$R$404,$AG98))</f>
        <v/>
      </c>
      <c r="Z98">
        <f>IF($AG98="","",INDEX('04_調査結果'!$S$5:$S$404,$AG98))</f>
        <v/>
      </c>
      <c r="AA98">
        <f>IF($AG98="","",INDEX('04_調査結果'!$T$5:$T$404,$AG98))</f>
        <v/>
      </c>
      <c r="AB98">
        <f>IF($AG98="","",INDEX('04_調査結果'!$U$5:$U$404,$AG98))</f>
        <v/>
      </c>
      <c r="AC98">
        <f>IF($AG98="","",INDEX('04_調査結果'!$AF$5:$AF$404,$AG98))</f>
        <v/>
      </c>
      <c r="AD98">
        <f>IF($AG98="","",INDEX('04_調査結果'!$AC$5:$AC$404,$AG98)&amp;"")</f>
        <v/>
      </c>
      <c r="AE98">
        <f>IF($AG98="","",INDEX('04_調査結果'!$V$5:$V$404,$AG98)&amp;"")</f>
        <v/>
      </c>
      <c r="AF98">
        <f>IF($AG98="","",INDEX('04_調査結果'!$X$5:$X$404,$AG98)&amp;"")</f>
        <v/>
      </c>
      <c r="AG98" s="34">
        <f>IFERROR(MATCH(ROW()-4,'04_調査結果'!$AT$5:$AT$404,0),"")</f>
        <v/>
      </c>
    </row>
    <row r="99">
      <c r="A99">
        <f>IF($AG99="","",'01_設定'!$C$4)</f>
        <v/>
      </c>
      <c r="B99">
        <f>IF($AG99="","",'01_設定'!$C$5)</f>
        <v/>
      </c>
      <c r="C99">
        <f>IF($AG99="","",'01_設定'!$C$6)</f>
        <v/>
      </c>
      <c r="D99" s="36">
        <f>IF($AG99="","",'01_設定'!$C$22)</f>
        <v/>
      </c>
      <c r="E99" s="36">
        <f>IF($AG99="","",'01_設定'!$C$23)</f>
        <v/>
      </c>
      <c r="F99">
        <f>IF($AG99="","",'01_設定'!$C$32)</f>
        <v/>
      </c>
      <c r="G99">
        <f>IF($AG99="","",ROW()-4)</f>
        <v/>
      </c>
      <c r="H99">
        <f>IF($AG99="","",INDEX('04_調査結果'!$AJ$5:$AJ$404,$AG99))</f>
        <v/>
      </c>
      <c r="I99">
        <f>IF($AG99="","",INDEX('04_調査結果'!$D$5:$D$404,$AG99)&amp;"")</f>
        <v/>
      </c>
      <c r="J99">
        <f>IF($AG99="","",INDEX('04_調査結果'!$AK$5:$AK$404,$AG99)&amp;"")</f>
        <v/>
      </c>
      <c r="K99">
        <f>IF($AG99="","",IFERROR(INDEX('M1_類型マスタ'!$B$5:$B$19,MATCH(J99,'M1_類型マスタ'!$A$5:$A$19,0)),""))</f>
        <v/>
      </c>
      <c r="L99">
        <f>IF($AG99="","",INDEX('04_調査結果'!$F$5:$F$404,$AG99)&amp;"")</f>
        <v/>
      </c>
      <c r="M99">
        <f>IF($AG99="","",INDEX('04_調査結果'!$G$5:$G$404,$AG99)&amp;"")</f>
        <v/>
      </c>
      <c r="N99">
        <f>IF($AG99="","",INDEX('04_調査結果'!$H$5:$H$404,$AG99)&amp;"")</f>
        <v/>
      </c>
      <c r="O99" s="33">
        <f>IF($AG99="","",IF(INDEX('04_調査結果'!$Z$5:$Z$404,$AG99)&lt;&gt;"",INDEX('04_調査結果'!$Z$5:$Z$404,$AG99),INDEX('04_調査結果'!$AM$5:$AM$404,$AG99)))</f>
        <v/>
      </c>
      <c r="P99" s="33">
        <f>IF($AG99="","",IF(INDEX('04_調査結果'!$AA$5:$AA$404,$AG99)&lt;&gt;"",INDEX('04_調査結果'!$AA$5:$AA$404,$AG99),INDEX('04_調査結果'!$AN$5:$AN$404,$AG99)))</f>
        <v/>
      </c>
      <c r="Q99" s="33">
        <f>IF($AG99="","",INDEX('04_調査結果'!$AD$5:$AD$404,$AG99))</f>
        <v/>
      </c>
      <c r="R99">
        <f>IF($AG99="","",INDEX('04_調査結果'!$AO$5:$AO$404,$AG99))</f>
        <v/>
      </c>
      <c r="S99" s="37">
        <f>IF($AG99="","",INDEX('04_調査結果'!$AQ$5:$AQ$404,$AG99))</f>
        <v/>
      </c>
      <c r="T99" s="37">
        <f>IF($AG99="","",INDEX('04_調査結果'!$AR$5:$AR$404,$AG99))</f>
        <v/>
      </c>
      <c r="U99">
        <f>IF($AG99="","",INDEX('04_調査結果'!$N$5:$N$404,$AG99)&amp;"")</f>
        <v/>
      </c>
      <c r="V99">
        <f>IF($AG99="","",INDEX('04_調査結果'!$O$5:$O$404,$AG99))</f>
        <v/>
      </c>
      <c r="W99">
        <f>IF($AG99="","",INDEX('04_調査結果'!$P$5:$P$404,$AG99))</f>
        <v/>
      </c>
      <c r="X99">
        <f>IF($AG99="","",INDEX('04_調査結果'!$Q$5:$Q$404,$AG99))</f>
        <v/>
      </c>
      <c r="Y99">
        <f>IF($AG99="","",INDEX('04_調査結果'!$R$5:$R$404,$AG99))</f>
        <v/>
      </c>
      <c r="Z99">
        <f>IF($AG99="","",INDEX('04_調査結果'!$S$5:$S$404,$AG99))</f>
        <v/>
      </c>
      <c r="AA99">
        <f>IF($AG99="","",INDEX('04_調査結果'!$T$5:$T$404,$AG99))</f>
        <v/>
      </c>
      <c r="AB99">
        <f>IF($AG99="","",INDEX('04_調査結果'!$U$5:$U$404,$AG99))</f>
        <v/>
      </c>
      <c r="AC99">
        <f>IF($AG99="","",INDEX('04_調査結果'!$AF$5:$AF$404,$AG99))</f>
        <v/>
      </c>
      <c r="AD99">
        <f>IF($AG99="","",INDEX('04_調査結果'!$AC$5:$AC$404,$AG99)&amp;"")</f>
        <v/>
      </c>
      <c r="AE99">
        <f>IF($AG99="","",INDEX('04_調査結果'!$V$5:$V$404,$AG99)&amp;"")</f>
        <v/>
      </c>
      <c r="AF99">
        <f>IF($AG99="","",INDEX('04_調査結果'!$X$5:$X$404,$AG99)&amp;"")</f>
        <v/>
      </c>
      <c r="AG99" s="34">
        <f>IFERROR(MATCH(ROW()-4,'04_調査結果'!$AT$5:$AT$404,0),"")</f>
        <v/>
      </c>
    </row>
    <row r="100">
      <c r="A100">
        <f>IF($AG100="","",'01_設定'!$C$4)</f>
        <v/>
      </c>
      <c r="B100">
        <f>IF($AG100="","",'01_設定'!$C$5)</f>
        <v/>
      </c>
      <c r="C100">
        <f>IF($AG100="","",'01_設定'!$C$6)</f>
        <v/>
      </c>
      <c r="D100" s="36">
        <f>IF($AG100="","",'01_設定'!$C$22)</f>
        <v/>
      </c>
      <c r="E100" s="36">
        <f>IF($AG100="","",'01_設定'!$C$23)</f>
        <v/>
      </c>
      <c r="F100">
        <f>IF($AG100="","",'01_設定'!$C$32)</f>
        <v/>
      </c>
      <c r="G100">
        <f>IF($AG100="","",ROW()-4)</f>
        <v/>
      </c>
      <c r="H100">
        <f>IF($AG100="","",INDEX('04_調査結果'!$AJ$5:$AJ$404,$AG100))</f>
        <v/>
      </c>
      <c r="I100">
        <f>IF($AG100="","",INDEX('04_調査結果'!$D$5:$D$404,$AG100)&amp;"")</f>
        <v/>
      </c>
      <c r="J100">
        <f>IF($AG100="","",INDEX('04_調査結果'!$AK$5:$AK$404,$AG100)&amp;"")</f>
        <v/>
      </c>
      <c r="K100">
        <f>IF($AG100="","",IFERROR(INDEX('M1_類型マスタ'!$B$5:$B$19,MATCH(J100,'M1_類型マスタ'!$A$5:$A$19,0)),""))</f>
        <v/>
      </c>
      <c r="L100">
        <f>IF($AG100="","",INDEX('04_調査結果'!$F$5:$F$404,$AG100)&amp;"")</f>
        <v/>
      </c>
      <c r="M100">
        <f>IF($AG100="","",INDEX('04_調査結果'!$G$5:$G$404,$AG100)&amp;"")</f>
        <v/>
      </c>
      <c r="N100">
        <f>IF($AG100="","",INDEX('04_調査結果'!$H$5:$H$404,$AG100)&amp;"")</f>
        <v/>
      </c>
      <c r="O100" s="33">
        <f>IF($AG100="","",IF(INDEX('04_調査結果'!$Z$5:$Z$404,$AG100)&lt;&gt;"",INDEX('04_調査結果'!$Z$5:$Z$404,$AG100),INDEX('04_調査結果'!$AM$5:$AM$404,$AG100)))</f>
        <v/>
      </c>
      <c r="P100" s="33">
        <f>IF($AG100="","",IF(INDEX('04_調査結果'!$AA$5:$AA$404,$AG100)&lt;&gt;"",INDEX('04_調査結果'!$AA$5:$AA$404,$AG100),INDEX('04_調査結果'!$AN$5:$AN$404,$AG100)))</f>
        <v/>
      </c>
      <c r="Q100" s="33">
        <f>IF($AG100="","",INDEX('04_調査結果'!$AD$5:$AD$404,$AG100))</f>
        <v/>
      </c>
      <c r="R100">
        <f>IF($AG100="","",INDEX('04_調査結果'!$AO$5:$AO$404,$AG100))</f>
        <v/>
      </c>
      <c r="S100" s="37">
        <f>IF($AG100="","",INDEX('04_調査結果'!$AQ$5:$AQ$404,$AG100))</f>
        <v/>
      </c>
      <c r="T100" s="37">
        <f>IF($AG100="","",INDEX('04_調査結果'!$AR$5:$AR$404,$AG100))</f>
        <v/>
      </c>
      <c r="U100">
        <f>IF($AG100="","",INDEX('04_調査結果'!$N$5:$N$404,$AG100)&amp;"")</f>
        <v/>
      </c>
      <c r="V100">
        <f>IF($AG100="","",INDEX('04_調査結果'!$O$5:$O$404,$AG100))</f>
        <v/>
      </c>
      <c r="W100">
        <f>IF($AG100="","",INDEX('04_調査結果'!$P$5:$P$404,$AG100))</f>
        <v/>
      </c>
      <c r="X100">
        <f>IF($AG100="","",INDEX('04_調査結果'!$Q$5:$Q$404,$AG100))</f>
        <v/>
      </c>
      <c r="Y100">
        <f>IF($AG100="","",INDEX('04_調査結果'!$R$5:$R$404,$AG100))</f>
        <v/>
      </c>
      <c r="Z100">
        <f>IF($AG100="","",INDEX('04_調査結果'!$S$5:$S$404,$AG100))</f>
        <v/>
      </c>
      <c r="AA100">
        <f>IF($AG100="","",INDEX('04_調査結果'!$T$5:$T$404,$AG100))</f>
        <v/>
      </c>
      <c r="AB100">
        <f>IF($AG100="","",INDEX('04_調査結果'!$U$5:$U$404,$AG100))</f>
        <v/>
      </c>
      <c r="AC100">
        <f>IF($AG100="","",INDEX('04_調査結果'!$AF$5:$AF$404,$AG100))</f>
        <v/>
      </c>
      <c r="AD100">
        <f>IF($AG100="","",INDEX('04_調査結果'!$AC$5:$AC$404,$AG100)&amp;"")</f>
        <v/>
      </c>
      <c r="AE100">
        <f>IF($AG100="","",INDEX('04_調査結果'!$V$5:$V$404,$AG100)&amp;"")</f>
        <v/>
      </c>
      <c r="AF100">
        <f>IF($AG100="","",INDEX('04_調査結果'!$X$5:$X$404,$AG100)&amp;"")</f>
        <v/>
      </c>
      <c r="AG100" s="34">
        <f>IFERROR(MATCH(ROW()-4,'04_調査結果'!$AT$5:$AT$404,0),"")</f>
        <v/>
      </c>
    </row>
    <row r="101">
      <c r="A101">
        <f>IF($AG101="","",'01_設定'!$C$4)</f>
        <v/>
      </c>
      <c r="B101">
        <f>IF($AG101="","",'01_設定'!$C$5)</f>
        <v/>
      </c>
      <c r="C101">
        <f>IF($AG101="","",'01_設定'!$C$6)</f>
        <v/>
      </c>
      <c r="D101" s="36">
        <f>IF($AG101="","",'01_設定'!$C$22)</f>
        <v/>
      </c>
      <c r="E101" s="36">
        <f>IF($AG101="","",'01_設定'!$C$23)</f>
        <v/>
      </c>
      <c r="F101">
        <f>IF($AG101="","",'01_設定'!$C$32)</f>
        <v/>
      </c>
      <c r="G101">
        <f>IF($AG101="","",ROW()-4)</f>
        <v/>
      </c>
      <c r="H101">
        <f>IF($AG101="","",INDEX('04_調査結果'!$AJ$5:$AJ$404,$AG101))</f>
        <v/>
      </c>
      <c r="I101">
        <f>IF($AG101="","",INDEX('04_調査結果'!$D$5:$D$404,$AG101)&amp;"")</f>
        <v/>
      </c>
      <c r="J101">
        <f>IF($AG101="","",INDEX('04_調査結果'!$AK$5:$AK$404,$AG101)&amp;"")</f>
        <v/>
      </c>
      <c r="K101">
        <f>IF($AG101="","",IFERROR(INDEX('M1_類型マスタ'!$B$5:$B$19,MATCH(J101,'M1_類型マスタ'!$A$5:$A$19,0)),""))</f>
        <v/>
      </c>
      <c r="L101">
        <f>IF($AG101="","",INDEX('04_調査結果'!$F$5:$F$404,$AG101)&amp;"")</f>
        <v/>
      </c>
      <c r="M101">
        <f>IF($AG101="","",INDEX('04_調査結果'!$G$5:$G$404,$AG101)&amp;"")</f>
        <v/>
      </c>
      <c r="N101">
        <f>IF($AG101="","",INDEX('04_調査結果'!$H$5:$H$404,$AG101)&amp;"")</f>
        <v/>
      </c>
      <c r="O101" s="33">
        <f>IF($AG101="","",IF(INDEX('04_調査結果'!$Z$5:$Z$404,$AG101)&lt;&gt;"",INDEX('04_調査結果'!$Z$5:$Z$404,$AG101),INDEX('04_調査結果'!$AM$5:$AM$404,$AG101)))</f>
        <v/>
      </c>
      <c r="P101" s="33">
        <f>IF($AG101="","",IF(INDEX('04_調査結果'!$AA$5:$AA$404,$AG101)&lt;&gt;"",INDEX('04_調査結果'!$AA$5:$AA$404,$AG101),INDEX('04_調査結果'!$AN$5:$AN$404,$AG101)))</f>
        <v/>
      </c>
      <c r="Q101" s="33">
        <f>IF($AG101="","",INDEX('04_調査結果'!$AD$5:$AD$404,$AG101))</f>
        <v/>
      </c>
      <c r="R101">
        <f>IF($AG101="","",INDEX('04_調査結果'!$AO$5:$AO$404,$AG101))</f>
        <v/>
      </c>
      <c r="S101" s="37">
        <f>IF($AG101="","",INDEX('04_調査結果'!$AQ$5:$AQ$404,$AG101))</f>
        <v/>
      </c>
      <c r="T101" s="37">
        <f>IF($AG101="","",INDEX('04_調査結果'!$AR$5:$AR$404,$AG101))</f>
        <v/>
      </c>
      <c r="U101">
        <f>IF($AG101="","",INDEX('04_調査結果'!$N$5:$N$404,$AG101)&amp;"")</f>
        <v/>
      </c>
      <c r="V101">
        <f>IF($AG101="","",INDEX('04_調査結果'!$O$5:$O$404,$AG101))</f>
        <v/>
      </c>
      <c r="W101">
        <f>IF($AG101="","",INDEX('04_調査結果'!$P$5:$P$404,$AG101))</f>
        <v/>
      </c>
      <c r="X101">
        <f>IF($AG101="","",INDEX('04_調査結果'!$Q$5:$Q$404,$AG101))</f>
        <v/>
      </c>
      <c r="Y101">
        <f>IF($AG101="","",INDEX('04_調査結果'!$R$5:$R$404,$AG101))</f>
        <v/>
      </c>
      <c r="Z101">
        <f>IF($AG101="","",INDEX('04_調査結果'!$S$5:$S$404,$AG101))</f>
        <v/>
      </c>
      <c r="AA101">
        <f>IF($AG101="","",INDEX('04_調査結果'!$T$5:$T$404,$AG101))</f>
        <v/>
      </c>
      <c r="AB101">
        <f>IF($AG101="","",INDEX('04_調査結果'!$U$5:$U$404,$AG101))</f>
        <v/>
      </c>
      <c r="AC101">
        <f>IF($AG101="","",INDEX('04_調査結果'!$AF$5:$AF$404,$AG101))</f>
        <v/>
      </c>
      <c r="AD101">
        <f>IF($AG101="","",INDEX('04_調査結果'!$AC$5:$AC$404,$AG101)&amp;"")</f>
        <v/>
      </c>
      <c r="AE101">
        <f>IF($AG101="","",INDEX('04_調査結果'!$V$5:$V$404,$AG101)&amp;"")</f>
        <v/>
      </c>
      <c r="AF101">
        <f>IF($AG101="","",INDEX('04_調査結果'!$X$5:$X$404,$AG101)&amp;"")</f>
        <v/>
      </c>
      <c r="AG101" s="34">
        <f>IFERROR(MATCH(ROW()-4,'04_調査結果'!$AT$5:$AT$404,0),"")</f>
        <v/>
      </c>
    </row>
    <row r="102">
      <c r="A102">
        <f>IF($AG102="","",'01_設定'!$C$4)</f>
        <v/>
      </c>
      <c r="B102">
        <f>IF($AG102="","",'01_設定'!$C$5)</f>
        <v/>
      </c>
      <c r="C102">
        <f>IF($AG102="","",'01_設定'!$C$6)</f>
        <v/>
      </c>
      <c r="D102" s="36">
        <f>IF($AG102="","",'01_設定'!$C$22)</f>
        <v/>
      </c>
      <c r="E102" s="36">
        <f>IF($AG102="","",'01_設定'!$C$23)</f>
        <v/>
      </c>
      <c r="F102">
        <f>IF($AG102="","",'01_設定'!$C$32)</f>
        <v/>
      </c>
      <c r="G102">
        <f>IF($AG102="","",ROW()-4)</f>
        <v/>
      </c>
      <c r="H102">
        <f>IF($AG102="","",INDEX('04_調査結果'!$AJ$5:$AJ$404,$AG102))</f>
        <v/>
      </c>
      <c r="I102">
        <f>IF($AG102="","",INDEX('04_調査結果'!$D$5:$D$404,$AG102)&amp;"")</f>
        <v/>
      </c>
      <c r="J102">
        <f>IF($AG102="","",INDEX('04_調査結果'!$AK$5:$AK$404,$AG102)&amp;"")</f>
        <v/>
      </c>
      <c r="K102">
        <f>IF($AG102="","",IFERROR(INDEX('M1_類型マスタ'!$B$5:$B$19,MATCH(J102,'M1_類型マスタ'!$A$5:$A$19,0)),""))</f>
        <v/>
      </c>
      <c r="L102">
        <f>IF($AG102="","",INDEX('04_調査結果'!$F$5:$F$404,$AG102)&amp;"")</f>
        <v/>
      </c>
      <c r="M102">
        <f>IF($AG102="","",INDEX('04_調査結果'!$G$5:$G$404,$AG102)&amp;"")</f>
        <v/>
      </c>
      <c r="N102">
        <f>IF($AG102="","",INDEX('04_調査結果'!$H$5:$H$404,$AG102)&amp;"")</f>
        <v/>
      </c>
      <c r="O102" s="33">
        <f>IF($AG102="","",IF(INDEX('04_調査結果'!$Z$5:$Z$404,$AG102)&lt;&gt;"",INDEX('04_調査結果'!$Z$5:$Z$404,$AG102),INDEX('04_調査結果'!$AM$5:$AM$404,$AG102)))</f>
        <v/>
      </c>
      <c r="P102" s="33">
        <f>IF($AG102="","",IF(INDEX('04_調査結果'!$AA$5:$AA$404,$AG102)&lt;&gt;"",INDEX('04_調査結果'!$AA$5:$AA$404,$AG102),INDEX('04_調査結果'!$AN$5:$AN$404,$AG102)))</f>
        <v/>
      </c>
      <c r="Q102" s="33">
        <f>IF($AG102="","",INDEX('04_調査結果'!$AD$5:$AD$404,$AG102))</f>
        <v/>
      </c>
      <c r="R102">
        <f>IF($AG102="","",INDEX('04_調査結果'!$AO$5:$AO$404,$AG102))</f>
        <v/>
      </c>
      <c r="S102" s="37">
        <f>IF($AG102="","",INDEX('04_調査結果'!$AQ$5:$AQ$404,$AG102))</f>
        <v/>
      </c>
      <c r="T102" s="37">
        <f>IF($AG102="","",INDEX('04_調査結果'!$AR$5:$AR$404,$AG102))</f>
        <v/>
      </c>
      <c r="U102">
        <f>IF($AG102="","",INDEX('04_調査結果'!$N$5:$N$404,$AG102)&amp;"")</f>
        <v/>
      </c>
      <c r="V102">
        <f>IF($AG102="","",INDEX('04_調査結果'!$O$5:$O$404,$AG102))</f>
        <v/>
      </c>
      <c r="W102">
        <f>IF($AG102="","",INDEX('04_調査結果'!$P$5:$P$404,$AG102))</f>
        <v/>
      </c>
      <c r="X102">
        <f>IF($AG102="","",INDEX('04_調査結果'!$Q$5:$Q$404,$AG102))</f>
        <v/>
      </c>
      <c r="Y102">
        <f>IF($AG102="","",INDEX('04_調査結果'!$R$5:$R$404,$AG102))</f>
        <v/>
      </c>
      <c r="Z102">
        <f>IF($AG102="","",INDEX('04_調査結果'!$S$5:$S$404,$AG102))</f>
        <v/>
      </c>
      <c r="AA102">
        <f>IF($AG102="","",INDEX('04_調査結果'!$T$5:$T$404,$AG102))</f>
        <v/>
      </c>
      <c r="AB102">
        <f>IF($AG102="","",INDEX('04_調査結果'!$U$5:$U$404,$AG102))</f>
        <v/>
      </c>
      <c r="AC102">
        <f>IF($AG102="","",INDEX('04_調査結果'!$AF$5:$AF$404,$AG102))</f>
        <v/>
      </c>
      <c r="AD102">
        <f>IF($AG102="","",INDEX('04_調査結果'!$AC$5:$AC$404,$AG102)&amp;"")</f>
        <v/>
      </c>
      <c r="AE102">
        <f>IF($AG102="","",INDEX('04_調査結果'!$V$5:$V$404,$AG102)&amp;"")</f>
        <v/>
      </c>
      <c r="AF102">
        <f>IF($AG102="","",INDEX('04_調査結果'!$X$5:$X$404,$AG102)&amp;"")</f>
        <v/>
      </c>
      <c r="AG102" s="34">
        <f>IFERROR(MATCH(ROW()-4,'04_調査結果'!$AT$5:$AT$404,0),"")</f>
        <v/>
      </c>
    </row>
    <row r="103">
      <c r="A103">
        <f>IF($AG103="","",'01_設定'!$C$4)</f>
        <v/>
      </c>
      <c r="B103">
        <f>IF($AG103="","",'01_設定'!$C$5)</f>
        <v/>
      </c>
      <c r="C103">
        <f>IF($AG103="","",'01_設定'!$C$6)</f>
        <v/>
      </c>
      <c r="D103" s="36">
        <f>IF($AG103="","",'01_設定'!$C$22)</f>
        <v/>
      </c>
      <c r="E103" s="36">
        <f>IF($AG103="","",'01_設定'!$C$23)</f>
        <v/>
      </c>
      <c r="F103">
        <f>IF($AG103="","",'01_設定'!$C$32)</f>
        <v/>
      </c>
      <c r="G103">
        <f>IF($AG103="","",ROW()-4)</f>
        <v/>
      </c>
      <c r="H103">
        <f>IF($AG103="","",INDEX('04_調査結果'!$AJ$5:$AJ$404,$AG103))</f>
        <v/>
      </c>
      <c r="I103">
        <f>IF($AG103="","",INDEX('04_調査結果'!$D$5:$D$404,$AG103)&amp;"")</f>
        <v/>
      </c>
      <c r="J103">
        <f>IF($AG103="","",INDEX('04_調査結果'!$AK$5:$AK$404,$AG103)&amp;"")</f>
        <v/>
      </c>
      <c r="K103">
        <f>IF($AG103="","",IFERROR(INDEX('M1_類型マスタ'!$B$5:$B$19,MATCH(J103,'M1_類型マスタ'!$A$5:$A$19,0)),""))</f>
        <v/>
      </c>
      <c r="L103">
        <f>IF($AG103="","",INDEX('04_調査結果'!$F$5:$F$404,$AG103)&amp;"")</f>
        <v/>
      </c>
      <c r="M103">
        <f>IF($AG103="","",INDEX('04_調査結果'!$G$5:$G$404,$AG103)&amp;"")</f>
        <v/>
      </c>
      <c r="N103">
        <f>IF($AG103="","",INDEX('04_調査結果'!$H$5:$H$404,$AG103)&amp;"")</f>
        <v/>
      </c>
      <c r="O103" s="33">
        <f>IF($AG103="","",IF(INDEX('04_調査結果'!$Z$5:$Z$404,$AG103)&lt;&gt;"",INDEX('04_調査結果'!$Z$5:$Z$404,$AG103),INDEX('04_調査結果'!$AM$5:$AM$404,$AG103)))</f>
        <v/>
      </c>
      <c r="P103" s="33">
        <f>IF($AG103="","",IF(INDEX('04_調査結果'!$AA$5:$AA$404,$AG103)&lt;&gt;"",INDEX('04_調査結果'!$AA$5:$AA$404,$AG103),INDEX('04_調査結果'!$AN$5:$AN$404,$AG103)))</f>
        <v/>
      </c>
      <c r="Q103" s="33">
        <f>IF($AG103="","",INDEX('04_調査結果'!$AD$5:$AD$404,$AG103))</f>
        <v/>
      </c>
      <c r="R103">
        <f>IF($AG103="","",INDEX('04_調査結果'!$AO$5:$AO$404,$AG103))</f>
        <v/>
      </c>
      <c r="S103" s="37">
        <f>IF($AG103="","",INDEX('04_調査結果'!$AQ$5:$AQ$404,$AG103))</f>
        <v/>
      </c>
      <c r="T103" s="37">
        <f>IF($AG103="","",INDEX('04_調査結果'!$AR$5:$AR$404,$AG103))</f>
        <v/>
      </c>
      <c r="U103">
        <f>IF($AG103="","",INDEX('04_調査結果'!$N$5:$N$404,$AG103)&amp;"")</f>
        <v/>
      </c>
      <c r="V103">
        <f>IF($AG103="","",INDEX('04_調査結果'!$O$5:$O$404,$AG103))</f>
        <v/>
      </c>
      <c r="W103">
        <f>IF($AG103="","",INDEX('04_調査結果'!$P$5:$P$404,$AG103))</f>
        <v/>
      </c>
      <c r="X103">
        <f>IF($AG103="","",INDEX('04_調査結果'!$Q$5:$Q$404,$AG103))</f>
        <v/>
      </c>
      <c r="Y103">
        <f>IF($AG103="","",INDEX('04_調査結果'!$R$5:$R$404,$AG103))</f>
        <v/>
      </c>
      <c r="Z103">
        <f>IF($AG103="","",INDEX('04_調査結果'!$S$5:$S$404,$AG103))</f>
        <v/>
      </c>
      <c r="AA103">
        <f>IF($AG103="","",INDEX('04_調査結果'!$T$5:$T$404,$AG103))</f>
        <v/>
      </c>
      <c r="AB103">
        <f>IF($AG103="","",INDEX('04_調査結果'!$U$5:$U$404,$AG103))</f>
        <v/>
      </c>
      <c r="AC103">
        <f>IF($AG103="","",INDEX('04_調査結果'!$AF$5:$AF$404,$AG103))</f>
        <v/>
      </c>
      <c r="AD103">
        <f>IF($AG103="","",INDEX('04_調査結果'!$AC$5:$AC$404,$AG103)&amp;"")</f>
        <v/>
      </c>
      <c r="AE103">
        <f>IF($AG103="","",INDEX('04_調査結果'!$V$5:$V$404,$AG103)&amp;"")</f>
        <v/>
      </c>
      <c r="AF103">
        <f>IF($AG103="","",INDEX('04_調査結果'!$X$5:$X$404,$AG103)&amp;"")</f>
        <v/>
      </c>
      <c r="AG103" s="34">
        <f>IFERROR(MATCH(ROW()-4,'04_調査結果'!$AT$5:$AT$404,0),"")</f>
        <v/>
      </c>
    </row>
    <row r="104">
      <c r="A104">
        <f>IF($AG104="","",'01_設定'!$C$4)</f>
        <v/>
      </c>
      <c r="B104">
        <f>IF($AG104="","",'01_設定'!$C$5)</f>
        <v/>
      </c>
      <c r="C104">
        <f>IF($AG104="","",'01_設定'!$C$6)</f>
        <v/>
      </c>
      <c r="D104" s="36">
        <f>IF($AG104="","",'01_設定'!$C$22)</f>
        <v/>
      </c>
      <c r="E104" s="36">
        <f>IF($AG104="","",'01_設定'!$C$23)</f>
        <v/>
      </c>
      <c r="F104">
        <f>IF($AG104="","",'01_設定'!$C$32)</f>
        <v/>
      </c>
      <c r="G104">
        <f>IF($AG104="","",ROW()-4)</f>
        <v/>
      </c>
      <c r="H104">
        <f>IF($AG104="","",INDEX('04_調査結果'!$AJ$5:$AJ$404,$AG104))</f>
        <v/>
      </c>
      <c r="I104">
        <f>IF($AG104="","",INDEX('04_調査結果'!$D$5:$D$404,$AG104)&amp;"")</f>
        <v/>
      </c>
      <c r="J104">
        <f>IF($AG104="","",INDEX('04_調査結果'!$AK$5:$AK$404,$AG104)&amp;"")</f>
        <v/>
      </c>
      <c r="K104">
        <f>IF($AG104="","",IFERROR(INDEX('M1_類型マスタ'!$B$5:$B$19,MATCH(J104,'M1_類型マスタ'!$A$5:$A$19,0)),""))</f>
        <v/>
      </c>
      <c r="L104">
        <f>IF($AG104="","",INDEX('04_調査結果'!$F$5:$F$404,$AG104)&amp;"")</f>
        <v/>
      </c>
      <c r="M104">
        <f>IF($AG104="","",INDEX('04_調査結果'!$G$5:$G$404,$AG104)&amp;"")</f>
        <v/>
      </c>
      <c r="N104">
        <f>IF($AG104="","",INDEX('04_調査結果'!$H$5:$H$404,$AG104)&amp;"")</f>
        <v/>
      </c>
      <c r="O104" s="33">
        <f>IF($AG104="","",IF(INDEX('04_調査結果'!$Z$5:$Z$404,$AG104)&lt;&gt;"",INDEX('04_調査結果'!$Z$5:$Z$404,$AG104),INDEX('04_調査結果'!$AM$5:$AM$404,$AG104)))</f>
        <v/>
      </c>
      <c r="P104" s="33">
        <f>IF($AG104="","",IF(INDEX('04_調査結果'!$AA$5:$AA$404,$AG104)&lt;&gt;"",INDEX('04_調査結果'!$AA$5:$AA$404,$AG104),INDEX('04_調査結果'!$AN$5:$AN$404,$AG104)))</f>
        <v/>
      </c>
      <c r="Q104" s="33">
        <f>IF($AG104="","",INDEX('04_調査結果'!$AD$5:$AD$404,$AG104))</f>
        <v/>
      </c>
      <c r="R104">
        <f>IF($AG104="","",INDEX('04_調査結果'!$AO$5:$AO$404,$AG104))</f>
        <v/>
      </c>
      <c r="S104" s="37">
        <f>IF($AG104="","",INDEX('04_調査結果'!$AQ$5:$AQ$404,$AG104))</f>
        <v/>
      </c>
      <c r="T104" s="37">
        <f>IF($AG104="","",INDEX('04_調査結果'!$AR$5:$AR$404,$AG104))</f>
        <v/>
      </c>
      <c r="U104">
        <f>IF($AG104="","",INDEX('04_調査結果'!$N$5:$N$404,$AG104)&amp;"")</f>
        <v/>
      </c>
      <c r="V104">
        <f>IF($AG104="","",INDEX('04_調査結果'!$O$5:$O$404,$AG104))</f>
        <v/>
      </c>
      <c r="W104">
        <f>IF($AG104="","",INDEX('04_調査結果'!$P$5:$P$404,$AG104))</f>
        <v/>
      </c>
      <c r="X104">
        <f>IF($AG104="","",INDEX('04_調査結果'!$Q$5:$Q$404,$AG104))</f>
        <v/>
      </c>
      <c r="Y104">
        <f>IF($AG104="","",INDEX('04_調査結果'!$R$5:$R$404,$AG104))</f>
        <v/>
      </c>
      <c r="Z104">
        <f>IF($AG104="","",INDEX('04_調査結果'!$S$5:$S$404,$AG104))</f>
        <v/>
      </c>
      <c r="AA104">
        <f>IF($AG104="","",INDEX('04_調査結果'!$T$5:$T$404,$AG104))</f>
        <v/>
      </c>
      <c r="AB104">
        <f>IF($AG104="","",INDEX('04_調査結果'!$U$5:$U$404,$AG104))</f>
        <v/>
      </c>
      <c r="AC104">
        <f>IF($AG104="","",INDEX('04_調査結果'!$AF$5:$AF$404,$AG104))</f>
        <v/>
      </c>
      <c r="AD104">
        <f>IF($AG104="","",INDEX('04_調査結果'!$AC$5:$AC$404,$AG104)&amp;"")</f>
        <v/>
      </c>
      <c r="AE104">
        <f>IF($AG104="","",INDEX('04_調査結果'!$V$5:$V$404,$AG104)&amp;"")</f>
        <v/>
      </c>
      <c r="AF104">
        <f>IF($AG104="","",INDEX('04_調査結果'!$X$5:$X$404,$AG104)&amp;"")</f>
        <v/>
      </c>
      <c r="AG104" s="34">
        <f>IFERROR(MATCH(ROW()-4,'04_調査結果'!$AT$5:$AT$404,0),"")</f>
        <v/>
      </c>
    </row>
    <row r="105">
      <c r="A105">
        <f>IF($AG105="","",'01_設定'!$C$4)</f>
        <v/>
      </c>
      <c r="B105">
        <f>IF($AG105="","",'01_設定'!$C$5)</f>
        <v/>
      </c>
      <c r="C105">
        <f>IF($AG105="","",'01_設定'!$C$6)</f>
        <v/>
      </c>
      <c r="D105" s="36">
        <f>IF($AG105="","",'01_設定'!$C$22)</f>
        <v/>
      </c>
      <c r="E105" s="36">
        <f>IF($AG105="","",'01_設定'!$C$23)</f>
        <v/>
      </c>
      <c r="F105">
        <f>IF($AG105="","",'01_設定'!$C$32)</f>
        <v/>
      </c>
      <c r="G105">
        <f>IF($AG105="","",ROW()-4)</f>
        <v/>
      </c>
      <c r="H105">
        <f>IF($AG105="","",INDEX('04_調査結果'!$AJ$5:$AJ$404,$AG105))</f>
        <v/>
      </c>
      <c r="I105">
        <f>IF($AG105="","",INDEX('04_調査結果'!$D$5:$D$404,$AG105)&amp;"")</f>
        <v/>
      </c>
      <c r="J105">
        <f>IF($AG105="","",INDEX('04_調査結果'!$AK$5:$AK$404,$AG105)&amp;"")</f>
        <v/>
      </c>
      <c r="K105">
        <f>IF($AG105="","",IFERROR(INDEX('M1_類型マスタ'!$B$5:$B$19,MATCH(J105,'M1_類型マスタ'!$A$5:$A$19,0)),""))</f>
        <v/>
      </c>
      <c r="L105">
        <f>IF($AG105="","",INDEX('04_調査結果'!$F$5:$F$404,$AG105)&amp;"")</f>
        <v/>
      </c>
      <c r="M105">
        <f>IF($AG105="","",INDEX('04_調査結果'!$G$5:$G$404,$AG105)&amp;"")</f>
        <v/>
      </c>
      <c r="N105">
        <f>IF($AG105="","",INDEX('04_調査結果'!$H$5:$H$404,$AG105)&amp;"")</f>
        <v/>
      </c>
      <c r="O105" s="33">
        <f>IF($AG105="","",IF(INDEX('04_調査結果'!$Z$5:$Z$404,$AG105)&lt;&gt;"",INDEX('04_調査結果'!$Z$5:$Z$404,$AG105),INDEX('04_調査結果'!$AM$5:$AM$404,$AG105)))</f>
        <v/>
      </c>
      <c r="P105" s="33">
        <f>IF($AG105="","",IF(INDEX('04_調査結果'!$AA$5:$AA$404,$AG105)&lt;&gt;"",INDEX('04_調査結果'!$AA$5:$AA$404,$AG105),INDEX('04_調査結果'!$AN$5:$AN$404,$AG105)))</f>
        <v/>
      </c>
      <c r="Q105" s="33">
        <f>IF($AG105="","",INDEX('04_調査結果'!$AD$5:$AD$404,$AG105))</f>
        <v/>
      </c>
      <c r="R105">
        <f>IF($AG105="","",INDEX('04_調査結果'!$AO$5:$AO$404,$AG105))</f>
        <v/>
      </c>
      <c r="S105" s="37">
        <f>IF($AG105="","",INDEX('04_調査結果'!$AQ$5:$AQ$404,$AG105))</f>
        <v/>
      </c>
      <c r="T105" s="37">
        <f>IF($AG105="","",INDEX('04_調査結果'!$AR$5:$AR$404,$AG105))</f>
        <v/>
      </c>
      <c r="U105">
        <f>IF($AG105="","",INDEX('04_調査結果'!$N$5:$N$404,$AG105)&amp;"")</f>
        <v/>
      </c>
      <c r="V105">
        <f>IF($AG105="","",INDEX('04_調査結果'!$O$5:$O$404,$AG105))</f>
        <v/>
      </c>
      <c r="W105">
        <f>IF($AG105="","",INDEX('04_調査結果'!$P$5:$P$404,$AG105))</f>
        <v/>
      </c>
      <c r="X105">
        <f>IF($AG105="","",INDEX('04_調査結果'!$Q$5:$Q$404,$AG105))</f>
        <v/>
      </c>
      <c r="Y105">
        <f>IF($AG105="","",INDEX('04_調査結果'!$R$5:$R$404,$AG105))</f>
        <v/>
      </c>
      <c r="Z105">
        <f>IF($AG105="","",INDEX('04_調査結果'!$S$5:$S$404,$AG105))</f>
        <v/>
      </c>
      <c r="AA105">
        <f>IF($AG105="","",INDEX('04_調査結果'!$T$5:$T$404,$AG105))</f>
        <v/>
      </c>
      <c r="AB105">
        <f>IF($AG105="","",INDEX('04_調査結果'!$U$5:$U$404,$AG105))</f>
        <v/>
      </c>
      <c r="AC105">
        <f>IF($AG105="","",INDEX('04_調査結果'!$AF$5:$AF$404,$AG105))</f>
        <v/>
      </c>
      <c r="AD105">
        <f>IF($AG105="","",INDEX('04_調査結果'!$AC$5:$AC$404,$AG105)&amp;"")</f>
        <v/>
      </c>
      <c r="AE105">
        <f>IF($AG105="","",INDEX('04_調査結果'!$V$5:$V$404,$AG105)&amp;"")</f>
        <v/>
      </c>
      <c r="AF105">
        <f>IF($AG105="","",INDEX('04_調査結果'!$X$5:$X$404,$AG105)&amp;"")</f>
        <v/>
      </c>
      <c r="AG105" s="34">
        <f>IFERROR(MATCH(ROW()-4,'04_調査結果'!$AT$5:$AT$404,0),"")</f>
        <v/>
      </c>
    </row>
    <row r="106">
      <c r="A106">
        <f>IF($AG106="","",'01_設定'!$C$4)</f>
        <v/>
      </c>
      <c r="B106">
        <f>IF($AG106="","",'01_設定'!$C$5)</f>
        <v/>
      </c>
      <c r="C106">
        <f>IF($AG106="","",'01_設定'!$C$6)</f>
        <v/>
      </c>
      <c r="D106" s="36">
        <f>IF($AG106="","",'01_設定'!$C$22)</f>
        <v/>
      </c>
      <c r="E106" s="36">
        <f>IF($AG106="","",'01_設定'!$C$23)</f>
        <v/>
      </c>
      <c r="F106">
        <f>IF($AG106="","",'01_設定'!$C$32)</f>
        <v/>
      </c>
      <c r="G106">
        <f>IF($AG106="","",ROW()-4)</f>
        <v/>
      </c>
      <c r="H106">
        <f>IF($AG106="","",INDEX('04_調査結果'!$AJ$5:$AJ$404,$AG106))</f>
        <v/>
      </c>
      <c r="I106">
        <f>IF($AG106="","",INDEX('04_調査結果'!$D$5:$D$404,$AG106)&amp;"")</f>
        <v/>
      </c>
      <c r="J106">
        <f>IF($AG106="","",INDEX('04_調査結果'!$AK$5:$AK$404,$AG106)&amp;"")</f>
        <v/>
      </c>
      <c r="K106">
        <f>IF($AG106="","",IFERROR(INDEX('M1_類型マスタ'!$B$5:$B$19,MATCH(J106,'M1_類型マスタ'!$A$5:$A$19,0)),""))</f>
        <v/>
      </c>
      <c r="L106">
        <f>IF($AG106="","",INDEX('04_調査結果'!$F$5:$F$404,$AG106)&amp;"")</f>
        <v/>
      </c>
      <c r="M106">
        <f>IF($AG106="","",INDEX('04_調査結果'!$G$5:$G$404,$AG106)&amp;"")</f>
        <v/>
      </c>
      <c r="N106">
        <f>IF($AG106="","",INDEX('04_調査結果'!$H$5:$H$404,$AG106)&amp;"")</f>
        <v/>
      </c>
      <c r="O106" s="33">
        <f>IF($AG106="","",IF(INDEX('04_調査結果'!$Z$5:$Z$404,$AG106)&lt;&gt;"",INDEX('04_調査結果'!$Z$5:$Z$404,$AG106),INDEX('04_調査結果'!$AM$5:$AM$404,$AG106)))</f>
        <v/>
      </c>
      <c r="P106" s="33">
        <f>IF($AG106="","",IF(INDEX('04_調査結果'!$AA$5:$AA$404,$AG106)&lt;&gt;"",INDEX('04_調査結果'!$AA$5:$AA$404,$AG106),INDEX('04_調査結果'!$AN$5:$AN$404,$AG106)))</f>
        <v/>
      </c>
      <c r="Q106" s="33">
        <f>IF($AG106="","",INDEX('04_調査結果'!$AD$5:$AD$404,$AG106))</f>
        <v/>
      </c>
      <c r="R106">
        <f>IF($AG106="","",INDEX('04_調査結果'!$AO$5:$AO$404,$AG106))</f>
        <v/>
      </c>
      <c r="S106" s="37">
        <f>IF($AG106="","",INDEX('04_調査結果'!$AQ$5:$AQ$404,$AG106))</f>
        <v/>
      </c>
      <c r="T106" s="37">
        <f>IF($AG106="","",INDEX('04_調査結果'!$AR$5:$AR$404,$AG106))</f>
        <v/>
      </c>
      <c r="U106">
        <f>IF($AG106="","",INDEX('04_調査結果'!$N$5:$N$404,$AG106)&amp;"")</f>
        <v/>
      </c>
      <c r="V106">
        <f>IF($AG106="","",INDEX('04_調査結果'!$O$5:$O$404,$AG106))</f>
        <v/>
      </c>
      <c r="W106">
        <f>IF($AG106="","",INDEX('04_調査結果'!$P$5:$P$404,$AG106))</f>
        <v/>
      </c>
      <c r="X106">
        <f>IF($AG106="","",INDEX('04_調査結果'!$Q$5:$Q$404,$AG106))</f>
        <v/>
      </c>
      <c r="Y106">
        <f>IF($AG106="","",INDEX('04_調査結果'!$R$5:$R$404,$AG106))</f>
        <v/>
      </c>
      <c r="Z106">
        <f>IF($AG106="","",INDEX('04_調査結果'!$S$5:$S$404,$AG106))</f>
        <v/>
      </c>
      <c r="AA106">
        <f>IF($AG106="","",INDEX('04_調査結果'!$T$5:$T$404,$AG106))</f>
        <v/>
      </c>
      <c r="AB106">
        <f>IF($AG106="","",INDEX('04_調査結果'!$U$5:$U$404,$AG106))</f>
        <v/>
      </c>
      <c r="AC106">
        <f>IF($AG106="","",INDEX('04_調査結果'!$AF$5:$AF$404,$AG106))</f>
        <v/>
      </c>
      <c r="AD106">
        <f>IF($AG106="","",INDEX('04_調査結果'!$AC$5:$AC$404,$AG106)&amp;"")</f>
        <v/>
      </c>
      <c r="AE106">
        <f>IF($AG106="","",INDEX('04_調査結果'!$V$5:$V$404,$AG106)&amp;"")</f>
        <v/>
      </c>
      <c r="AF106">
        <f>IF($AG106="","",INDEX('04_調査結果'!$X$5:$X$404,$AG106)&amp;"")</f>
        <v/>
      </c>
      <c r="AG106" s="34">
        <f>IFERROR(MATCH(ROW()-4,'04_調査結果'!$AT$5:$AT$404,0),"")</f>
        <v/>
      </c>
    </row>
    <row r="107">
      <c r="A107">
        <f>IF($AG107="","",'01_設定'!$C$4)</f>
        <v/>
      </c>
      <c r="B107">
        <f>IF($AG107="","",'01_設定'!$C$5)</f>
        <v/>
      </c>
      <c r="C107">
        <f>IF($AG107="","",'01_設定'!$C$6)</f>
        <v/>
      </c>
      <c r="D107" s="36">
        <f>IF($AG107="","",'01_設定'!$C$22)</f>
        <v/>
      </c>
      <c r="E107" s="36">
        <f>IF($AG107="","",'01_設定'!$C$23)</f>
        <v/>
      </c>
      <c r="F107">
        <f>IF($AG107="","",'01_設定'!$C$32)</f>
        <v/>
      </c>
      <c r="G107">
        <f>IF($AG107="","",ROW()-4)</f>
        <v/>
      </c>
      <c r="H107">
        <f>IF($AG107="","",INDEX('04_調査結果'!$AJ$5:$AJ$404,$AG107))</f>
        <v/>
      </c>
      <c r="I107">
        <f>IF($AG107="","",INDEX('04_調査結果'!$D$5:$D$404,$AG107)&amp;"")</f>
        <v/>
      </c>
      <c r="J107">
        <f>IF($AG107="","",INDEX('04_調査結果'!$AK$5:$AK$404,$AG107)&amp;"")</f>
        <v/>
      </c>
      <c r="K107">
        <f>IF($AG107="","",IFERROR(INDEX('M1_類型マスタ'!$B$5:$B$19,MATCH(J107,'M1_類型マスタ'!$A$5:$A$19,0)),""))</f>
        <v/>
      </c>
      <c r="L107">
        <f>IF($AG107="","",INDEX('04_調査結果'!$F$5:$F$404,$AG107)&amp;"")</f>
        <v/>
      </c>
      <c r="M107">
        <f>IF($AG107="","",INDEX('04_調査結果'!$G$5:$G$404,$AG107)&amp;"")</f>
        <v/>
      </c>
      <c r="N107">
        <f>IF($AG107="","",INDEX('04_調査結果'!$H$5:$H$404,$AG107)&amp;"")</f>
        <v/>
      </c>
      <c r="O107" s="33">
        <f>IF($AG107="","",IF(INDEX('04_調査結果'!$Z$5:$Z$404,$AG107)&lt;&gt;"",INDEX('04_調査結果'!$Z$5:$Z$404,$AG107),INDEX('04_調査結果'!$AM$5:$AM$404,$AG107)))</f>
        <v/>
      </c>
      <c r="P107" s="33">
        <f>IF($AG107="","",IF(INDEX('04_調査結果'!$AA$5:$AA$404,$AG107)&lt;&gt;"",INDEX('04_調査結果'!$AA$5:$AA$404,$AG107),INDEX('04_調査結果'!$AN$5:$AN$404,$AG107)))</f>
        <v/>
      </c>
      <c r="Q107" s="33">
        <f>IF($AG107="","",INDEX('04_調査結果'!$AD$5:$AD$404,$AG107))</f>
        <v/>
      </c>
      <c r="R107">
        <f>IF($AG107="","",INDEX('04_調査結果'!$AO$5:$AO$404,$AG107))</f>
        <v/>
      </c>
      <c r="S107" s="37">
        <f>IF($AG107="","",INDEX('04_調査結果'!$AQ$5:$AQ$404,$AG107))</f>
        <v/>
      </c>
      <c r="T107" s="37">
        <f>IF($AG107="","",INDEX('04_調査結果'!$AR$5:$AR$404,$AG107))</f>
        <v/>
      </c>
      <c r="U107">
        <f>IF($AG107="","",INDEX('04_調査結果'!$N$5:$N$404,$AG107)&amp;"")</f>
        <v/>
      </c>
      <c r="V107">
        <f>IF($AG107="","",INDEX('04_調査結果'!$O$5:$O$404,$AG107))</f>
        <v/>
      </c>
      <c r="W107">
        <f>IF($AG107="","",INDEX('04_調査結果'!$P$5:$P$404,$AG107))</f>
        <v/>
      </c>
      <c r="X107">
        <f>IF($AG107="","",INDEX('04_調査結果'!$Q$5:$Q$404,$AG107))</f>
        <v/>
      </c>
      <c r="Y107">
        <f>IF($AG107="","",INDEX('04_調査結果'!$R$5:$R$404,$AG107))</f>
        <v/>
      </c>
      <c r="Z107">
        <f>IF($AG107="","",INDEX('04_調査結果'!$S$5:$S$404,$AG107))</f>
        <v/>
      </c>
      <c r="AA107">
        <f>IF($AG107="","",INDEX('04_調査結果'!$T$5:$T$404,$AG107))</f>
        <v/>
      </c>
      <c r="AB107">
        <f>IF($AG107="","",INDEX('04_調査結果'!$U$5:$U$404,$AG107))</f>
        <v/>
      </c>
      <c r="AC107">
        <f>IF($AG107="","",INDEX('04_調査結果'!$AF$5:$AF$404,$AG107))</f>
        <v/>
      </c>
      <c r="AD107">
        <f>IF($AG107="","",INDEX('04_調査結果'!$AC$5:$AC$404,$AG107)&amp;"")</f>
        <v/>
      </c>
      <c r="AE107">
        <f>IF($AG107="","",INDEX('04_調査結果'!$V$5:$V$404,$AG107)&amp;"")</f>
        <v/>
      </c>
      <c r="AF107">
        <f>IF($AG107="","",INDEX('04_調査結果'!$X$5:$X$404,$AG107)&amp;"")</f>
        <v/>
      </c>
      <c r="AG107" s="34">
        <f>IFERROR(MATCH(ROW()-4,'04_調査結果'!$AT$5:$AT$404,0),"")</f>
        <v/>
      </c>
    </row>
    <row r="108">
      <c r="A108">
        <f>IF($AG108="","",'01_設定'!$C$4)</f>
        <v/>
      </c>
      <c r="B108">
        <f>IF($AG108="","",'01_設定'!$C$5)</f>
        <v/>
      </c>
      <c r="C108">
        <f>IF($AG108="","",'01_設定'!$C$6)</f>
        <v/>
      </c>
      <c r="D108" s="36">
        <f>IF($AG108="","",'01_設定'!$C$22)</f>
        <v/>
      </c>
      <c r="E108" s="36">
        <f>IF($AG108="","",'01_設定'!$C$23)</f>
        <v/>
      </c>
      <c r="F108">
        <f>IF($AG108="","",'01_設定'!$C$32)</f>
        <v/>
      </c>
      <c r="G108">
        <f>IF($AG108="","",ROW()-4)</f>
        <v/>
      </c>
      <c r="H108">
        <f>IF($AG108="","",INDEX('04_調査結果'!$AJ$5:$AJ$404,$AG108))</f>
        <v/>
      </c>
      <c r="I108">
        <f>IF($AG108="","",INDEX('04_調査結果'!$D$5:$D$404,$AG108)&amp;"")</f>
        <v/>
      </c>
      <c r="J108">
        <f>IF($AG108="","",INDEX('04_調査結果'!$AK$5:$AK$404,$AG108)&amp;"")</f>
        <v/>
      </c>
      <c r="K108">
        <f>IF($AG108="","",IFERROR(INDEX('M1_類型マスタ'!$B$5:$B$19,MATCH(J108,'M1_類型マスタ'!$A$5:$A$19,0)),""))</f>
        <v/>
      </c>
      <c r="L108">
        <f>IF($AG108="","",INDEX('04_調査結果'!$F$5:$F$404,$AG108)&amp;"")</f>
        <v/>
      </c>
      <c r="M108">
        <f>IF($AG108="","",INDEX('04_調査結果'!$G$5:$G$404,$AG108)&amp;"")</f>
        <v/>
      </c>
      <c r="N108">
        <f>IF($AG108="","",INDEX('04_調査結果'!$H$5:$H$404,$AG108)&amp;"")</f>
        <v/>
      </c>
      <c r="O108" s="33">
        <f>IF($AG108="","",IF(INDEX('04_調査結果'!$Z$5:$Z$404,$AG108)&lt;&gt;"",INDEX('04_調査結果'!$Z$5:$Z$404,$AG108),INDEX('04_調査結果'!$AM$5:$AM$404,$AG108)))</f>
        <v/>
      </c>
      <c r="P108" s="33">
        <f>IF($AG108="","",IF(INDEX('04_調査結果'!$AA$5:$AA$404,$AG108)&lt;&gt;"",INDEX('04_調査結果'!$AA$5:$AA$404,$AG108),INDEX('04_調査結果'!$AN$5:$AN$404,$AG108)))</f>
        <v/>
      </c>
      <c r="Q108" s="33">
        <f>IF($AG108="","",INDEX('04_調査結果'!$AD$5:$AD$404,$AG108))</f>
        <v/>
      </c>
      <c r="R108">
        <f>IF($AG108="","",INDEX('04_調査結果'!$AO$5:$AO$404,$AG108))</f>
        <v/>
      </c>
      <c r="S108" s="37">
        <f>IF($AG108="","",INDEX('04_調査結果'!$AQ$5:$AQ$404,$AG108))</f>
        <v/>
      </c>
      <c r="T108" s="37">
        <f>IF($AG108="","",INDEX('04_調査結果'!$AR$5:$AR$404,$AG108))</f>
        <v/>
      </c>
      <c r="U108">
        <f>IF($AG108="","",INDEX('04_調査結果'!$N$5:$N$404,$AG108)&amp;"")</f>
        <v/>
      </c>
      <c r="V108">
        <f>IF($AG108="","",INDEX('04_調査結果'!$O$5:$O$404,$AG108))</f>
        <v/>
      </c>
      <c r="W108">
        <f>IF($AG108="","",INDEX('04_調査結果'!$P$5:$P$404,$AG108))</f>
        <v/>
      </c>
      <c r="X108">
        <f>IF($AG108="","",INDEX('04_調査結果'!$Q$5:$Q$404,$AG108))</f>
        <v/>
      </c>
      <c r="Y108">
        <f>IF($AG108="","",INDEX('04_調査結果'!$R$5:$R$404,$AG108))</f>
        <v/>
      </c>
      <c r="Z108">
        <f>IF($AG108="","",INDEX('04_調査結果'!$S$5:$S$404,$AG108))</f>
        <v/>
      </c>
      <c r="AA108">
        <f>IF($AG108="","",INDEX('04_調査結果'!$T$5:$T$404,$AG108))</f>
        <v/>
      </c>
      <c r="AB108">
        <f>IF($AG108="","",INDEX('04_調査結果'!$U$5:$U$404,$AG108))</f>
        <v/>
      </c>
      <c r="AC108">
        <f>IF($AG108="","",INDEX('04_調査結果'!$AF$5:$AF$404,$AG108))</f>
        <v/>
      </c>
      <c r="AD108">
        <f>IF($AG108="","",INDEX('04_調査結果'!$AC$5:$AC$404,$AG108)&amp;"")</f>
        <v/>
      </c>
      <c r="AE108">
        <f>IF($AG108="","",INDEX('04_調査結果'!$V$5:$V$404,$AG108)&amp;"")</f>
        <v/>
      </c>
      <c r="AF108">
        <f>IF($AG108="","",INDEX('04_調査結果'!$X$5:$X$404,$AG108)&amp;"")</f>
        <v/>
      </c>
      <c r="AG108" s="34">
        <f>IFERROR(MATCH(ROW()-4,'04_調査結果'!$AT$5:$AT$404,0),"")</f>
        <v/>
      </c>
    </row>
    <row r="109">
      <c r="A109">
        <f>IF($AG109="","",'01_設定'!$C$4)</f>
        <v/>
      </c>
      <c r="B109">
        <f>IF($AG109="","",'01_設定'!$C$5)</f>
        <v/>
      </c>
      <c r="C109">
        <f>IF($AG109="","",'01_設定'!$C$6)</f>
        <v/>
      </c>
      <c r="D109" s="36">
        <f>IF($AG109="","",'01_設定'!$C$22)</f>
        <v/>
      </c>
      <c r="E109" s="36">
        <f>IF($AG109="","",'01_設定'!$C$23)</f>
        <v/>
      </c>
      <c r="F109">
        <f>IF($AG109="","",'01_設定'!$C$32)</f>
        <v/>
      </c>
      <c r="G109">
        <f>IF($AG109="","",ROW()-4)</f>
        <v/>
      </c>
      <c r="H109">
        <f>IF($AG109="","",INDEX('04_調査結果'!$AJ$5:$AJ$404,$AG109))</f>
        <v/>
      </c>
      <c r="I109">
        <f>IF($AG109="","",INDEX('04_調査結果'!$D$5:$D$404,$AG109)&amp;"")</f>
        <v/>
      </c>
      <c r="J109">
        <f>IF($AG109="","",INDEX('04_調査結果'!$AK$5:$AK$404,$AG109)&amp;"")</f>
        <v/>
      </c>
      <c r="K109">
        <f>IF($AG109="","",IFERROR(INDEX('M1_類型マスタ'!$B$5:$B$19,MATCH(J109,'M1_類型マスタ'!$A$5:$A$19,0)),""))</f>
        <v/>
      </c>
      <c r="L109">
        <f>IF($AG109="","",INDEX('04_調査結果'!$F$5:$F$404,$AG109)&amp;"")</f>
        <v/>
      </c>
      <c r="M109">
        <f>IF($AG109="","",INDEX('04_調査結果'!$G$5:$G$404,$AG109)&amp;"")</f>
        <v/>
      </c>
      <c r="N109">
        <f>IF($AG109="","",INDEX('04_調査結果'!$H$5:$H$404,$AG109)&amp;"")</f>
        <v/>
      </c>
      <c r="O109" s="33">
        <f>IF($AG109="","",IF(INDEX('04_調査結果'!$Z$5:$Z$404,$AG109)&lt;&gt;"",INDEX('04_調査結果'!$Z$5:$Z$404,$AG109),INDEX('04_調査結果'!$AM$5:$AM$404,$AG109)))</f>
        <v/>
      </c>
      <c r="P109" s="33">
        <f>IF($AG109="","",IF(INDEX('04_調査結果'!$AA$5:$AA$404,$AG109)&lt;&gt;"",INDEX('04_調査結果'!$AA$5:$AA$404,$AG109),INDEX('04_調査結果'!$AN$5:$AN$404,$AG109)))</f>
        <v/>
      </c>
      <c r="Q109" s="33">
        <f>IF($AG109="","",INDEX('04_調査結果'!$AD$5:$AD$404,$AG109))</f>
        <v/>
      </c>
      <c r="R109">
        <f>IF($AG109="","",INDEX('04_調査結果'!$AO$5:$AO$404,$AG109))</f>
        <v/>
      </c>
      <c r="S109" s="37">
        <f>IF($AG109="","",INDEX('04_調査結果'!$AQ$5:$AQ$404,$AG109))</f>
        <v/>
      </c>
      <c r="T109" s="37">
        <f>IF($AG109="","",INDEX('04_調査結果'!$AR$5:$AR$404,$AG109))</f>
        <v/>
      </c>
      <c r="U109">
        <f>IF($AG109="","",INDEX('04_調査結果'!$N$5:$N$404,$AG109)&amp;"")</f>
        <v/>
      </c>
      <c r="V109">
        <f>IF($AG109="","",INDEX('04_調査結果'!$O$5:$O$404,$AG109))</f>
        <v/>
      </c>
      <c r="W109">
        <f>IF($AG109="","",INDEX('04_調査結果'!$P$5:$P$404,$AG109))</f>
        <v/>
      </c>
      <c r="X109">
        <f>IF($AG109="","",INDEX('04_調査結果'!$Q$5:$Q$404,$AG109))</f>
        <v/>
      </c>
      <c r="Y109">
        <f>IF($AG109="","",INDEX('04_調査結果'!$R$5:$R$404,$AG109))</f>
        <v/>
      </c>
      <c r="Z109">
        <f>IF($AG109="","",INDEX('04_調査結果'!$S$5:$S$404,$AG109))</f>
        <v/>
      </c>
      <c r="AA109">
        <f>IF($AG109="","",INDEX('04_調査結果'!$T$5:$T$404,$AG109))</f>
        <v/>
      </c>
      <c r="AB109">
        <f>IF($AG109="","",INDEX('04_調査結果'!$U$5:$U$404,$AG109))</f>
        <v/>
      </c>
      <c r="AC109">
        <f>IF($AG109="","",INDEX('04_調査結果'!$AF$5:$AF$404,$AG109))</f>
        <v/>
      </c>
      <c r="AD109">
        <f>IF($AG109="","",INDEX('04_調査結果'!$AC$5:$AC$404,$AG109)&amp;"")</f>
        <v/>
      </c>
      <c r="AE109">
        <f>IF($AG109="","",INDEX('04_調査結果'!$V$5:$V$404,$AG109)&amp;"")</f>
        <v/>
      </c>
      <c r="AF109">
        <f>IF($AG109="","",INDEX('04_調査結果'!$X$5:$X$404,$AG109)&amp;"")</f>
        <v/>
      </c>
      <c r="AG109" s="34">
        <f>IFERROR(MATCH(ROW()-4,'04_調査結果'!$AT$5:$AT$404,0),"")</f>
        <v/>
      </c>
    </row>
    <row r="110">
      <c r="A110">
        <f>IF($AG110="","",'01_設定'!$C$4)</f>
        <v/>
      </c>
      <c r="B110">
        <f>IF($AG110="","",'01_設定'!$C$5)</f>
        <v/>
      </c>
      <c r="C110">
        <f>IF($AG110="","",'01_設定'!$C$6)</f>
        <v/>
      </c>
      <c r="D110" s="36">
        <f>IF($AG110="","",'01_設定'!$C$22)</f>
        <v/>
      </c>
      <c r="E110" s="36">
        <f>IF($AG110="","",'01_設定'!$C$23)</f>
        <v/>
      </c>
      <c r="F110">
        <f>IF($AG110="","",'01_設定'!$C$32)</f>
        <v/>
      </c>
      <c r="G110">
        <f>IF($AG110="","",ROW()-4)</f>
        <v/>
      </c>
      <c r="H110">
        <f>IF($AG110="","",INDEX('04_調査結果'!$AJ$5:$AJ$404,$AG110))</f>
        <v/>
      </c>
      <c r="I110">
        <f>IF($AG110="","",INDEX('04_調査結果'!$D$5:$D$404,$AG110)&amp;"")</f>
        <v/>
      </c>
      <c r="J110">
        <f>IF($AG110="","",INDEX('04_調査結果'!$AK$5:$AK$404,$AG110)&amp;"")</f>
        <v/>
      </c>
      <c r="K110">
        <f>IF($AG110="","",IFERROR(INDEX('M1_類型マスタ'!$B$5:$B$19,MATCH(J110,'M1_類型マスタ'!$A$5:$A$19,0)),""))</f>
        <v/>
      </c>
      <c r="L110">
        <f>IF($AG110="","",INDEX('04_調査結果'!$F$5:$F$404,$AG110)&amp;"")</f>
        <v/>
      </c>
      <c r="M110">
        <f>IF($AG110="","",INDEX('04_調査結果'!$G$5:$G$404,$AG110)&amp;"")</f>
        <v/>
      </c>
      <c r="N110">
        <f>IF($AG110="","",INDEX('04_調査結果'!$H$5:$H$404,$AG110)&amp;"")</f>
        <v/>
      </c>
      <c r="O110" s="33">
        <f>IF($AG110="","",IF(INDEX('04_調査結果'!$Z$5:$Z$404,$AG110)&lt;&gt;"",INDEX('04_調査結果'!$Z$5:$Z$404,$AG110),INDEX('04_調査結果'!$AM$5:$AM$404,$AG110)))</f>
        <v/>
      </c>
      <c r="P110" s="33">
        <f>IF($AG110="","",IF(INDEX('04_調査結果'!$AA$5:$AA$404,$AG110)&lt;&gt;"",INDEX('04_調査結果'!$AA$5:$AA$404,$AG110),INDEX('04_調査結果'!$AN$5:$AN$404,$AG110)))</f>
        <v/>
      </c>
      <c r="Q110" s="33">
        <f>IF($AG110="","",INDEX('04_調査結果'!$AD$5:$AD$404,$AG110))</f>
        <v/>
      </c>
      <c r="R110">
        <f>IF($AG110="","",INDEX('04_調査結果'!$AO$5:$AO$404,$AG110))</f>
        <v/>
      </c>
      <c r="S110" s="37">
        <f>IF($AG110="","",INDEX('04_調査結果'!$AQ$5:$AQ$404,$AG110))</f>
        <v/>
      </c>
      <c r="T110" s="37">
        <f>IF($AG110="","",INDEX('04_調査結果'!$AR$5:$AR$404,$AG110))</f>
        <v/>
      </c>
      <c r="U110">
        <f>IF($AG110="","",INDEX('04_調査結果'!$N$5:$N$404,$AG110)&amp;"")</f>
        <v/>
      </c>
      <c r="V110">
        <f>IF($AG110="","",INDEX('04_調査結果'!$O$5:$O$404,$AG110))</f>
        <v/>
      </c>
      <c r="W110">
        <f>IF($AG110="","",INDEX('04_調査結果'!$P$5:$P$404,$AG110))</f>
        <v/>
      </c>
      <c r="X110">
        <f>IF($AG110="","",INDEX('04_調査結果'!$Q$5:$Q$404,$AG110))</f>
        <v/>
      </c>
      <c r="Y110">
        <f>IF($AG110="","",INDEX('04_調査結果'!$R$5:$R$404,$AG110))</f>
        <v/>
      </c>
      <c r="Z110">
        <f>IF($AG110="","",INDEX('04_調査結果'!$S$5:$S$404,$AG110))</f>
        <v/>
      </c>
      <c r="AA110">
        <f>IF($AG110="","",INDEX('04_調査結果'!$T$5:$T$404,$AG110))</f>
        <v/>
      </c>
      <c r="AB110">
        <f>IF($AG110="","",INDEX('04_調査結果'!$U$5:$U$404,$AG110))</f>
        <v/>
      </c>
      <c r="AC110">
        <f>IF($AG110="","",INDEX('04_調査結果'!$AF$5:$AF$404,$AG110))</f>
        <v/>
      </c>
      <c r="AD110">
        <f>IF($AG110="","",INDEX('04_調査結果'!$AC$5:$AC$404,$AG110)&amp;"")</f>
        <v/>
      </c>
      <c r="AE110">
        <f>IF($AG110="","",INDEX('04_調査結果'!$V$5:$V$404,$AG110)&amp;"")</f>
        <v/>
      </c>
      <c r="AF110">
        <f>IF($AG110="","",INDEX('04_調査結果'!$X$5:$X$404,$AG110)&amp;"")</f>
        <v/>
      </c>
      <c r="AG110" s="34">
        <f>IFERROR(MATCH(ROW()-4,'04_調査結果'!$AT$5:$AT$404,0),"")</f>
        <v/>
      </c>
    </row>
    <row r="111">
      <c r="A111">
        <f>IF($AG111="","",'01_設定'!$C$4)</f>
        <v/>
      </c>
      <c r="B111">
        <f>IF($AG111="","",'01_設定'!$C$5)</f>
        <v/>
      </c>
      <c r="C111">
        <f>IF($AG111="","",'01_設定'!$C$6)</f>
        <v/>
      </c>
      <c r="D111" s="36">
        <f>IF($AG111="","",'01_設定'!$C$22)</f>
        <v/>
      </c>
      <c r="E111" s="36">
        <f>IF($AG111="","",'01_設定'!$C$23)</f>
        <v/>
      </c>
      <c r="F111">
        <f>IF($AG111="","",'01_設定'!$C$32)</f>
        <v/>
      </c>
      <c r="G111">
        <f>IF($AG111="","",ROW()-4)</f>
        <v/>
      </c>
      <c r="H111">
        <f>IF($AG111="","",INDEX('04_調査結果'!$AJ$5:$AJ$404,$AG111))</f>
        <v/>
      </c>
      <c r="I111">
        <f>IF($AG111="","",INDEX('04_調査結果'!$D$5:$D$404,$AG111)&amp;"")</f>
        <v/>
      </c>
      <c r="J111">
        <f>IF($AG111="","",INDEX('04_調査結果'!$AK$5:$AK$404,$AG111)&amp;"")</f>
        <v/>
      </c>
      <c r="K111">
        <f>IF($AG111="","",IFERROR(INDEX('M1_類型マスタ'!$B$5:$B$19,MATCH(J111,'M1_類型マスタ'!$A$5:$A$19,0)),""))</f>
        <v/>
      </c>
      <c r="L111">
        <f>IF($AG111="","",INDEX('04_調査結果'!$F$5:$F$404,$AG111)&amp;"")</f>
        <v/>
      </c>
      <c r="M111">
        <f>IF($AG111="","",INDEX('04_調査結果'!$G$5:$G$404,$AG111)&amp;"")</f>
        <v/>
      </c>
      <c r="N111">
        <f>IF($AG111="","",INDEX('04_調査結果'!$H$5:$H$404,$AG111)&amp;"")</f>
        <v/>
      </c>
      <c r="O111" s="33">
        <f>IF($AG111="","",IF(INDEX('04_調査結果'!$Z$5:$Z$404,$AG111)&lt;&gt;"",INDEX('04_調査結果'!$Z$5:$Z$404,$AG111),INDEX('04_調査結果'!$AM$5:$AM$404,$AG111)))</f>
        <v/>
      </c>
      <c r="P111" s="33">
        <f>IF($AG111="","",IF(INDEX('04_調査結果'!$AA$5:$AA$404,$AG111)&lt;&gt;"",INDEX('04_調査結果'!$AA$5:$AA$404,$AG111),INDEX('04_調査結果'!$AN$5:$AN$404,$AG111)))</f>
        <v/>
      </c>
      <c r="Q111" s="33">
        <f>IF($AG111="","",INDEX('04_調査結果'!$AD$5:$AD$404,$AG111))</f>
        <v/>
      </c>
      <c r="R111">
        <f>IF($AG111="","",INDEX('04_調査結果'!$AO$5:$AO$404,$AG111))</f>
        <v/>
      </c>
      <c r="S111" s="37">
        <f>IF($AG111="","",INDEX('04_調査結果'!$AQ$5:$AQ$404,$AG111))</f>
        <v/>
      </c>
      <c r="T111" s="37">
        <f>IF($AG111="","",INDEX('04_調査結果'!$AR$5:$AR$404,$AG111))</f>
        <v/>
      </c>
      <c r="U111">
        <f>IF($AG111="","",INDEX('04_調査結果'!$N$5:$N$404,$AG111)&amp;"")</f>
        <v/>
      </c>
      <c r="V111">
        <f>IF($AG111="","",INDEX('04_調査結果'!$O$5:$O$404,$AG111))</f>
        <v/>
      </c>
      <c r="W111">
        <f>IF($AG111="","",INDEX('04_調査結果'!$P$5:$P$404,$AG111))</f>
        <v/>
      </c>
      <c r="X111">
        <f>IF($AG111="","",INDEX('04_調査結果'!$Q$5:$Q$404,$AG111))</f>
        <v/>
      </c>
      <c r="Y111">
        <f>IF($AG111="","",INDEX('04_調査結果'!$R$5:$R$404,$AG111))</f>
        <v/>
      </c>
      <c r="Z111">
        <f>IF($AG111="","",INDEX('04_調査結果'!$S$5:$S$404,$AG111))</f>
        <v/>
      </c>
      <c r="AA111">
        <f>IF($AG111="","",INDEX('04_調査結果'!$T$5:$T$404,$AG111))</f>
        <v/>
      </c>
      <c r="AB111">
        <f>IF($AG111="","",INDEX('04_調査結果'!$U$5:$U$404,$AG111))</f>
        <v/>
      </c>
      <c r="AC111">
        <f>IF($AG111="","",INDEX('04_調査結果'!$AF$5:$AF$404,$AG111))</f>
        <v/>
      </c>
      <c r="AD111">
        <f>IF($AG111="","",INDEX('04_調査結果'!$AC$5:$AC$404,$AG111)&amp;"")</f>
        <v/>
      </c>
      <c r="AE111">
        <f>IF($AG111="","",INDEX('04_調査結果'!$V$5:$V$404,$AG111)&amp;"")</f>
        <v/>
      </c>
      <c r="AF111">
        <f>IF($AG111="","",INDEX('04_調査結果'!$X$5:$X$404,$AG111)&amp;"")</f>
        <v/>
      </c>
      <c r="AG111" s="34">
        <f>IFERROR(MATCH(ROW()-4,'04_調査結果'!$AT$5:$AT$404,0),"")</f>
        <v/>
      </c>
    </row>
    <row r="112">
      <c r="A112">
        <f>IF($AG112="","",'01_設定'!$C$4)</f>
        <v/>
      </c>
      <c r="B112">
        <f>IF($AG112="","",'01_設定'!$C$5)</f>
        <v/>
      </c>
      <c r="C112">
        <f>IF($AG112="","",'01_設定'!$C$6)</f>
        <v/>
      </c>
      <c r="D112" s="36">
        <f>IF($AG112="","",'01_設定'!$C$22)</f>
        <v/>
      </c>
      <c r="E112" s="36">
        <f>IF($AG112="","",'01_設定'!$C$23)</f>
        <v/>
      </c>
      <c r="F112">
        <f>IF($AG112="","",'01_設定'!$C$32)</f>
        <v/>
      </c>
      <c r="G112">
        <f>IF($AG112="","",ROW()-4)</f>
        <v/>
      </c>
      <c r="H112">
        <f>IF($AG112="","",INDEX('04_調査結果'!$AJ$5:$AJ$404,$AG112))</f>
        <v/>
      </c>
      <c r="I112">
        <f>IF($AG112="","",INDEX('04_調査結果'!$D$5:$D$404,$AG112)&amp;"")</f>
        <v/>
      </c>
      <c r="J112">
        <f>IF($AG112="","",INDEX('04_調査結果'!$AK$5:$AK$404,$AG112)&amp;"")</f>
        <v/>
      </c>
      <c r="K112">
        <f>IF($AG112="","",IFERROR(INDEX('M1_類型マスタ'!$B$5:$B$19,MATCH(J112,'M1_類型マスタ'!$A$5:$A$19,0)),""))</f>
        <v/>
      </c>
      <c r="L112">
        <f>IF($AG112="","",INDEX('04_調査結果'!$F$5:$F$404,$AG112)&amp;"")</f>
        <v/>
      </c>
      <c r="M112">
        <f>IF($AG112="","",INDEX('04_調査結果'!$G$5:$G$404,$AG112)&amp;"")</f>
        <v/>
      </c>
      <c r="N112">
        <f>IF($AG112="","",INDEX('04_調査結果'!$H$5:$H$404,$AG112)&amp;"")</f>
        <v/>
      </c>
      <c r="O112" s="33">
        <f>IF($AG112="","",IF(INDEX('04_調査結果'!$Z$5:$Z$404,$AG112)&lt;&gt;"",INDEX('04_調査結果'!$Z$5:$Z$404,$AG112),INDEX('04_調査結果'!$AM$5:$AM$404,$AG112)))</f>
        <v/>
      </c>
      <c r="P112" s="33">
        <f>IF($AG112="","",IF(INDEX('04_調査結果'!$AA$5:$AA$404,$AG112)&lt;&gt;"",INDEX('04_調査結果'!$AA$5:$AA$404,$AG112),INDEX('04_調査結果'!$AN$5:$AN$404,$AG112)))</f>
        <v/>
      </c>
      <c r="Q112" s="33">
        <f>IF($AG112="","",INDEX('04_調査結果'!$AD$5:$AD$404,$AG112))</f>
        <v/>
      </c>
      <c r="R112">
        <f>IF($AG112="","",INDEX('04_調査結果'!$AO$5:$AO$404,$AG112))</f>
        <v/>
      </c>
      <c r="S112" s="37">
        <f>IF($AG112="","",INDEX('04_調査結果'!$AQ$5:$AQ$404,$AG112))</f>
        <v/>
      </c>
      <c r="T112" s="37">
        <f>IF($AG112="","",INDEX('04_調査結果'!$AR$5:$AR$404,$AG112))</f>
        <v/>
      </c>
      <c r="U112">
        <f>IF($AG112="","",INDEX('04_調査結果'!$N$5:$N$404,$AG112)&amp;"")</f>
        <v/>
      </c>
      <c r="V112">
        <f>IF($AG112="","",INDEX('04_調査結果'!$O$5:$O$404,$AG112))</f>
        <v/>
      </c>
      <c r="W112">
        <f>IF($AG112="","",INDEX('04_調査結果'!$P$5:$P$404,$AG112))</f>
        <v/>
      </c>
      <c r="X112">
        <f>IF($AG112="","",INDEX('04_調査結果'!$Q$5:$Q$404,$AG112))</f>
        <v/>
      </c>
      <c r="Y112">
        <f>IF($AG112="","",INDEX('04_調査結果'!$R$5:$R$404,$AG112))</f>
        <v/>
      </c>
      <c r="Z112">
        <f>IF($AG112="","",INDEX('04_調査結果'!$S$5:$S$404,$AG112))</f>
        <v/>
      </c>
      <c r="AA112">
        <f>IF($AG112="","",INDEX('04_調査結果'!$T$5:$T$404,$AG112))</f>
        <v/>
      </c>
      <c r="AB112">
        <f>IF($AG112="","",INDEX('04_調査結果'!$U$5:$U$404,$AG112))</f>
        <v/>
      </c>
      <c r="AC112">
        <f>IF($AG112="","",INDEX('04_調査結果'!$AF$5:$AF$404,$AG112))</f>
        <v/>
      </c>
      <c r="AD112">
        <f>IF($AG112="","",INDEX('04_調査結果'!$AC$5:$AC$404,$AG112)&amp;"")</f>
        <v/>
      </c>
      <c r="AE112">
        <f>IF($AG112="","",INDEX('04_調査結果'!$V$5:$V$404,$AG112)&amp;"")</f>
        <v/>
      </c>
      <c r="AF112">
        <f>IF($AG112="","",INDEX('04_調査結果'!$X$5:$X$404,$AG112)&amp;"")</f>
        <v/>
      </c>
      <c r="AG112" s="34">
        <f>IFERROR(MATCH(ROW()-4,'04_調査結果'!$AT$5:$AT$404,0),"")</f>
        <v/>
      </c>
    </row>
    <row r="113">
      <c r="A113">
        <f>IF($AG113="","",'01_設定'!$C$4)</f>
        <v/>
      </c>
      <c r="B113">
        <f>IF($AG113="","",'01_設定'!$C$5)</f>
        <v/>
      </c>
      <c r="C113">
        <f>IF($AG113="","",'01_設定'!$C$6)</f>
        <v/>
      </c>
      <c r="D113" s="36">
        <f>IF($AG113="","",'01_設定'!$C$22)</f>
        <v/>
      </c>
      <c r="E113" s="36">
        <f>IF($AG113="","",'01_設定'!$C$23)</f>
        <v/>
      </c>
      <c r="F113">
        <f>IF($AG113="","",'01_設定'!$C$32)</f>
        <v/>
      </c>
      <c r="G113">
        <f>IF($AG113="","",ROW()-4)</f>
        <v/>
      </c>
      <c r="H113">
        <f>IF($AG113="","",INDEX('04_調査結果'!$AJ$5:$AJ$404,$AG113))</f>
        <v/>
      </c>
      <c r="I113">
        <f>IF($AG113="","",INDEX('04_調査結果'!$D$5:$D$404,$AG113)&amp;"")</f>
        <v/>
      </c>
      <c r="J113">
        <f>IF($AG113="","",INDEX('04_調査結果'!$AK$5:$AK$404,$AG113)&amp;"")</f>
        <v/>
      </c>
      <c r="K113">
        <f>IF($AG113="","",IFERROR(INDEX('M1_類型マスタ'!$B$5:$B$19,MATCH(J113,'M1_類型マスタ'!$A$5:$A$19,0)),""))</f>
        <v/>
      </c>
      <c r="L113">
        <f>IF($AG113="","",INDEX('04_調査結果'!$F$5:$F$404,$AG113)&amp;"")</f>
        <v/>
      </c>
      <c r="M113">
        <f>IF($AG113="","",INDEX('04_調査結果'!$G$5:$G$404,$AG113)&amp;"")</f>
        <v/>
      </c>
      <c r="N113">
        <f>IF($AG113="","",INDEX('04_調査結果'!$H$5:$H$404,$AG113)&amp;"")</f>
        <v/>
      </c>
      <c r="O113" s="33">
        <f>IF($AG113="","",IF(INDEX('04_調査結果'!$Z$5:$Z$404,$AG113)&lt;&gt;"",INDEX('04_調査結果'!$Z$5:$Z$404,$AG113),INDEX('04_調査結果'!$AM$5:$AM$404,$AG113)))</f>
        <v/>
      </c>
      <c r="P113" s="33">
        <f>IF($AG113="","",IF(INDEX('04_調査結果'!$AA$5:$AA$404,$AG113)&lt;&gt;"",INDEX('04_調査結果'!$AA$5:$AA$404,$AG113),INDEX('04_調査結果'!$AN$5:$AN$404,$AG113)))</f>
        <v/>
      </c>
      <c r="Q113" s="33">
        <f>IF($AG113="","",INDEX('04_調査結果'!$AD$5:$AD$404,$AG113))</f>
        <v/>
      </c>
      <c r="R113">
        <f>IF($AG113="","",INDEX('04_調査結果'!$AO$5:$AO$404,$AG113))</f>
        <v/>
      </c>
      <c r="S113" s="37">
        <f>IF($AG113="","",INDEX('04_調査結果'!$AQ$5:$AQ$404,$AG113))</f>
        <v/>
      </c>
      <c r="T113" s="37">
        <f>IF($AG113="","",INDEX('04_調査結果'!$AR$5:$AR$404,$AG113))</f>
        <v/>
      </c>
      <c r="U113">
        <f>IF($AG113="","",INDEX('04_調査結果'!$N$5:$N$404,$AG113)&amp;"")</f>
        <v/>
      </c>
      <c r="V113">
        <f>IF($AG113="","",INDEX('04_調査結果'!$O$5:$O$404,$AG113))</f>
        <v/>
      </c>
      <c r="W113">
        <f>IF($AG113="","",INDEX('04_調査結果'!$P$5:$P$404,$AG113))</f>
        <v/>
      </c>
      <c r="X113">
        <f>IF($AG113="","",INDEX('04_調査結果'!$Q$5:$Q$404,$AG113))</f>
        <v/>
      </c>
      <c r="Y113">
        <f>IF($AG113="","",INDEX('04_調査結果'!$R$5:$R$404,$AG113))</f>
        <v/>
      </c>
      <c r="Z113">
        <f>IF($AG113="","",INDEX('04_調査結果'!$S$5:$S$404,$AG113))</f>
        <v/>
      </c>
      <c r="AA113">
        <f>IF($AG113="","",INDEX('04_調査結果'!$T$5:$T$404,$AG113))</f>
        <v/>
      </c>
      <c r="AB113">
        <f>IF($AG113="","",INDEX('04_調査結果'!$U$5:$U$404,$AG113))</f>
        <v/>
      </c>
      <c r="AC113">
        <f>IF($AG113="","",INDEX('04_調査結果'!$AF$5:$AF$404,$AG113))</f>
        <v/>
      </c>
      <c r="AD113">
        <f>IF($AG113="","",INDEX('04_調査結果'!$AC$5:$AC$404,$AG113)&amp;"")</f>
        <v/>
      </c>
      <c r="AE113">
        <f>IF($AG113="","",INDEX('04_調査結果'!$V$5:$V$404,$AG113)&amp;"")</f>
        <v/>
      </c>
      <c r="AF113">
        <f>IF($AG113="","",INDEX('04_調査結果'!$X$5:$X$404,$AG113)&amp;"")</f>
        <v/>
      </c>
      <c r="AG113" s="34">
        <f>IFERROR(MATCH(ROW()-4,'04_調査結果'!$AT$5:$AT$404,0),"")</f>
        <v/>
      </c>
    </row>
    <row r="114">
      <c r="A114">
        <f>IF($AG114="","",'01_設定'!$C$4)</f>
        <v/>
      </c>
      <c r="B114">
        <f>IF($AG114="","",'01_設定'!$C$5)</f>
        <v/>
      </c>
      <c r="C114">
        <f>IF($AG114="","",'01_設定'!$C$6)</f>
        <v/>
      </c>
      <c r="D114" s="36">
        <f>IF($AG114="","",'01_設定'!$C$22)</f>
        <v/>
      </c>
      <c r="E114" s="36">
        <f>IF($AG114="","",'01_設定'!$C$23)</f>
        <v/>
      </c>
      <c r="F114">
        <f>IF($AG114="","",'01_設定'!$C$32)</f>
        <v/>
      </c>
      <c r="G114">
        <f>IF($AG114="","",ROW()-4)</f>
        <v/>
      </c>
      <c r="H114">
        <f>IF($AG114="","",INDEX('04_調査結果'!$AJ$5:$AJ$404,$AG114))</f>
        <v/>
      </c>
      <c r="I114">
        <f>IF($AG114="","",INDEX('04_調査結果'!$D$5:$D$404,$AG114)&amp;"")</f>
        <v/>
      </c>
      <c r="J114">
        <f>IF($AG114="","",INDEX('04_調査結果'!$AK$5:$AK$404,$AG114)&amp;"")</f>
        <v/>
      </c>
      <c r="K114">
        <f>IF($AG114="","",IFERROR(INDEX('M1_類型マスタ'!$B$5:$B$19,MATCH(J114,'M1_類型マスタ'!$A$5:$A$19,0)),""))</f>
        <v/>
      </c>
      <c r="L114">
        <f>IF($AG114="","",INDEX('04_調査結果'!$F$5:$F$404,$AG114)&amp;"")</f>
        <v/>
      </c>
      <c r="M114">
        <f>IF($AG114="","",INDEX('04_調査結果'!$G$5:$G$404,$AG114)&amp;"")</f>
        <v/>
      </c>
      <c r="N114">
        <f>IF($AG114="","",INDEX('04_調査結果'!$H$5:$H$404,$AG114)&amp;"")</f>
        <v/>
      </c>
      <c r="O114" s="33">
        <f>IF($AG114="","",IF(INDEX('04_調査結果'!$Z$5:$Z$404,$AG114)&lt;&gt;"",INDEX('04_調査結果'!$Z$5:$Z$404,$AG114),INDEX('04_調査結果'!$AM$5:$AM$404,$AG114)))</f>
        <v/>
      </c>
      <c r="P114" s="33">
        <f>IF($AG114="","",IF(INDEX('04_調査結果'!$AA$5:$AA$404,$AG114)&lt;&gt;"",INDEX('04_調査結果'!$AA$5:$AA$404,$AG114),INDEX('04_調査結果'!$AN$5:$AN$404,$AG114)))</f>
        <v/>
      </c>
      <c r="Q114" s="33">
        <f>IF($AG114="","",INDEX('04_調査結果'!$AD$5:$AD$404,$AG114))</f>
        <v/>
      </c>
      <c r="R114">
        <f>IF($AG114="","",INDEX('04_調査結果'!$AO$5:$AO$404,$AG114))</f>
        <v/>
      </c>
      <c r="S114" s="37">
        <f>IF($AG114="","",INDEX('04_調査結果'!$AQ$5:$AQ$404,$AG114))</f>
        <v/>
      </c>
      <c r="T114" s="37">
        <f>IF($AG114="","",INDEX('04_調査結果'!$AR$5:$AR$404,$AG114))</f>
        <v/>
      </c>
      <c r="U114">
        <f>IF($AG114="","",INDEX('04_調査結果'!$N$5:$N$404,$AG114)&amp;"")</f>
        <v/>
      </c>
      <c r="V114">
        <f>IF($AG114="","",INDEX('04_調査結果'!$O$5:$O$404,$AG114))</f>
        <v/>
      </c>
      <c r="W114">
        <f>IF($AG114="","",INDEX('04_調査結果'!$P$5:$P$404,$AG114))</f>
        <v/>
      </c>
      <c r="X114">
        <f>IF($AG114="","",INDEX('04_調査結果'!$Q$5:$Q$404,$AG114))</f>
        <v/>
      </c>
      <c r="Y114">
        <f>IF($AG114="","",INDEX('04_調査結果'!$R$5:$R$404,$AG114))</f>
        <v/>
      </c>
      <c r="Z114">
        <f>IF($AG114="","",INDEX('04_調査結果'!$S$5:$S$404,$AG114))</f>
        <v/>
      </c>
      <c r="AA114">
        <f>IF($AG114="","",INDEX('04_調査結果'!$T$5:$T$404,$AG114))</f>
        <v/>
      </c>
      <c r="AB114">
        <f>IF($AG114="","",INDEX('04_調査結果'!$U$5:$U$404,$AG114))</f>
        <v/>
      </c>
      <c r="AC114">
        <f>IF($AG114="","",INDEX('04_調査結果'!$AF$5:$AF$404,$AG114))</f>
        <v/>
      </c>
      <c r="AD114">
        <f>IF($AG114="","",INDEX('04_調査結果'!$AC$5:$AC$404,$AG114)&amp;"")</f>
        <v/>
      </c>
      <c r="AE114">
        <f>IF($AG114="","",INDEX('04_調査結果'!$V$5:$V$404,$AG114)&amp;"")</f>
        <v/>
      </c>
      <c r="AF114">
        <f>IF($AG114="","",INDEX('04_調査結果'!$X$5:$X$404,$AG114)&amp;"")</f>
        <v/>
      </c>
      <c r="AG114" s="34">
        <f>IFERROR(MATCH(ROW()-4,'04_調査結果'!$AT$5:$AT$404,0),"")</f>
        <v/>
      </c>
    </row>
    <row r="115">
      <c r="A115">
        <f>IF($AG115="","",'01_設定'!$C$4)</f>
        <v/>
      </c>
      <c r="B115">
        <f>IF($AG115="","",'01_設定'!$C$5)</f>
        <v/>
      </c>
      <c r="C115">
        <f>IF($AG115="","",'01_設定'!$C$6)</f>
        <v/>
      </c>
      <c r="D115" s="36">
        <f>IF($AG115="","",'01_設定'!$C$22)</f>
        <v/>
      </c>
      <c r="E115" s="36">
        <f>IF($AG115="","",'01_設定'!$C$23)</f>
        <v/>
      </c>
      <c r="F115">
        <f>IF($AG115="","",'01_設定'!$C$32)</f>
        <v/>
      </c>
      <c r="G115">
        <f>IF($AG115="","",ROW()-4)</f>
        <v/>
      </c>
      <c r="H115">
        <f>IF($AG115="","",INDEX('04_調査結果'!$AJ$5:$AJ$404,$AG115))</f>
        <v/>
      </c>
      <c r="I115">
        <f>IF($AG115="","",INDEX('04_調査結果'!$D$5:$D$404,$AG115)&amp;"")</f>
        <v/>
      </c>
      <c r="J115">
        <f>IF($AG115="","",INDEX('04_調査結果'!$AK$5:$AK$404,$AG115)&amp;"")</f>
        <v/>
      </c>
      <c r="K115">
        <f>IF($AG115="","",IFERROR(INDEX('M1_類型マスタ'!$B$5:$B$19,MATCH(J115,'M1_類型マスタ'!$A$5:$A$19,0)),""))</f>
        <v/>
      </c>
      <c r="L115">
        <f>IF($AG115="","",INDEX('04_調査結果'!$F$5:$F$404,$AG115)&amp;"")</f>
        <v/>
      </c>
      <c r="M115">
        <f>IF($AG115="","",INDEX('04_調査結果'!$G$5:$G$404,$AG115)&amp;"")</f>
        <v/>
      </c>
      <c r="N115">
        <f>IF($AG115="","",INDEX('04_調査結果'!$H$5:$H$404,$AG115)&amp;"")</f>
        <v/>
      </c>
      <c r="O115" s="33">
        <f>IF($AG115="","",IF(INDEX('04_調査結果'!$Z$5:$Z$404,$AG115)&lt;&gt;"",INDEX('04_調査結果'!$Z$5:$Z$404,$AG115),INDEX('04_調査結果'!$AM$5:$AM$404,$AG115)))</f>
        <v/>
      </c>
      <c r="P115" s="33">
        <f>IF($AG115="","",IF(INDEX('04_調査結果'!$AA$5:$AA$404,$AG115)&lt;&gt;"",INDEX('04_調査結果'!$AA$5:$AA$404,$AG115),INDEX('04_調査結果'!$AN$5:$AN$404,$AG115)))</f>
        <v/>
      </c>
      <c r="Q115" s="33">
        <f>IF($AG115="","",INDEX('04_調査結果'!$AD$5:$AD$404,$AG115))</f>
        <v/>
      </c>
      <c r="R115">
        <f>IF($AG115="","",INDEX('04_調査結果'!$AO$5:$AO$404,$AG115))</f>
        <v/>
      </c>
      <c r="S115" s="37">
        <f>IF($AG115="","",INDEX('04_調査結果'!$AQ$5:$AQ$404,$AG115))</f>
        <v/>
      </c>
      <c r="T115" s="37">
        <f>IF($AG115="","",INDEX('04_調査結果'!$AR$5:$AR$404,$AG115))</f>
        <v/>
      </c>
      <c r="U115">
        <f>IF($AG115="","",INDEX('04_調査結果'!$N$5:$N$404,$AG115)&amp;"")</f>
        <v/>
      </c>
      <c r="V115">
        <f>IF($AG115="","",INDEX('04_調査結果'!$O$5:$O$404,$AG115))</f>
        <v/>
      </c>
      <c r="W115">
        <f>IF($AG115="","",INDEX('04_調査結果'!$P$5:$P$404,$AG115))</f>
        <v/>
      </c>
      <c r="X115">
        <f>IF($AG115="","",INDEX('04_調査結果'!$Q$5:$Q$404,$AG115))</f>
        <v/>
      </c>
      <c r="Y115">
        <f>IF($AG115="","",INDEX('04_調査結果'!$R$5:$R$404,$AG115))</f>
        <v/>
      </c>
      <c r="Z115">
        <f>IF($AG115="","",INDEX('04_調査結果'!$S$5:$S$404,$AG115))</f>
        <v/>
      </c>
      <c r="AA115">
        <f>IF($AG115="","",INDEX('04_調査結果'!$T$5:$T$404,$AG115))</f>
        <v/>
      </c>
      <c r="AB115">
        <f>IF($AG115="","",INDEX('04_調査結果'!$U$5:$U$404,$AG115))</f>
        <v/>
      </c>
      <c r="AC115">
        <f>IF($AG115="","",INDEX('04_調査結果'!$AF$5:$AF$404,$AG115))</f>
        <v/>
      </c>
      <c r="AD115">
        <f>IF($AG115="","",INDEX('04_調査結果'!$AC$5:$AC$404,$AG115)&amp;"")</f>
        <v/>
      </c>
      <c r="AE115">
        <f>IF($AG115="","",INDEX('04_調査結果'!$V$5:$V$404,$AG115)&amp;"")</f>
        <v/>
      </c>
      <c r="AF115">
        <f>IF($AG115="","",INDEX('04_調査結果'!$X$5:$X$404,$AG115)&amp;"")</f>
        <v/>
      </c>
      <c r="AG115" s="34">
        <f>IFERROR(MATCH(ROW()-4,'04_調査結果'!$AT$5:$AT$404,0),"")</f>
        <v/>
      </c>
    </row>
    <row r="116">
      <c r="A116">
        <f>IF($AG116="","",'01_設定'!$C$4)</f>
        <v/>
      </c>
      <c r="B116">
        <f>IF($AG116="","",'01_設定'!$C$5)</f>
        <v/>
      </c>
      <c r="C116">
        <f>IF($AG116="","",'01_設定'!$C$6)</f>
        <v/>
      </c>
      <c r="D116" s="36">
        <f>IF($AG116="","",'01_設定'!$C$22)</f>
        <v/>
      </c>
      <c r="E116" s="36">
        <f>IF($AG116="","",'01_設定'!$C$23)</f>
        <v/>
      </c>
      <c r="F116">
        <f>IF($AG116="","",'01_設定'!$C$32)</f>
        <v/>
      </c>
      <c r="G116">
        <f>IF($AG116="","",ROW()-4)</f>
        <v/>
      </c>
      <c r="H116">
        <f>IF($AG116="","",INDEX('04_調査結果'!$AJ$5:$AJ$404,$AG116))</f>
        <v/>
      </c>
      <c r="I116">
        <f>IF($AG116="","",INDEX('04_調査結果'!$D$5:$D$404,$AG116)&amp;"")</f>
        <v/>
      </c>
      <c r="J116">
        <f>IF($AG116="","",INDEX('04_調査結果'!$AK$5:$AK$404,$AG116)&amp;"")</f>
        <v/>
      </c>
      <c r="K116">
        <f>IF($AG116="","",IFERROR(INDEX('M1_類型マスタ'!$B$5:$B$19,MATCH(J116,'M1_類型マスタ'!$A$5:$A$19,0)),""))</f>
        <v/>
      </c>
      <c r="L116">
        <f>IF($AG116="","",INDEX('04_調査結果'!$F$5:$F$404,$AG116)&amp;"")</f>
        <v/>
      </c>
      <c r="M116">
        <f>IF($AG116="","",INDEX('04_調査結果'!$G$5:$G$404,$AG116)&amp;"")</f>
        <v/>
      </c>
      <c r="N116">
        <f>IF($AG116="","",INDEX('04_調査結果'!$H$5:$H$404,$AG116)&amp;"")</f>
        <v/>
      </c>
      <c r="O116" s="33">
        <f>IF($AG116="","",IF(INDEX('04_調査結果'!$Z$5:$Z$404,$AG116)&lt;&gt;"",INDEX('04_調査結果'!$Z$5:$Z$404,$AG116),INDEX('04_調査結果'!$AM$5:$AM$404,$AG116)))</f>
        <v/>
      </c>
      <c r="P116" s="33">
        <f>IF($AG116="","",IF(INDEX('04_調査結果'!$AA$5:$AA$404,$AG116)&lt;&gt;"",INDEX('04_調査結果'!$AA$5:$AA$404,$AG116),INDEX('04_調査結果'!$AN$5:$AN$404,$AG116)))</f>
        <v/>
      </c>
      <c r="Q116" s="33">
        <f>IF($AG116="","",INDEX('04_調査結果'!$AD$5:$AD$404,$AG116))</f>
        <v/>
      </c>
      <c r="R116">
        <f>IF($AG116="","",INDEX('04_調査結果'!$AO$5:$AO$404,$AG116))</f>
        <v/>
      </c>
      <c r="S116" s="37">
        <f>IF($AG116="","",INDEX('04_調査結果'!$AQ$5:$AQ$404,$AG116))</f>
        <v/>
      </c>
      <c r="T116" s="37">
        <f>IF($AG116="","",INDEX('04_調査結果'!$AR$5:$AR$404,$AG116))</f>
        <v/>
      </c>
      <c r="U116">
        <f>IF($AG116="","",INDEX('04_調査結果'!$N$5:$N$404,$AG116)&amp;"")</f>
        <v/>
      </c>
      <c r="V116">
        <f>IF($AG116="","",INDEX('04_調査結果'!$O$5:$O$404,$AG116))</f>
        <v/>
      </c>
      <c r="W116">
        <f>IF($AG116="","",INDEX('04_調査結果'!$P$5:$P$404,$AG116))</f>
        <v/>
      </c>
      <c r="X116">
        <f>IF($AG116="","",INDEX('04_調査結果'!$Q$5:$Q$404,$AG116))</f>
        <v/>
      </c>
      <c r="Y116">
        <f>IF($AG116="","",INDEX('04_調査結果'!$R$5:$R$404,$AG116))</f>
        <v/>
      </c>
      <c r="Z116">
        <f>IF($AG116="","",INDEX('04_調査結果'!$S$5:$S$404,$AG116))</f>
        <v/>
      </c>
      <c r="AA116">
        <f>IF($AG116="","",INDEX('04_調査結果'!$T$5:$T$404,$AG116))</f>
        <v/>
      </c>
      <c r="AB116">
        <f>IF($AG116="","",INDEX('04_調査結果'!$U$5:$U$404,$AG116))</f>
        <v/>
      </c>
      <c r="AC116">
        <f>IF($AG116="","",INDEX('04_調査結果'!$AF$5:$AF$404,$AG116))</f>
        <v/>
      </c>
      <c r="AD116">
        <f>IF($AG116="","",INDEX('04_調査結果'!$AC$5:$AC$404,$AG116)&amp;"")</f>
        <v/>
      </c>
      <c r="AE116">
        <f>IF($AG116="","",INDEX('04_調査結果'!$V$5:$V$404,$AG116)&amp;"")</f>
        <v/>
      </c>
      <c r="AF116">
        <f>IF($AG116="","",INDEX('04_調査結果'!$X$5:$X$404,$AG116)&amp;"")</f>
        <v/>
      </c>
      <c r="AG116" s="34">
        <f>IFERROR(MATCH(ROW()-4,'04_調査結果'!$AT$5:$AT$404,0),"")</f>
        <v/>
      </c>
    </row>
    <row r="117">
      <c r="A117">
        <f>IF($AG117="","",'01_設定'!$C$4)</f>
        <v/>
      </c>
      <c r="B117">
        <f>IF($AG117="","",'01_設定'!$C$5)</f>
        <v/>
      </c>
      <c r="C117">
        <f>IF($AG117="","",'01_設定'!$C$6)</f>
        <v/>
      </c>
      <c r="D117" s="36">
        <f>IF($AG117="","",'01_設定'!$C$22)</f>
        <v/>
      </c>
      <c r="E117" s="36">
        <f>IF($AG117="","",'01_設定'!$C$23)</f>
        <v/>
      </c>
      <c r="F117">
        <f>IF($AG117="","",'01_設定'!$C$32)</f>
        <v/>
      </c>
      <c r="G117">
        <f>IF($AG117="","",ROW()-4)</f>
        <v/>
      </c>
      <c r="H117">
        <f>IF($AG117="","",INDEX('04_調査結果'!$AJ$5:$AJ$404,$AG117))</f>
        <v/>
      </c>
      <c r="I117">
        <f>IF($AG117="","",INDEX('04_調査結果'!$D$5:$D$404,$AG117)&amp;"")</f>
        <v/>
      </c>
      <c r="J117">
        <f>IF($AG117="","",INDEX('04_調査結果'!$AK$5:$AK$404,$AG117)&amp;"")</f>
        <v/>
      </c>
      <c r="K117">
        <f>IF($AG117="","",IFERROR(INDEX('M1_類型マスタ'!$B$5:$B$19,MATCH(J117,'M1_類型マスタ'!$A$5:$A$19,0)),""))</f>
        <v/>
      </c>
      <c r="L117">
        <f>IF($AG117="","",INDEX('04_調査結果'!$F$5:$F$404,$AG117)&amp;"")</f>
        <v/>
      </c>
      <c r="M117">
        <f>IF($AG117="","",INDEX('04_調査結果'!$G$5:$G$404,$AG117)&amp;"")</f>
        <v/>
      </c>
      <c r="N117">
        <f>IF($AG117="","",INDEX('04_調査結果'!$H$5:$H$404,$AG117)&amp;"")</f>
        <v/>
      </c>
      <c r="O117" s="33">
        <f>IF($AG117="","",IF(INDEX('04_調査結果'!$Z$5:$Z$404,$AG117)&lt;&gt;"",INDEX('04_調査結果'!$Z$5:$Z$404,$AG117),INDEX('04_調査結果'!$AM$5:$AM$404,$AG117)))</f>
        <v/>
      </c>
      <c r="P117" s="33">
        <f>IF($AG117="","",IF(INDEX('04_調査結果'!$AA$5:$AA$404,$AG117)&lt;&gt;"",INDEX('04_調査結果'!$AA$5:$AA$404,$AG117),INDEX('04_調査結果'!$AN$5:$AN$404,$AG117)))</f>
        <v/>
      </c>
      <c r="Q117" s="33">
        <f>IF($AG117="","",INDEX('04_調査結果'!$AD$5:$AD$404,$AG117))</f>
        <v/>
      </c>
      <c r="R117">
        <f>IF($AG117="","",INDEX('04_調査結果'!$AO$5:$AO$404,$AG117))</f>
        <v/>
      </c>
      <c r="S117" s="37">
        <f>IF($AG117="","",INDEX('04_調査結果'!$AQ$5:$AQ$404,$AG117))</f>
        <v/>
      </c>
      <c r="T117" s="37">
        <f>IF($AG117="","",INDEX('04_調査結果'!$AR$5:$AR$404,$AG117))</f>
        <v/>
      </c>
      <c r="U117">
        <f>IF($AG117="","",INDEX('04_調査結果'!$N$5:$N$404,$AG117)&amp;"")</f>
        <v/>
      </c>
      <c r="V117">
        <f>IF($AG117="","",INDEX('04_調査結果'!$O$5:$O$404,$AG117))</f>
        <v/>
      </c>
      <c r="W117">
        <f>IF($AG117="","",INDEX('04_調査結果'!$P$5:$P$404,$AG117))</f>
        <v/>
      </c>
      <c r="X117">
        <f>IF($AG117="","",INDEX('04_調査結果'!$Q$5:$Q$404,$AG117))</f>
        <v/>
      </c>
      <c r="Y117">
        <f>IF($AG117="","",INDEX('04_調査結果'!$R$5:$R$404,$AG117))</f>
        <v/>
      </c>
      <c r="Z117">
        <f>IF($AG117="","",INDEX('04_調査結果'!$S$5:$S$404,$AG117))</f>
        <v/>
      </c>
      <c r="AA117">
        <f>IF($AG117="","",INDEX('04_調査結果'!$T$5:$T$404,$AG117))</f>
        <v/>
      </c>
      <c r="AB117">
        <f>IF($AG117="","",INDEX('04_調査結果'!$U$5:$U$404,$AG117))</f>
        <v/>
      </c>
      <c r="AC117">
        <f>IF($AG117="","",INDEX('04_調査結果'!$AF$5:$AF$404,$AG117))</f>
        <v/>
      </c>
      <c r="AD117">
        <f>IF($AG117="","",INDEX('04_調査結果'!$AC$5:$AC$404,$AG117)&amp;"")</f>
        <v/>
      </c>
      <c r="AE117">
        <f>IF($AG117="","",INDEX('04_調査結果'!$V$5:$V$404,$AG117)&amp;"")</f>
        <v/>
      </c>
      <c r="AF117">
        <f>IF($AG117="","",INDEX('04_調査結果'!$X$5:$X$404,$AG117)&amp;"")</f>
        <v/>
      </c>
      <c r="AG117" s="34">
        <f>IFERROR(MATCH(ROW()-4,'04_調査結果'!$AT$5:$AT$404,0),"")</f>
        <v/>
      </c>
    </row>
    <row r="118">
      <c r="A118">
        <f>IF($AG118="","",'01_設定'!$C$4)</f>
        <v/>
      </c>
      <c r="B118">
        <f>IF($AG118="","",'01_設定'!$C$5)</f>
        <v/>
      </c>
      <c r="C118">
        <f>IF($AG118="","",'01_設定'!$C$6)</f>
        <v/>
      </c>
      <c r="D118" s="36">
        <f>IF($AG118="","",'01_設定'!$C$22)</f>
        <v/>
      </c>
      <c r="E118" s="36">
        <f>IF($AG118="","",'01_設定'!$C$23)</f>
        <v/>
      </c>
      <c r="F118">
        <f>IF($AG118="","",'01_設定'!$C$32)</f>
        <v/>
      </c>
      <c r="G118">
        <f>IF($AG118="","",ROW()-4)</f>
        <v/>
      </c>
      <c r="H118">
        <f>IF($AG118="","",INDEX('04_調査結果'!$AJ$5:$AJ$404,$AG118))</f>
        <v/>
      </c>
      <c r="I118">
        <f>IF($AG118="","",INDEX('04_調査結果'!$D$5:$D$404,$AG118)&amp;"")</f>
        <v/>
      </c>
      <c r="J118">
        <f>IF($AG118="","",INDEX('04_調査結果'!$AK$5:$AK$404,$AG118)&amp;"")</f>
        <v/>
      </c>
      <c r="K118">
        <f>IF($AG118="","",IFERROR(INDEX('M1_類型マスタ'!$B$5:$B$19,MATCH(J118,'M1_類型マスタ'!$A$5:$A$19,0)),""))</f>
        <v/>
      </c>
      <c r="L118">
        <f>IF($AG118="","",INDEX('04_調査結果'!$F$5:$F$404,$AG118)&amp;"")</f>
        <v/>
      </c>
      <c r="M118">
        <f>IF($AG118="","",INDEX('04_調査結果'!$G$5:$G$404,$AG118)&amp;"")</f>
        <v/>
      </c>
      <c r="N118">
        <f>IF($AG118="","",INDEX('04_調査結果'!$H$5:$H$404,$AG118)&amp;"")</f>
        <v/>
      </c>
      <c r="O118" s="33">
        <f>IF($AG118="","",IF(INDEX('04_調査結果'!$Z$5:$Z$404,$AG118)&lt;&gt;"",INDEX('04_調査結果'!$Z$5:$Z$404,$AG118),INDEX('04_調査結果'!$AM$5:$AM$404,$AG118)))</f>
        <v/>
      </c>
      <c r="P118" s="33">
        <f>IF($AG118="","",IF(INDEX('04_調査結果'!$AA$5:$AA$404,$AG118)&lt;&gt;"",INDEX('04_調査結果'!$AA$5:$AA$404,$AG118),INDEX('04_調査結果'!$AN$5:$AN$404,$AG118)))</f>
        <v/>
      </c>
      <c r="Q118" s="33">
        <f>IF($AG118="","",INDEX('04_調査結果'!$AD$5:$AD$404,$AG118))</f>
        <v/>
      </c>
      <c r="R118">
        <f>IF($AG118="","",INDEX('04_調査結果'!$AO$5:$AO$404,$AG118))</f>
        <v/>
      </c>
      <c r="S118" s="37">
        <f>IF($AG118="","",INDEX('04_調査結果'!$AQ$5:$AQ$404,$AG118))</f>
        <v/>
      </c>
      <c r="T118" s="37">
        <f>IF($AG118="","",INDEX('04_調査結果'!$AR$5:$AR$404,$AG118))</f>
        <v/>
      </c>
      <c r="U118">
        <f>IF($AG118="","",INDEX('04_調査結果'!$N$5:$N$404,$AG118)&amp;"")</f>
        <v/>
      </c>
      <c r="V118">
        <f>IF($AG118="","",INDEX('04_調査結果'!$O$5:$O$404,$AG118))</f>
        <v/>
      </c>
      <c r="W118">
        <f>IF($AG118="","",INDEX('04_調査結果'!$P$5:$P$404,$AG118))</f>
        <v/>
      </c>
      <c r="X118">
        <f>IF($AG118="","",INDEX('04_調査結果'!$Q$5:$Q$404,$AG118))</f>
        <v/>
      </c>
      <c r="Y118">
        <f>IF($AG118="","",INDEX('04_調査結果'!$R$5:$R$404,$AG118))</f>
        <v/>
      </c>
      <c r="Z118">
        <f>IF($AG118="","",INDEX('04_調査結果'!$S$5:$S$404,$AG118))</f>
        <v/>
      </c>
      <c r="AA118">
        <f>IF($AG118="","",INDEX('04_調査結果'!$T$5:$T$404,$AG118))</f>
        <v/>
      </c>
      <c r="AB118">
        <f>IF($AG118="","",INDEX('04_調査結果'!$U$5:$U$404,$AG118))</f>
        <v/>
      </c>
      <c r="AC118">
        <f>IF($AG118="","",INDEX('04_調査結果'!$AF$5:$AF$404,$AG118))</f>
        <v/>
      </c>
      <c r="AD118">
        <f>IF($AG118="","",INDEX('04_調査結果'!$AC$5:$AC$404,$AG118)&amp;"")</f>
        <v/>
      </c>
      <c r="AE118">
        <f>IF($AG118="","",INDEX('04_調査結果'!$V$5:$V$404,$AG118)&amp;"")</f>
        <v/>
      </c>
      <c r="AF118">
        <f>IF($AG118="","",INDEX('04_調査結果'!$X$5:$X$404,$AG118)&amp;"")</f>
        <v/>
      </c>
      <c r="AG118" s="34">
        <f>IFERROR(MATCH(ROW()-4,'04_調査結果'!$AT$5:$AT$404,0),"")</f>
        <v/>
      </c>
    </row>
    <row r="119">
      <c r="A119">
        <f>IF($AG119="","",'01_設定'!$C$4)</f>
        <v/>
      </c>
      <c r="B119">
        <f>IF($AG119="","",'01_設定'!$C$5)</f>
        <v/>
      </c>
      <c r="C119">
        <f>IF($AG119="","",'01_設定'!$C$6)</f>
        <v/>
      </c>
      <c r="D119" s="36">
        <f>IF($AG119="","",'01_設定'!$C$22)</f>
        <v/>
      </c>
      <c r="E119" s="36">
        <f>IF($AG119="","",'01_設定'!$C$23)</f>
        <v/>
      </c>
      <c r="F119">
        <f>IF($AG119="","",'01_設定'!$C$32)</f>
        <v/>
      </c>
      <c r="G119">
        <f>IF($AG119="","",ROW()-4)</f>
        <v/>
      </c>
      <c r="H119">
        <f>IF($AG119="","",INDEX('04_調査結果'!$AJ$5:$AJ$404,$AG119))</f>
        <v/>
      </c>
      <c r="I119">
        <f>IF($AG119="","",INDEX('04_調査結果'!$D$5:$D$404,$AG119)&amp;"")</f>
        <v/>
      </c>
      <c r="J119">
        <f>IF($AG119="","",INDEX('04_調査結果'!$AK$5:$AK$404,$AG119)&amp;"")</f>
        <v/>
      </c>
      <c r="K119">
        <f>IF($AG119="","",IFERROR(INDEX('M1_類型マスタ'!$B$5:$B$19,MATCH(J119,'M1_類型マスタ'!$A$5:$A$19,0)),""))</f>
        <v/>
      </c>
      <c r="L119">
        <f>IF($AG119="","",INDEX('04_調査結果'!$F$5:$F$404,$AG119)&amp;"")</f>
        <v/>
      </c>
      <c r="M119">
        <f>IF($AG119="","",INDEX('04_調査結果'!$G$5:$G$404,$AG119)&amp;"")</f>
        <v/>
      </c>
      <c r="N119">
        <f>IF($AG119="","",INDEX('04_調査結果'!$H$5:$H$404,$AG119)&amp;"")</f>
        <v/>
      </c>
      <c r="O119" s="33">
        <f>IF($AG119="","",IF(INDEX('04_調査結果'!$Z$5:$Z$404,$AG119)&lt;&gt;"",INDEX('04_調査結果'!$Z$5:$Z$404,$AG119),INDEX('04_調査結果'!$AM$5:$AM$404,$AG119)))</f>
        <v/>
      </c>
      <c r="P119" s="33">
        <f>IF($AG119="","",IF(INDEX('04_調査結果'!$AA$5:$AA$404,$AG119)&lt;&gt;"",INDEX('04_調査結果'!$AA$5:$AA$404,$AG119),INDEX('04_調査結果'!$AN$5:$AN$404,$AG119)))</f>
        <v/>
      </c>
      <c r="Q119" s="33">
        <f>IF($AG119="","",INDEX('04_調査結果'!$AD$5:$AD$404,$AG119))</f>
        <v/>
      </c>
      <c r="R119">
        <f>IF($AG119="","",INDEX('04_調査結果'!$AO$5:$AO$404,$AG119))</f>
        <v/>
      </c>
      <c r="S119" s="37">
        <f>IF($AG119="","",INDEX('04_調査結果'!$AQ$5:$AQ$404,$AG119))</f>
        <v/>
      </c>
      <c r="T119" s="37">
        <f>IF($AG119="","",INDEX('04_調査結果'!$AR$5:$AR$404,$AG119))</f>
        <v/>
      </c>
      <c r="U119">
        <f>IF($AG119="","",INDEX('04_調査結果'!$N$5:$N$404,$AG119)&amp;"")</f>
        <v/>
      </c>
      <c r="V119">
        <f>IF($AG119="","",INDEX('04_調査結果'!$O$5:$O$404,$AG119))</f>
        <v/>
      </c>
      <c r="W119">
        <f>IF($AG119="","",INDEX('04_調査結果'!$P$5:$P$404,$AG119))</f>
        <v/>
      </c>
      <c r="X119">
        <f>IF($AG119="","",INDEX('04_調査結果'!$Q$5:$Q$404,$AG119))</f>
        <v/>
      </c>
      <c r="Y119">
        <f>IF($AG119="","",INDEX('04_調査結果'!$R$5:$R$404,$AG119))</f>
        <v/>
      </c>
      <c r="Z119">
        <f>IF($AG119="","",INDEX('04_調査結果'!$S$5:$S$404,$AG119))</f>
        <v/>
      </c>
      <c r="AA119">
        <f>IF($AG119="","",INDEX('04_調査結果'!$T$5:$T$404,$AG119))</f>
        <v/>
      </c>
      <c r="AB119">
        <f>IF($AG119="","",INDEX('04_調査結果'!$U$5:$U$404,$AG119))</f>
        <v/>
      </c>
      <c r="AC119">
        <f>IF($AG119="","",INDEX('04_調査結果'!$AF$5:$AF$404,$AG119))</f>
        <v/>
      </c>
      <c r="AD119">
        <f>IF($AG119="","",INDEX('04_調査結果'!$AC$5:$AC$404,$AG119)&amp;"")</f>
        <v/>
      </c>
      <c r="AE119">
        <f>IF($AG119="","",INDEX('04_調査結果'!$V$5:$V$404,$AG119)&amp;"")</f>
        <v/>
      </c>
      <c r="AF119">
        <f>IF($AG119="","",INDEX('04_調査結果'!$X$5:$X$404,$AG119)&amp;"")</f>
        <v/>
      </c>
      <c r="AG119" s="34">
        <f>IFERROR(MATCH(ROW()-4,'04_調査結果'!$AT$5:$AT$404,0),"")</f>
        <v/>
      </c>
    </row>
    <row r="120">
      <c r="A120">
        <f>IF($AG120="","",'01_設定'!$C$4)</f>
        <v/>
      </c>
      <c r="B120">
        <f>IF($AG120="","",'01_設定'!$C$5)</f>
        <v/>
      </c>
      <c r="C120">
        <f>IF($AG120="","",'01_設定'!$C$6)</f>
        <v/>
      </c>
      <c r="D120" s="36">
        <f>IF($AG120="","",'01_設定'!$C$22)</f>
        <v/>
      </c>
      <c r="E120" s="36">
        <f>IF($AG120="","",'01_設定'!$C$23)</f>
        <v/>
      </c>
      <c r="F120">
        <f>IF($AG120="","",'01_設定'!$C$32)</f>
        <v/>
      </c>
      <c r="G120">
        <f>IF($AG120="","",ROW()-4)</f>
        <v/>
      </c>
      <c r="H120">
        <f>IF($AG120="","",INDEX('04_調査結果'!$AJ$5:$AJ$404,$AG120))</f>
        <v/>
      </c>
      <c r="I120">
        <f>IF($AG120="","",INDEX('04_調査結果'!$D$5:$D$404,$AG120)&amp;"")</f>
        <v/>
      </c>
      <c r="J120">
        <f>IF($AG120="","",INDEX('04_調査結果'!$AK$5:$AK$404,$AG120)&amp;"")</f>
        <v/>
      </c>
      <c r="K120">
        <f>IF($AG120="","",IFERROR(INDEX('M1_類型マスタ'!$B$5:$B$19,MATCH(J120,'M1_類型マスタ'!$A$5:$A$19,0)),""))</f>
        <v/>
      </c>
      <c r="L120">
        <f>IF($AG120="","",INDEX('04_調査結果'!$F$5:$F$404,$AG120)&amp;"")</f>
        <v/>
      </c>
      <c r="M120">
        <f>IF($AG120="","",INDEX('04_調査結果'!$G$5:$G$404,$AG120)&amp;"")</f>
        <v/>
      </c>
      <c r="N120">
        <f>IF($AG120="","",INDEX('04_調査結果'!$H$5:$H$404,$AG120)&amp;"")</f>
        <v/>
      </c>
      <c r="O120" s="33">
        <f>IF($AG120="","",IF(INDEX('04_調査結果'!$Z$5:$Z$404,$AG120)&lt;&gt;"",INDEX('04_調査結果'!$Z$5:$Z$404,$AG120),INDEX('04_調査結果'!$AM$5:$AM$404,$AG120)))</f>
        <v/>
      </c>
      <c r="P120" s="33">
        <f>IF($AG120="","",IF(INDEX('04_調査結果'!$AA$5:$AA$404,$AG120)&lt;&gt;"",INDEX('04_調査結果'!$AA$5:$AA$404,$AG120),INDEX('04_調査結果'!$AN$5:$AN$404,$AG120)))</f>
        <v/>
      </c>
      <c r="Q120" s="33">
        <f>IF($AG120="","",INDEX('04_調査結果'!$AD$5:$AD$404,$AG120))</f>
        <v/>
      </c>
      <c r="R120">
        <f>IF($AG120="","",INDEX('04_調査結果'!$AO$5:$AO$404,$AG120))</f>
        <v/>
      </c>
      <c r="S120" s="37">
        <f>IF($AG120="","",INDEX('04_調査結果'!$AQ$5:$AQ$404,$AG120))</f>
        <v/>
      </c>
      <c r="T120" s="37">
        <f>IF($AG120="","",INDEX('04_調査結果'!$AR$5:$AR$404,$AG120))</f>
        <v/>
      </c>
      <c r="U120">
        <f>IF($AG120="","",INDEX('04_調査結果'!$N$5:$N$404,$AG120)&amp;"")</f>
        <v/>
      </c>
      <c r="V120">
        <f>IF($AG120="","",INDEX('04_調査結果'!$O$5:$O$404,$AG120))</f>
        <v/>
      </c>
      <c r="W120">
        <f>IF($AG120="","",INDEX('04_調査結果'!$P$5:$P$404,$AG120))</f>
        <v/>
      </c>
      <c r="X120">
        <f>IF($AG120="","",INDEX('04_調査結果'!$Q$5:$Q$404,$AG120))</f>
        <v/>
      </c>
      <c r="Y120">
        <f>IF($AG120="","",INDEX('04_調査結果'!$R$5:$R$404,$AG120))</f>
        <v/>
      </c>
      <c r="Z120">
        <f>IF($AG120="","",INDEX('04_調査結果'!$S$5:$S$404,$AG120))</f>
        <v/>
      </c>
      <c r="AA120">
        <f>IF($AG120="","",INDEX('04_調査結果'!$T$5:$T$404,$AG120))</f>
        <v/>
      </c>
      <c r="AB120">
        <f>IF($AG120="","",INDEX('04_調査結果'!$U$5:$U$404,$AG120))</f>
        <v/>
      </c>
      <c r="AC120">
        <f>IF($AG120="","",INDEX('04_調査結果'!$AF$5:$AF$404,$AG120))</f>
        <v/>
      </c>
      <c r="AD120">
        <f>IF($AG120="","",INDEX('04_調査結果'!$AC$5:$AC$404,$AG120)&amp;"")</f>
        <v/>
      </c>
      <c r="AE120">
        <f>IF($AG120="","",INDEX('04_調査結果'!$V$5:$V$404,$AG120)&amp;"")</f>
        <v/>
      </c>
      <c r="AF120">
        <f>IF($AG120="","",INDEX('04_調査結果'!$X$5:$X$404,$AG120)&amp;"")</f>
        <v/>
      </c>
      <c r="AG120" s="34">
        <f>IFERROR(MATCH(ROW()-4,'04_調査結果'!$AT$5:$AT$404,0),"")</f>
        <v/>
      </c>
    </row>
    <row r="121">
      <c r="A121">
        <f>IF($AG121="","",'01_設定'!$C$4)</f>
        <v/>
      </c>
      <c r="B121">
        <f>IF($AG121="","",'01_設定'!$C$5)</f>
        <v/>
      </c>
      <c r="C121">
        <f>IF($AG121="","",'01_設定'!$C$6)</f>
        <v/>
      </c>
      <c r="D121" s="36">
        <f>IF($AG121="","",'01_設定'!$C$22)</f>
        <v/>
      </c>
      <c r="E121" s="36">
        <f>IF($AG121="","",'01_設定'!$C$23)</f>
        <v/>
      </c>
      <c r="F121">
        <f>IF($AG121="","",'01_設定'!$C$32)</f>
        <v/>
      </c>
      <c r="G121">
        <f>IF($AG121="","",ROW()-4)</f>
        <v/>
      </c>
      <c r="H121">
        <f>IF($AG121="","",INDEX('04_調査結果'!$AJ$5:$AJ$404,$AG121))</f>
        <v/>
      </c>
      <c r="I121">
        <f>IF($AG121="","",INDEX('04_調査結果'!$D$5:$D$404,$AG121)&amp;"")</f>
        <v/>
      </c>
      <c r="J121">
        <f>IF($AG121="","",INDEX('04_調査結果'!$AK$5:$AK$404,$AG121)&amp;"")</f>
        <v/>
      </c>
      <c r="K121">
        <f>IF($AG121="","",IFERROR(INDEX('M1_類型マスタ'!$B$5:$B$19,MATCH(J121,'M1_類型マスタ'!$A$5:$A$19,0)),""))</f>
        <v/>
      </c>
      <c r="L121">
        <f>IF($AG121="","",INDEX('04_調査結果'!$F$5:$F$404,$AG121)&amp;"")</f>
        <v/>
      </c>
      <c r="M121">
        <f>IF($AG121="","",INDEX('04_調査結果'!$G$5:$G$404,$AG121)&amp;"")</f>
        <v/>
      </c>
      <c r="N121">
        <f>IF($AG121="","",INDEX('04_調査結果'!$H$5:$H$404,$AG121)&amp;"")</f>
        <v/>
      </c>
      <c r="O121" s="33">
        <f>IF($AG121="","",IF(INDEX('04_調査結果'!$Z$5:$Z$404,$AG121)&lt;&gt;"",INDEX('04_調査結果'!$Z$5:$Z$404,$AG121),INDEX('04_調査結果'!$AM$5:$AM$404,$AG121)))</f>
        <v/>
      </c>
      <c r="P121" s="33">
        <f>IF($AG121="","",IF(INDEX('04_調査結果'!$AA$5:$AA$404,$AG121)&lt;&gt;"",INDEX('04_調査結果'!$AA$5:$AA$404,$AG121),INDEX('04_調査結果'!$AN$5:$AN$404,$AG121)))</f>
        <v/>
      </c>
      <c r="Q121" s="33">
        <f>IF($AG121="","",INDEX('04_調査結果'!$AD$5:$AD$404,$AG121))</f>
        <v/>
      </c>
      <c r="R121">
        <f>IF($AG121="","",INDEX('04_調査結果'!$AO$5:$AO$404,$AG121))</f>
        <v/>
      </c>
      <c r="S121" s="37">
        <f>IF($AG121="","",INDEX('04_調査結果'!$AQ$5:$AQ$404,$AG121))</f>
        <v/>
      </c>
      <c r="T121" s="37">
        <f>IF($AG121="","",INDEX('04_調査結果'!$AR$5:$AR$404,$AG121))</f>
        <v/>
      </c>
      <c r="U121">
        <f>IF($AG121="","",INDEX('04_調査結果'!$N$5:$N$404,$AG121)&amp;"")</f>
        <v/>
      </c>
      <c r="V121">
        <f>IF($AG121="","",INDEX('04_調査結果'!$O$5:$O$404,$AG121))</f>
        <v/>
      </c>
      <c r="W121">
        <f>IF($AG121="","",INDEX('04_調査結果'!$P$5:$P$404,$AG121))</f>
        <v/>
      </c>
      <c r="X121">
        <f>IF($AG121="","",INDEX('04_調査結果'!$Q$5:$Q$404,$AG121))</f>
        <v/>
      </c>
      <c r="Y121">
        <f>IF($AG121="","",INDEX('04_調査結果'!$R$5:$R$404,$AG121))</f>
        <v/>
      </c>
      <c r="Z121">
        <f>IF($AG121="","",INDEX('04_調査結果'!$S$5:$S$404,$AG121))</f>
        <v/>
      </c>
      <c r="AA121">
        <f>IF($AG121="","",INDEX('04_調査結果'!$T$5:$T$404,$AG121))</f>
        <v/>
      </c>
      <c r="AB121">
        <f>IF($AG121="","",INDEX('04_調査結果'!$U$5:$U$404,$AG121))</f>
        <v/>
      </c>
      <c r="AC121">
        <f>IF($AG121="","",INDEX('04_調査結果'!$AF$5:$AF$404,$AG121))</f>
        <v/>
      </c>
      <c r="AD121">
        <f>IF($AG121="","",INDEX('04_調査結果'!$AC$5:$AC$404,$AG121)&amp;"")</f>
        <v/>
      </c>
      <c r="AE121">
        <f>IF($AG121="","",INDEX('04_調査結果'!$V$5:$V$404,$AG121)&amp;"")</f>
        <v/>
      </c>
      <c r="AF121">
        <f>IF($AG121="","",INDEX('04_調査結果'!$X$5:$X$404,$AG121)&amp;"")</f>
        <v/>
      </c>
      <c r="AG121" s="34">
        <f>IFERROR(MATCH(ROW()-4,'04_調査結果'!$AT$5:$AT$404,0),"")</f>
        <v/>
      </c>
    </row>
    <row r="122">
      <c r="A122">
        <f>IF($AG122="","",'01_設定'!$C$4)</f>
        <v/>
      </c>
      <c r="B122">
        <f>IF($AG122="","",'01_設定'!$C$5)</f>
        <v/>
      </c>
      <c r="C122">
        <f>IF($AG122="","",'01_設定'!$C$6)</f>
        <v/>
      </c>
      <c r="D122" s="36">
        <f>IF($AG122="","",'01_設定'!$C$22)</f>
        <v/>
      </c>
      <c r="E122" s="36">
        <f>IF($AG122="","",'01_設定'!$C$23)</f>
        <v/>
      </c>
      <c r="F122">
        <f>IF($AG122="","",'01_設定'!$C$32)</f>
        <v/>
      </c>
      <c r="G122">
        <f>IF($AG122="","",ROW()-4)</f>
        <v/>
      </c>
      <c r="H122">
        <f>IF($AG122="","",INDEX('04_調査結果'!$AJ$5:$AJ$404,$AG122))</f>
        <v/>
      </c>
      <c r="I122">
        <f>IF($AG122="","",INDEX('04_調査結果'!$D$5:$D$404,$AG122)&amp;"")</f>
        <v/>
      </c>
      <c r="J122">
        <f>IF($AG122="","",INDEX('04_調査結果'!$AK$5:$AK$404,$AG122)&amp;"")</f>
        <v/>
      </c>
      <c r="K122">
        <f>IF($AG122="","",IFERROR(INDEX('M1_類型マスタ'!$B$5:$B$19,MATCH(J122,'M1_類型マスタ'!$A$5:$A$19,0)),""))</f>
        <v/>
      </c>
      <c r="L122">
        <f>IF($AG122="","",INDEX('04_調査結果'!$F$5:$F$404,$AG122)&amp;"")</f>
        <v/>
      </c>
      <c r="M122">
        <f>IF($AG122="","",INDEX('04_調査結果'!$G$5:$G$404,$AG122)&amp;"")</f>
        <v/>
      </c>
      <c r="N122">
        <f>IF($AG122="","",INDEX('04_調査結果'!$H$5:$H$404,$AG122)&amp;"")</f>
        <v/>
      </c>
      <c r="O122" s="33">
        <f>IF($AG122="","",IF(INDEX('04_調査結果'!$Z$5:$Z$404,$AG122)&lt;&gt;"",INDEX('04_調査結果'!$Z$5:$Z$404,$AG122),INDEX('04_調査結果'!$AM$5:$AM$404,$AG122)))</f>
        <v/>
      </c>
      <c r="P122" s="33">
        <f>IF($AG122="","",IF(INDEX('04_調査結果'!$AA$5:$AA$404,$AG122)&lt;&gt;"",INDEX('04_調査結果'!$AA$5:$AA$404,$AG122),INDEX('04_調査結果'!$AN$5:$AN$404,$AG122)))</f>
        <v/>
      </c>
      <c r="Q122" s="33">
        <f>IF($AG122="","",INDEX('04_調査結果'!$AD$5:$AD$404,$AG122))</f>
        <v/>
      </c>
      <c r="R122">
        <f>IF($AG122="","",INDEX('04_調査結果'!$AO$5:$AO$404,$AG122))</f>
        <v/>
      </c>
      <c r="S122" s="37">
        <f>IF($AG122="","",INDEX('04_調査結果'!$AQ$5:$AQ$404,$AG122))</f>
        <v/>
      </c>
      <c r="T122" s="37">
        <f>IF($AG122="","",INDEX('04_調査結果'!$AR$5:$AR$404,$AG122))</f>
        <v/>
      </c>
      <c r="U122">
        <f>IF($AG122="","",INDEX('04_調査結果'!$N$5:$N$404,$AG122)&amp;"")</f>
        <v/>
      </c>
      <c r="V122">
        <f>IF($AG122="","",INDEX('04_調査結果'!$O$5:$O$404,$AG122))</f>
        <v/>
      </c>
      <c r="W122">
        <f>IF($AG122="","",INDEX('04_調査結果'!$P$5:$P$404,$AG122))</f>
        <v/>
      </c>
      <c r="X122">
        <f>IF($AG122="","",INDEX('04_調査結果'!$Q$5:$Q$404,$AG122))</f>
        <v/>
      </c>
      <c r="Y122">
        <f>IF($AG122="","",INDEX('04_調査結果'!$R$5:$R$404,$AG122))</f>
        <v/>
      </c>
      <c r="Z122">
        <f>IF($AG122="","",INDEX('04_調査結果'!$S$5:$S$404,$AG122))</f>
        <v/>
      </c>
      <c r="AA122">
        <f>IF($AG122="","",INDEX('04_調査結果'!$T$5:$T$404,$AG122))</f>
        <v/>
      </c>
      <c r="AB122">
        <f>IF($AG122="","",INDEX('04_調査結果'!$U$5:$U$404,$AG122))</f>
        <v/>
      </c>
      <c r="AC122">
        <f>IF($AG122="","",INDEX('04_調査結果'!$AF$5:$AF$404,$AG122))</f>
        <v/>
      </c>
      <c r="AD122">
        <f>IF($AG122="","",INDEX('04_調査結果'!$AC$5:$AC$404,$AG122)&amp;"")</f>
        <v/>
      </c>
      <c r="AE122">
        <f>IF($AG122="","",INDEX('04_調査結果'!$V$5:$V$404,$AG122)&amp;"")</f>
        <v/>
      </c>
      <c r="AF122">
        <f>IF($AG122="","",INDEX('04_調査結果'!$X$5:$X$404,$AG122)&amp;"")</f>
        <v/>
      </c>
      <c r="AG122" s="34">
        <f>IFERROR(MATCH(ROW()-4,'04_調査結果'!$AT$5:$AT$404,0),"")</f>
        <v/>
      </c>
    </row>
    <row r="123">
      <c r="A123">
        <f>IF($AG123="","",'01_設定'!$C$4)</f>
        <v/>
      </c>
      <c r="B123">
        <f>IF($AG123="","",'01_設定'!$C$5)</f>
        <v/>
      </c>
      <c r="C123">
        <f>IF($AG123="","",'01_設定'!$C$6)</f>
        <v/>
      </c>
      <c r="D123" s="36">
        <f>IF($AG123="","",'01_設定'!$C$22)</f>
        <v/>
      </c>
      <c r="E123" s="36">
        <f>IF($AG123="","",'01_設定'!$C$23)</f>
        <v/>
      </c>
      <c r="F123">
        <f>IF($AG123="","",'01_設定'!$C$32)</f>
        <v/>
      </c>
      <c r="G123">
        <f>IF($AG123="","",ROW()-4)</f>
        <v/>
      </c>
      <c r="H123">
        <f>IF($AG123="","",INDEX('04_調査結果'!$AJ$5:$AJ$404,$AG123))</f>
        <v/>
      </c>
      <c r="I123">
        <f>IF($AG123="","",INDEX('04_調査結果'!$D$5:$D$404,$AG123)&amp;"")</f>
        <v/>
      </c>
      <c r="J123">
        <f>IF($AG123="","",INDEX('04_調査結果'!$AK$5:$AK$404,$AG123)&amp;"")</f>
        <v/>
      </c>
      <c r="K123">
        <f>IF($AG123="","",IFERROR(INDEX('M1_類型マスタ'!$B$5:$B$19,MATCH(J123,'M1_類型マスタ'!$A$5:$A$19,0)),""))</f>
        <v/>
      </c>
      <c r="L123">
        <f>IF($AG123="","",INDEX('04_調査結果'!$F$5:$F$404,$AG123)&amp;"")</f>
        <v/>
      </c>
      <c r="M123">
        <f>IF($AG123="","",INDEX('04_調査結果'!$G$5:$G$404,$AG123)&amp;"")</f>
        <v/>
      </c>
      <c r="N123">
        <f>IF($AG123="","",INDEX('04_調査結果'!$H$5:$H$404,$AG123)&amp;"")</f>
        <v/>
      </c>
      <c r="O123" s="33">
        <f>IF($AG123="","",IF(INDEX('04_調査結果'!$Z$5:$Z$404,$AG123)&lt;&gt;"",INDEX('04_調査結果'!$Z$5:$Z$404,$AG123),INDEX('04_調査結果'!$AM$5:$AM$404,$AG123)))</f>
        <v/>
      </c>
      <c r="P123" s="33">
        <f>IF($AG123="","",IF(INDEX('04_調査結果'!$AA$5:$AA$404,$AG123)&lt;&gt;"",INDEX('04_調査結果'!$AA$5:$AA$404,$AG123),INDEX('04_調査結果'!$AN$5:$AN$404,$AG123)))</f>
        <v/>
      </c>
      <c r="Q123" s="33">
        <f>IF($AG123="","",INDEX('04_調査結果'!$AD$5:$AD$404,$AG123))</f>
        <v/>
      </c>
      <c r="R123">
        <f>IF($AG123="","",INDEX('04_調査結果'!$AO$5:$AO$404,$AG123))</f>
        <v/>
      </c>
      <c r="S123" s="37">
        <f>IF($AG123="","",INDEX('04_調査結果'!$AQ$5:$AQ$404,$AG123))</f>
        <v/>
      </c>
      <c r="T123" s="37">
        <f>IF($AG123="","",INDEX('04_調査結果'!$AR$5:$AR$404,$AG123))</f>
        <v/>
      </c>
      <c r="U123">
        <f>IF($AG123="","",INDEX('04_調査結果'!$N$5:$N$404,$AG123)&amp;"")</f>
        <v/>
      </c>
      <c r="V123">
        <f>IF($AG123="","",INDEX('04_調査結果'!$O$5:$O$404,$AG123))</f>
        <v/>
      </c>
      <c r="W123">
        <f>IF($AG123="","",INDEX('04_調査結果'!$P$5:$P$404,$AG123))</f>
        <v/>
      </c>
      <c r="X123">
        <f>IF($AG123="","",INDEX('04_調査結果'!$Q$5:$Q$404,$AG123))</f>
        <v/>
      </c>
      <c r="Y123">
        <f>IF($AG123="","",INDEX('04_調査結果'!$R$5:$R$404,$AG123))</f>
        <v/>
      </c>
      <c r="Z123">
        <f>IF($AG123="","",INDEX('04_調査結果'!$S$5:$S$404,$AG123))</f>
        <v/>
      </c>
      <c r="AA123">
        <f>IF($AG123="","",INDEX('04_調査結果'!$T$5:$T$404,$AG123))</f>
        <v/>
      </c>
      <c r="AB123">
        <f>IF($AG123="","",INDEX('04_調査結果'!$U$5:$U$404,$AG123))</f>
        <v/>
      </c>
      <c r="AC123">
        <f>IF($AG123="","",INDEX('04_調査結果'!$AF$5:$AF$404,$AG123))</f>
        <v/>
      </c>
      <c r="AD123">
        <f>IF($AG123="","",INDEX('04_調査結果'!$AC$5:$AC$404,$AG123)&amp;"")</f>
        <v/>
      </c>
      <c r="AE123">
        <f>IF($AG123="","",INDEX('04_調査結果'!$V$5:$V$404,$AG123)&amp;"")</f>
        <v/>
      </c>
      <c r="AF123">
        <f>IF($AG123="","",INDEX('04_調査結果'!$X$5:$X$404,$AG123)&amp;"")</f>
        <v/>
      </c>
      <c r="AG123" s="34">
        <f>IFERROR(MATCH(ROW()-4,'04_調査結果'!$AT$5:$AT$404,0),"")</f>
        <v/>
      </c>
    </row>
    <row r="124">
      <c r="A124">
        <f>IF($AG124="","",'01_設定'!$C$4)</f>
        <v/>
      </c>
      <c r="B124">
        <f>IF($AG124="","",'01_設定'!$C$5)</f>
        <v/>
      </c>
      <c r="C124">
        <f>IF($AG124="","",'01_設定'!$C$6)</f>
        <v/>
      </c>
      <c r="D124" s="36">
        <f>IF($AG124="","",'01_設定'!$C$22)</f>
        <v/>
      </c>
      <c r="E124" s="36">
        <f>IF($AG124="","",'01_設定'!$C$23)</f>
        <v/>
      </c>
      <c r="F124">
        <f>IF($AG124="","",'01_設定'!$C$32)</f>
        <v/>
      </c>
      <c r="G124">
        <f>IF($AG124="","",ROW()-4)</f>
        <v/>
      </c>
      <c r="H124">
        <f>IF($AG124="","",INDEX('04_調査結果'!$AJ$5:$AJ$404,$AG124))</f>
        <v/>
      </c>
      <c r="I124">
        <f>IF($AG124="","",INDEX('04_調査結果'!$D$5:$D$404,$AG124)&amp;"")</f>
        <v/>
      </c>
      <c r="J124">
        <f>IF($AG124="","",INDEX('04_調査結果'!$AK$5:$AK$404,$AG124)&amp;"")</f>
        <v/>
      </c>
      <c r="K124">
        <f>IF($AG124="","",IFERROR(INDEX('M1_類型マスタ'!$B$5:$B$19,MATCH(J124,'M1_類型マスタ'!$A$5:$A$19,0)),""))</f>
        <v/>
      </c>
      <c r="L124">
        <f>IF($AG124="","",INDEX('04_調査結果'!$F$5:$F$404,$AG124)&amp;"")</f>
        <v/>
      </c>
      <c r="M124">
        <f>IF($AG124="","",INDEX('04_調査結果'!$G$5:$G$404,$AG124)&amp;"")</f>
        <v/>
      </c>
      <c r="N124">
        <f>IF($AG124="","",INDEX('04_調査結果'!$H$5:$H$404,$AG124)&amp;"")</f>
        <v/>
      </c>
      <c r="O124" s="33">
        <f>IF($AG124="","",IF(INDEX('04_調査結果'!$Z$5:$Z$404,$AG124)&lt;&gt;"",INDEX('04_調査結果'!$Z$5:$Z$404,$AG124),INDEX('04_調査結果'!$AM$5:$AM$404,$AG124)))</f>
        <v/>
      </c>
      <c r="P124" s="33">
        <f>IF($AG124="","",IF(INDEX('04_調査結果'!$AA$5:$AA$404,$AG124)&lt;&gt;"",INDEX('04_調査結果'!$AA$5:$AA$404,$AG124),INDEX('04_調査結果'!$AN$5:$AN$404,$AG124)))</f>
        <v/>
      </c>
      <c r="Q124" s="33">
        <f>IF($AG124="","",INDEX('04_調査結果'!$AD$5:$AD$404,$AG124))</f>
        <v/>
      </c>
      <c r="R124">
        <f>IF($AG124="","",INDEX('04_調査結果'!$AO$5:$AO$404,$AG124))</f>
        <v/>
      </c>
      <c r="S124" s="37">
        <f>IF($AG124="","",INDEX('04_調査結果'!$AQ$5:$AQ$404,$AG124))</f>
        <v/>
      </c>
      <c r="T124" s="37">
        <f>IF($AG124="","",INDEX('04_調査結果'!$AR$5:$AR$404,$AG124))</f>
        <v/>
      </c>
      <c r="U124">
        <f>IF($AG124="","",INDEX('04_調査結果'!$N$5:$N$404,$AG124)&amp;"")</f>
        <v/>
      </c>
      <c r="V124">
        <f>IF($AG124="","",INDEX('04_調査結果'!$O$5:$O$404,$AG124))</f>
        <v/>
      </c>
      <c r="W124">
        <f>IF($AG124="","",INDEX('04_調査結果'!$P$5:$P$404,$AG124))</f>
        <v/>
      </c>
      <c r="X124">
        <f>IF($AG124="","",INDEX('04_調査結果'!$Q$5:$Q$404,$AG124))</f>
        <v/>
      </c>
      <c r="Y124">
        <f>IF($AG124="","",INDEX('04_調査結果'!$R$5:$R$404,$AG124))</f>
        <v/>
      </c>
      <c r="Z124">
        <f>IF($AG124="","",INDEX('04_調査結果'!$S$5:$S$404,$AG124))</f>
        <v/>
      </c>
      <c r="AA124">
        <f>IF($AG124="","",INDEX('04_調査結果'!$T$5:$T$404,$AG124))</f>
        <v/>
      </c>
      <c r="AB124">
        <f>IF($AG124="","",INDEX('04_調査結果'!$U$5:$U$404,$AG124))</f>
        <v/>
      </c>
      <c r="AC124">
        <f>IF($AG124="","",INDEX('04_調査結果'!$AF$5:$AF$404,$AG124))</f>
        <v/>
      </c>
      <c r="AD124">
        <f>IF($AG124="","",INDEX('04_調査結果'!$AC$5:$AC$404,$AG124)&amp;"")</f>
        <v/>
      </c>
      <c r="AE124">
        <f>IF($AG124="","",INDEX('04_調査結果'!$V$5:$V$404,$AG124)&amp;"")</f>
        <v/>
      </c>
      <c r="AF124">
        <f>IF($AG124="","",INDEX('04_調査結果'!$X$5:$X$404,$AG124)&amp;"")</f>
        <v/>
      </c>
      <c r="AG124" s="34">
        <f>IFERROR(MATCH(ROW()-4,'04_調査結果'!$AT$5:$AT$404,0),"")</f>
        <v/>
      </c>
    </row>
    <row r="125">
      <c r="A125">
        <f>IF($AG125="","",'01_設定'!$C$4)</f>
        <v/>
      </c>
      <c r="B125">
        <f>IF($AG125="","",'01_設定'!$C$5)</f>
        <v/>
      </c>
      <c r="C125">
        <f>IF($AG125="","",'01_設定'!$C$6)</f>
        <v/>
      </c>
      <c r="D125" s="36">
        <f>IF($AG125="","",'01_設定'!$C$22)</f>
        <v/>
      </c>
      <c r="E125" s="36">
        <f>IF($AG125="","",'01_設定'!$C$23)</f>
        <v/>
      </c>
      <c r="F125">
        <f>IF($AG125="","",'01_設定'!$C$32)</f>
        <v/>
      </c>
      <c r="G125">
        <f>IF($AG125="","",ROW()-4)</f>
        <v/>
      </c>
      <c r="H125">
        <f>IF($AG125="","",INDEX('04_調査結果'!$AJ$5:$AJ$404,$AG125))</f>
        <v/>
      </c>
      <c r="I125">
        <f>IF($AG125="","",INDEX('04_調査結果'!$D$5:$D$404,$AG125)&amp;"")</f>
        <v/>
      </c>
      <c r="J125">
        <f>IF($AG125="","",INDEX('04_調査結果'!$AK$5:$AK$404,$AG125)&amp;"")</f>
        <v/>
      </c>
      <c r="K125">
        <f>IF($AG125="","",IFERROR(INDEX('M1_類型マスタ'!$B$5:$B$19,MATCH(J125,'M1_類型マスタ'!$A$5:$A$19,0)),""))</f>
        <v/>
      </c>
      <c r="L125">
        <f>IF($AG125="","",INDEX('04_調査結果'!$F$5:$F$404,$AG125)&amp;"")</f>
        <v/>
      </c>
      <c r="M125">
        <f>IF($AG125="","",INDEX('04_調査結果'!$G$5:$G$404,$AG125)&amp;"")</f>
        <v/>
      </c>
      <c r="N125">
        <f>IF($AG125="","",INDEX('04_調査結果'!$H$5:$H$404,$AG125)&amp;"")</f>
        <v/>
      </c>
      <c r="O125" s="33">
        <f>IF($AG125="","",IF(INDEX('04_調査結果'!$Z$5:$Z$404,$AG125)&lt;&gt;"",INDEX('04_調査結果'!$Z$5:$Z$404,$AG125),INDEX('04_調査結果'!$AM$5:$AM$404,$AG125)))</f>
        <v/>
      </c>
      <c r="P125" s="33">
        <f>IF($AG125="","",IF(INDEX('04_調査結果'!$AA$5:$AA$404,$AG125)&lt;&gt;"",INDEX('04_調査結果'!$AA$5:$AA$404,$AG125),INDEX('04_調査結果'!$AN$5:$AN$404,$AG125)))</f>
        <v/>
      </c>
      <c r="Q125" s="33">
        <f>IF($AG125="","",INDEX('04_調査結果'!$AD$5:$AD$404,$AG125))</f>
        <v/>
      </c>
      <c r="R125">
        <f>IF($AG125="","",INDEX('04_調査結果'!$AO$5:$AO$404,$AG125))</f>
        <v/>
      </c>
      <c r="S125" s="37">
        <f>IF($AG125="","",INDEX('04_調査結果'!$AQ$5:$AQ$404,$AG125))</f>
        <v/>
      </c>
      <c r="T125" s="37">
        <f>IF($AG125="","",INDEX('04_調査結果'!$AR$5:$AR$404,$AG125))</f>
        <v/>
      </c>
      <c r="U125">
        <f>IF($AG125="","",INDEX('04_調査結果'!$N$5:$N$404,$AG125)&amp;"")</f>
        <v/>
      </c>
      <c r="V125">
        <f>IF($AG125="","",INDEX('04_調査結果'!$O$5:$O$404,$AG125))</f>
        <v/>
      </c>
      <c r="W125">
        <f>IF($AG125="","",INDEX('04_調査結果'!$P$5:$P$404,$AG125))</f>
        <v/>
      </c>
      <c r="X125">
        <f>IF($AG125="","",INDEX('04_調査結果'!$Q$5:$Q$404,$AG125))</f>
        <v/>
      </c>
      <c r="Y125">
        <f>IF($AG125="","",INDEX('04_調査結果'!$R$5:$R$404,$AG125))</f>
        <v/>
      </c>
      <c r="Z125">
        <f>IF($AG125="","",INDEX('04_調査結果'!$S$5:$S$404,$AG125))</f>
        <v/>
      </c>
      <c r="AA125">
        <f>IF($AG125="","",INDEX('04_調査結果'!$T$5:$T$404,$AG125))</f>
        <v/>
      </c>
      <c r="AB125">
        <f>IF($AG125="","",INDEX('04_調査結果'!$U$5:$U$404,$AG125))</f>
        <v/>
      </c>
      <c r="AC125">
        <f>IF($AG125="","",INDEX('04_調査結果'!$AF$5:$AF$404,$AG125))</f>
        <v/>
      </c>
      <c r="AD125">
        <f>IF($AG125="","",INDEX('04_調査結果'!$AC$5:$AC$404,$AG125)&amp;"")</f>
        <v/>
      </c>
      <c r="AE125">
        <f>IF($AG125="","",INDEX('04_調査結果'!$V$5:$V$404,$AG125)&amp;"")</f>
        <v/>
      </c>
      <c r="AF125">
        <f>IF($AG125="","",INDEX('04_調査結果'!$X$5:$X$404,$AG125)&amp;"")</f>
        <v/>
      </c>
      <c r="AG125" s="34">
        <f>IFERROR(MATCH(ROW()-4,'04_調査結果'!$AT$5:$AT$404,0),"")</f>
        <v/>
      </c>
    </row>
    <row r="126">
      <c r="A126">
        <f>IF($AG126="","",'01_設定'!$C$4)</f>
        <v/>
      </c>
      <c r="B126">
        <f>IF($AG126="","",'01_設定'!$C$5)</f>
        <v/>
      </c>
      <c r="C126">
        <f>IF($AG126="","",'01_設定'!$C$6)</f>
        <v/>
      </c>
      <c r="D126" s="36">
        <f>IF($AG126="","",'01_設定'!$C$22)</f>
        <v/>
      </c>
      <c r="E126" s="36">
        <f>IF($AG126="","",'01_設定'!$C$23)</f>
        <v/>
      </c>
      <c r="F126">
        <f>IF($AG126="","",'01_設定'!$C$32)</f>
        <v/>
      </c>
      <c r="G126">
        <f>IF($AG126="","",ROW()-4)</f>
        <v/>
      </c>
      <c r="H126">
        <f>IF($AG126="","",INDEX('04_調査結果'!$AJ$5:$AJ$404,$AG126))</f>
        <v/>
      </c>
      <c r="I126">
        <f>IF($AG126="","",INDEX('04_調査結果'!$D$5:$D$404,$AG126)&amp;"")</f>
        <v/>
      </c>
      <c r="J126">
        <f>IF($AG126="","",INDEX('04_調査結果'!$AK$5:$AK$404,$AG126)&amp;"")</f>
        <v/>
      </c>
      <c r="K126">
        <f>IF($AG126="","",IFERROR(INDEX('M1_類型マスタ'!$B$5:$B$19,MATCH(J126,'M1_類型マスタ'!$A$5:$A$19,0)),""))</f>
        <v/>
      </c>
      <c r="L126">
        <f>IF($AG126="","",INDEX('04_調査結果'!$F$5:$F$404,$AG126)&amp;"")</f>
        <v/>
      </c>
      <c r="M126">
        <f>IF($AG126="","",INDEX('04_調査結果'!$G$5:$G$404,$AG126)&amp;"")</f>
        <v/>
      </c>
      <c r="N126">
        <f>IF($AG126="","",INDEX('04_調査結果'!$H$5:$H$404,$AG126)&amp;"")</f>
        <v/>
      </c>
      <c r="O126" s="33">
        <f>IF($AG126="","",IF(INDEX('04_調査結果'!$Z$5:$Z$404,$AG126)&lt;&gt;"",INDEX('04_調査結果'!$Z$5:$Z$404,$AG126),INDEX('04_調査結果'!$AM$5:$AM$404,$AG126)))</f>
        <v/>
      </c>
      <c r="P126" s="33">
        <f>IF($AG126="","",IF(INDEX('04_調査結果'!$AA$5:$AA$404,$AG126)&lt;&gt;"",INDEX('04_調査結果'!$AA$5:$AA$404,$AG126),INDEX('04_調査結果'!$AN$5:$AN$404,$AG126)))</f>
        <v/>
      </c>
      <c r="Q126" s="33">
        <f>IF($AG126="","",INDEX('04_調査結果'!$AD$5:$AD$404,$AG126))</f>
        <v/>
      </c>
      <c r="R126">
        <f>IF($AG126="","",INDEX('04_調査結果'!$AO$5:$AO$404,$AG126))</f>
        <v/>
      </c>
      <c r="S126" s="37">
        <f>IF($AG126="","",INDEX('04_調査結果'!$AQ$5:$AQ$404,$AG126))</f>
        <v/>
      </c>
      <c r="T126" s="37">
        <f>IF($AG126="","",INDEX('04_調査結果'!$AR$5:$AR$404,$AG126))</f>
        <v/>
      </c>
      <c r="U126">
        <f>IF($AG126="","",INDEX('04_調査結果'!$N$5:$N$404,$AG126)&amp;"")</f>
        <v/>
      </c>
      <c r="V126">
        <f>IF($AG126="","",INDEX('04_調査結果'!$O$5:$O$404,$AG126))</f>
        <v/>
      </c>
      <c r="W126">
        <f>IF($AG126="","",INDEX('04_調査結果'!$P$5:$P$404,$AG126))</f>
        <v/>
      </c>
      <c r="X126">
        <f>IF($AG126="","",INDEX('04_調査結果'!$Q$5:$Q$404,$AG126))</f>
        <v/>
      </c>
      <c r="Y126">
        <f>IF($AG126="","",INDEX('04_調査結果'!$R$5:$R$404,$AG126))</f>
        <v/>
      </c>
      <c r="Z126">
        <f>IF($AG126="","",INDEX('04_調査結果'!$S$5:$S$404,$AG126))</f>
        <v/>
      </c>
      <c r="AA126">
        <f>IF($AG126="","",INDEX('04_調査結果'!$T$5:$T$404,$AG126))</f>
        <v/>
      </c>
      <c r="AB126">
        <f>IF($AG126="","",INDEX('04_調査結果'!$U$5:$U$404,$AG126))</f>
        <v/>
      </c>
      <c r="AC126">
        <f>IF($AG126="","",INDEX('04_調査結果'!$AF$5:$AF$404,$AG126))</f>
        <v/>
      </c>
      <c r="AD126">
        <f>IF($AG126="","",INDEX('04_調査結果'!$AC$5:$AC$404,$AG126)&amp;"")</f>
        <v/>
      </c>
      <c r="AE126">
        <f>IF($AG126="","",INDEX('04_調査結果'!$V$5:$V$404,$AG126)&amp;"")</f>
        <v/>
      </c>
      <c r="AF126">
        <f>IF($AG126="","",INDEX('04_調査結果'!$X$5:$X$404,$AG126)&amp;"")</f>
        <v/>
      </c>
      <c r="AG126" s="34">
        <f>IFERROR(MATCH(ROW()-4,'04_調査結果'!$AT$5:$AT$404,0),"")</f>
        <v/>
      </c>
    </row>
    <row r="127">
      <c r="A127">
        <f>IF($AG127="","",'01_設定'!$C$4)</f>
        <v/>
      </c>
      <c r="B127">
        <f>IF($AG127="","",'01_設定'!$C$5)</f>
        <v/>
      </c>
      <c r="C127">
        <f>IF($AG127="","",'01_設定'!$C$6)</f>
        <v/>
      </c>
      <c r="D127" s="36">
        <f>IF($AG127="","",'01_設定'!$C$22)</f>
        <v/>
      </c>
      <c r="E127" s="36">
        <f>IF($AG127="","",'01_設定'!$C$23)</f>
        <v/>
      </c>
      <c r="F127">
        <f>IF($AG127="","",'01_設定'!$C$32)</f>
        <v/>
      </c>
      <c r="G127">
        <f>IF($AG127="","",ROW()-4)</f>
        <v/>
      </c>
      <c r="H127">
        <f>IF($AG127="","",INDEX('04_調査結果'!$AJ$5:$AJ$404,$AG127))</f>
        <v/>
      </c>
      <c r="I127">
        <f>IF($AG127="","",INDEX('04_調査結果'!$D$5:$D$404,$AG127)&amp;"")</f>
        <v/>
      </c>
      <c r="J127">
        <f>IF($AG127="","",INDEX('04_調査結果'!$AK$5:$AK$404,$AG127)&amp;"")</f>
        <v/>
      </c>
      <c r="K127">
        <f>IF($AG127="","",IFERROR(INDEX('M1_類型マスタ'!$B$5:$B$19,MATCH(J127,'M1_類型マスタ'!$A$5:$A$19,0)),""))</f>
        <v/>
      </c>
      <c r="L127">
        <f>IF($AG127="","",INDEX('04_調査結果'!$F$5:$F$404,$AG127)&amp;"")</f>
        <v/>
      </c>
      <c r="M127">
        <f>IF($AG127="","",INDEX('04_調査結果'!$G$5:$G$404,$AG127)&amp;"")</f>
        <v/>
      </c>
      <c r="N127">
        <f>IF($AG127="","",INDEX('04_調査結果'!$H$5:$H$404,$AG127)&amp;"")</f>
        <v/>
      </c>
      <c r="O127" s="33">
        <f>IF($AG127="","",IF(INDEX('04_調査結果'!$Z$5:$Z$404,$AG127)&lt;&gt;"",INDEX('04_調査結果'!$Z$5:$Z$404,$AG127),INDEX('04_調査結果'!$AM$5:$AM$404,$AG127)))</f>
        <v/>
      </c>
      <c r="P127" s="33">
        <f>IF($AG127="","",IF(INDEX('04_調査結果'!$AA$5:$AA$404,$AG127)&lt;&gt;"",INDEX('04_調査結果'!$AA$5:$AA$404,$AG127),INDEX('04_調査結果'!$AN$5:$AN$404,$AG127)))</f>
        <v/>
      </c>
      <c r="Q127" s="33">
        <f>IF($AG127="","",INDEX('04_調査結果'!$AD$5:$AD$404,$AG127))</f>
        <v/>
      </c>
      <c r="R127">
        <f>IF($AG127="","",INDEX('04_調査結果'!$AO$5:$AO$404,$AG127))</f>
        <v/>
      </c>
      <c r="S127" s="37">
        <f>IF($AG127="","",INDEX('04_調査結果'!$AQ$5:$AQ$404,$AG127))</f>
        <v/>
      </c>
      <c r="T127" s="37">
        <f>IF($AG127="","",INDEX('04_調査結果'!$AR$5:$AR$404,$AG127))</f>
        <v/>
      </c>
      <c r="U127">
        <f>IF($AG127="","",INDEX('04_調査結果'!$N$5:$N$404,$AG127)&amp;"")</f>
        <v/>
      </c>
      <c r="V127">
        <f>IF($AG127="","",INDEX('04_調査結果'!$O$5:$O$404,$AG127))</f>
        <v/>
      </c>
      <c r="W127">
        <f>IF($AG127="","",INDEX('04_調査結果'!$P$5:$P$404,$AG127))</f>
        <v/>
      </c>
      <c r="X127">
        <f>IF($AG127="","",INDEX('04_調査結果'!$Q$5:$Q$404,$AG127))</f>
        <v/>
      </c>
      <c r="Y127">
        <f>IF($AG127="","",INDEX('04_調査結果'!$R$5:$R$404,$AG127))</f>
        <v/>
      </c>
      <c r="Z127">
        <f>IF($AG127="","",INDEX('04_調査結果'!$S$5:$S$404,$AG127))</f>
        <v/>
      </c>
      <c r="AA127">
        <f>IF($AG127="","",INDEX('04_調査結果'!$T$5:$T$404,$AG127))</f>
        <v/>
      </c>
      <c r="AB127">
        <f>IF($AG127="","",INDEX('04_調査結果'!$U$5:$U$404,$AG127))</f>
        <v/>
      </c>
      <c r="AC127">
        <f>IF($AG127="","",INDEX('04_調査結果'!$AF$5:$AF$404,$AG127))</f>
        <v/>
      </c>
      <c r="AD127">
        <f>IF($AG127="","",INDEX('04_調査結果'!$AC$5:$AC$404,$AG127)&amp;"")</f>
        <v/>
      </c>
      <c r="AE127">
        <f>IF($AG127="","",INDEX('04_調査結果'!$V$5:$V$404,$AG127)&amp;"")</f>
        <v/>
      </c>
      <c r="AF127">
        <f>IF($AG127="","",INDEX('04_調査結果'!$X$5:$X$404,$AG127)&amp;"")</f>
        <v/>
      </c>
      <c r="AG127" s="34">
        <f>IFERROR(MATCH(ROW()-4,'04_調査結果'!$AT$5:$AT$404,0),"")</f>
        <v/>
      </c>
    </row>
    <row r="128">
      <c r="A128">
        <f>IF($AG128="","",'01_設定'!$C$4)</f>
        <v/>
      </c>
      <c r="B128">
        <f>IF($AG128="","",'01_設定'!$C$5)</f>
        <v/>
      </c>
      <c r="C128">
        <f>IF($AG128="","",'01_設定'!$C$6)</f>
        <v/>
      </c>
      <c r="D128" s="36">
        <f>IF($AG128="","",'01_設定'!$C$22)</f>
        <v/>
      </c>
      <c r="E128" s="36">
        <f>IF($AG128="","",'01_設定'!$C$23)</f>
        <v/>
      </c>
      <c r="F128">
        <f>IF($AG128="","",'01_設定'!$C$32)</f>
        <v/>
      </c>
      <c r="G128">
        <f>IF($AG128="","",ROW()-4)</f>
        <v/>
      </c>
      <c r="H128">
        <f>IF($AG128="","",INDEX('04_調査結果'!$AJ$5:$AJ$404,$AG128))</f>
        <v/>
      </c>
      <c r="I128">
        <f>IF($AG128="","",INDEX('04_調査結果'!$D$5:$D$404,$AG128)&amp;"")</f>
        <v/>
      </c>
      <c r="J128">
        <f>IF($AG128="","",INDEX('04_調査結果'!$AK$5:$AK$404,$AG128)&amp;"")</f>
        <v/>
      </c>
      <c r="K128">
        <f>IF($AG128="","",IFERROR(INDEX('M1_類型マスタ'!$B$5:$B$19,MATCH(J128,'M1_類型マスタ'!$A$5:$A$19,0)),""))</f>
        <v/>
      </c>
      <c r="L128">
        <f>IF($AG128="","",INDEX('04_調査結果'!$F$5:$F$404,$AG128)&amp;"")</f>
        <v/>
      </c>
      <c r="M128">
        <f>IF($AG128="","",INDEX('04_調査結果'!$G$5:$G$404,$AG128)&amp;"")</f>
        <v/>
      </c>
      <c r="N128">
        <f>IF($AG128="","",INDEX('04_調査結果'!$H$5:$H$404,$AG128)&amp;"")</f>
        <v/>
      </c>
      <c r="O128" s="33">
        <f>IF($AG128="","",IF(INDEX('04_調査結果'!$Z$5:$Z$404,$AG128)&lt;&gt;"",INDEX('04_調査結果'!$Z$5:$Z$404,$AG128),INDEX('04_調査結果'!$AM$5:$AM$404,$AG128)))</f>
        <v/>
      </c>
      <c r="P128" s="33">
        <f>IF($AG128="","",IF(INDEX('04_調査結果'!$AA$5:$AA$404,$AG128)&lt;&gt;"",INDEX('04_調査結果'!$AA$5:$AA$404,$AG128),INDEX('04_調査結果'!$AN$5:$AN$404,$AG128)))</f>
        <v/>
      </c>
      <c r="Q128" s="33">
        <f>IF($AG128="","",INDEX('04_調査結果'!$AD$5:$AD$404,$AG128))</f>
        <v/>
      </c>
      <c r="R128">
        <f>IF($AG128="","",INDEX('04_調査結果'!$AO$5:$AO$404,$AG128))</f>
        <v/>
      </c>
      <c r="S128" s="37">
        <f>IF($AG128="","",INDEX('04_調査結果'!$AQ$5:$AQ$404,$AG128))</f>
        <v/>
      </c>
      <c r="T128" s="37">
        <f>IF($AG128="","",INDEX('04_調査結果'!$AR$5:$AR$404,$AG128))</f>
        <v/>
      </c>
      <c r="U128">
        <f>IF($AG128="","",INDEX('04_調査結果'!$N$5:$N$404,$AG128)&amp;"")</f>
        <v/>
      </c>
      <c r="V128">
        <f>IF($AG128="","",INDEX('04_調査結果'!$O$5:$O$404,$AG128))</f>
        <v/>
      </c>
      <c r="W128">
        <f>IF($AG128="","",INDEX('04_調査結果'!$P$5:$P$404,$AG128))</f>
        <v/>
      </c>
      <c r="X128">
        <f>IF($AG128="","",INDEX('04_調査結果'!$Q$5:$Q$404,$AG128))</f>
        <v/>
      </c>
      <c r="Y128">
        <f>IF($AG128="","",INDEX('04_調査結果'!$R$5:$R$404,$AG128))</f>
        <v/>
      </c>
      <c r="Z128">
        <f>IF($AG128="","",INDEX('04_調査結果'!$S$5:$S$404,$AG128))</f>
        <v/>
      </c>
      <c r="AA128">
        <f>IF($AG128="","",INDEX('04_調査結果'!$T$5:$T$404,$AG128))</f>
        <v/>
      </c>
      <c r="AB128">
        <f>IF($AG128="","",INDEX('04_調査結果'!$U$5:$U$404,$AG128))</f>
        <v/>
      </c>
      <c r="AC128">
        <f>IF($AG128="","",INDEX('04_調査結果'!$AF$5:$AF$404,$AG128))</f>
        <v/>
      </c>
      <c r="AD128">
        <f>IF($AG128="","",INDEX('04_調査結果'!$AC$5:$AC$404,$AG128)&amp;"")</f>
        <v/>
      </c>
      <c r="AE128">
        <f>IF($AG128="","",INDEX('04_調査結果'!$V$5:$V$404,$AG128)&amp;"")</f>
        <v/>
      </c>
      <c r="AF128">
        <f>IF($AG128="","",INDEX('04_調査結果'!$X$5:$X$404,$AG128)&amp;"")</f>
        <v/>
      </c>
      <c r="AG128" s="34">
        <f>IFERROR(MATCH(ROW()-4,'04_調査結果'!$AT$5:$AT$404,0),"")</f>
        <v/>
      </c>
    </row>
    <row r="129">
      <c r="A129">
        <f>IF($AG129="","",'01_設定'!$C$4)</f>
        <v/>
      </c>
      <c r="B129">
        <f>IF($AG129="","",'01_設定'!$C$5)</f>
        <v/>
      </c>
      <c r="C129">
        <f>IF($AG129="","",'01_設定'!$C$6)</f>
        <v/>
      </c>
      <c r="D129" s="36">
        <f>IF($AG129="","",'01_設定'!$C$22)</f>
        <v/>
      </c>
      <c r="E129" s="36">
        <f>IF($AG129="","",'01_設定'!$C$23)</f>
        <v/>
      </c>
      <c r="F129">
        <f>IF($AG129="","",'01_設定'!$C$32)</f>
        <v/>
      </c>
      <c r="G129">
        <f>IF($AG129="","",ROW()-4)</f>
        <v/>
      </c>
      <c r="H129">
        <f>IF($AG129="","",INDEX('04_調査結果'!$AJ$5:$AJ$404,$AG129))</f>
        <v/>
      </c>
      <c r="I129">
        <f>IF($AG129="","",INDEX('04_調査結果'!$D$5:$D$404,$AG129)&amp;"")</f>
        <v/>
      </c>
      <c r="J129">
        <f>IF($AG129="","",INDEX('04_調査結果'!$AK$5:$AK$404,$AG129)&amp;"")</f>
        <v/>
      </c>
      <c r="K129">
        <f>IF($AG129="","",IFERROR(INDEX('M1_類型マスタ'!$B$5:$B$19,MATCH(J129,'M1_類型マスタ'!$A$5:$A$19,0)),""))</f>
        <v/>
      </c>
      <c r="L129">
        <f>IF($AG129="","",INDEX('04_調査結果'!$F$5:$F$404,$AG129)&amp;"")</f>
        <v/>
      </c>
      <c r="M129">
        <f>IF($AG129="","",INDEX('04_調査結果'!$G$5:$G$404,$AG129)&amp;"")</f>
        <v/>
      </c>
      <c r="N129">
        <f>IF($AG129="","",INDEX('04_調査結果'!$H$5:$H$404,$AG129)&amp;"")</f>
        <v/>
      </c>
      <c r="O129" s="33">
        <f>IF($AG129="","",IF(INDEX('04_調査結果'!$Z$5:$Z$404,$AG129)&lt;&gt;"",INDEX('04_調査結果'!$Z$5:$Z$404,$AG129),INDEX('04_調査結果'!$AM$5:$AM$404,$AG129)))</f>
        <v/>
      </c>
      <c r="P129" s="33">
        <f>IF($AG129="","",IF(INDEX('04_調査結果'!$AA$5:$AA$404,$AG129)&lt;&gt;"",INDEX('04_調査結果'!$AA$5:$AA$404,$AG129),INDEX('04_調査結果'!$AN$5:$AN$404,$AG129)))</f>
        <v/>
      </c>
      <c r="Q129" s="33">
        <f>IF($AG129="","",INDEX('04_調査結果'!$AD$5:$AD$404,$AG129))</f>
        <v/>
      </c>
      <c r="R129">
        <f>IF($AG129="","",INDEX('04_調査結果'!$AO$5:$AO$404,$AG129))</f>
        <v/>
      </c>
      <c r="S129" s="37">
        <f>IF($AG129="","",INDEX('04_調査結果'!$AQ$5:$AQ$404,$AG129))</f>
        <v/>
      </c>
      <c r="T129" s="37">
        <f>IF($AG129="","",INDEX('04_調査結果'!$AR$5:$AR$404,$AG129))</f>
        <v/>
      </c>
      <c r="U129">
        <f>IF($AG129="","",INDEX('04_調査結果'!$N$5:$N$404,$AG129)&amp;"")</f>
        <v/>
      </c>
      <c r="V129">
        <f>IF($AG129="","",INDEX('04_調査結果'!$O$5:$O$404,$AG129))</f>
        <v/>
      </c>
      <c r="W129">
        <f>IF($AG129="","",INDEX('04_調査結果'!$P$5:$P$404,$AG129))</f>
        <v/>
      </c>
      <c r="X129">
        <f>IF($AG129="","",INDEX('04_調査結果'!$Q$5:$Q$404,$AG129))</f>
        <v/>
      </c>
      <c r="Y129">
        <f>IF($AG129="","",INDEX('04_調査結果'!$R$5:$R$404,$AG129))</f>
        <v/>
      </c>
      <c r="Z129">
        <f>IF($AG129="","",INDEX('04_調査結果'!$S$5:$S$404,$AG129))</f>
        <v/>
      </c>
      <c r="AA129">
        <f>IF($AG129="","",INDEX('04_調査結果'!$T$5:$T$404,$AG129))</f>
        <v/>
      </c>
      <c r="AB129">
        <f>IF($AG129="","",INDEX('04_調査結果'!$U$5:$U$404,$AG129))</f>
        <v/>
      </c>
      <c r="AC129">
        <f>IF($AG129="","",INDEX('04_調査結果'!$AF$5:$AF$404,$AG129))</f>
        <v/>
      </c>
      <c r="AD129">
        <f>IF($AG129="","",INDEX('04_調査結果'!$AC$5:$AC$404,$AG129)&amp;"")</f>
        <v/>
      </c>
      <c r="AE129">
        <f>IF($AG129="","",INDEX('04_調査結果'!$V$5:$V$404,$AG129)&amp;"")</f>
        <v/>
      </c>
      <c r="AF129">
        <f>IF($AG129="","",INDEX('04_調査結果'!$X$5:$X$404,$AG129)&amp;"")</f>
        <v/>
      </c>
      <c r="AG129" s="34">
        <f>IFERROR(MATCH(ROW()-4,'04_調査結果'!$AT$5:$AT$404,0),"")</f>
        <v/>
      </c>
    </row>
    <row r="130">
      <c r="A130">
        <f>IF($AG130="","",'01_設定'!$C$4)</f>
        <v/>
      </c>
      <c r="B130">
        <f>IF($AG130="","",'01_設定'!$C$5)</f>
        <v/>
      </c>
      <c r="C130">
        <f>IF($AG130="","",'01_設定'!$C$6)</f>
        <v/>
      </c>
      <c r="D130" s="36">
        <f>IF($AG130="","",'01_設定'!$C$22)</f>
        <v/>
      </c>
      <c r="E130" s="36">
        <f>IF($AG130="","",'01_設定'!$C$23)</f>
        <v/>
      </c>
      <c r="F130">
        <f>IF($AG130="","",'01_設定'!$C$32)</f>
        <v/>
      </c>
      <c r="G130">
        <f>IF($AG130="","",ROW()-4)</f>
        <v/>
      </c>
      <c r="H130">
        <f>IF($AG130="","",INDEX('04_調査結果'!$AJ$5:$AJ$404,$AG130))</f>
        <v/>
      </c>
      <c r="I130">
        <f>IF($AG130="","",INDEX('04_調査結果'!$D$5:$D$404,$AG130)&amp;"")</f>
        <v/>
      </c>
      <c r="J130">
        <f>IF($AG130="","",INDEX('04_調査結果'!$AK$5:$AK$404,$AG130)&amp;"")</f>
        <v/>
      </c>
      <c r="K130">
        <f>IF($AG130="","",IFERROR(INDEX('M1_類型マスタ'!$B$5:$B$19,MATCH(J130,'M1_類型マスタ'!$A$5:$A$19,0)),""))</f>
        <v/>
      </c>
      <c r="L130">
        <f>IF($AG130="","",INDEX('04_調査結果'!$F$5:$F$404,$AG130)&amp;"")</f>
        <v/>
      </c>
      <c r="M130">
        <f>IF($AG130="","",INDEX('04_調査結果'!$G$5:$G$404,$AG130)&amp;"")</f>
        <v/>
      </c>
      <c r="N130">
        <f>IF($AG130="","",INDEX('04_調査結果'!$H$5:$H$404,$AG130)&amp;"")</f>
        <v/>
      </c>
      <c r="O130" s="33">
        <f>IF($AG130="","",IF(INDEX('04_調査結果'!$Z$5:$Z$404,$AG130)&lt;&gt;"",INDEX('04_調査結果'!$Z$5:$Z$404,$AG130),INDEX('04_調査結果'!$AM$5:$AM$404,$AG130)))</f>
        <v/>
      </c>
      <c r="P130" s="33">
        <f>IF($AG130="","",IF(INDEX('04_調査結果'!$AA$5:$AA$404,$AG130)&lt;&gt;"",INDEX('04_調査結果'!$AA$5:$AA$404,$AG130),INDEX('04_調査結果'!$AN$5:$AN$404,$AG130)))</f>
        <v/>
      </c>
      <c r="Q130" s="33">
        <f>IF($AG130="","",INDEX('04_調査結果'!$AD$5:$AD$404,$AG130))</f>
        <v/>
      </c>
      <c r="R130">
        <f>IF($AG130="","",INDEX('04_調査結果'!$AO$5:$AO$404,$AG130))</f>
        <v/>
      </c>
      <c r="S130" s="37">
        <f>IF($AG130="","",INDEX('04_調査結果'!$AQ$5:$AQ$404,$AG130))</f>
        <v/>
      </c>
      <c r="T130" s="37">
        <f>IF($AG130="","",INDEX('04_調査結果'!$AR$5:$AR$404,$AG130))</f>
        <v/>
      </c>
      <c r="U130">
        <f>IF($AG130="","",INDEX('04_調査結果'!$N$5:$N$404,$AG130)&amp;"")</f>
        <v/>
      </c>
      <c r="V130">
        <f>IF($AG130="","",INDEX('04_調査結果'!$O$5:$O$404,$AG130))</f>
        <v/>
      </c>
      <c r="W130">
        <f>IF($AG130="","",INDEX('04_調査結果'!$P$5:$P$404,$AG130))</f>
        <v/>
      </c>
      <c r="X130">
        <f>IF($AG130="","",INDEX('04_調査結果'!$Q$5:$Q$404,$AG130))</f>
        <v/>
      </c>
      <c r="Y130">
        <f>IF($AG130="","",INDEX('04_調査結果'!$R$5:$R$404,$AG130))</f>
        <v/>
      </c>
      <c r="Z130">
        <f>IF($AG130="","",INDEX('04_調査結果'!$S$5:$S$404,$AG130))</f>
        <v/>
      </c>
      <c r="AA130">
        <f>IF($AG130="","",INDEX('04_調査結果'!$T$5:$T$404,$AG130))</f>
        <v/>
      </c>
      <c r="AB130">
        <f>IF($AG130="","",INDEX('04_調査結果'!$U$5:$U$404,$AG130))</f>
        <v/>
      </c>
      <c r="AC130">
        <f>IF($AG130="","",INDEX('04_調査結果'!$AF$5:$AF$404,$AG130))</f>
        <v/>
      </c>
      <c r="AD130">
        <f>IF($AG130="","",INDEX('04_調査結果'!$AC$5:$AC$404,$AG130)&amp;"")</f>
        <v/>
      </c>
      <c r="AE130">
        <f>IF($AG130="","",INDEX('04_調査結果'!$V$5:$V$404,$AG130)&amp;"")</f>
        <v/>
      </c>
      <c r="AF130">
        <f>IF($AG130="","",INDEX('04_調査結果'!$X$5:$X$404,$AG130)&amp;"")</f>
        <v/>
      </c>
      <c r="AG130" s="34">
        <f>IFERROR(MATCH(ROW()-4,'04_調査結果'!$AT$5:$AT$404,0),"")</f>
        <v/>
      </c>
    </row>
    <row r="131">
      <c r="A131">
        <f>IF($AG131="","",'01_設定'!$C$4)</f>
        <v/>
      </c>
      <c r="B131">
        <f>IF($AG131="","",'01_設定'!$C$5)</f>
        <v/>
      </c>
      <c r="C131">
        <f>IF($AG131="","",'01_設定'!$C$6)</f>
        <v/>
      </c>
      <c r="D131" s="36">
        <f>IF($AG131="","",'01_設定'!$C$22)</f>
        <v/>
      </c>
      <c r="E131" s="36">
        <f>IF($AG131="","",'01_設定'!$C$23)</f>
        <v/>
      </c>
      <c r="F131">
        <f>IF($AG131="","",'01_設定'!$C$32)</f>
        <v/>
      </c>
      <c r="G131">
        <f>IF($AG131="","",ROW()-4)</f>
        <v/>
      </c>
      <c r="H131">
        <f>IF($AG131="","",INDEX('04_調査結果'!$AJ$5:$AJ$404,$AG131))</f>
        <v/>
      </c>
      <c r="I131">
        <f>IF($AG131="","",INDEX('04_調査結果'!$D$5:$D$404,$AG131)&amp;"")</f>
        <v/>
      </c>
      <c r="J131">
        <f>IF($AG131="","",INDEX('04_調査結果'!$AK$5:$AK$404,$AG131)&amp;"")</f>
        <v/>
      </c>
      <c r="K131">
        <f>IF($AG131="","",IFERROR(INDEX('M1_類型マスタ'!$B$5:$B$19,MATCH(J131,'M1_類型マスタ'!$A$5:$A$19,0)),""))</f>
        <v/>
      </c>
      <c r="L131">
        <f>IF($AG131="","",INDEX('04_調査結果'!$F$5:$F$404,$AG131)&amp;"")</f>
        <v/>
      </c>
      <c r="M131">
        <f>IF($AG131="","",INDEX('04_調査結果'!$G$5:$G$404,$AG131)&amp;"")</f>
        <v/>
      </c>
      <c r="N131">
        <f>IF($AG131="","",INDEX('04_調査結果'!$H$5:$H$404,$AG131)&amp;"")</f>
        <v/>
      </c>
      <c r="O131" s="33">
        <f>IF($AG131="","",IF(INDEX('04_調査結果'!$Z$5:$Z$404,$AG131)&lt;&gt;"",INDEX('04_調査結果'!$Z$5:$Z$404,$AG131),INDEX('04_調査結果'!$AM$5:$AM$404,$AG131)))</f>
        <v/>
      </c>
      <c r="P131" s="33">
        <f>IF($AG131="","",IF(INDEX('04_調査結果'!$AA$5:$AA$404,$AG131)&lt;&gt;"",INDEX('04_調査結果'!$AA$5:$AA$404,$AG131),INDEX('04_調査結果'!$AN$5:$AN$404,$AG131)))</f>
        <v/>
      </c>
      <c r="Q131" s="33">
        <f>IF($AG131="","",INDEX('04_調査結果'!$AD$5:$AD$404,$AG131))</f>
        <v/>
      </c>
      <c r="R131">
        <f>IF($AG131="","",INDEX('04_調査結果'!$AO$5:$AO$404,$AG131))</f>
        <v/>
      </c>
      <c r="S131" s="37">
        <f>IF($AG131="","",INDEX('04_調査結果'!$AQ$5:$AQ$404,$AG131))</f>
        <v/>
      </c>
      <c r="T131" s="37">
        <f>IF($AG131="","",INDEX('04_調査結果'!$AR$5:$AR$404,$AG131))</f>
        <v/>
      </c>
      <c r="U131">
        <f>IF($AG131="","",INDEX('04_調査結果'!$N$5:$N$404,$AG131)&amp;"")</f>
        <v/>
      </c>
      <c r="V131">
        <f>IF($AG131="","",INDEX('04_調査結果'!$O$5:$O$404,$AG131))</f>
        <v/>
      </c>
      <c r="W131">
        <f>IF($AG131="","",INDEX('04_調査結果'!$P$5:$P$404,$AG131))</f>
        <v/>
      </c>
      <c r="X131">
        <f>IF($AG131="","",INDEX('04_調査結果'!$Q$5:$Q$404,$AG131))</f>
        <v/>
      </c>
      <c r="Y131">
        <f>IF($AG131="","",INDEX('04_調査結果'!$R$5:$R$404,$AG131))</f>
        <v/>
      </c>
      <c r="Z131">
        <f>IF($AG131="","",INDEX('04_調査結果'!$S$5:$S$404,$AG131))</f>
        <v/>
      </c>
      <c r="AA131">
        <f>IF($AG131="","",INDEX('04_調査結果'!$T$5:$T$404,$AG131))</f>
        <v/>
      </c>
      <c r="AB131">
        <f>IF($AG131="","",INDEX('04_調査結果'!$U$5:$U$404,$AG131))</f>
        <v/>
      </c>
      <c r="AC131">
        <f>IF($AG131="","",INDEX('04_調査結果'!$AF$5:$AF$404,$AG131))</f>
        <v/>
      </c>
      <c r="AD131">
        <f>IF($AG131="","",INDEX('04_調査結果'!$AC$5:$AC$404,$AG131)&amp;"")</f>
        <v/>
      </c>
      <c r="AE131">
        <f>IF($AG131="","",INDEX('04_調査結果'!$V$5:$V$404,$AG131)&amp;"")</f>
        <v/>
      </c>
      <c r="AF131">
        <f>IF($AG131="","",INDEX('04_調査結果'!$X$5:$X$404,$AG131)&amp;"")</f>
        <v/>
      </c>
      <c r="AG131" s="34">
        <f>IFERROR(MATCH(ROW()-4,'04_調査結果'!$AT$5:$AT$404,0),"")</f>
        <v/>
      </c>
    </row>
    <row r="132">
      <c r="A132">
        <f>IF($AG132="","",'01_設定'!$C$4)</f>
        <v/>
      </c>
      <c r="B132">
        <f>IF($AG132="","",'01_設定'!$C$5)</f>
        <v/>
      </c>
      <c r="C132">
        <f>IF($AG132="","",'01_設定'!$C$6)</f>
        <v/>
      </c>
      <c r="D132" s="36">
        <f>IF($AG132="","",'01_設定'!$C$22)</f>
        <v/>
      </c>
      <c r="E132" s="36">
        <f>IF($AG132="","",'01_設定'!$C$23)</f>
        <v/>
      </c>
      <c r="F132">
        <f>IF($AG132="","",'01_設定'!$C$32)</f>
        <v/>
      </c>
      <c r="G132">
        <f>IF($AG132="","",ROW()-4)</f>
        <v/>
      </c>
      <c r="H132">
        <f>IF($AG132="","",INDEX('04_調査結果'!$AJ$5:$AJ$404,$AG132))</f>
        <v/>
      </c>
      <c r="I132">
        <f>IF($AG132="","",INDEX('04_調査結果'!$D$5:$D$404,$AG132)&amp;"")</f>
        <v/>
      </c>
      <c r="J132">
        <f>IF($AG132="","",INDEX('04_調査結果'!$AK$5:$AK$404,$AG132)&amp;"")</f>
        <v/>
      </c>
      <c r="K132">
        <f>IF($AG132="","",IFERROR(INDEX('M1_類型マスタ'!$B$5:$B$19,MATCH(J132,'M1_類型マスタ'!$A$5:$A$19,0)),""))</f>
        <v/>
      </c>
      <c r="L132">
        <f>IF($AG132="","",INDEX('04_調査結果'!$F$5:$F$404,$AG132)&amp;"")</f>
        <v/>
      </c>
      <c r="M132">
        <f>IF($AG132="","",INDEX('04_調査結果'!$G$5:$G$404,$AG132)&amp;"")</f>
        <v/>
      </c>
      <c r="N132">
        <f>IF($AG132="","",INDEX('04_調査結果'!$H$5:$H$404,$AG132)&amp;"")</f>
        <v/>
      </c>
      <c r="O132" s="33">
        <f>IF($AG132="","",IF(INDEX('04_調査結果'!$Z$5:$Z$404,$AG132)&lt;&gt;"",INDEX('04_調査結果'!$Z$5:$Z$404,$AG132),INDEX('04_調査結果'!$AM$5:$AM$404,$AG132)))</f>
        <v/>
      </c>
      <c r="P132" s="33">
        <f>IF($AG132="","",IF(INDEX('04_調査結果'!$AA$5:$AA$404,$AG132)&lt;&gt;"",INDEX('04_調査結果'!$AA$5:$AA$404,$AG132),INDEX('04_調査結果'!$AN$5:$AN$404,$AG132)))</f>
        <v/>
      </c>
      <c r="Q132" s="33">
        <f>IF($AG132="","",INDEX('04_調査結果'!$AD$5:$AD$404,$AG132))</f>
        <v/>
      </c>
      <c r="R132">
        <f>IF($AG132="","",INDEX('04_調査結果'!$AO$5:$AO$404,$AG132))</f>
        <v/>
      </c>
      <c r="S132" s="37">
        <f>IF($AG132="","",INDEX('04_調査結果'!$AQ$5:$AQ$404,$AG132))</f>
        <v/>
      </c>
      <c r="T132" s="37">
        <f>IF($AG132="","",INDEX('04_調査結果'!$AR$5:$AR$404,$AG132))</f>
        <v/>
      </c>
      <c r="U132">
        <f>IF($AG132="","",INDEX('04_調査結果'!$N$5:$N$404,$AG132)&amp;"")</f>
        <v/>
      </c>
      <c r="V132">
        <f>IF($AG132="","",INDEX('04_調査結果'!$O$5:$O$404,$AG132))</f>
        <v/>
      </c>
      <c r="W132">
        <f>IF($AG132="","",INDEX('04_調査結果'!$P$5:$P$404,$AG132))</f>
        <v/>
      </c>
      <c r="X132">
        <f>IF($AG132="","",INDEX('04_調査結果'!$Q$5:$Q$404,$AG132))</f>
        <v/>
      </c>
      <c r="Y132">
        <f>IF($AG132="","",INDEX('04_調査結果'!$R$5:$R$404,$AG132))</f>
        <v/>
      </c>
      <c r="Z132">
        <f>IF($AG132="","",INDEX('04_調査結果'!$S$5:$S$404,$AG132))</f>
        <v/>
      </c>
      <c r="AA132">
        <f>IF($AG132="","",INDEX('04_調査結果'!$T$5:$T$404,$AG132))</f>
        <v/>
      </c>
      <c r="AB132">
        <f>IF($AG132="","",INDEX('04_調査結果'!$U$5:$U$404,$AG132))</f>
        <v/>
      </c>
      <c r="AC132">
        <f>IF($AG132="","",INDEX('04_調査結果'!$AF$5:$AF$404,$AG132))</f>
        <v/>
      </c>
      <c r="AD132">
        <f>IF($AG132="","",INDEX('04_調査結果'!$AC$5:$AC$404,$AG132)&amp;"")</f>
        <v/>
      </c>
      <c r="AE132">
        <f>IF($AG132="","",INDEX('04_調査結果'!$V$5:$V$404,$AG132)&amp;"")</f>
        <v/>
      </c>
      <c r="AF132">
        <f>IF($AG132="","",INDEX('04_調査結果'!$X$5:$X$404,$AG132)&amp;"")</f>
        <v/>
      </c>
      <c r="AG132" s="34">
        <f>IFERROR(MATCH(ROW()-4,'04_調査結果'!$AT$5:$AT$404,0),"")</f>
        <v/>
      </c>
    </row>
    <row r="133">
      <c r="A133">
        <f>IF($AG133="","",'01_設定'!$C$4)</f>
        <v/>
      </c>
      <c r="B133">
        <f>IF($AG133="","",'01_設定'!$C$5)</f>
        <v/>
      </c>
      <c r="C133">
        <f>IF($AG133="","",'01_設定'!$C$6)</f>
        <v/>
      </c>
      <c r="D133" s="36">
        <f>IF($AG133="","",'01_設定'!$C$22)</f>
        <v/>
      </c>
      <c r="E133" s="36">
        <f>IF($AG133="","",'01_設定'!$C$23)</f>
        <v/>
      </c>
      <c r="F133">
        <f>IF($AG133="","",'01_設定'!$C$32)</f>
        <v/>
      </c>
      <c r="G133">
        <f>IF($AG133="","",ROW()-4)</f>
        <v/>
      </c>
      <c r="H133">
        <f>IF($AG133="","",INDEX('04_調査結果'!$AJ$5:$AJ$404,$AG133))</f>
        <v/>
      </c>
      <c r="I133">
        <f>IF($AG133="","",INDEX('04_調査結果'!$D$5:$D$404,$AG133)&amp;"")</f>
        <v/>
      </c>
      <c r="J133">
        <f>IF($AG133="","",INDEX('04_調査結果'!$AK$5:$AK$404,$AG133)&amp;"")</f>
        <v/>
      </c>
      <c r="K133">
        <f>IF($AG133="","",IFERROR(INDEX('M1_類型マスタ'!$B$5:$B$19,MATCH(J133,'M1_類型マスタ'!$A$5:$A$19,0)),""))</f>
        <v/>
      </c>
      <c r="L133">
        <f>IF($AG133="","",INDEX('04_調査結果'!$F$5:$F$404,$AG133)&amp;"")</f>
        <v/>
      </c>
      <c r="M133">
        <f>IF($AG133="","",INDEX('04_調査結果'!$G$5:$G$404,$AG133)&amp;"")</f>
        <v/>
      </c>
      <c r="N133">
        <f>IF($AG133="","",INDEX('04_調査結果'!$H$5:$H$404,$AG133)&amp;"")</f>
        <v/>
      </c>
      <c r="O133" s="33">
        <f>IF($AG133="","",IF(INDEX('04_調査結果'!$Z$5:$Z$404,$AG133)&lt;&gt;"",INDEX('04_調査結果'!$Z$5:$Z$404,$AG133),INDEX('04_調査結果'!$AM$5:$AM$404,$AG133)))</f>
        <v/>
      </c>
      <c r="P133" s="33">
        <f>IF($AG133="","",IF(INDEX('04_調査結果'!$AA$5:$AA$404,$AG133)&lt;&gt;"",INDEX('04_調査結果'!$AA$5:$AA$404,$AG133),INDEX('04_調査結果'!$AN$5:$AN$404,$AG133)))</f>
        <v/>
      </c>
      <c r="Q133" s="33">
        <f>IF($AG133="","",INDEX('04_調査結果'!$AD$5:$AD$404,$AG133))</f>
        <v/>
      </c>
      <c r="R133">
        <f>IF($AG133="","",INDEX('04_調査結果'!$AO$5:$AO$404,$AG133))</f>
        <v/>
      </c>
      <c r="S133" s="37">
        <f>IF($AG133="","",INDEX('04_調査結果'!$AQ$5:$AQ$404,$AG133))</f>
        <v/>
      </c>
      <c r="T133" s="37">
        <f>IF($AG133="","",INDEX('04_調査結果'!$AR$5:$AR$404,$AG133))</f>
        <v/>
      </c>
      <c r="U133">
        <f>IF($AG133="","",INDEX('04_調査結果'!$N$5:$N$404,$AG133)&amp;"")</f>
        <v/>
      </c>
      <c r="V133">
        <f>IF($AG133="","",INDEX('04_調査結果'!$O$5:$O$404,$AG133))</f>
        <v/>
      </c>
      <c r="W133">
        <f>IF($AG133="","",INDEX('04_調査結果'!$P$5:$P$404,$AG133))</f>
        <v/>
      </c>
      <c r="X133">
        <f>IF($AG133="","",INDEX('04_調査結果'!$Q$5:$Q$404,$AG133))</f>
        <v/>
      </c>
      <c r="Y133">
        <f>IF($AG133="","",INDEX('04_調査結果'!$R$5:$R$404,$AG133))</f>
        <v/>
      </c>
      <c r="Z133">
        <f>IF($AG133="","",INDEX('04_調査結果'!$S$5:$S$404,$AG133))</f>
        <v/>
      </c>
      <c r="AA133">
        <f>IF($AG133="","",INDEX('04_調査結果'!$T$5:$T$404,$AG133))</f>
        <v/>
      </c>
      <c r="AB133">
        <f>IF($AG133="","",INDEX('04_調査結果'!$U$5:$U$404,$AG133))</f>
        <v/>
      </c>
      <c r="AC133">
        <f>IF($AG133="","",INDEX('04_調査結果'!$AF$5:$AF$404,$AG133))</f>
        <v/>
      </c>
      <c r="AD133">
        <f>IF($AG133="","",INDEX('04_調査結果'!$AC$5:$AC$404,$AG133)&amp;"")</f>
        <v/>
      </c>
      <c r="AE133">
        <f>IF($AG133="","",INDEX('04_調査結果'!$V$5:$V$404,$AG133)&amp;"")</f>
        <v/>
      </c>
      <c r="AF133">
        <f>IF($AG133="","",INDEX('04_調査結果'!$X$5:$X$404,$AG133)&amp;"")</f>
        <v/>
      </c>
      <c r="AG133" s="34">
        <f>IFERROR(MATCH(ROW()-4,'04_調査結果'!$AT$5:$AT$404,0),"")</f>
        <v/>
      </c>
    </row>
    <row r="134">
      <c r="A134">
        <f>IF($AG134="","",'01_設定'!$C$4)</f>
        <v/>
      </c>
      <c r="B134">
        <f>IF($AG134="","",'01_設定'!$C$5)</f>
        <v/>
      </c>
      <c r="C134">
        <f>IF($AG134="","",'01_設定'!$C$6)</f>
        <v/>
      </c>
      <c r="D134" s="36">
        <f>IF($AG134="","",'01_設定'!$C$22)</f>
        <v/>
      </c>
      <c r="E134" s="36">
        <f>IF($AG134="","",'01_設定'!$C$23)</f>
        <v/>
      </c>
      <c r="F134">
        <f>IF($AG134="","",'01_設定'!$C$32)</f>
        <v/>
      </c>
      <c r="G134">
        <f>IF($AG134="","",ROW()-4)</f>
        <v/>
      </c>
      <c r="H134">
        <f>IF($AG134="","",INDEX('04_調査結果'!$AJ$5:$AJ$404,$AG134))</f>
        <v/>
      </c>
      <c r="I134">
        <f>IF($AG134="","",INDEX('04_調査結果'!$D$5:$D$404,$AG134)&amp;"")</f>
        <v/>
      </c>
      <c r="J134">
        <f>IF($AG134="","",INDEX('04_調査結果'!$AK$5:$AK$404,$AG134)&amp;"")</f>
        <v/>
      </c>
      <c r="K134">
        <f>IF($AG134="","",IFERROR(INDEX('M1_類型マスタ'!$B$5:$B$19,MATCH(J134,'M1_類型マスタ'!$A$5:$A$19,0)),""))</f>
        <v/>
      </c>
      <c r="L134">
        <f>IF($AG134="","",INDEX('04_調査結果'!$F$5:$F$404,$AG134)&amp;"")</f>
        <v/>
      </c>
      <c r="M134">
        <f>IF($AG134="","",INDEX('04_調査結果'!$G$5:$G$404,$AG134)&amp;"")</f>
        <v/>
      </c>
      <c r="N134">
        <f>IF($AG134="","",INDEX('04_調査結果'!$H$5:$H$404,$AG134)&amp;"")</f>
        <v/>
      </c>
      <c r="O134" s="33">
        <f>IF($AG134="","",IF(INDEX('04_調査結果'!$Z$5:$Z$404,$AG134)&lt;&gt;"",INDEX('04_調査結果'!$Z$5:$Z$404,$AG134),INDEX('04_調査結果'!$AM$5:$AM$404,$AG134)))</f>
        <v/>
      </c>
      <c r="P134" s="33">
        <f>IF($AG134="","",IF(INDEX('04_調査結果'!$AA$5:$AA$404,$AG134)&lt;&gt;"",INDEX('04_調査結果'!$AA$5:$AA$404,$AG134),INDEX('04_調査結果'!$AN$5:$AN$404,$AG134)))</f>
        <v/>
      </c>
      <c r="Q134" s="33">
        <f>IF($AG134="","",INDEX('04_調査結果'!$AD$5:$AD$404,$AG134))</f>
        <v/>
      </c>
      <c r="R134">
        <f>IF($AG134="","",INDEX('04_調査結果'!$AO$5:$AO$404,$AG134))</f>
        <v/>
      </c>
      <c r="S134" s="37">
        <f>IF($AG134="","",INDEX('04_調査結果'!$AQ$5:$AQ$404,$AG134))</f>
        <v/>
      </c>
      <c r="T134" s="37">
        <f>IF($AG134="","",INDEX('04_調査結果'!$AR$5:$AR$404,$AG134))</f>
        <v/>
      </c>
      <c r="U134">
        <f>IF($AG134="","",INDEX('04_調査結果'!$N$5:$N$404,$AG134)&amp;"")</f>
        <v/>
      </c>
      <c r="V134">
        <f>IF($AG134="","",INDEX('04_調査結果'!$O$5:$O$404,$AG134))</f>
        <v/>
      </c>
      <c r="W134">
        <f>IF($AG134="","",INDEX('04_調査結果'!$P$5:$P$404,$AG134))</f>
        <v/>
      </c>
      <c r="X134">
        <f>IF($AG134="","",INDEX('04_調査結果'!$Q$5:$Q$404,$AG134))</f>
        <v/>
      </c>
      <c r="Y134">
        <f>IF($AG134="","",INDEX('04_調査結果'!$R$5:$R$404,$AG134))</f>
        <v/>
      </c>
      <c r="Z134">
        <f>IF($AG134="","",INDEX('04_調査結果'!$S$5:$S$404,$AG134))</f>
        <v/>
      </c>
      <c r="AA134">
        <f>IF($AG134="","",INDEX('04_調査結果'!$T$5:$T$404,$AG134))</f>
        <v/>
      </c>
      <c r="AB134">
        <f>IF($AG134="","",INDEX('04_調査結果'!$U$5:$U$404,$AG134))</f>
        <v/>
      </c>
      <c r="AC134">
        <f>IF($AG134="","",INDEX('04_調査結果'!$AF$5:$AF$404,$AG134))</f>
        <v/>
      </c>
      <c r="AD134">
        <f>IF($AG134="","",INDEX('04_調査結果'!$AC$5:$AC$404,$AG134)&amp;"")</f>
        <v/>
      </c>
      <c r="AE134">
        <f>IF($AG134="","",INDEX('04_調査結果'!$V$5:$V$404,$AG134)&amp;"")</f>
        <v/>
      </c>
      <c r="AF134">
        <f>IF($AG134="","",INDEX('04_調査結果'!$X$5:$X$404,$AG134)&amp;"")</f>
        <v/>
      </c>
      <c r="AG134" s="34">
        <f>IFERROR(MATCH(ROW()-4,'04_調査結果'!$AT$5:$AT$404,0),"")</f>
        <v/>
      </c>
    </row>
    <row r="135">
      <c r="A135">
        <f>IF($AG135="","",'01_設定'!$C$4)</f>
        <v/>
      </c>
      <c r="B135">
        <f>IF($AG135="","",'01_設定'!$C$5)</f>
        <v/>
      </c>
      <c r="C135">
        <f>IF($AG135="","",'01_設定'!$C$6)</f>
        <v/>
      </c>
      <c r="D135" s="36">
        <f>IF($AG135="","",'01_設定'!$C$22)</f>
        <v/>
      </c>
      <c r="E135" s="36">
        <f>IF($AG135="","",'01_設定'!$C$23)</f>
        <v/>
      </c>
      <c r="F135">
        <f>IF($AG135="","",'01_設定'!$C$32)</f>
        <v/>
      </c>
      <c r="G135">
        <f>IF($AG135="","",ROW()-4)</f>
        <v/>
      </c>
      <c r="H135">
        <f>IF($AG135="","",INDEX('04_調査結果'!$AJ$5:$AJ$404,$AG135))</f>
        <v/>
      </c>
      <c r="I135">
        <f>IF($AG135="","",INDEX('04_調査結果'!$D$5:$D$404,$AG135)&amp;"")</f>
        <v/>
      </c>
      <c r="J135">
        <f>IF($AG135="","",INDEX('04_調査結果'!$AK$5:$AK$404,$AG135)&amp;"")</f>
        <v/>
      </c>
      <c r="K135">
        <f>IF($AG135="","",IFERROR(INDEX('M1_類型マスタ'!$B$5:$B$19,MATCH(J135,'M1_類型マスタ'!$A$5:$A$19,0)),""))</f>
        <v/>
      </c>
      <c r="L135">
        <f>IF($AG135="","",INDEX('04_調査結果'!$F$5:$F$404,$AG135)&amp;"")</f>
        <v/>
      </c>
      <c r="M135">
        <f>IF($AG135="","",INDEX('04_調査結果'!$G$5:$G$404,$AG135)&amp;"")</f>
        <v/>
      </c>
      <c r="N135">
        <f>IF($AG135="","",INDEX('04_調査結果'!$H$5:$H$404,$AG135)&amp;"")</f>
        <v/>
      </c>
      <c r="O135" s="33">
        <f>IF($AG135="","",IF(INDEX('04_調査結果'!$Z$5:$Z$404,$AG135)&lt;&gt;"",INDEX('04_調査結果'!$Z$5:$Z$404,$AG135),INDEX('04_調査結果'!$AM$5:$AM$404,$AG135)))</f>
        <v/>
      </c>
      <c r="P135" s="33">
        <f>IF($AG135="","",IF(INDEX('04_調査結果'!$AA$5:$AA$404,$AG135)&lt;&gt;"",INDEX('04_調査結果'!$AA$5:$AA$404,$AG135),INDEX('04_調査結果'!$AN$5:$AN$404,$AG135)))</f>
        <v/>
      </c>
      <c r="Q135" s="33">
        <f>IF($AG135="","",INDEX('04_調査結果'!$AD$5:$AD$404,$AG135))</f>
        <v/>
      </c>
      <c r="R135">
        <f>IF($AG135="","",INDEX('04_調査結果'!$AO$5:$AO$404,$AG135))</f>
        <v/>
      </c>
      <c r="S135" s="37">
        <f>IF($AG135="","",INDEX('04_調査結果'!$AQ$5:$AQ$404,$AG135))</f>
        <v/>
      </c>
      <c r="T135" s="37">
        <f>IF($AG135="","",INDEX('04_調査結果'!$AR$5:$AR$404,$AG135))</f>
        <v/>
      </c>
      <c r="U135">
        <f>IF($AG135="","",INDEX('04_調査結果'!$N$5:$N$404,$AG135)&amp;"")</f>
        <v/>
      </c>
      <c r="V135">
        <f>IF($AG135="","",INDEX('04_調査結果'!$O$5:$O$404,$AG135))</f>
        <v/>
      </c>
      <c r="W135">
        <f>IF($AG135="","",INDEX('04_調査結果'!$P$5:$P$404,$AG135))</f>
        <v/>
      </c>
      <c r="X135">
        <f>IF($AG135="","",INDEX('04_調査結果'!$Q$5:$Q$404,$AG135))</f>
        <v/>
      </c>
      <c r="Y135">
        <f>IF($AG135="","",INDEX('04_調査結果'!$R$5:$R$404,$AG135))</f>
        <v/>
      </c>
      <c r="Z135">
        <f>IF($AG135="","",INDEX('04_調査結果'!$S$5:$S$404,$AG135))</f>
        <v/>
      </c>
      <c r="AA135">
        <f>IF($AG135="","",INDEX('04_調査結果'!$T$5:$T$404,$AG135))</f>
        <v/>
      </c>
      <c r="AB135">
        <f>IF($AG135="","",INDEX('04_調査結果'!$U$5:$U$404,$AG135))</f>
        <v/>
      </c>
      <c r="AC135">
        <f>IF($AG135="","",INDEX('04_調査結果'!$AF$5:$AF$404,$AG135))</f>
        <v/>
      </c>
      <c r="AD135">
        <f>IF($AG135="","",INDEX('04_調査結果'!$AC$5:$AC$404,$AG135)&amp;"")</f>
        <v/>
      </c>
      <c r="AE135">
        <f>IF($AG135="","",INDEX('04_調査結果'!$V$5:$V$404,$AG135)&amp;"")</f>
        <v/>
      </c>
      <c r="AF135">
        <f>IF($AG135="","",INDEX('04_調査結果'!$X$5:$X$404,$AG135)&amp;"")</f>
        <v/>
      </c>
      <c r="AG135" s="34">
        <f>IFERROR(MATCH(ROW()-4,'04_調査結果'!$AT$5:$AT$404,0),"")</f>
        <v/>
      </c>
    </row>
    <row r="136">
      <c r="A136">
        <f>IF($AG136="","",'01_設定'!$C$4)</f>
        <v/>
      </c>
      <c r="B136">
        <f>IF($AG136="","",'01_設定'!$C$5)</f>
        <v/>
      </c>
      <c r="C136">
        <f>IF($AG136="","",'01_設定'!$C$6)</f>
        <v/>
      </c>
      <c r="D136" s="36">
        <f>IF($AG136="","",'01_設定'!$C$22)</f>
        <v/>
      </c>
      <c r="E136" s="36">
        <f>IF($AG136="","",'01_設定'!$C$23)</f>
        <v/>
      </c>
      <c r="F136">
        <f>IF($AG136="","",'01_設定'!$C$32)</f>
        <v/>
      </c>
      <c r="G136">
        <f>IF($AG136="","",ROW()-4)</f>
        <v/>
      </c>
      <c r="H136">
        <f>IF($AG136="","",INDEX('04_調査結果'!$AJ$5:$AJ$404,$AG136))</f>
        <v/>
      </c>
      <c r="I136">
        <f>IF($AG136="","",INDEX('04_調査結果'!$D$5:$D$404,$AG136)&amp;"")</f>
        <v/>
      </c>
      <c r="J136">
        <f>IF($AG136="","",INDEX('04_調査結果'!$AK$5:$AK$404,$AG136)&amp;"")</f>
        <v/>
      </c>
      <c r="K136">
        <f>IF($AG136="","",IFERROR(INDEX('M1_類型マスタ'!$B$5:$B$19,MATCH(J136,'M1_類型マスタ'!$A$5:$A$19,0)),""))</f>
        <v/>
      </c>
      <c r="L136">
        <f>IF($AG136="","",INDEX('04_調査結果'!$F$5:$F$404,$AG136)&amp;"")</f>
        <v/>
      </c>
      <c r="M136">
        <f>IF($AG136="","",INDEX('04_調査結果'!$G$5:$G$404,$AG136)&amp;"")</f>
        <v/>
      </c>
      <c r="N136">
        <f>IF($AG136="","",INDEX('04_調査結果'!$H$5:$H$404,$AG136)&amp;"")</f>
        <v/>
      </c>
      <c r="O136" s="33">
        <f>IF($AG136="","",IF(INDEX('04_調査結果'!$Z$5:$Z$404,$AG136)&lt;&gt;"",INDEX('04_調査結果'!$Z$5:$Z$404,$AG136),INDEX('04_調査結果'!$AM$5:$AM$404,$AG136)))</f>
        <v/>
      </c>
      <c r="P136" s="33">
        <f>IF($AG136="","",IF(INDEX('04_調査結果'!$AA$5:$AA$404,$AG136)&lt;&gt;"",INDEX('04_調査結果'!$AA$5:$AA$404,$AG136),INDEX('04_調査結果'!$AN$5:$AN$404,$AG136)))</f>
        <v/>
      </c>
      <c r="Q136" s="33">
        <f>IF($AG136="","",INDEX('04_調査結果'!$AD$5:$AD$404,$AG136))</f>
        <v/>
      </c>
      <c r="R136">
        <f>IF($AG136="","",INDEX('04_調査結果'!$AO$5:$AO$404,$AG136))</f>
        <v/>
      </c>
      <c r="S136" s="37">
        <f>IF($AG136="","",INDEX('04_調査結果'!$AQ$5:$AQ$404,$AG136))</f>
        <v/>
      </c>
      <c r="T136" s="37">
        <f>IF($AG136="","",INDEX('04_調査結果'!$AR$5:$AR$404,$AG136))</f>
        <v/>
      </c>
      <c r="U136">
        <f>IF($AG136="","",INDEX('04_調査結果'!$N$5:$N$404,$AG136)&amp;"")</f>
        <v/>
      </c>
      <c r="V136">
        <f>IF($AG136="","",INDEX('04_調査結果'!$O$5:$O$404,$AG136))</f>
        <v/>
      </c>
      <c r="W136">
        <f>IF($AG136="","",INDEX('04_調査結果'!$P$5:$P$404,$AG136))</f>
        <v/>
      </c>
      <c r="X136">
        <f>IF($AG136="","",INDEX('04_調査結果'!$Q$5:$Q$404,$AG136))</f>
        <v/>
      </c>
      <c r="Y136">
        <f>IF($AG136="","",INDEX('04_調査結果'!$R$5:$R$404,$AG136))</f>
        <v/>
      </c>
      <c r="Z136">
        <f>IF($AG136="","",INDEX('04_調査結果'!$S$5:$S$404,$AG136))</f>
        <v/>
      </c>
      <c r="AA136">
        <f>IF($AG136="","",INDEX('04_調査結果'!$T$5:$T$404,$AG136))</f>
        <v/>
      </c>
      <c r="AB136">
        <f>IF($AG136="","",INDEX('04_調査結果'!$U$5:$U$404,$AG136))</f>
        <v/>
      </c>
      <c r="AC136">
        <f>IF($AG136="","",INDEX('04_調査結果'!$AF$5:$AF$404,$AG136))</f>
        <v/>
      </c>
      <c r="AD136">
        <f>IF($AG136="","",INDEX('04_調査結果'!$AC$5:$AC$404,$AG136)&amp;"")</f>
        <v/>
      </c>
      <c r="AE136">
        <f>IF($AG136="","",INDEX('04_調査結果'!$V$5:$V$404,$AG136)&amp;"")</f>
        <v/>
      </c>
      <c r="AF136">
        <f>IF($AG136="","",INDEX('04_調査結果'!$X$5:$X$404,$AG136)&amp;"")</f>
        <v/>
      </c>
      <c r="AG136" s="34">
        <f>IFERROR(MATCH(ROW()-4,'04_調査結果'!$AT$5:$AT$404,0),"")</f>
        <v/>
      </c>
    </row>
    <row r="137">
      <c r="A137">
        <f>IF($AG137="","",'01_設定'!$C$4)</f>
        <v/>
      </c>
      <c r="B137">
        <f>IF($AG137="","",'01_設定'!$C$5)</f>
        <v/>
      </c>
      <c r="C137">
        <f>IF($AG137="","",'01_設定'!$C$6)</f>
        <v/>
      </c>
      <c r="D137" s="36">
        <f>IF($AG137="","",'01_設定'!$C$22)</f>
        <v/>
      </c>
      <c r="E137" s="36">
        <f>IF($AG137="","",'01_設定'!$C$23)</f>
        <v/>
      </c>
      <c r="F137">
        <f>IF($AG137="","",'01_設定'!$C$32)</f>
        <v/>
      </c>
      <c r="G137">
        <f>IF($AG137="","",ROW()-4)</f>
        <v/>
      </c>
      <c r="H137">
        <f>IF($AG137="","",INDEX('04_調査結果'!$AJ$5:$AJ$404,$AG137))</f>
        <v/>
      </c>
      <c r="I137">
        <f>IF($AG137="","",INDEX('04_調査結果'!$D$5:$D$404,$AG137)&amp;"")</f>
        <v/>
      </c>
      <c r="J137">
        <f>IF($AG137="","",INDEX('04_調査結果'!$AK$5:$AK$404,$AG137)&amp;"")</f>
        <v/>
      </c>
      <c r="K137">
        <f>IF($AG137="","",IFERROR(INDEX('M1_類型マスタ'!$B$5:$B$19,MATCH(J137,'M1_類型マスタ'!$A$5:$A$19,0)),""))</f>
        <v/>
      </c>
      <c r="L137">
        <f>IF($AG137="","",INDEX('04_調査結果'!$F$5:$F$404,$AG137)&amp;"")</f>
        <v/>
      </c>
      <c r="M137">
        <f>IF($AG137="","",INDEX('04_調査結果'!$G$5:$G$404,$AG137)&amp;"")</f>
        <v/>
      </c>
      <c r="N137">
        <f>IF($AG137="","",INDEX('04_調査結果'!$H$5:$H$404,$AG137)&amp;"")</f>
        <v/>
      </c>
      <c r="O137" s="33">
        <f>IF($AG137="","",IF(INDEX('04_調査結果'!$Z$5:$Z$404,$AG137)&lt;&gt;"",INDEX('04_調査結果'!$Z$5:$Z$404,$AG137),INDEX('04_調査結果'!$AM$5:$AM$404,$AG137)))</f>
        <v/>
      </c>
      <c r="P137" s="33">
        <f>IF($AG137="","",IF(INDEX('04_調査結果'!$AA$5:$AA$404,$AG137)&lt;&gt;"",INDEX('04_調査結果'!$AA$5:$AA$404,$AG137),INDEX('04_調査結果'!$AN$5:$AN$404,$AG137)))</f>
        <v/>
      </c>
      <c r="Q137" s="33">
        <f>IF($AG137="","",INDEX('04_調査結果'!$AD$5:$AD$404,$AG137))</f>
        <v/>
      </c>
      <c r="R137">
        <f>IF($AG137="","",INDEX('04_調査結果'!$AO$5:$AO$404,$AG137))</f>
        <v/>
      </c>
      <c r="S137" s="37">
        <f>IF($AG137="","",INDEX('04_調査結果'!$AQ$5:$AQ$404,$AG137))</f>
        <v/>
      </c>
      <c r="T137" s="37">
        <f>IF($AG137="","",INDEX('04_調査結果'!$AR$5:$AR$404,$AG137))</f>
        <v/>
      </c>
      <c r="U137">
        <f>IF($AG137="","",INDEX('04_調査結果'!$N$5:$N$404,$AG137)&amp;"")</f>
        <v/>
      </c>
      <c r="V137">
        <f>IF($AG137="","",INDEX('04_調査結果'!$O$5:$O$404,$AG137))</f>
        <v/>
      </c>
      <c r="W137">
        <f>IF($AG137="","",INDEX('04_調査結果'!$P$5:$P$404,$AG137))</f>
        <v/>
      </c>
      <c r="X137">
        <f>IF($AG137="","",INDEX('04_調査結果'!$Q$5:$Q$404,$AG137))</f>
        <v/>
      </c>
      <c r="Y137">
        <f>IF($AG137="","",INDEX('04_調査結果'!$R$5:$R$404,$AG137))</f>
        <v/>
      </c>
      <c r="Z137">
        <f>IF($AG137="","",INDEX('04_調査結果'!$S$5:$S$404,$AG137))</f>
        <v/>
      </c>
      <c r="AA137">
        <f>IF($AG137="","",INDEX('04_調査結果'!$T$5:$T$404,$AG137))</f>
        <v/>
      </c>
      <c r="AB137">
        <f>IF($AG137="","",INDEX('04_調査結果'!$U$5:$U$404,$AG137))</f>
        <v/>
      </c>
      <c r="AC137">
        <f>IF($AG137="","",INDEX('04_調査結果'!$AF$5:$AF$404,$AG137))</f>
        <v/>
      </c>
      <c r="AD137">
        <f>IF($AG137="","",INDEX('04_調査結果'!$AC$5:$AC$404,$AG137)&amp;"")</f>
        <v/>
      </c>
      <c r="AE137">
        <f>IF($AG137="","",INDEX('04_調査結果'!$V$5:$V$404,$AG137)&amp;"")</f>
        <v/>
      </c>
      <c r="AF137">
        <f>IF($AG137="","",INDEX('04_調査結果'!$X$5:$X$404,$AG137)&amp;"")</f>
        <v/>
      </c>
      <c r="AG137" s="34">
        <f>IFERROR(MATCH(ROW()-4,'04_調査結果'!$AT$5:$AT$404,0),"")</f>
        <v/>
      </c>
    </row>
    <row r="138">
      <c r="A138">
        <f>IF($AG138="","",'01_設定'!$C$4)</f>
        <v/>
      </c>
      <c r="B138">
        <f>IF($AG138="","",'01_設定'!$C$5)</f>
        <v/>
      </c>
      <c r="C138">
        <f>IF($AG138="","",'01_設定'!$C$6)</f>
        <v/>
      </c>
      <c r="D138" s="36">
        <f>IF($AG138="","",'01_設定'!$C$22)</f>
        <v/>
      </c>
      <c r="E138" s="36">
        <f>IF($AG138="","",'01_設定'!$C$23)</f>
        <v/>
      </c>
      <c r="F138">
        <f>IF($AG138="","",'01_設定'!$C$32)</f>
        <v/>
      </c>
      <c r="G138">
        <f>IF($AG138="","",ROW()-4)</f>
        <v/>
      </c>
      <c r="H138">
        <f>IF($AG138="","",INDEX('04_調査結果'!$AJ$5:$AJ$404,$AG138))</f>
        <v/>
      </c>
      <c r="I138">
        <f>IF($AG138="","",INDEX('04_調査結果'!$D$5:$D$404,$AG138)&amp;"")</f>
        <v/>
      </c>
      <c r="J138">
        <f>IF($AG138="","",INDEX('04_調査結果'!$AK$5:$AK$404,$AG138)&amp;"")</f>
        <v/>
      </c>
      <c r="K138">
        <f>IF($AG138="","",IFERROR(INDEX('M1_類型マスタ'!$B$5:$B$19,MATCH(J138,'M1_類型マスタ'!$A$5:$A$19,0)),""))</f>
        <v/>
      </c>
      <c r="L138">
        <f>IF($AG138="","",INDEX('04_調査結果'!$F$5:$F$404,$AG138)&amp;"")</f>
        <v/>
      </c>
      <c r="M138">
        <f>IF($AG138="","",INDEX('04_調査結果'!$G$5:$G$404,$AG138)&amp;"")</f>
        <v/>
      </c>
      <c r="N138">
        <f>IF($AG138="","",INDEX('04_調査結果'!$H$5:$H$404,$AG138)&amp;"")</f>
        <v/>
      </c>
      <c r="O138" s="33">
        <f>IF($AG138="","",IF(INDEX('04_調査結果'!$Z$5:$Z$404,$AG138)&lt;&gt;"",INDEX('04_調査結果'!$Z$5:$Z$404,$AG138),INDEX('04_調査結果'!$AM$5:$AM$404,$AG138)))</f>
        <v/>
      </c>
      <c r="P138" s="33">
        <f>IF($AG138="","",IF(INDEX('04_調査結果'!$AA$5:$AA$404,$AG138)&lt;&gt;"",INDEX('04_調査結果'!$AA$5:$AA$404,$AG138),INDEX('04_調査結果'!$AN$5:$AN$404,$AG138)))</f>
        <v/>
      </c>
      <c r="Q138" s="33">
        <f>IF($AG138="","",INDEX('04_調査結果'!$AD$5:$AD$404,$AG138))</f>
        <v/>
      </c>
      <c r="R138">
        <f>IF($AG138="","",INDEX('04_調査結果'!$AO$5:$AO$404,$AG138))</f>
        <v/>
      </c>
      <c r="S138" s="37">
        <f>IF($AG138="","",INDEX('04_調査結果'!$AQ$5:$AQ$404,$AG138))</f>
        <v/>
      </c>
      <c r="T138" s="37">
        <f>IF($AG138="","",INDEX('04_調査結果'!$AR$5:$AR$404,$AG138))</f>
        <v/>
      </c>
      <c r="U138">
        <f>IF($AG138="","",INDEX('04_調査結果'!$N$5:$N$404,$AG138)&amp;"")</f>
        <v/>
      </c>
      <c r="V138">
        <f>IF($AG138="","",INDEX('04_調査結果'!$O$5:$O$404,$AG138))</f>
        <v/>
      </c>
      <c r="W138">
        <f>IF($AG138="","",INDEX('04_調査結果'!$P$5:$P$404,$AG138))</f>
        <v/>
      </c>
      <c r="X138">
        <f>IF($AG138="","",INDEX('04_調査結果'!$Q$5:$Q$404,$AG138))</f>
        <v/>
      </c>
      <c r="Y138">
        <f>IF($AG138="","",INDEX('04_調査結果'!$R$5:$R$404,$AG138))</f>
        <v/>
      </c>
      <c r="Z138">
        <f>IF($AG138="","",INDEX('04_調査結果'!$S$5:$S$404,$AG138))</f>
        <v/>
      </c>
      <c r="AA138">
        <f>IF($AG138="","",INDEX('04_調査結果'!$T$5:$T$404,$AG138))</f>
        <v/>
      </c>
      <c r="AB138">
        <f>IF($AG138="","",INDEX('04_調査結果'!$U$5:$U$404,$AG138))</f>
        <v/>
      </c>
      <c r="AC138">
        <f>IF($AG138="","",INDEX('04_調査結果'!$AF$5:$AF$404,$AG138))</f>
        <v/>
      </c>
      <c r="AD138">
        <f>IF($AG138="","",INDEX('04_調査結果'!$AC$5:$AC$404,$AG138)&amp;"")</f>
        <v/>
      </c>
      <c r="AE138">
        <f>IF($AG138="","",INDEX('04_調査結果'!$V$5:$V$404,$AG138)&amp;"")</f>
        <v/>
      </c>
      <c r="AF138">
        <f>IF($AG138="","",INDEX('04_調査結果'!$X$5:$X$404,$AG138)&amp;"")</f>
        <v/>
      </c>
      <c r="AG138" s="34">
        <f>IFERROR(MATCH(ROW()-4,'04_調査結果'!$AT$5:$AT$404,0),"")</f>
        <v/>
      </c>
    </row>
    <row r="139">
      <c r="A139">
        <f>IF($AG139="","",'01_設定'!$C$4)</f>
        <v/>
      </c>
      <c r="B139">
        <f>IF($AG139="","",'01_設定'!$C$5)</f>
        <v/>
      </c>
      <c r="C139">
        <f>IF($AG139="","",'01_設定'!$C$6)</f>
        <v/>
      </c>
      <c r="D139" s="36">
        <f>IF($AG139="","",'01_設定'!$C$22)</f>
        <v/>
      </c>
      <c r="E139" s="36">
        <f>IF($AG139="","",'01_設定'!$C$23)</f>
        <v/>
      </c>
      <c r="F139">
        <f>IF($AG139="","",'01_設定'!$C$32)</f>
        <v/>
      </c>
      <c r="G139">
        <f>IF($AG139="","",ROW()-4)</f>
        <v/>
      </c>
      <c r="H139">
        <f>IF($AG139="","",INDEX('04_調査結果'!$AJ$5:$AJ$404,$AG139))</f>
        <v/>
      </c>
      <c r="I139">
        <f>IF($AG139="","",INDEX('04_調査結果'!$D$5:$D$404,$AG139)&amp;"")</f>
        <v/>
      </c>
      <c r="J139">
        <f>IF($AG139="","",INDEX('04_調査結果'!$AK$5:$AK$404,$AG139)&amp;"")</f>
        <v/>
      </c>
      <c r="K139">
        <f>IF($AG139="","",IFERROR(INDEX('M1_類型マスタ'!$B$5:$B$19,MATCH(J139,'M1_類型マスタ'!$A$5:$A$19,0)),""))</f>
        <v/>
      </c>
      <c r="L139">
        <f>IF($AG139="","",INDEX('04_調査結果'!$F$5:$F$404,$AG139)&amp;"")</f>
        <v/>
      </c>
      <c r="M139">
        <f>IF($AG139="","",INDEX('04_調査結果'!$G$5:$G$404,$AG139)&amp;"")</f>
        <v/>
      </c>
      <c r="N139">
        <f>IF($AG139="","",INDEX('04_調査結果'!$H$5:$H$404,$AG139)&amp;"")</f>
        <v/>
      </c>
      <c r="O139" s="33">
        <f>IF($AG139="","",IF(INDEX('04_調査結果'!$Z$5:$Z$404,$AG139)&lt;&gt;"",INDEX('04_調査結果'!$Z$5:$Z$404,$AG139),INDEX('04_調査結果'!$AM$5:$AM$404,$AG139)))</f>
        <v/>
      </c>
      <c r="P139" s="33">
        <f>IF($AG139="","",IF(INDEX('04_調査結果'!$AA$5:$AA$404,$AG139)&lt;&gt;"",INDEX('04_調査結果'!$AA$5:$AA$404,$AG139),INDEX('04_調査結果'!$AN$5:$AN$404,$AG139)))</f>
        <v/>
      </c>
      <c r="Q139" s="33">
        <f>IF($AG139="","",INDEX('04_調査結果'!$AD$5:$AD$404,$AG139))</f>
        <v/>
      </c>
      <c r="R139">
        <f>IF($AG139="","",INDEX('04_調査結果'!$AO$5:$AO$404,$AG139))</f>
        <v/>
      </c>
      <c r="S139" s="37">
        <f>IF($AG139="","",INDEX('04_調査結果'!$AQ$5:$AQ$404,$AG139))</f>
        <v/>
      </c>
      <c r="T139" s="37">
        <f>IF($AG139="","",INDEX('04_調査結果'!$AR$5:$AR$404,$AG139))</f>
        <v/>
      </c>
      <c r="U139">
        <f>IF($AG139="","",INDEX('04_調査結果'!$N$5:$N$404,$AG139)&amp;"")</f>
        <v/>
      </c>
      <c r="V139">
        <f>IF($AG139="","",INDEX('04_調査結果'!$O$5:$O$404,$AG139))</f>
        <v/>
      </c>
      <c r="W139">
        <f>IF($AG139="","",INDEX('04_調査結果'!$P$5:$P$404,$AG139))</f>
        <v/>
      </c>
      <c r="X139">
        <f>IF($AG139="","",INDEX('04_調査結果'!$Q$5:$Q$404,$AG139))</f>
        <v/>
      </c>
      <c r="Y139">
        <f>IF($AG139="","",INDEX('04_調査結果'!$R$5:$R$404,$AG139))</f>
        <v/>
      </c>
      <c r="Z139">
        <f>IF($AG139="","",INDEX('04_調査結果'!$S$5:$S$404,$AG139))</f>
        <v/>
      </c>
      <c r="AA139">
        <f>IF($AG139="","",INDEX('04_調査結果'!$T$5:$T$404,$AG139))</f>
        <v/>
      </c>
      <c r="AB139">
        <f>IF($AG139="","",INDEX('04_調査結果'!$U$5:$U$404,$AG139))</f>
        <v/>
      </c>
      <c r="AC139">
        <f>IF($AG139="","",INDEX('04_調査結果'!$AF$5:$AF$404,$AG139))</f>
        <v/>
      </c>
      <c r="AD139">
        <f>IF($AG139="","",INDEX('04_調査結果'!$AC$5:$AC$404,$AG139)&amp;"")</f>
        <v/>
      </c>
      <c r="AE139">
        <f>IF($AG139="","",INDEX('04_調査結果'!$V$5:$V$404,$AG139)&amp;"")</f>
        <v/>
      </c>
      <c r="AF139">
        <f>IF($AG139="","",INDEX('04_調査結果'!$X$5:$X$404,$AG139)&amp;"")</f>
        <v/>
      </c>
      <c r="AG139" s="34">
        <f>IFERROR(MATCH(ROW()-4,'04_調査結果'!$AT$5:$AT$404,0),"")</f>
        <v/>
      </c>
    </row>
    <row r="140">
      <c r="A140">
        <f>IF($AG140="","",'01_設定'!$C$4)</f>
        <v/>
      </c>
      <c r="B140">
        <f>IF($AG140="","",'01_設定'!$C$5)</f>
        <v/>
      </c>
      <c r="C140">
        <f>IF($AG140="","",'01_設定'!$C$6)</f>
        <v/>
      </c>
      <c r="D140" s="36">
        <f>IF($AG140="","",'01_設定'!$C$22)</f>
        <v/>
      </c>
      <c r="E140" s="36">
        <f>IF($AG140="","",'01_設定'!$C$23)</f>
        <v/>
      </c>
      <c r="F140">
        <f>IF($AG140="","",'01_設定'!$C$32)</f>
        <v/>
      </c>
      <c r="G140">
        <f>IF($AG140="","",ROW()-4)</f>
        <v/>
      </c>
      <c r="H140">
        <f>IF($AG140="","",INDEX('04_調査結果'!$AJ$5:$AJ$404,$AG140))</f>
        <v/>
      </c>
      <c r="I140">
        <f>IF($AG140="","",INDEX('04_調査結果'!$D$5:$D$404,$AG140)&amp;"")</f>
        <v/>
      </c>
      <c r="J140">
        <f>IF($AG140="","",INDEX('04_調査結果'!$AK$5:$AK$404,$AG140)&amp;"")</f>
        <v/>
      </c>
      <c r="K140">
        <f>IF($AG140="","",IFERROR(INDEX('M1_類型マスタ'!$B$5:$B$19,MATCH(J140,'M1_類型マスタ'!$A$5:$A$19,0)),""))</f>
        <v/>
      </c>
      <c r="L140">
        <f>IF($AG140="","",INDEX('04_調査結果'!$F$5:$F$404,$AG140)&amp;"")</f>
        <v/>
      </c>
      <c r="M140">
        <f>IF($AG140="","",INDEX('04_調査結果'!$G$5:$G$404,$AG140)&amp;"")</f>
        <v/>
      </c>
      <c r="N140">
        <f>IF($AG140="","",INDEX('04_調査結果'!$H$5:$H$404,$AG140)&amp;"")</f>
        <v/>
      </c>
      <c r="O140" s="33">
        <f>IF($AG140="","",IF(INDEX('04_調査結果'!$Z$5:$Z$404,$AG140)&lt;&gt;"",INDEX('04_調査結果'!$Z$5:$Z$404,$AG140),INDEX('04_調査結果'!$AM$5:$AM$404,$AG140)))</f>
        <v/>
      </c>
      <c r="P140" s="33">
        <f>IF($AG140="","",IF(INDEX('04_調査結果'!$AA$5:$AA$404,$AG140)&lt;&gt;"",INDEX('04_調査結果'!$AA$5:$AA$404,$AG140),INDEX('04_調査結果'!$AN$5:$AN$404,$AG140)))</f>
        <v/>
      </c>
      <c r="Q140" s="33">
        <f>IF($AG140="","",INDEX('04_調査結果'!$AD$5:$AD$404,$AG140))</f>
        <v/>
      </c>
      <c r="R140">
        <f>IF($AG140="","",INDEX('04_調査結果'!$AO$5:$AO$404,$AG140))</f>
        <v/>
      </c>
      <c r="S140" s="37">
        <f>IF($AG140="","",INDEX('04_調査結果'!$AQ$5:$AQ$404,$AG140))</f>
        <v/>
      </c>
      <c r="T140" s="37">
        <f>IF($AG140="","",INDEX('04_調査結果'!$AR$5:$AR$404,$AG140))</f>
        <v/>
      </c>
      <c r="U140">
        <f>IF($AG140="","",INDEX('04_調査結果'!$N$5:$N$404,$AG140)&amp;"")</f>
        <v/>
      </c>
      <c r="V140">
        <f>IF($AG140="","",INDEX('04_調査結果'!$O$5:$O$404,$AG140))</f>
        <v/>
      </c>
      <c r="W140">
        <f>IF($AG140="","",INDEX('04_調査結果'!$P$5:$P$404,$AG140))</f>
        <v/>
      </c>
      <c r="X140">
        <f>IF($AG140="","",INDEX('04_調査結果'!$Q$5:$Q$404,$AG140))</f>
        <v/>
      </c>
      <c r="Y140">
        <f>IF($AG140="","",INDEX('04_調査結果'!$R$5:$R$404,$AG140))</f>
        <v/>
      </c>
      <c r="Z140">
        <f>IF($AG140="","",INDEX('04_調査結果'!$S$5:$S$404,$AG140))</f>
        <v/>
      </c>
      <c r="AA140">
        <f>IF($AG140="","",INDEX('04_調査結果'!$T$5:$T$404,$AG140))</f>
        <v/>
      </c>
      <c r="AB140">
        <f>IF($AG140="","",INDEX('04_調査結果'!$U$5:$U$404,$AG140))</f>
        <v/>
      </c>
      <c r="AC140">
        <f>IF($AG140="","",INDEX('04_調査結果'!$AF$5:$AF$404,$AG140))</f>
        <v/>
      </c>
      <c r="AD140">
        <f>IF($AG140="","",INDEX('04_調査結果'!$AC$5:$AC$404,$AG140)&amp;"")</f>
        <v/>
      </c>
      <c r="AE140">
        <f>IF($AG140="","",INDEX('04_調査結果'!$V$5:$V$404,$AG140)&amp;"")</f>
        <v/>
      </c>
      <c r="AF140">
        <f>IF($AG140="","",INDEX('04_調査結果'!$X$5:$X$404,$AG140)&amp;"")</f>
        <v/>
      </c>
      <c r="AG140" s="34">
        <f>IFERROR(MATCH(ROW()-4,'04_調査結果'!$AT$5:$AT$404,0),"")</f>
        <v/>
      </c>
    </row>
    <row r="141">
      <c r="A141">
        <f>IF($AG141="","",'01_設定'!$C$4)</f>
        <v/>
      </c>
      <c r="B141">
        <f>IF($AG141="","",'01_設定'!$C$5)</f>
        <v/>
      </c>
      <c r="C141">
        <f>IF($AG141="","",'01_設定'!$C$6)</f>
        <v/>
      </c>
      <c r="D141" s="36">
        <f>IF($AG141="","",'01_設定'!$C$22)</f>
        <v/>
      </c>
      <c r="E141" s="36">
        <f>IF($AG141="","",'01_設定'!$C$23)</f>
        <v/>
      </c>
      <c r="F141">
        <f>IF($AG141="","",'01_設定'!$C$32)</f>
        <v/>
      </c>
      <c r="G141">
        <f>IF($AG141="","",ROW()-4)</f>
        <v/>
      </c>
      <c r="H141">
        <f>IF($AG141="","",INDEX('04_調査結果'!$AJ$5:$AJ$404,$AG141))</f>
        <v/>
      </c>
      <c r="I141">
        <f>IF($AG141="","",INDEX('04_調査結果'!$D$5:$D$404,$AG141)&amp;"")</f>
        <v/>
      </c>
      <c r="J141">
        <f>IF($AG141="","",INDEX('04_調査結果'!$AK$5:$AK$404,$AG141)&amp;"")</f>
        <v/>
      </c>
      <c r="K141">
        <f>IF($AG141="","",IFERROR(INDEX('M1_類型マスタ'!$B$5:$B$19,MATCH(J141,'M1_類型マスタ'!$A$5:$A$19,0)),""))</f>
        <v/>
      </c>
      <c r="L141">
        <f>IF($AG141="","",INDEX('04_調査結果'!$F$5:$F$404,$AG141)&amp;"")</f>
        <v/>
      </c>
      <c r="M141">
        <f>IF($AG141="","",INDEX('04_調査結果'!$G$5:$G$404,$AG141)&amp;"")</f>
        <v/>
      </c>
      <c r="N141">
        <f>IF($AG141="","",INDEX('04_調査結果'!$H$5:$H$404,$AG141)&amp;"")</f>
        <v/>
      </c>
      <c r="O141" s="33">
        <f>IF($AG141="","",IF(INDEX('04_調査結果'!$Z$5:$Z$404,$AG141)&lt;&gt;"",INDEX('04_調査結果'!$Z$5:$Z$404,$AG141),INDEX('04_調査結果'!$AM$5:$AM$404,$AG141)))</f>
        <v/>
      </c>
      <c r="P141" s="33">
        <f>IF($AG141="","",IF(INDEX('04_調査結果'!$AA$5:$AA$404,$AG141)&lt;&gt;"",INDEX('04_調査結果'!$AA$5:$AA$404,$AG141),INDEX('04_調査結果'!$AN$5:$AN$404,$AG141)))</f>
        <v/>
      </c>
      <c r="Q141" s="33">
        <f>IF($AG141="","",INDEX('04_調査結果'!$AD$5:$AD$404,$AG141))</f>
        <v/>
      </c>
      <c r="R141">
        <f>IF($AG141="","",INDEX('04_調査結果'!$AO$5:$AO$404,$AG141))</f>
        <v/>
      </c>
      <c r="S141" s="37">
        <f>IF($AG141="","",INDEX('04_調査結果'!$AQ$5:$AQ$404,$AG141))</f>
        <v/>
      </c>
      <c r="T141" s="37">
        <f>IF($AG141="","",INDEX('04_調査結果'!$AR$5:$AR$404,$AG141))</f>
        <v/>
      </c>
      <c r="U141">
        <f>IF($AG141="","",INDEX('04_調査結果'!$N$5:$N$404,$AG141)&amp;"")</f>
        <v/>
      </c>
      <c r="V141">
        <f>IF($AG141="","",INDEX('04_調査結果'!$O$5:$O$404,$AG141))</f>
        <v/>
      </c>
      <c r="W141">
        <f>IF($AG141="","",INDEX('04_調査結果'!$P$5:$P$404,$AG141))</f>
        <v/>
      </c>
      <c r="X141">
        <f>IF($AG141="","",INDEX('04_調査結果'!$Q$5:$Q$404,$AG141))</f>
        <v/>
      </c>
      <c r="Y141">
        <f>IF($AG141="","",INDEX('04_調査結果'!$R$5:$R$404,$AG141))</f>
        <v/>
      </c>
      <c r="Z141">
        <f>IF($AG141="","",INDEX('04_調査結果'!$S$5:$S$404,$AG141))</f>
        <v/>
      </c>
      <c r="AA141">
        <f>IF($AG141="","",INDEX('04_調査結果'!$T$5:$T$404,$AG141))</f>
        <v/>
      </c>
      <c r="AB141">
        <f>IF($AG141="","",INDEX('04_調査結果'!$U$5:$U$404,$AG141))</f>
        <v/>
      </c>
      <c r="AC141">
        <f>IF($AG141="","",INDEX('04_調査結果'!$AF$5:$AF$404,$AG141))</f>
        <v/>
      </c>
      <c r="AD141">
        <f>IF($AG141="","",INDEX('04_調査結果'!$AC$5:$AC$404,$AG141)&amp;"")</f>
        <v/>
      </c>
      <c r="AE141">
        <f>IF($AG141="","",INDEX('04_調査結果'!$V$5:$V$404,$AG141)&amp;"")</f>
        <v/>
      </c>
      <c r="AF141">
        <f>IF($AG141="","",INDEX('04_調査結果'!$X$5:$X$404,$AG141)&amp;"")</f>
        <v/>
      </c>
      <c r="AG141" s="34">
        <f>IFERROR(MATCH(ROW()-4,'04_調査結果'!$AT$5:$AT$404,0),"")</f>
        <v/>
      </c>
    </row>
    <row r="142">
      <c r="A142">
        <f>IF($AG142="","",'01_設定'!$C$4)</f>
        <v/>
      </c>
      <c r="B142">
        <f>IF($AG142="","",'01_設定'!$C$5)</f>
        <v/>
      </c>
      <c r="C142">
        <f>IF($AG142="","",'01_設定'!$C$6)</f>
        <v/>
      </c>
      <c r="D142" s="36">
        <f>IF($AG142="","",'01_設定'!$C$22)</f>
        <v/>
      </c>
      <c r="E142" s="36">
        <f>IF($AG142="","",'01_設定'!$C$23)</f>
        <v/>
      </c>
      <c r="F142">
        <f>IF($AG142="","",'01_設定'!$C$32)</f>
        <v/>
      </c>
      <c r="G142">
        <f>IF($AG142="","",ROW()-4)</f>
        <v/>
      </c>
      <c r="H142">
        <f>IF($AG142="","",INDEX('04_調査結果'!$AJ$5:$AJ$404,$AG142))</f>
        <v/>
      </c>
      <c r="I142">
        <f>IF($AG142="","",INDEX('04_調査結果'!$D$5:$D$404,$AG142)&amp;"")</f>
        <v/>
      </c>
      <c r="J142">
        <f>IF($AG142="","",INDEX('04_調査結果'!$AK$5:$AK$404,$AG142)&amp;"")</f>
        <v/>
      </c>
      <c r="K142">
        <f>IF($AG142="","",IFERROR(INDEX('M1_類型マスタ'!$B$5:$B$19,MATCH(J142,'M1_類型マスタ'!$A$5:$A$19,0)),""))</f>
        <v/>
      </c>
      <c r="L142">
        <f>IF($AG142="","",INDEX('04_調査結果'!$F$5:$F$404,$AG142)&amp;"")</f>
        <v/>
      </c>
      <c r="M142">
        <f>IF($AG142="","",INDEX('04_調査結果'!$G$5:$G$404,$AG142)&amp;"")</f>
        <v/>
      </c>
      <c r="N142">
        <f>IF($AG142="","",INDEX('04_調査結果'!$H$5:$H$404,$AG142)&amp;"")</f>
        <v/>
      </c>
      <c r="O142" s="33">
        <f>IF($AG142="","",IF(INDEX('04_調査結果'!$Z$5:$Z$404,$AG142)&lt;&gt;"",INDEX('04_調査結果'!$Z$5:$Z$404,$AG142),INDEX('04_調査結果'!$AM$5:$AM$404,$AG142)))</f>
        <v/>
      </c>
      <c r="P142" s="33">
        <f>IF($AG142="","",IF(INDEX('04_調査結果'!$AA$5:$AA$404,$AG142)&lt;&gt;"",INDEX('04_調査結果'!$AA$5:$AA$404,$AG142),INDEX('04_調査結果'!$AN$5:$AN$404,$AG142)))</f>
        <v/>
      </c>
      <c r="Q142" s="33">
        <f>IF($AG142="","",INDEX('04_調査結果'!$AD$5:$AD$404,$AG142))</f>
        <v/>
      </c>
      <c r="R142">
        <f>IF($AG142="","",INDEX('04_調査結果'!$AO$5:$AO$404,$AG142))</f>
        <v/>
      </c>
      <c r="S142" s="37">
        <f>IF($AG142="","",INDEX('04_調査結果'!$AQ$5:$AQ$404,$AG142))</f>
        <v/>
      </c>
      <c r="T142" s="37">
        <f>IF($AG142="","",INDEX('04_調査結果'!$AR$5:$AR$404,$AG142))</f>
        <v/>
      </c>
      <c r="U142">
        <f>IF($AG142="","",INDEX('04_調査結果'!$N$5:$N$404,$AG142)&amp;"")</f>
        <v/>
      </c>
      <c r="V142">
        <f>IF($AG142="","",INDEX('04_調査結果'!$O$5:$O$404,$AG142))</f>
        <v/>
      </c>
      <c r="W142">
        <f>IF($AG142="","",INDEX('04_調査結果'!$P$5:$P$404,$AG142))</f>
        <v/>
      </c>
      <c r="X142">
        <f>IF($AG142="","",INDEX('04_調査結果'!$Q$5:$Q$404,$AG142))</f>
        <v/>
      </c>
      <c r="Y142">
        <f>IF($AG142="","",INDEX('04_調査結果'!$R$5:$R$404,$AG142))</f>
        <v/>
      </c>
      <c r="Z142">
        <f>IF($AG142="","",INDEX('04_調査結果'!$S$5:$S$404,$AG142))</f>
        <v/>
      </c>
      <c r="AA142">
        <f>IF($AG142="","",INDEX('04_調査結果'!$T$5:$T$404,$AG142))</f>
        <v/>
      </c>
      <c r="AB142">
        <f>IF($AG142="","",INDEX('04_調査結果'!$U$5:$U$404,$AG142))</f>
        <v/>
      </c>
      <c r="AC142">
        <f>IF($AG142="","",INDEX('04_調査結果'!$AF$5:$AF$404,$AG142))</f>
        <v/>
      </c>
      <c r="AD142">
        <f>IF($AG142="","",INDEX('04_調査結果'!$AC$5:$AC$404,$AG142)&amp;"")</f>
        <v/>
      </c>
      <c r="AE142">
        <f>IF($AG142="","",INDEX('04_調査結果'!$V$5:$V$404,$AG142)&amp;"")</f>
        <v/>
      </c>
      <c r="AF142">
        <f>IF($AG142="","",INDEX('04_調査結果'!$X$5:$X$404,$AG142)&amp;"")</f>
        <v/>
      </c>
      <c r="AG142" s="34">
        <f>IFERROR(MATCH(ROW()-4,'04_調査結果'!$AT$5:$AT$404,0),"")</f>
        <v/>
      </c>
    </row>
    <row r="143">
      <c r="A143">
        <f>IF($AG143="","",'01_設定'!$C$4)</f>
        <v/>
      </c>
      <c r="B143">
        <f>IF($AG143="","",'01_設定'!$C$5)</f>
        <v/>
      </c>
      <c r="C143">
        <f>IF($AG143="","",'01_設定'!$C$6)</f>
        <v/>
      </c>
      <c r="D143" s="36">
        <f>IF($AG143="","",'01_設定'!$C$22)</f>
        <v/>
      </c>
      <c r="E143" s="36">
        <f>IF($AG143="","",'01_設定'!$C$23)</f>
        <v/>
      </c>
      <c r="F143">
        <f>IF($AG143="","",'01_設定'!$C$32)</f>
        <v/>
      </c>
      <c r="G143">
        <f>IF($AG143="","",ROW()-4)</f>
        <v/>
      </c>
      <c r="H143">
        <f>IF($AG143="","",INDEX('04_調査結果'!$AJ$5:$AJ$404,$AG143))</f>
        <v/>
      </c>
      <c r="I143">
        <f>IF($AG143="","",INDEX('04_調査結果'!$D$5:$D$404,$AG143)&amp;"")</f>
        <v/>
      </c>
      <c r="J143">
        <f>IF($AG143="","",INDEX('04_調査結果'!$AK$5:$AK$404,$AG143)&amp;"")</f>
        <v/>
      </c>
      <c r="K143">
        <f>IF($AG143="","",IFERROR(INDEX('M1_類型マスタ'!$B$5:$B$19,MATCH(J143,'M1_類型マスタ'!$A$5:$A$19,0)),""))</f>
        <v/>
      </c>
      <c r="L143">
        <f>IF($AG143="","",INDEX('04_調査結果'!$F$5:$F$404,$AG143)&amp;"")</f>
        <v/>
      </c>
      <c r="M143">
        <f>IF($AG143="","",INDEX('04_調査結果'!$G$5:$G$404,$AG143)&amp;"")</f>
        <v/>
      </c>
      <c r="N143">
        <f>IF($AG143="","",INDEX('04_調査結果'!$H$5:$H$404,$AG143)&amp;"")</f>
        <v/>
      </c>
      <c r="O143" s="33">
        <f>IF($AG143="","",IF(INDEX('04_調査結果'!$Z$5:$Z$404,$AG143)&lt;&gt;"",INDEX('04_調査結果'!$Z$5:$Z$404,$AG143),INDEX('04_調査結果'!$AM$5:$AM$404,$AG143)))</f>
        <v/>
      </c>
      <c r="P143" s="33">
        <f>IF($AG143="","",IF(INDEX('04_調査結果'!$AA$5:$AA$404,$AG143)&lt;&gt;"",INDEX('04_調査結果'!$AA$5:$AA$404,$AG143),INDEX('04_調査結果'!$AN$5:$AN$404,$AG143)))</f>
        <v/>
      </c>
      <c r="Q143" s="33">
        <f>IF($AG143="","",INDEX('04_調査結果'!$AD$5:$AD$404,$AG143))</f>
        <v/>
      </c>
      <c r="R143">
        <f>IF($AG143="","",INDEX('04_調査結果'!$AO$5:$AO$404,$AG143))</f>
        <v/>
      </c>
      <c r="S143" s="37">
        <f>IF($AG143="","",INDEX('04_調査結果'!$AQ$5:$AQ$404,$AG143))</f>
        <v/>
      </c>
      <c r="T143" s="37">
        <f>IF($AG143="","",INDEX('04_調査結果'!$AR$5:$AR$404,$AG143))</f>
        <v/>
      </c>
      <c r="U143">
        <f>IF($AG143="","",INDEX('04_調査結果'!$N$5:$N$404,$AG143)&amp;"")</f>
        <v/>
      </c>
      <c r="V143">
        <f>IF($AG143="","",INDEX('04_調査結果'!$O$5:$O$404,$AG143))</f>
        <v/>
      </c>
      <c r="W143">
        <f>IF($AG143="","",INDEX('04_調査結果'!$P$5:$P$404,$AG143))</f>
        <v/>
      </c>
      <c r="X143">
        <f>IF($AG143="","",INDEX('04_調査結果'!$Q$5:$Q$404,$AG143))</f>
        <v/>
      </c>
      <c r="Y143">
        <f>IF($AG143="","",INDEX('04_調査結果'!$R$5:$R$404,$AG143))</f>
        <v/>
      </c>
      <c r="Z143">
        <f>IF($AG143="","",INDEX('04_調査結果'!$S$5:$S$404,$AG143))</f>
        <v/>
      </c>
      <c r="AA143">
        <f>IF($AG143="","",INDEX('04_調査結果'!$T$5:$T$404,$AG143))</f>
        <v/>
      </c>
      <c r="AB143">
        <f>IF($AG143="","",INDEX('04_調査結果'!$U$5:$U$404,$AG143))</f>
        <v/>
      </c>
      <c r="AC143">
        <f>IF($AG143="","",INDEX('04_調査結果'!$AF$5:$AF$404,$AG143))</f>
        <v/>
      </c>
      <c r="AD143">
        <f>IF($AG143="","",INDEX('04_調査結果'!$AC$5:$AC$404,$AG143)&amp;"")</f>
        <v/>
      </c>
      <c r="AE143">
        <f>IF($AG143="","",INDEX('04_調査結果'!$V$5:$V$404,$AG143)&amp;"")</f>
        <v/>
      </c>
      <c r="AF143">
        <f>IF($AG143="","",INDEX('04_調査結果'!$X$5:$X$404,$AG143)&amp;"")</f>
        <v/>
      </c>
      <c r="AG143" s="34">
        <f>IFERROR(MATCH(ROW()-4,'04_調査結果'!$AT$5:$AT$404,0),"")</f>
        <v/>
      </c>
    </row>
    <row r="144">
      <c r="A144">
        <f>IF($AG144="","",'01_設定'!$C$4)</f>
        <v/>
      </c>
      <c r="B144">
        <f>IF($AG144="","",'01_設定'!$C$5)</f>
        <v/>
      </c>
      <c r="C144">
        <f>IF($AG144="","",'01_設定'!$C$6)</f>
        <v/>
      </c>
      <c r="D144" s="36">
        <f>IF($AG144="","",'01_設定'!$C$22)</f>
        <v/>
      </c>
      <c r="E144" s="36">
        <f>IF($AG144="","",'01_設定'!$C$23)</f>
        <v/>
      </c>
      <c r="F144">
        <f>IF($AG144="","",'01_設定'!$C$32)</f>
        <v/>
      </c>
      <c r="G144">
        <f>IF($AG144="","",ROW()-4)</f>
        <v/>
      </c>
      <c r="H144">
        <f>IF($AG144="","",INDEX('04_調査結果'!$AJ$5:$AJ$404,$AG144))</f>
        <v/>
      </c>
      <c r="I144">
        <f>IF($AG144="","",INDEX('04_調査結果'!$D$5:$D$404,$AG144)&amp;"")</f>
        <v/>
      </c>
      <c r="J144">
        <f>IF($AG144="","",INDEX('04_調査結果'!$AK$5:$AK$404,$AG144)&amp;"")</f>
        <v/>
      </c>
      <c r="K144">
        <f>IF($AG144="","",IFERROR(INDEX('M1_類型マスタ'!$B$5:$B$19,MATCH(J144,'M1_類型マスタ'!$A$5:$A$19,0)),""))</f>
        <v/>
      </c>
      <c r="L144">
        <f>IF($AG144="","",INDEX('04_調査結果'!$F$5:$F$404,$AG144)&amp;"")</f>
        <v/>
      </c>
      <c r="M144">
        <f>IF($AG144="","",INDEX('04_調査結果'!$G$5:$G$404,$AG144)&amp;"")</f>
        <v/>
      </c>
      <c r="N144">
        <f>IF($AG144="","",INDEX('04_調査結果'!$H$5:$H$404,$AG144)&amp;"")</f>
        <v/>
      </c>
      <c r="O144" s="33">
        <f>IF($AG144="","",IF(INDEX('04_調査結果'!$Z$5:$Z$404,$AG144)&lt;&gt;"",INDEX('04_調査結果'!$Z$5:$Z$404,$AG144),INDEX('04_調査結果'!$AM$5:$AM$404,$AG144)))</f>
        <v/>
      </c>
      <c r="P144" s="33">
        <f>IF($AG144="","",IF(INDEX('04_調査結果'!$AA$5:$AA$404,$AG144)&lt;&gt;"",INDEX('04_調査結果'!$AA$5:$AA$404,$AG144),INDEX('04_調査結果'!$AN$5:$AN$404,$AG144)))</f>
        <v/>
      </c>
      <c r="Q144" s="33">
        <f>IF($AG144="","",INDEX('04_調査結果'!$AD$5:$AD$404,$AG144))</f>
        <v/>
      </c>
      <c r="R144">
        <f>IF($AG144="","",INDEX('04_調査結果'!$AO$5:$AO$404,$AG144))</f>
        <v/>
      </c>
      <c r="S144" s="37">
        <f>IF($AG144="","",INDEX('04_調査結果'!$AQ$5:$AQ$404,$AG144))</f>
        <v/>
      </c>
      <c r="T144" s="37">
        <f>IF($AG144="","",INDEX('04_調査結果'!$AR$5:$AR$404,$AG144))</f>
        <v/>
      </c>
      <c r="U144">
        <f>IF($AG144="","",INDEX('04_調査結果'!$N$5:$N$404,$AG144)&amp;"")</f>
        <v/>
      </c>
      <c r="V144">
        <f>IF($AG144="","",INDEX('04_調査結果'!$O$5:$O$404,$AG144))</f>
        <v/>
      </c>
      <c r="W144">
        <f>IF($AG144="","",INDEX('04_調査結果'!$P$5:$P$404,$AG144))</f>
        <v/>
      </c>
      <c r="X144">
        <f>IF($AG144="","",INDEX('04_調査結果'!$Q$5:$Q$404,$AG144))</f>
        <v/>
      </c>
      <c r="Y144">
        <f>IF($AG144="","",INDEX('04_調査結果'!$R$5:$R$404,$AG144))</f>
        <v/>
      </c>
      <c r="Z144">
        <f>IF($AG144="","",INDEX('04_調査結果'!$S$5:$S$404,$AG144))</f>
        <v/>
      </c>
      <c r="AA144">
        <f>IF($AG144="","",INDEX('04_調査結果'!$T$5:$T$404,$AG144))</f>
        <v/>
      </c>
      <c r="AB144">
        <f>IF($AG144="","",INDEX('04_調査結果'!$U$5:$U$404,$AG144))</f>
        <v/>
      </c>
      <c r="AC144">
        <f>IF($AG144="","",INDEX('04_調査結果'!$AF$5:$AF$404,$AG144))</f>
        <v/>
      </c>
      <c r="AD144">
        <f>IF($AG144="","",INDEX('04_調査結果'!$AC$5:$AC$404,$AG144)&amp;"")</f>
        <v/>
      </c>
      <c r="AE144">
        <f>IF($AG144="","",INDEX('04_調査結果'!$V$5:$V$404,$AG144)&amp;"")</f>
        <v/>
      </c>
      <c r="AF144">
        <f>IF($AG144="","",INDEX('04_調査結果'!$X$5:$X$404,$AG144)&amp;"")</f>
        <v/>
      </c>
      <c r="AG144" s="34">
        <f>IFERROR(MATCH(ROW()-4,'04_調査結果'!$AT$5:$AT$404,0),"")</f>
        <v/>
      </c>
    </row>
    <row r="145">
      <c r="A145">
        <f>IF($AG145="","",'01_設定'!$C$4)</f>
        <v/>
      </c>
      <c r="B145">
        <f>IF($AG145="","",'01_設定'!$C$5)</f>
        <v/>
      </c>
      <c r="C145">
        <f>IF($AG145="","",'01_設定'!$C$6)</f>
        <v/>
      </c>
      <c r="D145" s="36">
        <f>IF($AG145="","",'01_設定'!$C$22)</f>
        <v/>
      </c>
      <c r="E145" s="36">
        <f>IF($AG145="","",'01_設定'!$C$23)</f>
        <v/>
      </c>
      <c r="F145">
        <f>IF($AG145="","",'01_設定'!$C$32)</f>
        <v/>
      </c>
      <c r="G145">
        <f>IF($AG145="","",ROW()-4)</f>
        <v/>
      </c>
      <c r="H145">
        <f>IF($AG145="","",INDEX('04_調査結果'!$AJ$5:$AJ$404,$AG145))</f>
        <v/>
      </c>
      <c r="I145">
        <f>IF($AG145="","",INDEX('04_調査結果'!$D$5:$D$404,$AG145)&amp;"")</f>
        <v/>
      </c>
      <c r="J145">
        <f>IF($AG145="","",INDEX('04_調査結果'!$AK$5:$AK$404,$AG145)&amp;"")</f>
        <v/>
      </c>
      <c r="K145">
        <f>IF($AG145="","",IFERROR(INDEX('M1_類型マスタ'!$B$5:$B$19,MATCH(J145,'M1_類型マスタ'!$A$5:$A$19,0)),""))</f>
        <v/>
      </c>
      <c r="L145">
        <f>IF($AG145="","",INDEX('04_調査結果'!$F$5:$F$404,$AG145)&amp;"")</f>
        <v/>
      </c>
      <c r="M145">
        <f>IF($AG145="","",INDEX('04_調査結果'!$G$5:$G$404,$AG145)&amp;"")</f>
        <v/>
      </c>
      <c r="N145">
        <f>IF($AG145="","",INDEX('04_調査結果'!$H$5:$H$404,$AG145)&amp;"")</f>
        <v/>
      </c>
      <c r="O145" s="33">
        <f>IF($AG145="","",IF(INDEX('04_調査結果'!$Z$5:$Z$404,$AG145)&lt;&gt;"",INDEX('04_調査結果'!$Z$5:$Z$404,$AG145),INDEX('04_調査結果'!$AM$5:$AM$404,$AG145)))</f>
        <v/>
      </c>
      <c r="P145" s="33">
        <f>IF($AG145="","",IF(INDEX('04_調査結果'!$AA$5:$AA$404,$AG145)&lt;&gt;"",INDEX('04_調査結果'!$AA$5:$AA$404,$AG145),INDEX('04_調査結果'!$AN$5:$AN$404,$AG145)))</f>
        <v/>
      </c>
      <c r="Q145" s="33">
        <f>IF($AG145="","",INDEX('04_調査結果'!$AD$5:$AD$404,$AG145))</f>
        <v/>
      </c>
      <c r="R145">
        <f>IF($AG145="","",INDEX('04_調査結果'!$AO$5:$AO$404,$AG145))</f>
        <v/>
      </c>
      <c r="S145" s="37">
        <f>IF($AG145="","",INDEX('04_調査結果'!$AQ$5:$AQ$404,$AG145))</f>
        <v/>
      </c>
      <c r="T145" s="37">
        <f>IF($AG145="","",INDEX('04_調査結果'!$AR$5:$AR$404,$AG145))</f>
        <v/>
      </c>
      <c r="U145">
        <f>IF($AG145="","",INDEX('04_調査結果'!$N$5:$N$404,$AG145)&amp;"")</f>
        <v/>
      </c>
      <c r="V145">
        <f>IF($AG145="","",INDEX('04_調査結果'!$O$5:$O$404,$AG145))</f>
        <v/>
      </c>
      <c r="W145">
        <f>IF($AG145="","",INDEX('04_調査結果'!$P$5:$P$404,$AG145))</f>
        <v/>
      </c>
      <c r="X145">
        <f>IF($AG145="","",INDEX('04_調査結果'!$Q$5:$Q$404,$AG145))</f>
        <v/>
      </c>
      <c r="Y145">
        <f>IF($AG145="","",INDEX('04_調査結果'!$R$5:$R$404,$AG145))</f>
        <v/>
      </c>
      <c r="Z145">
        <f>IF($AG145="","",INDEX('04_調査結果'!$S$5:$S$404,$AG145))</f>
        <v/>
      </c>
      <c r="AA145">
        <f>IF($AG145="","",INDEX('04_調査結果'!$T$5:$T$404,$AG145))</f>
        <v/>
      </c>
      <c r="AB145">
        <f>IF($AG145="","",INDEX('04_調査結果'!$U$5:$U$404,$AG145))</f>
        <v/>
      </c>
      <c r="AC145">
        <f>IF($AG145="","",INDEX('04_調査結果'!$AF$5:$AF$404,$AG145))</f>
        <v/>
      </c>
      <c r="AD145">
        <f>IF($AG145="","",INDEX('04_調査結果'!$AC$5:$AC$404,$AG145)&amp;"")</f>
        <v/>
      </c>
      <c r="AE145">
        <f>IF($AG145="","",INDEX('04_調査結果'!$V$5:$V$404,$AG145)&amp;"")</f>
        <v/>
      </c>
      <c r="AF145">
        <f>IF($AG145="","",INDEX('04_調査結果'!$X$5:$X$404,$AG145)&amp;"")</f>
        <v/>
      </c>
      <c r="AG145" s="34">
        <f>IFERROR(MATCH(ROW()-4,'04_調査結果'!$AT$5:$AT$404,0),"")</f>
        <v/>
      </c>
    </row>
    <row r="146">
      <c r="A146">
        <f>IF($AG146="","",'01_設定'!$C$4)</f>
        <v/>
      </c>
      <c r="B146">
        <f>IF($AG146="","",'01_設定'!$C$5)</f>
        <v/>
      </c>
      <c r="C146">
        <f>IF($AG146="","",'01_設定'!$C$6)</f>
        <v/>
      </c>
      <c r="D146" s="36">
        <f>IF($AG146="","",'01_設定'!$C$22)</f>
        <v/>
      </c>
      <c r="E146" s="36">
        <f>IF($AG146="","",'01_設定'!$C$23)</f>
        <v/>
      </c>
      <c r="F146">
        <f>IF($AG146="","",'01_設定'!$C$32)</f>
        <v/>
      </c>
      <c r="G146">
        <f>IF($AG146="","",ROW()-4)</f>
        <v/>
      </c>
      <c r="H146">
        <f>IF($AG146="","",INDEX('04_調査結果'!$AJ$5:$AJ$404,$AG146))</f>
        <v/>
      </c>
      <c r="I146">
        <f>IF($AG146="","",INDEX('04_調査結果'!$D$5:$D$404,$AG146)&amp;"")</f>
        <v/>
      </c>
      <c r="J146">
        <f>IF($AG146="","",INDEX('04_調査結果'!$AK$5:$AK$404,$AG146)&amp;"")</f>
        <v/>
      </c>
      <c r="K146">
        <f>IF($AG146="","",IFERROR(INDEX('M1_類型マスタ'!$B$5:$B$19,MATCH(J146,'M1_類型マスタ'!$A$5:$A$19,0)),""))</f>
        <v/>
      </c>
      <c r="L146">
        <f>IF($AG146="","",INDEX('04_調査結果'!$F$5:$F$404,$AG146)&amp;"")</f>
        <v/>
      </c>
      <c r="M146">
        <f>IF($AG146="","",INDEX('04_調査結果'!$G$5:$G$404,$AG146)&amp;"")</f>
        <v/>
      </c>
      <c r="N146">
        <f>IF($AG146="","",INDEX('04_調査結果'!$H$5:$H$404,$AG146)&amp;"")</f>
        <v/>
      </c>
      <c r="O146" s="33">
        <f>IF($AG146="","",IF(INDEX('04_調査結果'!$Z$5:$Z$404,$AG146)&lt;&gt;"",INDEX('04_調査結果'!$Z$5:$Z$404,$AG146),INDEX('04_調査結果'!$AM$5:$AM$404,$AG146)))</f>
        <v/>
      </c>
      <c r="P146" s="33">
        <f>IF($AG146="","",IF(INDEX('04_調査結果'!$AA$5:$AA$404,$AG146)&lt;&gt;"",INDEX('04_調査結果'!$AA$5:$AA$404,$AG146),INDEX('04_調査結果'!$AN$5:$AN$404,$AG146)))</f>
        <v/>
      </c>
      <c r="Q146" s="33">
        <f>IF($AG146="","",INDEX('04_調査結果'!$AD$5:$AD$404,$AG146))</f>
        <v/>
      </c>
      <c r="R146">
        <f>IF($AG146="","",INDEX('04_調査結果'!$AO$5:$AO$404,$AG146))</f>
        <v/>
      </c>
      <c r="S146" s="37">
        <f>IF($AG146="","",INDEX('04_調査結果'!$AQ$5:$AQ$404,$AG146))</f>
        <v/>
      </c>
      <c r="T146" s="37">
        <f>IF($AG146="","",INDEX('04_調査結果'!$AR$5:$AR$404,$AG146))</f>
        <v/>
      </c>
      <c r="U146">
        <f>IF($AG146="","",INDEX('04_調査結果'!$N$5:$N$404,$AG146)&amp;"")</f>
        <v/>
      </c>
      <c r="V146">
        <f>IF($AG146="","",INDEX('04_調査結果'!$O$5:$O$404,$AG146))</f>
        <v/>
      </c>
      <c r="W146">
        <f>IF($AG146="","",INDEX('04_調査結果'!$P$5:$P$404,$AG146))</f>
        <v/>
      </c>
      <c r="X146">
        <f>IF($AG146="","",INDEX('04_調査結果'!$Q$5:$Q$404,$AG146))</f>
        <v/>
      </c>
      <c r="Y146">
        <f>IF($AG146="","",INDEX('04_調査結果'!$R$5:$R$404,$AG146))</f>
        <v/>
      </c>
      <c r="Z146">
        <f>IF($AG146="","",INDEX('04_調査結果'!$S$5:$S$404,$AG146))</f>
        <v/>
      </c>
      <c r="AA146">
        <f>IF($AG146="","",INDEX('04_調査結果'!$T$5:$T$404,$AG146))</f>
        <v/>
      </c>
      <c r="AB146">
        <f>IF($AG146="","",INDEX('04_調査結果'!$U$5:$U$404,$AG146))</f>
        <v/>
      </c>
      <c r="AC146">
        <f>IF($AG146="","",INDEX('04_調査結果'!$AF$5:$AF$404,$AG146))</f>
        <v/>
      </c>
      <c r="AD146">
        <f>IF($AG146="","",INDEX('04_調査結果'!$AC$5:$AC$404,$AG146)&amp;"")</f>
        <v/>
      </c>
      <c r="AE146">
        <f>IF($AG146="","",INDEX('04_調査結果'!$V$5:$V$404,$AG146)&amp;"")</f>
        <v/>
      </c>
      <c r="AF146">
        <f>IF($AG146="","",INDEX('04_調査結果'!$X$5:$X$404,$AG146)&amp;"")</f>
        <v/>
      </c>
      <c r="AG146" s="34">
        <f>IFERROR(MATCH(ROW()-4,'04_調査結果'!$AT$5:$AT$404,0),"")</f>
        <v/>
      </c>
    </row>
    <row r="147">
      <c r="A147">
        <f>IF($AG147="","",'01_設定'!$C$4)</f>
        <v/>
      </c>
      <c r="B147">
        <f>IF($AG147="","",'01_設定'!$C$5)</f>
        <v/>
      </c>
      <c r="C147">
        <f>IF($AG147="","",'01_設定'!$C$6)</f>
        <v/>
      </c>
      <c r="D147" s="36">
        <f>IF($AG147="","",'01_設定'!$C$22)</f>
        <v/>
      </c>
      <c r="E147" s="36">
        <f>IF($AG147="","",'01_設定'!$C$23)</f>
        <v/>
      </c>
      <c r="F147">
        <f>IF($AG147="","",'01_設定'!$C$32)</f>
        <v/>
      </c>
      <c r="G147">
        <f>IF($AG147="","",ROW()-4)</f>
        <v/>
      </c>
      <c r="H147">
        <f>IF($AG147="","",INDEX('04_調査結果'!$AJ$5:$AJ$404,$AG147))</f>
        <v/>
      </c>
      <c r="I147">
        <f>IF($AG147="","",INDEX('04_調査結果'!$D$5:$D$404,$AG147)&amp;"")</f>
        <v/>
      </c>
      <c r="J147">
        <f>IF($AG147="","",INDEX('04_調査結果'!$AK$5:$AK$404,$AG147)&amp;"")</f>
        <v/>
      </c>
      <c r="K147">
        <f>IF($AG147="","",IFERROR(INDEX('M1_類型マスタ'!$B$5:$B$19,MATCH(J147,'M1_類型マスタ'!$A$5:$A$19,0)),""))</f>
        <v/>
      </c>
      <c r="L147">
        <f>IF($AG147="","",INDEX('04_調査結果'!$F$5:$F$404,$AG147)&amp;"")</f>
        <v/>
      </c>
      <c r="M147">
        <f>IF($AG147="","",INDEX('04_調査結果'!$G$5:$G$404,$AG147)&amp;"")</f>
        <v/>
      </c>
      <c r="N147">
        <f>IF($AG147="","",INDEX('04_調査結果'!$H$5:$H$404,$AG147)&amp;"")</f>
        <v/>
      </c>
      <c r="O147" s="33">
        <f>IF($AG147="","",IF(INDEX('04_調査結果'!$Z$5:$Z$404,$AG147)&lt;&gt;"",INDEX('04_調査結果'!$Z$5:$Z$404,$AG147),INDEX('04_調査結果'!$AM$5:$AM$404,$AG147)))</f>
        <v/>
      </c>
      <c r="P147" s="33">
        <f>IF($AG147="","",IF(INDEX('04_調査結果'!$AA$5:$AA$404,$AG147)&lt;&gt;"",INDEX('04_調査結果'!$AA$5:$AA$404,$AG147),INDEX('04_調査結果'!$AN$5:$AN$404,$AG147)))</f>
        <v/>
      </c>
      <c r="Q147" s="33">
        <f>IF($AG147="","",INDEX('04_調査結果'!$AD$5:$AD$404,$AG147))</f>
        <v/>
      </c>
      <c r="R147">
        <f>IF($AG147="","",INDEX('04_調査結果'!$AO$5:$AO$404,$AG147))</f>
        <v/>
      </c>
      <c r="S147" s="37">
        <f>IF($AG147="","",INDEX('04_調査結果'!$AQ$5:$AQ$404,$AG147))</f>
        <v/>
      </c>
      <c r="T147" s="37">
        <f>IF($AG147="","",INDEX('04_調査結果'!$AR$5:$AR$404,$AG147))</f>
        <v/>
      </c>
      <c r="U147">
        <f>IF($AG147="","",INDEX('04_調査結果'!$N$5:$N$404,$AG147)&amp;"")</f>
        <v/>
      </c>
      <c r="V147">
        <f>IF($AG147="","",INDEX('04_調査結果'!$O$5:$O$404,$AG147))</f>
        <v/>
      </c>
      <c r="W147">
        <f>IF($AG147="","",INDEX('04_調査結果'!$P$5:$P$404,$AG147))</f>
        <v/>
      </c>
      <c r="X147">
        <f>IF($AG147="","",INDEX('04_調査結果'!$Q$5:$Q$404,$AG147))</f>
        <v/>
      </c>
      <c r="Y147">
        <f>IF($AG147="","",INDEX('04_調査結果'!$R$5:$R$404,$AG147))</f>
        <v/>
      </c>
      <c r="Z147">
        <f>IF($AG147="","",INDEX('04_調査結果'!$S$5:$S$404,$AG147))</f>
        <v/>
      </c>
      <c r="AA147">
        <f>IF($AG147="","",INDEX('04_調査結果'!$T$5:$T$404,$AG147))</f>
        <v/>
      </c>
      <c r="AB147">
        <f>IF($AG147="","",INDEX('04_調査結果'!$U$5:$U$404,$AG147))</f>
        <v/>
      </c>
      <c r="AC147">
        <f>IF($AG147="","",INDEX('04_調査結果'!$AF$5:$AF$404,$AG147))</f>
        <v/>
      </c>
      <c r="AD147">
        <f>IF($AG147="","",INDEX('04_調査結果'!$AC$5:$AC$404,$AG147)&amp;"")</f>
        <v/>
      </c>
      <c r="AE147">
        <f>IF($AG147="","",INDEX('04_調査結果'!$V$5:$V$404,$AG147)&amp;"")</f>
        <v/>
      </c>
      <c r="AF147">
        <f>IF($AG147="","",INDEX('04_調査結果'!$X$5:$X$404,$AG147)&amp;"")</f>
        <v/>
      </c>
      <c r="AG147" s="34">
        <f>IFERROR(MATCH(ROW()-4,'04_調査結果'!$AT$5:$AT$404,0),"")</f>
        <v/>
      </c>
    </row>
    <row r="148">
      <c r="A148">
        <f>IF($AG148="","",'01_設定'!$C$4)</f>
        <v/>
      </c>
      <c r="B148">
        <f>IF($AG148="","",'01_設定'!$C$5)</f>
        <v/>
      </c>
      <c r="C148">
        <f>IF($AG148="","",'01_設定'!$C$6)</f>
        <v/>
      </c>
      <c r="D148" s="36">
        <f>IF($AG148="","",'01_設定'!$C$22)</f>
        <v/>
      </c>
      <c r="E148" s="36">
        <f>IF($AG148="","",'01_設定'!$C$23)</f>
        <v/>
      </c>
      <c r="F148">
        <f>IF($AG148="","",'01_設定'!$C$32)</f>
        <v/>
      </c>
      <c r="G148">
        <f>IF($AG148="","",ROW()-4)</f>
        <v/>
      </c>
      <c r="H148">
        <f>IF($AG148="","",INDEX('04_調査結果'!$AJ$5:$AJ$404,$AG148))</f>
        <v/>
      </c>
      <c r="I148">
        <f>IF($AG148="","",INDEX('04_調査結果'!$D$5:$D$404,$AG148)&amp;"")</f>
        <v/>
      </c>
      <c r="J148">
        <f>IF($AG148="","",INDEX('04_調査結果'!$AK$5:$AK$404,$AG148)&amp;"")</f>
        <v/>
      </c>
      <c r="K148">
        <f>IF($AG148="","",IFERROR(INDEX('M1_類型マスタ'!$B$5:$B$19,MATCH(J148,'M1_類型マスタ'!$A$5:$A$19,0)),""))</f>
        <v/>
      </c>
      <c r="L148">
        <f>IF($AG148="","",INDEX('04_調査結果'!$F$5:$F$404,$AG148)&amp;"")</f>
        <v/>
      </c>
      <c r="M148">
        <f>IF($AG148="","",INDEX('04_調査結果'!$G$5:$G$404,$AG148)&amp;"")</f>
        <v/>
      </c>
      <c r="N148">
        <f>IF($AG148="","",INDEX('04_調査結果'!$H$5:$H$404,$AG148)&amp;"")</f>
        <v/>
      </c>
      <c r="O148" s="33">
        <f>IF($AG148="","",IF(INDEX('04_調査結果'!$Z$5:$Z$404,$AG148)&lt;&gt;"",INDEX('04_調査結果'!$Z$5:$Z$404,$AG148),INDEX('04_調査結果'!$AM$5:$AM$404,$AG148)))</f>
        <v/>
      </c>
      <c r="P148" s="33">
        <f>IF($AG148="","",IF(INDEX('04_調査結果'!$AA$5:$AA$404,$AG148)&lt;&gt;"",INDEX('04_調査結果'!$AA$5:$AA$404,$AG148),INDEX('04_調査結果'!$AN$5:$AN$404,$AG148)))</f>
        <v/>
      </c>
      <c r="Q148" s="33">
        <f>IF($AG148="","",INDEX('04_調査結果'!$AD$5:$AD$404,$AG148))</f>
        <v/>
      </c>
      <c r="R148">
        <f>IF($AG148="","",INDEX('04_調査結果'!$AO$5:$AO$404,$AG148))</f>
        <v/>
      </c>
      <c r="S148" s="37">
        <f>IF($AG148="","",INDEX('04_調査結果'!$AQ$5:$AQ$404,$AG148))</f>
        <v/>
      </c>
      <c r="T148" s="37">
        <f>IF($AG148="","",INDEX('04_調査結果'!$AR$5:$AR$404,$AG148))</f>
        <v/>
      </c>
      <c r="U148">
        <f>IF($AG148="","",INDEX('04_調査結果'!$N$5:$N$404,$AG148)&amp;"")</f>
        <v/>
      </c>
      <c r="V148">
        <f>IF($AG148="","",INDEX('04_調査結果'!$O$5:$O$404,$AG148))</f>
        <v/>
      </c>
      <c r="W148">
        <f>IF($AG148="","",INDEX('04_調査結果'!$P$5:$P$404,$AG148))</f>
        <v/>
      </c>
      <c r="X148">
        <f>IF($AG148="","",INDEX('04_調査結果'!$Q$5:$Q$404,$AG148))</f>
        <v/>
      </c>
      <c r="Y148">
        <f>IF($AG148="","",INDEX('04_調査結果'!$R$5:$R$404,$AG148))</f>
        <v/>
      </c>
      <c r="Z148">
        <f>IF($AG148="","",INDEX('04_調査結果'!$S$5:$S$404,$AG148))</f>
        <v/>
      </c>
      <c r="AA148">
        <f>IF($AG148="","",INDEX('04_調査結果'!$T$5:$T$404,$AG148))</f>
        <v/>
      </c>
      <c r="AB148">
        <f>IF($AG148="","",INDEX('04_調査結果'!$U$5:$U$404,$AG148))</f>
        <v/>
      </c>
      <c r="AC148">
        <f>IF($AG148="","",INDEX('04_調査結果'!$AF$5:$AF$404,$AG148))</f>
        <v/>
      </c>
      <c r="AD148">
        <f>IF($AG148="","",INDEX('04_調査結果'!$AC$5:$AC$404,$AG148)&amp;"")</f>
        <v/>
      </c>
      <c r="AE148">
        <f>IF($AG148="","",INDEX('04_調査結果'!$V$5:$V$404,$AG148)&amp;"")</f>
        <v/>
      </c>
      <c r="AF148">
        <f>IF($AG148="","",INDEX('04_調査結果'!$X$5:$X$404,$AG148)&amp;"")</f>
        <v/>
      </c>
      <c r="AG148" s="34">
        <f>IFERROR(MATCH(ROW()-4,'04_調査結果'!$AT$5:$AT$404,0),"")</f>
        <v/>
      </c>
    </row>
    <row r="149">
      <c r="A149">
        <f>IF($AG149="","",'01_設定'!$C$4)</f>
        <v/>
      </c>
      <c r="B149">
        <f>IF($AG149="","",'01_設定'!$C$5)</f>
        <v/>
      </c>
      <c r="C149">
        <f>IF($AG149="","",'01_設定'!$C$6)</f>
        <v/>
      </c>
      <c r="D149" s="36">
        <f>IF($AG149="","",'01_設定'!$C$22)</f>
        <v/>
      </c>
      <c r="E149" s="36">
        <f>IF($AG149="","",'01_設定'!$C$23)</f>
        <v/>
      </c>
      <c r="F149">
        <f>IF($AG149="","",'01_設定'!$C$32)</f>
        <v/>
      </c>
      <c r="G149">
        <f>IF($AG149="","",ROW()-4)</f>
        <v/>
      </c>
      <c r="H149">
        <f>IF($AG149="","",INDEX('04_調査結果'!$AJ$5:$AJ$404,$AG149))</f>
        <v/>
      </c>
      <c r="I149">
        <f>IF($AG149="","",INDEX('04_調査結果'!$D$5:$D$404,$AG149)&amp;"")</f>
        <v/>
      </c>
      <c r="J149">
        <f>IF($AG149="","",INDEX('04_調査結果'!$AK$5:$AK$404,$AG149)&amp;"")</f>
        <v/>
      </c>
      <c r="K149">
        <f>IF($AG149="","",IFERROR(INDEX('M1_類型マスタ'!$B$5:$B$19,MATCH(J149,'M1_類型マスタ'!$A$5:$A$19,0)),""))</f>
        <v/>
      </c>
      <c r="L149">
        <f>IF($AG149="","",INDEX('04_調査結果'!$F$5:$F$404,$AG149)&amp;"")</f>
        <v/>
      </c>
      <c r="M149">
        <f>IF($AG149="","",INDEX('04_調査結果'!$G$5:$G$404,$AG149)&amp;"")</f>
        <v/>
      </c>
      <c r="N149">
        <f>IF($AG149="","",INDEX('04_調査結果'!$H$5:$H$404,$AG149)&amp;"")</f>
        <v/>
      </c>
      <c r="O149" s="33">
        <f>IF($AG149="","",IF(INDEX('04_調査結果'!$Z$5:$Z$404,$AG149)&lt;&gt;"",INDEX('04_調査結果'!$Z$5:$Z$404,$AG149),INDEX('04_調査結果'!$AM$5:$AM$404,$AG149)))</f>
        <v/>
      </c>
      <c r="P149" s="33">
        <f>IF($AG149="","",IF(INDEX('04_調査結果'!$AA$5:$AA$404,$AG149)&lt;&gt;"",INDEX('04_調査結果'!$AA$5:$AA$404,$AG149),INDEX('04_調査結果'!$AN$5:$AN$404,$AG149)))</f>
        <v/>
      </c>
      <c r="Q149" s="33">
        <f>IF($AG149="","",INDEX('04_調査結果'!$AD$5:$AD$404,$AG149))</f>
        <v/>
      </c>
      <c r="R149">
        <f>IF($AG149="","",INDEX('04_調査結果'!$AO$5:$AO$404,$AG149))</f>
        <v/>
      </c>
      <c r="S149" s="37">
        <f>IF($AG149="","",INDEX('04_調査結果'!$AQ$5:$AQ$404,$AG149))</f>
        <v/>
      </c>
      <c r="T149" s="37">
        <f>IF($AG149="","",INDEX('04_調査結果'!$AR$5:$AR$404,$AG149))</f>
        <v/>
      </c>
      <c r="U149">
        <f>IF($AG149="","",INDEX('04_調査結果'!$N$5:$N$404,$AG149)&amp;"")</f>
        <v/>
      </c>
      <c r="V149">
        <f>IF($AG149="","",INDEX('04_調査結果'!$O$5:$O$404,$AG149))</f>
        <v/>
      </c>
      <c r="W149">
        <f>IF($AG149="","",INDEX('04_調査結果'!$P$5:$P$404,$AG149))</f>
        <v/>
      </c>
      <c r="X149">
        <f>IF($AG149="","",INDEX('04_調査結果'!$Q$5:$Q$404,$AG149))</f>
        <v/>
      </c>
      <c r="Y149">
        <f>IF($AG149="","",INDEX('04_調査結果'!$R$5:$R$404,$AG149))</f>
        <v/>
      </c>
      <c r="Z149">
        <f>IF($AG149="","",INDEX('04_調査結果'!$S$5:$S$404,$AG149))</f>
        <v/>
      </c>
      <c r="AA149">
        <f>IF($AG149="","",INDEX('04_調査結果'!$T$5:$T$404,$AG149))</f>
        <v/>
      </c>
      <c r="AB149">
        <f>IF($AG149="","",INDEX('04_調査結果'!$U$5:$U$404,$AG149))</f>
        <v/>
      </c>
      <c r="AC149">
        <f>IF($AG149="","",INDEX('04_調査結果'!$AF$5:$AF$404,$AG149))</f>
        <v/>
      </c>
      <c r="AD149">
        <f>IF($AG149="","",INDEX('04_調査結果'!$AC$5:$AC$404,$AG149)&amp;"")</f>
        <v/>
      </c>
      <c r="AE149">
        <f>IF($AG149="","",INDEX('04_調査結果'!$V$5:$V$404,$AG149)&amp;"")</f>
        <v/>
      </c>
      <c r="AF149">
        <f>IF($AG149="","",INDEX('04_調査結果'!$X$5:$X$404,$AG149)&amp;"")</f>
        <v/>
      </c>
      <c r="AG149" s="34">
        <f>IFERROR(MATCH(ROW()-4,'04_調査結果'!$AT$5:$AT$404,0),"")</f>
        <v/>
      </c>
    </row>
    <row r="150">
      <c r="A150">
        <f>IF($AG150="","",'01_設定'!$C$4)</f>
        <v/>
      </c>
      <c r="B150">
        <f>IF($AG150="","",'01_設定'!$C$5)</f>
        <v/>
      </c>
      <c r="C150">
        <f>IF($AG150="","",'01_設定'!$C$6)</f>
        <v/>
      </c>
      <c r="D150" s="36">
        <f>IF($AG150="","",'01_設定'!$C$22)</f>
        <v/>
      </c>
      <c r="E150" s="36">
        <f>IF($AG150="","",'01_設定'!$C$23)</f>
        <v/>
      </c>
      <c r="F150">
        <f>IF($AG150="","",'01_設定'!$C$32)</f>
        <v/>
      </c>
      <c r="G150">
        <f>IF($AG150="","",ROW()-4)</f>
        <v/>
      </c>
      <c r="H150">
        <f>IF($AG150="","",INDEX('04_調査結果'!$AJ$5:$AJ$404,$AG150))</f>
        <v/>
      </c>
      <c r="I150">
        <f>IF($AG150="","",INDEX('04_調査結果'!$D$5:$D$404,$AG150)&amp;"")</f>
        <v/>
      </c>
      <c r="J150">
        <f>IF($AG150="","",INDEX('04_調査結果'!$AK$5:$AK$404,$AG150)&amp;"")</f>
        <v/>
      </c>
      <c r="K150">
        <f>IF($AG150="","",IFERROR(INDEX('M1_類型マスタ'!$B$5:$B$19,MATCH(J150,'M1_類型マスタ'!$A$5:$A$19,0)),""))</f>
        <v/>
      </c>
      <c r="L150">
        <f>IF($AG150="","",INDEX('04_調査結果'!$F$5:$F$404,$AG150)&amp;"")</f>
        <v/>
      </c>
      <c r="M150">
        <f>IF($AG150="","",INDEX('04_調査結果'!$G$5:$G$404,$AG150)&amp;"")</f>
        <v/>
      </c>
      <c r="N150">
        <f>IF($AG150="","",INDEX('04_調査結果'!$H$5:$H$404,$AG150)&amp;"")</f>
        <v/>
      </c>
      <c r="O150" s="33">
        <f>IF($AG150="","",IF(INDEX('04_調査結果'!$Z$5:$Z$404,$AG150)&lt;&gt;"",INDEX('04_調査結果'!$Z$5:$Z$404,$AG150),INDEX('04_調査結果'!$AM$5:$AM$404,$AG150)))</f>
        <v/>
      </c>
      <c r="P150" s="33">
        <f>IF($AG150="","",IF(INDEX('04_調査結果'!$AA$5:$AA$404,$AG150)&lt;&gt;"",INDEX('04_調査結果'!$AA$5:$AA$404,$AG150),INDEX('04_調査結果'!$AN$5:$AN$404,$AG150)))</f>
        <v/>
      </c>
      <c r="Q150" s="33">
        <f>IF($AG150="","",INDEX('04_調査結果'!$AD$5:$AD$404,$AG150))</f>
        <v/>
      </c>
      <c r="R150">
        <f>IF($AG150="","",INDEX('04_調査結果'!$AO$5:$AO$404,$AG150))</f>
        <v/>
      </c>
      <c r="S150" s="37">
        <f>IF($AG150="","",INDEX('04_調査結果'!$AQ$5:$AQ$404,$AG150))</f>
        <v/>
      </c>
      <c r="T150" s="37">
        <f>IF($AG150="","",INDEX('04_調査結果'!$AR$5:$AR$404,$AG150))</f>
        <v/>
      </c>
      <c r="U150">
        <f>IF($AG150="","",INDEX('04_調査結果'!$N$5:$N$404,$AG150)&amp;"")</f>
        <v/>
      </c>
      <c r="V150">
        <f>IF($AG150="","",INDEX('04_調査結果'!$O$5:$O$404,$AG150))</f>
        <v/>
      </c>
      <c r="W150">
        <f>IF($AG150="","",INDEX('04_調査結果'!$P$5:$P$404,$AG150))</f>
        <v/>
      </c>
      <c r="X150">
        <f>IF($AG150="","",INDEX('04_調査結果'!$Q$5:$Q$404,$AG150))</f>
        <v/>
      </c>
      <c r="Y150">
        <f>IF($AG150="","",INDEX('04_調査結果'!$R$5:$R$404,$AG150))</f>
        <v/>
      </c>
      <c r="Z150">
        <f>IF($AG150="","",INDEX('04_調査結果'!$S$5:$S$404,$AG150))</f>
        <v/>
      </c>
      <c r="AA150">
        <f>IF($AG150="","",INDEX('04_調査結果'!$T$5:$T$404,$AG150))</f>
        <v/>
      </c>
      <c r="AB150">
        <f>IF($AG150="","",INDEX('04_調査結果'!$U$5:$U$404,$AG150))</f>
        <v/>
      </c>
      <c r="AC150">
        <f>IF($AG150="","",INDEX('04_調査結果'!$AF$5:$AF$404,$AG150))</f>
        <v/>
      </c>
      <c r="AD150">
        <f>IF($AG150="","",INDEX('04_調査結果'!$AC$5:$AC$404,$AG150)&amp;"")</f>
        <v/>
      </c>
      <c r="AE150">
        <f>IF($AG150="","",INDEX('04_調査結果'!$V$5:$V$404,$AG150)&amp;"")</f>
        <v/>
      </c>
      <c r="AF150">
        <f>IF($AG150="","",INDEX('04_調査結果'!$X$5:$X$404,$AG150)&amp;"")</f>
        <v/>
      </c>
      <c r="AG150" s="34">
        <f>IFERROR(MATCH(ROW()-4,'04_調査結果'!$AT$5:$AT$404,0),"")</f>
        <v/>
      </c>
    </row>
    <row r="151">
      <c r="A151">
        <f>IF($AG151="","",'01_設定'!$C$4)</f>
        <v/>
      </c>
      <c r="B151">
        <f>IF($AG151="","",'01_設定'!$C$5)</f>
        <v/>
      </c>
      <c r="C151">
        <f>IF($AG151="","",'01_設定'!$C$6)</f>
        <v/>
      </c>
      <c r="D151" s="36">
        <f>IF($AG151="","",'01_設定'!$C$22)</f>
        <v/>
      </c>
      <c r="E151" s="36">
        <f>IF($AG151="","",'01_設定'!$C$23)</f>
        <v/>
      </c>
      <c r="F151">
        <f>IF($AG151="","",'01_設定'!$C$32)</f>
        <v/>
      </c>
      <c r="G151">
        <f>IF($AG151="","",ROW()-4)</f>
        <v/>
      </c>
      <c r="H151">
        <f>IF($AG151="","",INDEX('04_調査結果'!$AJ$5:$AJ$404,$AG151))</f>
        <v/>
      </c>
      <c r="I151">
        <f>IF($AG151="","",INDEX('04_調査結果'!$D$5:$D$404,$AG151)&amp;"")</f>
        <v/>
      </c>
      <c r="J151">
        <f>IF($AG151="","",INDEX('04_調査結果'!$AK$5:$AK$404,$AG151)&amp;"")</f>
        <v/>
      </c>
      <c r="K151">
        <f>IF($AG151="","",IFERROR(INDEX('M1_類型マスタ'!$B$5:$B$19,MATCH(J151,'M1_類型マスタ'!$A$5:$A$19,0)),""))</f>
        <v/>
      </c>
      <c r="L151">
        <f>IF($AG151="","",INDEX('04_調査結果'!$F$5:$F$404,$AG151)&amp;"")</f>
        <v/>
      </c>
      <c r="M151">
        <f>IF($AG151="","",INDEX('04_調査結果'!$G$5:$G$404,$AG151)&amp;"")</f>
        <v/>
      </c>
      <c r="N151">
        <f>IF($AG151="","",INDEX('04_調査結果'!$H$5:$H$404,$AG151)&amp;"")</f>
        <v/>
      </c>
      <c r="O151" s="33">
        <f>IF($AG151="","",IF(INDEX('04_調査結果'!$Z$5:$Z$404,$AG151)&lt;&gt;"",INDEX('04_調査結果'!$Z$5:$Z$404,$AG151),INDEX('04_調査結果'!$AM$5:$AM$404,$AG151)))</f>
        <v/>
      </c>
      <c r="P151" s="33">
        <f>IF($AG151="","",IF(INDEX('04_調査結果'!$AA$5:$AA$404,$AG151)&lt;&gt;"",INDEX('04_調査結果'!$AA$5:$AA$404,$AG151),INDEX('04_調査結果'!$AN$5:$AN$404,$AG151)))</f>
        <v/>
      </c>
      <c r="Q151" s="33">
        <f>IF($AG151="","",INDEX('04_調査結果'!$AD$5:$AD$404,$AG151))</f>
        <v/>
      </c>
      <c r="R151">
        <f>IF($AG151="","",INDEX('04_調査結果'!$AO$5:$AO$404,$AG151))</f>
        <v/>
      </c>
      <c r="S151" s="37">
        <f>IF($AG151="","",INDEX('04_調査結果'!$AQ$5:$AQ$404,$AG151))</f>
        <v/>
      </c>
      <c r="T151" s="37">
        <f>IF($AG151="","",INDEX('04_調査結果'!$AR$5:$AR$404,$AG151))</f>
        <v/>
      </c>
      <c r="U151">
        <f>IF($AG151="","",INDEX('04_調査結果'!$N$5:$N$404,$AG151)&amp;"")</f>
        <v/>
      </c>
      <c r="V151">
        <f>IF($AG151="","",INDEX('04_調査結果'!$O$5:$O$404,$AG151))</f>
        <v/>
      </c>
      <c r="W151">
        <f>IF($AG151="","",INDEX('04_調査結果'!$P$5:$P$404,$AG151))</f>
        <v/>
      </c>
      <c r="X151">
        <f>IF($AG151="","",INDEX('04_調査結果'!$Q$5:$Q$404,$AG151))</f>
        <v/>
      </c>
      <c r="Y151">
        <f>IF($AG151="","",INDEX('04_調査結果'!$R$5:$R$404,$AG151))</f>
        <v/>
      </c>
      <c r="Z151">
        <f>IF($AG151="","",INDEX('04_調査結果'!$S$5:$S$404,$AG151))</f>
        <v/>
      </c>
      <c r="AA151">
        <f>IF($AG151="","",INDEX('04_調査結果'!$T$5:$T$404,$AG151))</f>
        <v/>
      </c>
      <c r="AB151">
        <f>IF($AG151="","",INDEX('04_調査結果'!$U$5:$U$404,$AG151))</f>
        <v/>
      </c>
      <c r="AC151">
        <f>IF($AG151="","",INDEX('04_調査結果'!$AF$5:$AF$404,$AG151))</f>
        <v/>
      </c>
      <c r="AD151">
        <f>IF($AG151="","",INDEX('04_調査結果'!$AC$5:$AC$404,$AG151)&amp;"")</f>
        <v/>
      </c>
      <c r="AE151">
        <f>IF($AG151="","",INDEX('04_調査結果'!$V$5:$V$404,$AG151)&amp;"")</f>
        <v/>
      </c>
      <c r="AF151">
        <f>IF($AG151="","",INDEX('04_調査結果'!$X$5:$X$404,$AG151)&amp;"")</f>
        <v/>
      </c>
      <c r="AG151" s="34">
        <f>IFERROR(MATCH(ROW()-4,'04_調査結果'!$AT$5:$AT$404,0),"")</f>
        <v/>
      </c>
    </row>
    <row r="152">
      <c r="A152">
        <f>IF($AG152="","",'01_設定'!$C$4)</f>
        <v/>
      </c>
      <c r="B152">
        <f>IF($AG152="","",'01_設定'!$C$5)</f>
        <v/>
      </c>
      <c r="C152">
        <f>IF($AG152="","",'01_設定'!$C$6)</f>
        <v/>
      </c>
      <c r="D152" s="36">
        <f>IF($AG152="","",'01_設定'!$C$22)</f>
        <v/>
      </c>
      <c r="E152" s="36">
        <f>IF($AG152="","",'01_設定'!$C$23)</f>
        <v/>
      </c>
      <c r="F152">
        <f>IF($AG152="","",'01_設定'!$C$32)</f>
        <v/>
      </c>
      <c r="G152">
        <f>IF($AG152="","",ROW()-4)</f>
        <v/>
      </c>
      <c r="H152">
        <f>IF($AG152="","",INDEX('04_調査結果'!$AJ$5:$AJ$404,$AG152))</f>
        <v/>
      </c>
      <c r="I152">
        <f>IF($AG152="","",INDEX('04_調査結果'!$D$5:$D$404,$AG152)&amp;"")</f>
        <v/>
      </c>
      <c r="J152">
        <f>IF($AG152="","",INDEX('04_調査結果'!$AK$5:$AK$404,$AG152)&amp;"")</f>
        <v/>
      </c>
      <c r="K152">
        <f>IF($AG152="","",IFERROR(INDEX('M1_類型マスタ'!$B$5:$B$19,MATCH(J152,'M1_類型マスタ'!$A$5:$A$19,0)),""))</f>
        <v/>
      </c>
      <c r="L152">
        <f>IF($AG152="","",INDEX('04_調査結果'!$F$5:$F$404,$AG152)&amp;"")</f>
        <v/>
      </c>
      <c r="M152">
        <f>IF($AG152="","",INDEX('04_調査結果'!$G$5:$G$404,$AG152)&amp;"")</f>
        <v/>
      </c>
      <c r="N152">
        <f>IF($AG152="","",INDEX('04_調査結果'!$H$5:$H$404,$AG152)&amp;"")</f>
        <v/>
      </c>
      <c r="O152" s="33">
        <f>IF($AG152="","",IF(INDEX('04_調査結果'!$Z$5:$Z$404,$AG152)&lt;&gt;"",INDEX('04_調査結果'!$Z$5:$Z$404,$AG152),INDEX('04_調査結果'!$AM$5:$AM$404,$AG152)))</f>
        <v/>
      </c>
      <c r="P152" s="33">
        <f>IF($AG152="","",IF(INDEX('04_調査結果'!$AA$5:$AA$404,$AG152)&lt;&gt;"",INDEX('04_調査結果'!$AA$5:$AA$404,$AG152),INDEX('04_調査結果'!$AN$5:$AN$404,$AG152)))</f>
        <v/>
      </c>
      <c r="Q152" s="33">
        <f>IF($AG152="","",INDEX('04_調査結果'!$AD$5:$AD$404,$AG152))</f>
        <v/>
      </c>
      <c r="R152">
        <f>IF($AG152="","",INDEX('04_調査結果'!$AO$5:$AO$404,$AG152))</f>
        <v/>
      </c>
      <c r="S152" s="37">
        <f>IF($AG152="","",INDEX('04_調査結果'!$AQ$5:$AQ$404,$AG152))</f>
        <v/>
      </c>
      <c r="T152" s="37">
        <f>IF($AG152="","",INDEX('04_調査結果'!$AR$5:$AR$404,$AG152))</f>
        <v/>
      </c>
      <c r="U152">
        <f>IF($AG152="","",INDEX('04_調査結果'!$N$5:$N$404,$AG152)&amp;"")</f>
        <v/>
      </c>
      <c r="V152">
        <f>IF($AG152="","",INDEX('04_調査結果'!$O$5:$O$404,$AG152))</f>
        <v/>
      </c>
      <c r="W152">
        <f>IF($AG152="","",INDEX('04_調査結果'!$P$5:$P$404,$AG152))</f>
        <v/>
      </c>
      <c r="X152">
        <f>IF($AG152="","",INDEX('04_調査結果'!$Q$5:$Q$404,$AG152))</f>
        <v/>
      </c>
      <c r="Y152">
        <f>IF($AG152="","",INDEX('04_調査結果'!$R$5:$R$404,$AG152))</f>
        <v/>
      </c>
      <c r="Z152">
        <f>IF($AG152="","",INDEX('04_調査結果'!$S$5:$S$404,$AG152))</f>
        <v/>
      </c>
      <c r="AA152">
        <f>IF($AG152="","",INDEX('04_調査結果'!$T$5:$T$404,$AG152))</f>
        <v/>
      </c>
      <c r="AB152">
        <f>IF($AG152="","",INDEX('04_調査結果'!$U$5:$U$404,$AG152))</f>
        <v/>
      </c>
      <c r="AC152">
        <f>IF($AG152="","",INDEX('04_調査結果'!$AF$5:$AF$404,$AG152))</f>
        <v/>
      </c>
      <c r="AD152">
        <f>IF($AG152="","",INDEX('04_調査結果'!$AC$5:$AC$404,$AG152)&amp;"")</f>
        <v/>
      </c>
      <c r="AE152">
        <f>IF($AG152="","",INDEX('04_調査結果'!$V$5:$V$404,$AG152)&amp;"")</f>
        <v/>
      </c>
      <c r="AF152">
        <f>IF($AG152="","",INDEX('04_調査結果'!$X$5:$X$404,$AG152)&amp;"")</f>
        <v/>
      </c>
      <c r="AG152" s="34">
        <f>IFERROR(MATCH(ROW()-4,'04_調査結果'!$AT$5:$AT$404,0),"")</f>
        <v/>
      </c>
    </row>
    <row r="153">
      <c r="A153">
        <f>IF($AG153="","",'01_設定'!$C$4)</f>
        <v/>
      </c>
      <c r="B153">
        <f>IF($AG153="","",'01_設定'!$C$5)</f>
        <v/>
      </c>
      <c r="C153">
        <f>IF($AG153="","",'01_設定'!$C$6)</f>
        <v/>
      </c>
      <c r="D153" s="36">
        <f>IF($AG153="","",'01_設定'!$C$22)</f>
        <v/>
      </c>
      <c r="E153" s="36">
        <f>IF($AG153="","",'01_設定'!$C$23)</f>
        <v/>
      </c>
      <c r="F153">
        <f>IF($AG153="","",'01_設定'!$C$32)</f>
        <v/>
      </c>
      <c r="G153">
        <f>IF($AG153="","",ROW()-4)</f>
        <v/>
      </c>
      <c r="H153">
        <f>IF($AG153="","",INDEX('04_調査結果'!$AJ$5:$AJ$404,$AG153))</f>
        <v/>
      </c>
      <c r="I153">
        <f>IF($AG153="","",INDEX('04_調査結果'!$D$5:$D$404,$AG153)&amp;"")</f>
        <v/>
      </c>
      <c r="J153">
        <f>IF($AG153="","",INDEX('04_調査結果'!$AK$5:$AK$404,$AG153)&amp;"")</f>
        <v/>
      </c>
      <c r="K153">
        <f>IF($AG153="","",IFERROR(INDEX('M1_類型マスタ'!$B$5:$B$19,MATCH(J153,'M1_類型マスタ'!$A$5:$A$19,0)),""))</f>
        <v/>
      </c>
      <c r="L153">
        <f>IF($AG153="","",INDEX('04_調査結果'!$F$5:$F$404,$AG153)&amp;"")</f>
        <v/>
      </c>
      <c r="M153">
        <f>IF($AG153="","",INDEX('04_調査結果'!$G$5:$G$404,$AG153)&amp;"")</f>
        <v/>
      </c>
      <c r="N153">
        <f>IF($AG153="","",INDEX('04_調査結果'!$H$5:$H$404,$AG153)&amp;"")</f>
        <v/>
      </c>
      <c r="O153" s="33">
        <f>IF($AG153="","",IF(INDEX('04_調査結果'!$Z$5:$Z$404,$AG153)&lt;&gt;"",INDEX('04_調査結果'!$Z$5:$Z$404,$AG153),INDEX('04_調査結果'!$AM$5:$AM$404,$AG153)))</f>
        <v/>
      </c>
      <c r="P153" s="33">
        <f>IF($AG153="","",IF(INDEX('04_調査結果'!$AA$5:$AA$404,$AG153)&lt;&gt;"",INDEX('04_調査結果'!$AA$5:$AA$404,$AG153),INDEX('04_調査結果'!$AN$5:$AN$404,$AG153)))</f>
        <v/>
      </c>
      <c r="Q153" s="33">
        <f>IF($AG153="","",INDEX('04_調査結果'!$AD$5:$AD$404,$AG153))</f>
        <v/>
      </c>
      <c r="R153">
        <f>IF($AG153="","",INDEX('04_調査結果'!$AO$5:$AO$404,$AG153))</f>
        <v/>
      </c>
      <c r="S153" s="37">
        <f>IF($AG153="","",INDEX('04_調査結果'!$AQ$5:$AQ$404,$AG153))</f>
        <v/>
      </c>
      <c r="T153" s="37">
        <f>IF($AG153="","",INDEX('04_調査結果'!$AR$5:$AR$404,$AG153))</f>
        <v/>
      </c>
      <c r="U153">
        <f>IF($AG153="","",INDEX('04_調査結果'!$N$5:$N$404,$AG153)&amp;"")</f>
        <v/>
      </c>
      <c r="V153">
        <f>IF($AG153="","",INDEX('04_調査結果'!$O$5:$O$404,$AG153))</f>
        <v/>
      </c>
      <c r="W153">
        <f>IF($AG153="","",INDEX('04_調査結果'!$P$5:$P$404,$AG153))</f>
        <v/>
      </c>
      <c r="X153">
        <f>IF($AG153="","",INDEX('04_調査結果'!$Q$5:$Q$404,$AG153))</f>
        <v/>
      </c>
      <c r="Y153">
        <f>IF($AG153="","",INDEX('04_調査結果'!$R$5:$R$404,$AG153))</f>
        <v/>
      </c>
      <c r="Z153">
        <f>IF($AG153="","",INDEX('04_調査結果'!$S$5:$S$404,$AG153))</f>
        <v/>
      </c>
      <c r="AA153">
        <f>IF($AG153="","",INDEX('04_調査結果'!$T$5:$T$404,$AG153))</f>
        <v/>
      </c>
      <c r="AB153">
        <f>IF($AG153="","",INDEX('04_調査結果'!$U$5:$U$404,$AG153))</f>
        <v/>
      </c>
      <c r="AC153">
        <f>IF($AG153="","",INDEX('04_調査結果'!$AF$5:$AF$404,$AG153))</f>
        <v/>
      </c>
      <c r="AD153">
        <f>IF($AG153="","",INDEX('04_調査結果'!$AC$5:$AC$404,$AG153)&amp;"")</f>
        <v/>
      </c>
      <c r="AE153">
        <f>IF($AG153="","",INDEX('04_調査結果'!$V$5:$V$404,$AG153)&amp;"")</f>
        <v/>
      </c>
      <c r="AF153">
        <f>IF($AG153="","",INDEX('04_調査結果'!$X$5:$X$404,$AG153)&amp;"")</f>
        <v/>
      </c>
      <c r="AG153" s="34">
        <f>IFERROR(MATCH(ROW()-4,'04_調査結果'!$AT$5:$AT$404,0),"")</f>
        <v/>
      </c>
    </row>
    <row r="154">
      <c r="A154">
        <f>IF($AG154="","",'01_設定'!$C$4)</f>
        <v/>
      </c>
      <c r="B154">
        <f>IF($AG154="","",'01_設定'!$C$5)</f>
        <v/>
      </c>
      <c r="C154">
        <f>IF($AG154="","",'01_設定'!$C$6)</f>
        <v/>
      </c>
      <c r="D154" s="36">
        <f>IF($AG154="","",'01_設定'!$C$22)</f>
        <v/>
      </c>
      <c r="E154" s="36">
        <f>IF($AG154="","",'01_設定'!$C$23)</f>
        <v/>
      </c>
      <c r="F154">
        <f>IF($AG154="","",'01_設定'!$C$32)</f>
        <v/>
      </c>
      <c r="G154">
        <f>IF($AG154="","",ROW()-4)</f>
        <v/>
      </c>
      <c r="H154">
        <f>IF($AG154="","",INDEX('04_調査結果'!$AJ$5:$AJ$404,$AG154))</f>
        <v/>
      </c>
      <c r="I154">
        <f>IF($AG154="","",INDEX('04_調査結果'!$D$5:$D$404,$AG154)&amp;"")</f>
        <v/>
      </c>
      <c r="J154">
        <f>IF($AG154="","",INDEX('04_調査結果'!$AK$5:$AK$404,$AG154)&amp;"")</f>
        <v/>
      </c>
      <c r="K154">
        <f>IF($AG154="","",IFERROR(INDEX('M1_類型マスタ'!$B$5:$B$19,MATCH(J154,'M1_類型マスタ'!$A$5:$A$19,0)),""))</f>
        <v/>
      </c>
      <c r="L154">
        <f>IF($AG154="","",INDEX('04_調査結果'!$F$5:$F$404,$AG154)&amp;"")</f>
        <v/>
      </c>
      <c r="M154">
        <f>IF($AG154="","",INDEX('04_調査結果'!$G$5:$G$404,$AG154)&amp;"")</f>
        <v/>
      </c>
      <c r="N154">
        <f>IF($AG154="","",INDEX('04_調査結果'!$H$5:$H$404,$AG154)&amp;"")</f>
        <v/>
      </c>
      <c r="O154" s="33">
        <f>IF($AG154="","",IF(INDEX('04_調査結果'!$Z$5:$Z$404,$AG154)&lt;&gt;"",INDEX('04_調査結果'!$Z$5:$Z$404,$AG154),INDEX('04_調査結果'!$AM$5:$AM$404,$AG154)))</f>
        <v/>
      </c>
      <c r="P154" s="33">
        <f>IF($AG154="","",IF(INDEX('04_調査結果'!$AA$5:$AA$404,$AG154)&lt;&gt;"",INDEX('04_調査結果'!$AA$5:$AA$404,$AG154),INDEX('04_調査結果'!$AN$5:$AN$404,$AG154)))</f>
        <v/>
      </c>
      <c r="Q154" s="33">
        <f>IF($AG154="","",INDEX('04_調査結果'!$AD$5:$AD$404,$AG154))</f>
        <v/>
      </c>
      <c r="R154">
        <f>IF($AG154="","",INDEX('04_調査結果'!$AO$5:$AO$404,$AG154))</f>
        <v/>
      </c>
      <c r="S154" s="37">
        <f>IF($AG154="","",INDEX('04_調査結果'!$AQ$5:$AQ$404,$AG154))</f>
        <v/>
      </c>
      <c r="T154" s="37">
        <f>IF($AG154="","",INDEX('04_調査結果'!$AR$5:$AR$404,$AG154))</f>
        <v/>
      </c>
      <c r="U154">
        <f>IF($AG154="","",INDEX('04_調査結果'!$N$5:$N$404,$AG154)&amp;"")</f>
        <v/>
      </c>
      <c r="V154">
        <f>IF($AG154="","",INDEX('04_調査結果'!$O$5:$O$404,$AG154))</f>
        <v/>
      </c>
      <c r="W154">
        <f>IF($AG154="","",INDEX('04_調査結果'!$P$5:$P$404,$AG154))</f>
        <v/>
      </c>
      <c r="X154">
        <f>IF($AG154="","",INDEX('04_調査結果'!$Q$5:$Q$404,$AG154))</f>
        <v/>
      </c>
      <c r="Y154">
        <f>IF($AG154="","",INDEX('04_調査結果'!$R$5:$R$404,$AG154))</f>
        <v/>
      </c>
      <c r="Z154">
        <f>IF($AG154="","",INDEX('04_調査結果'!$S$5:$S$404,$AG154))</f>
        <v/>
      </c>
      <c r="AA154">
        <f>IF($AG154="","",INDEX('04_調査結果'!$T$5:$T$404,$AG154))</f>
        <v/>
      </c>
      <c r="AB154">
        <f>IF($AG154="","",INDEX('04_調査結果'!$U$5:$U$404,$AG154))</f>
        <v/>
      </c>
      <c r="AC154">
        <f>IF($AG154="","",INDEX('04_調査結果'!$AF$5:$AF$404,$AG154))</f>
        <v/>
      </c>
      <c r="AD154">
        <f>IF($AG154="","",INDEX('04_調査結果'!$AC$5:$AC$404,$AG154)&amp;"")</f>
        <v/>
      </c>
      <c r="AE154">
        <f>IF($AG154="","",INDEX('04_調査結果'!$V$5:$V$404,$AG154)&amp;"")</f>
        <v/>
      </c>
      <c r="AF154">
        <f>IF($AG154="","",INDEX('04_調査結果'!$X$5:$X$404,$AG154)&amp;"")</f>
        <v/>
      </c>
      <c r="AG154" s="34">
        <f>IFERROR(MATCH(ROW()-4,'04_調査結果'!$AT$5:$AT$404,0),"")</f>
        <v/>
      </c>
    </row>
    <row r="155">
      <c r="A155">
        <f>IF($AG155="","",'01_設定'!$C$4)</f>
        <v/>
      </c>
      <c r="B155">
        <f>IF($AG155="","",'01_設定'!$C$5)</f>
        <v/>
      </c>
      <c r="C155">
        <f>IF($AG155="","",'01_設定'!$C$6)</f>
        <v/>
      </c>
      <c r="D155" s="36">
        <f>IF($AG155="","",'01_設定'!$C$22)</f>
        <v/>
      </c>
      <c r="E155" s="36">
        <f>IF($AG155="","",'01_設定'!$C$23)</f>
        <v/>
      </c>
      <c r="F155">
        <f>IF($AG155="","",'01_設定'!$C$32)</f>
        <v/>
      </c>
      <c r="G155">
        <f>IF($AG155="","",ROW()-4)</f>
        <v/>
      </c>
      <c r="H155">
        <f>IF($AG155="","",INDEX('04_調査結果'!$AJ$5:$AJ$404,$AG155))</f>
        <v/>
      </c>
      <c r="I155">
        <f>IF($AG155="","",INDEX('04_調査結果'!$D$5:$D$404,$AG155)&amp;"")</f>
        <v/>
      </c>
      <c r="J155">
        <f>IF($AG155="","",INDEX('04_調査結果'!$AK$5:$AK$404,$AG155)&amp;"")</f>
        <v/>
      </c>
      <c r="K155">
        <f>IF($AG155="","",IFERROR(INDEX('M1_類型マスタ'!$B$5:$B$19,MATCH(J155,'M1_類型マスタ'!$A$5:$A$19,0)),""))</f>
        <v/>
      </c>
      <c r="L155">
        <f>IF($AG155="","",INDEX('04_調査結果'!$F$5:$F$404,$AG155)&amp;"")</f>
        <v/>
      </c>
      <c r="M155">
        <f>IF($AG155="","",INDEX('04_調査結果'!$G$5:$G$404,$AG155)&amp;"")</f>
        <v/>
      </c>
      <c r="N155">
        <f>IF($AG155="","",INDEX('04_調査結果'!$H$5:$H$404,$AG155)&amp;"")</f>
        <v/>
      </c>
      <c r="O155" s="33">
        <f>IF($AG155="","",IF(INDEX('04_調査結果'!$Z$5:$Z$404,$AG155)&lt;&gt;"",INDEX('04_調査結果'!$Z$5:$Z$404,$AG155),INDEX('04_調査結果'!$AM$5:$AM$404,$AG155)))</f>
        <v/>
      </c>
      <c r="P155" s="33">
        <f>IF($AG155="","",IF(INDEX('04_調査結果'!$AA$5:$AA$404,$AG155)&lt;&gt;"",INDEX('04_調査結果'!$AA$5:$AA$404,$AG155),INDEX('04_調査結果'!$AN$5:$AN$404,$AG155)))</f>
        <v/>
      </c>
      <c r="Q155" s="33">
        <f>IF($AG155="","",INDEX('04_調査結果'!$AD$5:$AD$404,$AG155))</f>
        <v/>
      </c>
      <c r="R155">
        <f>IF($AG155="","",INDEX('04_調査結果'!$AO$5:$AO$404,$AG155))</f>
        <v/>
      </c>
      <c r="S155" s="37">
        <f>IF($AG155="","",INDEX('04_調査結果'!$AQ$5:$AQ$404,$AG155))</f>
        <v/>
      </c>
      <c r="T155" s="37">
        <f>IF($AG155="","",INDEX('04_調査結果'!$AR$5:$AR$404,$AG155))</f>
        <v/>
      </c>
      <c r="U155">
        <f>IF($AG155="","",INDEX('04_調査結果'!$N$5:$N$404,$AG155)&amp;"")</f>
        <v/>
      </c>
      <c r="V155">
        <f>IF($AG155="","",INDEX('04_調査結果'!$O$5:$O$404,$AG155))</f>
        <v/>
      </c>
      <c r="W155">
        <f>IF($AG155="","",INDEX('04_調査結果'!$P$5:$P$404,$AG155))</f>
        <v/>
      </c>
      <c r="X155">
        <f>IF($AG155="","",INDEX('04_調査結果'!$Q$5:$Q$404,$AG155))</f>
        <v/>
      </c>
      <c r="Y155">
        <f>IF($AG155="","",INDEX('04_調査結果'!$R$5:$R$404,$AG155))</f>
        <v/>
      </c>
      <c r="Z155">
        <f>IF($AG155="","",INDEX('04_調査結果'!$S$5:$S$404,$AG155))</f>
        <v/>
      </c>
      <c r="AA155">
        <f>IF($AG155="","",INDEX('04_調査結果'!$T$5:$T$404,$AG155))</f>
        <v/>
      </c>
      <c r="AB155">
        <f>IF($AG155="","",INDEX('04_調査結果'!$U$5:$U$404,$AG155))</f>
        <v/>
      </c>
      <c r="AC155">
        <f>IF($AG155="","",INDEX('04_調査結果'!$AF$5:$AF$404,$AG155))</f>
        <v/>
      </c>
      <c r="AD155">
        <f>IF($AG155="","",INDEX('04_調査結果'!$AC$5:$AC$404,$AG155)&amp;"")</f>
        <v/>
      </c>
      <c r="AE155">
        <f>IF($AG155="","",INDEX('04_調査結果'!$V$5:$V$404,$AG155)&amp;"")</f>
        <v/>
      </c>
      <c r="AF155">
        <f>IF($AG155="","",INDEX('04_調査結果'!$X$5:$X$404,$AG155)&amp;"")</f>
        <v/>
      </c>
      <c r="AG155" s="34">
        <f>IFERROR(MATCH(ROW()-4,'04_調査結果'!$AT$5:$AT$404,0),"")</f>
        <v/>
      </c>
    </row>
    <row r="156">
      <c r="A156">
        <f>IF($AG156="","",'01_設定'!$C$4)</f>
        <v/>
      </c>
      <c r="B156">
        <f>IF($AG156="","",'01_設定'!$C$5)</f>
        <v/>
      </c>
      <c r="C156">
        <f>IF($AG156="","",'01_設定'!$C$6)</f>
        <v/>
      </c>
      <c r="D156" s="36">
        <f>IF($AG156="","",'01_設定'!$C$22)</f>
        <v/>
      </c>
      <c r="E156" s="36">
        <f>IF($AG156="","",'01_設定'!$C$23)</f>
        <v/>
      </c>
      <c r="F156">
        <f>IF($AG156="","",'01_設定'!$C$32)</f>
        <v/>
      </c>
      <c r="G156">
        <f>IF($AG156="","",ROW()-4)</f>
        <v/>
      </c>
      <c r="H156">
        <f>IF($AG156="","",INDEX('04_調査結果'!$AJ$5:$AJ$404,$AG156))</f>
        <v/>
      </c>
      <c r="I156">
        <f>IF($AG156="","",INDEX('04_調査結果'!$D$5:$D$404,$AG156)&amp;"")</f>
        <v/>
      </c>
      <c r="J156">
        <f>IF($AG156="","",INDEX('04_調査結果'!$AK$5:$AK$404,$AG156)&amp;"")</f>
        <v/>
      </c>
      <c r="K156">
        <f>IF($AG156="","",IFERROR(INDEX('M1_類型マスタ'!$B$5:$B$19,MATCH(J156,'M1_類型マスタ'!$A$5:$A$19,0)),""))</f>
        <v/>
      </c>
      <c r="L156">
        <f>IF($AG156="","",INDEX('04_調査結果'!$F$5:$F$404,$AG156)&amp;"")</f>
        <v/>
      </c>
      <c r="M156">
        <f>IF($AG156="","",INDEX('04_調査結果'!$G$5:$G$404,$AG156)&amp;"")</f>
        <v/>
      </c>
      <c r="N156">
        <f>IF($AG156="","",INDEX('04_調査結果'!$H$5:$H$404,$AG156)&amp;"")</f>
        <v/>
      </c>
      <c r="O156" s="33">
        <f>IF($AG156="","",IF(INDEX('04_調査結果'!$Z$5:$Z$404,$AG156)&lt;&gt;"",INDEX('04_調査結果'!$Z$5:$Z$404,$AG156),INDEX('04_調査結果'!$AM$5:$AM$404,$AG156)))</f>
        <v/>
      </c>
      <c r="P156" s="33">
        <f>IF($AG156="","",IF(INDEX('04_調査結果'!$AA$5:$AA$404,$AG156)&lt;&gt;"",INDEX('04_調査結果'!$AA$5:$AA$404,$AG156),INDEX('04_調査結果'!$AN$5:$AN$404,$AG156)))</f>
        <v/>
      </c>
      <c r="Q156" s="33">
        <f>IF($AG156="","",INDEX('04_調査結果'!$AD$5:$AD$404,$AG156))</f>
        <v/>
      </c>
      <c r="R156">
        <f>IF($AG156="","",INDEX('04_調査結果'!$AO$5:$AO$404,$AG156))</f>
        <v/>
      </c>
      <c r="S156" s="37">
        <f>IF($AG156="","",INDEX('04_調査結果'!$AQ$5:$AQ$404,$AG156))</f>
        <v/>
      </c>
      <c r="T156" s="37">
        <f>IF($AG156="","",INDEX('04_調査結果'!$AR$5:$AR$404,$AG156))</f>
        <v/>
      </c>
      <c r="U156">
        <f>IF($AG156="","",INDEX('04_調査結果'!$N$5:$N$404,$AG156)&amp;"")</f>
        <v/>
      </c>
      <c r="V156">
        <f>IF($AG156="","",INDEX('04_調査結果'!$O$5:$O$404,$AG156))</f>
        <v/>
      </c>
      <c r="W156">
        <f>IF($AG156="","",INDEX('04_調査結果'!$P$5:$P$404,$AG156))</f>
        <v/>
      </c>
      <c r="X156">
        <f>IF($AG156="","",INDEX('04_調査結果'!$Q$5:$Q$404,$AG156))</f>
        <v/>
      </c>
      <c r="Y156">
        <f>IF($AG156="","",INDEX('04_調査結果'!$R$5:$R$404,$AG156))</f>
        <v/>
      </c>
      <c r="Z156">
        <f>IF($AG156="","",INDEX('04_調査結果'!$S$5:$S$404,$AG156))</f>
        <v/>
      </c>
      <c r="AA156">
        <f>IF($AG156="","",INDEX('04_調査結果'!$T$5:$T$404,$AG156))</f>
        <v/>
      </c>
      <c r="AB156">
        <f>IF($AG156="","",INDEX('04_調査結果'!$U$5:$U$404,$AG156))</f>
        <v/>
      </c>
      <c r="AC156">
        <f>IF($AG156="","",INDEX('04_調査結果'!$AF$5:$AF$404,$AG156))</f>
        <v/>
      </c>
      <c r="AD156">
        <f>IF($AG156="","",INDEX('04_調査結果'!$AC$5:$AC$404,$AG156)&amp;"")</f>
        <v/>
      </c>
      <c r="AE156">
        <f>IF($AG156="","",INDEX('04_調査結果'!$V$5:$V$404,$AG156)&amp;"")</f>
        <v/>
      </c>
      <c r="AF156">
        <f>IF($AG156="","",INDEX('04_調査結果'!$X$5:$X$404,$AG156)&amp;"")</f>
        <v/>
      </c>
      <c r="AG156" s="34">
        <f>IFERROR(MATCH(ROW()-4,'04_調査結果'!$AT$5:$AT$404,0),"")</f>
        <v/>
      </c>
    </row>
    <row r="157">
      <c r="A157">
        <f>IF($AG157="","",'01_設定'!$C$4)</f>
        <v/>
      </c>
      <c r="B157">
        <f>IF($AG157="","",'01_設定'!$C$5)</f>
        <v/>
      </c>
      <c r="C157">
        <f>IF($AG157="","",'01_設定'!$C$6)</f>
        <v/>
      </c>
      <c r="D157" s="36">
        <f>IF($AG157="","",'01_設定'!$C$22)</f>
        <v/>
      </c>
      <c r="E157" s="36">
        <f>IF($AG157="","",'01_設定'!$C$23)</f>
        <v/>
      </c>
      <c r="F157">
        <f>IF($AG157="","",'01_設定'!$C$32)</f>
        <v/>
      </c>
      <c r="G157">
        <f>IF($AG157="","",ROW()-4)</f>
        <v/>
      </c>
      <c r="H157">
        <f>IF($AG157="","",INDEX('04_調査結果'!$AJ$5:$AJ$404,$AG157))</f>
        <v/>
      </c>
      <c r="I157">
        <f>IF($AG157="","",INDEX('04_調査結果'!$D$5:$D$404,$AG157)&amp;"")</f>
        <v/>
      </c>
      <c r="J157">
        <f>IF($AG157="","",INDEX('04_調査結果'!$AK$5:$AK$404,$AG157)&amp;"")</f>
        <v/>
      </c>
      <c r="K157">
        <f>IF($AG157="","",IFERROR(INDEX('M1_類型マスタ'!$B$5:$B$19,MATCH(J157,'M1_類型マスタ'!$A$5:$A$19,0)),""))</f>
        <v/>
      </c>
      <c r="L157">
        <f>IF($AG157="","",INDEX('04_調査結果'!$F$5:$F$404,$AG157)&amp;"")</f>
        <v/>
      </c>
      <c r="M157">
        <f>IF($AG157="","",INDEX('04_調査結果'!$G$5:$G$404,$AG157)&amp;"")</f>
        <v/>
      </c>
      <c r="N157">
        <f>IF($AG157="","",INDEX('04_調査結果'!$H$5:$H$404,$AG157)&amp;"")</f>
        <v/>
      </c>
      <c r="O157" s="33">
        <f>IF($AG157="","",IF(INDEX('04_調査結果'!$Z$5:$Z$404,$AG157)&lt;&gt;"",INDEX('04_調査結果'!$Z$5:$Z$404,$AG157),INDEX('04_調査結果'!$AM$5:$AM$404,$AG157)))</f>
        <v/>
      </c>
      <c r="P157" s="33">
        <f>IF($AG157="","",IF(INDEX('04_調査結果'!$AA$5:$AA$404,$AG157)&lt;&gt;"",INDEX('04_調査結果'!$AA$5:$AA$404,$AG157),INDEX('04_調査結果'!$AN$5:$AN$404,$AG157)))</f>
        <v/>
      </c>
      <c r="Q157" s="33">
        <f>IF($AG157="","",INDEX('04_調査結果'!$AD$5:$AD$404,$AG157))</f>
        <v/>
      </c>
      <c r="R157">
        <f>IF($AG157="","",INDEX('04_調査結果'!$AO$5:$AO$404,$AG157))</f>
        <v/>
      </c>
      <c r="S157" s="37">
        <f>IF($AG157="","",INDEX('04_調査結果'!$AQ$5:$AQ$404,$AG157))</f>
        <v/>
      </c>
      <c r="T157" s="37">
        <f>IF($AG157="","",INDEX('04_調査結果'!$AR$5:$AR$404,$AG157))</f>
        <v/>
      </c>
      <c r="U157">
        <f>IF($AG157="","",INDEX('04_調査結果'!$N$5:$N$404,$AG157)&amp;"")</f>
        <v/>
      </c>
      <c r="V157">
        <f>IF($AG157="","",INDEX('04_調査結果'!$O$5:$O$404,$AG157))</f>
        <v/>
      </c>
      <c r="W157">
        <f>IF($AG157="","",INDEX('04_調査結果'!$P$5:$P$404,$AG157))</f>
        <v/>
      </c>
      <c r="X157">
        <f>IF($AG157="","",INDEX('04_調査結果'!$Q$5:$Q$404,$AG157))</f>
        <v/>
      </c>
      <c r="Y157">
        <f>IF($AG157="","",INDEX('04_調査結果'!$R$5:$R$404,$AG157))</f>
        <v/>
      </c>
      <c r="Z157">
        <f>IF($AG157="","",INDEX('04_調査結果'!$S$5:$S$404,$AG157))</f>
        <v/>
      </c>
      <c r="AA157">
        <f>IF($AG157="","",INDEX('04_調査結果'!$T$5:$T$404,$AG157))</f>
        <v/>
      </c>
      <c r="AB157">
        <f>IF($AG157="","",INDEX('04_調査結果'!$U$5:$U$404,$AG157))</f>
        <v/>
      </c>
      <c r="AC157">
        <f>IF($AG157="","",INDEX('04_調査結果'!$AF$5:$AF$404,$AG157))</f>
        <v/>
      </c>
      <c r="AD157">
        <f>IF($AG157="","",INDEX('04_調査結果'!$AC$5:$AC$404,$AG157)&amp;"")</f>
        <v/>
      </c>
      <c r="AE157">
        <f>IF($AG157="","",INDEX('04_調査結果'!$V$5:$V$404,$AG157)&amp;"")</f>
        <v/>
      </c>
      <c r="AF157">
        <f>IF($AG157="","",INDEX('04_調査結果'!$X$5:$X$404,$AG157)&amp;"")</f>
        <v/>
      </c>
      <c r="AG157" s="34">
        <f>IFERROR(MATCH(ROW()-4,'04_調査結果'!$AT$5:$AT$404,0),"")</f>
        <v/>
      </c>
    </row>
    <row r="158">
      <c r="A158">
        <f>IF($AG158="","",'01_設定'!$C$4)</f>
        <v/>
      </c>
      <c r="B158">
        <f>IF($AG158="","",'01_設定'!$C$5)</f>
        <v/>
      </c>
      <c r="C158">
        <f>IF($AG158="","",'01_設定'!$C$6)</f>
        <v/>
      </c>
      <c r="D158" s="36">
        <f>IF($AG158="","",'01_設定'!$C$22)</f>
        <v/>
      </c>
      <c r="E158" s="36">
        <f>IF($AG158="","",'01_設定'!$C$23)</f>
        <v/>
      </c>
      <c r="F158">
        <f>IF($AG158="","",'01_設定'!$C$32)</f>
        <v/>
      </c>
      <c r="G158">
        <f>IF($AG158="","",ROW()-4)</f>
        <v/>
      </c>
      <c r="H158">
        <f>IF($AG158="","",INDEX('04_調査結果'!$AJ$5:$AJ$404,$AG158))</f>
        <v/>
      </c>
      <c r="I158">
        <f>IF($AG158="","",INDEX('04_調査結果'!$D$5:$D$404,$AG158)&amp;"")</f>
        <v/>
      </c>
      <c r="J158">
        <f>IF($AG158="","",INDEX('04_調査結果'!$AK$5:$AK$404,$AG158)&amp;"")</f>
        <v/>
      </c>
      <c r="K158">
        <f>IF($AG158="","",IFERROR(INDEX('M1_類型マスタ'!$B$5:$B$19,MATCH(J158,'M1_類型マスタ'!$A$5:$A$19,0)),""))</f>
        <v/>
      </c>
      <c r="L158">
        <f>IF($AG158="","",INDEX('04_調査結果'!$F$5:$F$404,$AG158)&amp;"")</f>
        <v/>
      </c>
      <c r="M158">
        <f>IF($AG158="","",INDEX('04_調査結果'!$G$5:$G$404,$AG158)&amp;"")</f>
        <v/>
      </c>
      <c r="N158">
        <f>IF($AG158="","",INDEX('04_調査結果'!$H$5:$H$404,$AG158)&amp;"")</f>
        <v/>
      </c>
      <c r="O158" s="33">
        <f>IF($AG158="","",IF(INDEX('04_調査結果'!$Z$5:$Z$404,$AG158)&lt;&gt;"",INDEX('04_調査結果'!$Z$5:$Z$404,$AG158),INDEX('04_調査結果'!$AM$5:$AM$404,$AG158)))</f>
        <v/>
      </c>
      <c r="P158" s="33">
        <f>IF($AG158="","",IF(INDEX('04_調査結果'!$AA$5:$AA$404,$AG158)&lt;&gt;"",INDEX('04_調査結果'!$AA$5:$AA$404,$AG158),INDEX('04_調査結果'!$AN$5:$AN$404,$AG158)))</f>
        <v/>
      </c>
      <c r="Q158" s="33">
        <f>IF($AG158="","",INDEX('04_調査結果'!$AD$5:$AD$404,$AG158))</f>
        <v/>
      </c>
      <c r="R158">
        <f>IF($AG158="","",INDEX('04_調査結果'!$AO$5:$AO$404,$AG158))</f>
        <v/>
      </c>
      <c r="S158" s="37">
        <f>IF($AG158="","",INDEX('04_調査結果'!$AQ$5:$AQ$404,$AG158))</f>
        <v/>
      </c>
      <c r="T158" s="37">
        <f>IF($AG158="","",INDEX('04_調査結果'!$AR$5:$AR$404,$AG158))</f>
        <v/>
      </c>
      <c r="U158">
        <f>IF($AG158="","",INDEX('04_調査結果'!$N$5:$N$404,$AG158)&amp;"")</f>
        <v/>
      </c>
      <c r="V158">
        <f>IF($AG158="","",INDEX('04_調査結果'!$O$5:$O$404,$AG158))</f>
        <v/>
      </c>
      <c r="W158">
        <f>IF($AG158="","",INDEX('04_調査結果'!$P$5:$P$404,$AG158))</f>
        <v/>
      </c>
      <c r="X158">
        <f>IF($AG158="","",INDEX('04_調査結果'!$Q$5:$Q$404,$AG158))</f>
        <v/>
      </c>
      <c r="Y158">
        <f>IF($AG158="","",INDEX('04_調査結果'!$R$5:$R$404,$AG158))</f>
        <v/>
      </c>
      <c r="Z158">
        <f>IF($AG158="","",INDEX('04_調査結果'!$S$5:$S$404,$AG158))</f>
        <v/>
      </c>
      <c r="AA158">
        <f>IF($AG158="","",INDEX('04_調査結果'!$T$5:$T$404,$AG158))</f>
        <v/>
      </c>
      <c r="AB158">
        <f>IF($AG158="","",INDEX('04_調査結果'!$U$5:$U$404,$AG158))</f>
        <v/>
      </c>
      <c r="AC158">
        <f>IF($AG158="","",INDEX('04_調査結果'!$AF$5:$AF$404,$AG158))</f>
        <v/>
      </c>
      <c r="AD158">
        <f>IF($AG158="","",INDEX('04_調査結果'!$AC$5:$AC$404,$AG158)&amp;"")</f>
        <v/>
      </c>
      <c r="AE158">
        <f>IF($AG158="","",INDEX('04_調査結果'!$V$5:$V$404,$AG158)&amp;"")</f>
        <v/>
      </c>
      <c r="AF158">
        <f>IF($AG158="","",INDEX('04_調査結果'!$X$5:$X$404,$AG158)&amp;"")</f>
        <v/>
      </c>
      <c r="AG158" s="34">
        <f>IFERROR(MATCH(ROW()-4,'04_調査結果'!$AT$5:$AT$404,0),"")</f>
        <v/>
      </c>
    </row>
    <row r="159">
      <c r="A159">
        <f>IF($AG159="","",'01_設定'!$C$4)</f>
        <v/>
      </c>
      <c r="B159">
        <f>IF($AG159="","",'01_設定'!$C$5)</f>
        <v/>
      </c>
      <c r="C159">
        <f>IF($AG159="","",'01_設定'!$C$6)</f>
        <v/>
      </c>
      <c r="D159" s="36">
        <f>IF($AG159="","",'01_設定'!$C$22)</f>
        <v/>
      </c>
      <c r="E159" s="36">
        <f>IF($AG159="","",'01_設定'!$C$23)</f>
        <v/>
      </c>
      <c r="F159">
        <f>IF($AG159="","",'01_設定'!$C$32)</f>
        <v/>
      </c>
      <c r="G159">
        <f>IF($AG159="","",ROW()-4)</f>
        <v/>
      </c>
      <c r="H159">
        <f>IF($AG159="","",INDEX('04_調査結果'!$AJ$5:$AJ$404,$AG159))</f>
        <v/>
      </c>
      <c r="I159">
        <f>IF($AG159="","",INDEX('04_調査結果'!$D$5:$D$404,$AG159)&amp;"")</f>
        <v/>
      </c>
      <c r="J159">
        <f>IF($AG159="","",INDEX('04_調査結果'!$AK$5:$AK$404,$AG159)&amp;"")</f>
        <v/>
      </c>
      <c r="K159">
        <f>IF($AG159="","",IFERROR(INDEX('M1_類型マスタ'!$B$5:$B$19,MATCH(J159,'M1_類型マスタ'!$A$5:$A$19,0)),""))</f>
        <v/>
      </c>
      <c r="L159">
        <f>IF($AG159="","",INDEX('04_調査結果'!$F$5:$F$404,$AG159)&amp;"")</f>
        <v/>
      </c>
      <c r="M159">
        <f>IF($AG159="","",INDEX('04_調査結果'!$G$5:$G$404,$AG159)&amp;"")</f>
        <v/>
      </c>
      <c r="N159">
        <f>IF($AG159="","",INDEX('04_調査結果'!$H$5:$H$404,$AG159)&amp;"")</f>
        <v/>
      </c>
      <c r="O159" s="33">
        <f>IF($AG159="","",IF(INDEX('04_調査結果'!$Z$5:$Z$404,$AG159)&lt;&gt;"",INDEX('04_調査結果'!$Z$5:$Z$404,$AG159),INDEX('04_調査結果'!$AM$5:$AM$404,$AG159)))</f>
        <v/>
      </c>
      <c r="P159" s="33">
        <f>IF($AG159="","",IF(INDEX('04_調査結果'!$AA$5:$AA$404,$AG159)&lt;&gt;"",INDEX('04_調査結果'!$AA$5:$AA$404,$AG159),INDEX('04_調査結果'!$AN$5:$AN$404,$AG159)))</f>
        <v/>
      </c>
      <c r="Q159" s="33">
        <f>IF($AG159="","",INDEX('04_調査結果'!$AD$5:$AD$404,$AG159))</f>
        <v/>
      </c>
      <c r="R159">
        <f>IF($AG159="","",INDEX('04_調査結果'!$AO$5:$AO$404,$AG159))</f>
        <v/>
      </c>
      <c r="S159" s="37">
        <f>IF($AG159="","",INDEX('04_調査結果'!$AQ$5:$AQ$404,$AG159))</f>
        <v/>
      </c>
      <c r="T159" s="37">
        <f>IF($AG159="","",INDEX('04_調査結果'!$AR$5:$AR$404,$AG159))</f>
        <v/>
      </c>
      <c r="U159">
        <f>IF($AG159="","",INDEX('04_調査結果'!$N$5:$N$404,$AG159)&amp;"")</f>
        <v/>
      </c>
      <c r="V159">
        <f>IF($AG159="","",INDEX('04_調査結果'!$O$5:$O$404,$AG159))</f>
        <v/>
      </c>
      <c r="W159">
        <f>IF($AG159="","",INDEX('04_調査結果'!$P$5:$P$404,$AG159))</f>
        <v/>
      </c>
      <c r="X159">
        <f>IF($AG159="","",INDEX('04_調査結果'!$Q$5:$Q$404,$AG159))</f>
        <v/>
      </c>
      <c r="Y159">
        <f>IF($AG159="","",INDEX('04_調査結果'!$R$5:$R$404,$AG159))</f>
        <v/>
      </c>
      <c r="Z159">
        <f>IF($AG159="","",INDEX('04_調査結果'!$S$5:$S$404,$AG159))</f>
        <v/>
      </c>
      <c r="AA159">
        <f>IF($AG159="","",INDEX('04_調査結果'!$T$5:$T$404,$AG159))</f>
        <v/>
      </c>
      <c r="AB159">
        <f>IF($AG159="","",INDEX('04_調査結果'!$U$5:$U$404,$AG159))</f>
        <v/>
      </c>
      <c r="AC159">
        <f>IF($AG159="","",INDEX('04_調査結果'!$AF$5:$AF$404,$AG159))</f>
        <v/>
      </c>
      <c r="AD159">
        <f>IF($AG159="","",INDEX('04_調査結果'!$AC$5:$AC$404,$AG159)&amp;"")</f>
        <v/>
      </c>
      <c r="AE159">
        <f>IF($AG159="","",INDEX('04_調査結果'!$V$5:$V$404,$AG159)&amp;"")</f>
        <v/>
      </c>
      <c r="AF159">
        <f>IF($AG159="","",INDEX('04_調査結果'!$X$5:$X$404,$AG159)&amp;"")</f>
        <v/>
      </c>
      <c r="AG159" s="34">
        <f>IFERROR(MATCH(ROW()-4,'04_調査結果'!$AT$5:$AT$404,0),"")</f>
        <v/>
      </c>
    </row>
    <row r="160">
      <c r="A160">
        <f>IF($AG160="","",'01_設定'!$C$4)</f>
        <v/>
      </c>
      <c r="B160">
        <f>IF($AG160="","",'01_設定'!$C$5)</f>
        <v/>
      </c>
      <c r="C160">
        <f>IF($AG160="","",'01_設定'!$C$6)</f>
        <v/>
      </c>
      <c r="D160" s="36">
        <f>IF($AG160="","",'01_設定'!$C$22)</f>
        <v/>
      </c>
      <c r="E160" s="36">
        <f>IF($AG160="","",'01_設定'!$C$23)</f>
        <v/>
      </c>
      <c r="F160">
        <f>IF($AG160="","",'01_設定'!$C$32)</f>
        <v/>
      </c>
      <c r="G160">
        <f>IF($AG160="","",ROW()-4)</f>
        <v/>
      </c>
      <c r="H160">
        <f>IF($AG160="","",INDEX('04_調査結果'!$AJ$5:$AJ$404,$AG160))</f>
        <v/>
      </c>
      <c r="I160">
        <f>IF($AG160="","",INDEX('04_調査結果'!$D$5:$D$404,$AG160)&amp;"")</f>
        <v/>
      </c>
      <c r="J160">
        <f>IF($AG160="","",INDEX('04_調査結果'!$AK$5:$AK$404,$AG160)&amp;"")</f>
        <v/>
      </c>
      <c r="K160">
        <f>IF($AG160="","",IFERROR(INDEX('M1_類型マスタ'!$B$5:$B$19,MATCH(J160,'M1_類型マスタ'!$A$5:$A$19,0)),""))</f>
        <v/>
      </c>
      <c r="L160">
        <f>IF($AG160="","",INDEX('04_調査結果'!$F$5:$F$404,$AG160)&amp;"")</f>
        <v/>
      </c>
      <c r="M160">
        <f>IF($AG160="","",INDEX('04_調査結果'!$G$5:$G$404,$AG160)&amp;"")</f>
        <v/>
      </c>
      <c r="N160">
        <f>IF($AG160="","",INDEX('04_調査結果'!$H$5:$H$404,$AG160)&amp;"")</f>
        <v/>
      </c>
      <c r="O160" s="33">
        <f>IF($AG160="","",IF(INDEX('04_調査結果'!$Z$5:$Z$404,$AG160)&lt;&gt;"",INDEX('04_調査結果'!$Z$5:$Z$404,$AG160),INDEX('04_調査結果'!$AM$5:$AM$404,$AG160)))</f>
        <v/>
      </c>
      <c r="P160" s="33">
        <f>IF($AG160="","",IF(INDEX('04_調査結果'!$AA$5:$AA$404,$AG160)&lt;&gt;"",INDEX('04_調査結果'!$AA$5:$AA$404,$AG160),INDEX('04_調査結果'!$AN$5:$AN$404,$AG160)))</f>
        <v/>
      </c>
      <c r="Q160" s="33">
        <f>IF($AG160="","",INDEX('04_調査結果'!$AD$5:$AD$404,$AG160))</f>
        <v/>
      </c>
      <c r="R160">
        <f>IF($AG160="","",INDEX('04_調査結果'!$AO$5:$AO$404,$AG160))</f>
        <v/>
      </c>
      <c r="S160" s="37">
        <f>IF($AG160="","",INDEX('04_調査結果'!$AQ$5:$AQ$404,$AG160))</f>
        <v/>
      </c>
      <c r="T160" s="37">
        <f>IF($AG160="","",INDEX('04_調査結果'!$AR$5:$AR$404,$AG160))</f>
        <v/>
      </c>
      <c r="U160">
        <f>IF($AG160="","",INDEX('04_調査結果'!$N$5:$N$404,$AG160)&amp;"")</f>
        <v/>
      </c>
      <c r="V160">
        <f>IF($AG160="","",INDEX('04_調査結果'!$O$5:$O$404,$AG160))</f>
        <v/>
      </c>
      <c r="W160">
        <f>IF($AG160="","",INDEX('04_調査結果'!$P$5:$P$404,$AG160))</f>
        <v/>
      </c>
      <c r="X160">
        <f>IF($AG160="","",INDEX('04_調査結果'!$Q$5:$Q$404,$AG160))</f>
        <v/>
      </c>
      <c r="Y160">
        <f>IF($AG160="","",INDEX('04_調査結果'!$R$5:$R$404,$AG160))</f>
        <v/>
      </c>
      <c r="Z160">
        <f>IF($AG160="","",INDEX('04_調査結果'!$S$5:$S$404,$AG160))</f>
        <v/>
      </c>
      <c r="AA160">
        <f>IF($AG160="","",INDEX('04_調査結果'!$T$5:$T$404,$AG160))</f>
        <v/>
      </c>
      <c r="AB160">
        <f>IF($AG160="","",INDEX('04_調査結果'!$U$5:$U$404,$AG160))</f>
        <v/>
      </c>
      <c r="AC160">
        <f>IF($AG160="","",INDEX('04_調査結果'!$AF$5:$AF$404,$AG160))</f>
        <v/>
      </c>
      <c r="AD160">
        <f>IF($AG160="","",INDEX('04_調査結果'!$AC$5:$AC$404,$AG160)&amp;"")</f>
        <v/>
      </c>
      <c r="AE160">
        <f>IF($AG160="","",INDEX('04_調査結果'!$V$5:$V$404,$AG160)&amp;"")</f>
        <v/>
      </c>
      <c r="AF160">
        <f>IF($AG160="","",INDEX('04_調査結果'!$X$5:$X$404,$AG160)&amp;"")</f>
        <v/>
      </c>
      <c r="AG160" s="34">
        <f>IFERROR(MATCH(ROW()-4,'04_調査結果'!$AT$5:$AT$404,0),"")</f>
        <v/>
      </c>
    </row>
    <row r="161">
      <c r="A161">
        <f>IF($AG161="","",'01_設定'!$C$4)</f>
        <v/>
      </c>
      <c r="B161">
        <f>IF($AG161="","",'01_設定'!$C$5)</f>
        <v/>
      </c>
      <c r="C161">
        <f>IF($AG161="","",'01_設定'!$C$6)</f>
        <v/>
      </c>
      <c r="D161" s="36">
        <f>IF($AG161="","",'01_設定'!$C$22)</f>
        <v/>
      </c>
      <c r="E161" s="36">
        <f>IF($AG161="","",'01_設定'!$C$23)</f>
        <v/>
      </c>
      <c r="F161">
        <f>IF($AG161="","",'01_設定'!$C$32)</f>
        <v/>
      </c>
      <c r="G161">
        <f>IF($AG161="","",ROW()-4)</f>
        <v/>
      </c>
      <c r="H161">
        <f>IF($AG161="","",INDEX('04_調査結果'!$AJ$5:$AJ$404,$AG161))</f>
        <v/>
      </c>
      <c r="I161">
        <f>IF($AG161="","",INDEX('04_調査結果'!$D$5:$D$404,$AG161)&amp;"")</f>
        <v/>
      </c>
      <c r="J161">
        <f>IF($AG161="","",INDEX('04_調査結果'!$AK$5:$AK$404,$AG161)&amp;"")</f>
        <v/>
      </c>
      <c r="K161">
        <f>IF($AG161="","",IFERROR(INDEX('M1_類型マスタ'!$B$5:$B$19,MATCH(J161,'M1_類型マスタ'!$A$5:$A$19,0)),""))</f>
        <v/>
      </c>
      <c r="L161">
        <f>IF($AG161="","",INDEX('04_調査結果'!$F$5:$F$404,$AG161)&amp;"")</f>
        <v/>
      </c>
      <c r="M161">
        <f>IF($AG161="","",INDEX('04_調査結果'!$G$5:$G$404,$AG161)&amp;"")</f>
        <v/>
      </c>
      <c r="N161">
        <f>IF($AG161="","",INDEX('04_調査結果'!$H$5:$H$404,$AG161)&amp;"")</f>
        <v/>
      </c>
      <c r="O161" s="33">
        <f>IF($AG161="","",IF(INDEX('04_調査結果'!$Z$5:$Z$404,$AG161)&lt;&gt;"",INDEX('04_調査結果'!$Z$5:$Z$404,$AG161),INDEX('04_調査結果'!$AM$5:$AM$404,$AG161)))</f>
        <v/>
      </c>
      <c r="P161" s="33">
        <f>IF($AG161="","",IF(INDEX('04_調査結果'!$AA$5:$AA$404,$AG161)&lt;&gt;"",INDEX('04_調査結果'!$AA$5:$AA$404,$AG161),INDEX('04_調査結果'!$AN$5:$AN$404,$AG161)))</f>
        <v/>
      </c>
      <c r="Q161" s="33">
        <f>IF($AG161="","",INDEX('04_調査結果'!$AD$5:$AD$404,$AG161))</f>
        <v/>
      </c>
      <c r="R161">
        <f>IF($AG161="","",INDEX('04_調査結果'!$AO$5:$AO$404,$AG161))</f>
        <v/>
      </c>
      <c r="S161" s="37">
        <f>IF($AG161="","",INDEX('04_調査結果'!$AQ$5:$AQ$404,$AG161))</f>
        <v/>
      </c>
      <c r="T161" s="37">
        <f>IF($AG161="","",INDEX('04_調査結果'!$AR$5:$AR$404,$AG161))</f>
        <v/>
      </c>
      <c r="U161">
        <f>IF($AG161="","",INDEX('04_調査結果'!$N$5:$N$404,$AG161)&amp;"")</f>
        <v/>
      </c>
      <c r="V161">
        <f>IF($AG161="","",INDEX('04_調査結果'!$O$5:$O$404,$AG161))</f>
        <v/>
      </c>
      <c r="W161">
        <f>IF($AG161="","",INDEX('04_調査結果'!$P$5:$P$404,$AG161))</f>
        <v/>
      </c>
      <c r="X161">
        <f>IF($AG161="","",INDEX('04_調査結果'!$Q$5:$Q$404,$AG161))</f>
        <v/>
      </c>
      <c r="Y161">
        <f>IF($AG161="","",INDEX('04_調査結果'!$R$5:$R$404,$AG161))</f>
        <v/>
      </c>
      <c r="Z161">
        <f>IF($AG161="","",INDEX('04_調査結果'!$S$5:$S$404,$AG161))</f>
        <v/>
      </c>
      <c r="AA161">
        <f>IF($AG161="","",INDEX('04_調査結果'!$T$5:$T$404,$AG161))</f>
        <v/>
      </c>
      <c r="AB161">
        <f>IF($AG161="","",INDEX('04_調査結果'!$U$5:$U$404,$AG161))</f>
        <v/>
      </c>
      <c r="AC161">
        <f>IF($AG161="","",INDEX('04_調査結果'!$AF$5:$AF$404,$AG161))</f>
        <v/>
      </c>
      <c r="AD161">
        <f>IF($AG161="","",INDEX('04_調査結果'!$AC$5:$AC$404,$AG161)&amp;"")</f>
        <v/>
      </c>
      <c r="AE161">
        <f>IF($AG161="","",INDEX('04_調査結果'!$V$5:$V$404,$AG161)&amp;"")</f>
        <v/>
      </c>
      <c r="AF161">
        <f>IF($AG161="","",INDEX('04_調査結果'!$X$5:$X$404,$AG161)&amp;"")</f>
        <v/>
      </c>
      <c r="AG161" s="34">
        <f>IFERROR(MATCH(ROW()-4,'04_調査結果'!$AT$5:$AT$404,0),"")</f>
        <v/>
      </c>
    </row>
    <row r="162">
      <c r="A162">
        <f>IF($AG162="","",'01_設定'!$C$4)</f>
        <v/>
      </c>
      <c r="B162">
        <f>IF($AG162="","",'01_設定'!$C$5)</f>
        <v/>
      </c>
      <c r="C162">
        <f>IF($AG162="","",'01_設定'!$C$6)</f>
        <v/>
      </c>
      <c r="D162" s="36">
        <f>IF($AG162="","",'01_設定'!$C$22)</f>
        <v/>
      </c>
      <c r="E162" s="36">
        <f>IF($AG162="","",'01_設定'!$C$23)</f>
        <v/>
      </c>
      <c r="F162">
        <f>IF($AG162="","",'01_設定'!$C$32)</f>
        <v/>
      </c>
      <c r="G162">
        <f>IF($AG162="","",ROW()-4)</f>
        <v/>
      </c>
      <c r="H162">
        <f>IF($AG162="","",INDEX('04_調査結果'!$AJ$5:$AJ$404,$AG162))</f>
        <v/>
      </c>
      <c r="I162">
        <f>IF($AG162="","",INDEX('04_調査結果'!$D$5:$D$404,$AG162)&amp;"")</f>
        <v/>
      </c>
      <c r="J162">
        <f>IF($AG162="","",INDEX('04_調査結果'!$AK$5:$AK$404,$AG162)&amp;"")</f>
        <v/>
      </c>
      <c r="K162">
        <f>IF($AG162="","",IFERROR(INDEX('M1_類型マスタ'!$B$5:$B$19,MATCH(J162,'M1_類型マスタ'!$A$5:$A$19,0)),""))</f>
        <v/>
      </c>
      <c r="L162">
        <f>IF($AG162="","",INDEX('04_調査結果'!$F$5:$F$404,$AG162)&amp;"")</f>
        <v/>
      </c>
      <c r="M162">
        <f>IF($AG162="","",INDEX('04_調査結果'!$G$5:$G$404,$AG162)&amp;"")</f>
        <v/>
      </c>
      <c r="N162">
        <f>IF($AG162="","",INDEX('04_調査結果'!$H$5:$H$404,$AG162)&amp;"")</f>
        <v/>
      </c>
      <c r="O162" s="33">
        <f>IF($AG162="","",IF(INDEX('04_調査結果'!$Z$5:$Z$404,$AG162)&lt;&gt;"",INDEX('04_調査結果'!$Z$5:$Z$404,$AG162),INDEX('04_調査結果'!$AM$5:$AM$404,$AG162)))</f>
        <v/>
      </c>
      <c r="P162" s="33">
        <f>IF($AG162="","",IF(INDEX('04_調査結果'!$AA$5:$AA$404,$AG162)&lt;&gt;"",INDEX('04_調査結果'!$AA$5:$AA$404,$AG162),INDEX('04_調査結果'!$AN$5:$AN$404,$AG162)))</f>
        <v/>
      </c>
      <c r="Q162" s="33">
        <f>IF($AG162="","",INDEX('04_調査結果'!$AD$5:$AD$404,$AG162))</f>
        <v/>
      </c>
      <c r="R162">
        <f>IF($AG162="","",INDEX('04_調査結果'!$AO$5:$AO$404,$AG162))</f>
        <v/>
      </c>
      <c r="S162" s="37">
        <f>IF($AG162="","",INDEX('04_調査結果'!$AQ$5:$AQ$404,$AG162))</f>
        <v/>
      </c>
      <c r="T162" s="37">
        <f>IF($AG162="","",INDEX('04_調査結果'!$AR$5:$AR$404,$AG162))</f>
        <v/>
      </c>
      <c r="U162">
        <f>IF($AG162="","",INDEX('04_調査結果'!$N$5:$N$404,$AG162)&amp;"")</f>
        <v/>
      </c>
      <c r="V162">
        <f>IF($AG162="","",INDEX('04_調査結果'!$O$5:$O$404,$AG162))</f>
        <v/>
      </c>
      <c r="W162">
        <f>IF($AG162="","",INDEX('04_調査結果'!$P$5:$P$404,$AG162))</f>
        <v/>
      </c>
      <c r="X162">
        <f>IF($AG162="","",INDEX('04_調査結果'!$Q$5:$Q$404,$AG162))</f>
        <v/>
      </c>
      <c r="Y162">
        <f>IF($AG162="","",INDEX('04_調査結果'!$R$5:$R$404,$AG162))</f>
        <v/>
      </c>
      <c r="Z162">
        <f>IF($AG162="","",INDEX('04_調査結果'!$S$5:$S$404,$AG162))</f>
        <v/>
      </c>
      <c r="AA162">
        <f>IF($AG162="","",INDEX('04_調査結果'!$T$5:$T$404,$AG162))</f>
        <v/>
      </c>
      <c r="AB162">
        <f>IF($AG162="","",INDEX('04_調査結果'!$U$5:$U$404,$AG162))</f>
        <v/>
      </c>
      <c r="AC162">
        <f>IF($AG162="","",INDEX('04_調査結果'!$AF$5:$AF$404,$AG162))</f>
        <v/>
      </c>
      <c r="AD162">
        <f>IF($AG162="","",INDEX('04_調査結果'!$AC$5:$AC$404,$AG162)&amp;"")</f>
        <v/>
      </c>
      <c r="AE162">
        <f>IF($AG162="","",INDEX('04_調査結果'!$V$5:$V$404,$AG162)&amp;"")</f>
        <v/>
      </c>
      <c r="AF162">
        <f>IF($AG162="","",INDEX('04_調査結果'!$X$5:$X$404,$AG162)&amp;"")</f>
        <v/>
      </c>
      <c r="AG162" s="34">
        <f>IFERROR(MATCH(ROW()-4,'04_調査結果'!$AT$5:$AT$404,0),"")</f>
        <v/>
      </c>
    </row>
    <row r="163">
      <c r="A163">
        <f>IF($AG163="","",'01_設定'!$C$4)</f>
        <v/>
      </c>
      <c r="B163">
        <f>IF($AG163="","",'01_設定'!$C$5)</f>
        <v/>
      </c>
      <c r="C163">
        <f>IF($AG163="","",'01_設定'!$C$6)</f>
        <v/>
      </c>
      <c r="D163" s="36">
        <f>IF($AG163="","",'01_設定'!$C$22)</f>
        <v/>
      </c>
      <c r="E163" s="36">
        <f>IF($AG163="","",'01_設定'!$C$23)</f>
        <v/>
      </c>
      <c r="F163">
        <f>IF($AG163="","",'01_設定'!$C$32)</f>
        <v/>
      </c>
      <c r="G163">
        <f>IF($AG163="","",ROW()-4)</f>
        <v/>
      </c>
      <c r="H163">
        <f>IF($AG163="","",INDEX('04_調査結果'!$AJ$5:$AJ$404,$AG163))</f>
        <v/>
      </c>
      <c r="I163">
        <f>IF($AG163="","",INDEX('04_調査結果'!$D$5:$D$404,$AG163)&amp;"")</f>
        <v/>
      </c>
      <c r="J163">
        <f>IF($AG163="","",INDEX('04_調査結果'!$AK$5:$AK$404,$AG163)&amp;"")</f>
        <v/>
      </c>
      <c r="K163">
        <f>IF($AG163="","",IFERROR(INDEX('M1_類型マスタ'!$B$5:$B$19,MATCH(J163,'M1_類型マスタ'!$A$5:$A$19,0)),""))</f>
        <v/>
      </c>
      <c r="L163">
        <f>IF($AG163="","",INDEX('04_調査結果'!$F$5:$F$404,$AG163)&amp;"")</f>
        <v/>
      </c>
      <c r="M163">
        <f>IF($AG163="","",INDEX('04_調査結果'!$G$5:$G$404,$AG163)&amp;"")</f>
        <v/>
      </c>
      <c r="N163">
        <f>IF($AG163="","",INDEX('04_調査結果'!$H$5:$H$404,$AG163)&amp;"")</f>
        <v/>
      </c>
      <c r="O163" s="33">
        <f>IF($AG163="","",IF(INDEX('04_調査結果'!$Z$5:$Z$404,$AG163)&lt;&gt;"",INDEX('04_調査結果'!$Z$5:$Z$404,$AG163),INDEX('04_調査結果'!$AM$5:$AM$404,$AG163)))</f>
        <v/>
      </c>
      <c r="P163" s="33">
        <f>IF($AG163="","",IF(INDEX('04_調査結果'!$AA$5:$AA$404,$AG163)&lt;&gt;"",INDEX('04_調査結果'!$AA$5:$AA$404,$AG163),INDEX('04_調査結果'!$AN$5:$AN$404,$AG163)))</f>
        <v/>
      </c>
      <c r="Q163" s="33">
        <f>IF($AG163="","",INDEX('04_調査結果'!$AD$5:$AD$404,$AG163))</f>
        <v/>
      </c>
      <c r="R163">
        <f>IF($AG163="","",INDEX('04_調査結果'!$AO$5:$AO$404,$AG163))</f>
        <v/>
      </c>
      <c r="S163" s="37">
        <f>IF($AG163="","",INDEX('04_調査結果'!$AQ$5:$AQ$404,$AG163))</f>
        <v/>
      </c>
      <c r="T163" s="37">
        <f>IF($AG163="","",INDEX('04_調査結果'!$AR$5:$AR$404,$AG163))</f>
        <v/>
      </c>
      <c r="U163">
        <f>IF($AG163="","",INDEX('04_調査結果'!$N$5:$N$404,$AG163)&amp;"")</f>
        <v/>
      </c>
      <c r="V163">
        <f>IF($AG163="","",INDEX('04_調査結果'!$O$5:$O$404,$AG163))</f>
        <v/>
      </c>
      <c r="W163">
        <f>IF($AG163="","",INDEX('04_調査結果'!$P$5:$P$404,$AG163))</f>
        <v/>
      </c>
      <c r="X163">
        <f>IF($AG163="","",INDEX('04_調査結果'!$Q$5:$Q$404,$AG163))</f>
        <v/>
      </c>
      <c r="Y163">
        <f>IF($AG163="","",INDEX('04_調査結果'!$R$5:$R$404,$AG163))</f>
        <v/>
      </c>
      <c r="Z163">
        <f>IF($AG163="","",INDEX('04_調査結果'!$S$5:$S$404,$AG163))</f>
        <v/>
      </c>
      <c r="AA163">
        <f>IF($AG163="","",INDEX('04_調査結果'!$T$5:$T$404,$AG163))</f>
        <v/>
      </c>
      <c r="AB163">
        <f>IF($AG163="","",INDEX('04_調査結果'!$U$5:$U$404,$AG163))</f>
        <v/>
      </c>
      <c r="AC163">
        <f>IF($AG163="","",INDEX('04_調査結果'!$AF$5:$AF$404,$AG163))</f>
        <v/>
      </c>
      <c r="AD163">
        <f>IF($AG163="","",INDEX('04_調査結果'!$AC$5:$AC$404,$AG163)&amp;"")</f>
        <v/>
      </c>
      <c r="AE163">
        <f>IF($AG163="","",INDEX('04_調査結果'!$V$5:$V$404,$AG163)&amp;"")</f>
        <v/>
      </c>
      <c r="AF163">
        <f>IF($AG163="","",INDEX('04_調査結果'!$X$5:$X$404,$AG163)&amp;"")</f>
        <v/>
      </c>
      <c r="AG163" s="34">
        <f>IFERROR(MATCH(ROW()-4,'04_調査結果'!$AT$5:$AT$404,0),"")</f>
        <v/>
      </c>
    </row>
    <row r="164">
      <c r="A164">
        <f>IF($AG164="","",'01_設定'!$C$4)</f>
        <v/>
      </c>
      <c r="B164">
        <f>IF($AG164="","",'01_設定'!$C$5)</f>
        <v/>
      </c>
      <c r="C164">
        <f>IF($AG164="","",'01_設定'!$C$6)</f>
        <v/>
      </c>
      <c r="D164" s="36">
        <f>IF($AG164="","",'01_設定'!$C$22)</f>
        <v/>
      </c>
      <c r="E164" s="36">
        <f>IF($AG164="","",'01_設定'!$C$23)</f>
        <v/>
      </c>
      <c r="F164">
        <f>IF($AG164="","",'01_設定'!$C$32)</f>
        <v/>
      </c>
      <c r="G164">
        <f>IF($AG164="","",ROW()-4)</f>
        <v/>
      </c>
      <c r="H164">
        <f>IF($AG164="","",INDEX('04_調査結果'!$AJ$5:$AJ$404,$AG164))</f>
        <v/>
      </c>
      <c r="I164">
        <f>IF($AG164="","",INDEX('04_調査結果'!$D$5:$D$404,$AG164)&amp;"")</f>
        <v/>
      </c>
      <c r="J164">
        <f>IF($AG164="","",INDEX('04_調査結果'!$AK$5:$AK$404,$AG164)&amp;"")</f>
        <v/>
      </c>
      <c r="K164">
        <f>IF($AG164="","",IFERROR(INDEX('M1_類型マスタ'!$B$5:$B$19,MATCH(J164,'M1_類型マスタ'!$A$5:$A$19,0)),""))</f>
        <v/>
      </c>
      <c r="L164">
        <f>IF($AG164="","",INDEX('04_調査結果'!$F$5:$F$404,$AG164)&amp;"")</f>
        <v/>
      </c>
      <c r="M164">
        <f>IF($AG164="","",INDEX('04_調査結果'!$G$5:$G$404,$AG164)&amp;"")</f>
        <v/>
      </c>
      <c r="N164">
        <f>IF($AG164="","",INDEX('04_調査結果'!$H$5:$H$404,$AG164)&amp;"")</f>
        <v/>
      </c>
      <c r="O164" s="33">
        <f>IF($AG164="","",IF(INDEX('04_調査結果'!$Z$5:$Z$404,$AG164)&lt;&gt;"",INDEX('04_調査結果'!$Z$5:$Z$404,$AG164),INDEX('04_調査結果'!$AM$5:$AM$404,$AG164)))</f>
        <v/>
      </c>
      <c r="P164" s="33">
        <f>IF($AG164="","",IF(INDEX('04_調査結果'!$AA$5:$AA$404,$AG164)&lt;&gt;"",INDEX('04_調査結果'!$AA$5:$AA$404,$AG164),INDEX('04_調査結果'!$AN$5:$AN$404,$AG164)))</f>
        <v/>
      </c>
      <c r="Q164" s="33">
        <f>IF($AG164="","",INDEX('04_調査結果'!$AD$5:$AD$404,$AG164))</f>
        <v/>
      </c>
      <c r="R164">
        <f>IF($AG164="","",INDEX('04_調査結果'!$AO$5:$AO$404,$AG164))</f>
        <v/>
      </c>
      <c r="S164" s="37">
        <f>IF($AG164="","",INDEX('04_調査結果'!$AQ$5:$AQ$404,$AG164))</f>
        <v/>
      </c>
      <c r="T164" s="37">
        <f>IF($AG164="","",INDEX('04_調査結果'!$AR$5:$AR$404,$AG164))</f>
        <v/>
      </c>
      <c r="U164">
        <f>IF($AG164="","",INDEX('04_調査結果'!$N$5:$N$404,$AG164)&amp;"")</f>
        <v/>
      </c>
      <c r="V164">
        <f>IF($AG164="","",INDEX('04_調査結果'!$O$5:$O$404,$AG164))</f>
        <v/>
      </c>
      <c r="W164">
        <f>IF($AG164="","",INDEX('04_調査結果'!$P$5:$P$404,$AG164))</f>
        <v/>
      </c>
      <c r="X164">
        <f>IF($AG164="","",INDEX('04_調査結果'!$Q$5:$Q$404,$AG164))</f>
        <v/>
      </c>
      <c r="Y164">
        <f>IF($AG164="","",INDEX('04_調査結果'!$R$5:$R$404,$AG164))</f>
        <v/>
      </c>
      <c r="Z164">
        <f>IF($AG164="","",INDEX('04_調査結果'!$S$5:$S$404,$AG164))</f>
        <v/>
      </c>
      <c r="AA164">
        <f>IF($AG164="","",INDEX('04_調査結果'!$T$5:$T$404,$AG164))</f>
        <v/>
      </c>
      <c r="AB164">
        <f>IF($AG164="","",INDEX('04_調査結果'!$U$5:$U$404,$AG164))</f>
        <v/>
      </c>
      <c r="AC164">
        <f>IF($AG164="","",INDEX('04_調査結果'!$AF$5:$AF$404,$AG164))</f>
        <v/>
      </c>
      <c r="AD164">
        <f>IF($AG164="","",INDEX('04_調査結果'!$AC$5:$AC$404,$AG164)&amp;"")</f>
        <v/>
      </c>
      <c r="AE164">
        <f>IF($AG164="","",INDEX('04_調査結果'!$V$5:$V$404,$AG164)&amp;"")</f>
        <v/>
      </c>
      <c r="AF164">
        <f>IF($AG164="","",INDEX('04_調査結果'!$X$5:$X$404,$AG164)&amp;"")</f>
        <v/>
      </c>
      <c r="AG164" s="34">
        <f>IFERROR(MATCH(ROW()-4,'04_調査結果'!$AT$5:$AT$404,0),"")</f>
        <v/>
      </c>
    </row>
    <row r="165">
      <c r="A165">
        <f>IF($AG165="","",'01_設定'!$C$4)</f>
        <v/>
      </c>
      <c r="B165">
        <f>IF($AG165="","",'01_設定'!$C$5)</f>
        <v/>
      </c>
      <c r="C165">
        <f>IF($AG165="","",'01_設定'!$C$6)</f>
        <v/>
      </c>
      <c r="D165" s="36">
        <f>IF($AG165="","",'01_設定'!$C$22)</f>
        <v/>
      </c>
      <c r="E165" s="36">
        <f>IF($AG165="","",'01_設定'!$C$23)</f>
        <v/>
      </c>
      <c r="F165">
        <f>IF($AG165="","",'01_設定'!$C$32)</f>
        <v/>
      </c>
      <c r="G165">
        <f>IF($AG165="","",ROW()-4)</f>
        <v/>
      </c>
      <c r="H165">
        <f>IF($AG165="","",INDEX('04_調査結果'!$AJ$5:$AJ$404,$AG165))</f>
        <v/>
      </c>
      <c r="I165">
        <f>IF($AG165="","",INDEX('04_調査結果'!$D$5:$D$404,$AG165)&amp;"")</f>
        <v/>
      </c>
      <c r="J165">
        <f>IF($AG165="","",INDEX('04_調査結果'!$AK$5:$AK$404,$AG165)&amp;"")</f>
        <v/>
      </c>
      <c r="K165">
        <f>IF($AG165="","",IFERROR(INDEX('M1_類型マスタ'!$B$5:$B$19,MATCH(J165,'M1_類型マスタ'!$A$5:$A$19,0)),""))</f>
        <v/>
      </c>
      <c r="L165">
        <f>IF($AG165="","",INDEX('04_調査結果'!$F$5:$F$404,$AG165)&amp;"")</f>
        <v/>
      </c>
      <c r="M165">
        <f>IF($AG165="","",INDEX('04_調査結果'!$G$5:$G$404,$AG165)&amp;"")</f>
        <v/>
      </c>
      <c r="N165">
        <f>IF($AG165="","",INDEX('04_調査結果'!$H$5:$H$404,$AG165)&amp;"")</f>
        <v/>
      </c>
      <c r="O165" s="33">
        <f>IF($AG165="","",IF(INDEX('04_調査結果'!$Z$5:$Z$404,$AG165)&lt;&gt;"",INDEX('04_調査結果'!$Z$5:$Z$404,$AG165),INDEX('04_調査結果'!$AM$5:$AM$404,$AG165)))</f>
        <v/>
      </c>
      <c r="P165" s="33">
        <f>IF($AG165="","",IF(INDEX('04_調査結果'!$AA$5:$AA$404,$AG165)&lt;&gt;"",INDEX('04_調査結果'!$AA$5:$AA$404,$AG165),INDEX('04_調査結果'!$AN$5:$AN$404,$AG165)))</f>
        <v/>
      </c>
      <c r="Q165" s="33">
        <f>IF($AG165="","",INDEX('04_調査結果'!$AD$5:$AD$404,$AG165))</f>
        <v/>
      </c>
      <c r="R165">
        <f>IF($AG165="","",INDEX('04_調査結果'!$AO$5:$AO$404,$AG165))</f>
        <v/>
      </c>
      <c r="S165" s="37">
        <f>IF($AG165="","",INDEX('04_調査結果'!$AQ$5:$AQ$404,$AG165))</f>
        <v/>
      </c>
      <c r="T165" s="37">
        <f>IF($AG165="","",INDEX('04_調査結果'!$AR$5:$AR$404,$AG165))</f>
        <v/>
      </c>
      <c r="U165">
        <f>IF($AG165="","",INDEX('04_調査結果'!$N$5:$N$404,$AG165)&amp;"")</f>
        <v/>
      </c>
      <c r="V165">
        <f>IF($AG165="","",INDEX('04_調査結果'!$O$5:$O$404,$AG165))</f>
        <v/>
      </c>
      <c r="W165">
        <f>IF($AG165="","",INDEX('04_調査結果'!$P$5:$P$404,$AG165))</f>
        <v/>
      </c>
      <c r="X165">
        <f>IF($AG165="","",INDEX('04_調査結果'!$Q$5:$Q$404,$AG165))</f>
        <v/>
      </c>
      <c r="Y165">
        <f>IF($AG165="","",INDEX('04_調査結果'!$R$5:$R$404,$AG165))</f>
        <v/>
      </c>
      <c r="Z165">
        <f>IF($AG165="","",INDEX('04_調査結果'!$S$5:$S$404,$AG165))</f>
        <v/>
      </c>
      <c r="AA165">
        <f>IF($AG165="","",INDEX('04_調査結果'!$T$5:$T$404,$AG165))</f>
        <v/>
      </c>
      <c r="AB165">
        <f>IF($AG165="","",INDEX('04_調査結果'!$U$5:$U$404,$AG165))</f>
        <v/>
      </c>
      <c r="AC165">
        <f>IF($AG165="","",INDEX('04_調査結果'!$AF$5:$AF$404,$AG165))</f>
        <v/>
      </c>
      <c r="AD165">
        <f>IF($AG165="","",INDEX('04_調査結果'!$AC$5:$AC$404,$AG165)&amp;"")</f>
        <v/>
      </c>
      <c r="AE165">
        <f>IF($AG165="","",INDEX('04_調査結果'!$V$5:$V$404,$AG165)&amp;"")</f>
        <v/>
      </c>
      <c r="AF165">
        <f>IF($AG165="","",INDEX('04_調査結果'!$X$5:$X$404,$AG165)&amp;"")</f>
        <v/>
      </c>
      <c r="AG165" s="34">
        <f>IFERROR(MATCH(ROW()-4,'04_調査結果'!$AT$5:$AT$404,0),"")</f>
        <v/>
      </c>
    </row>
    <row r="166">
      <c r="A166">
        <f>IF($AG166="","",'01_設定'!$C$4)</f>
        <v/>
      </c>
      <c r="B166">
        <f>IF($AG166="","",'01_設定'!$C$5)</f>
        <v/>
      </c>
      <c r="C166">
        <f>IF($AG166="","",'01_設定'!$C$6)</f>
        <v/>
      </c>
      <c r="D166" s="36">
        <f>IF($AG166="","",'01_設定'!$C$22)</f>
        <v/>
      </c>
      <c r="E166" s="36">
        <f>IF($AG166="","",'01_設定'!$C$23)</f>
        <v/>
      </c>
      <c r="F166">
        <f>IF($AG166="","",'01_設定'!$C$32)</f>
        <v/>
      </c>
      <c r="G166">
        <f>IF($AG166="","",ROW()-4)</f>
        <v/>
      </c>
      <c r="H166">
        <f>IF($AG166="","",INDEX('04_調査結果'!$AJ$5:$AJ$404,$AG166))</f>
        <v/>
      </c>
      <c r="I166">
        <f>IF($AG166="","",INDEX('04_調査結果'!$D$5:$D$404,$AG166)&amp;"")</f>
        <v/>
      </c>
      <c r="J166">
        <f>IF($AG166="","",INDEX('04_調査結果'!$AK$5:$AK$404,$AG166)&amp;"")</f>
        <v/>
      </c>
      <c r="K166">
        <f>IF($AG166="","",IFERROR(INDEX('M1_類型マスタ'!$B$5:$B$19,MATCH(J166,'M1_類型マスタ'!$A$5:$A$19,0)),""))</f>
        <v/>
      </c>
      <c r="L166">
        <f>IF($AG166="","",INDEX('04_調査結果'!$F$5:$F$404,$AG166)&amp;"")</f>
        <v/>
      </c>
      <c r="M166">
        <f>IF($AG166="","",INDEX('04_調査結果'!$G$5:$G$404,$AG166)&amp;"")</f>
        <v/>
      </c>
      <c r="N166">
        <f>IF($AG166="","",INDEX('04_調査結果'!$H$5:$H$404,$AG166)&amp;"")</f>
        <v/>
      </c>
      <c r="O166" s="33">
        <f>IF($AG166="","",IF(INDEX('04_調査結果'!$Z$5:$Z$404,$AG166)&lt;&gt;"",INDEX('04_調査結果'!$Z$5:$Z$404,$AG166),INDEX('04_調査結果'!$AM$5:$AM$404,$AG166)))</f>
        <v/>
      </c>
      <c r="P166" s="33">
        <f>IF($AG166="","",IF(INDEX('04_調査結果'!$AA$5:$AA$404,$AG166)&lt;&gt;"",INDEX('04_調査結果'!$AA$5:$AA$404,$AG166),INDEX('04_調査結果'!$AN$5:$AN$404,$AG166)))</f>
        <v/>
      </c>
      <c r="Q166" s="33">
        <f>IF($AG166="","",INDEX('04_調査結果'!$AD$5:$AD$404,$AG166))</f>
        <v/>
      </c>
      <c r="R166">
        <f>IF($AG166="","",INDEX('04_調査結果'!$AO$5:$AO$404,$AG166))</f>
        <v/>
      </c>
      <c r="S166" s="37">
        <f>IF($AG166="","",INDEX('04_調査結果'!$AQ$5:$AQ$404,$AG166))</f>
        <v/>
      </c>
      <c r="T166" s="37">
        <f>IF($AG166="","",INDEX('04_調査結果'!$AR$5:$AR$404,$AG166))</f>
        <v/>
      </c>
      <c r="U166">
        <f>IF($AG166="","",INDEX('04_調査結果'!$N$5:$N$404,$AG166)&amp;"")</f>
        <v/>
      </c>
      <c r="V166">
        <f>IF($AG166="","",INDEX('04_調査結果'!$O$5:$O$404,$AG166))</f>
        <v/>
      </c>
      <c r="W166">
        <f>IF($AG166="","",INDEX('04_調査結果'!$P$5:$P$404,$AG166))</f>
        <v/>
      </c>
      <c r="X166">
        <f>IF($AG166="","",INDEX('04_調査結果'!$Q$5:$Q$404,$AG166))</f>
        <v/>
      </c>
      <c r="Y166">
        <f>IF($AG166="","",INDEX('04_調査結果'!$R$5:$R$404,$AG166))</f>
        <v/>
      </c>
      <c r="Z166">
        <f>IF($AG166="","",INDEX('04_調査結果'!$S$5:$S$404,$AG166))</f>
        <v/>
      </c>
      <c r="AA166">
        <f>IF($AG166="","",INDEX('04_調査結果'!$T$5:$T$404,$AG166))</f>
        <v/>
      </c>
      <c r="AB166">
        <f>IF($AG166="","",INDEX('04_調査結果'!$U$5:$U$404,$AG166))</f>
        <v/>
      </c>
      <c r="AC166">
        <f>IF($AG166="","",INDEX('04_調査結果'!$AF$5:$AF$404,$AG166))</f>
        <v/>
      </c>
      <c r="AD166">
        <f>IF($AG166="","",INDEX('04_調査結果'!$AC$5:$AC$404,$AG166)&amp;"")</f>
        <v/>
      </c>
      <c r="AE166">
        <f>IF($AG166="","",INDEX('04_調査結果'!$V$5:$V$404,$AG166)&amp;"")</f>
        <v/>
      </c>
      <c r="AF166">
        <f>IF($AG166="","",INDEX('04_調査結果'!$X$5:$X$404,$AG166)&amp;"")</f>
        <v/>
      </c>
      <c r="AG166" s="34">
        <f>IFERROR(MATCH(ROW()-4,'04_調査結果'!$AT$5:$AT$404,0),"")</f>
        <v/>
      </c>
    </row>
    <row r="167">
      <c r="A167">
        <f>IF($AG167="","",'01_設定'!$C$4)</f>
        <v/>
      </c>
      <c r="B167">
        <f>IF($AG167="","",'01_設定'!$C$5)</f>
        <v/>
      </c>
      <c r="C167">
        <f>IF($AG167="","",'01_設定'!$C$6)</f>
        <v/>
      </c>
      <c r="D167" s="36">
        <f>IF($AG167="","",'01_設定'!$C$22)</f>
        <v/>
      </c>
      <c r="E167" s="36">
        <f>IF($AG167="","",'01_設定'!$C$23)</f>
        <v/>
      </c>
      <c r="F167">
        <f>IF($AG167="","",'01_設定'!$C$32)</f>
        <v/>
      </c>
      <c r="G167">
        <f>IF($AG167="","",ROW()-4)</f>
        <v/>
      </c>
      <c r="H167">
        <f>IF($AG167="","",INDEX('04_調査結果'!$AJ$5:$AJ$404,$AG167))</f>
        <v/>
      </c>
      <c r="I167">
        <f>IF($AG167="","",INDEX('04_調査結果'!$D$5:$D$404,$AG167)&amp;"")</f>
        <v/>
      </c>
      <c r="J167">
        <f>IF($AG167="","",INDEX('04_調査結果'!$AK$5:$AK$404,$AG167)&amp;"")</f>
        <v/>
      </c>
      <c r="K167">
        <f>IF($AG167="","",IFERROR(INDEX('M1_類型マスタ'!$B$5:$B$19,MATCH(J167,'M1_類型マスタ'!$A$5:$A$19,0)),""))</f>
        <v/>
      </c>
      <c r="L167">
        <f>IF($AG167="","",INDEX('04_調査結果'!$F$5:$F$404,$AG167)&amp;"")</f>
        <v/>
      </c>
      <c r="M167">
        <f>IF($AG167="","",INDEX('04_調査結果'!$G$5:$G$404,$AG167)&amp;"")</f>
        <v/>
      </c>
      <c r="N167">
        <f>IF($AG167="","",INDEX('04_調査結果'!$H$5:$H$404,$AG167)&amp;"")</f>
        <v/>
      </c>
      <c r="O167" s="33">
        <f>IF($AG167="","",IF(INDEX('04_調査結果'!$Z$5:$Z$404,$AG167)&lt;&gt;"",INDEX('04_調査結果'!$Z$5:$Z$404,$AG167),INDEX('04_調査結果'!$AM$5:$AM$404,$AG167)))</f>
        <v/>
      </c>
      <c r="P167" s="33">
        <f>IF($AG167="","",IF(INDEX('04_調査結果'!$AA$5:$AA$404,$AG167)&lt;&gt;"",INDEX('04_調査結果'!$AA$5:$AA$404,$AG167),INDEX('04_調査結果'!$AN$5:$AN$404,$AG167)))</f>
        <v/>
      </c>
      <c r="Q167" s="33">
        <f>IF($AG167="","",INDEX('04_調査結果'!$AD$5:$AD$404,$AG167))</f>
        <v/>
      </c>
      <c r="R167">
        <f>IF($AG167="","",INDEX('04_調査結果'!$AO$5:$AO$404,$AG167))</f>
        <v/>
      </c>
      <c r="S167" s="37">
        <f>IF($AG167="","",INDEX('04_調査結果'!$AQ$5:$AQ$404,$AG167))</f>
        <v/>
      </c>
      <c r="T167" s="37">
        <f>IF($AG167="","",INDEX('04_調査結果'!$AR$5:$AR$404,$AG167))</f>
        <v/>
      </c>
      <c r="U167">
        <f>IF($AG167="","",INDEX('04_調査結果'!$N$5:$N$404,$AG167)&amp;"")</f>
        <v/>
      </c>
      <c r="V167">
        <f>IF($AG167="","",INDEX('04_調査結果'!$O$5:$O$404,$AG167))</f>
        <v/>
      </c>
      <c r="W167">
        <f>IF($AG167="","",INDEX('04_調査結果'!$P$5:$P$404,$AG167))</f>
        <v/>
      </c>
      <c r="X167">
        <f>IF($AG167="","",INDEX('04_調査結果'!$Q$5:$Q$404,$AG167))</f>
        <v/>
      </c>
      <c r="Y167">
        <f>IF($AG167="","",INDEX('04_調査結果'!$R$5:$R$404,$AG167))</f>
        <v/>
      </c>
      <c r="Z167">
        <f>IF($AG167="","",INDEX('04_調査結果'!$S$5:$S$404,$AG167))</f>
        <v/>
      </c>
      <c r="AA167">
        <f>IF($AG167="","",INDEX('04_調査結果'!$T$5:$T$404,$AG167))</f>
        <v/>
      </c>
      <c r="AB167">
        <f>IF($AG167="","",INDEX('04_調査結果'!$U$5:$U$404,$AG167))</f>
        <v/>
      </c>
      <c r="AC167">
        <f>IF($AG167="","",INDEX('04_調査結果'!$AF$5:$AF$404,$AG167))</f>
        <v/>
      </c>
      <c r="AD167">
        <f>IF($AG167="","",INDEX('04_調査結果'!$AC$5:$AC$404,$AG167)&amp;"")</f>
        <v/>
      </c>
      <c r="AE167">
        <f>IF($AG167="","",INDEX('04_調査結果'!$V$5:$V$404,$AG167)&amp;"")</f>
        <v/>
      </c>
      <c r="AF167">
        <f>IF($AG167="","",INDEX('04_調査結果'!$X$5:$X$404,$AG167)&amp;"")</f>
        <v/>
      </c>
      <c r="AG167" s="34">
        <f>IFERROR(MATCH(ROW()-4,'04_調査結果'!$AT$5:$AT$404,0),"")</f>
        <v/>
      </c>
    </row>
    <row r="168">
      <c r="A168">
        <f>IF($AG168="","",'01_設定'!$C$4)</f>
        <v/>
      </c>
      <c r="B168">
        <f>IF($AG168="","",'01_設定'!$C$5)</f>
        <v/>
      </c>
      <c r="C168">
        <f>IF($AG168="","",'01_設定'!$C$6)</f>
        <v/>
      </c>
      <c r="D168" s="36">
        <f>IF($AG168="","",'01_設定'!$C$22)</f>
        <v/>
      </c>
      <c r="E168" s="36">
        <f>IF($AG168="","",'01_設定'!$C$23)</f>
        <v/>
      </c>
      <c r="F168">
        <f>IF($AG168="","",'01_設定'!$C$32)</f>
        <v/>
      </c>
      <c r="G168">
        <f>IF($AG168="","",ROW()-4)</f>
        <v/>
      </c>
      <c r="H168">
        <f>IF($AG168="","",INDEX('04_調査結果'!$AJ$5:$AJ$404,$AG168))</f>
        <v/>
      </c>
      <c r="I168">
        <f>IF($AG168="","",INDEX('04_調査結果'!$D$5:$D$404,$AG168)&amp;"")</f>
        <v/>
      </c>
      <c r="J168">
        <f>IF($AG168="","",INDEX('04_調査結果'!$AK$5:$AK$404,$AG168)&amp;"")</f>
        <v/>
      </c>
      <c r="K168">
        <f>IF($AG168="","",IFERROR(INDEX('M1_類型マスタ'!$B$5:$B$19,MATCH(J168,'M1_類型マスタ'!$A$5:$A$19,0)),""))</f>
        <v/>
      </c>
      <c r="L168">
        <f>IF($AG168="","",INDEX('04_調査結果'!$F$5:$F$404,$AG168)&amp;"")</f>
        <v/>
      </c>
      <c r="M168">
        <f>IF($AG168="","",INDEX('04_調査結果'!$G$5:$G$404,$AG168)&amp;"")</f>
        <v/>
      </c>
      <c r="N168">
        <f>IF($AG168="","",INDEX('04_調査結果'!$H$5:$H$404,$AG168)&amp;"")</f>
        <v/>
      </c>
      <c r="O168" s="33">
        <f>IF($AG168="","",IF(INDEX('04_調査結果'!$Z$5:$Z$404,$AG168)&lt;&gt;"",INDEX('04_調査結果'!$Z$5:$Z$404,$AG168),INDEX('04_調査結果'!$AM$5:$AM$404,$AG168)))</f>
        <v/>
      </c>
      <c r="P168" s="33">
        <f>IF($AG168="","",IF(INDEX('04_調査結果'!$AA$5:$AA$404,$AG168)&lt;&gt;"",INDEX('04_調査結果'!$AA$5:$AA$404,$AG168),INDEX('04_調査結果'!$AN$5:$AN$404,$AG168)))</f>
        <v/>
      </c>
      <c r="Q168" s="33">
        <f>IF($AG168="","",INDEX('04_調査結果'!$AD$5:$AD$404,$AG168))</f>
        <v/>
      </c>
      <c r="R168">
        <f>IF($AG168="","",INDEX('04_調査結果'!$AO$5:$AO$404,$AG168))</f>
        <v/>
      </c>
      <c r="S168" s="37">
        <f>IF($AG168="","",INDEX('04_調査結果'!$AQ$5:$AQ$404,$AG168))</f>
        <v/>
      </c>
      <c r="T168" s="37">
        <f>IF($AG168="","",INDEX('04_調査結果'!$AR$5:$AR$404,$AG168))</f>
        <v/>
      </c>
      <c r="U168">
        <f>IF($AG168="","",INDEX('04_調査結果'!$N$5:$N$404,$AG168)&amp;"")</f>
        <v/>
      </c>
      <c r="V168">
        <f>IF($AG168="","",INDEX('04_調査結果'!$O$5:$O$404,$AG168))</f>
        <v/>
      </c>
      <c r="W168">
        <f>IF($AG168="","",INDEX('04_調査結果'!$P$5:$P$404,$AG168))</f>
        <v/>
      </c>
      <c r="X168">
        <f>IF($AG168="","",INDEX('04_調査結果'!$Q$5:$Q$404,$AG168))</f>
        <v/>
      </c>
      <c r="Y168">
        <f>IF($AG168="","",INDEX('04_調査結果'!$R$5:$R$404,$AG168))</f>
        <v/>
      </c>
      <c r="Z168">
        <f>IF($AG168="","",INDEX('04_調査結果'!$S$5:$S$404,$AG168))</f>
        <v/>
      </c>
      <c r="AA168">
        <f>IF($AG168="","",INDEX('04_調査結果'!$T$5:$T$404,$AG168))</f>
        <v/>
      </c>
      <c r="AB168">
        <f>IF($AG168="","",INDEX('04_調査結果'!$U$5:$U$404,$AG168))</f>
        <v/>
      </c>
      <c r="AC168">
        <f>IF($AG168="","",INDEX('04_調査結果'!$AF$5:$AF$404,$AG168))</f>
        <v/>
      </c>
      <c r="AD168">
        <f>IF($AG168="","",INDEX('04_調査結果'!$AC$5:$AC$404,$AG168)&amp;"")</f>
        <v/>
      </c>
      <c r="AE168">
        <f>IF($AG168="","",INDEX('04_調査結果'!$V$5:$V$404,$AG168)&amp;"")</f>
        <v/>
      </c>
      <c r="AF168">
        <f>IF($AG168="","",INDEX('04_調査結果'!$X$5:$X$404,$AG168)&amp;"")</f>
        <v/>
      </c>
      <c r="AG168" s="34">
        <f>IFERROR(MATCH(ROW()-4,'04_調査結果'!$AT$5:$AT$404,0),"")</f>
        <v/>
      </c>
    </row>
    <row r="169">
      <c r="A169">
        <f>IF($AG169="","",'01_設定'!$C$4)</f>
        <v/>
      </c>
      <c r="B169">
        <f>IF($AG169="","",'01_設定'!$C$5)</f>
        <v/>
      </c>
      <c r="C169">
        <f>IF($AG169="","",'01_設定'!$C$6)</f>
        <v/>
      </c>
      <c r="D169" s="36">
        <f>IF($AG169="","",'01_設定'!$C$22)</f>
        <v/>
      </c>
      <c r="E169" s="36">
        <f>IF($AG169="","",'01_設定'!$C$23)</f>
        <v/>
      </c>
      <c r="F169">
        <f>IF($AG169="","",'01_設定'!$C$32)</f>
        <v/>
      </c>
      <c r="G169">
        <f>IF($AG169="","",ROW()-4)</f>
        <v/>
      </c>
      <c r="H169">
        <f>IF($AG169="","",INDEX('04_調査結果'!$AJ$5:$AJ$404,$AG169))</f>
        <v/>
      </c>
      <c r="I169">
        <f>IF($AG169="","",INDEX('04_調査結果'!$D$5:$D$404,$AG169)&amp;"")</f>
        <v/>
      </c>
      <c r="J169">
        <f>IF($AG169="","",INDEX('04_調査結果'!$AK$5:$AK$404,$AG169)&amp;"")</f>
        <v/>
      </c>
      <c r="K169">
        <f>IF($AG169="","",IFERROR(INDEX('M1_類型マスタ'!$B$5:$B$19,MATCH(J169,'M1_類型マスタ'!$A$5:$A$19,0)),""))</f>
        <v/>
      </c>
      <c r="L169">
        <f>IF($AG169="","",INDEX('04_調査結果'!$F$5:$F$404,$AG169)&amp;"")</f>
        <v/>
      </c>
      <c r="M169">
        <f>IF($AG169="","",INDEX('04_調査結果'!$G$5:$G$404,$AG169)&amp;"")</f>
        <v/>
      </c>
      <c r="N169">
        <f>IF($AG169="","",INDEX('04_調査結果'!$H$5:$H$404,$AG169)&amp;"")</f>
        <v/>
      </c>
      <c r="O169" s="33">
        <f>IF($AG169="","",IF(INDEX('04_調査結果'!$Z$5:$Z$404,$AG169)&lt;&gt;"",INDEX('04_調査結果'!$Z$5:$Z$404,$AG169),INDEX('04_調査結果'!$AM$5:$AM$404,$AG169)))</f>
        <v/>
      </c>
      <c r="P169" s="33">
        <f>IF($AG169="","",IF(INDEX('04_調査結果'!$AA$5:$AA$404,$AG169)&lt;&gt;"",INDEX('04_調査結果'!$AA$5:$AA$404,$AG169),INDEX('04_調査結果'!$AN$5:$AN$404,$AG169)))</f>
        <v/>
      </c>
      <c r="Q169" s="33">
        <f>IF($AG169="","",INDEX('04_調査結果'!$AD$5:$AD$404,$AG169))</f>
        <v/>
      </c>
      <c r="R169">
        <f>IF($AG169="","",INDEX('04_調査結果'!$AO$5:$AO$404,$AG169))</f>
        <v/>
      </c>
      <c r="S169" s="37">
        <f>IF($AG169="","",INDEX('04_調査結果'!$AQ$5:$AQ$404,$AG169))</f>
        <v/>
      </c>
      <c r="T169" s="37">
        <f>IF($AG169="","",INDEX('04_調査結果'!$AR$5:$AR$404,$AG169))</f>
        <v/>
      </c>
      <c r="U169">
        <f>IF($AG169="","",INDEX('04_調査結果'!$N$5:$N$404,$AG169)&amp;"")</f>
        <v/>
      </c>
      <c r="V169">
        <f>IF($AG169="","",INDEX('04_調査結果'!$O$5:$O$404,$AG169))</f>
        <v/>
      </c>
      <c r="W169">
        <f>IF($AG169="","",INDEX('04_調査結果'!$P$5:$P$404,$AG169))</f>
        <v/>
      </c>
      <c r="X169">
        <f>IF($AG169="","",INDEX('04_調査結果'!$Q$5:$Q$404,$AG169))</f>
        <v/>
      </c>
      <c r="Y169">
        <f>IF($AG169="","",INDEX('04_調査結果'!$R$5:$R$404,$AG169))</f>
        <v/>
      </c>
      <c r="Z169">
        <f>IF($AG169="","",INDEX('04_調査結果'!$S$5:$S$404,$AG169))</f>
        <v/>
      </c>
      <c r="AA169">
        <f>IF($AG169="","",INDEX('04_調査結果'!$T$5:$T$404,$AG169))</f>
        <v/>
      </c>
      <c r="AB169">
        <f>IF($AG169="","",INDEX('04_調査結果'!$U$5:$U$404,$AG169))</f>
        <v/>
      </c>
      <c r="AC169">
        <f>IF($AG169="","",INDEX('04_調査結果'!$AF$5:$AF$404,$AG169))</f>
        <v/>
      </c>
      <c r="AD169">
        <f>IF($AG169="","",INDEX('04_調査結果'!$AC$5:$AC$404,$AG169)&amp;"")</f>
        <v/>
      </c>
      <c r="AE169">
        <f>IF($AG169="","",INDEX('04_調査結果'!$V$5:$V$404,$AG169)&amp;"")</f>
        <v/>
      </c>
      <c r="AF169">
        <f>IF($AG169="","",INDEX('04_調査結果'!$X$5:$X$404,$AG169)&amp;"")</f>
        <v/>
      </c>
      <c r="AG169" s="34">
        <f>IFERROR(MATCH(ROW()-4,'04_調査結果'!$AT$5:$AT$404,0),"")</f>
        <v/>
      </c>
    </row>
    <row r="170">
      <c r="A170">
        <f>IF($AG170="","",'01_設定'!$C$4)</f>
        <v/>
      </c>
      <c r="B170">
        <f>IF($AG170="","",'01_設定'!$C$5)</f>
        <v/>
      </c>
      <c r="C170">
        <f>IF($AG170="","",'01_設定'!$C$6)</f>
        <v/>
      </c>
      <c r="D170" s="36">
        <f>IF($AG170="","",'01_設定'!$C$22)</f>
        <v/>
      </c>
      <c r="E170" s="36">
        <f>IF($AG170="","",'01_設定'!$C$23)</f>
        <v/>
      </c>
      <c r="F170">
        <f>IF($AG170="","",'01_設定'!$C$32)</f>
        <v/>
      </c>
      <c r="G170">
        <f>IF($AG170="","",ROW()-4)</f>
        <v/>
      </c>
      <c r="H170">
        <f>IF($AG170="","",INDEX('04_調査結果'!$AJ$5:$AJ$404,$AG170))</f>
        <v/>
      </c>
      <c r="I170">
        <f>IF($AG170="","",INDEX('04_調査結果'!$D$5:$D$404,$AG170)&amp;"")</f>
        <v/>
      </c>
      <c r="J170">
        <f>IF($AG170="","",INDEX('04_調査結果'!$AK$5:$AK$404,$AG170)&amp;"")</f>
        <v/>
      </c>
      <c r="K170">
        <f>IF($AG170="","",IFERROR(INDEX('M1_類型マスタ'!$B$5:$B$19,MATCH(J170,'M1_類型マスタ'!$A$5:$A$19,0)),""))</f>
        <v/>
      </c>
      <c r="L170">
        <f>IF($AG170="","",INDEX('04_調査結果'!$F$5:$F$404,$AG170)&amp;"")</f>
        <v/>
      </c>
      <c r="M170">
        <f>IF($AG170="","",INDEX('04_調査結果'!$G$5:$G$404,$AG170)&amp;"")</f>
        <v/>
      </c>
      <c r="N170">
        <f>IF($AG170="","",INDEX('04_調査結果'!$H$5:$H$404,$AG170)&amp;"")</f>
        <v/>
      </c>
      <c r="O170" s="33">
        <f>IF($AG170="","",IF(INDEX('04_調査結果'!$Z$5:$Z$404,$AG170)&lt;&gt;"",INDEX('04_調査結果'!$Z$5:$Z$404,$AG170),INDEX('04_調査結果'!$AM$5:$AM$404,$AG170)))</f>
        <v/>
      </c>
      <c r="P170" s="33">
        <f>IF($AG170="","",IF(INDEX('04_調査結果'!$AA$5:$AA$404,$AG170)&lt;&gt;"",INDEX('04_調査結果'!$AA$5:$AA$404,$AG170),INDEX('04_調査結果'!$AN$5:$AN$404,$AG170)))</f>
        <v/>
      </c>
      <c r="Q170" s="33">
        <f>IF($AG170="","",INDEX('04_調査結果'!$AD$5:$AD$404,$AG170))</f>
        <v/>
      </c>
      <c r="R170">
        <f>IF($AG170="","",INDEX('04_調査結果'!$AO$5:$AO$404,$AG170))</f>
        <v/>
      </c>
      <c r="S170" s="37">
        <f>IF($AG170="","",INDEX('04_調査結果'!$AQ$5:$AQ$404,$AG170))</f>
        <v/>
      </c>
      <c r="T170" s="37">
        <f>IF($AG170="","",INDEX('04_調査結果'!$AR$5:$AR$404,$AG170))</f>
        <v/>
      </c>
      <c r="U170">
        <f>IF($AG170="","",INDEX('04_調査結果'!$N$5:$N$404,$AG170)&amp;"")</f>
        <v/>
      </c>
      <c r="V170">
        <f>IF($AG170="","",INDEX('04_調査結果'!$O$5:$O$404,$AG170))</f>
        <v/>
      </c>
      <c r="W170">
        <f>IF($AG170="","",INDEX('04_調査結果'!$P$5:$P$404,$AG170))</f>
        <v/>
      </c>
      <c r="X170">
        <f>IF($AG170="","",INDEX('04_調査結果'!$Q$5:$Q$404,$AG170))</f>
        <v/>
      </c>
      <c r="Y170">
        <f>IF($AG170="","",INDEX('04_調査結果'!$R$5:$R$404,$AG170))</f>
        <v/>
      </c>
      <c r="Z170">
        <f>IF($AG170="","",INDEX('04_調査結果'!$S$5:$S$404,$AG170))</f>
        <v/>
      </c>
      <c r="AA170">
        <f>IF($AG170="","",INDEX('04_調査結果'!$T$5:$T$404,$AG170))</f>
        <v/>
      </c>
      <c r="AB170">
        <f>IF($AG170="","",INDEX('04_調査結果'!$U$5:$U$404,$AG170))</f>
        <v/>
      </c>
      <c r="AC170">
        <f>IF($AG170="","",INDEX('04_調査結果'!$AF$5:$AF$404,$AG170))</f>
        <v/>
      </c>
      <c r="AD170">
        <f>IF($AG170="","",INDEX('04_調査結果'!$AC$5:$AC$404,$AG170)&amp;"")</f>
        <v/>
      </c>
      <c r="AE170">
        <f>IF($AG170="","",INDEX('04_調査結果'!$V$5:$V$404,$AG170)&amp;"")</f>
        <v/>
      </c>
      <c r="AF170">
        <f>IF($AG170="","",INDEX('04_調査結果'!$X$5:$X$404,$AG170)&amp;"")</f>
        <v/>
      </c>
      <c r="AG170" s="34">
        <f>IFERROR(MATCH(ROW()-4,'04_調査結果'!$AT$5:$AT$404,0),"")</f>
        <v/>
      </c>
    </row>
    <row r="171">
      <c r="A171">
        <f>IF($AG171="","",'01_設定'!$C$4)</f>
        <v/>
      </c>
      <c r="B171">
        <f>IF($AG171="","",'01_設定'!$C$5)</f>
        <v/>
      </c>
      <c r="C171">
        <f>IF($AG171="","",'01_設定'!$C$6)</f>
        <v/>
      </c>
      <c r="D171" s="36">
        <f>IF($AG171="","",'01_設定'!$C$22)</f>
        <v/>
      </c>
      <c r="E171" s="36">
        <f>IF($AG171="","",'01_設定'!$C$23)</f>
        <v/>
      </c>
      <c r="F171">
        <f>IF($AG171="","",'01_設定'!$C$32)</f>
        <v/>
      </c>
      <c r="G171">
        <f>IF($AG171="","",ROW()-4)</f>
        <v/>
      </c>
      <c r="H171">
        <f>IF($AG171="","",INDEX('04_調査結果'!$AJ$5:$AJ$404,$AG171))</f>
        <v/>
      </c>
      <c r="I171">
        <f>IF($AG171="","",INDEX('04_調査結果'!$D$5:$D$404,$AG171)&amp;"")</f>
        <v/>
      </c>
      <c r="J171">
        <f>IF($AG171="","",INDEX('04_調査結果'!$AK$5:$AK$404,$AG171)&amp;"")</f>
        <v/>
      </c>
      <c r="K171">
        <f>IF($AG171="","",IFERROR(INDEX('M1_類型マスタ'!$B$5:$B$19,MATCH(J171,'M1_類型マスタ'!$A$5:$A$19,0)),""))</f>
        <v/>
      </c>
      <c r="L171">
        <f>IF($AG171="","",INDEX('04_調査結果'!$F$5:$F$404,$AG171)&amp;"")</f>
        <v/>
      </c>
      <c r="M171">
        <f>IF($AG171="","",INDEX('04_調査結果'!$G$5:$G$404,$AG171)&amp;"")</f>
        <v/>
      </c>
      <c r="N171">
        <f>IF($AG171="","",INDEX('04_調査結果'!$H$5:$H$404,$AG171)&amp;"")</f>
        <v/>
      </c>
      <c r="O171" s="33">
        <f>IF($AG171="","",IF(INDEX('04_調査結果'!$Z$5:$Z$404,$AG171)&lt;&gt;"",INDEX('04_調査結果'!$Z$5:$Z$404,$AG171),INDEX('04_調査結果'!$AM$5:$AM$404,$AG171)))</f>
        <v/>
      </c>
      <c r="P171" s="33">
        <f>IF($AG171="","",IF(INDEX('04_調査結果'!$AA$5:$AA$404,$AG171)&lt;&gt;"",INDEX('04_調査結果'!$AA$5:$AA$404,$AG171),INDEX('04_調査結果'!$AN$5:$AN$404,$AG171)))</f>
        <v/>
      </c>
      <c r="Q171" s="33">
        <f>IF($AG171="","",INDEX('04_調査結果'!$AD$5:$AD$404,$AG171))</f>
        <v/>
      </c>
      <c r="R171">
        <f>IF($AG171="","",INDEX('04_調査結果'!$AO$5:$AO$404,$AG171))</f>
        <v/>
      </c>
      <c r="S171" s="37">
        <f>IF($AG171="","",INDEX('04_調査結果'!$AQ$5:$AQ$404,$AG171))</f>
        <v/>
      </c>
      <c r="T171" s="37">
        <f>IF($AG171="","",INDEX('04_調査結果'!$AR$5:$AR$404,$AG171))</f>
        <v/>
      </c>
      <c r="U171">
        <f>IF($AG171="","",INDEX('04_調査結果'!$N$5:$N$404,$AG171)&amp;"")</f>
        <v/>
      </c>
      <c r="V171">
        <f>IF($AG171="","",INDEX('04_調査結果'!$O$5:$O$404,$AG171))</f>
        <v/>
      </c>
      <c r="W171">
        <f>IF($AG171="","",INDEX('04_調査結果'!$P$5:$P$404,$AG171))</f>
        <v/>
      </c>
      <c r="X171">
        <f>IF($AG171="","",INDEX('04_調査結果'!$Q$5:$Q$404,$AG171))</f>
        <v/>
      </c>
      <c r="Y171">
        <f>IF($AG171="","",INDEX('04_調査結果'!$R$5:$R$404,$AG171))</f>
        <v/>
      </c>
      <c r="Z171">
        <f>IF($AG171="","",INDEX('04_調査結果'!$S$5:$S$404,$AG171))</f>
        <v/>
      </c>
      <c r="AA171">
        <f>IF($AG171="","",INDEX('04_調査結果'!$T$5:$T$404,$AG171))</f>
        <v/>
      </c>
      <c r="AB171">
        <f>IF($AG171="","",INDEX('04_調査結果'!$U$5:$U$404,$AG171))</f>
        <v/>
      </c>
      <c r="AC171">
        <f>IF($AG171="","",INDEX('04_調査結果'!$AF$5:$AF$404,$AG171))</f>
        <v/>
      </c>
      <c r="AD171">
        <f>IF($AG171="","",INDEX('04_調査結果'!$AC$5:$AC$404,$AG171)&amp;"")</f>
        <v/>
      </c>
      <c r="AE171">
        <f>IF($AG171="","",INDEX('04_調査結果'!$V$5:$V$404,$AG171)&amp;"")</f>
        <v/>
      </c>
      <c r="AF171">
        <f>IF($AG171="","",INDEX('04_調査結果'!$X$5:$X$404,$AG171)&amp;"")</f>
        <v/>
      </c>
      <c r="AG171" s="34">
        <f>IFERROR(MATCH(ROW()-4,'04_調査結果'!$AT$5:$AT$404,0),"")</f>
        <v/>
      </c>
    </row>
    <row r="172">
      <c r="A172">
        <f>IF($AG172="","",'01_設定'!$C$4)</f>
        <v/>
      </c>
      <c r="B172">
        <f>IF($AG172="","",'01_設定'!$C$5)</f>
        <v/>
      </c>
      <c r="C172">
        <f>IF($AG172="","",'01_設定'!$C$6)</f>
        <v/>
      </c>
      <c r="D172" s="36">
        <f>IF($AG172="","",'01_設定'!$C$22)</f>
        <v/>
      </c>
      <c r="E172" s="36">
        <f>IF($AG172="","",'01_設定'!$C$23)</f>
        <v/>
      </c>
      <c r="F172">
        <f>IF($AG172="","",'01_設定'!$C$32)</f>
        <v/>
      </c>
      <c r="G172">
        <f>IF($AG172="","",ROW()-4)</f>
        <v/>
      </c>
      <c r="H172">
        <f>IF($AG172="","",INDEX('04_調査結果'!$AJ$5:$AJ$404,$AG172))</f>
        <v/>
      </c>
      <c r="I172">
        <f>IF($AG172="","",INDEX('04_調査結果'!$D$5:$D$404,$AG172)&amp;"")</f>
        <v/>
      </c>
      <c r="J172">
        <f>IF($AG172="","",INDEX('04_調査結果'!$AK$5:$AK$404,$AG172)&amp;"")</f>
        <v/>
      </c>
      <c r="K172">
        <f>IF($AG172="","",IFERROR(INDEX('M1_類型マスタ'!$B$5:$B$19,MATCH(J172,'M1_類型マスタ'!$A$5:$A$19,0)),""))</f>
        <v/>
      </c>
      <c r="L172">
        <f>IF($AG172="","",INDEX('04_調査結果'!$F$5:$F$404,$AG172)&amp;"")</f>
        <v/>
      </c>
      <c r="M172">
        <f>IF($AG172="","",INDEX('04_調査結果'!$G$5:$G$404,$AG172)&amp;"")</f>
        <v/>
      </c>
      <c r="N172">
        <f>IF($AG172="","",INDEX('04_調査結果'!$H$5:$H$404,$AG172)&amp;"")</f>
        <v/>
      </c>
      <c r="O172" s="33">
        <f>IF($AG172="","",IF(INDEX('04_調査結果'!$Z$5:$Z$404,$AG172)&lt;&gt;"",INDEX('04_調査結果'!$Z$5:$Z$404,$AG172),INDEX('04_調査結果'!$AM$5:$AM$404,$AG172)))</f>
        <v/>
      </c>
      <c r="P172" s="33">
        <f>IF($AG172="","",IF(INDEX('04_調査結果'!$AA$5:$AA$404,$AG172)&lt;&gt;"",INDEX('04_調査結果'!$AA$5:$AA$404,$AG172),INDEX('04_調査結果'!$AN$5:$AN$404,$AG172)))</f>
        <v/>
      </c>
      <c r="Q172" s="33">
        <f>IF($AG172="","",INDEX('04_調査結果'!$AD$5:$AD$404,$AG172))</f>
        <v/>
      </c>
      <c r="R172">
        <f>IF($AG172="","",INDEX('04_調査結果'!$AO$5:$AO$404,$AG172))</f>
        <v/>
      </c>
      <c r="S172" s="37">
        <f>IF($AG172="","",INDEX('04_調査結果'!$AQ$5:$AQ$404,$AG172))</f>
        <v/>
      </c>
      <c r="T172" s="37">
        <f>IF($AG172="","",INDEX('04_調査結果'!$AR$5:$AR$404,$AG172))</f>
        <v/>
      </c>
      <c r="U172">
        <f>IF($AG172="","",INDEX('04_調査結果'!$N$5:$N$404,$AG172)&amp;"")</f>
        <v/>
      </c>
      <c r="V172">
        <f>IF($AG172="","",INDEX('04_調査結果'!$O$5:$O$404,$AG172))</f>
        <v/>
      </c>
      <c r="W172">
        <f>IF($AG172="","",INDEX('04_調査結果'!$P$5:$P$404,$AG172))</f>
        <v/>
      </c>
      <c r="X172">
        <f>IF($AG172="","",INDEX('04_調査結果'!$Q$5:$Q$404,$AG172))</f>
        <v/>
      </c>
      <c r="Y172">
        <f>IF($AG172="","",INDEX('04_調査結果'!$R$5:$R$404,$AG172))</f>
        <v/>
      </c>
      <c r="Z172">
        <f>IF($AG172="","",INDEX('04_調査結果'!$S$5:$S$404,$AG172))</f>
        <v/>
      </c>
      <c r="AA172">
        <f>IF($AG172="","",INDEX('04_調査結果'!$T$5:$T$404,$AG172))</f>
        <v/>
      </c>
      <c r="AB172">
        <f>IF($AG172="","",INDEX('04_調査結果'!$U$5:$U$404,$AG172))</f>
        <v/>
      </c>
      <c r="AC172">
        <f>IF($AG172="","",INDEX('04_調査結果'!$AF$5:$AF$404,$AG172))</f>
        <v/>
      </c>
      <c r="AD172">
        <f>IF($AG172="","",INDEX('04_調査結果'!$AC$5:$AC$404,$AG172)&amp;"")</f>
        <v/>
      </c>
      <c r="AE172">
        <f>IF($AG172="","",INDEX('04_調査結果'!$V$5:$V$404,$AG172)&amp;"")</f>
        <v/>
      </c>
      <c r="AF172">
        <f>IF($AG172="","",INDEX('04_調査結果'!$X$5:$X$404,$AG172)&amp;"")</f>
        <v/>
      </c>
      <c r="AG172" s="34">
        <f>IFERROR(MATCH(ROW()-4,'04_調査結果'!$AT$5:$AT$404,0),"")</f>
        <v/>
      </c>
    </row>
    <row r="173">
      <c r="A173">
        <f>IF($AG173="","",'01_設定'!$C$4)</f>
        <v/>
      </c>
      <c r="B173">
        <f>IF($AG173="","",'01_設定'!$C$5)</f>
        <v/>
      </c>
      <c r="C173">
        <f>IF($AG173="","",'01_設定'!$C$6)</f>
        <v/>
      </c>
      <c r="D173" s="36">
        <f>IF($AG173="","",'01_設定'!$C$22)</f>
        <v/>
      </c>
      <c r="E173" s="36">
        <f>IF($AG173="","",'01_設定'!$C$23)</f>
        <v/>
      </c>
      <c r="F173">
        <f>IF($AG173="","",'01_設定'!$C$32)</f>
        <v/>
      </c>
      <c r="G173">
        <f>IF($AG173="","",ROW()-4)</f>
        <v/>
      </c>
      <c r="H173">
        <f>IF($AG173="","",INDEX('04_調査結果'!$AJ$5:$AJ$404,$AG173))</f>
        <v/>
      </c>
      <c r="I173">
        <f>IF($AG173="","",INDEX('04_調査結果'!$D$5:$D$404,$AG173)&amp;"")</f>
        <v/>
      </c>
      <c r="J173">
        <f>IF($AG173="","",INDEX('04_調査結果'!$AK$5:$AK$404,$AG173)&amp;"")</f>
        <v/>
      </c>
      <c r="K173">
        <f>IF($AG173="","",IFERROR(INDEX('M1_類型マスタ'!$B$5:$B$19,MATCH(J173,'M1_類型マスタ'!$A$5:$A$19,0)),""))</f>
        <v/>
      </c>
      <c r="L173">
        <f>IF($AG173="","",INDEX('04_調査結果'!$F$5:$F$404,$AG173)&amp;"")</f>
        <v/>
      </c>
      <c r="M173">
        <f>IF($AG173="","",INDEX('04_調査結果'!$G$5:$G$404,$AG173)&amp;"")</f>
        <v/>
      </c>
      <c r="N173">
        <f>IF($AG173="","",INDEX('04_調査結果'!$H$5:$H$404,$AG173)&amp;"")</f>
        <v/>
      </c>
      <c r="O173" s="33">
        <f>IF($AG173="","",IF(INDEX('04_調査結果'!$Z$5:$Z$404,$AG173)&lt;&gt;"",INDEX('04_調査結果'!$Z$5:$Z$404,$AG173),INDEX('04_調査結果'!$AM$5:$AM$404,$AG173)))</f>
        <v/>
      </c>
      <c r="P173" s="33">
        <f>IF($AG173="","",IF(INDEX('04_調査結果'!$AA$5:$AA$404,$AG173)&lt;&gt;"",INDEX('04_調査結果'!$AA$5:$AA$404,$AG173),INDEX('04_調査結果'!$AN$5:$AN$404,$AG173)))</f>
        <v/>
      </c>
      <c r="Q173" s="33">
        <f>IF($AG173="","",INDEX('04_調査結果'!$AD$5:$AD$404,$AG173))</f>
        <v/>
      </c>
      <c r="R173">
        <f>IF($AG173="","",INDEX('04_調査結果'!$AO$5:$AO$404,$AG173))</f>
        <v/>
      </c>
      <c r="S173" s="37">
        <f>IF($AG173="","",INDEX('04_調査結果'!$AQ$5:$AQ$404,$AG173))</f>
        <v/>
      </c>
      <c r="T173" s="37">
        <f>IF($AG173="","",INDEX('04_調査結果'!$AR$5:$AR$404,$AG173))</f>
        <v/>
      </c>
      <c r="U173">
        <f>IF($AG173="","",INDEX('04_調査結果'!$N$5:$N$404,$AG173)&amp;"")</f>
        <v/>
      </c>
      <c r="V173">
        <f>IF($AG173="","",INDEX('04_調査結果'!$O$5:$O$404,$AG173))</f>
        <v/>
      </c>
      <c r="W173">
        <f>IF($AG173="","",INDEX('04_調査結果'!$P$5:$P$404,$AG173))</f>
        <v/>
      </c>
      <c r="X173">
        <f>IF($AG173="","",INDEX('04_調査結果'!$Q$5:$Q$404,$AG173))</f>
        <v/>
      </c>
      <c r="Y173">
        <f>IF($AG173="","",INDEX('04_調査結果'!$R$5:$R$404,$AG173))</f>
        <v/>
      </c>
      <c r="Z173">
        <f>IF($AG173="","",INDEX('04_調査結果'!$S$5:$S$404,$AG173))</f>
        <v/>
      </c>
      <c r="AA173">
        <f>IF($AG173="","",INDEX('04_調査結果'!$T$5:$T$404,$AG173))</f>
        <v/>
      </c>
      <c r="AB173">
        <f>IF($AG173="","",INDEX('04_調査結果'!$U$5:$U$404,$AG173))</f>
        <v/>
      </c>
      <c r="AC173">
        <f>IF($AG173="","",INDEX('04_調査結果'!$AF$5:$AF$404,$AG173))</f>
        <v/>
      </c>
      <c r="AD173">
        <f>IF($AG173="","",INDEX('04_調査結果'!$AC$5:$AC$404,$AG173)&amp;"")</f>
        <v/>
      </c>
      <c r="AE173">
        <f>IF($AG173="","",INDEX('04_調査結果'!$V$5:$V$404,$AG173)&amp;"")</f>
        <v/>
      </c>
      <c r="AF173">
        <f>IF($AG173="","",INDEX('04_調査結果'!$X$5:$X$404,$AG173)&amp;"")</f>
        <v/>
      </c>
      <c r="AG173" s="34">
        <f>IFERROR(MATCH(ROW()-4,'04_調査結果'!$AT$5:$AT$404,0),"")</f>
        <v/>
      </c>
    </row>
    <row r="174">
      <c r="A174">
        <f>IF($AG174="","",'01_設定'!$C$4)</f>
        <v/>
      </c>
      <c r="B174">
        <f>IF($AG174="","",'01_設定'!$C$5)</f>
        <v/>
      </c>
      <c r="C174">
        <f>IF($AG174="","",'01_設定'!$C$6)</f>
        <v/>
      </c>
      <c r="D174" s="36">
        <f>IF($AG174="","",'01_設定'!$C$22)</f>
        <v/>
      </c>
      <c r="E174" s="36">
        <f>IF($AG174="","",'01_設定'!$C$23)</f>
        <v/>
      </c>
      <c r="F174">
        <f>IF($AG174="","",'01_設定'!$C$32)</f>
        <v/>
      </c>
      <c r="G174">
        <f>IF($AG174="","",ROW()-4)</f>
        <v/>
      </c>
      <c r="H174">
        <f>IF($AG174="","",INDEX('04_調査結果'!$AJ$5:$AJ$404,$AG174))</f>
        <v/>
      </c>
      <c r="I174">
        <f>IF($AG174="","",INDEX('04_調査結果'!$D$5:$D$404,$AG174)&amp;"")</f>
        <v/>
      </c>
      <c r="J174">
        <f>IF($AG174="","",INDEX('04_調査結果'!$AK$5:$AK$404,$AG174)&amp;"")</f>
        <v/>
      </c>
      <c r="K174">
        <f>IF($AG174="","",IFERROR(INDEX('M1_類型マスタ'!$B$5:$B$19,MATCH(J174,'M1_類型マスタ'!$A$5:$A$19,0)),""))</f>
        <v/>
      </c>
      <c r="L174">
        <f>IF($AG174="","",INDEX('04_調査結果'!$F$5:$F$404,$AG174)&amp;"")</f>
        <v/>
      </c>
      <c r="M174">
        <f>IF($AG174="","",INDEX('04_調査結果'!$G$5:$G$404,$AG174)&amp;"")</f>
        <v/>
      </c>
      <c r="N174">
        <f>IF($AG174="","",INDEX('04_調査結果'!$H$5:$H$404,$AG174)&amp;"")</f>
        <v/>
      </c>
      <c r="O174" s="33">
        <f>IF($AG174="","",IF(INDEX('04_調査結果'!$Z$5:$Z$404,$AG174)&lt;&gt;"",INDEX('04_調査結果'!$Z$5:$Z$404,$AG174),INDEX('04_調査結果'!$AM$5:$AM$404,$AG174)))</f>
        <v/>
      </c>
      <c r="P174" s="33">
        <f>IF($AG174="","",IF(INDEX('04_調査結果'!$AA$5:$AA$404,$AG174)&lt;&gt;"",INDEX('04_調査結果'!$AA$5:$AA$404,$AG174),INDEX('04_調査結果'!$AN$5:$AN$404,$AG174)))</f>
        <v/>
      </c>
      <c r="Q174" s="33">
        <f>IF($AG174="","",INDEX('04_調査結果'!$AD$5:$AD$404,$AG174))</f>
        <v/>
      </c>
      <c r="R174">
        <f>IF($AG174="","",INDEX('04_調査結果'!$AO$5:$AO$404,$AG174))</f>
        <v/>
      </c>
      <c r="S174" s="37">
        <f>IF($AG174="","",INDEX('04_調査結果'!$AQ$5:$AQ$404,$AG174))</f>
        <v/>
      </c>
      <c r="T174" s="37">
        <f>IF($AG174="","",INDEX('04_調査結果'!$AR$5:$AR$404,$AG174))</f>
        <v/>
      </c>
      <c r="U174">
        <f>IF($AG174="","",INDEX('04_調査結果'!$N$5:$N$404,$AG174)&amp;"")</f>
        <v/>
      </c>
      <c r="V174">
        <f>IF($AG174="","",INDEX('04_調査結果'!$O$5:$O$404,$AG174))</f>
        <v/>
      </c>
      <c r="W174">
        <f>IF($AG174="","",INDEX('04_調査結果'!$P$5:$P$404,$AG174))</f>
        <v/>
      </c>
      <c r="X174">
        <f>IF($AG174="","",INDEX('04_調査結果'!$Q$5:$Q$404,$AG174))</f>
        <v/>
      </c>
      <c r="Y174">
        <f>IF($AG174="","",INDEX('04_調査結果'!$R$5:$R$404,$AG174))</f>
        <v/>
      </c>
      <c r="Z174">
        <f>IF($AG174="","",INDEX('04_調査結果'!$S$5:$S$404,$AG174))</f>
        <v/>
      </c>
      <c r="AA174">
        <f>IF($AG174="","",INDEX('04_調査結果'!$T$5:$T$404,$AG174))</f>
        <v/>
      </c>
      <c r="AB174">
        <f>IF($AG174="","",INDEX('04_調査結果'!$U$5:$U$404,$AG174))</f>
        <v/>
      </c>
      <c r="AC174">
        <f>IF($AG174="","",INDEX('04_調査結果'!$AF$5:$AF$404,$AG174))</f>
        <v/>
      </c>
      <c r="AD174">
        <f>IF($AG174="","",INDEX('04_調査結果'!$AC$5:$AC$404,$AG174)&amp;"")</f>
        <v/>
      </c>
      <c r="AE174">
        <f>IF($AG174="","",INDEX('04_調査結果'!$V$5:$V$404,$AG174)&amp;"")</f>
        <v/>
      </c>
      <c r="AF174">
        <f>IF($AG174="","",INDEX('04_調査結果'!$X$5:$X$404,$AG174)&amp;"")</f>
        <v/>
      </c>
      <c r="AG174" s="34">
        <f>IFERROR(MATCH(ROW()-4,'04_調査結果'!$AT$5:$AT$404,0),"")</f>
        <v/>
      </c>
    </row>
    <row r="175">
      <c r="A175">
        <f>IF($AG175="","",'01_設定'!$C$4)</f>
        <v/>
      </c>
      <c r="B175">
        <f>IF($AG175="","",'01_設定'!$C$5)</f>
        <v/>
      </c>
      <c r="C175">
        <f>IF($AG175="","",'01_設定'!$C$6)</f>
        <v/>
      </c>
      <c r="D175" s="36">
        <f>IF($AG175="","",'01_設定'!$C$22)</f>
        <v/>
      </c>
      <c r="E175" s="36">
        <f>IF($AG175="","",'01_設定'!$C$23)</f>
        <v/>
      </c>
      <c r="F175">
        <f>IF($AG175="","",'01_設定'!$C$32)</f>
        <v/>
      </c>
      <c r="G175">
        <f>IF($AG175="","",ROW()-4)</f>
        <v/>
      </c>
      <c r="H175">
        <f>IF($AG175="","",INDEX('04_調査結果'!$AJ$5:$AJ$404,$AG175))</f>
        <v/>
      </c>
      <c r="I175">
        <f>IF($AG175="","",INDEX('04_調査結果'!$D$5:$D$404,$AG175)&amp;"")</f>
        <v/>
      </c>
      <c r="J175">
        <f>IF($AG175="","",INDEX('04_調査結果'!$AK$5:$AK$404,$AG175)&amp;"")</f>
        <v/>
      </c>
      <c r="K175">
        <f>IF($AG175="","",IFERROR(INDEX('M1_類型マスタ'!$B$5:$B$19,MATCH(J175,'M1_類型マスタ'!$A$5:$A$19,0)),""))</f>
        <v/>
      </c>
      <c r="L175">
        <f>IF($AG175="","",INDEX('04_調査結果'!$F$5:$F$404,$AG175)&amp;"")</f>
        <v/>
      </c>
      <c r="M175">
        <f>IF($AG175="","",INDEX('04_調査結果'!$G$5:$G$404,$AG175)&amp;"")</f>
        <v/>
      </c>
      <c r="N175">
        <f>IF($AG175="","",INDEX('04_調査結果'!$H$5:$H$404,$AG175)&amp;"")</f>
        <v/>
      </c>
      <c r="O175" s="33">
        <f>IF($AG175="","",IF(INDEX('04_調査結果'!$Z$5:$Z$404,$AG175)&lt;&gt;"",INDEX('04_調査結果'!$Z$5:$Z$404,$AG175),INDEX('04_調査結果'!$AM$5:$AM$404,$AG175)))</f>
        <v/>
      </c>
      <c r="P175" s="33">
        <f>IF($AG175="","",IF(INDEX('04_調査結果'!$AA$5:$AA$404,$AG175)&lt;&gt;"",INDEX('04_調査結果'!$AA$5:$AA$404,$AG175),INDEX('04_調査結果'!$AN$5:$AN$404,$AG175)))</f>
        <v/>
      </c>
      <c r="Q175" s="33">
        <f>IF($AG175="","",INDEX('04_調査結果'!$AD$5:$AD$404,$AG175))</f>
        <v/>
      </c>
      <c r="R175">
        <f>IF($AG175="","",INDEX('04_調査結果'!$AO$5:$AO$404,$AG175))</f>
        <v/>
      </c>
      <c r="S175" s="37">
        <f>IF($AG175="","",INDEX('04_調査結果'!$AQ$5:$AQ$404,$AG175))</f>
        <v/>
      </c>
      <c r="T175" s="37">
        <f>IF($AG175="","",INDEX('04_調査結果'!$AR$5:$AR$404,$AG175))</f>
        <v/>
      </c>
      <c r="U175">
        <f>IF($AG175="","",INDEX('04_調査結果'!$N$5:$N$404,$AG175)&amp;"")</f>
        <v/>
      </c>
      <c r="V175">
        <f>IF($AG175="","",INDEX('04_調査結果'!$O$5:$O$404,$AG175))</f>
        <v/>
      </c>
      <c r="W175">
        <f>IF($AG175="","",INDEX('04_調査結果'!$P$5:$P$404,$AG175))</f>
        <v/>
      </c>
      <c r="X175">
        <f>IF($AG175="","",INDEX('04_調査結果'!$Q$5:$Q$404,$AG175))</f>
        <v/>
      </c>
      <c r="Y175">
        <f>IF($AG175="","",INDEX('04_調査結果'!$R$5:$R$404,$AG175))</f>
        <v/>
      </c>
      <c r="Z175">
        <f>IF($AG175="","",INDEX('04_調査結果'!$S$5:$S$404,$AG175))</f>
        <v/>
      </c>
      <c r="AA175">
        <f>IF($AG175="","",INDEX('04_調査結果'!$T$5:$T$404,$AG175))</f>
        <v/>
      </c>
      <c r="AB175">
        <f>IF($AG175="","",INDEX('04_調査結果'!$U$5:$U$404,$AG175))</f>
        <v/>
      </c>
      <c r="AC175">
        <f>IF($AG175="","",INDEX('04_調査結果'!$AF$5:$AF$404,$AG175))</f>
        <v/>
      </c>
      <c r="AD175">
        <f>IF($AG175="","",INDEX('04_調査結果'!$AC$5:$AC$404,$AG175)&amp;"")</f>
        <v/>
      </c>
      <c r="AE175">
        <f>IF($AG175="","",INDEX('04_調査結果'!$V$5:$V$404,$AG175)&amp;"")</f>
        <v/>
      </c>
      <c r="AF175">
        <f>IF($AG175="","",INDEX('04_調査結果'!$X$5:$X$404,$AG175)&amp;"")</f>
        <v/>
      </c>
      <c r="AG175" s="34">
        <f>IFERROR(MATCH(ROW()-4,'04_調査結果'!$AT$5:$AT$404,0),"")</f>
        <v/>
      </c>
    </row>
    <row r="176">
      <c r="A176">
        <f>IF($AG176="","",'01_設定'!$C$4)</f>
        <v/>
      </c>
      <c r="B176">
        <f>IF($AG176="","",'01_設定'!$C$5)</f>
        <v/>
      </c>
      <c r="C176">
        <f>IF($AG176="","",'01_設定'!$C$6)</f>
        <v/>
      </c>
      <c r="D176" s="36">
        <f>IF($AG176="","",'01_設定'!$C$22)</f>
        <v/>
      </c>
      <c r="E176" s="36">
        <f>IF($AG176="","",'01_設定'!$C$23)</f>
        <v/>
      </c>
      <c r="F176">
        <f>IF($AG176="","",'01_設定'!$C$32)</f>
        <v/>
      </c>
      <c r="G176">
        <f>IF($AG176="","",ROW()-4)</f>
        <v/>
      </c>
      <c r="H176">
        <f>IF($AG176="","",INDEX('04_調査結果'!$AJ$5:$AJ$404,$AG176))</f>
        <v/>
      </c>
      <c r="I176">
        <f>IF($AG176="","",INDEX('04_調査結果'!$D$5:$D$404,$AG176)&amp;"")</f>
        <v/>
      </c>
      <c r="J176">
        <f>IF($AG176="","",INDEX('04_調査結果'!$AK$5:$AK$404,$AG176)&amp;"")</f>
        <v/>
      </c>
      <c r="K176">
        <f>IF($AG176="","",IFERROR(INDEX('M1_類型マスタ'!$B$5:$B$19,MATCH(J176,'M1_類型マスタ'!$A$5:$A$19,0)),""))</f>
        <v/>
      </c>
      <c r="L176">
        <f>IF($AG176="","",INDEX('04_調査結果'!$F$5:$F$404,$AG176)&amp;"")</f>
        <v/>
      </c>
      <c r="M176">
        <f>IF($AG176="","",INDEX('04_調査結果'!$G$5:$G$404,$AG176)&amp;"")</f>
        <v/>
      </c>
      <c r="N176">
        <f>IF($AG176="","",INDEX('04_調査結果'!$H$5:$H$404,$AG176)&amp;"")</f>
        <v/>
      </c>
      <c r="O176" s="33">
        <f>IF($AG176="","",IF(INDEX('04_調査結果'!$Z$5:$Z$404,$AG176)&lt;&gt;"",INDEX('04_調査結果'!$Z$5:$Z$404,$AG176),INDEX('04_調査結果'!$AM$5:$AM$404,$AG176)))</f>
        <v/>
      </c>
      <c r="P176" s="33">
        <f>IF($AG176="","",IF(INDEX('04_調査結果'!$AA$5:$AA$404,$AG176)&lt;&gt;"",INDEX('04_調査結果'!$AA$5:$AA$404,$AG176),INDEX('04_調査結果'!$AN$5:$AN$404,$AG176)))</f>
        <v/>
      </c>
      <c r="Q176" s="33">
        <f>IF($AG176="","",INDEX('04_調査結果'!$AD$5:$AD$404,$AG176))</f>
        <v/>
      </c>
      <c r="R176">
        <f>IF($AG176="","",INDEX('04_調査結果'!$AO$5:$AO$404,$AG176))</f>
        <v/>
      </c>
      <c r="S176" s="37">
        <f>IF($AG176="","",INDEX('04_調査結果'!$AQ$5:$AQ$404,$AG176))</f>
        <v/>
      </c>
      <c r="T176" s="37">
        <f>IF($AG176="","",INDEX('04_調査結果'!$AR$5:$AR$404,$AG176))</f>
        <v/>
      </c>
      <c r="U176">
        <f>IF($AG176="","",INDEX('04_調査結果'!$N$5:$N$404,$AG176)&amp;"")</f>
        <v/>
      </c>
      <c r="V176">
        <f>IF($AG176="","",INDEX('04_調査結果'!$O$5:$O$404,$AG176))</f>
        <v/>
      </c>
      <c r="W176">
        <f>IF($AG176="","",INDEX('04_調査結果'!$P$5:$P$404,$AG176))</f>
        <v/>
      </c>
      <c r="X176">
        <f>IF($AG176="","",INDEX('04_調査結果'!$Q$5:$Q$404,$AG176))</f>
        <v/>
      </c>
      <c r="Y176">
        <f>IF($AG176="","",INDEX('04_調査結果'!$R$5:$R$404,$AG176))</f>
        <v/>
      </c>
      <c r="Z176">
        <f>IF($AG176="","",INDEX('04_調査結果'!$S$5:$S$404,$AG176))</f>
        <v/>
      </c>
      <c r="AA176">
        <f>IF($AG176="","",INDEX('04_調査結果'!$T$5:$T$404,$AG176))</f>
        <v/>
      </c>
      <c r="AB176">
        <f>IF($AG176="","",INDEX('04_調査結果'!$U$5:$U$404,$AG176))</f>
        <v/>
      </c>
      <c r="AC176">
        <f>IF($AG176="","",INDEX('04_調査結果'!$AF$5:$AF$404,$AG176))</f>
        <v/>
      </c>
      <c r="AD176">
        <f>IF($AG176="","",INDEX('04_調査結果'!$AC$5:$AC$404,$AG176)&amp;"")</f>
        <v/>
      </c>
      <c r="AE176">
        <f>IF($AG176="","",INDEX('04_調査結果'!$V$5:$V$404,$AG176)&amp;"")</f>
        <v/>
      </c>
      <c r="AF176">
        <f>IF($AG176="","",INDEX('04_調査結果'!$X$5:$X$404,$AG176)&amp;"")</f>
        <v/>
      </c>
      <c r="AG176" s="34">
        <f>IFERROR(MATCH(ROW()-4,'04_調査結果'!$AT$5:$AT$404,0),"")</f>
        <v/>
      </c>
    </row>
    <row r="177">
      <c r="A177">
        <f>IF($AG177="","",'01_設定'!$C$4)</f>
        <v/>
      </c>
      <c r="B177">
        <f>IF($AG177="","",'01_設定'!$C$5)</f>
        <v/>
      </c>
      <c r="C177">
        <f>IF($AG177="","",'01_設定'!$C$6)</f>
        <v/>
      </c>
      <c r="D177" s="36">
        <f>IF($AG177="","",'01_設定'!$C$22)</f>
        <v/>
      </c>
      <c r="E177" s="36">
        <f>IF($AG177="","",'01_設定'!$C$23)</f>
        <v/>
      </c>
      <c r="F177">
        <f>IF($AG177="","",'01_設定'!$C$32)</f>
        <v/>
      </c>
      <c r="G177">
        <f>IF($AG177="","",ROW()-4)</f>
        <v/>
      </c>
      <c r="H177">
        <f>IF($AG177="","",INDEX('04_調査結果'!$AJ$5:$AJ$404,$AG177))</f>
        <v/>
      </c>
      <c r="I177">
        <f>IF($AG177="","",INDEX('04_調査結果'!$D$5:$D$404,$AG177)&amp;"")</f>
        <v/>
      </c>
      <c r="J177">
        <f>IF($AG177="","",INDEX('04_調査結果'!$AK$5:$AK$404,$AG177)&amp;"")</f>
        <v/>
      </c>
      <c r="K177">
        <f>IF($AG177="","",IFERROR(INDEX('M1_類型マスタ'!$B$5:$B$19,MATCH(J177,'M1_類型マスタ'!$A$5:$A$19,0)),""))</f>
        <v/>
      </c>
      <c r="L177">
        <f>IF($AG177="","",INDEX('04_調査結果'!$F$5:$F$404,$AG177)&amp;"")</f>
        <v/>
      </c>
      <c r="M177">
        <f>IF($AG177="","",INDEX('04_調査結果'!$G$5:$G$404,$AG177)&amp;"")</f>
        <v/>
      </c>
      <c r="N177">
        <f>IF($AG177="","",INDEX('04_調査結果'!$H$5:$H$404,$AG177)&amp;"")</f>
        <v/>
      </c>
      <c r="O177" s="33">
        <f>IF($AG177="","",IF(INDEX('04_調査結果'!$Z$5:$Z$404,$AG177)&lt;&gt;"",INDEX('04_調査結果'!$Z$5:$Z$404,$AG177),INDEX('04_調査結果'!$AM$5:$AM$404,$AG177)))</f>
        <v/>
      </c>
      <c r="P177" s="33">
        <f>IF($AG177="","",IF(INDEX('04_調査結果'!$AA$5:$AA$404,$AG177)&lt;&gt;"",INDEX('04_調査結果'!$AA$5:$AA$404,$AG177),INDEX('04_調査結果'!$AN$5:$AN$404,$AG177)))</f>
        <v/>
      </c>
      <c r="Q177" s="33">
        <f>IF($AG177="","",INDEX('04_調査結果'!$AD$5:$AD$404,$AG177))</f>
        <v/>
      </c>
      <c r="R177">
        <f>IF($AG177="","",INDEX('04_調査結果'!$AO$5:$AO$404,$AG177))</f>
        <v/>
      </c>
      <c r="S177" s="37">
        <f>IF($AG177="","",INDEX('04_調査結果'!$AQ$5:$AQ$404,$AG177))</f>
        <v/>
      </c>
      <c r="T177" s="37">
        <f>IF($AG177="","",INDEX('04_調査結果'!$AR$5:$AR$404,$AG177))</f>
        <v/>
      </c>
      <c r="U177">
        <f>IF($AG177="","",INDEX('04_調査結果'!$N$5:$N$404,$AG177)&amp;"")</f>
        <v/>
      </c>
      <c r="V177">
        <f>IF($AG177="","",INDEX('04_調査結果'!$O$5:$O$404,$AG177))</f>
        <v/>
      </c>
      <c r="W177">
        <f>IF($AG177="","",INDEX('04_調査結果'!$P$5:$P$404,$AG177))</f>
        <v/>
      </c>
      <c r="X177">
        <f>IF($AG177="","",INDEX('04_調査結果'!$Q$5:$Q$404,$AG177))</f>
        <v/>
      </c>
      <c r="Y177">
        <f>IF($AG177="","",INDEX('04_調査結果'!$R$5:$R$404,$AG177))</f>
        <v/>
      </c>
      <c r="Z177">
        <f>IF($AG177="","",INDEX('04_調査結果'!$S$5:$S$404,$AG177))</f>
        <v/>
      </c>
      <c r="AA177">
        <f>IF($AG177="","",INDEX('04_調査結果'!$T$5:$T$404,$AG177))</f>
        <v/>
      </c>
      <c r="AB177">
        <f>IF($AG177="","",INDEX('04_調査結果'!$U$5:$U$404,$AG177))</f>
        <v/>
      </c>
      <c r="AC177">
        <f>IF($AG177="","",INDEX('04_調査結果'!$AF$5:$AF$404,$AG177))</f>
        <v/>
      </c>
      <c r="AD177">
        <f>IF($AG177="","",INDEX('04_調査結果'!$AC$5:$AC$404,$AG177)&amp;"")</f>
        <v/>
      </c>
      <c r="AE177">
        <f>IF($AG177="","",INDEX('04_調査結果'!$V$5:$V$404,$AG177)&amp;"")</f>
        <v/>
      </c>
      <c r="AF177">
        <f>IF($AG177="","",INDEX('04_調査結果'!$X$5:$X$404,$AG177)&amp;"")</f>
        <v/>
      </c>
      <c r="AG177" s="34">
        <f>IFERROR(MATCH(ROW()-4,'04_調査結果'!$AT$5:$AT$404,0),"")</f>
        <v/>
      </c>
    </row>
    <row r="178">
      <c r="A178">
        <f>IF($AG178="","",'01_設定'!$C$4)</f>
        <v/>
      </c>
      <c r="B178">
        <f>IF($AG178="","",'01_設定'!$C$5)</f>
        <v/>
      </c>
      <c r="C178">
        <f>IF($AG178="","",'01_設定'!$C$6)</f>
        <v/>
      </c>
      <c r="D178" s="36">
        <f>IF($AG178="","",'01_設定'!$C$22)</f>
        <v/>
      </c>
      <c r="E178" s="36">
        <f>IF($AG178="","",'01_設定'!$C$23)</f>
        <v/>
      </c>
      <c r="F178">
        <f>IF($AG178="","",'01_設定'!$C$32)</f>
        <v/>
      </c>
      <c r="G178">
        <f>IF($AG178="","",ROW()-4)</f>
        <v/>
      </c>
      <c r="H178">
        <f>IF($AG178="","",INDEX('04_調査結果'!$AJ$5:$AJ$404,$AG178))</f>
        <v/>
      </c>
      <c r="I178">
        <f>IF($AG178="","",INDEX('04_調査結果'!$D$5:$D$404,$AG178)&amp;"")</f>
        <v/>
      </c>
      <c r="J178">
        <f>IF($AG178="","",INDEX('04_調査結果'!$AK$5:$AK$404,$AG178)&amp;"")</f>
        <v/>
      </c>
      <c r="K178">
        <f>IF($AG178="","",IFERROR(INDEX('M1_類型マスタ'!$B$5:$B$19,MATCH(J178,'M1_類型マスタ'!$A$5:$A$19,0)),""))</f>
        <v/>
      </c>
      <c r="L178">
        <f>IF($AG178="","",INDEX('04_調査結果'!$F$5:$F$404,$AG178)&amp;"")</f>
        <v/>
      </c>
      <c r="M178">
        <f>IF($AG178="","",INDEX('04_調査結果'!$G$5:$G$404,$AG178)&amp;"")</f>
        <v/>
      </c>
      <c r="N178">
        <f>IF($AG178="","",INDEX('04_調査結果'!$H$5:$H$404,$AG178)&amp;"")</f>
        <v/>
      </c>
      <c r="O178" s="33">
        <f>IF($AG178="","",IF(INDEX('04_調査結果'!$Z$5:$Z$404,$AG178)&lt;&gt;"",INDEX('04_調査結果'!$Z$5:$Z$404,$AG178),INDEX('04_調査結果'!$AM$5:$AM$404,$AG178)))</f>
        <v/>
      </c>
      <c r="P178" s="33">
        <f>IF($AG178="","",IF(INDEX('04_調査結果'!$AA$5:$AA$404,$AG178)&lt;&gt;"",INDEX('04_調査結果'!$AA$5:$AA$404,$AG178),INDEX('04_調査結果'!$AN$5:$AN$404,$AG178)))</f>
        <v/>
      </c>
      <c r="Q178" s="33">
        <f>IF($AG178="","",INDEX('04_調査結果'!$AD$5:$AD$404,$AG178))</f>
        <v/>
      </c>
      <c r="R178">
        <f>IF($AG178="","",INDEX('04_調査結果'!$AO$5:$AO$404,$AG178))</f>
        <v/>
      </c>
      <c r="S178" s="37">
        <f>IF($AG178="","",INDEX('04_調査結果'!$AQ$5:$AQ$404,$AG178))</f>
        <v/>
      </c>
      <c r="T178" s="37">
        <f>IF($AG178="","",INDEX('04_調査結果'!$AR$5:$AR$404,$AG178))</f>
        <v/>
      </c>
      <c r="U178">
        <f>IF($AG178="","",INDEX('04_調査結果'!$N$5:$N$404,$AG178)&amp;"")</f>
        <v/>
      </c>
      <c r="V178">
        <f>IF($AG178="","",INDEX('04_調査結果'!$O$5:$O$404,$AG178))</f>
        <v/>
      </c>
      <c r="W178">
        <f>IF($AG178="","",INDEX('04_調査結果'!$P$5:$P$404,$AG178))</f>
        <v/>
      </c>
      <c r="X178">
        <f>IF($AG178="","",INDEX('04_調査結果'!$Q$5:$Q$404,$AG178))</f>
        <v/>
      </c>
      <c r="Y178">
        <f>IF($AG178="","",INDEX('04_調査結果'!$R$5:$R$404,$AG178))</f>
        <v/>
      </c>
      <c r="Z178">
        <f>IF($AG178="","",INDEX('04_調査結果'!$S$5:$S$404,$AG178))</f>
        <v/>
      </c>
      <c r="AA178">
        <f>IF($AG178="","",INDEX('04_調査結果'!$T$5:$T$404,$AG178))</f>
        <v/>
      </c>
      <c r="AB178">
        <f>IF($AG178="","",INDEX('04_調査結果'!$U$5:$U$404,$AG178))</f>
        <v/>
      </c>
      <c r="AC178">
        <f>IF($AG178="","",INDEX('04_調査結果'!$AF$5:$AF$404,$AG178))</f>
        <v/>
      </c>
      <c r="AD178">
        <f>IF($AG178="","",INDEX('04_調査結果'!$AC$5:$AC$404,$AG178)&amp;"")</f>
        <v/>
      </c>
      <c r="AE178">
        <f>IF($AG178="","",INDEX('04_調査結果'!$V$5:$V$404,$AG178)&amp;"")</f>
        <v/>
      </c>
      <c r="AF178">
        <f>IF($AG178="","",INDEX('04_調査結果'!$X$5:$X$404,$AG178)&amp;"")</f>
        <v/>
      </c>
      <c r="AG178" s="34">
        <f>IFERROR(MATCH(ROW()-4,'04_調査結果'!$AT$5:$AT$404,0),"")</f>
        <v/>
      </c>
    </row>
    <row r="179">
      <c r="A179">
        <f>IF($AG179="","",'01_設定'!$C$4)</f>
        <v/>
      </c>
      <c r="B179">
        <f>IF($AG179="","",'01_設定'!$C$5)</f>
        <v/>
      </c>
      <c r="C179">
        <f>IF($AG179="","",'01_設定'!$C$6)</f>
        <v/>
      </c>
      <c r="D179" s="36">
        <f>IF($AG179="","",'01_設定'!$C$22)</f>
        <v/>
      </c>
      <c r="E179" s="36">
        <f>IF($AG179="","",'01_設定'!$C$23)</f>
        <v/>
      </c>
      <c r="F179">
        <f>IF($AG179="","",'01_設定'!$C$32)</f>
        <v/>
      </c>
      <c r="G179">
        <f>IF($AG179="","",ROW()-4)</f>
        <v/>
      </c>
      <c r="H179">
        <f>IF($AG179="","",INDEX('04_調査結果'!$AJ$5:$AJ$404,$AG179))</f>
        <v/>
      </c>
      <c r="I179">
        <f>IF($AG179="","",INDEX('04_調査結果'!$D$5:$D$404,$AG179)&amp;"")</f>
        <v/>
      </c>
      <c r="J179">
        <f>IF($AG179="","",INDEX('04_調査結果'!$AK$5:$AK$404,$AG179)&amp;"")</f>
        <v/>
      </c>
      <c r="K179">
        <f>IF($AG179="","",IFERROR(INDEX('M1_類型マスタ'!$B$5:$B$19,MATCH(J179,'M1_類型マスタ'!$A$5:$A$19,0)),""))</f>
        <v/>
      </c>
      <c r="L179">
        <f>IF($AG179="","",INDEX('04_調査結果'!$F$5:$F$404,$AG179)&amp;"")</f>
        <v/>
      </c>
      <c r="M179">
        <f>IF($AG179="","",INDEX('04_調査結果'!$G$5:$G$404,$AG179)&amp;"")</f>
        <v/>
      </c>
      <c r="N179">
        <f>IF($AG179="","",INDEX('04_調査結果'!$H$5:$H$404,$AG179)&amp;"")</f>
        <v/>
      </c>
      <c r="O179" s="33">
        <f>IF($AG179="","",IF(INDEX('04_調査結果'!$Z$5:$Z$404,$AG179)&lt;&gt;"",INDEX('04_調査結果'!$Z$5:$Z$404,$AG179),INDEX('04_調査結果'!$AM$5:$AM$404,$AG179)))</f>
        <v/>
      </c>
      <c r="P179" s="33">
        <f>IF($AG179="","",IF(INDEX('04_調査結果'!$AA$5:$AA$404,$AG179)&lt;&gt;"",INDEX('04_調査結果'!$AA$5:$AA$404,$AG179),INDEX('04_調査結果'!$AN$5:$AN$404,$AG179)))</f>
        <v/>
      </c>
      <c r="Q179" s="33">
        <f>IF($AG179="","",INDEX('04_調査結果'!$AD$5:$AD$404,$AG179))</f>
        <v/>
      </c>
      <c r="R179">
        <f>IF($AG179="","",INDEX('04_調査結果'!$AO$5:$AO$404,$AG179))</f>
        <v/>
      </c>
      <c r="S179" s="37">
        <f>IF($AG179="","",INDEX('04_調査結果'!$AQ$5:$AQ$404,$AG179))</f>
        <v/>
      </c>
      <c r="T179" s="37">
        <f>IF($AG179="","",INDEX('04_調査結果'!$AR$5:$AR$404,$AG179))</f>
        <v/>
      </c>
      <c r="U179">
        <f>IF($AG179="","",INDEX('04_調査結果'!$N$5:$N$404,$AG179)&amp;"")</f>
        <v/>
      </c>
      <c r="V179">
        <f>IF($AG179="","",INDEX('04_調査結果'!$O$5:$O$404,$AG179))</f>
        <v/>
      </c>
      <c r="W179">
        <f>IF($AG179="","",INDEX('04_調査結果'!$P$5:$P$404,$AG179))</f>
        <v/>
      </c>
      <c r="X179">
        <f>IF($AG179="","",INDEX('04_調査結果'!$Q$5:$Q$404,$AG179))</f>
        <v/>
      </c>
      <c r="Y179">
        <f>IF($AG179="","",INDEX('04_調査結果'!$R$5:$R$404,$AG179))</f>
        <v/>
      </c>
      <c r="Z179">
        <f>IF($AG179="","",INDEX('04_調査結果'!$S$5:$S$404,$AG179))</f>
        <v/>
      </c>
      <c r="AA179">
        <f>IF($AG179="","",INDEX('04_調査結果'!$T$5:$T$404,$AG179))</f>
        <v/>
      </c>
      <c r="AB179">
        <f>IF($AG179="","",INDEX('04_調査結果'!$U$5:$U$404,$AG179))</f>
        <v/>
      </c>
      <c r="AC179">
        <f>IF($AG179="","",INDEX('04_調査結果'!$AF$5:$AF$404,$AG179))</f>
        <v/>
      </c>
      <c r="AD179">
        <f>IF($AG179="","",INDEX('04_調査結果'!$AC$5:$AC$404,$AG179)&amp;"")</f>
        <v/>
      </c>
      <c r="AE179">
        <f>IF($AG179="","",INDEX('04_調査結果'!$V$5:$V$404,$AG179)&amp;"")</f>
        <v/>
      </c>
      <c r="AF179">
        <f>IF($AG179="","",INDEX('04_調査結果'!$X$5:$X$404,$AG179)&amp;"")</f>
        <v/>
      </c>
      <c r="AG179" s="34">
        <f>IFERROR(MATCH(ROW()-4,'04_調査結果'!$AT$5:$AT$404,0),"")</f>
        <v/>
      </c>
    </row>
    <row r="180">
      <c r="A180">
        <f>IF($AG180="","",'01_設定'!$C$4)</f>
        <v/>
      </c>
      <c r="B180">
        <f>IF($AG180="","",'01_設定'!$C$5)</f>
        <v/>
      </c>
      <c r="C180">
        <f>IF($AG180="","",'01_設定'!$C$6)</f>
        <v/>
      </c>
      <c r="D180" s="36">
        <f>IF($AG180="","",'01_設定'!$C$22)</f>
        <v/>
      </c>
      <c r="E180" s="36">
        <f>IF($AG180="","",'01_設定'!$C$23)</f>
        <v/>
      </c>
      <c r="F180">
        <f>IF($AG180="","",'01_設定'!$C$32)</f>
        <v/>
      </c>
      <c r="G180">
        <f>IF($AG180="","",ROW()-4)</f>
        <v/>
      </c>
      <c r="H180">
        <f>IF($AG180="","",INDEX('04_調査結果'!$AJ$5:$AJ$404,$AG180))</f>
        <v/>
      </c>
      <c r="I180">
        <f>IF($AG180="","",INDEX('04_調査結果'!$D$5:$D$404,$AG180)&amp;"")</f>
        <v/>
      </c>
      <c r="J180">
        <f>IF($AG180="","",INDEX('04_調査結果'!$AK$5:$AK$404,$AG180)&amp;"")</f>
        <v/>
      </c>
      <c r="K180">
        <f>IF($AG180="","",IFERROR(INDEX('M1_類型マスタ'!$B$5:$B$19,MATCH(J180,'M1_類型マスタ'!$A$5:$A$19,0)),""))</f>
        <v/>
      </c>
      <c r="L180">
        <f>IF($AG180="","",INDEX('04_調査結果'!$F$5:$F$404,$AG180)&amp;"")</f>
        <v/>
      </c>
      <c r="M180">
        <f>IF($AG180="","",INDEX('04_調査結果'!$G$5:$G$404,$AG180)&amp;"")</f>
        <v/>
      </c>
      <c r="N180">
        <f>IF($AG180="","",INDEX('04_調査結果'!$H$5:$H$404,$AG180)&amp;"")</f>
        <v/>
      </c>
      <c r="O180" s="33">
        <f>IF($AG180="","",IF(INDEX('04_調査結果'!$Z$5:$Z$404,$AG180)&lt;&gt;"",INDEX('04_調査結果'!$Z$5:$Z$404,$AG180),INDEX('04_調査結果'!$AM$5:$AM$404,$AG180)))</f>
        <v/>
      </c>
      <c r="P180" s="33">
        <f>IF($AG180="","",IF(INDEX('04_調査結果'!$AA$5:$AA$404,$AG180)&lt;&gt;"",INDEX('04_調査結果'!$AA$5:$AA$404,$AG180),INDEX('04_調査結果'!$AN$5:$AN$404,$AG180)))</f>
        <v/>
      </c>
      <c r="Q180" s="33">
        <f>IF($AG180="","",INDEX('04_調査結果'!$AD$5:$AD$404,$AG180))</f>
        <v/>
      </c>
      <c r="R180">
        <f>IF($AG180="","",INDEX('04_調査結果'!$AO$5:$AO$404,$AG180))</f>
        <v/>
      </c>
      <c r="S180" s="37">
        <f>IF($AG180="","",INDEX('04_調査結果'!$AQ$5:$AQ$404,$AG180))</f>
        <v/>
      </c>
      <c r="T180" s="37">
        <f>IF($AG180="","",INDEX('04_調査結果'!$AR$5:$AR$404,$AG180))</f>
        <v/>
      </c>
      <c r="U180">
        <f>IF($AG180="","",INDEX('04_調査結果'!$N$5:$N$404,$AG180)&amp;"")</f>
        <v/>
      </c>
      <c r="V180">
        <f>IF($AG180="","",INDEX('04_調査結果'!$O$5:$O$404,$AG180))</f>
        <v/>
      </c>
      <c r="W180">
        <f>IF($AG180="","",INDEX('04_調査結果'!$P$5:$P$404,$AG180))</f>
        <v/>
      </c>
      <c r="X180">
        <f>IF($AG180="","",INDEX('04_調査結果'!$Q$5:$Q$404,$AG180))</f>
        <v/>
      </c>
      <c r="Y180">
        <f>IF($AG180="","",INDEX('04_調査結果'!$R$5:$R$404,$AG180))</f>
        <v/>
      </c>
      <c r="Z180">
        <f>IF($AG180="","",INDEX('04_調査結果'!$S$5:$S$404,$AG180))</f>
        <v/>
      </c>
      <c r="AA180">
        <f>IF($AG180="","",INDEX('04_調査結果'!$T$5:$T$404,$AG180))</f>
        <v/>
      </c>
      <c r="AB180">
        <f>IF($AG180="","",INDEX('04_調査結果'!$U$5:$U$404,$AG180))</f>
        <v/>
      </c>
      <c r="AC180">
        <f>IF($AG180="","",INDEX('04_調査結果'!$AF$5:$AF$404,$AG180))</f>
        <v/>
      </c>
      <c r="AD180">
        <f>IF($AG180="","",INDEX('04_調査結果'!$AC$5:$AC$404,$AG180)&amp;"")</f>
        <v/>
      </c>
      <c r="AE180">
        <f>IF($AG180="","",INDEX('04_調査結果'!$V$5:$V$404,$AG180)&amp;"")</f>
        <v/>
      </c>
      <c r="AF180">
        <f>IF($AG180="","",INDEX('04_調査結果'!$X$5:$X$404,$AG180)&amp;"")</f>
        <v/>
      </c>
      <c r="AG180" s="34">
        <f>IFERROR(MATCH(ROW()-4,'04_調査結果'!$AT$5:$AT$404,0),"")</f>
        <v/>
      </c>
    </row>
    <row r="181">
      <c r="A181">
        <f>IF($AG181="","",'01_設定'!$C$4)</f>
        <v/>
      </c>
      <c r="B181">
        <f>IF($AG181="","",'01_設定'!$C$5)</f>
        <v/>
      </c>
      <c r="C181">
        <f>IF($AG181="","",'01_設定'!$C$6)</f>
        <v/>
      </c>
      <c r="D181" s="36">
        <f>IF($AG181="","",'01_設定'!$C$22)</f>
        <v/>
      </c>
      <c r="E181" s="36">
        <f>IF($AG181="","",'01_設定'!$C$23)</f>
        <v/>
      </c>
      <c r="F181">
        <f>IF($AG181="","",'01_設定'!$C$32)</f>
        <v/>
      </c>
      <c r="G181">
        <f>IF($AG181="","",ROW()-4)</f>
        <v/>
      </c>
      <c r="H181">
        <f>IF($AG181="","",INDEX('04_調査結果'!$AJ$5:$AJ$404,$AG181))</f>
        <v/>
      </c>
      <c r="I181">
        <f>IF($AG181="","",INDEX('04_調査結果'!$D$5:$D$404,$AG181)&amp;"")</f>
        <v/>
      </c>
      <c r="J181">
        <f>IF($AG181="","",INDEX('04_調査結果'!$AK$5:$AK$404,$AG181)&amp;"")</f>
        <v/>
      </c>
      <c r="K181">
        <f>IF($AG181="","",IFERROR(INDEX('M1_類型マスタ'!$B$5:$B$19,MATCH(J181,'M1_類型マスタ'!$A$5:$A$19,0)),""))</f>
        <v/>
      </c>
      <c r="L181">
        <f>IF($AG181="","",INDEX('04_調査結果'!$F$5:$F$404,$AG181)&amp;"")</f>
        <v/>
      </c>
      <c r="M181">
        <f>IF($AG181="","",INDEX('04_調査結果'!$G$5:$G$404,$AG181)&amp;"")</f>
        <v/>
      </c>
      <c r="N181">
        <f>IF($AG181="","",INDEX('04_調査結果'!$H$5:$H$404,$AG181)&amp;"")</f>
        <v/>
      </c>
      <c r="O181" s="33">
        <f>IF($AG181="","",IF(INDEX('04_調査結果'!$Z$5:$Z$404,$AG181)&lt;&gt;"",INDEX('04_調査結果'!$Z$5:$Z$404,$AG181),INDEX('04_調査結果'!$AM$5:$AM$404,$AG181)))</f>
        <v/>
      </c>
      <c r="P181" s="33">
        <f>IF($AG181="","",IF(INDEX('04_調査結果'!$AA$5:$AA$404,$AG181)&lt;&gt;"",INDEX('04_調査結果'!$AA$5:$AA$404,$AG181),INDEX('04_調査結果'!$AN$5:$AN$404,$AG181)))</f>
        <v/>
      </c>
      <c r="Q181" s="33">
        <f>IF($AG181="","",INDEX('04_調査結果'!$AD$5:$AD$404,$AG181))</f>
        <v/>
      </c>
      <c r="R181">
        <f>IF($AG181="","",INDEX('04_調査結果'!$AO$5:$AO$404,$AG181))</f>
        <v/>
      </c>
      <c r="S181" s="37">
        <f>IF($AG181="","",INDEX('04_調査結果'!$AQ$5:$AQ$404,$AG181))</f>
        <v/>
      </c>
      <c r="T181" s="37">
        <f>IF($AG181="","",INDEX('04_調査結果'!$AR$5:$AR$404,$AG181))</f>
        <v/>
      </c>
      <c r="U181">
        <f>IF($AG181="","",INDEX('04_調査結果'!$N$5:$N$404,$AG181)&amp;"")</f>
        <v/>
      </c>
      <c r="V181">
        <f>IF($AG181="","",INDEX('04_調査結果'!$O$5:$O$404,$AG181))</f>
        <v/>
      </c>
      <c r="W181">
        <f>IF($AG181="","",INDEX('04_調査結果'!$P$5:$P$404,$AG181))</f>
        <v/>
      </c>
      <c r="X181">
        <f>IF($AG181="","",INDEX('04_調査結果'!$Q$5:$Q$404,$AG181))</f>
        <v/>
      </c>
      <c r="Y181">
        <f>IF($AG181="","",INDEX('04_調査結果'!$R$5:$R$404,$AG181))</f>
        <v/>
      </c>
      <c r="Z181">
        <f>IF($AG181="","",INDEX('04_調査結果'!$S$5:$S$404,$AG181))</f>
        <v/>
      </c>
      <c r="AA181">
        <f>IF($AG181="","",INDEX('04_調査結果'!$T$5:$T$404,$AG181))</f>
        <v/>
      </c>
      <c r="AB181">
        <f>IF($AG181="","",INDEX('04_調査結果'!$U$5:$U$404,$AG181))</f>
        <v/>
      </c>
      <c r="AC181">
        <f>IF($AG181="","",INDEX('04_調査結果'!$AF$5:$AF$404,$AG181))</f>
        <v/>
      </c>
      <c r="AD181">
        <f>IF($AG181="","",INDEX('04_調査結果'!$AC$5:$AC$404,$AG181)&amp;"")</f>
        <v/>
      </c>
      <c r="AE181">
        <f>IF($AG181="","",INDEX('04_調査結果'!$V$5:$V$404,$AG181)&amp;"")</f>
        <v/>
      </c>
      <c r="AF181">
        <f>IF($AG181="","",INDEX('04_調査結果'!$X$5:$X$404,$AG181)&amp;"")</f>
        <v/>
      </c>
      <c r="AG181" s="34">
        <f>IFERROR(MATCH(ROW()-4,'04_調査結果'!$AT$5:$AT$404,0),"")</f>
        <v/>
      </c>
    </row>
    <row r="182">
      <c r="A182">
        <f>IF($AG182="","",'01_設定'!$C$4)</f>
        <v/>
      </c>
      <c r="B182">
        <f>IF($AG182="","",'01_設定'!$C$5)</f>
        <v/>
      </c>
      <c r="C182">
        <f>IF($AG182="","",'01_設定'!$C$6)</f>
        <v/>
      </c>
      <c r="D182" s="36">
        <f>IF($AG182="","",'01_設定'!$C$22)</f>
        <v/>
      </c>
      <c r="E182" s="36">
        <f>IF($AG182="","",'01_設定'!$C$23)</f>
        <v/>
      </c>
      <c r="F182">
        <f>IF($AG182="","",'01_設定'!$C$32)</f>
        <v/>
      </c>
      <c r="G182">
        <f>IF($AG182="","",ROW()-4)</f>
        <v/>
      </c>
      <c r="H182">
        <f>IF($AG182="","",INDEX('04_調査結果'!$AJ$5:$AJ$404,$AG182))</f>
        <v/>
      </c>
      <c r="I182">
        <f>IF($AG182="","",INDEX('04_調査結果'!$D$5:$D$404,$AG182)&amp;"")</f>
        <v/>
      </c>
      <c r="J182">
        <f>IF($AG182="","",INDEX('04_調査結果'!$AK$5:$AK$404,$AG182)&amp;"")</f>
        <v/>
      </c>
      <c r="K182">
        <f>IF($AG182="","",IFERROR(INDEX('M1_類型マスタ'!$B$5:$B$19,MATCH(J182,'M1_類型マスタ'!$A$5:$A$19,0)),""))</f>
        <v/>
      </c>
      <c r="L182">
        <f>IF($AG182="","",INDEX('04_調査結果'!$F$5:$F$404,$AG182)&amp;"")</f>
        <v/>
      </c>
      <c r="M182">
        <f>IF($AG182="","",INDEX('04_調査結果'!$G$5:$G$404,$AG182)&amp;"")</f>
        <v/>
      </c>
      <c r="N182">
        <f>IF($AG182="","",INDEX('04_調査結果'!$H$5:$H$404,$AG182)&amp;"")</f>
        <v/>
      </c>
      <c r="O182" s="33">
        <f>IF($AG182="","",IF(INDEX('04_調査結果'!$Z$5:$Z$404,$AG182)&lt;&gt;"",INDEX('04_調査結果'!$Z$5:$Z$404,$AG182),INDEX('04_調査結果'!$AM$5:$AM$404,$AG182)))</f>
        <v/>
      </c>
      <c r="P182" s="33">
        <f>IF($AG182="","",IF(INDEX('04_調査結果'!$AA$5:$AA$404,$AG182)&lt;&gt;"",INDEX('04_調査結果'!$AA$5:$AA$404,$AG182),INDEX('04_調査結果'!$AN$5:$AN$404,$AG182)))</f>
        <v/>
      </c>
      <c r="Q182" s="33">
        <f>IF($AG182="","",INDEX('04_調査結果'!$AD$5:$AD$404,$AG182))</f>
        <v/>
      </c>
      <c r="R182">
        <f>IF($AG182="","",INDEX('04_調査結果'!$AO$5:$AO$404,$AG182))</f>
        <v/>
      </c>
      <c r="S182" s="37">
        <f>IF($AG182="","",INDEX('04_調査結果'!$AQ$5:$AQ$404,$AG182))</f>
        <v/>
      </c>
      <c r="T182" s="37">
        <f>IF($AG182="","",INDEX('04_調査結果'!$AR$5:$AR$404,$AG182))</f>
        <v/>
      </c>
      <c r="U182">
        <f>IF($AG182="","",INDEX('04_調査結果'!$N$5:$N$404,$AG182)&amp;"")</f>
        <v/>
      </c>
      <c r="V182">
        <f>IF($AG182="","",INDEX('04_調査結果'!$O$5:$O$404,$AG182))</f>
        <v/>
      </c>
      <c r="W182">
        <f>IF($AG182="","",INDEX('04_調査結果'!$P$5:$P$404,$AG182))</f>
        <v/>
      </c>
      <c r="X182">
        <f>IF($AG182="","",INDEX('04_調査結果'!$Q$5:$Q$404,$AG182))</f>
        <v/>
      </c>
      <c r="Y182">
        <f>IF($AG182="","",INDEX('04_調査結果'!$R$5:$R$404,$AG182))</f>
        <v/>
      </c>
      <c r="Z182">
        <f>IF($AG182="","",INDEX('04_調査結果'!$S$5:$S$404,$AG182))</f>
        <v/>
      </c>
      <c r="AA182">
        <f>IF($AG182="","",INDEX('04_調査結果'!$T$5:$T$404,$AG182))</f>
        <v/>
      </c>
      <c r="AB182">
        <f>IF($AG182="","",INDEX('04_調査結果'!$U$5:$U$404,$AG182))</f>
        <v/>
      </c>
      <c r="AC182">
        <f>IF($AG182="","",INDEX('04_調査結果'!$AF$5:$AF$404,$AG182))</f>
        <v/>
      </c>
      <c r="AD182">
        <f>IF($AG182="","",INDEX('04_調査結果'!$AC$5:$AC$404,$AG182)&amp;"")</f>
        <v/>
      </c>
      <c r="AE182">
        <f>IF($AG182="","",INDEX('04_調査結果'!$V$5:$V$404,$AG182)&amp;"")</f>
        <v/>
      </c>
      <c r="AF182">
        <f>IF($AG182="","",INDEX('04_調査結果'!$X$5:$X$404,$AG182)&amp;"")</f>
        <v/>
      </c>
      <c r="AG182" s="34">
        <f>IFERROR(MATCH(ROW()-4,'04_調査結果'!$AT$5:$AT$404,0),"")</f>
        <v/>
      </c>
    </row>
    <row r="183">
      <c r="A183">
        <f>IF($AG183="","",'01_設定'!$C$4)</f>
        <v/>
      </c>
      <c r="B183">
        <f>IF($AG183="","",'01_設定'!$C$5)</f>
        <v/>
      </c>
      <c r="C183">
        <f>IF($AG183="","",'01_設定'!$C$6)</f>
        <v/>
      </c>
      <c r="D183" s="36">
        <f>IF($AG183="","",'01_設定'!$C$22)</f>
        <v/>
      </c>
      <c r="E183" s="36">
        <f>IF($AG183="","",'01_設定'!$C$23)</f>
        <v/>
      </c>
      <c r="F183">
        <f>IF($AG183="","",'01_設定'!$C$32)</f>
        <v/>
      </c>
      <c r="G183">
        <f>IF($AG183="","",ROW()-4)</f>
        <v/>
      </c>
      <c r="H183">
        <f>IF($AG183="","",INDEX('04_調査結果'!$AJ$5:$AJ$404,$AG183))</f>
        <v/>
      </c>
      <c r="I183">
        <f>IF($AG183="","",INDEX('04_調査結果'!$D$5:$D$404,$AG183)&amp;"")</f>
        <v/>
      </c>
      <c r="J183">
        <f>IF($AG183="","",INDEX('04_調査結果'!$AK$5:$AK$404,$AG183)&amp;"")</f>
        <v/>
      </c>
      <c r="K183">
        <f>IF($AG183="","",IFERROR(INDEX('M1_類型マスタ'!$B$5:$B$19,MATCH(J183,'M1_類型マスタ'!$A$5:$A$19,0)),""))</f>
        <v/>
      </c>
      <c r="L183">
        <f>IF($AG183="","",INDEX('04_調査結果'!$F$5:$F$404,$AG183)&amp;"")</f>
        <v/>
      </c>
      <c r="M183">
        <f>IF($AG183="","",INDEX('04_調査結果'!$G$5:$G$404,$AG183)&amp;"")</f>
        <v/>
      </c>
      <c r="N183">
        <f>IF($AG183="","",INDEX('04_調査結果'!$H$5:$H$404,$AG183)&amp;"")</f>
        <v/>
      </c>
      <c r="O183" s="33">
        <f>IF($AG183="","",IF(INDEX('04_調査結果'!$Z$5:$Z$404,$AG183)&lt;&gt;"",INDEX('04_調査結果'!$Z$5:$Z$404,$AG183),INDEX('04_調査結果'!$AM$5:$AM$404,$AG183)))</f>
        <v/>
      </c>
      <c r="P183" s="33">
        <f>IF($AG183="","",IF(INDEX('04_調査結果'!$AA$5:$AA$404,$AG183)&lt;&gt;"",INDEX('04_調査結果'!$AA$5:$AA$404,$AG183),INDEX('04_調査結果'!$AN$5:$AN$404,$AG183)))</f>
        <v/>
      </c>
      <c r="Q183" s="33">
        <f>IF($AG183="","",INDEX('04_調査結果'!$AD$5:$AD$404,$AG183))</f>
        <v/>
      </c>
      <c r="R183">
        <f>IF($AG183="","",INDEX('04_調査結果'!$AO$5:$AO$404,$AG183))</f>
        <v/>
      </c>
      <c r="S183" s="37">
        <f>IF($AG183="","",INDEX('04_調査結果'!$AQ$5:$AQ$404,$AG183))</f>
        <v/>
      </c>
      <c r="T183" s="37">
        <f>IF($AG183="","",INDEX('04_調査結果'!$AR$5:$AR$404,$AG183))</f>
        <v/>
      </c>
      <c r="U183">
        <f>IF($AG183="","",INDEX('04_調査結果'!$N$5:$N$404,$AG183)&amp;"")</f>
        <v/>
      </c>
      <c r="V183">
        <f>IF($AG183="","",INDEX('04_調査結果'!$O$5:$O$404,$AG183))</f>
        <v/>
      </c>
      <c r="W183">
        <f>IF($AG183="","",INDEX('04_調査結果'!$P$5:$P$404,$AG183))</f>
        <v/>
      </c>
      <c r="X183">
        <f>IF($AG183="","",INDEX('04_調査結果'!$Q$5:$Q$404,$AG183))</f>
        <v/>
      </c>
      <c r="Y183">
        <f>IF($AG183="","",INDEX('04_調査結果'!$R$5:$R$404,$AG183))</f>
        <v/>
      </c>
      <c r="Z183">
        <f>IF($AG183="","",INDEX('04_調査結果'!$S$5:$S$404,$AG183))</f>
        <v/>
      </c>
      <c r="AA183">
        <f>IF($AG183="","",INDEX('04_調査結果'!$T$5:$T$404,$AG183))</f>
        <v/>
      </c>
      <c r="AB183">
        <f>IF($AG183="","",INDEX('04_調査結果'!$U$5:$U$404,$AG183))</f>
        <v/>
      </c>
      <c r="AC183">
        <f>IF($AG183="","",INDEX('04_調査結果'!$AF$5:$AF$404,$AG183))</f>
        <v/>
      </c>
      <c r="AD183">
        <f>IF($AG183="","",INDEX('04_調査結果'!$AC$5:$AC$404,$AG183)&amp;"")</f>
        <v/>
      </c>
      <c r="AE183">
        <f>IF($AG183="","",INDEX('04_調査結果'!$V$5:$V$404,$AG183)&amp;"")</f>
        <v/>
      </c>
      <c r="AF183">
        <f>IF($AG183="","",INDEX('04_調査結果'!$X$5:$X$404,$AG183)&amp;"")</f>
        <v/>
      </c>
      <c r="AG183" s="34">
        <f>IFERROR(MATCH(ROW()-4,'04_調査結果'!$AT$5:$AT$404,0),"")</f>
        <v/>
      </c>
    </row>
    <row r="184">
      <c r="A184">
        <f>IF($AG184="","",'01_設定'!$C$4)</f>
        <v/>
      </c>
      <c r="B184">
        <f>IF($AG184="","",'01_設定'!$C$5)</f>
        <v/>
      </c>
      <c r="C184">
        <f>IF($AG184="","",'01_設定'!$C$6)</f>
        <v/>
      </c>
      <c r="D184" s="36">
        <f>IF($AG184="","",'01_設定'!$C$22)</f>
        <v/>
      </c>
      <c r="E184" s="36">
        <f>IF($AG184="","",'01_設定'!$C$23)</f>
        <v/>
      </c>
      <c r="F184">
        <f>IF($AG184="","",'01_設定'!$C$32)</f>
        <v/>
      </c>
      <c r="G184">
        <f>IF($AG184="","",ROW()-4)</f>
        <v/>
      </c>
      <c r="H184">
        <f>IF($AG184="","",INDEX('04_調査結果'!$AJ$5:$AJ$404,$AG184))</f>
        <v/>
      </c>
      <c r="I184">
        <f>IF($AG184="","",INDEX('04_調査結果'!$D$5:$D$404,$AG184)&amp;"")</f>
        <v/>
      </c>
      <c r="J184">
        <f>IF($AG184="","",INDEX('04_調査結果'!$AK$5:$AK$404,$AG184)&amp;"")</f>
        <v/>
      </c>
      <c r="K184">
        <f>IF($AG184="","",IFERROR(INDEX('M1_類型マスタ'!$B$5:$B$19,MATCH(J184,'M1_類型マスタ'!$A$5:$A$19,0)),""))</f>
        <v/>
      </c>
      <c r="L184">
        <f>IF($AG184="","",INDEX('04_調査結果'!$F$5:$F$404,$AG184)&amp;"")</f>
        <v/>
      </c>
      <c r="M184">
        <f>IF($AG184="","",INDEX('04_調査結果'!$G$5:$G$404,$AG184)&amp;"")</f>
        <v/>
      </c>
      <c r="N184">
        <f>IF($AG184="","",INDEX('04_調査結果'!$H$5:$H$404,$AG184)&amp;"")</f>
        <v/>
      </c>
      <c r="O184" s="33">
        <f>IF($AG184="","",IF(INDEX('04_調査結果'!$Z$5:$Z$404,$AG184)&lt;&gt;"",INDEX('04_調査結果'!$Z$5:$Z$404,$AG184),INDEX('04_調査結果'!$AM$5:$AM$404,$AG184)))</f>
        <v/>
      </c>
      <c r="P184" s="33">
        <f>IF($AG184="","",IF(INDEX('04_調査結果'!$AA$5:$AA$404,$AG184)&lt;&gt;"",INDEX('04_調査結果'!$AA$5:$AA$404,$AG184),INDEX('04_調査結果'!$AN$5:$AN$404,$AG184)))</f>
        <v/>
      </c>
      <c r="Q184" s="33">
        <f>IF($AG184="","",INDEX('04_調査結果'!$AD$5:$AD$404,$AG184))</f>
        <v/>
      </c>
      <c r="R184">
        <f>IF($AG184="","",INDEX('04_調査結果'!$AO$5:$AO$404,$AG184))</f>
        <v/>
      </c>
      <c r="S184" s="37">
        <f>IF($AG184="","",INDEX('04_調査結果'!$AQ$5:$AQ$404,$AG184))</f>
        <v/>
      </c>
      <c r="T184" s="37">
        <f>IF($AG184="","",INDEX('04_調査結果'!$AR$5:$AR$404,$AG184))</f>
        <v/>
      </c>
      <c r="U184">
        <f>IF($AG184="","",INDEX('04_調査結果'!$N$5:$N$404,$AG184)&amp;"")</f>
        <v/>
      </c>
      <c r="V184">
        <f>IF($AG184="","",INDEX('04_調査結果'!$O$5:$O$404,$AG184))</f>
        <v/>
      </c>
      <c r="W184">
        <f>IF($AG184="","",INDEX('04_調査結果'!$P$5:$P$404,$AG184))</f>
        <v/>
      </c>
      <c r="X184">
        <f>IF($AG184="","",INDEX('04_調査結果'!$Q$5:$Q$404,$AG184))</f>
        <v/>
      </c>
      <c r="Y184">
        <f>IF($AG184="","",INDEX('04_調査結果'!$R$5:$R$404,$AG184))</f>
        <v/>
      </c>
      <c r="Z184">
        <f>IF($AG184="","",INDEX('04_調査結果'!$S$5:$S$404,$AG184))</f>
        <v/>
      </c>
      <c r="AA184">
        <f>IF($AG184="","",INDEX('04_調査結果'!$T$5:$T$404,$AG184))</f>
        <v/>
      </c>
      <c r="AB184">
        <f>IF($AG184="","",INDEX('04_調査結果'!$U$5:$U$404,$AG184))</f>
        <v/>
      </c>
      <c r="AC184">
        <f>IF($AG184="","",INDEX('04_調査結果'!$AF$5:$AF$404,$AG184))</f>
        <v/>
      </c>
      <c r="AD184">
        <f>IF($AG184="","",INDEX('04_調査結果'!$AC$5:$AC$404,$AG184)&amp;"")</f>
        <v/>
      </c>
      <c r="AE184">
        <f>IF($AG184="","",INDEX('04_調査結果'!$V$5:$V$404,$AG184)&amp;"")</f>
        <v/>
      </c>
      <c r="AF184">
        <f>IF($AG184="","",INDEX('04_調査結果'!$X$5:$X$404,$AG184)&amp;"")</f>
        <v/>
      </c>
      <c r="AG184" s="34">
        <f>IFERROR(MATCH(ROW()-4,'04_調査結果'!$AT$5:$AT$404,0),"")</f>
        <v/>
      </c>
    </row>
    <row r="185">
      <c r="A185">
        <f>IF($AG185="","",'01_設定'!$C$4)</f>
        <v/>
      </c>
      <c r="B185">
        <f>IF($AG185="","",'01_設定'!$C$5)</f>
        <v/>
      </c>
      <c r="C185">
        <f>IF($AG185="","",'01_設定'!$C$6)</f>
        <v/>
      </c>
      <c r="D185" s="36">
        <f>IF($AG185="","",'01_設定'!$C$22)</f>
        <v/>
      </c>
      <c r="E185" s="36">
        <f>IF($AG185="","",'01_設定'!$C$23)</f>
        <v/>
      </c>
      <c r="F185">
        <f>IF($AG185="","",'01_設定'!$C$32)</f>
        <v/>
      </c>
      <c r="G185">
        <f>IF($AG185="","",ROW()-4)</f>
        <v/>
      </c>
      <c r="H185">
        <f>IF($AG185="","",INDEX('04_調査結果'!$AJ$5:$AJ$404,$AG185))</f>
        <v/>
      </c>
      <c r="I185">
        <f>IF($AG185="","",INDEX('04_調査結果'!$D$5:$D$404,$AG185)&amp;"")</f>
        <v/>
      </c>
      <c r="J185">
        <f>IF($AG185="","",INDEX('04_調査結果'!$AK$5:$AK$404,$AG185)&amp;"")</f>
        <v/>
      </c>
      <c r="K185">
        <f>IF($AG185="","",IFERROR(INDEX('M1_類型マスタ'!$B$5:$B$19,MATCH(J185,'M1_類型マスタ'!$A$5:$A$19,0)),""))</f>
        <v/>
      </c>
      <c r="L185">
        <f>IF($AG185="","",INDEX('04_調査結果'!$F$5:$F$404,$AG185)&amp;"")</f>
        <v/>
      </c>
      <c r="M185">
        <f>IF($AG185="","",INDEX('04_調査結果'!$G$5:$G$404,$AG185)&amp;"")</f>
        <v/>
      </c>
      <c r="N185">
        <f>IF($AG185="","",INDEX('04_調査結果'!$H$5:$H$404,$AG185)&amp;"")</f>
        <v/>
      </c>
      <c r="O185" s="33">
        <f>IF($AG185="","",IF(INDEX('04_調査結果'!$Z$5:$Z$404,$AG185)&lt;&gt;"",INDEX('04_調査結果'!$Z$5:$Z$404,$AG185),INDEX('04_調査結果'!$AM$5:$AM$404,$AG185)))</f>
        <v/>
      </c>
      <c r="P185" s="33">
        <f>IF($AG185="","",IF(INDEX('04_調査結果'!$AA$5:$AA$404,$AG185)&lt;&gt;"",INDEX('04_調査結果'!$AA$5:$AA$404,$AG185),INDEX('04_調査結果'!$AN$5:$AN$404,$AG185)))</f>
        <v/>
      </c>
      <c r="Q185" s="33">
        <f>IF($AG185="","",INDEX('04_調査結果'!$AD$5:$AD$404,$AG185))</f>
        <v/>
      </c>
      <c r="R185">
        <f>IF($AG185="","",INDEX('04_調査結果'!$AO$5:$AO$404,$AG185))</f>
        <v/>
      </c>
      <c r="S185" s="37">
        <f>IF($AG185="","",INDEX('04_調査結果'!$AQ$5:$AQ$404,$AG185))</f>
        <v/>
      </c>
      <c r="T185" s="37">
        <f>IF($AG185="","",INDEX('04_調査結果'!$AR$5:$AR$404,$AG185))</f>
        <v/>
      </c>
      <c r="U185">
        <f>IF($AG185="","",INDEX('04_調査結果'!$N$5:$N$404,$AG185)&amp;"")</f>
        <v/>
      </c>
      <c r="V185">
        <f>IF($AG185="","",INDEX('04_調査結果'!$O$5:$O$404,$AG185))</f>
        <v/>
      </c>
      <c r="W185">
        <f>IF($AG185="","",INDEX('04_調査結果'!$P$5:$P$404,$AG185))</f>
        <v/>
      </c>
      <c r="X185">
        <f>IF($AG185="","",INDEX('04_調査結果'!$Q$5:$Q$404,$AG185))</f>
        <v/>
      </c>
      <c r="Y185">
        <f>IF($AG185="","",INDEX('04_調査結果'!$R$5:$R$404,$AG185))</f>
        <v/>
      </c>
      <c r="Z185">
        <f>IF($AG185="","",INDEX('04_調査結果'!$S$5:$S$404,$AG185))</f>
        <v/>
      </c>
      <c r="AA185">
        <f>IF($AG185="","",INDEX('04_調査結果'!$T$5:$T$404,$AG185))</f>
        <v/>
      </c>
      <c r="AB185">
        <f>IF($AG185="","",INDEX('04_調査結果'!$U$5:$U$404,$AG185))</f>
        <v/>
      </c>
      <c r="AC185">
        <f>IF($AG185="","",INDEX('04_調査結果'!$AF$5:$AF$404,$AG185))</f>
        <v/>
      </c>
      <c r="AD185">
        <f>IF($AG185="","",INDEX('04_調査結果'!$AC$5:$AC$404,$AG185)&amp;"")</f>
        <v/>
      </c>
      <c r="AE185">
        <f>IF($AG185="","",INDEX('04_調査結果'!$V$5:$V$404,$AG185)&amp;"")</f>
        <v/>
      </c>
      <c r="AF185">
        <f>IF($AG185="","",INDEX('04_調査結果'!$X$5:$X$404,$AG185)&amp;"")</f>
        <v/>
      </c>
      <c r="AG185" s="34">
        <f>IFERROR(MATCH(ROW()-4,'04_調査結果'!$AT$5:$AT$404,0),"")</f>
        <v/>
      </c>
    </row>
    <row r="186">
      <c r="A186">
        <f>IF($AG186="","",'01_設定'!$C$4)</f>
        <v/>
      </c>
      <c r="B186">
        <f>IF($AG186="","",'01_設定'!$C$5)</f>
        <v/>
      </c>
      <c r="C186">
        <f>IF($AG186="","",'01_設定'!$C$6)</f>
        <v/>
      </c>
      <c r="D186" s="36">
        <f>IF($AG186="","",'01_設定'!$C$22)</f>
        <v/>
      </c>
      <c r="E186" s="36">
        <f>IF($AG186="","",'01_設定'!$C$23)</f>
        <v/>
      </c>
      <c r="F186">
        <f>IF($AG186="","",'01_設定'!$C$32)</f>
        <v/>
      </c>
      <c r="G186">
        <f>IF($AG186="","",ROW()-4)</f>
        <v/>
      </c>
      <c r="H186">
        <f>IF($AG186="","",INDEX('04_調査結果'!$AJ$5:$AJ$404,$AG186))</f>
        <v/>
      </c>
      <c r="I186">
        <f>IF($AG186="","",INDEX('04_調査結果'!$D$5:$D$404,$AG186)&amp;"")</f>
        <v/>
      </c>
      <c r="J186">
        <f>IF($AG186="","",INDEX('04_調査結果'!$AK$5:$AK$404,$AG186)&amp;"")</f>
        <v/>
      </c>
      <c r="K186">
        <f>IF($AG186="","",IFERROR(INDEX('M1_類型マスタ'!$B$5:$B$19,MATCH(J186,'M1_類型マスタ'!$A$5:$A$19,0)),""))</f>
        <v/>
      </c>
      <c r="L186">
        <f>IF($AG186="","",INDEX('04_調査結果'!$F$5:$F$404,$AG186)&amp;"")</f>
        <v/>
      </c>
      <c r="M186">
        <f>IF($AG186="","",INDEX('04_調査結果'!$G$5:$G$404,$AG186)&amp;"")</f>
        <v/>
      </c>
      <c r="N186">
        <f>IF($AG186="","",INDEX('04_調査結果'!$H$5:$H$404,$AG186)&amp;"")</f>
        <v/>
      </c>
      <c r="O186" s="33">
        <f>IF($AG186="","",IF(INDEX('04_調査結果'!$Z$5:$Z$404,$AG186)&lt;&gt;"",INDEX('04_調査結果'!$Z$5:$Z$404,$AG186),INDEX('04_調査結果'!$AM$5:$AM$404,$AG186)))</f>
        <v/>
      </c>
      <c r="P186" s="33">
        <f>IF($AG186="","",IF(INDEX('04_調査結果'!$AA$5:$AA$404,$AG186)&lt;&gt;"",INDEX('04_調査結果'!$AA$5:$AA$404,$AG186),INDEX('04_調査結果'!$AN$5:$AN$404,$AG186)))</f>
        <v/>
      </c>
      <c r="Q186" s="33">
        <f>IF($AG186="","",INDEX('04_調査結果'!$AD$5:$AD$404,$AG186))</f>
        <v/>
      </c>
      <c r="R186">
        <f>IF($AG186="","",INDEX('04_調査結果'!$AO$5:$AO$404,$AG186))</f>
        <v/>
      </c>
      <c r="S186" s="37">
        <f>IF($AG186="","",INDEX('04_調査結果'!$AQ$5:$AQ$404,$AG186))</f>
        <v/>
      </c>
      <c r="T186" s="37">
        <f>IF($AG186="","",INDEX('04_調査結果'!$AR$5:$AR$404,$AG186))</f>
        <v/>
      </c>
      <c r="U186">
        <f>IF($AG186="","",INDEX('04_調査結果'!$N$5:$N$404,$AG186)&amp;"")</f>
        <v/>
      </c>
      <c r="V186">
        <f>IF($AG186="","",INDEX('04_調査結果'!$O$5:$O$404,$AG186))</f>
        <v/>
      </c>
      <c r="W186">
        <f>IF($AG186="","",INDEX('04_調査結果'!$P$5:$P$404,$AG186))</f>
        <v/>
      </c>
      <c r="X186">
        <f>IF($AG186="","",INDEX('04_調査結果'!$Q$5:$Q$404,$AG186))</f>
        <v/>
      </c>
      <c r="Y186">
        <f>IF($AG186="","",INDEX('04_調査結果'!$R$5:$R$404,$AG186))</f>
        <v/>
      </c>
      <c r="Z186">
        <f>IF($AG186="","",INDEX('04_調査結果'!$S$5:$S$404,$AG186))</f>
        <v/>
      </c>
      <c r="AA186">
        <f>IF($AG186="","",INDEX('04_調査結果'!$T$5:$T$404,$AG186))</f>
        <v/>
      </c>
      <c r="AB186">
        <f>IF($AG186="","",INDEX('04_調査結果'!$U$5:$U$404,$AG186))</f>
        <v/>
      </c>
      <c r="AC186">
        <f>IF($AG186="","",INDEX('04_調査結果'!$AF$5:$AF$404,$AG186))</f>
        <v/>
      </c>
      <c r="AD186">
        <f>IF($AG186="","",INDEX('04_調査結果'!$AC$5:$AC$404,$AG186)&amp;"")</f>
        <v/>
      </c>
      <c r="AE186">
        <f>IF($AG186="","",INDEX('04_調査結果'!$V$5:$V$404,$AG186)&amp;"")</f>
        <v/>
      </c>
      <c r="AF186">
        <f>IF($AG186="","",INDEX('04_調査結果'!$X$5:$X$404,$AG186)&amp;"")</f>
        <v/>
      </c>
      <c r="AG186" s="34">
        <f>IFERROR(MATCH(ROW()-4,'04_調査結果'!$AT$5:$AT$404,0),"")</f>
        <v/>
      </c>
    </row>
    <row r="187">
      <c r="A187">
        <f>IF($AG187="","",'01_設定'!$C$4)</f>
        <v/>
      </c>
      <c r="B187">
        <f>IF($AG187="","",'01_設定'!$C$5)</f>
        <v/>
      </c>
      <c r="C187">
        <f>IF($AG187="","",'01_設定'!$C$6)</f>
        <v/>
      </c>
      <c r="D187" s="36">
        <f>IF($AG187="","",'01_設定'!$C$22)</f>
        <v/>
      </c>
      <c r="E187" s="36">
        <f>IF($AG187="","",'01_設定'!$C$23)</f>
        <v/>
      </c>
      <c r="F187">
        <f>IF($AG187="","",'01_設定'!$C$32)</f>
        <v/>
      </c>
      <c r="G187">
        <f>IF($AG187="","",ROW()-4)</f>
        <v/>
      </c>
      <c r="H187">
        <f>IF($AG187="","",INDEX('04_調査結果'!$AJ$5:$AJ$404,$AG187))</f>
        <v/>
      </c>
      <c r="I187">
        <f>IF($AG187="","",INDEX('04_調査結果'!$D$5:$D$404,$AG187)&amp;"")</f>
        <v/>
      </c>
      <c r="J187">
        <f>IF($AG187="","",INDEX('04_調査結果'!$AK$5:$AK$404,$AG187)&amp;"")</f>
        <v/>
      </c>
      <c r="K187">
        <f>IF($AG187="","",IFERROR(INDEX('M1_類型マスタ'!$B$5:$B$19,MATCH(J187,'M1_類型マスタ'!$A$5:$A$19,0)),""))</f>
        <v/>
      </c>
      <c r="L187">
        <f>IF($AG187="","",INDEX('04_調査結果'!$F$5:$F$404,$AG187)&amp;"")</f>
        <v/>
      </c>
      <c r="M187">
        <f>IF($AG187="","",INDEX('04_調査結果'!$G$5:$G$404,$AG187)&amp;"")</f>
        <v/>
      </c>
      <c r="N187">
        <f>IF($AG187="","",INDEX('04_調査結果'!$H$5:$H$404,$AG187)&amp;"")</f>
        <v/>
      </c>
      <c r="O187" s="33">
        <f>IF($AG187="","",IF(INDEX('04_調査結果'!$Z$5:$Z$404,$AG187)&lt;&gt;"",INDEX('04_調査結果'!$Z$5:$Z$404,$AG187),INDEX('04_調査結果'!$AM$5:$AM$404,$AG187)))</f>
        <v/>
      </c>
      <c r="P187" s="33">
        <f>IF($AG187="","",IF(INDEX('04_調査結果'!$AA$5:$AA$404,$AG187)&lt;&gt;"",INDEX('04_調査結果'!$AA$5:$AA$404,$AG187),INDEX('04_調査結果'!$AN$5:$AN$404,$AG187)))</f>
        <v/>
      </c>
      <c r="Q187" s="33">
        <f>IF($AG187="","",INDEX('04_調査結果'!$AD$5:$AD$404,$AG187))</f>
        <v/>
      </c>
      <c r="R187">
        <f>IF($AG187="","",INDEX('04_調査結果'!$AO$5:$AO$404,$AG187))</f>
        <v/>
      </c>
      <c r="S187" s="37">
        <f>IF($AG187="","",INDEX('04_調査結果'!$AQ$5:$AQ$404,$AG187))</f>
        <v/>
      </c>
      <c r="T187" s="37">
        <f>IF($AG187="","",INDEX('04_調査結果'!$AR$5:$AR$404,$AG187))</f>
        <v/>
      </c>
      <c r="U187">
        <f>IF($AG187="","",INDEX('04_調査結果'!$N$5:$N$404,$AG187)&amp;"")</f>
        <v/>
      </c>
      <c r="V187">
        <f>IF($AG187="","",INDEX('04_調査結果'!$O$5:$O$404,$AG187))</f>
        <v/>
      </c>
      <c r="W187">
        <f>IF($AG187="","",INDEX('04_調査結果'!$P$5:$P$404,$AG187))</f>
        <v/>
      </c>
      <c r="X187">
        <f>IF($AG187="","",INDEX('04_調査結果'!$Q$5:$Q$404,$AG187))</f>
        <v/>
      </c>
      <c r="Y187">
        <f>IF($AG187="","",INDEX('04_調査結果'!$R$5:$R$404,$AG187))</f>
        <v/>
      </c>
      <c r="Z187">
        <f>IF($AG187="","",INDEX('04_調査結果'!$S$5:$S$404,$AG187))</f>
        <v/>
      </c>
      <c r="AA187">
        <f>IF($AG187="","",INDEX('04_調査結果'!$T$5:$T$404,$AG187))</f>
        <v/>
      </c>
      <c r="AB187">
        <f>IF($AG187="","",INDEX('04_調査結果'!$U$5:$U$404,$AG187))</f>
        <v/>
      </c>
      <c r="AC187">
        <f>IF($AG187="","",INDEX('04_調査結果'!$AF$5:$AF$404,$AG187))</f>
        <v/>
      </c>
      <c r="AD187">
        <f>IF($AG187="","",INDEX('04_調査結果'!$AC$5:$AC$404,$AG187)&amp;"")</f>
        <v/>
      </c>
      <c r="AE187">
        <f>IF($AG187="","",INDEX('04_調査結果'!$V$5:$V$404,$AG187)&amp;"")</f>
        <v/>
      </c>
      <c r="AF187">
        <f>IF($AG187="","",INDEX('04_調査結果'!$X$5:$X$404,$AG187)&amp;"")</f>
        <v/>
      </c>
      <c r="AG187" s="34">
        <f>IFERROR(MATCH(ROW()-4,'04_調査結果'!$AT$5:$AT$404,0),"")</f>
        <v/>
      </c>
    </row>
    <row r="188">
      <c r="A188">
        <f>IF($AG188="","",'01_設定'!$C$4)</f>
        <v/>
      </c>
      <c r="B188">
        <f>IF($AG188="","",'01_設定'!$C$5)</f>
        <v/>
      </c>
      <c r="C188">
        <f>IF($AG188="","",'01_設定'!$C$6)</f>
        <v/>
      </c>
      <c r="D188" s="36">
        <f>IF($AG188="","",'01_設定'!$C$22)</f>
        <v/>
      </c>
      <c r="E188" s="36">
        <f>IF($AG188="","",'01_設定'!$C$23)</f>
        <v/>
      </c>
      <c r="F188">
        <f>IF($AG188="","",'01_設定'!$C$32)</f>
        <v/>
      </c>
      <c r="G188">
        <f>IF($AG188="","",ROW()-4)</f>
        <v/>
      </c>
      <c r="H188">
        <f>IF($AG188="","",INDEX('04_調査結果'!$AJ$5:$AJ$404,$AG188))</f>
        <v/>
      </c>
      <c r="I188">
        <f>IF($AG188="","",INDEX('04_調査結果'!$D$5:$D$404,$AG188)&amp;"")</f>
        <v/>
      </c>
      <c r="J188">
        <f>IF($AG188="","",INDEX('04_調査結果'!$AK$5:$AK$404,$AG188)&amp;"")</f>
        <v/>
      </c>
      <c r="K188">
        <f>IF($AG188="","",IFERROR(INDEX('M1_類型マスタ'!$B$5:$B$19,MATCH(J188,'M1_類型マスタ'!$A$5:$A$19,0)),""))</f>
        <v/>
      </c>
      <c r="L188">
        <f>IF($AG188="","",INDEX('04_調査結果'!$F$5:$F$404,$AG188)&amp;"")</f>
        <v/>
      </c>
      <c r="M188">
        <f>IF($AG188="","",INDEX('04_調査結果'!$G$5:$G$404,$AG188)&amp;"")</f>
        <v/>
      </c>
      <c r="N188">
        <f>IF($AG188="","",INDEX('04_調査結果'!$H$5:$H$404,$AG188)&amp;"")</f>
        <v/>
      </c>
      <c r="O188" s="33">
        <f>IF($AG188="","",IF(INDEX('04_調査結果'!$Z$5:$Z$404,$AG188)&lt;&gt;"",INDEX('04_調査結果'!$Z$5:$Z$404,$AG188),INDEX('04_調査結果'!$AM$5:$AM$404,$AG188)))</f>
        <v/>
      </c>
      <c r="P188" s="33">
        <f>IF($AG188="","",IF(INDEX('04_調査結果'!$AA$5:$AA$404,$AG188)&lt;&gt;"",INDEX('04_調査結果'!$AA$5:$AA$404,$AG188),INDEX('04_調査結果'!$AN$5:$AN$404,$AG188)))</f>
        <v/>
      </c>
      <c r="Q188" s="33">
        <f>IF($AG188="","",INDEX('04_調査結果'!$AD$5:$AD$404,$AG188))</f>
        <v/>
      </c>
      <c r="R188">
        <f>IF($AG188="","",INDEX('04_調査結果'!$AO$5:$AO$404,$AG188))</f>
        <v/>
      </c>
      <c r="S188" s="37">
        <f>IF($AG188="","",INDEX('04_調査結果'!$AQ$5:$AQ$404,$AG188))</f>
        <v/>
      </c>
      <c r="T188" s="37">
        <f>IF($AG188="","",INDEX('04_調査結果'!$AR$5:$AR$404,$AG188))</f>
        <v/>
      </c>
      <c r="U188">
        <f>IF($AG188="","",INDEX('04_調査結果'!$N$5:$N$404,$AG188)&amp;"")</f>
        <v/>
      </c>
      <c r="V188">
        <f>IF($AG188="","",INDEX('04_調査結果'!$O$5:$O$404,$AG188))</f>
        <v/>
      </c>
      <c r="W188">
        <f>IF($AG188="","",INDEX('04_調査結果'!$P$5:$P$404,$AG188))</f>
        <v/>
      </c>
      <c r="X188">
        <f>IF($AG188="","",INDEX('04_調査結果'!$Q$5:$Q$404,$AG188))</f>
        <v/>
      </c>
      <c r="Y188">
        <f>IF($AG188="","",INDEX('04_調査結果'!$R$5:$R$404,$AG188))</f>
        <v/>
      </c>
      <c r="Z188">
        <f>IF($AG188="","",INDEX('04_調査結果'!$S$5:$S$404,$AG188))</f>
        <v/>
      </c>
      <c r="AA188">
        <f>IF($AG188="","",INDEX('04_調査結果'!$T$5:$T$404,$AG188))</f>
        <v/>
      </c>
      <c r="AB188">
        <f>IF($AG188="","",INDEX('04_調査結果'!$U$5:$U$404,$AG188))</f>
        <v/>
      </c>
      <c r="AC188">
        <f>IF($AG188="","",INDEX('04_調査結果'!$AF$5:$AF$404,$AG188))</f>
        <v/>
      </c>
      <c r="AD188">
        <f>IF($AG188="","",INDEX('04_調査結果'!$AC$5:$AC$404,$AG188)&amp;"")</f>
        <v/>
      </c>
      <c r="AE188">
        <f>IF($AG188="","",INDEX('04_調査結果'!$V$5:$V$404,$AG188)&amp;"")</f>
        <v/>
      </c>
      <c r="AF188">
        <f>IF($AG188="","",INDEX('04_調査結果'!$X$5:$X$404,$AG188)&amp;"")</f>
        <v/>
      </c>
      <c r="AG188" s="34">
        <f>IFERROR(MATCH(ROW()-4,'04_調査結果'!$AT$5:$AT$404,0),"")</f>
        <v/>
      </c>
    </row>
    <row r="189">
      <c r="A189">
        <f>IF($AG189="","",'01_設定'!$C$4)</f>
        <v/>
      </c>
      <c r="B189">
        <f>IF($AG189="","",'01_設定'!$C$5)</f>
        <v/>
      </c>
      <c r="C189">
        <f>IF($AG189="","",'01_設定'!$C$6)</f>
        <v/>
      </c>
      <c r="D189" s="36">
        <f>IF($AG189="","",'01_設定'!$C$22)</f>
        <v/>
      </c>
      <c r="E189" s="36">
        <f>IF($AG189="","",'01_設定'!$C$23)</f>
        <v/>
      </c>
      <c r="F189">
        <f>IF($AG189="","",'01_設定'!$C$32)</f>
        <v/>
      </c>
      <c r="G189">
        <f>IF($AG189="","",ROW()-4)</f>
        <v/>
      </c>
      <c r="H189">
        <f>IF($AG189="","",INDEX('04_調査結果'!$AJ$5:$AJ$404,$AG189))</f>
        <v/>
      </c>
      <c r="I189">
        <f>IF($AG189="","",INDEX('04_調査結果'!$D$5:$D$404,$AG189)&amp;"")</f>
        <v/>
      </c>
      <c r="J189">
        <f>IF($AG189="","",INDEX('04_調査結果'!$AK$5:$AK$404,$AG189)&amp;"")</f>
        <v/>
      </c>
      <c r="K189">
        <f>IF($AG189="","",IFERROR(INDEX('M1_類型マスタ'!$B$5:$B$19,MATCH(J189,'M1_類型マスタ'!$A$5:$A$19,0)),""))</f>
        <v/>
      </c>
      <c r="L189">
        <f>IF($AG189="","",INDEX('04_調査結果'!$F$5:$F$404,$AG189)&amp;"")</f>
        <v/>
      </c>
      <c r="M189">
        <f>IF($AG189="","",INDEX('04_調査結果'!$G$5:$G$404,$AG189)&amp;"")</f>
        <v/>
      </c>
      <c r="N189">
        <f>IF($AG189="","",INDEX('04_調査結果'!$H$5:$H$404,$AG189)&amp;"")</f>
        <v/>
      </c>
      <c r="O189" s="33">
        <f>IF($AG189="","",IF(INDEX('04_調査結果'!$Z$5:$Z$404,$AG189)&lt;&gt;"",INDEX('04_調査結果'!$Z$5:$Z$404,$AG189),INDEX('04_調査結果'!$AM$5:$AM$404,$AG189)))</f>
        <v/>
      </c>
      <c r="P189" s="33">
        <f>IF($AG189="","",IF(INDEX('04_調査結果'!$AA$5:$AA$404,$AG189)&lt;&gt;"",INDEX('04_調査結果'!$AA$5:$AA$404,$AG189),INDEX('04_調査結果'!$AN$5:$AN$404,$AG189)))</f>
        <v/>
      </c>
      <c r="Q189" s="33">
        <f>IF($AG189="","",INDEX('04_調査結果'!$AD$5:$AD$404,$AG189))</f>
        <v/>
      </c>
      <c r="R189">
        <f>IF($AG189="","",INDEX('04_調査結果'!$AO$5:$AO$404,$AG189))</f>
        <v/>
      </c>
      <c r="S189" s="37">
        <f>IF($AG189="","",INDEX('04_調査結果'!$AQ$5:$AQ$404,$AG189))</f>
        <v/>
      </c>
      <c r="T189" s="37">
        <f>IF($AG189="","",INDEX('04_調査結果'!$AR$5:$AR$404,$AG189))</f>
        <v/>
      </c>
      <c r="U189">
        <f>IF($AG189="","",INDEX('04_調査結果'!$N$5:$N$404,$AG189)&amp;"")</f>
        <v/>
      </c>
      <c r="V189">
        <f>IF($AG189="","",INDEX('04_調査結果'!$O$5:$O$404,$AG189))</f>
        <v/>
      </c>
      <c r="W189">
        <f>IF($AG189="","",INDEX('04_調査結果'!$P$5:$P$404,$AG189))</f>
        <v/>
      </c>
      <c r="X189">
        <f>IF($AG189="","",INDEX('04_調査結果'!$Q$5:$Q$404,$AG189))</f>
        <v/>
      </c>
      <c r="Y189">
        <f>IF($AG189="","",INDEX('04_調査結果'!$R$5:$R$404,$AG189))</f>
        <v/>
      </c>
      <c r="Z189">
        <f>IF($AG189="","",INDEX('04_調査結果'!$S$5:$S$404,$AG189))</f>
        <v/>
      </c>
      <c r="AA189">
        <f>IF($AG189="","",INDEX('04_調査結果'!$T$5:$T$404,$AG189))</f>
        <v/>
      </c>
      <c r="AB189">
        <f>IF($AG189="","",INDEX('04_調査結果'!$U$5:$U$404,$AG189))</f>
        <v/>
      </c>
      <c r="AC189">
        <f>IF($AG189="","",INDEX('04_調査結果'!$AF$5:$AF$404,$AG189))</f>
        <v/>
      </c>
      <c r="AD189">
        <f>IF($AG189="","",INDEX('04_調査結果'!$AC$5:$AC$404,$AG189)&amp;"")</f>
        <v/>
      </c>
      <c r="AE189">
        <f>IF($AG189="","",INDEX('04_調査結果'!$V$5:$V$404,$AG189)&amp;"")</f>
        <v/>
      </c>
      <c r="AF189">
        <f>IF($AG189="","",INDEX('04_調査結果'!$X$5:$X$404,$AG189)&amp;"")</f>
        <v/>
      </c>
      <c r="AG189" s="34">
        <f>IFERROR(MATCH(ROW()-4,'04_調査結果'!$AT$5:$AT$404,0),"")</f>
        <v/>
      </c>
    </row>
    <row r="190">
      <c r="A190">
        <f>IF($AG190="","",'01_設定'!$C$4)</f>
        <v/>
      </c>
      <c r="B190">
        <f>IF($AG190="","",'01_設定'!$C$5)</f>
        <v/>
      </c>
      <c r="C190">
        <f>IF($AG190="","",'01_設定'!$C$6)</f>
        <v/>
      </c>
      <c r="D190" s="36">
        <f>IF($AG190="","",'01_設定'!$C$22)</f>
        <v/>
      </c>
      <c r="E190" s="36">
        <f>IF($AG190="","",'01_設定'!$C$23)</f>
        <v/>
      </c>
      <c r="F190">
        <f>IF($AG190="","",'01_設定'!$C$32)</f>
        <v/>
      </c>
      <c r="G190">
        <f>IF($AG190="","",ROW()-4)</f>
        <v/>
      </c>
      <c r="H190">
        <f>IF($AG190="","",INDEX('04_調査結果'!$AJ$5:$AJ$404,$AG190))</f>
        <v/>
      </c>
      <c r="I190">
        <f>IF($AG190="","",INDEX('04_調査結果'!$D$5:$D$404,$AG190)&amp;"")</f>
        <v/>
      </c>
      <c r="J190">
        <f>IF($AG190="","",INDEX('04_調査結果'!$AK$5:$AK$404,$AG190)&amp;"")</f>
        <v/>
      </c>
      <c r="K190">
        <f>IF($AG190="","",IFERROR(INDEX('M1_類型マスタ'!$B$5:$B$19,MATCH(J190,'M1_類型マスタ'!$A$5:$A$19,0)),""))</f>
        <v/>
      </c>
      <c r="L190">
        <f>IF($AG190="","",INDEX('04_調査結果'!$F$5:$F$404,$AG190)&amp;"")</f>
        <v/>
      </c>
      <c r="M190">
        <f>IF($AG190="","",INDEX('04_調査結果'!$G$5:$G$404,$AG190)&amp;"")</f>
        <v/>
      </c>
      <c r="N190">
        <f>IF($AG190="","",INDEX('04_調査結果'!$H$5:$H$404,$AG190)&amp;"")</f>
        <v/>
      </c>
      <c r="O190" s="33">
        <f>IF($AG190="","",IF(INDEX('04_調査結果'!$Z$5:$Z$404,$AG190)&lt;&gt;"",INDEX('04_調査結果'!$Z$5:$Z$404,$AG190),INDEX('04_調査結果'!$AM$5:$AM$404,$AG190)))</f>
        <v/>
      </c>
      <c r="P190" s="33">
        <f>IF($AG190="","",IF(INDEX('04_調査結果'!$AA$5:$AA$404,$AG190)&lt;&gt;"",INDEX('04_調査結果'!$AA$5:$AA$404,$AG190),INDEX('04_調査結果'!$AN$5:$AN$404,$AG190)))</f>
        <v/>
      </c>
      <c r="Q190" s="33">
        <f>IF($AG190="","",INDEX('04_調査結果'!$AD$5:$AD$404,$AG190))</f>
        <v/>
      </c>
      <c r="R190">
        <f>IF($AG190="","",INDEX('04_調査結果'!$AO$5:$AO$404,$AG190))</f>
        <v/>
      </c>
      <c r="S190" s="37">
        <f>IF($AG190="","",INDEX('04_調査結果'!$AQ$5:$AQ$404,$AG190))</f>
        <v/>
      </c>
      <c r="T190" s="37">
        <f>IF($AG190="","",INDEX('04_調査結果'!$AR$5:$AR$404,$AG190))</f>
        <v/>
      </c>
      <c r="U190">
        <f>IF($AG190="","",INDEX('04_調査結果'!$N$5:$N$404,$AG190)&amp;"")</f>
        <v/>
      </c>
      <c r="V190">
        <f>IF($AG190="","",INDEX('04_調査結果'!$O$5:$O$404,$AG190))</f>
        <v/>
      </c>
      <c r="W190">
        <f>IF($AG190="","",INDEX('04_調査結果'!$P$5:$P$404,$AG190))</f>
        <v/>
      </c>
      <c r="X190">
        <f>IF($AG190="","",INDEX('04_調査結果'!$Q$5:$Q$404,$AG190))</f>
        <v/>
      </c>
      <c r="Y190">
        <f>IF($AG190="","",INDEX('04_調査結果'!$R$5:$R$404,$AG190))</f>
        <v/>
      </c>
      <c r="Z190">
        <f>IF($AG190="","",INDEX('04_調査結果'!$S$5:$S$404,$AG190))</f>
        <v/>
      </c>
      <c r="AA190">
        <f>IF($AG190="","",INDEX('04_調査結果'!$T$5:$T$404,$AG190))</f>
        <v/>
      </c>
      <c r="AB190">
        <f>IF($AG190="","",INDEX('04_調査結果'!$U$5:$U$404,$AG190))</f>
        <v/>
      </c>
      <c r="AC190">
        <f>IF($AG190="","",INDEX('04_調査結果'!$AF$5:$AF$404,$AG190))</f>
        <v/>
      </c>
      <c r="AD190">
        <f>IF($AG190="","",INDEX('04_調査結果'!$AC$5:$AC$404,$AG190)&amp;"")</f>
        <v/>
      </c>
      <c r="AE190">
        <f>IF($AG190="","",INDEX('04_調査結果'!$V$5:$V$404,$AG190)&amp;"")</f>
        <v/>
      </c>
      <c r="AF190">
        <f>IF($AG190="","",INDEX('04_調査結果'!$X$5:$X$404,$AG190)&amp;"")</f>
        <v/>
      </c>
      <c r="AG190" s="34">
        <f>IFERROR(MATCH(ROW()-4,'04_調査結果'!$AT$5:$AT$404,0),"")</f>
        <v/>
      </c>
    </row>
    <row r="191">
      <c r="A191">
        <f>IF($AG191="","",'01_設定'!$C$4)</f>
        <v/>
      </c>
      <c r="B191">
        <f>IF($AG191="","",'01_設定'!$C$5)</f>
        <v/>
      </c>
      <c r="C191">
        <f>IF($AG191="","",'01_設定'!$C$6)</f>
        <v/>
      </c>
      <c r="D191" s="36">
        <f>IF($AG191="","",'01_設定'!$C$22)</f>
        <v/>
      </c>
      <c r="E191" s="36">
        <f>IF($AG191="","",'01_設定'!$C$23)</f>
        <v/>
      </c>
      <c r="F191">
        <f>IF($AG191="","",'01_設定'!$C$32)</f>
        <v/>
      </c>
      <c r="G191">
        <f>IF($AG191="","",ROW()-4)</f>
        <v/>
      </c>
      <c r="H191">
        <f>IF($AG191="","",INDEX('04_調査結果'!$AJ$5:$AJ$404,$AG191))</f>
        <v/>
      </c>
      <c r="I191">
        <f>IF($AG191="","",INDEX('04_調査結果'!$D$5:$D$404,$AG191)&amp;"")</f>
        <v/>
      </c>
      <c r="J191">
        <f>IF($AG191="","",INDEX('04_調査結果'!$AK$5:$AK$404,$AG191)&amp;"")</f>
        <v/>
      </c>
      <c r="K191">
        <f>IF($AG191="","",IFERROR(INDEX('M1_類型マスタ'!$B$5:$B$19,MATCH(J191,'M1_類型マスタ'!$A$5:$A$19,0)),""))</f>
        <v/>
      </c>
      <c r="L191">
        <f>IF($AG191="","",INDEX('04_調査結果'!$F$5:$F$404,$AG191)&amp;"")</f>
        <v/>
      </c>
      <c r="M191">
        <f>IF($AG191="","",INDEX('04_調査結果'!$G$5:$G$404,$AG191)&amp;"")</f>
        <v/>
      </c>
      <c r="N191">
        <f>IF($AG191="","",INDEX('04_調査結果'!$H$5:$H$404,$AG191)&amp;"")</f>
        <v/>
      </c>
      <c r="O191" s="33">
        <f>IF($AG191="","",IF(INDEX('04_調査結果'!$Z$5:$Z$404,$AG191)&lt;&gt;"",INDEX('04_調査結果'!$Z$5:$Z$404,$AG191),INDEX('04_調査結果'!$AM$5:$AM$404,$AG191)))</f>
        <v/>
      </c>
      <c r="P191" s="33">
        <f>IF($AG191="","",IF(INDEX('04_調査結果'!$AA$5:$AA$404,$AG191)&lt;&gt;"",INDEX('04_調査結果'!$AA$5:$AA$404,$AG191),INDEX('04_調査結果'!$AN$5:$AN$404,$AG191)))</f>
        <v/>
      </c>
      <c r="Q191" s="33">
        <f>IF($AG191="","",INDEX('04_調査結果'!$AD$5:$AD$404,$AG191))</f>
        <v/>
      </c>
      <c r="R191">
        <f>IF($AG191="","",INDEX('04_調査結果'!$AO$5:$AO$404,$AG191))</f>
        <v/>
      </c>
      <c r="S191" s="37">
        <f>IF($AG191="","",INDEX('04_調査結果'!$AQ$5:$AQ$404,$AG191))</f>
        <v/>
      </c>
      <c r="T191" s="37">
        <f>IF($AG191="","",INDEX('04_調査結果'!$AR$5:$AR$404,$AG191))</f>
        <v/>
      </c>
      <c r="U191">
        <f>IF($AG191="","",INDEX('04_調査結果'!$N$5:$N$404,$AG191)&amp;"")</f>
        <v/>
      </c>
      <c r="V191">
        <f>IF($AG191="","",INDEX('04_調査結果'!$O$5:$O$404,$AG191))</f>
        <v/>
      </c>
      <c r="W191">
        <f>IF($AG191="","",INDEX('04_調査結果'!$P$5:$P$404,$AG191))</f>
        <v/>
      </c>
      <c r="X191">
        <f>IF($AG191="","",INDEX('04_調査結果'!$Q$5:$Q$404,$AG191))</f>
        <v/>
      </c>
      <c r="Y191">
        <f>IF($AG191="","",INDEX('04_調査結果'!$R$5:$R$404,$AG191))</f>
        <v/>
      </c>
      <c r="Z191">
        <f>IF($AG191="","",INDEX('04_調査結果'!$S$5:$S$404,$AG191))</f>
        <v/>
      </c>
      <c r="AA191">
        <f>IF($AG191="","",INDEX('04_調査結果'!$T$5:$T$404,$AG191))</f>
        <v/>
      </c>
      <c r="AB191">
        <f>IF($AG191="","",INDEX('04_調査結果'!$U$5:$U$404,$AG191))</f>
        <v/>
      </c>
      <c r="AC191">
        <f>IF($AG191="","",INDEX('04_調査結果'!$AF$5:$AF$404,$AG191))</f>
        <v/>
      </c>
      <c r="AD191">
        <f>IF($AG191="","",INDEX('04_調査結果'!$AC$5:$AC$404,$AG191)&amp;"")</f>
        <v/>
      </c>
      <c r="AE191">
        <f>IF($AG191="","",INDEX('04_調査結果'!$V$5:$V$404,$AG191)&amp;"")</f>
        <v/>
      </c>
      <c r="AF191">
        <f>IF($AG191="","",INDEX('04_調査結果'!$X$5:$X$404,$AG191)&amp;"")</f>
        <v/>
      </c>
      <c r="AG191" s="34">
        <f>IFERROR(MATCH(ROW()-4,'04_調査結果'!$AT$5:$AT$404,0),"")</f>
        <v/>
      </c>
    </row>
    <row r="192">
      <c r="A192">
        <f>IF($AG192="","",'01_設定'!$C$4)</f>
        <v/>
      </c>
      <c r="B192">
        <f>IF($AG192="","",'01_設定'!$C$5)</f>
        <v/>
      </c>
      <c r="C192">
        <f>IF($AG192="","",'01_設定'!$C$6)</f>
        <v/>
      </c>
      <c r="D192" s="36">
        <f>IF($AG192="","",'01_設定'!$C$22)</f>
        <v/>
      </c>
      <c r="E192" s="36">
        <f>IF($AG192="","",'01_設定'!$C$23)</f>
        <v/>
      </c>
      <c r="F192">
        <f>IF($AG192="","",'01_設定'!$C$32)</f>
        <v/>
      </c>
      <c r="G192">
        <f>IF($AG192="","",ROW()-4)</f>
        <v/>
      </c>
      <c r="H192">
        <f>IF($AG192="","",INDEX('04_調査結果'!$AJ$5:$AJ$404,$AG192))</f>
        <v/>
      </c>
      <c r="I192">
        <f>IF($AG192="","",INDEX('04_調査結果'!$D$5:$D$404,$AG192)&amp;"")</f>
        <v/>
      </c>
      <c r="J192">
        <f>IF($AG192="","",INDEX('04_調査結果'!$AK$5:$AK$404,$AG192)&amp;"")</f>
        <v/>
      </c>
      <c r="K192">
        <f>IF($AG192="","",IFERROR(INDEX('M1_類型マスタ'!$B$5:$B$19,MATCH(J192,'M1_類型マスタ'!$A$5:$A$19,0)),""))</f>
        <v/>
      </c>
      <c r="L192">
        <f>IF($AG192="","",INDEX('04_調査結果'!$F$5:$F$404,$AG192)&amp;"")</f>
        <v/>
      </c>
      <c r="M192">
        <f>IF($AG192="","",INDEX('04_調査結果'!$G$5:$G$404,$AG192)&amp;"")</f>
        <v/>
      </c>
      <c r="N192">
        <f>IF($AG192="","",INDEX('04_調査結果'!$H$5:$H$404,$AG192)&amp;"")</f>
        <v/>
      </c>
      <c r="O192" s="33">
        <f>IF($AG192="","",IF(INDEX('04_調査結果'!$Z$5:$Z$404,$AG192)&lt;&gt;"",INDEX('04_調査結果'!$Z$5:$Z$404,$AG192),INDEX('04_調査結果'!$AM$5:$AM$404,$AG192)))</f>
        <v/>
      </c>
      <c r="P192" s="33">
        <f>IF($AG192="","",IF(INDEX('04_調査結果'!$AA$5:$AA$404,$AG192)&lt;&gt;"",INDEX('04_調査結果'!$AA$5:$AA$404,$AG192),INDEX('04_調査結果'!$AN$5:$AN$404,$AG192)))</f>
        <v/>
      </c>
      <c r="Q192" s="33">
        <f>IF($AG192="","",INDEX('04_調査結果'!$AD$5:$AD$404,$AG192))</f>
        <v/>
      </c>
      <c r="R192">
        <f>IF($AG192="","",INDEX('04_調査結果'!$AO$5:$AO$404,$AG192))</f>
        <v/>
      </c>
      <c r="S192" s="37">
        <f>IF($AG192="","",INDEX('04_調査結果'!$AQ$5:$AQ$404,$AG192))</f>
        <v/>
      </c>
      <c r="T192" s="37">
        <f>IF($AG192="","",INDEX('04_調査結果'!$AR$5:$AR$404,$AG192))</f>
        <v/>
      </c>
      <c r="U192">
        <f>IF($AG192="","",INDEX('04_調査結果'!$N$5:$N$404,$AG192)&amp;"")</f>
        <v/>
      </c>
      <c r="V192">
        <f>IF($AG192="","",INDEX('04_調査結果'!$O$5:$O$404,$AG192))</f>
        <v/>
      </c>
      <c r="W192">
        <f>IF($AG192="","",INDEX('04_調査結果'!$P$5:$P$404,$AG192))</f>
        <v/>
      </c>
      <c r="X192">
        <f>IF($AG192="","",INDEX('04_調査結果'!$Q$5:$Q$404,$AG192))</f>
        <v/>
      </c>
      <c r="Y192">
        <f>IF($AG192="","",INDEX('04_調査結果'!$R$5:$R$404,$AG192))</f>
        <v/>
      </c>
      <c r="Z192">
        <f>IF($AG192="","",INDEX('04_調査結果'!$S$5:$S$404,$AG192))</f>
        <v/>
      </c>
      <c r="AA192">
        <f>IF($AG192="","",INDEX('04_調査結果'!$T$5:$T$404,$AG192))</f>
        <v/>
      </c>
      <c r="AB192">
        <f>IF($AG192="","",INDEX('04_調査結果'!$U$5:$U$404,$AG192))</f>
        <v/>
      </c>
      <c r="AC192">
        <f>IF($AG192="","",INDEX('04_調査結果'!$AF$5:$AF$404,$AG192))</f>
        <v/>
      </c>
      <c r="AD192">
        <f>IF($AG192="","",INDEX('04_調査結果'!$AC$5:$AC$404,$AG192)&amp;"")</f>
        <v/>
      </c>
      <c r="AE192">
        <f>IF($AG192="","",INDEX('04_調査結果'!$V$5:$V$404,$AG192)&amp;"")</f>
        <v/>
      </c>
      <c r="AF192">
        <f>IF($AG192="","",INDEX('04_調査結果'!$X$5:$X$404,$AG192)&amp;"")</f>
        <v/>
      </c>
      <c r="AG192" s="34">
        <f>IFERROR(MATCH(ROW()-4,'04_調査結果'!$AT$5:$AT$404,0),"")</f>
        <v/>
      </c>
    </row>
    <row r="193">
      <c r="A193">
        <f>IF($AG193="","",'01_設定'!$C$4)</f>
        <v/>
      </c>
      <c r="B193">
        <f>IF($AG193="","",'01_設定'!$C$5)</f>
        <v/>
      </c>
      <c r="C193">
        <f>IF($AG193="","",'01_設定'!$C$6)</f>
        <v/>
      </c>
      <c r="D193" s="36">
        <f>IF($AG193="","",'01_設定'!$C$22)</f>
        <v/>
      </c>
      <c r="E193" s="36">
        <f>IF($AG193="","",'01_設定'!$C$23)</f>
        <v/>
      </c>
      <c r="F193">
        <f>IF($AG193="","",'01_設定'!$C$32)</f>
        <v/>
      </c>
      <c r="G193">
        <f>IF($AG193="","",ROW()-4)</f>
        <v/>
      </c>
      <c r="H193">
        <f>IF($AG193="","",INDEX('04_調査結果'!$AJ$5:$AJ$404,$AG193))</f>
        <v/>
      </c>
      <c r="I193">
        <f>IF($AG193="","",INDEX('04_調査結果'!$D$5:$D$404,$AG193)&amp;"")</f>
        <v/>
      </c>
      <c r="J193">
        <f>IF($AG193="","",INDEX('04_調査結果'!$AK$5:$AK$404,$AG193)&amp;"")</f>
        <v/>
      </c>
      <c r="K193">
        <f>IF($AG193="","",IFERROR(INDEX('M1_類型マスタ'!$B$5:$B$19,MATCH(J193,'M1_類型マスタ'!$A$5:$A$19,0)),""))</f>
        <v/>
      </c>
      <c r="L193">
        <f>IF($AG193="","",INDEX('04_調査結果'!$F$5:$F$404,$AG193)&amp;"")</f>
        <v/>
      </c>
      <c r="M193">
        <f>IF($AG193="","",INDEX('04_調査結果'!$G$5:$G$404,$AG193)&amp;"")</f>
        <v/>
      </c>
      <c r="N193">
        <f>IF($AG193="","",INDEX('04_調査結果'!$H$5:$H$404,$AG193)&amp;"")</f>
        <v/>
      </c>
      <c r="O193" s="33">
        <f>IF($AG193="","",IF(INDEX('04_調査結果'!$Z$5:$Z$404,$AG193)&lt;&gt;"",INDEX('04_調査結果'!$Z$5:$Z$404,$AG193),INDEX('04_調査結果'!$AM$5:$AM$404,$AG193)))</f>
        <v/>
      </c>
      <c r="P193" s="33">
        <f>IF($AG193="","",IF(INDEX('04_調査結果'!$AA$5:$AA$404,$AG193)&lt;&gt;"",INDEX('04_調査結果'!$AA$5:$AA$404,$AG193),INDEX('04_調査結果'!$AN$5:$AN$404,$AG193)))</f>
        <v/>
      </c>
      <c r="Q193" s="33">
        <f>IF($AG193="","",INDEX('04_調査結果'!$AD$5:$AD$404,$AG193))</f>
        <v/>
      </c>
      <c r="R193">
        <f>IF($AG193="","",INDEX('04_調査結果'!$AO$5:$AO$404,$AG193))</f>
        <v/>
      </c>
      <c r="S193" s="37">
        <f>IF($AG193="","",INDEX('04_調査結果'!$AQ$5:$AQ$404,$AG193))</f>
        <v/>
      </c>
      <c r="T193" s="37">
        <f>IF($AG193="","",INDEX('04_調査結果'!$AR$5:$AR$404,$AG193))</f>
        <v/>
      </c>
      <c r="U193">
        <f>IF($AG193="","",INDEX('04_調査結果'!$N$5:$N$404,$AG193)&amp;"")</f>
        <v/>
      </c>
      <c r="V193">
        <f>IF($AG193="","",INDEX('04_調査結果'!$O$5:$O$404,$AG193))</f>
        <v/>
      </c>
      <c r="W193">
        <f>IF($AG193="","",INDEX('04_調査結果'!$P$5:$P$404,$AG193))</f>
        <v/>
      </c>
      <c r="X193">
        <f>IF($AG193="","",INDEX('04_調査結果'!$Q$5:$Q$404,$AG193))</f>
        <v/>
      </c>
      <c r="Y193">
        <f>IF($AG193="","",INDEX('04_調査結果'!$R$5:$R$404,$AG193))</f>
        <v/>
      </c>
      <c r="Z193">
        <f>IF($AG193="","",INDEX('04_調査結果'!$S$5:$S$404,$AG193))</f>
        <v/>
      </c>
      <c r="AA193">
        <f>IF($AG193="","",INDEX('04_調査結果'!$T$5:$T$404,$AG193))</f>
        <v/>
      </c>
      <c r="AB193">
        <f>IF($AG193="","",INDEX('04_調査結果'!$U$5:$U$404,$AG193))</f>
        <v/>
      </c>
      <c r="AC193">
        <f>IF($AG193="","",INDEX('04_調査結果'!$AF$5:$AF$404,$AG193))</f>
        <v/>
      </c>
      <c r="AD193">
        <f>IF($AG193="","",INDEX('04_調査結果'!$AC$5:$AC$404,$AG193)&amp;"")</f>
        <v/>
      </c>
      <c r="AE193">
        <f>IF($AG193="","",INDEX('04_調査結果'!$V$5:$V$404,$AG193)&amp;"")</f>
        <v/>
      </c>
      <c r="AF193">
        <f>IF($AG193="","",INDEX('04_調査結果'!$X$5:$X$404,$AG193)&amp;"")</f>
        <v/>
      </c>
      <c r="AG193" s="34">
        <f>IFERROR(MATCH(ROW()-4,'04_調査結果'!$AT$5:$AT$404,0),"")</f>
        <v/>
      </c>
    </row>
    <row r="194">
      <c r="A194">
        <f>IF($AG194="","",'01_設定'!$C$4)</f>
        <v/>
      </c>
      <c r="B194">
        <f>IF($AG194="","",'01_設定'!$C$5)</f>
        <v/>
      </c>
      <c r="C194">
        <f>IF($AG194="","",'01_設定'!$C$6)</f>
        <v/>
      </c>
      <c r="D194" s="36">
        <f>IF($AG194="","",'01_設定'!$C$22)</f>
        <v/>
      </c>
      <c r="E194" s="36">
        <f>IF($AG194="","",'01_設定'!$C$23)</f>
        <v/>
      </c>
      <c r="F194">
        <f>IF($AG194="","",'01_設定'!$C$32)</f>
        <v/>
      </c>
      <c r="G194">
        <f>IF($AG194="","",ROW()-4)</f>
        <v/>
      </c>
      <c r="H194">
        <f>IF($AG194="","",INDEX('04_調査結果'!$AJ$5:$AJ$404,$AG194))</f>
        <v/>
      </c>
      <c r="I194">
        <f>IF($AG194="","",INDEX('04_調査結果'!$D$5:$D$404,$AG194)&amp;"")</f>
        <v/>
      </c>
      <c r="J194">
        <f>IF($AG194="","",INDEX('04_調査結果'!$AK$5:$AK$404,$AG194)&amp;"")</f>
        <v/>
      </c>
      <c r="K194">
        <f>IF($AG194="","",IFERROR(INDEX('M1_類型マスタ'!$B$5:$B$19,MATCH(J194,'M1_類型マスタ'!$A$5:$A$19,0)),""))</f>
        <v/>
      </c>
      <c r="L194">
        <f>IF($AG194="","",INDEX('04_調査結果'!$F$5:$F$404,$AG194)&amp;"")</f>
        <v/>
      </c>
      <c r="M194">
        <f>IF($AG194="","",INDEX('04_調査結果'!$G$5:$G$404,$AG194)&amp;"")</f>
        <v/>
      </c>
      <c r="N194">
        <f>IF($AG194="","",INDEX('04_調査結果'!$H$5:$H$404,$AG194)&amp;"")</f>
        <v/>
      </c>
      <c r="O194" s="33">
        <f>IF($AG194="","",IF(INDEX('04_調査結果'!$Z$5:$Z$404,$AG194)&lt;&gt;"",INDEX('04_調査結果'!$Z$5:$Z$404,$AG194),INDEX('04_調査結果'!$AM$5:$AM$404,$AG194)))</f>
        <v/>
      </c>
      <c r="P194" s="33">
        <f>IF($AG194="","",IF(INDEX('04_調査結果'!$AA$5:$AA$404,$AG194)&lt;&gt;"",INDEX('04_調査結果'!$AA$5:$AA$404,$AG194),INDEX('04_調査結果'!$AN$5:$AN$404,$AG194)))</f>
        <v/>
      </c>
      <c r="Q194" s="33">
        <f>IF($AG194="","",INDEX('04_調査結果'!$AD$5:$AD$404,$AG194))</f>
        <v/>
      </c>
      <c r="R194">
        <f>IF($AG194="","",INDEX('04_調査結果'!$AO$5:$AO$404,$AG194))</f>
        <v/>
      </c>
      <c r="S194" s="37">
        <f>IF($AG194="","",INDEX('04_調査結果'!$AQ$5:$AQ$404,$AG194))</f>
        <v/>
      </c>
      <c r="T194" s="37">
        <f>IF($AG194="","",INDEX('04_調査結果'!$AR$5:$AR$404,$AG194))</f>
        <v/>
      </c>
      <c r="U194">
        <f>IF($AG194="","",INDEX('04_調査結果'!$N$5:$N$404,$AG194)&amp;"")</f>
        <v/>
      </c>
      <c r="V194">
        <f>IF($AG194="","",INDEX('04_調査結果'!$O$5:$O$404,$AG194))</f>
        <v/>
      </c>
      <c r="W194">
        <f>IF($AG194="","",INDEX('04_調査結果'!$P$5:$P$404,$AG194))</f>
        <v/>
      </c>
      <c r="X194">
        <f>IF($AG194="","",INDEX('04_調査結果'!$Q$5:$Q$404,$AG194))</f>
        <v/>
      </c>
      <c r="Y194">
        <f>IF($AG194="","",INDEX('04_調査結果'!$R$5:$R$404,$AG194))</f>
        <v/>
      </c>
      <c r="Z194">
        <f>IF($AG194="","",INDEX('04_調査結果'!$S$5:$S$404,$AG194))</f>
        <v/>
      </c>
      <c r="AA194">
        <f>IF($AG194="","",INDEX('04_調査結果'!$T$5:$T$404,$AG194))</f>
        <v/>
      </c>
      <c r="AB194">
        <f>IF($AG194="","",INDEX('04_調査結果'!$U$5:$U$404,$AG194))</f>
        <v/>
      </c>
      <c r="AC194">
        <f>IF($AG194="","",INDEX('04_調査結果'!$AF$5:$AF$404,$AG194))</f>
        <v/>
      </c>
      <c r="AD194">
        <f>IF($AG194="","",INDEX('04_調査結果'!$AC$5:$AC$404,$AG194)&amp;"")</f>
        <v/>
      </c>
      <c r="AE194">
        <f>IF($AG194="","",INDEX('04_調査結果'!$V$5:$V$404,$AG194)&amp;"")</f>
        <v/>
      </c>
      <c r="AF194">
        <f>IF($AG194="","",INDEX('04_調査結果'!$X$5:$X$404,$AG194)&amp;"")</f>
        <v/>
      </c>
      <c r="AG194" s="34">
        <f>IFERROR(MATCH(ROW()-4,'04_調査結果'!$AT$5:$AT$404,0),"")</f>
        <v/>
      </c>
    </row>
    <row r="195">
      <c r="A195">
        <f>IF($AG195="","",'01_設定'!$C$4)</f>
        <v/>
      </c>
      <c r="B195">
        <f>IF($AG195="","",'01_設定'!$C$5)</f>
        <v/>
      </c>
      <c r="C195">
        <f>IF($AG195="","",'01_設定'!$C$6)</f>
        <v/>
      </c>
      <c r="D195" s="36">
        <f>IF($AG195="","",'01_設定'!$C$22)</f>
        <v/>
      </c>
      <c r="E195" s="36">
        <f>IF($AG195="","",'01_設定'!$C$23)</f>
        <v/>
      </c>
      <c r="F195">
        <f>IF($AG195="","",'01_設定'!$C$32)</f>
        <v/>
      </c>
      <c r="G195">
        <f>IF($AG195="","",ROW()-4)</f>
        <v/>
      </c>
      <c r="H195">
        <f>IF($AG195="","",INDEX('04_調査結果'!$AJ$5:$AJ$404,$AG195))</f>
        <v/>
      </c>
      <c r="I195">
        <f>IF($AG195="","",INDEX('04_調査結果'!$D$5:$D$404,$AG195)&amp;"")</f>
        <v/>
      </c>
      <c r="J195">
        <f>IF($AG195="","",INDEX('04_調査結果'!$AK$5:$AK$404,$AG195)&amp;"")</f>
        <v/>
      </c>
      <c r="K195">
        <f>IF($AG195="","",IFERROR(INDEX('M1_類型マスタ'!$B$5:$B$19,MATCH(J195,'M1_類型マスタ'!$A$5:$A$19,0)),""))</f>
        <v/>
      </c>
      <c r="L195">
        <f>IF($AG195="","",INDEX('04_調査結果'!$F$5:$F$404,$AG195)&amp;"")</f>
        <v/>
      </c>
      <c r="M195">
        <f>IF($AG195="","",INDEX('04_調査結果'!$G$5:$G$404,$AG195)&amp;"")</f>
        <v/>
      </c>
      <c r="N195">
        <f>IF($AG195="","",INDEX('04_調査結果'!$H$5:$H$404,$AG195)&amp;"")</f>
        <v/>
      </c>
      <c r="O195" s="33">
        <f>IF($AG195="","",IF(INDEX('04_調査結果'!$Z$5:$Z$404,$AG195)&lt;&gt;"",INDEX('04_調査結果'!$Z$5:$Z$404,$AG195),INDEX('04_調査結果'!$AM$5:$AM$404,$AG195)))</f>
        <v/>
      </c>
      <c r="P195" s="33">
        <f>IF($AG195="","",IF(INDEX('04_調査結果'!$AA$5:$AA$404,$AG195)&lt;&gt;"",INDEX('04_調査結果'!$AA$5:$AA$404,$AG195),INDEX('04_調査結果'!$AN$5:$AN$404,$AG195)))</f>
        <v/>
      </c>
      <c r="Q195" s="33">
        <f>IF($AG195="","",INDEX('04_調査結果'!$AD$5:$AD$404,$AG195))</f>
        <v/>
      </c>
      <c r="R195">
        <f>IF($AG195="","",INDEX('04_調査結果'!$AO$5:$AO$404,$AG195))</f>
        <v/>
      </c>
      <c r="S195" s="37">
        <f>IF($AG195="","",INDEX('04_調査結果'!$AQ$5:$AQ$404,$AG195))</f>
        <v/>
      </c>
      <c r="T195" s="37">
        <f>IF($AG195="","",INDEX('04_調査結果'!$AR$5:$AR$404,$AG195))</f>
        <v/>
      </c>
      <c r="U195">
        <f>IF($AG195="","",INDEX('04_調査結果'!$N$5:$N$404,$AG195)&amp;"")</f>
        <v/>
      </c>
      <c r="V195">
        <f>IF($AG195="","",INDEX('04_調査結果'!$O$5:$O$404,$AG195))</f>
        <v/>
      </c>
      <c r="W195">
        <f>IF($AG195="","",INDEX('04_調査結果'!$P$5:$P$404,$AG195))</f>
        <v/>
      </c>
      <c r="X195">
        <f>IF($AG195="","",INDEX('04_調査結果'!$Q$5:$Q$404,$AG195))</f>
        <v/>
      </c>
      <c r="Y195">
        <f>IF($AG195="","",INDEX('04_調査結果'!$R$5:$R$404,$AG195))</f>
        <v/>
      </c>
      <c r="Z195">
        <f>IF($AG195="","",INDEX('04_調査結果'!$S$5:$S$404,$AG195))</f>
        <v/>
      </c>
      <c r="AA195">
        <f>IF($AG195="","",INDEX('04_調査結果'!$T$5:$T$404,$AG195))</f>
        <v/>
      </c>
      <c r="AB195">
        <f>IF($AG195="","",INDEX('04_調査結果'!$U$5:$U$404,$AG195))</f>
        <v/>
      </c>
      <c r="AC195">
        <f>IF($AG195="","",INDEX('04_調査結果'!$AF$5:$AF$404,$AG195))</f>
        <v/>
      </c>
      <c r="AD195">
        <f>IF($AG195="","",INDEX('04_調査結果'!$AC$5:$AC$404,$AG195)&amp;"")</f>
        <v/>
      </c>
      <c r="AE195">
        <f>IF($AG195="","",INDEX('04_調査結果'!$V$5:$V$404,$AG195)&amp;"")</f>
        <v/>
      </c>
      <c r="AF195">
        <f>IF($AG195="","",INDEX('04_調査結果'!$X$5:$X$404,$AG195)&amp;"")</f>
        <v/>
      </c>
      <c r="AG195" s="34">
        <f>IFERROR(MATCH(ROW()-4,'04_調査結果'!$AT$5:$AT$404,0),"")</f>
        <v/>
      </c>
    </row>
    <row r="196">
      <c r="A196">
        <f>IF($AG196="","",'01_設定'!$C$4)</f>
        <v/>
      </c>
      <c r="B196">
        <f>IF($AG196="","",'01_設定'!$C$5)</f>
        <v/>
      </c>
      <c r="C196">
        <f>IF($AG196="","",'01_設定'!$C$6)</f>
        <v/>
      </c>
      <c r="D196" s="36">
        <f>IF($AG196="","",'01_設定'!$C$22)</f>
        <v/>
      </c>
      <c r="E196" s="36">
        <f>IF($AG196="","",'01_設定'!$C$23)</f>
        <v/>
      </c>
      <c r="F196">
        <f>IF($AG196="","",'01_設定'!$C$32)</f>
        <v/>
      </c>
      <c r="G196">
        <f>IF($AG196="","",ROW()-4)</f>
        <v/>
      </c>
      <c r="H196">
        <f>IF($AG196="","",INDEX('04_調査結果'!$AJ$5:$AJ$404,$AG196))</f>
        <v/>
      </c>
      <c r="I196">
        <f>IF($AG196="","",INDEX('04_調査結果'!$D$5:$D$404,$AG196)&amp;"")</f>
        <v/>
      </c>
      <c r="J196">
        <f>IF($AG196="","",INDEX('04_調査結果'!$AK$5:$AK$404,$AG196)&amp;"")</f>
        <v/>
      </c>
      <c r="K196">
        <f>IF($AG196="","",IFERROR(INDEX('M1_類型マスタ'!$B$5:$B$19,MATCH(J196,'M1_類型マスタ'!$A$5:$A$19,0)),""))</f>
        <v/>
      </c>
      <c r="L196">
        <f>IF($AG196="","",INDEX('04_調査結果'!$F$5:$F$404,$AG196)&amp;"")</f>
        <v/>
      </c>
      <c r="M196">
        <f>IF($AG196="","",INDEX('04_調査結果'!$G$5:$G$404,$AG196)&amp;"")</f>
        <v/>
      </c>
      <c r="N196">
        <f>IF($AG196="","",INDEX('04_調査結果'!$H$5:$H$404,$AG196)&amp;"")</f>
        <v/>
      </c>
      <c r="O196" s="33">
        <f>IF($AG196="","",IF(INDEX('04_調査結果'!$Z$5:$Z$404,$AG196)&lt;&gt;"",INDEX('04_調査結果'!$Z$5:$Z$404,$AG196),INDEX('04_調査結果'!$AM$5:$AM$404,$AG196)))</f>
        <v/>
      </c>
      <c r="P196" s="33">
        <f>IF($AG196="","",IF(INDEX('04_調査結果'!$AA$5:$AA$404,$AG196)&lt;&gt;"",INDEX('04_調査結果'!$AA$5:$AA$404,$AG196),INDEX('04_調査結果'!$AN$5:$AN$404,$AG196)))</f>
        <v/>
      </c>
      <c r="Q196" s="33">
        <f>IF($AG196="","",INDEX('04_調査結果'!$AD$5:$AD$404,$AG196))</f>
        <v/>
      </c>
      <c r="R196">
        <f>IF($AG196="","",INDEX('04_調査結果'!$AO$5:$AO$404,$AG196))</f>
        <v/>
      </c>
      <c r="S196" s="37">
        <f>IF($AG196="","",INDEX('04_調査結果'!$AQ$5:$AQ$404,$AG196))</f>
        <v/>
      </c>
      <c r="T196" s="37">
        <f>IF($AG196="","",INDEX('04_調査結果'!$AR$5:$AR$404,$AG196))</f>
        <v/>
      </c>
      <c r="U196">
        <f>IF($AG196="","",INDEX('04_調査結果'!$N$5:$N$404,$AG196)&amp;"")</f>
        <v/>
      </c>
      <c r="V196">
        <f>IF($AG196="","",INDEX('04_調査結果'!$O$5:$O$404,$AG196))</f>
        <v/>
      </c>
      <c r="W196">
        <f>IF($AG196="","",INDEX('04_調査結果'!$P$5:$P$404,$AG196))</f>
        <v/>
      </c>
      <c r="X196">
        <f>IF($AG196="","",INDEX('04_調査結果'!$Q$5:$Q$404,$AG196))</f>
        <v/>
      </c>
      <c r="Y196">
        <f>IF($AG196="","",INDEX('04_調査結果'!$R$5:$R$404,$AG196))</f>
        <v/>
      </c>
      <c r="Z196">
        <f>IF($AG196="","",INDEX('04_調査結果'!$S$5:$S$404,$AG196))</f>
        <v/>
      </c>
      <c r="AA196">
        <f>IF($AG196="","",INDEX('04_調査結果'!$T$5:$T$404,$AG196))</f>
        <v/>
      </c>
      <c r="AB196">
        <f>IF($AG196="","",INDEX('04_調査結果'!$U$5:$U$404,$AG196))</f>
        <v/>
      </c>
      <c r="AC196">
        <f>IF($AG196="","",INDEX('04_調査結果'!$AF$5:$AF$404,$AG196))</f>
        <v/>
      </c>
      <c r="AD196">
        <f>IF($AG196="","",INDEX('04_調査結果'!$AC$5:$AC$404,$AG196)&amp;"")</f>
        <v/>
      </c>
      <c r="AE196">
        <f>IF($AG196="","",INDEX('04_調査結果'!$V$5:$V$404,$AG196)&amp;"")</f>
        <v/>
      </c>
      <c r="AF196">
        <f>IF($AG196="","",INDEX('04_調査結果'!$X$5:$X$404,$AG196)&amp;"")</f>
        <v/>
      </c>
      <c r="AG196" s="34">
        <f>IFERROR(MATCH(ROW()-4,'04_調査結果'!$AT$5:$AT$404,0),"")</f>
        <v/>
      </c>
    </row>
    <row r="197">
      <c r="A197">
        <f>IF($AG197="","",'01_設定'!$C$4)</f>
        <v/>
      </c>
      <c r="B197">
        <f>IF($AG197="","",'01_設定'!$C$5)</f>
        <v/>
      </c>
      <c r="C197">
        <f>IF($AG197="","",'01_設定'!$C$6)</f>
        <v/>
      </c>
      <c r="D197" s="36">
        <f>IF($AG197="","",'01_設定'!$C$22)</f>
        <v/>
      </c>
      <c r="E197" s="36">
        <f>IF($AG197="","",'01_設定'!$C$23)</f>
        <v/>
      </c>
      <c r="F197">
        <f>IF($AG197="","",'01_設定'!$C$32)</f>
        <v/>
      </c>
      <c r="G197">
        <f>IF($AG197="","",ROW()-4)</f>
        <v/>
      </c>
      <c r="H197">
        <f>IF($AG197="","",INDEX('04_調査結果'!$AJ$5:$AJ$404,$AG197))</f>
        <v/>
      </c>
      <c r="I197">
        <f>IF($AG197="","",INDEX('04_調査結果'!$D$5:$D$404,$AG197)&amp;"")</f>
        <v/>
      </c>
      <c r="J197">
        <f>IF($AG197="","",INDEX('04_調査結果'!$AK$5:$AK$404,$AG197)&amp;"")</f>
        <v/>
      </c>
      <c r="K197">
        <f>IF($AG197="","",IFERROR(INDEX('M1_類型マスタ'!$B$5:$B$19,MATCH(J197,'M1_類型マスタ'!$A$5:$A$19,0)),""))</f>
        <v/>
      </c>
      <c r="L197">
        <f>IF($AG197="","",INDEX('04_調査結果'!$F$5:$F$404,$AG197)&amp;"")</f>
        <v/>
      </c>
      <c r="M197">
        <f>IF($AG197="","",INDEX('04_調査結果'!$G$5:$G$404,$AG197)&amp;"")</f>
        <v/>
      </c>
      <c r="N197">
        <f>IF($AG197="","",INDEX('04_調査結果'!$H$5:$H$404,$AG197)&amp;"")</f>
        <v/>
      </c>
      <c r="O197" s="33">
        <f>IF($AG197="","",IF(INDEX('04_調査結果'!$Z$5:$Z$404,$AG197)&lt;&gt;"",INDEX('04_調査結果'!$Z$5:$Z$404,$AG197),INDEX('04_調査結果'!$AM$5:$AM$404,$AG197)))</f>
        <v/>
      </c>
      <c r="P197" s="33">
        <f>IF($AG197="","",IF(INDEX('04_調査結果'!$AA$5:$AA$404,$AG197)&lt;&gt;"",INDEX('04_調査結果'!$AA$5:$AA$404,$AG197),INDEX('04_調査結果'!$AN$5:$AN$404,$AG197)))</f>
        <v/>
      </c>
      <c r="Q197" s="33">
        <f>IF($AG197="","",INDEX('04_調査結果'!$AD$5:$AD$404,$AG197))</f>
        <v/>
      </c>
      <c r="R197">
        <f>IF($AG197="","",INDEX('04_調査結果'!$AO$5:$AO$404,$AG197))</f>
        <v/>
      </c>
      <c r="S197" s="37">
        <f>IF($AG197="","",INDEX('04_調査結果'!$AQ$5:$AQ$404,$AG197))</f>
        <v/>
      </c>
      <c r="T197" s="37">
        <f>IF($AG197="","",INDEX('04_調査結果'!$AR$5:$AR$404,$AG197))</f>
        <v/>
      </c>
      <c r="U197">
        <f>IF($AG197="","",INDEX('04_調査結果'!$N$5:$N$404,$AG197)&amp;"")</f>
        <v/>
      </c>
      <c r="V197">
        <f>IF($AG197="","",INDEX('04_調査結果'!$O$5:$O$404,$AG197))</f>
        <v/>
      </c>
      <c r="W197">
        <f>IF($AG197="","",INDEX('04_調査結果'!$P$5:$P$404,$AG197))</f>
        <v/>
      </c>
      <c r="X197">
        <f>IF($AG197="","",INDEX('04_調査結果'!$Q$5:$Q$404,$AG197))</f>
        <v/>
      </c>
      <c r="Y197">
        <f>IF($AG197="","",INDEX('04_調査結果'!$R$5:$R$404,$AG197))</f>
        <v/>
      </c>
      <c r="Z197">
        <f>IF($AG197="","",INDEX('04_調査結果'!$S$5:$S$404,$AG197))</f>
        <v/>
      </c>
      <c r="AA197">
        <f>IF($AG197="","",INDEX('04_調査結果'!$T$5:$T$404,$AG197))</f>
        <v/>
      </c>
      <c r="AB197">
        <f>IF($AG197="","",INDEX('04_調査結果'!$U$5:$U$404,$AG197))</f>
        <v/>
      </c>
      <c r="AC197">
        <f>IF($AG197="","",INDEX('04_調査結果'!$AF$5:$AF$404,$AG197))</f>
        <v/>
      </c>
      <c r="AD197">
        <f>IF($AG197="","",INDEX('04_調査結果'!$AC$5:$AC$404,$AG197)&amp;"")</f>
        <v/>
      </c>
      <c r="AE197">
        <f>IF($AG197="","",INDEX('04_調査結果'!$V$5:$V$404,$AG197)&amp;"")</f>
        <v/>
      </c>
      <c r="AF197">
        <f>IF($AG197="","",INDEX('04_調査結果'!$X$5:$X$404,$AG197)&amp;"")</f>
        <v/>
      </c>
      <c r="AG197" s="34">
        <f>IFERROR(MATCH(ROW()-4,'04_調査結果'!$AT$5:$AT$404,0),"")</f>
        <v/>
      </c>
    </row>
    <row r="198">
      <c r="A198">
        <f>IF($AG198="","",'01_設定'!$C$4)</f>
        <v/>
      </c>
      <c r="B198">
        <f>IF($AG198="","",'01_設定'!$C$5)</f>
        <v/>
      </c>
      <c r="C198">
        <f>IF($AG198="","",'01_設定'!$C$6)</f>
        <v/>
      </c>
      <c r="D198" s="36">
        <f>IF($AG198="","",'01_設定'!$C$22)</f>
        <v/>
      </c>
      <c r="E198" s="36">
        <f>IF($AG198="","",'01_設定'!$C$23)</f>
        <v/>
      </c>
      <c r="F198">
        <f>IF($AG198="","",'01_設定'!$C$32)</f>
        <v/>
      </c>
      <c r="G198">
        <f>IF($AG198="","",ROW()-4)</f>
        <v/>
      </c>
      <c r="H198">
        <f>IF($AG198="","",INDEX('04_調査結果'!$AJ$5:$AJ$404,$AG198))</f>
        <v/>
      </c>
      <c r="I198">
        <f>IF($AG198="","",INDEX('04_調査結果'!$D$5:$D$404,$AG198)&amp;"")</f>
        <v/>
      </c>
      <c r="J198">
        <f>IF($AG198="","",INDEX('04_調査結果'!$AK$5:$AK$404,$AG198)&amp;"")</f>
        <v/>
      </c>
      <c r="K198">
        <f>IF($AG198="","",IFERROR(INDEX('M1_類型マスタ'!$B$5:$B$19,MATCH(J198,'M1_類型マスタ'!$A$5:$A$19,0)),""))</f>
        <v/>
      </c>
      <c r="L198">
        <f>IF($AG198="","",INDEX('04_調査結果'!$F$5:$F$404,$AG198)&amp;"")</f>
        <v/>
      </c>
      <c r="M198">
        <f>IF($AG198="","",INDEX('04_調査結果'!$G$5:$G$404,$AG198)&amp;"")</f>
        <v/>
      </c>
      <c r="N198">
        <f>IF($AG198="","",INDEX('04_調査結果'!$H$5:$H$404,$AG198)&amp;"")</f>
        <v/>
      </c>
      <c r="O198" s="33">
        <f>IF($AG198="","",IF(INDEX('04_調査結果'!$Z$5:$Z$404,$AG198)&lt;&gt;"",INDEX('04_調査結果'!$Z$5:$Z$404,$AG198),INDEX('04_調査結果'!$AM$5:$AM$404,$AG198)))</f>
        <v/>
      </c>
      <c r="P198" s="33">
        <f>IF($AG198="","",IF(INDEX('04_調査結果'!$AA$5:$AA$404,$AG198)&lt;&gt;"",INDEX('04_調査結果'!$AA$5:$AA$404,$AG198),INDEX('04_調査結果'!$AN$5:$AN$404,$AG198)))</f>
        <v/>
      </c>
      <c r="Q198" s="33">
        <f>IF($AG198="","",INDEX('04_調査結果'!$AD$5:$AD$404,$AG198))</f>
        <v/>
      </c>
      <c r="R198">
        <f>IF($AG198="","",INDEX('04_調査結果'!$AO$5:$AO$404,$AG198))</f>
        <v/>
      </c>
      <c r="S198" s="37">
        <f>IF($AG198="","",INDEX('04_調査結果'!$AQ$5:$AQ$404,$AG198))</f>
        <v/>
      </c>
      <c r="T198" s="37">
        <f>IF($AG198="","",INDEX('04_調査結果'!$AR$5:$AR$404,$AG198))</f>
        <v/>
      </c>
      <c r="U198">
        <f>IF($AG198="","",INDEX('04_調査結果'!$N$5:$N$404,$AG198)&amp;"")</f>
        <v/>
      </c>
      <c r="V198">
        <f>IF($AG198="","",INDEX('04_調査結果'!$O$5:$O$404,$AG198))</f>
        <v/>
      </c>
      <c r="W198">
        <f>IF($AG198="","",INDEX('04_調査結果'!$P$5:$P$404,$AG198))</f>
        <v/>
      </c>
      <c r="X198">
        <f>IF($AG198="","",INDEX('04_調査結果'!$Q$5:$Q$404,$AG198))</f>
        <v/>
      </c>
      <c r="Y198">
        <f>IF($AG198="","",INDEX('04_調査結果'!$R$5:$R$404,$AG198))</f>
        <v/>
      </c>
      <c r="Z198">
        <f>IF($AG198="","",INDEX('04_調査結果'!$S$5:$S$404,$AG198))</f>
        <v/>
      </c>
      <c r="AA198">
        <f>IF($AG198="","",INDEX('04_調査結果'!$T$5:$T$404,$AG198))</f>
        <v/>
      </c>
      <c r="AB198">
        <f>IF($AG198="","",INDEX('04_調査結果'!$U$5:$U$404,$AG198))</f>
        <v/>
      </c>
      <c r="AC198">
        <f>IF($AG198="","",INDEX('04_調査結果'!$AF$5:$AF$404,$AG198))</f>
        <v/>
      </c>
      <c r="AD198">
        <f>IF($AG198="","",INDEX('04_調査結果'!$AC$5:$AC$404,$AG198)&amp;"")</f>
        <v/>
      </c>
      <c r="AE198">
        <f>IF($AG198="","",INDEX('04_調査結果'!$V$5:$V$404,$AG198)&amp;"")</f>
        <v/>
      </c>
      <c r="AF198">
        <f>IF($AG198="","",INDEX('04_調査結果'!$X$5:$X$404,$AG198)&amp;"")</f>
        <v/>
      </c>
      <c r="AG198" s="34">
        <f>IFERROR(MATCH(ROW()-4,'04_調査結果'!$AT$5:$AT$404,0),"")</f>
        <v/>
      </c>
    </row>
    <row r="199">
      <c r="A199">
        <f>IF($AG199="","",'01_設定'!$C$4)</f>
        <v/>
      </c>
      <c r="B199">
        <f>IF($AG199="","",'01_設定'!$C$5)</f>
        <v/>
      </c>
      <c r="C199">
        <f>IF($AG199="","",'01_設定'!$C$6)</f>
        <v/>
      </c>
      <c r="D199" s="36">
        <f>IF($AG199="","",'01_設定'!$C$22)</f>
        <v/>
      </c>
      <c r="E199" s="36">
        <f>IF($AG199="","",'01_設定'!$C$23)</f>
        <v/>
      </c>
      <c r="F199">
        <f>IF($AG199="","",'01_設定'!$C$32)</f>
        <v/>
      </c>
      <c r="G199">
        <f>IF($AG199="","",ROW()-4)</f>
        <v/>
      </c>
      <c r="H199">
        <f>IF($AG199="","",INDEX('04_調査結果'!$AJ$5:$AJ$404,$AG199))</f>
        <v/>
      </c>
      <c r="I199">
        <f>IF($AG199="","",INDEX('04_調査結果'!$D$5:$D$404,$AG199)&amp;"")</f>
        <v/>
      </c>
      <c r="J199">
        <f>IF($AG199="","",INDEX('04_調査結果'!$AK$5:$AK$404,$AG199)&amp;"")</f>
        <v/>
      </c>
      <c r="K199">
        <f>IF($AG199="","",IFERROR(INDEX('M1_類型マスタ'!$B$5:$B$19,MATCH(J199,'M1_類型マスタ'!$A$5:$A$19,0)),""))</f>
        <v/>
      </c>
      <c r="L199">
        <f>IF($AG199="","",INDEX('04_調査結果'!$F$5:$F$404,$AG199)&amp;"")</f>
        <v/>
      </c>
      <c r="M199">
        <f>IF($AG199="","",INDEX('04_調査結果'!$G$5:$G$404,$AG199)&amp;"")</f>
        <v/>
      </c>
      <c r="N199">
        <f>IF($AG199="","",INDEX('04_調査結果'!$H$5:$H$404,$AG199)&amp;"")</f>
        <v/>
      </c>
      <c r="O199" s="33">
        <f>IF($AG199="","",IF(INDEX('04_調査結果'!$Z$5:$Z$404,$AG199)&lt;&gt;"",INDEX('04_調査結果'!$Z$5:$Z$404,$AG199),INDEX('04_調査結果'!$AM$5:$AM$404,$AG199)))</f>
        <v/>
      </c>
      <c r="P199" s="33">
        <f>IF($AG199="","",IF(INDEX('04_調査結果'!$AA$5:$AA$404,$AG199)&lt;&gt;"",INDEX('04_調査結果'!$AA$5:$AA$404,$AG199),INDEX('04_調査結果'!$AN$5:$AN$404,$AG199)))</f>
        <v/>
      </c>
      <c r="Q199" s="33">
        <f>IF($AG199="","",INDEX('04_調査結果'!$AD$5:$AD$404,$AG199))</f>
        <v/>
      </c>
      <c r="R199">
        <f>IF($AG199="","",INDEX('04_調査結果'!$AO$5:$AO$404,$AG199))</f>
        <v/>
      </c>
      <c r="S199" s="37">
        <f>IF($AG199="","",INDEX('04_調査結果'!$AQ$5:$AQ$404,$AG199))</f>
        <v/>
      </c>
      <c r="T199" s="37">
        <f>IF($AG199="","",INDEX('04_調査結果'!$AR$5:$AR$404,$AG199))</f>
        <v/>
      </c>
      <c r="U199">
        <f>IF($AG199="","",INDEX('04_調査結果'!$N$5:$N$404,$AG199)&amp;"")</f>
        <v/>
      </c>
      <c r="V199">
        <f>IF($AG199="","",INDEX('04_調査結果'!$O$5:$O$404,$AG199))</f>
        <v/>
      </c>
      <c r="W199">
        <f>IF($AG199="","",INDEX('04_調査結果'!$P$5:$P$404,$AG199))</f>
        <v/>
      </c>
      <c r="X199">
        <f>IF($AG199="","",INDEX('04_調査結果'!$Q$5:$Q$404,$AG199))</f>
        <v/>
      </c>
      <c r="Y199">
        <f>IF($AG199="","",INDEX('04_調査結果'!$R$5:$R$404,$AG199))</f>
        <v/>
      </c>
      <c r="Z199">
        <f>IF($AG199="","",INDEX('04_調査結果'!$S$5:$S$404,$AG199))</f>
        <v/>
      </c>
      <c r="AA199">
        <f>IF($AG199="","",INDEX('04_調査結果'!$T$5:$T$404,$AG199))</f>
        <v/>
      </c>
      <c r="AB199">
        <f>IF($AG199="","",INDEX('04_調査結果'!$U$5:$U$404,$AG199))</f>
        <v/>
      </c>
      <c r="AC199">
        <f>IF($AG199="","",INDEX('04_調査結果'!$AF$5:$AF$404,$AG199))</f>
        <v/>
      </c>
      <c r="AD199">
        <f>IF($AG199="","",INDEX('04_調査結果'!$AC$5:$AC$404,$AG199)&amp;"")</f>
        <v/>
      </c>
      <c r="AE199">
        <f>IF($AG199="","",INDEX('04_調査結果'!$V$5:$V$404,$AG199)&amp;"")</f>
        <v/>
      </c>
      <c r="AF199">
        <f>IF($AG199="","",INDEX('04_調査結果'!$X$5:$X$404,$AG199)&amp;"")</f>
        <v/>
      </c>
      <c r="AG199" s="34">
        <f>IFERROR(MATCH(ROW()-4,'04_調査結果'!$AT$5:$AT$404,0),"")</f>
        <v/>
      </c>
    </row>
    <row r="200">
      <c r="A200">
        <f>IF($AG200="","",'01_設定'!$C$4)</f>
        <v/>
      </c>
      <c r="B200">
        <f>IF($AG200="","",'01_設定'!$C$5)</f>
        <v/>
      </c>
      <c r="C200">
        <f>IF($AG200="","",'01_設定'!$C$6)</f>
        <v/>
      </c>
      <c r="D200" s="36">
        <f>IF($AG200="","",'01_設定'!$C$22)</f>
        <v/>
      </c>
      <c r="E200" s="36">
        <f>IF($AG200="","",'01_設定'!$C$23)</f>
        <v/>
      </c>
      <c r="F200">
        <f>IF($AG200="","",'01_設定'!$C$32)</f>
        <v/>
      </c>
      <c r="G200">
        <f>IF($AG200="","",ROW()-4)</f>
        <v/>
      </c>
      <c r="H200">
        <f>IF($AG200="","",INDEX('04_調査結果'!$AJ$5:$AJ$404,$AG200))</f>
        <v/>
      </c>
      <c r="I200">
        <f>IF($AG200="","",INDEX('04_調査結果'!$D$5:$D$404,$AG200)&amp;"")</f>
        <v/>
      </c>
      <c r="J200">
        <f>IF($AG200="","",INDEX('04_調査結果'!$AK$5:$AK$404,$AG200)&amp;"")</f>
        <v/>
      </c>
      <c r="K200">
        <f>IF($AG200="","",IFERROR(INDEX('M1_類型マスタ'!$B$5:$B$19,MATCH(J200,'M1_類型マスタ'!$A$5:$A$19,0)),""))</f>
        <v/>
      </c>
      <c r="L200">
        <f>IF($AG200="","",INDEX('04_調査結果'!$F$5:$F$404,$AG200)&amp;"")</f>
        <v/>
      </c>
      <c r="M200">
        <f>IF($AG200="","",INDEX('04_調査結果'!$G$5:$G$404,$AG200)&amp;"")</f>
        <v/>
      </c>
      <c r="N200">
        <f>IF($AG200="","",INDEX('04_調査結果'!$H$5:$H$404,$AG200)&amp;"")</f>
        <v/>
      </c>
      <c r="O200" s="33">
        <f>IF($AG200="","",IF(INDEX('04_調査結果'!$Z$5:$Z$404,$AG200)&lt;&gt;"",INDEX('04_調査結果'!$Z$5:$Z$404,$AG200),INDEX('04_調査結果'!$AM$5:$AM$404,$AG200)))</f>
        <v/>
      </c>
      <c r="P200" s="33">
        <f>IF($AG200="","",IF(INDEX('04_調査結果'!$AA$5:$AA$404,$AG200)&lt;&gt;"",INDEX('04_調査結果'!$AA$5:$AA$404,$AG200),INDEX('04_調査結果'!$AN$5:$AN$404,$AG200)))</f>
        <v/>
      </c>
      <c r="Q200" s="33">
        <f>IF($AG200="","",INDEX('04_調査結果'!$AD$5:$AD$404,$AG200))</f>
        <v/>
      </c>
      <c r="R200">
        <f>IF($AG200="","",INDEX('04_調査結果'!$AO$5:$AO$404,$AG200))</f>
        <v/>
      </c>
      <c r="S200" s="37">
        <f>IF($AG200="","",INDEX('04_調査結果'!$AQ$5:$AQ$404,$AG200))</f>
        <v/>
      </c>
      <c r="T200" s="37">
        <f>IF($AG200="","",INDEX('04_調査結果'!$AR$5:$AR$404,$AG200))</f>
        <v/>
      </c>
      <c r="U200">
        <f>IF($AG200="","",INDEX('04_調査結果'!$N$5:$N$404,$AG200)&amp;"")</f>
        <v/>
      </c>
      <c r="V200">
        <f>IF($AG200="","",INDEX('04_調査結果'!$O$5:$O$404,$AG200))</f>
        <v/>
      </c>
      <c r="W200">
        <f>IF($AG200="","",INDEX('04_調査結果'!$P$5:$P$404,$AG200))</f>
        <v/>
      </c>
      <c r="X200">
        <f>IF($AG200="","",INDEX('04_調査結果'!$Q$5:$Q$404,$AG200))</f>
        <v/>
      </c>
      <c r="Y200">
        <f>IF($AG200="","",INDEX('04_調査結果'!$R$5:$R$404,$AG200))</f>
        <v/>
      </c>
      <c r="Z200">
        <f>IF($AG200="","",INDEX('04_調査結果'!$S$5:$S$404,$AG200))</f>
        <v/>
      </c>
      <c r="AA200">
        <f>IF($AG200="","",INDEX('04_調査結果'!$T$5:$T$404,$AG200))</f>
        <v/>
      </c>
      <c r="AB200">
        <f>IF($AG200="","",INDEX('04_調査結果'!$U$5:$U$404,$AG200))</f>
        <v/>
      </c>
      <c r="AC200">
        <f>IF($AG200="","",INDEX('04_調査結果'!$AF$5:$AF$404,$AG200))</f>
        <v/>
      </c>
      <c r="AD200">
        <f>IF($AG200="","",INDEX('04_調査結果'!$AC$5:$AC$404,$AG200)&amp;"")</f>
        <v/>
      </c>
      <c r="AE200">
        <f>IF($AG200="","",INDEX('04_調査結果'!$V$5:$V$404,$AG200)&amp;"")</f>
        <v/>
      </c>
      <c r="AF200">
        <f>IF($AG200="","",INDEX('04_調査結果'!$X$5:$X$404,$AG200)&amp;"")</f>
        <v/>
      </c>
      <c r="AG200" s="34">
        <f>IFERROR(MATCH(ROW()-4,'04_調査結果'!$AT$5:$AT$404,0),"")</f>
        <v/>
      </c>
    </row>
    <row r="201">
      <c r="A201">
        <f>IF($AG201="","",'01_設定'!$C$4)</f>
        <v/>
      </c>
      <c r="B201">
        <f>IF($AG201="","",'01_設定'!$C$5)</f>
        <v/>
      </c>
      <c r="C201">
        <f>IF($AG201="","",'01_設定'!$C$6)</f>
        <v/>
      </c>
      <c r="D201" s="36">
        <f>IF($AG201="","",'01_設定'!$C$22)</f>
        <v/>
      </c>
      <c r="E201" s="36">
        <f>IF($AG201="","",'01_設定'!$C$23)</f>
        <v/>
      </c>
      <c r="F201">
        <f>IF($AG201="","",'01_設定'!$C$32)</f>
        <v/>
      </c>
      <c r="G201">
        <f>IF($AG201="","",ROW()-4)</f>
        <v/>
      </c>
      <c r="H201">
        <f>IF($AG201="","",INDEX('04_調査結果'!$AJ$5:$AJ$404,$AG201))</f>
        <v/>
      </c>
      <c r="I201">
        <f>IF($AG201="","",INDEX('04_調査結果'!$D$5:$D$404,$AG201)&amp;"")</f>
        <v/>
      </c>
      <c r="J201">
        <f>IF($AG201="","",INDEX('04_調査結果'!$AK$5:$AK$404,$AG201)&amp;"")</f>
        <v/>
      </c>
      <c r="K201">
        <f>IF($AG201="","",IFERROR(INDEX('M1_類型マスタ'!$B$5:$B$19,MATCH(J201,'M1_類型マスタ'!$A$5:$A$19,0)),""))</f>
        <v/>
      </c>
      <c r="L201">
        <f>IF($AG201="","",INDEX('04_調査結果'!$F$5:$F$404,$AG201)&amp;"")</f>
        <v/>
      </c>
      <c r="M201">
        <f>IF($AG201="","",INDEX('04_調査結果'!$G$5:$G$404,$AG201)&amp;"")</f>
        <v/>
      </c>
      <c r="N201">
        <f>IF($AG201="","",INDEX('04_調査結果'!$H$5:$H$404,$AG201)&amp;"")</f>
        <v/>
      </c>
      <c r="O201" s="33">
        <f>IF($AG201="","",IF(INDEX('04_調査結果'!$Z$5:$Z$404,$AG201)&lt;&gt;"",INDEX('04_調査結果'!$Z$5:$Z$404,$AG201),INDEX('04_調査結果'!$AM$5:$AM$404,$AG201)))</f>
        <v/>
      </c>
      <c r="P201" s="33">
        <f>IF($AG201="","",IF(INDEX('04_調査結果'!$AA$5:$AA$404,$AG201)&lt;&gt;"",INDEX('04_調査結果'!$AA$5:$AA$404,$AG201),INDEX('04_調査結果'!$AN$5:$AN$404,$AG201)))</f>
        <v/>
      </c>
      <c r="Q201" s="33">
        <f>IF($AG201="","",INDEX('04_調査結果'!$AD$5:$AD$404,$AG201))</f>
        <v/>
      </c>
      <c r="R201">
        <f>IF($AG201="","",INDEX('04_調査結果'!$AO$5:$AO$404,$AG201))</f>
        <v/>
      </c>
      <c r="S201" s="37">
        <f>IF($AG201="","",INDEX('04_調査結果'!$AQ$5:$AQ$404,$AG201))</f>
        <v/>
      </c>
      <c r="T201" s="37">
        <f>IF($AG201="","",INDEX('04_調査結果'!$AR$5:$AR$404,$AG201))</f>
        <v/>
      </c>
      <c r="U201">
        <f>IF($AG201="","",INDEX('04_調査結果'!$N$5:$N$404,$AG201)&amp;"")</f>
        <v/>
      </c>
      <c r="V201">
        <f>IF($AG201="","",INDEX('04_調査結果'!$O$5:$O$404,$AG201))</f>
        <v/>
      </c>
      <c r="W201">
        <f>IF($AG201="","",INDEX('04_調査結果'!$P$5:$P$404,$AG201))</f>
        <v/>
      </c>
      <c r="X201">
        <f>IF($AG201="","",INDEX('04_調査結果'!$Q$5:$Q$404,$AG201))</f>
        <v/>
      </c>
      <c r="Y201">
        <f>IF($AG201="","",INDEX('04_調査結果'!$R$5:$R$404,$AG201))</f>
        <v/>
      </c>
      <c r="Z201">
        <f>IF($AG201="","",INDEX('04_調査結果'!$S$5:$S$404,$AG201))</f>
        <v/>
      </c>
      <c r="AA201">
        <f>IF($AG201="","",INDEX('04_調査結果'!$T$5:$T$404,$AG201))</f>
        <v/>
      </c>
      <c r="AB201">
        <f>IF($AG201="","",INDEX('04_調査結果'!$U$5:$U$404,$AG201))</f>
        <v/>
      </c>
      <c r="AC201">
        <f>IF($AG201="","",INDEX('04_調査結果'!$AF$5:$AF$404,$AG201))</f>
        <v/>
      </c>
      <c r="AD201">
        <f>IF($AG201="","",INDEX('04_調査結果'!$AC$5:$AC$404,$AG201)&amp;"")</f>
        <v/>
      </c>
      <c r="AE201">
        <f>IF($AG201="","",INDEX('04_調査結果'!$V$5:$V$404,$AG201)&amp;"")</f>
        <v/>
      </c>
      <c r="AF201">
        <f>IF($AG201="","",INDEX('04_調査結果'!$X$5:$X$404,$AG201)&amp;"")</f>
        <v/>
      </c>
      <c r="AG201" s="34">
        <f>IFERROR(MATCH(ROW()-4,'04_調査結果'!$AT$5:$AT$404,0),"")</f>
        <v/>
      </c>
    </row>
    <row r="202">
      <c r="A202">
        <f>IF($AG202="","",'01_設定'!$C$4)</f>
        <v/>
      </c>
      <c r="B202">
        <f>IF($AG202="","",'01_設定'!$C$5)</f>
        <v/>
      </c>
      <c r="C202">
        <f>IF($AG202="","",'01_設定'!$C$6)</f>
        <v/>
      </c>
      <c r="D202" s="36">
        <f>IF($AG202="","",'01_設定'!$C$22)</f>
        <v/>
      </c>
      <c r="E202" s="36">
        <f>IF($AG202="","",'01_設定'!$C$23)</f>
        <v/>
      </c>
      <c r="F202">
        <f>IF($AG202="","",'01_設定'!$C$32)</f>
        <v/>
      </c>
      <c r="G202">
        <f>IF($AG202="","",ROW()-4)</f>
        <v/>
      </c>
      <c r="H202">
        <f>IF($AG202="","",INDEX('04_調査結果'!$AJ$5:$AJ$404,$AG202))</f>
        <v/>
      </c>
      <c r="I202">
        <f>IF($AG202="","",INDEX('04_調査結果'!$D$5:$D$404,$AG202)&amp;"")</f>
        <v/>
      </c>
      <c r="J202">
        <f>IF($AG202="","",INDEX('04_調査結果'!$AK$5:$AK$404,$AG202)&amp;"")</f>
        <v/>
      </c>
      <c r="K202">
        <f>IF($AG202="","",IFERROR(INDEX('M1_類型マスタ'!$B$5:$B$19,MATCH(J202,'M1_類型マスタ'!$A$5:$A$19,0)),""))</f>
        <v/>
      </c>
      <c r="L202">
        <f>IF($AG202="","",INDEX('04_調査結果'!$F$5:$F$404,$AG202)&amp;"")</f>
        <v/>
      </c>
      <c r="M202">
        <f>IF($AG202="","",INDEX('04_調査結果'!$G$5:$G$404,$AG202)&amp;"")</f>
        <v/>
      </c>
      <c r="N202">
        <f>IF($AG202="","",INDEX('04_調査結果'!$H$5:$H$404,$AG202)&amp;"")</f>
        <v/>
      </c>
      <c r="O202" s="33">
        <f>IF($AG202="","",IF(INDEX('04_調査結果'!$Z$5:$Z$404,$AG202)&lt;&gt;"",INDEX('04_調査結果'!$Z$5:$Z$404,$AG202),INDEX('04_調査結果'!$AM$5:$AM$404,$AG202)))</f>
        <v/>
      </c>
      <c r="P202" s="33">
        <f>IF($AG202="","",IF(INDEX('04_調査結果'!$AA$5:$AA$404,$AG202)&lt;&gt;"",INDEX('04_調査結果'!$AA$5:$AA$404,$AG202),INDEX('04_調査結果'!$AN$5:$AN$404,$AG202)))</f>
        <v/>
      </c>
      <c r="Q202" s="33">
        <f>IF($AG202="","",INDEX('04_調査結果'!$AD$5:$AD$404,$AG202))</f>
        <v/>
      </c>
      <c r="R202">
        <f>IF($AG202="","",INDEX('04_調査結果'!$AO$5:$AO$404,$AG202))</f>
        <v/>
      </c>
      <c r="S202" s="37">
        <f>IF($AG202="","",INDEX('04_調査結果'!$AQ$5:$AQ$404,$AG202))</f>
        <v/>
      </c>
      <c r="T202" s="37">
        <f>IF($AG202="","",INDEX('04_調査結果'!$AR$5:$AR$404,$AG202))</f>
        <v/>
      </c>
      <c r="U202">
        <f>IF($AG202="","",INDEX('04_調査結果'!$N$5:$N$404,$AG202)&amp;"")</f>
        <v/>
      </c>
      <c r="V202">
        <f>IF($AG202="","",INDEX('04_調査結果'!$O$5:$O$404,$AG202))</f>
        <v/>
      </c>
      <c r="W202">
        <f>IF($AG202="","",INDEX('04_調査結果'!$P$5:$P$404,$AG202))</f>
        <v/>
      </c>
      <c r="X202">
        <f>IF($AG202="","",INDEX('04_調査結果'!$Q$5:$Q$404,$AG202))</f>
        <v/>
      </c>
      <c r="Y202">
        <f>IF($AG202="","",INDEX('04_調査結果'!$R$5:$R$404,$AG202))</f>
        <v/>
      </c>
      <c r="Z202">
        <f>IF($AG202="","",INDEX('04_調査結果'!$S$5:$S$404,$AG202))</f>
        <v/>
      </c>
      <c r="AA202">
        <f>IF($AG202="","",INDEX('04_調査結果'!$T$5:$T$404,$AG202))</f>
        <v/>
      </c>
      <c r="AB202">
        <f>IF($AG202="","",INDEX('04_調査結果'!$U$5:$U$404,$AG202))</f>
        <v/>
      </c>
      <c r="AC202">
        <f>IF($AG202="","",INDEX('04_調査結果'!$AF$5:$AF$404,$AG202))</f>
        <v/>
      </c>
      <c r="AD202">
        <f>IF($AG202="","",INDEX('04_調査結果'!$AC$5:$AC$404,$AG202)&amp;"")</f>
        <v/>
      </c>
      <c r="AE202">
        <f>IF($AG202="","",INDEX('04_調査結果'!$V$5:$V$404,$AG202)&amp;"")</f>
        <v/>
      </c>
      <c r="AF202">
        <f>IF($AG202="","",INDEX('04_調査結果'!$X$5:$X$404,$AG202)&amp;"")</f>
        <v/>
      </c>
      <c r="AG202" s="34">
        <f>IFERROR(MATCH(ROW()-4,'04_調査結果'!$AT$5:$AT$404,0),"")</f>
        <v/>
      </c>
    </row>
    <row r="203">
      <c r="A203">
        <f>IF($AG203="","",'01_設定'!$C$4)</f>
        <v/>
      </c>
      <c r="B203">
        <f>IF($AG203="","",'01_設定'!$C$5)</f>
        <v/>
      </c>
      <c r="C203">
        <f>IF($AG203="","",'01_設定'!$C$6)</f>
        <v/>
      </c>
      <c r="D203" s="36">
        <f>IF($AG203="","",'01_設定'!$C$22)</f>
        <v/>
      </c>
      <c r="E203" s="36">
        <f>IF($AG203="","",'01_設定'!$C$23)</f>
        <v/>
      </c>
      <c r="F203">
        <f>IF($AG203="","",'01_設定'!$C$32)</f>
        <v/>
      </c>
      <c r="G203">
        <f>IF($AG203="","",ROW()-4)</f>
        <v/>
      </c>
      <c r="H203">
        <f>IF($AG203="","",INDEX('04_調査結果'!$AJ$5:$AJ$404,$AG203))</f>
        <v/>
      </c>
      <c r="I203">
        <f>IF($AG203="","",INDEX('04_調査結果'!$D$5:$D$404,$AG203)&amp;"")</f>
        <v/>
      </c>
      <c r="J203">
        <f>IF($AG203="","",INDEX('04_調査結果'!$AK$5:$AK$404,$AG203)&amp;"")</f>
        <v/>
      </c>
      <c r="K203">
        <f>IF($AG203="","",IFERROR(INDEX('M1_類型マスタ'!$B$5:$B$19,MATCH(J203,'M1_類型マスタ'!$A$5:$A$19,0)),""))</f>
        <v/>
      </c>
      <c r="L203">
        <f>IF($AG203="","",INDEX('04_調査結果'!$F$5:$F$404,$AG203)&amp;"")</f>
        <v/>
      </c>
      <c r="M203">
        <f>IF($AG203="","",INDEX('04_調査結果'!$G$5:$G$404,$AG203)&amp;"")</f>
        <v/>
      </c>
      <c r="N203">
        <f>IF($AG203="","",INDEX('04_調査結果'!$H$5:$H$404,$AG203)&amp;"")</f>
        <v/>
      </c>
      <c r="O203" s="33">
        <f>IF($AG203="","",IF(INDEX('04_調査結果'!$Z$5:$Z$404,$AG203)&lt;&gt;"",INDEX('04_調査結果'!$Z$5:$Z$404,$AG203),INDEX('04_調査結果'!$AM$5:$AM$404,$AG203)))</f>
        <v/>
      </c>
      <c r="P203" s="33">
        <f>IF($AG203="","",IF(INDEX('04_調査結果'!$AA$5:$AA$404,$AG203)&lt;&gt;"",INDEX('04_調査結果'!$AA$5:$AA$404,$AG203),INDEX('04_調査結果'!$AN$5:$AN$404,$AG203)))</f>
        <v/>
      </c>
      <c r="Q203" s="33">
        <f>IF($AG203="","",INDEX('04_調査結果'!$AD$5:$AD$404,$AG203))</f>
        <v/>
      </c>
      <c r="R203">
        <f>IF($AG203="","",INDEX('04_調査結果'!$AO$5:$AO$404,$AG203))</f>
        <v/>
      </c>
      <c r="S203" s="37">
        <f>IF($AG203="","",INDEX('04_調査結果'!$AQ$5:$AQ$404,$AG203))</f>
        <v/>
      </c>
      <c r="T203" s="37">
        <f>IF($AG203="","",INDEX('04_調査結果'!$AR$5:$AR$404,$AG203))</f>
        <v/>
      </c>
      <c r="U203">
        <f>IF($AG203="","",INDEX('04_調査結果'!$N$5:$N$404,$AG203)&amp;"")</f>
        <v/>
      </c>
      <c r="V203">
        <f>IF($AG203="","",INDEX('04_調査結果'!$O$5:$O$404,$AG203))</f>
        <v/>
      </c>
      <c r="W203">
        <f>IF($AG203="","",INDEX('04_調査結果'!$P$5:$P$404,$AG203))</f>
        <v/>
      </c>
      <c r="X203">
        <f>IF($AG203="","",INDEX('04_調査結果'!$Q$5:$Q$404,$AG203))</f>
        <v/>
      </c>
      <c r="Y203">
        <f>IF($AG203="","",INDEX('04_調査結果'!$R$5:$R$404,$AG203))</f>
        <v/>
      </c>
      <c r="Z203">
        <f>IF($AG203="","",INDEX('04_調査結果'!$S$5:$S$404,$AG203))</f>
        <v/>
      </c>
      <c r="AA203">
        <f>IF($AG203="","",INDEX('04_調査結果'!$T$5:$T$404,$AG203))</f>
        <v/>
      </c>
      <c r="AB203">
        <f>IF($AG203="","",INDEX('04_調査結果'!$U$5:$U$404,$AG203))</f>
        <v/>
      </c>
      <c r="AC203">
        <f>IF($AG203="","",INDEX('04_調査結果'!$AF$5:$AF$404,$AG203))</f>
        <v/>
      </c>
      <c r="AD203">
        <f>IF($AG203="","",INDEX('04_調査結果'!$AC$5:$AC$404,$AG203)&amp;"")</f>
        <v/>
      </c>
      <c r="AE203">
        <f>IF($AG203="","",INDEX('04_調査結果'!$V$5:$V$404,$AG203)&amp;"")</f>
        <v/>
      </c>
      <c r="AF203">
        <f>IF($AG203="","",INDEX('04_調査結果'!$X$5:$X$404,$AG203)&amp;"")</f>
        <v/>
      </c>
      <c r="AG203" s="34">
        <f>IFERROR(MATCH(ROW()-4,'04_調査結果'!$AT$5:$AT$404,0),"")</f>
        <v/>
      </c>
    </row>
    <row r="204">
      <c r="A204">
        <f>IF($AG204="","",'01_設定'!$C$4)</f>
        <v/>
      </c>
      <c r="B204">
        <f>IF($AG204="","",'01_設定'!$C$5)</f>
        <v/>
      </c>
      <c r="C204">
        <f>IF($AG204="","",'01_設定'!$C$6)</f>
        <v/>
      </c>
      <c r="D204" s="36">
        <f>IF($AG204="","",'01_設定'!$C$22)</f>
        <v/>
      </c>
      <c r="E204" s="36">
        <f>IF($AG204="","",'01_設定'!$C$23)</f>
        <v/>
      </c>
      <c r="F204">
        <f>IF($AG204="","",'01_設定'!$C$32)</f>
        <v/>
      </c>
      <c r="G204">
        <f>IF($AG204="","",ROW()-4)</f>
        <v/>
      </c>
      <c r="H204">
        <f>IF($AG204="","",INDEX('04_調査結果'!$AJ$5:$AJ$404,$AG204))</f>
        <v/>
      </c>
      <c r="I204">
        <f>IF($AG204="","",INDEX('04_調査結果'!$D$5:$D$404,$AG204)&amp;"")</f>
        <v/>
      </c>
      <c r="J204">
        <f>IF($AG204="","",INDEX('04_調査結果'!$AK$5:$AK$404,$AG204)&amp;"")</f>
        <v/>
      </c>
      <c r="K204">
        <f>IF($AG204="","",IFERROR(INDEX('M1_類型マスタ'!$B$5:$B$19,MATCH(J204,'M1_類型マスタ'!$A$5:$A$19,0)),""))</f>
        <v/>
      </c>
      <c r="L204">
        <f>IF($AG204="","",INDEX('04_調査結果'!$F$5:$F$404,$AG204)&amp;"")</f>
        <v/>
      </c>
      <c r="M204">
        <f>IF($AG204="","",INDEX('04_調査結果'!$G$5:$G$404,$AG204)&amp;"")</f>
        <v/>
      </c>
      <c r="N204">
        <f>IF($AG204="","",INDEX('04_調査結果'!$H$5:$H$404,$AG204)&amp;"")</f>
        <v/>
      </c>
      <c r="O204" s="33">
        <f>IF($AG204="","",IF(INDEX('04_調査結果'!$Z$5:$Z$404,$AG204)&lt;&gt;"",INDEX('04_調査結果'!$Z$5:$Z$404,$AG204),INDEX('04_調査結果'!$AM$5:$AM$404,$AG204)))</f>
        <v/>
      </c>
      <c r="P204" s="33">
        <f>IF($AG204="","",IF(INDEX('04_調査結果'!$AA$5:$AA$404,$AG204)&lt;&gt;"",INDEX('04_調査結果'!$AA$5:$AA$404,$AG204),INDEX('04_調査結果'!$AN$5:$AN$404,$AG204)))</f>
        <v/>
      </c>
      <c r="Q204" s="33">
        <f>IF($AG204="","",INDEX('04_調査結果'!$AD$5:$AD$404,$AG204))</f>
        <v/>
      </c>
      <c r="R204">
        <f>IF($AG204="","",INDEX('04_調査結果'!$AO$5:$AO$404,$AG204))</f>
        <v/>
      </c>
      <c r="S204" s="37">
        <f>IF($AG204="","",INDEX('04_調査結果'!$AQ$5:$AQ$404,$AG204))</f>
        <v/>
      </c>
      <c r="T204" s="37">
        <f>IF($AG204="","",INDEX('04_調査結果'!$AR$5:$AR$404,$AG204))</f>
        <v/>
      </c>
      <c r="U204">
        <f>IF($AG204="","",INDEX('04_調査結果'!$N$5:$N$404,$AG204)&amp;"")</f>
        <v/>
      </c>
      <c r="V204">
        <f>IF($AG204="","",INDEX('04_調査結果'!$O$5:$O$404,$AG204))</f>
        <v/>
      </c>
      <c r="W204">
        <f>IF($AG204="","",INDEX('04_調査結果'!$P$5:$P$404,$AG204))</f>
        <v/>
      </c>
      <c r="X204">
        <f>IF($AG204="","",INDEX('04_調査結果'!$Q$5:$Q$404,$AG204))</f>
        <v/>
      </c>
      <c r="Y204">
        <f>IF($AG204="","",INDEX('04_調査結果'!$R$5:$R$404,$AG204))</f>
        <v/>
      </c>
      <c r="Z204">
        <f>IF($AG204="","",INDEX('04_調査結果'!$S$5:$S$404,$AG204))</f>
        <v/>
      </c>
      <c r="AA204">
        <f>IF($AG204="","",INDEX('04_調査結果'!$T$5:$T$404,$AG204))</f>
        <v/>
      </c>
      <c r="AB204">
        <f>IF($AG204="","",INDEX('04_調査結果'!$U$5:$U$404,$AG204))</f>
        <v/>
      </c>
      <c r="AC204">
        <f>IF($AG204="","",INDEX('04_調査結果'!$AF$5:$AF$404,$AG204))</f>
        <v/>
      </c>
      <c r="AD204">
        <f>IF($AG204="","",INDEX('04_調査結果'!$AC$5:$AC$404,$AG204)&amp;"")</f>
        <v/>
      </c>
      <c r="AE204">
        <f>IF($AG204="","",INDEX('04_調査結果'!$V$5:$V$404,$AG204)&amp;"")</f>
        <v/>
      </c>
      <c r="AF204">
        <f>IF($AG204="","",INDEX('04_調査結果'!$X$5:$X$404,$AG204)&amp;"")</f>
        <v/>
      </c>
      <c r="AG204" s="34">
        <f>IFERROR(MATCH(ROW()-4,'04_調査結果'!$AT$5:$AT$404,0),"")</f>
        <v/>
      </c>
    </row>
    <row r="205">
      <c r="A205">
        <f>IF($AG205="","",'01_設定'!$C$4)</f>
        <v/>
      </c>
      <c r="B205">
        <f>IF($AG205="","",'01_設定'!$C$5)</f>
        <v/>
      </c>
      <c r="C205">
        <f>IF($AG205="","",'01_設定'!$C$6)</f>
        <v/>
      </c>
      <c r="D205" s="36">
        <f>IF($AG205="","",'01_設定'!$C$22)</f>
        <v/>
      </c>
      <c r="E205" s="36">
        <f>IF($AG205="","",'01_設定'!$C$23)</f>
        <v/>
      </c>
      <c r="F205">
        <f>IF($AG205="","",'01_設定'!$C$32)</f>
        <v/>
      </c>
      <c r="G205">
        <f>IF($AG205="","",ROW()-4)</f>
        <v/>
      </c>
      <c r="H205">
        <f>IF($AG205="","",INDEX('04_調査結果'!$AJ$5:$AJ$404,$AG205))</f>
        <v/>
      </c>
      <c r="I205">
        <f>IF($AG205="","",INDEX('04_調査結果'!$D$5:$D$404,$AG205)&amp;"")</f>
        <v/>
      </c>
      <c r="J205">
        <f>IF($AG205="","",INDEX('04_調査結果'!$AK$5:$AK$404,$AG205)&amp;"")</f>
        <v/>
      </c>
      <c r="K205">
        <f>IF($AG205="","",IFERROR(INDEX('M1_類型マスタ'!$B$5:$B$19,MATCH(J205,'M1_類型マスタ'!$A$5:$A$19,0)),""))</f>
        <v/>
      </c>
      <c r="L205">
        <f>IF($AG205="","",INDEX('04_調査結果'!$F$5:$F$404,$AG205)&amp;"")</f>
        <v/>
      </c>
      <c r="M205">
        <f>IF($AG205="","",INDEX('04_調査結果'!$G$5:$G$404,$AG205)&amp;"")</f>
        <v/>
      </c>
      <c r="N205">
        <f>IF($AG205="","",INDEX('04_調査結果'!$H$5:$H$404,$AG205)&amp;"")</f>
        <v/>
      </c>
      <c r="O205" s="33">
        <f>IF($AG205="","",IF(INDEX('04_調査結果'!$Z$5:$Z$404,$AG205)&lt;&gt;"",INDEX('04_調査結果'!$Z$5:$Z$404,$AG205),INDEX('04_調査結果'!$AM$5:$AM$404,$AG205)))</f>
        <v/>
      </c>
      <c r="P205" s="33">
        <f>IF($AG205="","",IF(INDEX('04_調査結果'!$AA$5:$AA$404,$AG205)&lt;&gt;"",INDEX('04_調査結果'!$AA$5:$AA$404,$AG205),INDEX('04_調査結果'!$AN$5:$AN$404,$AG205)))</f>
        <v/>
      </c>
      <c r="Q205" s="33">
        <f>IF($AG205="","",INDEX('04_調査結果'!$AD$5:$AD$404,$AG205))</f>
        <v/>
      </c>
      <c r="R205">
        <f>IF($AG205="","",INDEX('04_調査結果'!$AO$5:$AO$404,$AG205))</f>
        <v/>
      </c>
      <c r="S205" s="37">
        <f>IF($AG205="","",INDEX('04_調査結果'!$AQ$5:$AQ$404,$AG205))</f>
        <v/>
      </c>
      <c r="T205" s="37">
        <f>IF($AG205="","",INDEX('04_調査結果'!$AR$5:$AR$404,$AG205))</f>
        <v/>
      </c>
      <c r="U205">
        <f>IF($AG205="","",INDEX('04_調査結果'!$N$5:$N$404,$AG205)&amp;"")</f>
        <v/>
      </c>
      <c r="V205">
        <f>IF($AG205="","",INDEX('04_調査結果'!$O$5:$O$404,$AG205))</f>
        <v/>
      </c>
      <c r="W205">
        <f>IF($AG205="","",INDEX('04_調査結果'!$P$5:$P$404,$AG205))</f>
        <v/>
      </c>
      <c r="X205">
        <f>IF($AG205="","",INDEX('04_調査結果'!$Q$5:$Q$404,$AG205))</f>
        <v/>
      </c>
      <c r="Y205">
        <f>IF($AG205="","",INDEX('04_調査結果'!$R$5:$R$404,$AG205))</f>
        <v/>
      </c>
      <c r="Z205">
        <f>IF($AG205="","",INDEX('04_調査結果'!$S$5:$S$404,$AG205))</f>
        <v/>
      </c>
      <c r="AA205">
        <f>IF($AG205="","",INDEX('04_調査結果'!$T$5:$T$404,$AG205))</f>
        <v/>
      </c>
      <c r="AB205">
        <f>IF($AG205="","",INDEX('04_調査結果'!$U$5:$U$404,$AG205))</f>
        <v/>
      </c>
      <c r="AC205">
        <f>IF($AG205="","",INDEX('04_調査結果'!$AF$5:$AF$404,$AG205))</f>
        <v/>
      </c>
      <c r="AD205">
        <f>IF($AG205="","",INDEX('04_調査結果'!$AC$5:$AC$404,$AG205)&amp;"")</f>
        <v/>
      </c>
      <c r="AE205">
        <f>IF($AG205="","",INDEX('04_調査結果'!$V$5:$V$404,$AG205)&amp;"")</f>
        <v/>
      </c>
      <c r="AF205">
        <f>IF($AG205="","",INDEX('04_調査結果'!$X$5:$X$404,$AG205)&amp;"")</f>
        <v/>
      </c>
      <c r="AG205" s="34">
        <f>IFERROR(MATCH(ROW()-4,'04_調査結果'!$AT$5:$AT$404,0),"")</f>
        <v/>
      </c>
    </row>
    <row r="206">
      <c r="A206">
        <f>IF($AG206="","",'01_設定'!$C$4)</f>
        <v/>
      </c>
      <c r="B206">
        <f>IF($AG206="","",'01_設定'!$C$5)</f>
        <v/>
      </c>
      <c r="C206">
        <f>IF($AG206="","",'01_設定'!$C$6)</f>
        <v/>
      </c>
      <c r="D206" s="36">
        <f>IF($AG206="","",'01_設定'!$C$22)</f>
        <v/>
      </c>
      <c r="E206" s="36">
        <f>IF($AG206="","",'01_設定'!$C$23)</f>
        <v/>
      </c>
      <c r="F206">
        <f>IF($AG206="","",'01_設定'!$C$32)</f>
        <v/>
      </c>
      <c r="G206">
        <f>IF($AG206="","",ROW()-4)</f>
        <v/>
      </c>
      <c r="H206">
        <f>IF($AG206="","",INDEX('04_調査結果'!$AJ$5:$AJ$404,$AG206))</f>
        <v/>
      </c>
      <c r="I206">
        <f>IF($AG206="","",INDEX('04_調査結果'!$D$5:$D$404,$AG206)&amp;"")</f>
        <v/>
      </c>
      <c r="J206">
        <f>IF($AG206="","",INDEX('04_調査結果'!$AK$5:$AK$404,$AG206)&amp;"")</f>
        <v/>
      </c>
      <c r="K206">
        <f>IF($AG206="","",IFERROR(INDEX('M1_類型マスタ'!$B$5:$B$19,MATCH(J206,'M1_類型マスタ'!$A$5:$A$19,0)),""))</f>
        <v/>
      </c>
      <c r="L206">
        <f>IF($AG206="","",INDEX('04_調査結果'!$F$5:$F$404,$AG206)&amp;"")</f>
        <v/>
      </c>
      <c r="M206">
        <f>IF($AG206="","",INDEX('04_調査結果'!$G$5:$G$404,$AG206)&amp;"")</f>
        <v/>
      </c>
      <c r="N206">
        <f>IF($AG206="","",INDEX('04_調査結果'!$H$5:$H$404,$AG206)&amp;"")</f>
        <v/>
      </c>
      <c r="O206" s="33">
        <f>IF($AG206="","",IF(INDEX('04_調査結果'!$Z$5:$Z$404,$AG206)&lt;&gt;"",INDEX('04_調査結果'!$Z$5:$Z$404,$AG206),INDEX('04_調査結果'!$AM$5:$AM$404,$AG206)))</f>
        <v/>
      </c>
      <c r="P206" s="33">
        <f>IF($AG206="","",IF(INDEX('04_調査結果'!$AA$5:$AA$404,$AG206)&lt;&gt;"",INDEX('04_調査結果'!$AA$5:$AA$404,$AG206),INDEX('04_調査結果'!$AN$5:$AN$404,$AG206)))</f>
        <v/>
      </c>
      <c r="Q206" s="33">
        <f>IF($AG206="","",INDEX('04_調査結果'!$AD$5:$AD$404,$AG206))</f>
        <v/>
      </c>
      <c r="R206">
        <f>IF($AG206="","",INDEX('04_調査結果'!$AO$5:$AO$404,$AG206))</f>
        <v/>
      </c>
      <c r="S206" s="37">
        <f>IF($AG206="","",INDEX('04_調査結果'!$AQ$5:$AQ$404,$AG206))</f>
        <v/>
      </c>
      <c r="T206" s="37">
        <f>IF($AG206="","",INDEX('04_調査結果'!$AR$5:$AR$404,$AG206))</f>
        <v/>
      </c>
      <c r="U206">
        <f>IF($AG206="","",INDEX('04_調査結果'!$N$5:$N$404,$AG206)&amp;"")</f>
        <v/>
      </c>
      <c r="V206">
        <f>IF($AG206="","",INDEX('04_調査結果'!$O$5:$O$404,$AG206))</f>
        <v/>
      </c>
      <c r="W206">
        <f>IF($AG206="","",INDEX('04_調査結果'!$P$5:$P$404,$AG206))</f>
        <v/>
      </c>
      <c r="X206">
        <f>IF($AG206="","",INDEX('04_調査結果'!$Q$5:$Q$404,$AG206))</f>
        <v/>
      </c>
      <c r="Y206">
        <f>IF($AG206="","",INDEX('04_調査結果'!$R$5:$R$404,$AG206))</f>
        <v/>
      </c>
      <c r="Z206">
        <f>IF($AG206="","",INDEX('04_調査結果'!$S$5:$S$404,$AG206))</f>
        <v/>
      </c>
      <c r="AA206">
        <f>IF($AG206="","",INDEX('04_調査結果'!$T$5:$T$404,$AG206))</f>
        <v/>
      </c>
      <c r="AB206">
        <f>IF($AG206="","",INDEX('04_調査結果'!$U$5:$U$404,$AG206))</f>
        <v/>
      </c>
      <c r="AC206">
        <f>IF($AG206="","",INDEX('04_調査結果'!$AF$5:$AF$404,$AG206))</f>
        <v/>
      </c>
      <c r="AD206">
        <f>IF($AG206="","",INDEX('04_調査結果'!$AC$5:$AC$404,$AG206)&amp;"")</f>
        <v/>
      </c>
      <c r="AE206">
        <f>IF($AG206="","",INDEX('04_調査結果'!$V$5:$V$404,$AG206)&amp;"")</f>
        <v/>
      </c>
      <c r="AF206">
        <f>IF($AG206="","",INDEX('04_調査結果'!$X$5:$X$404,$AG206)&amp;"")</f>
        <v/>
      </c>
      <c r="AG206" s="34">
        <f>IFERROR(MATCH(ROW()-4,'04_調査結果'!$AT$5:$AT$404,0),"")</f>
        <v/>
      </c>
    </row>
    <row r="207">
      <c r="A207">
        <f>IF($AG207="","",'01_設定'!$C$4)</f>
        <v/>
      </c>
      <c r="B207">
        <f>IF($AG207="","",'01_設定'!$C$5)</f>
        <v/>
      </c>
      <c r="C207">
        <f>IF($AG207="","",'01_設定'!$C$6)</f>
        <v/>
      </c>
      <c r="D207" s="36">
        <f>IF($AG207="","",'01_設定'!$C$22)</f>
        <v/>
      </c>
      <c r="E207" s="36">
        <f>IF($AG207="","",'01_設定'!$C$23)</f>
        <v/>
      </c>
      <c r="F207">
        <f>IF($AG207="","",'01_設定'!$C$32)</f>
        <v/>
      </c>
      <c r="G207">
        <f>IF($AG207="","",ROW()-4)</f>
        <v/>
      </c>
      <c r="H207">
        <f>IF($AG207="","",INDEX('04_調査結果'!$AJ$5:$AJ$404,$AG207))</f>
        <v/>
      </c>
      <c r="I207">
        <f>IF($AG207="","",INDEX('04_調査結果'!$D$5:$D$404,$AG207)&amp;"")</f>
        <v/>
      </c>
      <c r="J207">
        <f>IF($AG207="","",INDEX('04_調査結果'!$AK$5:$AK$404,$AG207)&amp;"")</f>
        <v/>
      </c>
      <c r="K207">
        <f>IF($AG207="","",IFERROR(INDEX('M1_類型マスタ'!$B$5:$B$19,MATCH(J207,'M1_類型マスタ'!$A$5:$A$19,0)),""))</f>
        <v/>
      </c>
      <c r="L207">
        <f>IF($AG207="","",INDEX('04_調査結果'!$F$5:$F$404,$AG207)&amp;"")</f>
        <v/>
      </c>
      <c r="M207">
        <f>IF($AG207="","",INDEX('04_調査結果'!$G$5:$G$404,$AG207)&amp;"")</f>
        <v/>
      </c>
      <c r="N207">
        <f>IF($AG207="","",INDEX('04_調査結果'!$H$5:$H$404,$AG207)&amp;"")</f>
        <v/>
      </c>
      <c r="O207" s="33">
        <f>IF($AG207="","",IF(INDEX('04_調査結果'!$Z$5:$Z$404,$AG207)&lt;&gt;"",INDEX('04_調査結果'!$Z$5:$Z$404,$AG207),INDEX('04_調査結果'!$AM$5:$AM$404,$AG207)))</f>
        <v/>
      </c>
      <c r="P207" s="33">
        <f>IF($AG207="","",IF(INDEX('04_調査結果'!$AA$5:$AA$404,$AG207)&lt;&gt;"",INDEX('04_調査結果'!$AA$5:$AA$404,$AG207),INDEX('04_調査結果'!$AN$5:$AN$404,$AG207)))</f>
        <v/>
      </c>
      <c r="Q207" s="33">
        <f>IF($AG207="","",INDEX('04_調査結果'!$AD$5:$AD$404,$AG207))</f>
        <v/>
      </c>
      <c r="R207">
        <f>IF($AG207="","",INDEX('04_調査結果'!$AO$5:$AO$404,$AG207))</f>
        <v/>
      </c>
      <c r="S207" s="37">
        <f>IF($AG207="","",INDEX('04_調査結果'!$AQ$5:$AQ$404,$AG207))</f>
        <v/>
      </c>
      <c r="T207" s="37">
        <f>IF($AG207="","",INDEX('04_調査結果'!$AR$5:$AR$404,$AG207))</f>
        <v/>
      </c>
      <c r="U207">
        <f>IF($AG207="","",INDEX('04_調査結果'!$N$5:$N$404,$AG207)&amp;"")</f>
        <v/>
      </c>
      <c r="V207">
        <f>IF($AG207="","",INDEX('04_調査結果'!$O$5:$O$404,$AG207))</f>
        <v/>
      </c>
      <c r="W207">
        <f>IF($AG207="","",INDEX('04_調査結果'!$P$5:$P$404,$AG207))</f>
        <v/>
      </c>
      <c r="X207">
        <f>IF($AG207="","",INDEX('04_調査結果'!$Q$5:$Q$404,$AG207))</f>
        <v/>
      </c>
      <c r="Y207">
        <f>IF($AG207="","",INDEX('04_調査結果'!$R$5:$R$404,$AG207))</f>
        <v/>
      </c>
      <c r="Z207">
        <f>IF($AG207="","",INDEX('04_調査結果'!$S$5:$S$404,$AG207))</f>
        <v/>
      </c>
      <c r="AA207">
        <f>IF($AG207="","",INDEX('04_調査結果'!$T$5:$T$404,$AG207))</f>
        <v/>
      </c>
      <c r="AB207">
        <f>IF($AG207="","",INDEX('04_調査結果'!$U$5:$U$404,$AG207))</f>
        <v/>
      </c>
      <c r="AC207">
        <f>IF($AG207="","",INDEX('04_調査結果'!$AF$5:$AF$404,$AG207))</f>
        <v/>
      </c>
      <c r="AD207">
        <f>IF($AG207="","",INDEX('04_調査結果'!$AC$5:$AC$404,$AG207)&amp;"")</f>
        <v/>
      </c>
      <c r="AE207">
        <f>IF($AG207="","",INDEX('04_調査結果'!$V$5:$V$404,$AG207)&amp;"")</f>
        <v/>
      </c>
      <c r="AF207">
        <f>IF($AG207="","",INDEX('04_調査結果'!$X$5:$X$404,$AG207)&amp;"")</f>
        <v/>
      </c>
      <c r="AG207" s="34">
        <f>IFERROR(MATCH(ROW()-4,'04_調査結果'!$AT$5:$AT$404,0),"")</f>
        <v/>
      </c>
    </row>
    <row r="208">
      <c r="A208">
        <f>IF($AG208="","",'01_設定'!$C$4)</f>
        <v/>
      </c>
      <c r="B208">
        <f>IF($AG208="","",'01_設定'!$C$5)</f>
        <v/>
      </c>
      <c r="C208">
        <f>IF($AG208="","",'01_設定'!$C$6)</f>
        <v/>
      </c>
      <c r="D208" s="36">
        <f>IF($AG208="","",'01_設定'!$C$22)</f>
        <v/>
      </c>
      <c r="E208" s="36">
        <f>IF($AG208="","",'01_設定'!$C$23)</f>
        <v/>
      </c>
      <c r="F208">
        <f>IF($AG208="","",'01_設定'!$C$32)</f>
        <v/>
      </c>
      <c r="G208">
        <f>IF($AG208="","",ROW()-4)</f>
        <v/>
      </c>
      <c r="H208">
        <f>IF($AG208="","",INDEX('04_調査結果'!$AJ$5:$AJ$404,$AG208))</f>
        <v/>
      </c>
      <c r="I208">
        <f>IF($AG208="","",INDEX('04_調査結果'!$D$5:$D$404,$AG208)&amp;"")</f>
        <v/>
      </c>
      <c r="J208">
        <f>IF($AG208="","",INDEX('04_調査結果'!$AK$5:$AK$404,$AG208)&amp;"")</f>
        <v/>
      </c>
      <c r="K208">
        <f>IF($AG208="","",IFERROR(INDEX('M1_類型マスタ'!$B$5:$B$19,MATCH(J208,'M1_類型マスタ'!$A$5:$A$19,0)),""))</f>
        <v/>
      </c>
      <c r="L208">
        <f>IF($AG208="","",INDEX('04_調査結果'!$F$5:$F$404,$AG208)&amp;"")</f>
        <v/>
      </c>
      <c r="M208">
        <f>IF($AG208="","",INDEX('04_調査結果'!$G$5:$G$404,$AG208)&amp;"")</f>
        <v/>
      </c>
      <c r="N208">
        <f>IF($AG208="","",INDEX('04_調査結果'!$H$5:$H$404,$AG208)&amp;"")</f>
        <v/>
      </c>
      <c r="O208" s="33">
        <f>IF($AG208="","",IF(INDEX('04_調査結果'!$Z$5:$Z$404,$AG208)&lt;&gt;"",INDEX('04_調査結果'!$Z$5:$Z$404,$AG208),INDEX('04_調査結果'!$AM$5:$AM$404,$AG208)))</f>
        <v/>
      </c>
      <c r="P208" s="33">
        <f>IF($AG208="","",IF(INDEX('04_調査結果'!$AA$5:$AA$404,$AG208)&lt;&gt;"",INDEX('04_調査結果'!$AA$5:$AA$404,$AG208),INDEX('04_調査結果'!$AN$5:$AN$404,$AG208)))</f>
        <v/>
      </c>
      <c r="Q208" s="33">
        <f>IF($AG208="","",INDEX('04_調査結果'!$AD$5:$AD$404,$AG208))</f>
        <v/>
      </c>
      <c r="R208">
        <f>IF($AG208="","",INDEX('04_調査結果'!$AO$5:$AO$404,$AG208))</f>
        <v/>
      </c>
      <c r="S208" s="37">
        <f>IF($AG208="","",INDEX('04_調査結果'!$AQ$5:$AQ$404,$AG208))</f>
        <v/>
      </c>
      <c r="T208" s="37">
        <f>IF($AG208="","",INDEX('04_調査結果'!$AR$5:$AR$404,$AG208))</f>
        <v/>
      </c>
      <c r="U208">
        <f>IF($AG208="","",INDEX('04_調査結果'!$N$5:$N$404,$AG208)&amp;"")</f>
        <v/>
      </c>
      <c r="V208">
        <f>IF($AG208="","",INDEX('04_調査結果'!$O$5:$O$404,$AG208))</f>
        <v/>
      </c>
      <c r="W208">
        <f>IF($AG208="","",INDEX('04_調査結果'!$P$5:$P$404,$AG208))</f>
        <v/>
      </c>
      <c r="X208">
        <f>IF($AG208="","",INDEX('04_調査結果'!$Q$5:$Q$404,$AG208))</f>
        <v/>
      </c>
      <c r="Y208">
        <f>IF($AG208="","",INDEX('04_調査結果'!$R$5:$R$404,$AG208))</f>
        <v/>
      </c>
      <c r="Z208">
        <f>IF($AG208="","",INDEX('04_調査結果'!$S$5:$S$404,$AG208))</f>
        <v/>
      </c>
      <c r="AA208">
        <f>IF($AG208="","",INDEX('04_調査結果'!$T$5:$T$404,$AG208))</f>
        <v/>
      </c>
      <c r="AB208">
        <f>IF($AG208="","",INDEX('04_調査結果'!$U$5:$U$404,$AG208))</f>
        <v/>
      </c>
      <c r="AC208">
        <f>IF($AG208="","",INDEX('04_調査結果'!$AF$5:$AF$404,$AG208))</f>
        <v/>
      </c>
      <c r="AD208">
        <f>IF($AG208="","",INDEX('04_調査結果'!$AC$5:$AC$404,$AG208)&amp;"")</f>
        <v/>
      </c>
      <c r="AE208">
        <f>IF($AG208="","",INDEX('04_調査結果'!$V$5:$V$404,$AG208)&amp;"")</f>
        <v/>
      </c>
      <c r="AF208">
        <f>IF($AG208="","",INDEX('04_調査結果'!$X$5:$X$404,$AG208)&amp;"")</f>
        <v/>
      </c>
      <c r="AG208" s="34">
        <f>IFERROR(MATCH(ROW()-4,'04_調査結果'!$AT$5:$AT$404,0),"")</f>
        <v/>
      </c>
    </row>
    <row r="209">
      <c r="A209">
        <f>IF($AG209="","",'01_設定'!$C$4)</f>
        <v/>
      </c>
      <c r="B209">
        <f>IF($AG209="","",'01_設定'!$C$5)</f>
        <v/>
      </c>
      <c r="C209">
        <f>IF($AG209="","",'01_設定'!$C$6)</f>
        <v/>
      </c>
      <c r="D209" s="36">
        <f>IF($AG209="","",'01_設定'!$C$22)</f>
        <v/>
      </c>
      <c r="E209" s="36">
        <f>IF($AG209="","",'01_設定'!$C$23)</f>
        <v/>
      </c>
      <c r="F209">
        <f>IF($AG209="","",'01_設定'!$C$32)</f>
        <v/>
      </c>
      <c r="G209">
        <f>IF($AG209="","",ROW()-4)</f>
        <v/>
      </c>
      <c r="H209">
        <f>IF($AG209="","",INDEX('04_調査結果'!$AJ$5:$AJ$404,$AG209))</f>
        <v/>
      </c>
      <c r="I209">
        <f>IF($AG209="","",INDEX('04_調査結果'!$D$5:$D$404,$AG209)&amp;"")</f>
        <v/>
      </c>
      <c r="J209">
        <f>IF($AG209="","",INDEX('04_調査結果'!$AK$5:$AK$404,$AG209)&amp;"")</f>
        <v/>
      </c>
      <c r="K209">
        <f>IF($AG209="","",IFERROR(INDEX('M1_類型マスタ'!$B$5:$B$19,MATCH(J209,'M1_類型マスタ'!$A$5:$A$19,0)),""))</f>
        <v/>
      </c>
      <c r="L209">
        <f>IF($AG209="","",INDEX('04_調査結果'!$F$5:$F$404,$AG209)&amp;"")</f>
        <v/>
      </c>
      <c r="M209">
        <f>IF($AG209="","",INDEX('04_調査結果'!$G$5:$G$404,$AG209)&amp;"")</f>
        <v/>
      </c>
      <c r="N209">
        <f>IF($AG209="","",INDEX('04_調査結果'!$H$5:$H$404,$AG209)&amp;"")</f>
        <v/>
      </c>
      <c r="O209" s="33">
        <f>IF($AG209="","",IF(INDEX('04_調査結果'!$Z$5:$Z$404,$AG209)&lt;&gt;"",INDEX('04_調査結果'!$Z$5:$Z$404,$AG209),INDEX('04_調査結果'!$AM$5:$AM$404,$AG209)))</f>
        <v/>
      </c>
      <c r="P209" s="33">
        <f>IF($AG209="","",IF(INDEX('04_調査結果'!$AA$5:$AA$404,$AG209)&lt;&gt;"",INDEX('04_調査結果'!$AA$5:$AA$404,$AG209),INDEX('04_調査結果'!$AN$5:$AN$404,$AG209)))</f>
        <v/>
      </c>
      <c r="Q209" s="33">
        <f>IF($AG209="","",INDEX('04_調査結果'!$AD$5:$AD$404,$AG209))</f>
        <v/>
      </c>
      <c r="R209">
        <f>IF($AG209="","",INDEX('04_調査結果'!$AO$5:$AO$404,$AG209))</f>
        <v/>
      </c>
      <c r="S209" s="37">
        <f>IF($AG209="","",INDEX('04_調査結果'!$AQ$5:$AQ$404,$AG209))</f>
        <v/>
      </c>
      <c r="T209" s="37">
        <f>IF($AG209="","",INDEX('04_調査結果'!$AR$5:$AR$404,$AG209))</f>
        <v/>
      </c>
      <c r="U209">
        <f>IF($AG209="","",INDEX('04_調査結果'!$N$5:$N$404,$AG209)&amp;"")</f>
        <v/>
      </c>
      <c r="V209">
        <f>IF($AG209="","",INDEX('04_調査結果'!$O$5:$O$404,$AG209))</f>
        <v/>
      </c>
      <c r="W209">
        <f>IF($AG209="","",INDEX('04_調査結果'!$P$5:$P$404,$AG209))</f>
        <v/>
      </c>
      <c r="X209">
        <f>IF($AG209="","",INDEX('04_調査結果'!$Q$5:$Q$404,$AG209))</f>
        <v/>
      </c>
      <c r="Y209">
        <f>IF($AG209="","",INDEX('04_調査結果'!$R$5:$R$404,$AG209))</f>
        <v/>
      </c>
      <c r="Z209">
        <f>IF($AG209="","",INDEX('04_調査結果'!$S$5:$S$404,$AG209))</f>
        <v/>
      </c>
      <c r="AA209">
        <f>IF($AG209="","",INDEX('04_調査結果'!$T$5:$T$404,$AG209))</f>
        <v/>
      </c>
      <c r="AB209">
        <f>IF($AG209="","",INDEX('04_調査結果'!$U$5:$U$404,$AG209))</f>
        <v/>
      </c>
      <c r="AC209">
        <f>IF($AG209="","",INDEX('04_調査結果'!$AF$5:$AF$404,$AG209))</f>
        <v/>
      </c>
      <c r="AD209">
        <f>IF($AG209="","",INDEX('04_調査結果'!$AC$5:$AC$404,$AG209)&amp;"")</f>
        <v/>
      </c>
      <c r="AE209">
        <f>IF($AG209="","",INDEX('04_調査結果'!$V$5:$V$404,$AG209)&amp;"")</f>
        <v/>
      </c>
      <c r="AF209">
        <f>IF($AG209="","",INDEX('04_調査結果'!$X$5:$X$404,$AG209)&amp;"")</f>
        <v/>
      </c>
      <c r="AG209" s="34">
        <f>IFERROR(MATCH(ROW()-4,'04_調査結果'!$AT$5:$AT$404,0),"")</f>
        <v/>
      </c>
    </row>
    <row r="210">
      <c r="A210">
        <f>IF($AG210="","",'01_設定'!$C$4)</f>
        <v/>
      </c>
      <c r="B210">
        <f>IF($AG210="","",'01_設定'!$C$5)</f>
        <v/>
      </c>
      <c r="C210">
        <f>IF($AG210="","",'01_設定'!$C$6)</f>
        <v/>
      </c>
      <c r="D210" s="36">
        <f>IF($AG210="","",'01_設定'!$C$22)</f>
        <v/>
      </c>
      <c r="E210" s="36">
        <f>IF($AG210="","",'01_設定'!$C$23)</f>
        <v/>
      </c>
      <c r="F210">
        <f>IF($AG210="","",'01_設定'!$C$32)</f>
        <v/>
      </c>
      <c r="G210">
        <f>IF($AG210="","",ROW()-4)</f>
        <v/>
      </c>
      <c r="H210">
        <f>IF($AG210="","",INDEX('04_調査結果'!$AJ$5:$AJ$404,$AG210))</f>
        <v/>
      </c>
      <c r="I210">
        <f>IF($AG210="","",INDEX('04_調査結果'!$D$5:$D$404,$AG210)&amp;"")</f>
        <v/>
      </c>
      <c r="J210">
        <f>IF($AG210="","",INDEX('04_調査結果'!$AK$5:$AK$404,$AG210)&amp;"")</f>
        <v/>
      </c>
      <c r="K210">
        <f>IF($AG210="","",IFERROR(INDEX('M1_類型マスタ'!$B$5:$B$19,MATCH(J210,'M1_類型マスタ'!$A$5:$A$19,0)),""))</f>
        <v/>
      </c>
      <c r="L210">
        <f>IF($AG210="","",INDEX('04_調査結果'!$F$5:$F$404,$AG210)&amp;"")</f>
        <v/>
      </c>
      <c r="M210">
        <f>IF($AG210="","",INDEX('04_調査結果'!$G$5:$G$404,$AG210)&amp;"")</f>
        <v/>
      </c>
      <c r="N210">
        <f>IF($AG210="","",INDEX('04_調査結果'!$H$5:$H$404,$AG210)&amp;"")</f>
        <v/>
      </c>
      <c r="O210" s="33">
        <f>IF($AG210="","",IF(INDEX('04_調査結果'!$Z$5:$Z$404,$AG210)&lt;&gt;"",INDEX('04_調査結果'!$Z$5:$Z$404,$AG210),INDEX('04_調査結果'!$AM$5:$AM$404,$AG210)))</f>
        <v/>
      </c>
      <c r="P210" s="33">
        <f>IF($AG210="","",IF(INDEX('04_調査結果'!$AA$5:$AA$404,$AG210)&lt;&gt;"",INDEX('04_調査結果'!$AA$5:$AA$404,$AG210),INDEX('04_調査結果'!$AN$5:$AN$404,$AG210)))</f>
        <v/>
      </c>
      <c r="Q210" s="33">
        <f>IF($AG210="","",INDEX('04_調査結果'!$AD$5:$AD$404,$AG210))</f>
        <v/>
      </c>
      <c r="R210">
        <f>IF($AG210="","",INDEX('04_調査結果'!$AO$5:$AO$404,$AG210))</f>
        <v/>
      </c>
      <c r="S210" s="37">
        <f>IF($AG210="","",INDEX('04_調査結果'!$AQ$5:$AQ$404,$AG210))</f>
        <v/>
      </c>
      <c r="T210" s="37">
        <f>IF($AG210="","",INDEX('04_調査結果'!$AR$5:$AR$404,$AG210))</f>
        <v/>
      </c>
      <c r="U210">
        <f>IF($AG210="","",INDEX('04_調査結果'!$N$5:$N$404,$AG210)&amp;"")</f>
        <v/>
      </c>
      <c r="V210">
        <f>IF($AG210="","",INDEX('04_調査結果'!$O$5:$O$404,$AG210))</f>
        <v/>
      </c>
      <c r="W210">
        <f>IF($AG210="","",INDEX('04_調査結果'!$P$5:$P$404,$AG210))</f>
        <v/>
      </c>
      <c r="X210">
        <f>IF($AG210="","",INDEX('04_調査結果'!$Q$5:$Q$404,$AG210))</f>
        <v/>
      </c>
      <c r="Y210">
        <f>IF($AG210="","",INDEX('04_調査結果'!$R$5:$R$404,$AG210))</f>
        <v/>
      </c>
      <c r="Z210">
        <f>IF($AG210="","",INDEX('04_調査結果'!$S$5:$S$404,$AG210))</f>
        <v/>
      </c>
      <c r="AA210">
        <f>IF($AG210="","",INDEX('04_調査結果'!$T$5:$T$404,$AG210))</f>
        <v/>
      </c>
      <c r="AB210">
        <f>IF($AG210="","",INDEX('04_調査結果'!$U$5:$U$404,$AG210))</f>
        <v/>
      </c>
      <c r="AC210">
        <f>IF($AG210="","",INDEX('04_調査結果'!$AF$5:$AF$404,$AG210))</f>
        <v/>
      </c>
      <c r="AD210">
        <f>IF($AG210="","",INDEX('04_調査結果'!$AC$5:$AC$404,$AG210)&amp;"")</f>
        <v/>
      </c>
      <c r="AE210">
        <f>IF($AG210="","",INDEX('04_調査結果'!$V$5:$V$404,$AG210)&amp;"")</f>
        <v/>
      </c>
      <c r="AF210">
        <f>IF($AG210="","",INDEX('04_調査結果'!$X$5:$X$404,$AG210)&amp;"")</f>
        <v/>
      </c>
      <c r="AG210" s="34">
        <f>IFERROR(MATCH(ROW()-4,'04_調査結果'!$AT$5:$AT$404,0),"")</f>
        <v/>
      </c>
    </row>
    <row r="211">
      <c r="A211">
        <f>IF($AG211="","",'01_設定'!$C$4)</f>
        <v/>
      </c>
      <c r="B211">
        <f>IF($AG211="","",'01_設定'!$C$5)</f>
        <v/>
      </c>
      <c r="C211">
        <f>IF($AG211="","",'01_設定'!$C$6)</f>
        <v/>
      </c>
      <c r="D211" s="36">
        <f>IF($AG211="","",'01_設定'!$C$22)</f>
        <v/>
      </c>
      <c r="E211" s="36">
        <f>IF($AG211="","",'01_設定'!$C$23)</f>
        <v/>
      </c>
      <c r="F211">
        <f>IF($AG211="","",'01_設定'!$C$32)</f>
        <v/>
      </c>
      <c r="G211">
        <f>IF($AG211="","",ROW()-4)</f>
        <v/>
      </c>
      <c r="H211">
        <f>IF($AG211="","",INDEX('04_調査結果'!$AJ$5:$AJ$404,$AG211))</f>
        <v/>
      </c>
      <c r="I211">
        <f>IF($AG211="","",INDEX('04_調査結果'!$D$5:$D$404,$AG211)&amp;"")</f>
        <v/>
      </c>
      <c r="J211">
        <f>IF($AG211="","",INDEX('04_調査結果'!$AK$5:$AK$404,$AG211)&amp;"")</f>
        <v/>
      </c>
      <c r="K211">
        <f>IF($AG211="","",IFERROR(INDEX('M1_類型マスタ'!$B$5:$B$19,MATCH(J211,'M1_類型マスタ'!$A$5:$A$19,0)),""))</f>
        <v/>
      </c>
      <c r="L211">
        <f>IF($AG211="","",INDEX('04_調査結果'!$F$5:$F$404,$AG211)&amp;"")</f>
        <v/>
      </c>
      <c r="M211">
        <f>IF($AG211="","",INDEX('04_調査結果'!$G$5:$G$404,$AG211)&amp;"")</f>
        <v/>
      </c>
      <c r="N211">
        <f>IF($AG211="","",INDEX('04_調査結果'!$H$5:$H$404,$AG211)&amp;"")</f>
        <v/>
      </c>
      <c r="O211" s="33">
        <f>IF($AG211="","",IF(INDEX('04_調査結果'!$Z$5:$Z$404,$AG211)&lt;&gt;"",INDEX('04_調査結果'!$Z$5:$Z$404,$AG211),INDEX('04_調査結果'!$AM$5:$AM$404,$AG211)))</f>
        <v/>
      </c>
      <c r="P211" s="33">
        <f>IF($AG211="","",IF(INDEX('04_調査結果'!$AA$5:$AA$404,$AG211)&lt;&gt;"",INDEX('04_調査結果'!$AA$5:$AA$404,$AG211),INDEX('04_調査結果'!$AN$5:$AN$404,$AG211)))</f>
        <v/>
      </c>
      <c r="Q211" s="33">
        <f>IF($AG211="","",INDEX('04_調査結果'!$AD$5:$AD$404,$AG211))</f>
        <v/>
      </c>
      <c r="R211">
        <f>IF($AG211="","",INDEX('04_調査結果'!$AO$5:$AO$404,$AG211))</f>
        <v/>
      </c>
      <c r="S211" s="37">
        <f>IF($AG211="","",INDEX('04_調査結果'!$AQ$5:$AQ$404,$AG211))</f>
        <v/>
      </c>
      <c r="T211" s="37">
        <f>IF($AG211="","",INDEX('04_調査結果'!$AR$5:$AR$404,$AG211))</f>
        <v/>
      </c>
      <c r="U211">
        <f>IF($AG211="","",INDEX('04_調査結果'!$N$5:$N$404,$AG211)&amp;"")</f>
        <v/>
      </c>
      <c r="V211">
        <f>IF($AG211="","",INDEX('04_調査結果'!$O$5:$O$404,$AG211))</f>
        <v/>
      </c>
      <c r="W211">
        <f>IF($AG211="","",INDEX('04_調査結果'!$P$5:$P$404,$AG211))</f>
        <v/>
      </c>
      <c r="X211">
        <f>IF($AG211="","",INDEX('04_調査結果'!$Q$5:$Q$404,$AG211))</f>
        <v/>
      </c>
      <c r="Y211">
        <f>IF($AG211="","",INDEX('04_調査結果'!$R$5:$R$404,$AG211))</f>
        <v/>
      </c>
      <c r="Z211">
        <f>IF($AG211="","",INDEX('04_調査結果'!$S$5:$S$404,$AG211))</f>
        <v/>
      </c>
      <c r="AA211">
        <f>IF($AG211="","",INDEX('04_調査結果'!$T$5:$T$404,$AG211))</f>
        <v/>
      </c>
      <c r="AB211">
        <f>IF($AG211="","",INDEX('04_調査結果'!$U$5:$U$404,$AG211))</f>
        <v/>
      </c>
      <c r="AC211">
        <f>IF($AG211="","",INDEX('04_調査結果'!$AF$5:$AF$404,$AG211))</f>
        <v/>
      </c>
      <c r="AD211">
        <f>IF($AG211="","",INDEX('04_調査結果'!$AC$5:$AC$404,$AG211)&amp;"")</f>
        <v/>
      </c>
      <c r="AE211">
        <f>IF($AG211="","",INDEX('04_調査結果'!$V$5:$V$404,$AG211)&amp;"")</f>
        <v/>
      </c>
      <c r="AF211">
        <f>IF($AG211="","",INDEX('04_調査結果'!$X$5:$X$404,$AG211)&amp;"")</f>
        <v/>
      </c>
      <c r="AG211" s="34">
        <f>IFERROR(MATCH(ROW()-4,'04_調査結果'!$AT$5:$AT$404,0),"")</f>
        <v/>
      </c>
    </row>
    <row r="212">
      <c r="A212">
        <f>IF($AG212="","",'01_設定'!$C$4)</f>
        <v/>
      </c>
      <c r="B212">
        <f>IF($AG212="","",'01_設定'!$C$5)</f>
        <v/>
      </c>
      <c r="C212">
        <f>IF($AG212="","",'01_設定'!$C$6)</f>
        <v/>
      </c>
      <c r="D212" s="36">
        <f>IF($AG212="","",'01_設定'!$C$22)</f>
        <v/>
      </c>
      <c r="E212" s="36">
        <f>IF($AG212="","",'01_設定'!$C$23)</f>
        <v/>
      </c>
      <c r="F212">
        <f>IF($AG212="","",'01_設定'!$C$32)</f>
        <v/>
      </c>
      <c r="G212">
        <f>IF($AG212="","",ROW()-4)</f>
        <v/>
      </c>
      <c r="H212">
        <f>IF($AG212="","",INDEX('04_調査結果'!$AJ$5:$AJ$404,$AG212))</f>
        <v/>
      </c>
      <c r="I212">
        <f>IF($AG212="","",INDEX('04_調査結果'!$D$5:$D$404,$AG212)&amp;"")</f>
        <v/>
      </c>
      <c r="J212">
        <f>IF($AG212="","",INDEX('04_調査結果'!$AK$5:$AK$404,$AG212)&amp;"")</f>
        <v/>
      </c>
      <c r="K212">
        <f>IF($AG212="","",IFERROR(INDEX('M1_類型マスタ'!$B$5:$B$19,MATCH(J212,'M1_類型マスタ'!$A$5:$A$19,0)),""))</f>
        <v/>
      </c>
      <c r="L212">
        <f>IF($AG212="","",INDEX('04_調査結果'!$F$5:$F$404,$AG212)&amp;"")</f>
        <v/>
      </c>
      <c r="M212">
        <f>IF($AG212="","",INDEX('04_調査結果'!$G$5:$G$404,$AG212)&amp;"")</f>
        <v/>
      </c>
      <c r="N212">
        <f>IF($AG212="","",INDEX('04_調査結果'!$H$5:$H$404,$AG212)&amp;"")</f>
        <v/>
      </c>
      <c r="O212" s="33">
        <f>IF($AG212="","",IF(INDEX('04_調査結果'!$Z$5:$Z$404,$AG212)&lt;&gt;"",INDEX('04_調査結果'!$Z$5:$Z$404,$AG212),INDEX('04_調査結果'!$AM$5:$AM$404,$AG212)))</f>
        <v/>
      </c>
      <c r="P212" s="33">
        <f>IF($AG212="","",IF(INDEX('04_調査結果'!$AA$5:$AA$404,$AG212)&lt;&gt;"",INDEX('04_調査結果'!$AA$5:$AA$404,$AG212),INDEX('04_調査結果'!$AN$5:$AN$404,$AG212)))</f>
        <v/>
      </c>
      <c r="Q212" s="33">
        <f>IF($AG212="","",INDEX('04_調査結果'!$AD$5:$AD$404,$AG212))</f>
        <v/>
      </c>
      <c r="R212">
        <f>IF($AG212="","",INDEX('04_調査結果'!$AO$5:$AO$404,$AG212))</f>
        <v/>
      </c>
      <c r="S212" s="37">
        <f>IF($AG212="","",INDEX('04_調査結果'!$AQ$5:$AQ$404,$AG212))</f>
        <v/>
      </c>
      <c r="T212" s="37">
        <f>IF($AG212="","",INDEX('04_調査結果'!$AR$5:$AR$404,$AG212))</f>
        <v/>
      </c>
      <c r="U212">
        <f>IF($AG212="","",INDEX('04_調査結果'!$N$5:$N$404,$AG212)&amp;"")</f>
        <v/>
      </c>
      <c r="V212">
        <f>IF($AG212="","",INDEX('04_調査結果'!$O$5:$O$404,$AG212))</f>
        <v/>
      </c>
      <c r="W212">
        <f>IF($AG212="","",INDEX('04_調査結果'!$P$5:$P$404,$AG212))</f>
        <v/>
      </c>
      <c r="X212">
        <f>IF($AG212="","",INDEX('04_調査結果'!$Q$5:$Q$404,$AG212))</f>
        <v/>
      </c>
      <c r="Y212">
        <f>IF($AG212="","",INDEX('04_調査結果'!$R$5:$R$404,$AG212))</f>
        <v/>
      </c>
      <c r="Z212">
        <f>IF($AG212="","",INDEX('04_調査結果'!$S$5:$S$404,$AG212))</f>
        <v/>
      </c>
      <c r="AA212">
        <f>IF($AG212="","",INDEX('04_調査結果'!$T$5:$T$404,$AG212))</f>
        <v/>
      </c>
      <c r="AB212">
        <f>IF($AG212="","",INDEX('04_調査結果'!$U$5:$U$404,$AG212))</f>
        <v/>
      </c>
      <c r="AC212">
        <f>IF($AG212="","",INDEX('04_調査結果'!$AF$5:$AF$404,$AG212))</f>
        <v/>
      </c>
      <c r="AD212">
        <f>IF($AG212="","",INDEX('04_調査結果'!$AC$5:$AC$404,$AG212)&amp;"")</f>
        <v/>
      </c>
      <c r="AE212">
        <f>IF($AG212="","",INDEX('04_調査結果'!$V$5:$V$404,$AG212)&amp;"")</f>
        <v/>
      </c>
      <c r="AF212">
        <f>IF($AG212="","",INDEX('04_調査結果'!$X$5:$X$404,$AG212)&amp;"")</f>
        <v/>
      </c>
      <c r="AG212" s="34">
        <f>IFERROR(MATCH(ROW()-4,'04_調査結果'!$AT$5:$AT$404,0),"")</f>
        <v/>
      </c>
    </row>
    <row r="213">
      <c r="A213">
        <f>IF($AG213="","",'01_設定'!$C$4)</f>
        <v/>
      </c>
      <c r="B213">
        <f>IF($AG213="","",'01_設定'!$C$5)</f>
        <v/>
      </c>
      <c r="C213">
        <f>IF($AG213="","",'01_設定'!$C$6)</f>
        <v/>
      </c>
      <c r="D213" s="36">
        <f>IF($AG213="","",'01_設定'!$C$22)</f>
        <v/>
      </c>
      <c r="E213" s="36">
        <f>IF($AG213="","",'01_設定'!$C$23)</f>
        <v/>
      </c>
      <c r="F213">
        <f>IF($AG213="","",'01_設定'!$C$32)</f>
        <v/>
      </c>
      <c r="G213">
        <f>IF($AG213="","",ROW()-4)</f>
        <v/>
      </c>
      <c r="H213">
        <f>IF($AG213="","",INDEX('04_調査結果'!$AJ$5:$AJ$404,$AG213))</f>
        <v/>
      </c>
      <c r="I213">
        <f>IF($AG213="","",INDEX('04_調査結果'!$D$5:$D$404,$AG213)&amp;"")</f>
        <v/>
      </c>
      <c r="J213">
        <f>IF($AG213="","",INDEX('04_調査結果'!$AK$5:$AK$404,$AG213)&amp;"")</f>
        <v/>
      </c>
      <c r="K213">
        <f>IF($AG213="","",IFERROR(INDEX('M1_類型マスタ'!$B$5:$B$19,MATCH(J213,'M1_類型マスタ'!$A$5:$A$19,0)),""))</f>
        <v/>
      </c>
      <c r="L213">
        <f>IF($AG213="","",INDEX('04_調査結果'!$F$5:$F$404,$AG213)&amp;"")</f>
        <v/>
      </c>
      <c r="M213">
        <f>IF($AG213="","",INDEX('04_調査結果'!$G$5:$G$404,$AG213)&amp;"")</f>
        <v/>
      </c>
      <c r="N213">
        <f>IF($AG213="","",INDEX('04_調査結果'!$H$5:$H$404,$AG213)&amp;"")</f>
        <v/>
      </c>
      <c r="O213" s="33">
        <f>IF($AG213="","",IF(INDEX('04_調査結果'!$Z$5:$Z$404,$AG213)&lt;&gt;"",INDEX('04_調査結果'!$Z$5:$Z$404,$AG213),INDEX('04_調査結果'!$AM$5:$AM$404,$AG213)))</f>
        <v/>
      </c>
      <c r="P213" s="33">
        <f>IF($AG213="","",IF(INDEX('04_調査結果'!$AA$5:$AA$404,$AG213)&lt;&gt;"",INDEX('04_調査結果'!$AA$5:$AA$404,$AG213),INDEX('04_調査結果'!$AN$5:$AN$404,$AG213)))</f>
        <v/>
      </c>
      <c r="Q213" s="33">
        <f>IF($AG213="","",INDEX('04_調査結果'!$AD$5:$AD$404,$AG213))</f>
        <v/>
      </c>
      <c r="R213">
        <f>IF($AG213="","",INDEX('04_調査結果'!$AO$5:$AO$404,$AG213))</f>
        <v/>
      </c>
      <c r="S213" s="37">
        <f>IF($AG213="","",INDEX('04_調査結果'!$AQ$5:$AQ$404,$AG213))</f>
        <v/>
      </c>
      <c r="T213" s="37">
        <f>IF($AG213="","",INDEX('04_調査結果'!$AR$5:$AR$404,$AG213))</f>
        <v/>
      </c>
      <c r="U213">
        <f>IF($AG213="","",INDEX('04_調査結果'!$N$5:$N$404,$AG213)&amp;"")</f>
        <v/>
      </c>
      <c r="V213">
        <f>IF($AG213="","",INDEX('04_調査結果'!$O$5:$O$404,$AG213))</f>
        <v/>
      </c>
      <c r="W213">
        <f>IF($AG213="","",INDEX('04_調査結果'!$P$5:$P$404,$AG213))</f>
        <v/>
      </c>
      <c r="X213">
        <f>IF($AG213="","",INDEX('04_調査結果'!$Q$5:$Q$404,$AG213))</f>
        <v/>
      </c>
      <c r="Y213">
        <f>IF($AG213="","",INDEX('04_調査結果'!$R$5:$R$404,$AG213))</f>
        <v/>
      </c>
      <c r="Z213">
        <f>IF($AG213="","",INDEX('04_調査結果'!$S$5:$S$404,$AG213))</f>
        <v/>
      </c>
      <c r="AA213">
        <f>IF($AG213="","",INDEX('04_調査結果'!$T$5:$T$404,$AG213))</f>
        <v/>
      </c>
      <c r="AB213">
        <f>IF($AG213="","",INDEX('04_調査結果'!$U$5:$U$404,$AG213))</f>
        <v/>
      </c>
      <c r="AC213">
        <f>IF($AG213="","",INDEX('04_調査結果'!$AF$5:$AF$404,$AG213))</f>
        <v/>
      </c>
      <c r="AD213">
        <f>IF($AG213="","",INDEX('04_調査結果'!$AC$5:$AC$404,$AG213)&amp;"")</f>
        <v/>
      </c>
      <c r="AE213">
        <f>IF($AG213="","",INDEX('04_調査結果'!$V$5:$V$404,$AG213)&amp;"")</f>
        <v/>
      </c>
      <c r="AF213">
        <f>IF($AG213="","",INDEX('04_調査結果'!$X$5:$X$404,$AG213)&amp;"")</f>
        <v/>
      </c>
      <c r="AG213" s="34">
        <f>IFERROR(MATCH(ROW()-4,'04_調査結果'!$AT$5:$AT$404,0),"")</f>
        <v/>
      </c>
    </row>
    <row r="214">
      <c r="A214">
        <f>IF($AG214="","",'01_設定'!$C$4)</f>
        <v/>
      </c>
      <c r="B214">
        <f>IF($AG214="","",'01_設定'!$C$5)</f>
        <v/>
      </c>
      <c r="C214">
        <f>IF($AG214="","",'01_設定'!$C$6)</f>
        <v/>
      </c>
      <c r="D214" s="36">
        <f>IF($AG214="","",'01_設定'!$C$22)</f>
        <v/>
      </c>
      <c r="E214" s="36">
        <f>IF($AG214="","",'01_設定'!$C$23)</f>
        <v/>
      </c>
      <c r="F214">
        <f>IF($AG214="","",'01_設定'!$C$32)</f>
        <v/>
      </c>
      <c r="G214">
        <f>IF($AG214="","",ROW()-4)</f>
        <v/>
      </c>
      <c r="H214">
        <f>IF($AG214="","",INDEX('04_調査結果'!$AJ$5:$AJ$404,$AG214))</f>
        <v/>
      </c>
      <c r="I214">
        <f>IF($AG214="","",INDEX('04_調査結果'!$D$5:$D$404,$AG214)&amp;"")</f>
        <v/>
      </c>
      <c r="J214">
        <f>IF($AG214="","",INDEX('04_調査結果'!$AK$5:$AK$404,$AG214)&amp;"")</f>
        <v/>
      </c>
      <c r="K214">
        <f>IF($AG214="","",IFERROR(INDEX('M1_類型マスタ'!$B$5:$B$19,MATCH(J214,'M1_類型マスタ'!$A$5:$A$19,0)),""))</f>
        <v/>
      </c>
      <c r="L214">
        <f>IF($AG214="","",INDEX('04_調査結果'!$F$5:$F$404,$AG214)&amp;"")</f>
        <v/>
      </c>
      <c r="M214">
        <f>IF($AG214="","",INDEX('04_調査結果'!$G$5:$G$404,$AG214)&amp;"")</f>
        <v/>
      </c>
      <c r="N214">
        <f>IF($AG214="","",INDEX('04_調査結果'!$H$5:$H$404,$AG214)&amp;"")</f>
        <v/>
      </c>
      <c r="O214" s="33">
        <f>IF($AG214="","",IF(INDEX('04_調査結果'!$Z$5:$Z$404,$AG214)&lt;&gt;"",INDEX('04_調査結果'!$Z$5:$Z$404,$AG214),INDEX('04_調査結果'!$AM$5:$AM$404,$AG214)))</f>
        <v/>
      </c>
      <c r="P214" s="33">
        <f>IF($AG214="","",IF(INDEX('04_調査結果'!$AA$5:$AA$404,$AG214)&lt;&gt;"",INDEX('04_調査結果'!$AA$5:$AA$404,$AG214),INDEX('04_調査結果'!$AN$5:$AN$404,$AG214)))</f>
        <v/>
      </c>
      <c r="Q214" s="33">
        <f>IF($AG214="","",INDEX('04_調査結果'!$AD$5:$AD$404,$AG214))</f>
        <v/>
      </c>
      <c r="R214">
        <f>IF($AG214="","",INDEX('04_調査結果'!$AO$5:$AO$404,$AG214))</f>
        <v/>
      </c>
      <c r="S214" s="37">
        <f>IF($AG214="","",INDEX('04_調査結果'!$AQ$5:$AQ$404,$AG214))</f>
        <v/>
      </c>
      <c r="T214" s="37">
        <f>IF($AG214="","",INDEX('04_調査結果'!$AR$5:$AR$404,$AG214))</f>
        <v/>
      </c>
      <c r="U214">
        <f>IF($AG214="","",INDEX('04_調査結果'!$N$5:$N$404,$AG214)&amp;"")</f>
        <v/>
      </c>
      <c r="V214">
        <f>IF($AG214="","",INDEX('04_調査結果'!$O$5:$O$404,$AG214))</f>
        <v/>
      </c>
      <c r="W214">
        <f>IF($AG214="","",INDEX('04_調査結果'!$P$5:$P$404,$AG214))</f>
        <v/>
      </c>
      <c r="X214">
        <f>IF($AG214="","",INDEX('04_調査結果'!$Q$5:$Q$404,$AG214))</f>
        <v/>
      </c>
      <c r="Y214">
        <f>IF($AG214="","",INDEX('04_調査結果'!$R$5:$R$404,$AG214))</f>
        <v/>
      </c>
      <c r="Z214">
        <f>IF($AG214="","",INDEX('04_調査結果'!$S$5:$S$404,$AG214))</f>
        <v/>
      </c>
      <c r="AA214">
        <f>IF($AG214="","",INDEX('04_調査結果'!$T$5:$T$404,$AG214))</f>
        <v/>
      </c>
      <c r="AB214">
        <f>IF($AG214="","",INDEX('04_調査結果'!$U$5:$U$404,$AG214))</f>
        <v/>
      </c>
      <c r="AC214">
        <f>IF($AG214="","",INDEX('04_調査結果'!$AF$5:$AF$404,$AG214))</f>
        <v/>
      </c>
      <c r="AD214">
        <f>IF($AG214="","",INDEX('04_調査結果'!$AC$5:$AC$404,$AG214)&amp;"")</f>
        <v/>
      </c>
      <c r="AE214">
        <f>IF($AG214="","",INDEX('04_調査結果'!$V$5:$V$404,$AG214)&amp;"")</f>
        <v/>
      </c>
      <c r="AF214">
        <f>IF($AG214="","",INDEX('04_調査結果'!$X$5:$X$404,$AG214)&amp;"")</f>
        <v/>
      </c>
      <c r="AG214" s="34">
        <f>IFERROR(MATCH(ROW()-4,'04_調査結果'!$AT$5:$AT$404,0),"")</f>
        <v/>
      </c>
    </row>
    <row r="215">
      <c r="A215">
        <f>IF($AG215="","",'01_設定'!$C$4)</f>
        <v/>
      </c>
      <c r="B215">
        <f>IF($AG215="","",'01_設定'!$C$5)</f>
        <v/>
      </c>
      <c r="C215">
        <f>IF($AG215="","",'01_設定'!$C$6)</f>
        <v/>
      </c>
      <c r="D215" s="36">
        <f>IF($AG215="","",'01_設定'!$C$22)</f>
        <v/>
      </c>
      <c r="E215" s="36">
        <f>IF($AG215="","",'01_設定'!$C$23)</f>
        <v/>
      </c>
      <c r="F215">
        <f>IF($AG215="","",'01_設定'!$C$32)</f>
        <v/>
      </c>
      <c r="G215">
        <f>IF($AG215="","",ROW()-4)</f>
        <v/>
      </c>
      <c r="H215">
        <f>IF($AG215="","",INDEX('04_調査結果'!$AJ$5:$AJ$404,$AG215))</f>
        <v/>
      </c>
      <c r="I215">
        <f>IF($AG215="","",INDEX('04_調査結果'!$D$5:$D$404,$AG215)&amp;"")</f>
        <v/>
      </c>
      <c r="J215">
        <f>IF($AG215="","",INDEX('04_調査結果'!$AK$5:$AK$404,$AG215)&amp;"")</f>
        <v/>
      </c>
      <c r="K215">
        <f>IF($AG215="","",IFERROR(INDEX('M1_類型マスタ'!$B$5:$B$19,MATCH(J215,'M1_類型マスタ'!$A$5:$A$19,0)),""))</f>
        <v/>
      </c>
      <c r="L215">
        <f>IF($AG215="","",INDEX('04_調査結果'!$F$5:$F$404,$AG215)&amp;"")</f>
        <v/>
      </c>
      <c r="M215">
        <f>IF($AG215="","",INDEX('04_調査結果'!$G$5:$G$404,$AG215)&amp;"")</f>
        <v/>
      </c>
      <c r="N215">
        <f>IF($AG215="","",INDEX('04_調査結果'!$H$5:$H$404,$AG215)&amp;"")</f>
        <v/>
      </c>
      <c r="O215" s="33">
        <f>IF($AG215="","",IF(INDEX('04_調査結果'!$Z$5:$Z$404,$AG215)&lt;&gt;"",INDEX('04_調査結果'!$Z$5:$Z$404,$AG215),INDEX('04_調査結果'!$AM$5:$AM$404,$AG215)))</f>
        <v/>
      </c>
      <c r="P215" s="33">
        <f>IF($AG215="","",IF(INDEX('04_調査結果'!$AA$5:$AA$404,$AG215)&lt;&gt;"",INDEX('04_調査結果'!$AA$5:$AA$404,$AG215),INDEX('04_調査結果'!$AN$5:$AN$404,$AG215)))</f>
        <v/>
      </c>
      <c r="Q215" s="33">
        <f>IF($AG215="","",INDEX('04_調査結果'!$AD$5:$AD$404,$AG215))</f>
        <v/>
      </c>
      <c r="R215">
        <f>IF($AG215="","",INDEX('04_調査結果'!$AO$5:$AO$404,$AG215))</f>
        <v/>
      </c>
      <c r="S215" s="37">
        <f>IF($AG215="","",INDEX('04_調査結果'!$AQ$5:$AQ$404,$AG215))</f>
        <v/>
      </c>
      <c r="T215" s="37">
        <f>IF($AG215="","",INDEX('04_調査結果'!$AR$5:$AR$404,$AG215))</f>
        <v/>
      </c>
      <c r="U215">
        <f>IF($AG215="","",INDEX('04_調査結果'!$N$5:$N$404,$AG215)&amp;"")</f>
        <v/>
      </c>
      <c r="V215">
        <f>IF($AG215="","",INDEX('04_調査結果'!$O$5:$O$404,$AG215))</f>
        <v/>
      </c>
      <c r="W215">
        <f>IF($AG215="","",INDEX('04_調査結果'!$P$5:$P$404,$AG215))</f>
        <v/>
      </c>
      <c r="X215">
        <f>IF($AG215="","",INDEX('04_調査結果'!$Q$5:$Q$404,$AG215))</f>
        <v/>
      </c>
      <c r="Y215">
        <f>IF($AG215="","",INDEX('04_調査結果'!$R$5:$R$404,$AG215))</f>
        <v/>
      </c>
      <c r="Z215">
        <f>IF($AG215="","",INDEX('04_調査結果'!$S$5:$S$404,$AG215))</f>
        <v/>
      </c>
      <c r="AA215">
        <f>IF($AG215="","",INDEX('04_調査結果'!$T$5:$T$404,$AG215))</f>
        <v/>
      </c>
      <c r="AB215">
        <f>IF($AG215="","",INDEX('04_調査結果'!$U$5:$U$404,$AG215))</f>
        <v/>
      </c>
      <c r="AC215">
        <f>IF($AG215="","",INDEX('04_調査結果'!$AF$5:$AF$404,$AG215))</f>
        <v/>
      </c>
      <c r="AD215">
        <f>IF($AG215="","",INDEX('04_調査結果'!$AC$5:$AC$404,$AG215)&amp;"")</f>
        <v/>
      </c>
      <c r="AE215">
        <f>IF($AG215="","",INDEX('04_調査結果'!$V$5:$V$404,$AG215)&amp;"")</f>
        <v/>
      </c>
      <c r="AF215">
        <f>IF($AG215="","",INDEX('04_調査結果'!$X$5:$X$404,$AG215)&amp;"")</f>
        <v/>
      </c>
      <c r="AG215" s="34">
        <f>IFERROR(MATCH(ROW()-4,'04_調査結果'!$AT$5:$AT$404,0),"")</f>
        <v/>
      </c>
    </row>
    <row r="216">
      <c r="A216">
        <f>IF($AG216="","",'01_設定'!$C$4)</f>
        <v/>
      </c>
      <c r="B216">
        <f>IF($AG216="","",'01_設定'!$C$5)</f>
        <v/>
      </c>
      <c r="C216">
        <f>IF($AG216="","",'01_設定'!$C$6)</f>
        <v/>
      </c>
      <c r="D216" s="36">
        <f>IF($AG216="","",'01_設定'!$C$22)</f>
        <v/>
      </c>
      <c r="E216" s="36">
        <f>IF($AG216="","",'01_設定'!$C$23)</f>
        <v/>
      </c>
      <c r="F216">
        <f>IF($AG216="","",'01_設定'!$C$32)</f>
        <v/>
      </c>
      <c r="G216">
        <f>IF($AG216="","",ROW()-4)</f>
        <v/>
      </c>
      <c r="H216">
        <f>IF($AG216="","",INDEX('04_調査結果'!$AJ$5:$AJ$404,$AG216))</f>
        <v/>
      </c>
      <c r="I216">
        <f>IF($AG216="","",INDEX('04_調査結果'!$D$5:$D$404,$AG216)&amp;"")</f>
        <v/>
      </c>
      <c r="J216">
        <f>IF($AG216="","",INDEX('04_調査結果'!$AK$5:$AK$404,$AG216)&amp;"")</f>
        <v/>
      </c>
      <c r="K216">
        <f>IF($AG216="","",IFERROR(INDEX('M1_類型マスタ'!$B$5:$B$19,MATCH(J216,'M1_類型マスタ'!$A$5:$A$19,0)),""))</f>
        <v/>
      </c>
      <c r="L216">
        <f>IF($AG216="","",INDEX('04_調査結果'!$F$5:$F$404,$AG216)&amp;"")</f>
        <v/>
      </c>
      <c r="M216">
        <f>IF($AG216="","",INDEX('04_調査結果'!$G$5:$G$404,$AG216)&amp;"")</f>
        <v/>
      </c>
      <c r="N216">
        <f>IF($AG216="","",INDEX('04_調査結果'!$H$5:$H$404,$AG216)&amp;"")</f>
        <v/>
      </c>
      <c r="O216" s="33">
        <f>IF($AG216="","",IF(INDEX('04_調査結果'!$Z$5:$Z$404,$AG216)&lt;&gt;"",INDEX('04_調査結果'!$Z$5:$Z$404,$AG216),INDEX('04_調査結果'!$AM$5:$AM$404,$AG216)))</f>
        <v/>
      </c>
      <c r="P216" s="33">
        <f>IF($AG216="","",IF(INDEX('04_調査結果'!$AA$5:$AA$404,$AG216)&lt;&gt;"",INDEX('04_調査結果'!$AA$5:$AA$404,$AG216),INDEX('04_調査結果'!$AN$5:$AN$404,$AG216)))</f>
        <v/>
      </c>
      <c r="Q216" s="33">
        <f>IF($AG216="","",INDEX('04_調査結果'!$AD$5:$AD$404,$AG216))</f>
        <v/>
      </c>
      <c r="R216">
        <f>IF($AG216="","",INDEX('04_調査結果'!$AO$5:$AO$404,$AG216))</f>
        <v/>
      </c>
      <c r="S216" s="37">
        <f>IF($AG216="","",INDEX('04_調査結果'!$AQ$5:$AQ$404,$AG216))</f>
        <v/>
      </c>
      <c r="T216" s="37">
        <f>IF($AG216="","",INDEX('04_調査結果'!$AR$5:$AR$404,$AG216))</f>
        <v/>
      </c>
      <c r="U216">
        <f>IF($AG216="","",INDEX('04_調査結果'!$N$5:$N$404,$AG216)&amp;"")</f>
        <v/>
      </c>
      <c r="V216">
        <f>IF($AG216="","",INDEX('04_調査結果'!$O$5:$O$404,$AG216))</f>
        <v/>
      </c>
      <c r="W216">
        <f>IF($AG216="","",INDEX('04_調査結果'!$P$5:$P$404,$AG216))</f>
        <v/>
      </c>
      <c r="X216">
        <f>IF($AG216="","",INDEX('04_調査結果'!$Q$5:$Q$404,$AG216))</f>
        <v/>
      </c>
      <c r="Y216">
        <f>IF($AG216="","",INDEX('04_調査結果'!$R$5:$R$404,$AG216))</f>
        <v/>
      </c>
      <c r="Z216">
        <f>IF($AG216="","",INDEX('04_調査結果'!$S$5:$S$404,$AG216))</f>
        <v/>
      </c>
      <c r="AA216">
        <f>IF($AG216="","",INDEX('04_調査結果'!$T$5:$T$404,$AG216))</f>
        <v/>
      </c>
      <c r="AB216">
        <f>IF($AG216="","",INDEX('04_調査結果'!$U$5:$U$404,$AG216))</f>
        <v/>
      </c>
      <c r="AC216">
        <f>IF($AG216="","",INDEX('04_調査結果'!$AF$5:$AF$404,$AG216))</f>
        <v/>
      </c>
      <c r="AD216">
        <f>IF($AG216="","",INDEX('04_調査結果'!$AC$5:$AC$404,$AG216)&amp;"")</f>
        <v/>
      </c>
      <c r="AE216">
        <f>IF($AG216="","",INDEX('04_調査結果'!$V$5:$V$404,$AG216)&amp;"")</f>
        <v/>
      </c>
      <c r="AF216">
        <f>IF($AG216="","",INDEX('04_調査結果'!$X$5:$X$404,$AG216)&amp;"")</f>
        <v/>
      </c>
      <c r="AG216" s="34">
        <f>IFERROR(MATCH(ROW()-4,'04_調査結果'!$AT$5:$AT$404,0),"")</f>
        <v/>
      </c>
    </row>
    <row r="217">
      <c r="A217">
        <f>IF($AG217="","",'01_設定'!$C$4)</f>
        <v/>
      </c>
      <c r="B217">
        <f>IF($AG217="","",'01_設定'!$C$5)</f>
        <v/>
      </c>
      <c r="C217">
        <f>IF($AG217="","",'01_設定'!$C$6)</f>
        <v/>
      </c>
      <c r="D217" s="36">
        <f>IF($AG217="","",'01_設定'!$C$22)</f>
        <v/>
      </c>
      <c r="E217" s="36">
        <f>IF($AG217="","",'01_設定'!$C$23)</f>
        <v/>
      </c>
      <c r="F217">
        <f>IF($AG217="","",'01_設定'!$C$32)</f>
        <v/>
      </c>
      <c r="G217">
        <f>IF($AG217="","",ROW()-4)</f>
        <v/>
      </c>
      <c r="H217">
        <f>IF($AG217="","",INDEX('04_調査結果'!$AJ$5:$AJ$404,$AG217))</f>
        <v/>
      </c>
      <c r="I217">
        <f>IF($AG217="","",INDEX('04_調査結果'!$D$5:$D$404,$AG217)&amp;"")</f>
        <v/>
      </c>
      <c r="J217">
        <f>IF($AG217="","",INDEX('04_調査結果'!$AK$5:$AK$404,$AG217)&amp;"")</f>
        <v/>
      </c>
      <c r="K217">
        <f>IF($AG217="","",IFERROR(INDEX('M1_類型マスタ'!$B$5:$B$19,MATCH(J217,'M1_類型マスタ'!$A$5:$A$19,0)),""))</f>
        <v/>
      </c>
      <c r="L217">
        <f>IF($AG217="","",INDEX('04_調査結果'!$F$5:$F$404,$AG217)&amp;"")</f>
        <v/>
      </c>
      <c r="M217">
        <f>IF($AG217="","",INDEX('04_調査結果'!$G$5:$G$404,$AG217)&amp;"")</f>
        <v/>
      </c>
      <c r="N217">
        <f>IF($AG217="","",INDEX('04_調査結果'!$H$5:$H$404,$AG217)&amp;"")</f>
        <v/>
      </c>
      <c r="O217" s="33">
        <f>IF($AG217="","",IF(INDEX('04_調査結果'!$Z$5:$Z$404,$AG217)&lt;&gt;"",INDEX('04_調査結果'!$Z$5:$Z$404,$AG217),INDEX('04_調査結果'!$AM$5:$AM$404,$AG217)))</f>
        <v/>
      </c>
      <c r="P217" s="33">
        <f>IF($AG217="","",IF(INDEX('04_調査結果'!$AA$5:$AA$404,$AG217)&lt;&gt;"",INDEX('04_調査結果'!$AA$5:$AA$404,$AG217),INDEX('04_調査結果'!$AN$5:$AN$404,$AG217)))</f>
        <v/>
      </c>
      <c r="Q217" s="33">
        <f>IF($AG217="","",INDEX('04_調査結果'!$AD$5:$AD$404,$AG217))</f>
        <v/>
      </c>
      <c r="R217">
        <f>IF($AG217="","",INDEX('04_調査結果'!$AO$5:$AO$404,$AG217))</f>
        <v/>
      </c>
      <c r="S217" s="37">
        <f>IF($AG217="","",INDEX('04_調査結果'!$AQ$5:$AQ$404,$AG217))</f>
        <v/>
      </c>
      <c r="T217" s="37">
        <f>IF($AG217="","",INDEX('04_調査結果'!$AR$5:$AR$404,$AG217))</f>
        <v/>
      </c>
      <c r="U217">
        <f>IF($AG217="","",INDEX('04_調査結果'!$N$5:$N$404,$AG217)&amp;"")</f>
        <v/>
      </c>
      <c r="V217">
        <f>IF($AG217="","",INDEX('04_調査結果'!$O$5:$O$404,$AG217))</f>
        <v/>
      </c>
      <c r="W217">
        <f>IF($AG217="","",INDEX('04_調査結果'!$P$5:$P$404,$AG217))</f>
        <v/>
      </c>
      <c r="X217">
        <f>IF($AG217="","",INDEX('04_調査結果'!$Q$5:$Q$404,$AG217))</f>
        <v/>
      </c>
      <c r="Y217">
        <f>IF($AG217="","",INDEX('04_調査結果'!$R$5:$R$404,$AG217))</f>
        <v/>
      </c>
      <c r="Z217">
        <f>IF($AG217="","",INDEX('04_調査結果'!$S$5:$S$404,$AG217))</f>
        <v/>
      </c>
      <c r="AA217">
        <f>IF($AG217="","",INDEX('04_調査結果'!$T$5:$T$404,$AG217))</f>
        <v/>
      </c>
      <c r="AB217">
        <f>IF($AG217="","",INDEX('04_調査結果'!$U$5:$U$404,$AG217))</f>
        <v/>
      </c>
      <c r="AC217">
        <f>IF($AG217="","",INDEX('04_調査結果'!$AF$5:$AF$404,$AG217))</f>
        <v/>
      </c>
      <c r="AD217">
        <f>IF($AG217="","",INDEX('04_調査結果'!$AC$5:$AC$404,$AG217)&amp;"")</f>
        <v/>
      </c>
      <c r="AE217">
        <f>IF($AG217="","",INDEX('04_調査結果'!$V$5:$V$404,$AG217)&amp;"")</f>
        <v/>
      </c>
      <c r="AF217">
        <f>IF($AG217="","",INDEX('04_調査結果'!$X$5:$X$404,$AG217)&amp;"")</f>
        <v/>
      </c>
      <c r="AG217" s="34">
        <f>IFERROR(MATCH(ROW()-4,'04_調査結果'!$AT$5:$AT$404,0),"")</f>
        <v/>
      </c>
    </row>
    <row r="218">
      <c r="A218">
        <f>IF($AG218="","",'01_設定'!$C$4)</f>
        <v/>
      </c>
      <c r="B218">
        <f>IF($AG218="","",'01_設定'!$C$5)</f>
        <v/>
      </c>
      <c r="C218">
        <f>IF($AG218="","",'01_設定'!$C$6)</f>
        <v/>
      </c>
      <c r="D218" s="36">
        <f>IF($AG218="","",'01_設定'!$C$22)</f>
        <v/>
      </c>
      <c r="E218" s="36">
        <f>IF($AG218="","",'01_設定'!$C$23)</f>
        <v/>
      </c>
      <c r="F218">
        <f>IF($AG218="","",'01_設定'!$C$32)</f>
        <v/>
      </c>
      <c r="G218">
        <f>IF($AG218="","",ROW()-4)</f>
        <v/>
      </c>
      <c r="H218">
        <f>IF($AG218="","",INDEX('04_調査結果'!$AJ$5:$AJ$404,$AG218))</f>
        <v/>
      </c>
      <c r="I218">
        <f>IF($AG218="","",INDEX('04_調査結果'!$D$5:$D$404,$AG218)&amp;"")</f>
        <v/>
      </c>
      <c r="J218">
        <f>IF($AG218="","",INDEX('04_調査結果'!$AK$5:$AK$404,$AG218)&amp;"")</f>
        <v/>
      </c>
      <c r="K218">
        <f>IF($AG218="","",IFERROR(INDEX('M1_類型マスタ'!$B$5:$B$19,MATCH(J218,'M1_類型マスタ'!$A$5:$A$19,0)),""))</f>
        <v/>
      </c>
      <c r="L218">
        <f>IF($AG218="","",INDEX('04_調査結果'!$F$5:$F$404,$AG218)&amp;"")</f>
        <v/>
      </c>
      <c r="M218">
        <f>IF($AG218="","",INDEX('04_調査結果'!$G$5:$G$404,$AG218)&amp;"")</f>
        <v/>
      </c>
      <c r="N218">
        <f>IF($AG218="","",INDEX('04_調査結果'!$H$5:$H$404,$AG218)&amp;"")</f>
        <v/>
      </c>
      <c r="O218" s="33">
        <f>IF($AG218="","",IF(INDEX('04_調査結果'!$Z$5:$Z$404,$AG218)&lt;&gt;"",INDEX('04_調査結果'!$Z$5:$Z$404,$AG218),INDEX('04_調査結果'!$AM$5:$AM$404,$AG218)))</f>
        <v/>
      </c>
      <c r="P218" s="33">
        <f>IF($AG218="","",IF(INDEX('04_調査結果'!$AA$5:$AA$404,$AG218)&lt;&gt;"",INDEX('04_調査結果'!$AA$5:$AA$404,$AG218),INDEX('04_調査結果'!$AN$5:$AN$404,$AG218)))</f>
        <v/>
      </c>
      <c r="Q218" s="33">
        <f>IF($AG218="","",INDEX('04_調査結果'!$AD$5:$AD$404,$AG218))</f>
        <v/>
      </c>
      <c r="R218">
        <f>IF($AG218="","",INDEX('04_調査結果'!$AO$5:$AO$404,$AG218))</f>
        <v/>
      </c>
      <c r="S218" s="37">
        <f>IF($AG218="","",INDEX('04_調査結果'!$AQ$5:$AQ$404,$AG218))</f>
        <v/>
      </c>
      <c r="T218" s="37">
        <f>IF($AG218="","",INDEX('04_調査結果'!$AR$5:$AR$404,$AG218))</f>
        <v/>
      </c>
      <c r="U218">
        <f>IF($AG218="","",INDEX('04_調査結果'!$N$5:$N$404,$AG218)&amp;"")</f>
        <v/>
      </c>
      <c r="V218">
        <f>IF($AG218="","",INDEX('04_調査結果'!$O$5:$O$404,$AG218))</f>
        <v/>
      </c>
      <c r="W218">
        <f>IF($AG218="","",INDEX('04_調査結果'!$P$5:$P$404,$AG218))</f>
        <v/>
      </c>
      <c r="X218">
        <f>IF($AG218="","",INDEX('04_調査結果'!$Q$5:$Q$404,$AG218))</f>
        <v/>
      </c>
      <c r="Y218">
        <f>IF($AG218="","",INDEX('04_調査結果'!$R$5:$R$404,$AG218))</f>
        <v/>
      </c>
      <c r="Z218">
        <f>IF($AG218="","",INDEX('04_調査結果'!$S$5:$S$404,$AG218))</f>
        <v/>
      </c>
      <c r="AA218">
        <f>IF($AG218="","",INDEX('04_調査結果'!$T$5:$T$404,$AG218))</f>
        <v/>
      </c>
      <c r="AB218">
        <f>IF($AG218="","",INDEX('04_調査結果'!$U$5:$U$404,$AG218))</f>
        <v/>
      </c>
      <c r="AC218">
        <f>IF($AG218="","",INDEX('04_調査結果'!$AF$5:$AF$404,$AG218))</f>
        <v/>
      </c>
      <c r="AD218">
        <f>IF($AG218="","",INDEX('04_調査結果'!$AC$5:$AC$404,$AG218)&amp;"")</f>
        <v/>
      </c>
      <c r="AE218">
        <f>IF($AG218="","",INDEX('04_調査結果'!$V$5:$V$404,$AG218)&amp;"")</f>
        <v/>
      </c>
      <c r="AF218">
        <f>IF($AG218="","",INDEX('04_調査結果'!$X$5:$X$404,$AG218)&amp;"")</f>
        <v/>
      </c>
      <c r="AG218" s="34">
        <f>IFERROR(MATCH(ROW()-4,'04_調査結果'!$AT$5:$AT$404,0),"")</f>
        <v/>
      </c>
    </row>
    <row r="219">
      <c r="A219">
        <f>IF($AG219="","",'01_設定'!$C$4)</f>
        <v/>
      </c>
      <c r="B219">
        <f>IF($AG219="","",'01_設定'!$C$5)</f>
        <v/>
      </c>
      <c r="C219">
        <f>IF($AG219="","",'01_設定'!$C$6)</f>
        <v/>
      </c>
      <c r="D219" s="36">
        <f>IF($AG219="","",'01_設定'!$C$22)</f>
        <v/>
      </c>
      <c r="E219" s="36">
        <f>IF($AG219="","",'01_設定'!$C$23)</f>
        <v/>
      </c>
      <c r="F219">
        <f>IF($AG219="","",'01_設定'!$C$32)</f>
        <v/>
      </c>
      <c r="G219">
        <f>IF($AG219="","",ROW()-4)</f>
        <v/>
      </c>
      <c r="H219">
        <f>IF($AG219="","",INDEX('04_調査結果'!$AJ$5:$AJ$404,$AG219))</f>
        <v/>
      </c>
      <c r="I219">
        <f>IF($AG219="","",INDEX('04_調査結果'!$D$5:$D$404,$AG219)&amp;"")</f>
        <v/>
      </c>
      <c r="J219">
        <f>IF($AG219="","",INDEX('04_調査結果'!$AK$5:$AK$404,$AG219)&amp;"")</f>
        <v/>
      </c>
      <c r="K219">
        <f>IF($AG219="","",IFERROR(INDEX('M1_類型マスタ'!$B$5:$B$19,MATCH(J219,'M1_類型マスタ'!$A$5:$A$19,0)),""))</f>
        <v/>
      </c>
      <c r="L219">
        <f>IF($AG219="","",INDEX('04_調査結果'!$F$5:$F$404,$AG219)&amp;"")</f>
        <v/>
      </c>
      <c r="M219">
        <f>IF($AG219="","",INDEX('04_調査結果'!$G$5:$G$404,$AG219)&amp;"")</f>
        <v/>
      </c>
      <c r="N219">
        <f>IF($AG219="","",INDEX('04_調査結果'!$H$5:$H$404,$AG219)&amp;"")</f>
        <v/>
      </c>
      <c r="O219" s="33">
        <f>IF($AG219="","",IF(INDEX('04_調査結果'!$Z$5:$Z$404,$AG219)&lt;&gt;"",INDEX('04_調査結果'!$Z$5:$Z$404,$AG219),INDEX('04_調査結果'!$AM$5:$AM$404,$AG219)))</f>
        <v/>
      </c>
      <c r="P219" s="33">
        <f>IF($AG219="","",IF(INDEX('04_調査結果'!$AA$5:$AA$404,$AG219)&lt;&gt;"",INDEX('04_調査結果'!$AA$5:$AA$404,$AG219),INDEX('04_調査結果'!$AN$5:$AN$404,$AG219)))</f>
        <v/>
      </c>
      <c r="Q219" s="33">
        <f>IF($AG219="","",INDEX('04_調査結果'!$AD$5:$AD$404,$AG219))</f>
        <v/>
      </c>
      <c r="R219">
        <f>IF($AG219="","",INDEX('04_調査結果'!$AO$5:$AO$404,$AG219))</f>
        <v/>
      </c>
      <c r="S219" s="37">
        <f>IF($AG219="","",INDEX('04_調査結果'!$AQ$5:$AQ$404,$AG219))</f>
        <v/>
      </c>
      <c r="T219" s="37">
        <f>IF($AG219="","",INDEX('04_調査結果'!$AR$5:$AR$404,$AG219))</f>
        <v/>
      </c>
      <c r="U219">
        <f>IF($AG219="","",INDEX('04_調査結果'!$N$5:$N$404,$AG219)&amp;"")</f>
        <v/>
      </c>
      <c r="V219">
        <f>IF($AG219="","",INDEX('04_調査結果'!$O$5:$O$404,$AG219))</f>
        <v/>
      </c>
      <c r="W219">
        <f>IF($AG219="","",INDEX('04_調査結果'!$P$5:$P$404,$AG219))</f>
        <v/>
      </c>
      <c r="X219">
        <f>IF($AG219="","",INDEX('04_調査結果'!$Q$5:$Q$404,$AG219))</f>
        <v/>
      </c>
      <c r="Y219">
        <f>IF($AG219="","",INDEX('04_調査結果'!$R$5:$R$404,$AG219))</f>
        <v/>
      </c>
      <c r="Z219">
        <f>IF($AG219="","",INDEX('04_調査結果'!$S$5:$S$404,$AG219))</f>
        <v/>
      </c>
      <c r="AA219">
        <f>IF($AG219="","",INDEX('04_調査結果'!$T$5:$T$404,$AG219))</f>
        <v/>
      </c>
      <c r="AB219">
        <f>IF($AG219="","",INDEX('04_調査結果'!$U$5:$U$404,$AG219))</f>
        <v/>
      </c>
      <c r="AC219">
        <f>IF($AG219="","",INDEX('04_調査結果'!$AF$5:$AF$404,$AG219))</f>
        <v/>
      </c>
      <c r="AD219">
        <f>IF($AG219="","",INDEX('04_調査結果'!$AC$5:$AC$404,$AG219)&amp;"")</f>
        <v/>
      </c>
      <c r="AE219">
        <f>IF($AG219="","",INDEX('04_調査結果'!$V$5:$V$404,$AG219)&amp;"")</f>
        <v/>
      </c>
      <c r="AF219">
        <f>IF($AG219="","",INDEX('04_調査結果'!$X$5:$X$404,$AG219)&amp;"")</f>
        <v/>
      </c>
      <c r="AG219" s="34">
        <f>IFERROR(MATCH(ROW()-4,'04_調査結果'!$AT$5:$AT$404,0),"")</f>
        <v/>
      </c>
    </row>
    <row r="220">
      <c r="A220">
        <f>IF($AG220="","",'01_設定'!$C$4)</f>
        <v/>
      </c>
      <c r="B220">
        <f>IF($AG220="","",'01_設定'!$C$5)</f>
        <v/>
      </c>
      <c r="C220">
        <f>IF($AG220="","",'01_設定'!$C$6)</f>
        <v/>
      </c>
      <c r="D220" s="36">
        <f>IF($AG220="","",'01_設定'!$C$22)</f>
        <v/>
      </c>
      <c r="E220" s="36">
        <f>IF($AG220="","",'01_設定'!$C$23)</f>
        <v/>
      </c>
      <c r="F220">
        <f>IF($AG220="","",'01_設定'!$C$32)</f>
        <v/>
      </c>
      <c r="G220">
        <f>IF($AG220="","",ROW()-4)</f>
        <v/>
      </c>
      <c r="H220">
        <f>IF($AG220="","",INDEX('04_調査結果'!$AJ$5:$AJ$404,$AG220))</f>
        <v/>
      </c>
      <c r="I220">
        <f>IF($AG220="","",INDEX('04_調査結果'!$D$5:$D$404,$AG220)&amp;"")</f>
        <v/>
      </c>
      <c r="J220">
        <f>IF($AG220="","",INDEX('04_調査結果'!$AK$5:$AK$404,$AG220)&amp;"")</f>
        <v/>
      </c>
      <c r="K220">
        <f>IF($AG220="","",IFERROR(INDEX('M1_類型マスタ'!$B$5:$B$19,MATCH(J220,'M1_類型マスタ'!$A$5:$A$19,0)),""))</f>
        <v/>
      </c>
      <c r="L220">
        <f>IF($AG220="","",INDEX('04_調査結果'!$F$5:$F$404,$AG220)&amp;"")</f>
        <v/>
      </c>
      <c r="M220">
        <f>IF($AG220="","",INDEX('04_調査結果'!$G$5:$G$404,$AG220)&amp;"")</f>
        <v/>
      </c>
      <c r="N220">
        <f>IF($AG220="","",INDEX('04_調査結果'!$H$5:$H$404,$AG220)&amp;"")</f>
        <v/>
      </c>
      <c r="O220" s="33">
        <f>IF($AG220="","",IF(INDEX('04_調査結果'!$Z$5:$Z$404,$AG220)&lt;&gt;"",INDEX('04_調査結果'!$Z$5:$Z$404,$AG220),INDEX('04_調査結果'!$AM$5:$AM$404,$AG220)))</f>
        <v/>
      </c>
      <c r="P220" s="33">
        <f>IF($AG220="","",IF(INDEX('04_調査結果'!$AA$5:$AA$404,$AG220)&lt;&gt;"",INDEX('04_調査結果'!$AA$5:$AA$404,$AG220),INDEX('04_調査結果'!$AN$5:$AN$404,$AG220)))</f>
        <v/>
      </c>
      <c r="Q220" s="33">
        <f>IF($AG220="","",INDEX('04_調査結果'!$AD$5:$AD$404,$AG220))</f>
        <v/>
      </c>
      <c r="R220">
        <f>IF($AG220="","",INDEX('04_調査結果'!$AO$5:$AO$404,$AG220))</f>
        <v/>
      </c>
      <c r="S220" s="37">
        <f>IF($AG220="","",INDEX('04_調査結果'!$AQ$5:$AQ$404,$AG220))</f>
        <v/>
      </c>
      <c r="T220" s="37">
        <f>IF($AG220="","",INDEX('04_調査結果'!$AR$5:$AR$404,$AG220))</f>
        <v/>
      </c>
      <c r="U220">
        <f>IF($AG220="","",INDEX('04_調査結果'!$N$5:$N$404,$AG220)&amp;"")</f>
        <v/>
      </c>
      <c r="V220">
        <f>IF($AG220="","",INDEX('04_調査結果'!$O$5:$O$404,$AG220))</f>
        <v/>
      </c>
      <c r="W220">
        <f>IF($AG220="","",INDEX('04_調査結果'!$P$5:$P$404,$AG220))</f>
        <v/>
      </c>
      <c r="X220">
        <f>IF($AG220="","",INDEX('04_調査結果'!$Q$5:$Q$404,$AG220))</f>
        <v/>
      </c>
      <c r="Y220">
        <f>IF($AG220="","",INDEX('04_調査結果'!$R$5:$R$404,$AG220))</f>
        <v/>
      </c>
      <c r="Z220">
        <f>IF($AG220="","",INDEX('04_調査結果'!$S$5:$S$404,$AG220))</f>
        <v/>
      </c>
      <c r="AA220">
        <f>IF($AG220="","",INDEX('04_調査結果'!$T$5:$T$404,$AG220))</f>
        <v/>
      </c>
      <c r="AB220">
        <f>IF($AG220="","",INDEX('04_調査結果'!$U$5:$U$404,$AG220))</f>
        <v/>
      </c>
      <c r="AC220">
        <f>IF($AG220="","",INDEX('04_調査結果'!$AF$5:$AF$404,$AG220))</f>
        <v/>
      </c>
      <c r="AD220">
        <f>IF($AG220="","",INDEX('04_調査結果'!$AC$5:$AC$404,$AG220)&amp;"")</f>
        <v/>
      </c>
      <c r="AE220">
        <f>IF($AG220="","",INDEX('04_調査結果'!$V$5:$V$404,$AG220)&amp;"")</f>
        <v/>
      </c>
      <c r="AF220">
        <f>IF($AG220="","",INDEX('04_調査結果'!$X$5:$X$404,$AG220)&amp;"")</f>
        <v/>
      </c>
      <c r="AG220" s="34">
        <f>IFERROR(MATCH(ROW()-4,'04_調査結果'!$AT$5:$AT$404,0),"")</f>
        <v/>
      </c>
    </row>
    <row r="221">
      <c r="A221">
        <f>IF($AG221="","",'01_設定'!$C$4)</f>
        <v/>
      </c>
      <c r="B221">
        <f>IF($AG221="","",'01_設定'!$C$5)</f>
        <v/>
      </c>
      <c r="C221">
        <f>IF($AG221="","",'01_設定'!$C$6)</f>
        <v/>
      </c>
      <c r="D221" s="36">
        <f>IF($AG221="","",'01_設定'!$C$22)</f>
        <v/>
      </c>
      <c r="E221" s="36">
        <f>IF($AG221="","",'01_設定'!$C$23)</f>
        <v/>
      </c>
      <c r="F221">
        <f>IF($AG221="","",'01_設定'!$C$32)</f>
        <v/>
      </c>
      <c r="G221">
        <f>IF($AG221="","",ROW()-4)</f>
        <v/>
      </c>
      <c r="H221">
        <f>IF($AG221="","",INDEX('04_調査結果'!$AJ$5:$AJ$404,$AG221))</f>
        <v/>
      </c>
      <c r="I221">
        <f>IF($AG221="","",INDEX('04_調査結果'!$D$5:$D$404,$AG221)&amp;"")</f>
        <v/>
      </c>
      <c r="J221">
        <f>IF($AG221="","",INDEX('04_調査結果'!$AK$5:$AK$404,$AG221)&amp;"")</f>
        <v/>
      </c>
      <c r="K221">
        <f>IF($AG221="","",IFERROR(INDEX('M1_類型マスタ'!$B$5:$B$19,MATCH(J221,'M1_類型マスタ'!$A$5:$A$19,0)),""))</f>
        <v/>
      </c>
      <c r="L221">
        <f>IF($AG221="","",INDEX('04_調査結果'!$F$5:$F$404,$AG221)&amp;"")</f>
        <v/>
      </c>
      <c r="M221">
        <f>IF($AG221="","",INDEX('04_調査結果'!$G$5:$G$404,$AG221)&amp;"")</f>
        <v/>
      </c>
      <c r="N221">
        <f>IF($AG221="","",INDEX('04_調査結果'!$H$5:$H$404,$AG221)&amp;"")</f>
        <v/>
      </c>
      <c r="O221" s="33">
        <f>IF($AG221="","",IF(INDEX('04_調査結果'!$Z$5:$Z$404,$AG221)&lt;&gt;"",INDEX('04_調査結果'!$Z$5:$Z$404,$AG221),INDEX('04_調査結果'!$AM$5:$AM$404,$AG221)))</f>
        <v/>
      </c>
      <c r="P221" s="33">
        <f>IF($AG221="","",IF(INDEX('04_調査結果'!$AA$5:$AA$404,$AG221)&lt;&gt;"",INDEX('04_調査結果'!$AA$5:$AA$404,$AG221),INDEX('04_調査結果'!$AN$5:$AN$404,$AG221)))</f>
        <v/>
      </c>
      <c r="Q221" s="33">
        <f>IF($AG221="","",INDEX('04_調査結果'!$AD$5:$AD$404,$AG221))</f>
        <v/>
      </c>
      <c r="R221">
        <f>IF($AG221="","",INDEX('04_調査結果'!$AO$5:$AO$404,$AG221))</f>
        <v/>
      </c>
      <c r="S221" s="37">
        <f>IF($AG221="","",INDEX('04_調査結果'!$AQ$5:$AQ$404,$AG221))</f>
        <v/>
      </c>
      <c r="T221" s="37">
        <f>IF($AG221="","",INDEX('04_調査結果'!$AR$5:$AR$404,$AG221))</f>
        <v/>
      </c>
      <c r="U221">
        <f>IF($AG221="","",INDEX('04_調査結果'!$N$5:$N$404,$AG221)&amp;"")</f>
        <v/>
      </c>
      <c r="V221">
        <f>IF($AG221="","",INDEX('04_調査結果'!$O$5:$O$404,$AG221))</f>
        <v/>
      </c>
      <c r="W221">
        <f>IF($AG221="","",INDEX('04_調査結果'!$P$5:$P$404,$AG221))</f>
        <v/>
      </c>
      <c r="X221">
        <f>IF($AG221="","",INDEX('04_調査結果'!$Q$5:$Q$404,$AG221))</f>
        <v/>
      </c>
      <c r="Y221">
        <f>IF($AG221="","",INDEX('04_調査結果'!$R$5:$R$404,$AG221))</f>
        <v/>
      </c>
      <c r="Z221">
        <f>IF($AG221="","",INDEX('04_調査結果'!$S$5:$S$404,$AG221))</f>
        <v/>
      </c>
      <c r="AA221">
        <f>IF($AG221="","",INDEX('04_調査結果'!$T$5:$T$404,$AG221))</f>
        <v/>
      </c>
      <c r="AB221">
        <f>IF($AG221="","",INDEX('04_調査結果'!$U$5:$U$404,$AG221))</f>
        <v/>
      </c>
      <c r="AC221">
        <f>IF($AG221="","",INDEX('04_調査結果'!$AF$5:$AF$404,$AG221))</f>
        <v/>
      </c>
      <c r="AD221">
        <f>IF($AG221="","",INDEX('04_調査結果'!$AC$5:$AC$404,$AG221)&amp;"")</f>
        <v/>
      </c>
      <c r="AE221">
        <f>IF($AG221="","",INDEX('04_調査結果'!$V$5:$V$404,$AG221)&amp;"")</f>
        <v/>
      </c>
      <c r="AF221">
        <f>IF($AG221="","",INDEX('04_調査結果'!$X$5:$X$404,$AG221)&amp;"")</f>
        <v/>
      </c>
      <c r="AG221" s="34">
        <f>IFERROR(MATCH(ROW()-4,'04_調査結果'!$AT$5:$AT$404,0),"")</f>
        <v/>
      </c>
    </row>
    <row r="222">
      <c r="A222">
        <f>IF($AG222="","",'01_設定'!$C$4)</f>
        <v/>
      </c>
      <c r="B222">
        <f>IF($AG222="","",'01_設定'!$C$5)</f>
        <v/>
      </c>
      <c r="C222">
        <f>IF($AG222="","",'01_設定'!$C$6)</f>
        <v/>
      </c>
      <c r="D222" s="36">
        <f>IF($AG222="","",'01_設定'!$C$22)</f>
        <v/>
      </c>
      <c r="E222" s="36">
        <f>IF($AG222="","",'01_設定'!$C$23)</f>
        <v/>
      </c>
      <c r="F222">
        <f>IF($AG222="","",'01_設定'!$C$32)</f>
        <v/>
      </c>
      <c r="G222">
        <f>IF($AG222="","",ROW()-4)</f>
        <v/>
      </c>
      <c r="H222">
        <f>IF($AG222="","",INDEX('04_調査結果'!$AJ$5:$AJ$404,$AG222))</f>
        <v/>
      </c>
      <c r="I222">
        <f>IF($AG222="","",INDEX('04_調査結果'!$D$5:$D$404,$AG222)&amp;"")</f>
        <v/>
      </c>
      <c r="J222">
        <f>IF($AG222="","",INDEX('04_調査結果'!$AK$5:$AK$404,$AG222)&amp;"")</f>
        <v/>
      </c>
      <c r="K222">
        <f>IF($AG222="","",IFERROR(INDEX('M1_類型マスタ'!$B$5:$B$19,MATCH(J222,'M1_類型マスタ'!$A$5:$A$19,0)),""))</f>
        <v/>
      </c>
      <c r="L222">
        <f>IF($AG222="","",INDEX('04_調査結果'!$F$5:$F$404,$AG222)&amp;"")</f>
        <v/>
      </c>
      <c r="M222">
        <f>IF($AG222="","",INDEX('04_調査結果'!$G$5:$G$404,$AG222)&amp;"")</f>
        <v/>
      </c>
      <c r="N222">
        <f>IF($AG222="","",INDEX('04_調査結果'!$H$5:$H$404,$AG222)&amp;"")</f>
        <v/>
      </c>
      <c r="O222" s="33">
        <f>IF($AG222="","",IF(INDEX('04_調査結果'!$Z$5:$Z$404,$AG222)&lt;&gt;"",INDEX('04_調査結果'!$Z$5:$Z$404,$AG222),INDEX('04_調査結果'!$AM$5:$AM$404,$AG222)))</f>
        <v/>
      </c>
      <c r="P222" s="33">
        <f>IF($AG222="","",IF(INDEX('04_調査結果'!$AA$5:$AA$404,$AG222)&lt;&gt;"",INDEX('04_調査結果'!$AA$5:$AA$404,$AG222),INDEX('04_調査結果'!$AN$5:$AN$404,$AG222)))</f>
        <v/>
      </c>
      <c r="Q222" s="33">
        <f>IF($AG222="","",INDEX('04_調査結果'!$AD$5:$AD$404,$AG222))</f>
        <v/>
      </c>
      <c r="R222">
        <f>IF($AG222="","",INDEX('04_調査結果'!$AO$5:$AO$404,$AG222))</f>
        <v/>
      </c>
      <c r="S222" s="37">
        <f>IF($AG222="","",INDEX('04_調査結果'!$AQ$5:$AQ$404,$AG222))</f>
        <v/>
      </c>
      <c r="T222" s="37">
        <f>IF($AG222="","",INDEX('04_調査結果'!$AR$5:$AR$404,$AG222))</f>
        <v/>
      </c>
      <c r="U222">
        <f>IF($AG222="","",INDEX('04_調査結果'!$N$5:$N$404,$AG222)&amp;"")</f>
        <v/>
      </c>
      <c r="V222">
        <f>IF($AG222="","",INDEX('04_調査結果'!$O$5:$O$404,$AG222))</f>
        <v/>
      </c>
      <c r="W222">
        <f>IF($AG222="","",INDEX('04_調査結果'!$P$5:$P$404,$AG222))</f>
        <v/>
      </c>
      <c r="X222">
        <f>IF($AG222="","",INDEX('04_調査結果'!$Q$5:$Q$404,$AG222))</f>
        <v/>
      </c>
      <c r="Y222">
        <f>IF($AG222="","",INDEX('04_調査結果'!$R$5:$R$404,$AG222))</f>
        <v/>
      </c>
      <c r="Z222">
        <f>IF($AG222="","",INDEX('04_調査結果'!$S$5:$S$404,$AG222))</f>
        <v/>
      </c>
      <c r="AA222">
        <f>IF($AG222="","",INDEX('04_調査結果'!$T$5:$T$404,$AG222))</f>
        <v/>
      </c>
      <c r="AB222">
        <f>IF($AG222="","",INDEX('04_調査結果'!$U$5:$U$404,$AG222))</f>
        <v/>
      </c>
      <c r="AC222">
        <f>IF($AG222="","",INDEX('04_調査結果'!$AF$5:$AF$404,$AG222))</f>
        <v/>
      </c>
      <c r="AD222">
        <f>IF($AG222="","",INDEX('04_調査結果'!$AC$5:$AC$404,$AG222)&amp;"")</f>
        <v/>
      </c>
      <c r="AE222">
        <f>IF($AG222="","",INDEX('04_調査結果'!$V$5:$V$404,$AG222)&amp;"")</f>
        <v/>
      </c>
      <c r="AF222">
        <f>IF($AG222="","",INDEX('04_調査結果'!$X$5:$X$404,$AG222)&amp;"")</f>
        <v/>
      </c>
      <c r="AG222" s="34">
        <f>IFERROR(MATCH(ROW()-4,'04_調査結果'!$AT$5:$AT$404,0),"")</f>
        <v/>
      </c>
    </row>
    <row r="223">
      <c r="A223">
        <f>IF($AG223="","",'01_設定'!$C$4)</f>
        <v/>
      </c>
      <c r="B223">
        <f>IF($AG223="","",'01_設定'!$C$5)</f>
        <v/>
      </c>
      <c r="C223">
        <f>IF($AG223="","",'01_設定'!$C$6)</f>
        <v/>
      </c>
      <c r="D223" s="36">
        <f>IF($AG223="","",'01_設定'!$C$22)</f>
        <v/>
      </c>
      <c r="E223" s="36">
        <f>IF($AG223="","",'01_設定'!$C$23)</f>
        <v/>
      </c>
      <c r="F223">
        <f>IF($AG223="","",'01_設定'!$C$32)</f>
        <v/>
      </c>
      <c r="G223">
        <f>IF($AG223="","",ROW()-4)</f>
        <v/>
      </c>
      <c r="H223">
        <f>IF($AG223="","",INDEX('04_調査結果'!$AJ$5:$AJ$404,$AG223))</f>
        <v/>
      </c>
      <c r="I223">
        <f>IF($AG223="","",INDEX('04_調査結果'!$D$5:$D$404,$AG223)&amp;"")</f>
        <v/>
      </c>
      <c r="J223">
        <f>IF($AG223="","",INDEX('04_調査結果'!$AK$5:$AK$404,$AG223)&amp;"")</f>
        <v/>
      </c>
      <c r="K223">
        <f>IF($AG223="","",IFERROR(INDEX('M1_類型マスタ'!$B$5:$B$19,MATCH(J223,'M1_類型マスタ'!$A$5:$A$19,0)),""))</f>
        <v/>
      </c>
      <c r="L223">
        <f>IF($AG223="","",INDEX('04_調査結果'!$F$5:$F$404,$AG223)&amp;"")</f>
        <v/>
      </c>
      <c r="M223">
        <f>IF($AG223="","",INDEX('04_調査結果'!$G$5:$G$404,$AG223)&amp;"")</f>
        <v/>
      </c>
      <c r="N223">
        <f>IF($AG223="","",INDEX('04_調査結果'!$H$5:$H$404,$AG223)&amp;"")</f>
        <v/>
      </c>
      <c r="O223" s="33">
        <f>IF($AG223="","",IF(INDEX('04_調査結果'!$Z$5:$Z$404,$AG223)&lt;&gt;"",INDEX('04_調査結果'!$Z$5:$Z$404,$AG223),INDEX('04_調査結果'!$AM$5:$AM$404,$AG223)))</f>
        <v/>
      </c>
      <c r="P223" s="33">
        <f>IF($AG223="","",IF(INDEX('04_調査結果'!$AA$5:$AA$404,$AG223)&lt;&gt;"",INDEX('04_調査結果'!$AA$5:$AA$404,$AG223),INDEX('04_調査結果'!$AN$5:$AN$404,$AG223)))</f>
        <v/>
      </c>
      <c r="Q223" s="33">
        <f>IF($AG223="","",INDEX('04_調査結果'!$AD$5:$AD$404,$AG223))</f>
        <v/>
      </c>
      <c r="R223">
        <f>IF($AG223="","",INDEX('04_調査結果'!$AO$5:$AO$404,$AG223))</f>
        <v/>
      </c>
      <c r="S223" s="37">
        <f>IF($AG223="","",INDEX('04_調査結果'!$AQ$5:$AQ$404,$AG223))</f>
        <v/>
      </c>
      <c r="T223" s="37">
        <f>IF($AG223="","",INDEX('04_調査結果'!$AR$5:$AR$404,$AG223))</f>
        <v/>
      </c>
      <c r="U223">
        <f>IF($AG223="","",INDEX('04_調査結果'!$N$5:$N$404,$AG223)&amp;"")</f>
        <v/>
      </c>
      <c r="V223">
        <f>IF($AG223="","",INDEX('04_調査結果'!$O$5:$O$404,$AG223))</f>
        <v/>
      </c>
      <c r="W223">
        <f>IF($AG223="","",INDEX('04_調査結果'!$P$5:$P$404,$AG223))</f>
        <v/>
      </c>
      <c r="X223">
        <f>IF($AG223="","",INDEX('04_調査結果'!$Q$5:$Q$404,$AG223))</f>
        <v/>
      </c>
      <c r="Y223">
        <f>IF($AG223="","",INDEX('04_調査結果'!$R$5:$R$404,$AG223))</f>
        <v/>
      </c>
      <c r="Z223">
        <f>IF($AG223="","",INDEX('04_調査結果'!$S$5:$S$404,$AG223))</f>
        <v/>
      </c>
      <c r="AA223">
        <f>IF($AG223="","",INDEX('04_調査結果'!$T$5:$T$404,$AG223))</f>
        <v/>
      </c>
      <c r="AB223">
        <f>IF($AG223="","",INDEX('04_調査結果'!$U$5:$U$404,$AG223))</f>
        <v/>
      </c>
      <c r="AC223">
        <f>IF($AG223="","",INDEX('04_調査結果'!$AF$5:$AF$404,$AG223))</f>
        <v/>
      </c>
      <c r="AD223">
        <f>IF($AG223="","",INDEX('04_調査結果'!$AC$5:$AC$404,$AG223)&amp;"")</f>
        <v/>
      </c>
      <c r="AE223">
        <f>IF($AG223="","",INDEX('04_調査結果'!$V$5:$V$404,$AG223)&amp;"")</f>
        <v/>
      </c>
      <c r="AF223">
        <f>IF($AG223="","",INDEX('04_調査結果'!$X$5:$X$404,$AG223)&amp;"")</f>
        <v/>
      </c>
      <c r="AG223" s="34">
        <f>IFERROR(MATCH(ROW()-4,'04_調査結果'!$AT$5:$AT$404,0),"")</f>
        <v/>
      </c>
    </row>
    <row r="224">
      <c r="A224">
        <f>IF($AG224="","",'01_設定'!$C$4)</f>
        <v/>
      </c>
      <c r="B224">
        <f>IF($AG224="","",'01_設定'!$C$5)</f>
        <v/>
      </c>
      <c r="C224">
        <f>IF($AG224="","",'01_設定'!$C$6)</f>
        <v/>
      </c>
      <c r="D224" s="36">
        <f>IF($AG224="","",'01_設定'!$C$22)</f>
        <v/>
      </c>
      <c r="E224" s="36">
        <f>IF($AG224="","",'01_設定'!$C$23)</f>
        <v/>
      </c>
      <c r="F224">
        <f>IF($AG224="","",'01_設定'!$C$32)</f>
        <v/>
      </c>
      <c r="G224">
        <f>IF($AG224="","",ROW()-4)</f>
        <v/>
      </c>
      <c r="H224">
        <f>IF($AG224="","",INDEX('04_調査結果'!$AJ$5:$AJ$404,$AG224))</f>
        <v/>
      </c>
      <c r="I224">
        <f>IF($AG224="","",INDEX('04_調査結果'!$D$5:$D$404,$AG224)&amp;"")</f>
        <v/>
      </c>
      <c r="J224">
        <f>IF($AG224="","",INDEX('04_調査結果'!$AK$5:$AK$404,$AG224)&amp;"")</f>
        <v/>
      </c>
      <c r="K224">
        <f>IF($AG224="","",IFERROR(INDEX('M1_類型マスタ'!$B$5:$B$19,MATCH(J224,'M1_類型マスタ'!$A$5:$A$19,0)),""))</f>
        <v/>
      </c>
      <c r="L224">
        <f>IF($AG224="","",INDEX('04_調査結果'!$F$5:$F$404,$AG224)&amp;"")</f>
        <v/>
      </c>
      <c r="M224">
        <f>IF($AG224="","",INDEX('04_調査結果'!$G$5:$G$404,$AG224)&amp;"")</f>
        <v/>
      </c>
      <c r="N224">
        <f>IF($AG224="","",INDEX('04_調査結果'!$H$5:$H$404,$AG224)&amp;"")</f>
        <v/>
      </c>
      <c r="O224" s="33">
        <f>IF($AG224="","",IF(INDEX('04_調査結果'!$Z$5:$Z$404,$AG224)&lt;&gt;"",INDEX('04_調査結果'!$Z$5:$Z$404,$AG224),INDEX('04_調査結果'!$AM$5:$AM$404,$AG224)))</f>
        <v/>
      </c>
      <c r="P224" s="33">
        <f>IF($AG224="","",IF(INDEX('04_調査結果'!$AA$5:$AA$404,$AG224)&lt;&gt;"",INDEX('04_調査結果'!$AA$5:$AA$404,$AG224),INDEX('04_調査結果'!$AN$5:$AN$404,$AG224)))</f>
        <v/>
      </c>
      <c r="Q224" s="33">
        <f>IF($AG224="","",INDEX('04_調査結果'!$AD$5:$AD$404,$AG224))</f>
        <v/>
      </c>
      <c r="R224">
        <f>IF($AG224="","",INDEX('04_調査結果'!$AO$5:$AO$404,$AG224))</f>
        <v/>
      </c>
      <c r="S224" s="37">
        <f>IF($AG224="","",INDEX('04_調査結果'!$AQ$5:$AQ$404,$AG224))</f>
        <v/>
      </c>
      <c r="T224" s="37">
        <f>IF($AG224="","",INDEX('04_調査結果'!$AR$5:$AR$404,$AG224))</f>
        <v/>
      </c>
      <c r="U224">
        <f>IF($AG224="","",INDEX('04_調査結果'!$N$5:$N$404,$AG224)&amp;"")</f>
        <v/>
      </c>
      <c r="V224">
        <f>IF($AG224="","",INDEX('04_調査結果'!$O$5:$O$404,$AG224))</f>
        <v/>
      </c>
      <c r="W224">
        <f>IF($AG224="","",INDEX('04_調査結果'!$P$5:$P$404,$AG224))</f>
        <v/>
      </c>
      <c r="X224">
        <f>IF($AG224="","",INDEX('04_調査結果'!$Q$5:$Q$404,$AG224))</f>
        <v/>
      </c>
      <c r="Y224">
        <f>IF($AG224="","",INDEX('04_調査結果'!$R$5:$R$404,$AG224))</f>
        <v/>
      </c>
      <c r="Z224">
        <f>IF($AG224="","",INDEX('04_調査結果'!$S$5:$S$404,$AG224))</f>
        <v/>
      </c>
      <c r="AA224">
        <f>IF($AG224="","",INDEX('04_調査結果'!$T$5:$T$404,$AG224))</f>
        <v/>
      </c>
      <c r="AB224">
        <f>IF($AG224="","",INDEX('04_調査結果'!$U$5:$U$404,$AG224))</f>
        <v/>
      </c>
      <c r="AC224">
        <f>IF($AG224="","",INDEX('04_調査結果'!$AF$5:$AF$404,$AG224))</f>
        <v/>
      </c>
      <c r="AD224">
        <f>IF($AG224="","",INDEX('04_調査結果'!$AC$5:$AC$404,$AG224)&amp;"")</f>
        <v/>
      </c>
      <c r="AE224">
        <f>IF($AG224="","",INDEX('04_調査結果'!$V$5:$V$404,$AG224)&amp;"")</f>
        <v/>
      </c>
      <c r="AF224">
        <f>IF($AG224="","",INDEX('04_調査結果'!$X$5:$X$404,$AG224)&amp;"")</f>
        <v/>
      </c>
      <c r="AG224" s="34">
        <f>IFERROR(MATCH(ROW()-4,'04_調査結果'!$AT$5:$AT$404,0),"")</f>
        <v/>
      </c>
    </row>
    <row r="225">
      <c r="A225">
        <f>IF($AG225="","",'01_設定'!$C$4)</f>
        <v/>
      </c>
      <c r="B225">
        <f>IF($AG225="","",'01_設定'!$C$5)</f>
        <v/>
      </c>
      <c r="C225">
        <f>IF($AG225="","",'01_設定'!$C$6)</f>
        <v/>
      </c>
      <c r="D225" s="36">
        <f>IF($AG225="","",'01_設定'!$C$22)</f>
        <v/>
      </c>
      <c r="E225" s="36">
        <f>IF($AG225="","",'01_設定'!$C$23)</f>
        <v/>
      </c>
      <c r="F225">
        <f>IF($AG225="","",'01_設定'!$C$32)</f>
        <v/>
      </c>
      <c r="G225">
        <f>IF($AG225="","",ROW()-4)</f>
        <v/>
      </c>
      <c r="H225">
        <f>IF($AG225="","",INDEX('04_調査結果'!$AJ$5:$AJ$404,$AG225))</f>
        <v/>
      </c>
      <c r="I225">
        <f>IF($AG225="","",INDEX('04_調査結果'!$D$5:$D$404,$AG225)&amp;"")</f>
        <v/>
      </c>
      <c r="J225">
        <f>IF($AG225="","",INDEX('04_調査結果'!$AK$5:$AK$404,$AG225)&amp;"")</f>
        <v/>
      </c>
      <c r="K225">
        <f>IF($AG225="","",IFERROR(INDEX('M1_類型マスタ'!$B$5:$B$19,MATCH(J225,'M1_類型マスタ'!$A$5:$A$19,0)),""))</f>
        <v/>
      </c>
      <c r="L225">
        <f>IF($AG225="","",INDEX('04_調査結果'!$F$5:$F$404,$AG225)&amp;"")</f>
        <v/>
      </c>
      <c r="M225">
        <f>IF($AG225="","",INDEX('04_調査結果'!$G$5:$G$404,$AG225)&amp;"")</f>
        <v/>
      </c>
      <c r="N225">
        <f>IF($AG225="","",INDEX('04_調査結果'!$H$5:$H$404,$AG225)&amp;"")</f>
        <v/>
      </c>
      <c r="O225" s="33">
        <f>IF($AG225="","",IF(INDEX('04_調査結果'!$Z$5:$Z$404,$AG225)&lt;&gt;"",INDEX('04_調査結果'!$Z$5:$Z$404,$AG225),INDEX('04_調査結果'!$AM$5:$AM$404,$AG225)))</f>
        <v/>
      </c>
      <c r="P225" s="33">
        <f>IF($AG225="","",IF(INDEX('04_調査結果'!$AA$5:$AA$404,$AG225)&lt;&gt;"",INDEX('04_調査結果'!$AA$5:$AA$404,$AG225),INDEX('04_調査結果'!$AN$5:$AN$404,$AG225)))</f>
        <v/>
      </c>
      <c r="Q225" s="33">
        <f>IF($AG225="","",INDEX('04_調査結果'!$AD$5:$AD$404,$AG225))</f>
        <v/>
      </c>
      <c r="R225">
        <f>IF($AG225="","",INDEX('04_調査結果'!$AO$5:$AO$404,$AG225))</f>
        <v/>
      </c>
      <c r="S225" s="37">
        <f>IF($AG225="","",INDEX('04_調査結果'!$AQ$5:$AQ$404,$AG225))</f>
        <v/>
      </c>
      <c r="T225" s="37">
        <f>IF($AG225="","",INDEX('04_調査結果'!$AR$5:$AR$404,$AG225))</f>
        <v/>
      </c>
      <c r="U225">
        <f>IF($AG225="","",INDEX('04_調査結果'!$N$5:$N$404,$AG225)&amp;"")</f>
        <v/>
      </c>
      <c r="V225">
        <f>IF($AG225="","",INDEX('04_調査結果'!$O$5:$O$404,$AG225))</f>
        <v/>
      </c>
      <c r="W225">
        <f>IF($AG225="","",INDEX('04_調査結果'!$P$5:$P$404,$AG225))</f>
        <v/>
      </c>
      <c r="X225">
        <f>IF($AG225="","",INDEX('04_調査結果'!$Q$5:$Q$404,$AG225))</f>
        <v/>
      </c>
      <c r="Y225">
        <f>IF($AG225="","",INDEX('04_調査結果'!$R$5:$R$404,$AG225))</f>
        <v/>
      </c>
      <c r="Z225">
        <f>IF($AG225="","",INDEX('04_調査結果'!$S$5:$S$404,$AG225))</f>
        <v/>
      </c>
      <c r="AA225">
        <f>IF($AG225="","",INDEX('04_調査結果'!$T$5:$T$404,$AG225))</f>
        <v/>
      </c>
      <c r="AB225">
        <f>IF($AG225="","",INDEX('04_調査結果'!$U$5:$U$404,$AG225))</f>
        <v/>
      </c>
      <c r="AC225">
        <f>IF($AG225="","",INDEX('04_調査結果'!$AF$5:$AF$404,$AG225))</f>
        <v/>
      </c>
      <c r="AD225">
        <f>IF($AG225="","",INDEX('04_調査結果'!$AC$5:$AC$404,$AG225)&amp;"")</f>
        <v/>
      </c>
      <c r="AE225">
        <f>IF($AG225="","",INDEX('04_調査結果'!$V$5:$V$404,$AG225)&amp;"")</f>
        <v/>
      </c>
      <c r="AF225">
        <f>IF($AG225="","",INDEX('04_調査結果'!$X$5:$X$404,$AG225)&amp;"")</f>
        <v/>
      </c>
      <c r="AG225" s="34">
        <f>IFERROR(MATCH(ROW()-4,'04_調査結果'!$AT$5:$AT$404,0),"")</f>
        <v/>
      </c>
    </row>
    <row r="226">
      <c r="A226">
        <f>IF($AG226="","",'01_設定'!$C$4)</f>
        <v/>
      </c>
      <c r="B226">
        <f>IF($AG226="","",'01_設定'!$C$5)</f>
        <v/>
      </c>
      <c r="C226">
        <f>IF($AG226="","",'01_設定'!$C$6)</f>
        <v/>
      </c>
      <c r="D226" s="36">
        <f>IF($AG226="","",'01_設定'!$C$22)</f>
        <v/>
      </c>
      <c r="E226" s="36">
        <f>IF($AG226="","",'01_設定'!$C$23)</f>
        <v/>
      </c>
      <c r="F226">
        <f>IF($AG226="","",'01_設定'!$C$32)</f>
        <v/>
      </c>
      <c r="G226">
        <f>IF($AG226="","",ROW()-4)</f>
        <v/>
      </c>
      <c r="H226">
        <f>IF($AG226="","",INDEX('04_調査結果'!$AJ$5:$AJ$404,$AG226))</f>
        <v/>
      </c>
      <c r="I226">
        <f>IF($AG226="","",INDEX('04_調査結果'!$D$5:$D$404,$AG226)&amp;"")</f>
        <v/>
      </c>
      <c r="J226">
        <f>IF($AG226="","",INDEX('04_調査結果'!$AK$5:$AK$404,$AG226)&amp;"")</f>
        <v/>
      </c>
      <c r="K226">
        <f>IF($AG226="","",IFERROR(INDEX('M1_類型マスタ'!$B$5:$B$19,MATCH(J226,'M1_類型マスタ'!$A$5:$A$19,0)),""))</f>
        <v/>
      </c>
      <c r="L226">
        <f>IF($AG226="","",INDEX('04_調査結果'!$F$5:$F$404,$AG226)&amp;"")</f>
        <v/>
      </c>
      <c r="M226">
        <f>IF($AG226="","",INDEX('04_調査結果'!$G$5:$G$404,$AG226)&amp;"")</f>
        <v/>
      </c>
      <c r="N226">
        <f>IF($AG226="","",INDEX('04_調査結果'!$H$5:$H$404,$AG226)&amp;"")</f>
        <v/>
      </c>
      <c r="O226" s="33">
        <f>IF($AG226="","",IF(INDEX('04_調査結果'!$Z$5:$Z$404,$AG226)&lt;&gt;"",INDEX('04_調査結果'!$Z$5:$Z$404,$AG226),INDEX('04_調査結果'!$AM$5:$AM$404,$AG226)))</f>
        <v/>
      </c>
      <c r="P226" s="33">
        <f>IF($AG226="","",IF(INDEX('04_調査結果'!$AA$5:$AA$404,$AG226)&lt;&gt;"",INDEX('04_調査結果'!$AA$5:$AA$404,$AG226),INDEX('04_調査結果'!$AN$5:$AN$404,$AG226)))</f>
        <v/>
      </c>
      <c r="Q226" s="33">
        <f>IF($AG226="","",INDEX('04_調査結果'!$AD$5:$AD$404,$AG226))</f>
        <v/>
      </c>
      <c r="R226">
        <f>IF($AG226="","",INDEX('04_調査結果'!$AO$5:$AO$404,$AG226))</f>
        <v/>
      </c>
      <c r="S226" s="37">
        <f>IF($AG226="","",INDEX('04_調査結果'!$AQ$5:$AQ$404,$AG226))</f>
        <v/>
      </c>
      <c r="T226" s="37">
        <f>IF($AG226="","",INDEX('04_調査結果'!$AR$5:$AR$404,$AG226))</f>
        <v/>
      </c>
      <c r="U226">
        <f>IF($AG226="","",INDEX('04_調査結果'!$N$5:$N$404,$AG226)&amp;"")</f>
        <v/>
      </c>
      <c r="V226">
        <f>IF($AG226="","",INDEX('04_調査結果'!$O$5:$O$404,$AG226))</f>
        <v/>
      </c>
      <c r="W226">
        <f>IF($AG226="","",INDEX('04_調査結果'!$P$5:$P$404,$AG226))</f>
        <v/>
      </c>
      <c r="X226">
        <f>IF($AG226="","",INDEX('04_調査結果'!$Q$5:$Q$404,$AG226))</f>
        <v/>
      </c>
      <c r="Y226">
        <f>IF($AG226="","",INDEX('04_調査結果'!$R$5:$R$404,$AG226))</f>
        <v/>
      </c>
      <c r="Z226">
        <f>IF($AG226="","",INDEX('04_調査結果'!$S$5:$S$404,$AG226))</f>
        <v/>
      </c>
      <c r="AA226">
        <f>IF($AG226="","",INDEX('04_調査結果'!$T$5:$T$404,$AG226))</f>
        <v/>
      </c>
      <c r="AB226">
        <f>IF($AG226="","",INDEX('04_調査結果'!$U$5:$U$404,$AG226))</f>
        <v/>
      </c>
      <c r="AC226">
        <f>IF($AG226="","",INDEX('04_調査結果'!$AF$5:$AF$404,$AG226))</f>
        <v/>
      </c>
      <c r="AD226">
        <f>IF($AG226="","",INDEX('04_調査結果'!$AC$5:$AC$404,$AG226)&amp;"")</f>
        <v/>
      </c>
      <c r="AE226">
        <f>IF($AG226="","",INDEX('04_調査結果'!$V$5:$V$404,$AG226)&amp;"")</f>
        <v/>
      </c>
      <c r="AF226">
        <f>IF($AG226="","",INDEX('04_調査結果'!$X$5:$X$404,$AG226)&amp;"")</f>
        <v/>
      </c>
      <c r="AG226" s="34">
        <f>IFERROR(MATCH(ROW()-4,'04_調査結果'!$AT$5:$AT$404,0),"")</f>
        <v/>
      </c>
    </row>
    <row r="227">
      <c r="A227">
        <f>IF($AG227="","",'01_設定'!$C$4)</f>
        <v/>
      </c>
      <c r="B227">
        <f>IF($AG227="","",'01_設定'!$C$5)</f>
        <v/>
      </c>
      <c r="C227">
        <f>IF($AG227="","",'01_設定'!$C$6)</f>
        <v/>
      </c>
      <c r="D227" s="36">
        <f>IF($AG227="","",'01_設定'!$C$22)</f>
        <v/>
      </c>
      <c r="E227" s="36">
        <f>IF($AG227="","",'01_設定'!$C$23)</f>
        <v/>
      </c>
      <c r="F227">
        <f>IF($AG227="","",'01_設定'!$C$32)</f>
        <v/>
      </c>
      <c r="G227">
        <f>IF($AG227="","",ROW()-4)</f>
        <v/>
      </c>
      <c r="H227">
        <f>IF($AG227="","",INDEX('04_調査結果'!$AJ$5:$AJ$404,$AG227))</f>
        <v/>
      </c>
      <c r="I227">
        <f>IF($AG227="","",INDEX('04_調査結果'!$D$5:$D$404,$AG227)&amp;"")</f>
        <v/>
      </c>
      <c r="J227">
        <f>IF($AG227="","",INDEX('04_調査結果'!$AK$5:$AK$404,$AG227)&amp;"")</f>
        <v/>
      </c>
      <c r="K227">
        <f>IF($AG227="","",IFERROR(INDEX('M1_類型マスタ'!$B$5:$B$19,MATCH(J227,'M1_類型マスタ'!$A$5:$A$19,0)),""))</f>
        <v/>
      </c>
      <c r="L227">
        <f>IF($AG227="","",INDEX('04_調査結果'!$F$5:$F$404,$AG227)&amp;"")</f>
        <v/>
      </c>
      <c r="M227">
        <f>IF($AG227="","",INDEX('04_調査結果'!$G$5:$G$404,$AG227)&amp;"")</f>
        <v/>
      </c>
      <c r="N227">
        <f>IF($AG227="","",INDEX('04_調査結果'!$H$5:$H$404,$AG227)&amp;"")</f>
        <v/>
      </c>
      <c r="O227" s="33">
        <f>IF($AG227="","",IF(INDEX('04_調査結果'!$Z$5:$Z$404,$AG227)&lt;&gt;"",INDEX('04_調査結果'!$Z$5:$Z$404,$AG227),INDEX('04_調査結果'!$AM$5:$AM$404,$AG227)))</f>
        <v/>
      </c>
      <c r="P227" s="33">
        <f>IF($AG227="","",IF(INDEX('04_調査結果'!$AA$5:$AA$404,$AG227)&lt;&gt;"",INDEX('04_調査結果'!$AA$5:$AA$404,$AG227),INDEX('04_調査結果'!$AN$5:$AN$404,$AG227)))</f>
        <v/>
      </c>
      <c r="Q227" s="33">
        <f>IF($AG227="","",INDEX('04_調査結果'!$AD$5:$AD$404,$AG227))</f>
        <v/>
      </c>
      <c r="R227">
        <f>IF($AG227="","",INDEX('04_調査結果'!$AO$5:$AO$404,$AG227))</f>
        <v/>
      </c>
      <c r="S227" s="37">
        <f>IF($AG227="","",INDEX('04_調査結果'!$AQ$5:$AQ$404,$AG227))</f>
        <v/>
      </c>
      <c r="T227" s="37">
        <f>IF($AG227="","",INDEX('04_調査結果'!$AR$5:$AR$404,$AG227))</f>
        <v/>
      </c>
      <c r="U227">
        <f>IF($AG227="","",INDEX('04_調査結果'!$N$5:$N$404,$AG227)&amp;"")</f>
        <v/>
      </c>
      <c r="V227">
        <f>IF($AG227="","",INDEX('04_調査結果'!$O$5:$O$404,$AG227))</f>
        <v/>
      </c>
      <c r="W227">
        <f>IF($AG227="","",INDEX('04_調査結果'!$P$5:$P$404,$AG227))</f>
        <v/>
      </c>
      <c r="X227">
        <f>IF($AG227="","",INDEX('04_調査結果'!$Q$5:$Q$404,$AG227))</f>
        <v/>
      </c>
      <c r="Y227">
        <f>IF($AG227="","",INDEX('04_調査結果'!$R$5:$R$404,$AG227))</f>
        <v/>
      </c>
      <c r="Z227">
        <f>IF($AG227="","",INDEX('04_調査結果'!$S$5:$S$404,$AG227))</f>
        <v/>
      </c>
      <c r="AA227">
        <f>IF($AG227="","",INDEX('04_調査結果'!$T$5:$T$404,$AG227))</f>
        <v/>
      </c>
      <c r="AB227">
        <f>IF($AG227="","",INDEX('04_調査結果'!$U$5:$U$404,$AG227))</f>
        <v/>
      </c>
      <c r="AC227">
        <f>IF($AG227="","",INDEX('04_調査結果'!$AF$5:$AF$404,$AG227))</f>
        <v/>
      </c>
      <c r="AD227">
        <f>IF($AG227="","",INDEX('04_調査結果'!$AC$5:$AC$404,$AG227)&amp;"")</f>
        <v/>
      </c>
      <c r="AE227">
        <f>IF($AG227="","",INDEX('04_調査結果'!$V$5:$V$404,$AG227)&amp;"")</f>
        <v/>
      </c>
      <c r="AF227">
        <f>IF($AG227="","",INDEX('04_調査結果'!$X$5:$X$404,$AG227)&amp;"")</f>
        <v/>
      </c>
      <c r="AG227" s="34">
        <f>IFERROR(MATCH(ROW()-4,'04_調査結果'!$AT$5:$AT$404,0),"")</f>
        <v/>
      </c>
    </row>
    <row r="228">
      <c r="A228">
        <f>IF($AG228="","",'01_設定'!$C$4)</f>
        <v/>
      </c>
      <c r="B228">
        <f>IF($AG228="","",'01_設定'!$C$5)</f>
        <v/>
      </c>
      <c r="C228">
        <f>IF($AG228="","",'01_設定'!$C$6)</f>
        <v/>
      </c>
      <c r="D228" s="36">
        <f>IF($AG228="","",'01_設定'!$C$22)</f>
        <v/>
      </c>
      <c r="E228" s="36">
        <f>IF($AG228="","",'01_設定'!$C$23)</f>
        <v/>
      </c>
      <c r="F228">
        <f>IF($AG228="","",'01_設定'!$C$32)</f>
        <v/>
      </c>
      <c r="G228">
        <f>IF($AG228="","",ROW()-4)</f>
        <v/>
      </c>
      <c r="H228">
        <f>IF($AG228="","",INDEX('04_調査結果'!$AJ$5:$AJ$404,$AG228))</f>
        <v/>
      </c>
      <c r="I228">
        <f>IF($AG228="","",INDEX('04_調査結果'!$D$5:$D$404,$AG228)&amp;"")</f>
        <v/>
      </c>
      <c r="J228">
        <f>IF($AG228="","",INDEX('04_調査結果'!$AK$5:$AK$404,$AG228)&amp;"")</f>
        <v/>
      </c>
      <c r="K228">
        <f>IF($AG228="","",IFERROR(INDEX('M1_類型マスタ'!$B$5:$B$19,MATCH(J228,'M1_類型マスタ'!$A$5:$A$19,0)),""))</f>
        <v/>
      </c>
      <c r="L228">
        <f>IF($AG228="","",INDEX('04_調査結果'!$F$5:$F$404,$AG228)&amp;"")</f>
        <v/>
      </c>
      <c r="M228">
        <f>IF($AG228="","",INDEX('04_調査結果'!$G$5:$G$404,$AG228)&amp;"")</f>
        <v/>
      </c>
      <c r="N228">
        <f>IF($AG228="","",INDEX('04_調査結果'!$H$5:$H$404,$AG228)&amp;"")</f>
        <v/>
      </c>
      <c r="O228" s="33">
        <f>IF($AG228="","",IF(INDEX('04_調査結果'!$Z$5:$Z$404,$AG228)&lt;&gt;"",INDEX('04_調査結果'!$Z$5:$Z$404,$AG228),INDEX('04_調査結果'!$AM$5:$AM$404,$AG228)))</f>
        <v/>
      </c>
      <c r="P228" s="33">
        <f>IF($AG228="","",IF(INDEX('04_調査結果'!$AA$5:$AA$404,$AG228)&lt;&gt;"",INDEX('04_調査結果'!$AA$5:$AA$404,$AG228),INDEX('04_調査結果'!$AN$5:$AN$404,$AG228)))</f>
        <v/>
      </c>
      <c r="Q228" s="33">
        <f>IF($AG228="","",INDEX('04_調査結果'!$AD$5:$AD$404,$AG228))</f>
        <v/>
      </c>
      <c r="R228">
        <f>IF($AG228="","",INDEX('04_調査結果'!$AO$5:$AO$404,$AG228))</f>
        <v/>
      </c>
      <c r="S228" s="37">
        <f>IF($AG228="","",INDEX('04_調査結果'!$AQ$5:$AQ$404,$AG228))</f>
        <v/>
      </c>
      <c r="T228" s="37">
        <f>IF($AG228="","",INDEX('04_調査結果'!$AR$5:$AR$404,$AG228))</f>
        <v/>
      </c>
      <c r="U228">
        <f>IF($AG228="","",INDEX('04_調査結果'!$N$5:$N$404,$AG228)&amp;"")</f>
        <v/>
      </c>
      <c r="V228">
        <f>IF($AG228="","",INDEX('04_調査結果'!$O$5:$O$404,$AG228))</f>
        <v/>
      </c>
      <c r="W228">
        <f>IF($AG228="","",INDEX('04_調査結果'!$P$5:$P$404,$AG228))</f>
        <v/>
      </c>
      <c r="X228">
        <f>IF($AG228="","",INDEX('04_調査結果'!$Q$5:$Q$404,$AG228))</f>
        <v/>
      </c>
      <c r="Y228">
        <f>IF($AG228="","",INDEX('04_調査結果'!$R$5:$R$404,$AG228))</f>
        <v/>
      </c>
      <c r="Z228">
        <f>IF($AG228="","",INDEX('04_調査結果'!$S$5:$S$404,$AG228))</f>
        <v/>
      </c>
      <c r="AA228">
        <f>IF($AG228="","",INDEX('04_調査結果'!$T$5:$T$404,$AG228))</f>
        <v/>
      </c>
      <c r="AB228">
        <f>IF($AG228="","",INDEX('04_調査結果'!$U$5:$U$404,$AG228))</f>
        <v/>
      </c>
      <c r="AC228">
        <f>IF($AG228="","",INDEX('04_調査結果'!$AF$5:$AF$404,$AG228))</f>
        <v/>
      </c>
      <c r="AD228">
        <f>IF($AG228="","",INDEX('04_調査結果'!$AC$5:$AC$404,$AG228)&amp;"")</f>
        <v/>
      </c>
      <c r="AE228">
        <f>IF($AG228="","",INDEX('04_調査結果'!$V$5:$V$404,$AG228)&amp;"")</f>
        <v/>
      </c>
      <c r="AF228">
        <f>IF($AG228="","",INDEX('04_調査結果'!$X$5:$X$404,$AG228)&amp;"")</f>
        <v/>
      </c>
      <c r="AG228" s="34">
        <f>IFERROR(MATCH(ROW()-4,'04_調査結果'!$AT$5:$AT$404,0),"")</f>
        <v/>
      </c>
    </row>
    <row r="229">
      <c r="A229">
        <f>IF($AG229="","",'01_設定'!$C$4)</f>
        <v/>
      </c>
      <c r="B229">
        <f>IF($AG229="","",'01_設定'!$C$5)</f>
        <v/>
      </c>
      <c r="C229">
        <f>IF($AG229="","",'01_設定'!$C$6)</f>
        <v/>
      </c>
      <c r="D229" s="36">
        <f>IF($AG229="","",'01_設定'!$C$22)</f>
        <v/>
      </c>
      <c r="E229" s="36">
        <f>IF($AG229="","",'01_設定'!$C$23)</f>
        <v/>
      </c>
      <c r="F229">
        <f>IF($AG229="","",'01_設定'!$C$32)</f>
        <v/>
      </c>
      <c r="G229">
        <f>IF($AG229="","",ROW()-4)</f>
        <v/>
      </c>
      <c r="H229">
        <f>IF($AG229="","",INDEX('04_調査結果'!$AJ$5:$AJ$404,$AG229))</f>
        <v/>
      </c>
      <c r="I229">
        <f>IF($AG229="","",INDEX('04_調査結果'!$D$5:$D$404,$AG229)&amp;"")</f>
        <v/>
      </c>
      <c r="J229">
        <f>IF($AG229="","",INDEX('04_調査結果'!$AK$5:$AK$404,$AG229)&amp;"")</f>
        <v/>
      </c>
      <c r="K229">
        <f>IF($AG229="","",IFERROR(INDEX('M1_類型マスタ'!$B$5:$B$19,MATCH(J229,'M1_類型マスタ'!$A$5:$A$19,0)),""))</f>
        <v/>
      </c>
      <c r="L229">
        <f>IF($AG229="","",INDEX('04_調査結果'!$F$5:$F$404,$AG229)&amp;"")</f>
        <v/>
      </c>
      <c r="M229">
        <f>IF($AG229="","",INDEX('04_調査結果'!$G$5:$G$404,$AG229)&amp;"")</f>
        <v/>
      </c>
      <c r="N229">
        <f>IF($AG229="","",INDEX('04_調査結果'!$H$5:$H$404,$AG229)&amp;"")</f>
        <v/>
      </c>
      <c r="O229" s="33">
        <f>IF($AG229="","",IF(INDEX('04_調査結果'!$Z$5:$Z$404,$AG229)&lt;&gt;"",INDEX('04_調査結果'!$Z$5:$Z$404,$AG229),INDEX('04_調査結果'!$AM$5:$AM$404,$AG229)))</f>
        <v/>
      </c>
      <c r="P229" s="33">
        <f>IF($AG229="","",IF(INDEX('04_調査結果'!$AA$5:$AA$404,$AG229)&lt;&gt;"",INDEX('04_調査結果'!$AA$5:$AA$404,$AG229),INDEX('04_調査結果'!$AN$5:$AN$404,$AG229)))</f>
        <v/>
      </c>
      <c r="Q229" s="33">
        <f>IF($AG229="","",INDEX('04_調査結果'!$AD$5:$AD$404,$AG229))</f>
        <v/>
      </c>
      <c r="R229">
        <f>IF($AG229="","",INDEX('04_調査結果'!$AO$5:$AO$404,$AG229))</f>
        <v/>
      </c>
      <c r="S229" s="37">
        <f>IF($AG229="","",INDEX('04_調査結果'!$AQ$5:$AQ$404,$AG229))</f>
        <v/>
      </c>
      <c r="T229" s="37">
        <f>IF($AG229="","",INDEX('04_調査結果'!$AR$5:$AR$404,$AG229))</f>
        <v/>
      </c>
      <c r="U229">
        <f>IF($AG229="","",INDEX('04_調査結果'!$N$5:$N$404,$AG229)&amp;"")</f>
        <v/>
      </c>
      <c r="V229">
        <f>IF($AG229="","",INDEX('04_調査結果'!$O$5:$O$404,$AG229))</f>
        <v/>
      </c>
      <c r="W229">
        <f>IF($AG229="","",INDEX('04_調査結果'!$P$5:$P$404,$AG229))</f>
        <v/>
      </c>
      <c r="X229">
        <f>IF($AG229="","",INDEX('04_調査結果'!$Q$5:$Q$404,$AG229))</f>
        <v/>
      </c>
      <c r="Y229">
        <f>IF($AG229="","",INDEX('04_調査結果'!$R$5:$R$404,$AG229))</f>
        <v/>
      </c>
      <c r="Z229">
        <f>IF($AG229="","",INDEX('04_調査結果'!$S$5:$S$404,$AG229))</f>
        <v/>
      </c>
      <c r="AA229">
        <f>IF($AG229="","",INDEX('04_調査結果'!$T$5:$T$404,$AG229))</f>
        <v/>
      </c>
      <c r="AB229">
        <f>IF($AG229="","",INDEX('04_調査結果'!$U$5:$U$404,$AG229))</f>
        <v/>
      </c>
      <c r="AC229">
        <f>IF($AG229="","",INDEX('04_調査結果'!$AF$5:$AF$404,$AG229))</f>
        <v/>
      </c>
      <c r="AD229">
        <f>IF($AG229="","",INDEX('04_調査結果'!$AC$5:$AC$404,$AG229)&amp;"")</f>
        <v/>
      </c>
      <c r="AE229">
        <f>IF($AG229="","",INDEX('04_調査結果'!$V$5:$V$404,$AG229)&amp;"")</f>
        <v/>
      </c>
      <c r="AF229">
        <f>IF($AG229="","",INDEX('04_調査結果'!$X$5:$X$404,$AG229)&amp;"")</f>
        <v/>
      </c>
      <c r="AG229" s="34">
        <f>IFERROR(MATCH(ROW()-4,'04_調査結果'!$AT$5:$AT$404,0),"")</f>
        <v/>
      </c>
    </row>
    <row r="230">
      <c r="A230">
        <f>IF($AG230="","",'01_設定'!$C$4)</f>
        <v/>
      </c>
      <c r="B230">
        <f>IF($AG230="","",'01_設定'!$C$5)</f>
        <v/>
      </c>
      <c r="C230">
        <f>IF($AG230="","",'01_設定'!$C$6)</f>
        <v/>
      </c>
      <c r="D230" s="36">
        <f>IF($AG230="","",'01_設定'!$C$22)</f>
        <v/>
      </c>
      <c r="E230" s="36">
        <f>IF($AG230="","",'01_設定'!$C$23)</f>
        <v/>
      </c>
      <c r="F230">
        <f>IF($AG230="","",'01_設定'!$C$32)</f>
        <v/>
      </c>
      <c r="G230">
        <f>IF($AG230="","",ROW()-4)</f>
        <v/>
      </c>
      <c r="H230">
        <f>IF($AG230="","",INDEX('04_調査結果'!$AJ$5:$AJ$404,$AG230))</f>
        <v/>
      </c>
      <c r="I230">
        <f>IF($AG230="","",INDEX('04_調査結果'!$D$5:$D$404,$AG230)&amp;"")</f>
        <v/>
      </c>
      <c r="J230">
        <f>IF($AG230="","",INDEX('04_調査結果'!$AK$5:$AK$404,$AG230)&amp;"")</f>
        <v/>
      </c>
      <c r="K230">
        <f>IF($AG230="","",IFERROR(INDEX('M1_類型マスタ'!$B$5:$B$19,MATCH(J230,'M1_類型マスタ'!$A$5:$A$19,0)),""))</f>
        <v/>
      </c>
      <c r="L230">
        <f>IF($AG230="","",INDEX('04_調査結果'!$F$5:$F$404,$AG230)&amp;"")</f>
        <v/>
      </c>
      <c r="M230">
        <f>IF($AG230="","",INDEX('04_調査結果'!$G$5:$G$404,$AG230)&amp;"")</f>
        <v/>
      </c>
      <c r="N230">
        <f>IF($AG230="","",INDEX('04_調査結果'!$H$5:$H$404,$AG230)&amp;"")</f>
        <v/>
      </c>
      <c r="O230" s="33">
        <f>IF($AG230="","",IF(INDEX('04_調査結果'!$Z$5:$Z$404,$AG230)&lt;&gt;"",INDEX('04_調査結果'!$Z$5:$Z$404,$AG230),INDEX('04_調査結果'!$AM$5:$AM$404,$AG230)))</f>
        <v/>
      </c>
      <c r="P230" s="33">
        <f>IF($AG230="","",IF(INDEX('04_調査結果'!$AA$5:$AA$404,$AG230)&lt;&gt;"",INDEX('04_調査結果'!$AA$5:$AA$404,$AG230),INDEX('04_調査結果'!$AN$5:$AN$404,$AG230)))</f>
        <v/>
      </c>
      <c r="Q230" s="33">
        <f>IF($AG230="","",INDEX('04_調査結果'!$AD$5:$AD$404,$AG230))</f>
        <v/>
      </c>
      <c r="R230">
        <f>IF($AG230="","",INDEX('04_調査結果'!$AO$5:$AO$404,$AG230))</f>
        <v/>
      </c>
      <c r="S230" s="37">
        <f>IF($AG230="","",INDEX('04_調査結果'!$AQ$5:$AQ$404,$AG230))</f>
        <v/>
      </c>
      <c r="T230" s="37">
        <f>IF($AG230="","",INDEX('04_調査結果'!$AR$5:$AR$404,$AG230))</f>
        <v/>
      </c>
      <c r="U230">
        <f>IF($AG230="","",INDEX('04_調査結果'!$N$5:$N$404,$AG230)&amp;"")</f>
        <v/>
      </c>
      <c r="V230">
        <f>IF($AG230="","",INDEX('04_調査結果'!$O$5:$O$404,$AG230))</f>
        <v/>
      </c>
      <c r="W230">
        <f>IF($AG230="","",INDEX('04_調査結果'!$P$5:$P$404,$AG230))</f>
        <v/>
      </c>
      <c r="X230">
        <f>IF($AG230="","",INDEX('04_調査結果'!$Q$5:$Q$404,$AG230))</f>
        <v/>
      </c>
      <c r="Y230">
        <f>IF($AG230="","",INDEX('04_調査結果'!$R$5:$R$404,$AG230))</f>
        <v/>
      </c>
      <c r="Z230">
        <f>IF($AG230="","",INDEX('04_調査結果'!$S$5:$S$404,$AG230))</f>
        <v/>
      </c>
      <c r="AA230">
        <f>IF($AG230="","",INDEX('04_調査結果'!$T$5:$T$404,$AG230))</f>
        <v/>
      </c>
      <c r="AB230">
        <f>IF($AG230="","",INDEX('04_調査結果'!$U$5:$U$404,$AG230))</f>
        <v/>
      </c>
      <c r="AC230">
        <f>IF($AG230="","",INDEX('04_調査結果'!$AF$5:$AF$404,$AG230))</f>
        <v/>
      </c>
      <c r="AD230">
        <f>IF($AG230="","",INDEX('04_調査結果'!$AC$5:$AC$404,$AG230)&amp;"")</f>
        <v/>
      </c>
      <c r="AE230">
        <f>IF($AG230="","",INDEX('04_調査結果'!$V$5:$V$404,$AG230)&amp;"")</f>
        <v/>
      </c>
      <c r="AF230">
        <f>IF($AG230="","",INDEX('04_調査結果'!$X$5:$X$404,$AG230)&amp;"")</f>
        <v/>
      </c>
      <c r="AG230" s="34">
        <f>IFERROR(MATCH(ROW()-4,'04_調査結果'!$AT$5:$AT$404,0),"")</f>
        <v/>
      </c>
    </row>
    <row r="231">
      <c r="A231">
        <f>IF($AG231="","",'01_設定'!$C$4)</f>
        <v/>
      </c>
      <c r="B231">
        <f>IF($AG231="","",'01_設定'!$C$5)</f>
        <v/>
      </c>
      <c r="C231">
        <f>IF($AG231="","",'01_設定'!$C$6)</f>
        <v/>
      </c>
      <c r="D231" s="36">
        <f>IF($AG231="","",'01_設定'!$C$22)</f>
        <v/>
      </c>
      <c r="E231" s="36">
        <f>IF($AG231="","",'01_設定'!$C$23)</f>
        <v/>
      </c>
      <c r="F231">
        <f>IF($AG231="","",'01_設定'!$C$32)</f>
        <v/>
      </c>
      <c r="G231">
        <f>IF($AG231="","",ROW()-4)</f>
        <v/>
      </c>
      <c r="H231">
        <f>IF($AG231="","",INDEX('04_調査結果'!$AJ$5:$AJ$404,$AG231))</f>
        <v/>
      </c>
      <c r="I231">
        <f>IF($AG231="","",INDEX('04_調査結果'!$D$5:$D$404,$AG231)&amp;"")</f>
        <v/>
      </c>
      <c r="J231">
        <f>IF($AG231="","",INDEX('04_調査結果'!$AK$5:$AK$404,$AG231)&amp;"")</f>
        <v/>
      </c>
      <c r="K231">
        <f>IF($AG231="","",IFERROR(INDEX('M1_類型マスタ'!$B$5:$B$19,MATCH(J231,'M1_類型マスタ'!$A$5:$A$19,0)),""))</f>
        <v/>
      </c>
      <c r="L231">
        <f>IF($AG231="","",INDEX('04_調査結果'!$F$5:$F$404,$AG231)&amp;"")</f>
        <v/>
      </c>
      <c r="M231">
        <f>IF($AG231="","",INDEX('04_調査結果'!$G$5:$G$404,$AG231)&amp;"")</f>
        <v/>
      </c>
      <c r="N231">
        <f>IF($AG231="","",INDEX('04_調査結果'!$H$5:$H$404,$AG231)&amp;"")</f>
        <v/>
      </c>
      <c r="O231" s="33">
        <f>IF($AG231="","",IF(INDEX('04_調査結果'!$Z$5:$Z$404,$AG231)&lt;&gt;"",INDEX('04_調査結果'!$Z$5:$Z$404,$AG231),INDEX('04_調査結果'!$AM$5:$AM$404,$AG231)))</f>
        <v/>
      </c>
      <c r="P231" s="33">
        <f>IF($AG231="","",IF(INDEX('04_調査結果'!$AA$5:$AA$404,$AG231)&lt;&gt;"",INDEX('04_調査結果'!$AA$5:$AA$404,$AG231),INDEX('04_調査結果'!$AN$5:$AN$404,$AG231)))</f>
        <v/>
      </c>
      <c r="Q231" s="33">
        <f>IF($AG231="","",INDEX('04_調査結果'!$AD$5:$AD$404,$AG231))</f>
        <v/>
      </c>
      <c r="R231">
        <f>IF($AG231="","",INDEX('04_調査結果'!$AO$5:$AO$404,$AG231))</f>
        <v/>
      </c>
      <c r="S231" s="37">
        <f>IF($AG231="","",INDEX('04_調査結果'!$AQ$5:$AQ$404,$AG231))</f>
        <v/>
      </c>
      <c r="T231" s="37">
        <f>IF($AG231="","",INDEX('04_調査結果'!$AR$5:$AR$404,$AG231))</f>
        <v/>
      </c>
      <c r="U231">
        <f>IF($AG231="","",INDEX('04_調査結果'!$N$5:$N$404,$AG231)&amp;"")</f>
        <v/>
      </c>
      <c r="V231">
        <f>IF($AG231="","",INDEX('04_調査結果'!$O$5:$O$404,$AG231))</f>
        <v/>
      </c>
      <c r="W231">
        <f>IF($AG231="","",INDEX('04_調査結果'!$P$5:$P$404,$AG231))</f>
        <v/>
      </c>
      <c r="X231">
        <f>IF($AG231="","",INDEX('04_調査結果'!$Q$5:$Q$404,$AG231))</f>
        <v/>
      </c>
      <c r="Y231">
        <f>IF($AG231="","",INDEX('04_調査結果'!$R$5:$R$404,$AG231))</f>
        <v/>
      </c>
      <c r="Z231">
        <f>IF($AG231="","",INDEX('04_調査結果'!$S$5:$S$404,$AG231))</f>
        <v/>
      </c>
      <c r="AA231">
        <f>IF($AG231="","",INDEX('04_調査結果'!$T$5:$T$404,$AG231))</f>
        <v/>
      </c>
      <c r="AB231">
        <f>IF($AG231="","",INDEX('04_調査結果'!$U$5:$U$404,$AG231))</f>
        <v/>
      </c>
      <c r="AC231">
        <f>IF($AG231="","",INDEX('04_調査結果'!$AF$5:$AF$404,$AG231))</f>
        <v/>
      </c>
      <c r="AD231">
        <f>IF($AG231="","",INDEX('04_調査結果'!$AC$5:$AC$404,$AG231)&amp;"")</f>
        <v/>
      </c>
      <c r="AE231">
        <f>IF($AG231="","",INDEX('04_調査結果'!$V$5:$V$404,$AG231)&amp;"")</f>
        <v/>
      </c>
      <c r="AF231">
        <f>IF($AG231="","",INDEX('04_調査結果'!$X$5:$X$404,$AG231)&amp;"")</f>
        <v/>
      </c>
      <c r="AG231" s="34">
        <f>IFERROR(MATCH(ROW()-4,'04_調査結果'!$AT$5:$AT$404,0),"")</f>
        <v/>
      </c>
    </row>
    <row r="232">
      <c r="A232">
        <f>IF($AG232="","",'01_設定'!$C$4)</f>
        <v/>
      </c>
      <c r="B232">
        <f>IF($AG232="","",'01_設定'!$C$5)</f>
        <v/>
      </c>
      <c r="C232">
        <f>IF($AG232="","",'01_設定'!$C$6)</f>
        <v/>
      </c>
      <c r="D232" s="36">
        <f>IF($AG232="","",'01_設定'!$C$22)</f>
        <v/>
      </c>
      <c r="E232" s="36">
        <f>IF($AG232="","",'01_設定'!$C$23)</f>
        <v/>
      </c>
      <c r="F232">
        <f>IF($AG232="","",'01_設定'!$C$32)</f>
        <v/>
      </c>
      <c r="G232">
        <f>IF($AG232="","",ROW()-4)</f>
        <v/>
      </c>
      <c r="H232">
        <f>IF($AG232="","",INDEX('04_調査結果'!$AJ$5:$AJ$404,$AG232))</f>
        <v/>
      </c>
      <c r="I232">
        <f>IF($AG232="","",INDEX('04_調査結果'!$D$5:$D$404,$AG232)&amp;"")</f>
        <v/>
      </c>
      <c r="J232">
        <f>IF($AG232="","",INDEX('04_調査結果'!$AK$5:$AK$404,$AG232)&amp;"")</f>
        <v/>
      </c>
      <c r="K232">
        <f>IF($AG232="","",IFERROR(INDEX('M1_類型マスタ'!$B$5:$B$19,MATCH(J232,'M1_類型マスタ'!$A$5:$A$19,0)),""))</f>
        <v/>
      </c>
      <c r="L232">
        <f>IF($AG232="","",INDEX('04_調査結果'!$F$5:$F$404,$AG232)&amp;"")</f>
        <v/>
      </c>
      <c r="M232">
        <f>IF($AG232="","",INDEX('04_調査結果'!$G$5:$G$404,$AG232)&amp;"")</f>
        <v/>
      </c>
      <c r="N232">
        <f>IF($AG232="","",INDEX('04_調査結果'!$H$5:$H$404,$AG232)&amp;"")</f>
        <v/>
      </c>
      <c r="O232" s="33">
        <f>IF($AG232="","",IF(INDEX('04_調査結果'!$Z$5:$Z$404,$AG232)&lt;&gt;"",INDEX('04_調査結果'!$Z$5:$Z$404,$AG232),INDEX('04_調査結果'!$AM$5:$AM$404,$AG232)))</f>
        <v/>
      </c>
      <c r="P232" s="33">
        <f>IF($AG232="","",IF(INDEX('04_調査結果'!$AA$5:$AA$404,$AG232)&lt;&gt;"",INDEX('04_調査結果'!$AA$5:$AA$404,$AG232),INDEX('04_調査結果'!$AN$5:$AN$404,$AG232)))</f>
        <v/>
      </c>
      <c r="Q232" s="33">
        <f>IF($AG232="","",INDEX('04_調査結果'!$AD$5:$AD$404,$AG232))</f>
        <v/>
      </c>
      <c r="R232">
        <f>IF($AG232="","",INDEX('04_調査結果'!$AO$5:$AO$404,$AG232))</f>
        <v/>
      </c>
      <c r="S232" s="37">
        <f>IF($AG232="","",INDEX('04_調査結果'!$AQ$5:$AQ$404,$AG232))</f>
        <v/>
      </c>
      <c r="T232" s="37">
        <f>IF($AG232="","",INDEX('04_調査結果'!$AR$5:$AR$404,$AG232))</f>
        <v/>
      </c>
      <c r="U232">
        <f>IF($AG232="","",INDEX('04_調査結果'!$N$5:$N$404,$AG232)&amp;"")</f>
        <v/>
      </c>
      <c r="V232">
        <f>IF($AG232="","",INDEX('04_調査結果'!$O$5:$O$404,$AG232))</f>
        <v/>
      </c>
      <c r="W232">
        <f>IF($AG232="","",INDEX('04_調査結果'!$P$5:$P$404,$AG232))</f>
        <v/>
      </c>
      <c r="X232">
        <f>IF($AG232="","",INDEX('04_調査結果'!$Q$5:$Q$404,$AG232))</f>
        <v/>
      </c>
      <c r="Y232">
        <f>IF($AG232="","",INDEX('04_調査結果'!$R$5:$R$404,$AG232))</f>
        <v/>
      </c>
      <c r="Z232">
        <f>IF($AG232="","",INDEX('04_調査結果'!$S$5:$S$404,$AG232))</f>
        <v/>
      </c>
      <c r="AA232">
        <f>IF($AG232="","",INDEX('04_調査結果'!$T$5:$T$404,$AG232))</f>
        <v/>
      </c>
      <c r="AB232">
        <f>IF($AG232="","",INDEX('04_調査結果'!$U$5:$U$404,$AG232))</f>
        <v/>
      </c>
      <c r="AC232">
        <f>IF($AG232="","",INDEX('04_調査結果'!$AF$5:$AF$404,$AG232))</f>
        <v/>
      </c>
      <c r="AD232">
        <f>IF($AG232="","",INDEX('04_調査結果'!$AC$5:$AC$404,$AG232)&amp;"")</f>
        <v/>
      </c>
      <c r="AE232">
        <f>IF($AG232="","",INDEX('04_調査結果'!$V$5:$V$404,$AG232)&amp;"")</f>
        <v/>
      </c>
      <c r="AF232">
        <f>IF($AG232="","",INDEX('04_調査結果'!$X$5:$X$404,$AG232)&amp;"")</f>
        <v/>
      </c>
      <c r="AG232" s="34">
        <f>IFERROR(MATCH(ROW()-4,'04_調査結果'!$AT$5:$AT$404,0),"")</f>
        <v/>
      </c>
    </row>
    <row r="233">
      <c r="A233">
        <f>IF($AG233="","",'01_設定'!$C$4)</f>
        <v/>
      </c>
      <c r="B233">
        <f>IF($AG233="","",'01_設定'!$C$5)</f>
        <v/>
      </c>
      <c r="C233">
        <f>IF($AG233="","",'01_設定'!$C$6)</f>
        <v/>
      </c>
      <c r="D233" s="36">
        <f>IF($AG233="","",'01_設定'!$C$22)</f>
        <v/>
      </c>
      <c r="E233" s="36">
        <f>IF($AG233="","",'01_設定'!$C$23)</f>
        <v/>
      </c>
      <c r="F233">
        <f>IF($AG233="","",'01_設定'!$C$32)</f>
        <v/>
      </c>
      <c r="G233">
        <f>IF($AG233="","",ROW()-4)</f>
        <v/>
      </c>
      <c r="H233">
        <f>IF($AG233="","",INDEX('04_調査結果'!$AJ$5:$AJ$404,$AG233))</f>
        <v/>
      </c>
      <c r="I233">
        <f>IF($AG233="","",INDEX('04_調査結果'!$D$5:$D$404,$AG233)&amp;"")</f>
        <v/>
      </c>
      <c r="J233">
        <f>IF($AG233="","",INDEX('04_調査結果'!$AK$5:$AK$404,$AG233)&amp;"")</f>
        <v/>
      </c>
      <c r="K233">
        <f>IF($AG233="","",IFERROR(INDEX('M1_類型マスタ'!$B$5:$B$19,MATCH(J233,'M1_類型マスタ'!$A$5:$A$19,0)),""))</f>
        <v/>
      </c>
      <c r="L233">
        <f>IF($AG233="","",INDEX('04_調査結果'!$F$5:$F$404,$AG233)&amp;"")</f>
        <v/>
      </c>
      <c r="M233">
        <f>IF($AG233="","",INDEX('04_調査結果'!$G$5:$G$404,$AG233)&amp;"")</f>
        <v/>
      </c>
      <c r="N233">
        <f>IF($AG233="","",INDEX('04_調査結果'!$H$5:$H$404,$AG233)&amp;"")</f>
        <v/>
      </c>
      <c r="O233" s="33">
        <f>IF($AG233="","",IF(INDEX('04_調査結果'!$Z$5:$Z$404,$AG233)&lt;&gt;"",INDEX('04_調査結果'!$Z$5:$Z$404,$AG233),INDEX('04_調査結果'!$AM$5:$AM$404,$AG233)))</f>
        <v/>
      </c>
      <c r="P233" s="33">
        <f>IF($AG233="","",IF(INDEX('04_調査結果'!$AA$5:$AA$404,$AG233)&lt;&gt;"",INDEX('04_調査結果'!$AA$5:$AA$404,$AG233),INDEX('04_調査結果'!$AN$5:$AN$404,$AG233)))</f>
        <v/>
      </c>
      <c r="Q233" s="33">
        <f>IF($AG233="","",INDEX('04_調査結果'!$AD$5:$AD$404,$AG233))</f>
        <v/>
      </c>
      <c r="R233">
        <f>IF($AG233="","",INDEX('04_調査結果'!$AO$5:$AO$404,$AG233))</f>
        <v/>
      </c>
      <c r="S233" s="37">
        <f>IF($AG233="","",INDEX('04_調査結果'!$AQ$5:$AQ$404,$AG233))</f>
        <v/>
      </c>
      <c r="T233" s="37">
        <f>IF($AG233="","",INDEX('04_調査結果'!$AR$5:$AR$404,$AG233))</f>
        <v/>
      </c>
      <c r="U233">
        <f>IF($AG233="","",INDEX('04_調査結果'!$N$5:$N$404,$AG233)&amp;"")</f>
        <v/>
      </c>
      <c r="V233">
        <f>IF($AG233="","",INDEX('04_調査結果'!$O$5:$O$404,$AG233))</f>
        <v/>
      </c>
      <c r="W233">
        <f>IF($AG233="","",INDEX('04_調査結果'!$P$5:$P$404,$AG233))</f>
        <v/>
      </c>
      <c r="X233">
        <f>IF($AG233="","",INDEX('04_調査結果'!$Q$5:$Q$404,$AG233))</f>
        <v/>
      </c>
      <c r="Y233">
        <f>IF($AG233="","",INDEX('04_調査結果'!$R$5:$R$404,$AG233))</f>
        <v/>
      </c>
      <c r="Z233">
        <f>IF($AG233="","",INDEX('04_調査結果'!$S$5:$S$404,$AG233))</f>
        <v/>
      </c>
      <c r="AA233">
        <f>IF($AG233="","",INDEX('04_調査結果'!$T$5:$T$404,$AG233))</f>
        <v/>
      </c>
      <c r="AB233">
        <f>IF($AG233="","",INDEX('04_調査結果'!$U$5:$U$404,$AG233))</f>
        <v/>
      </c>
      <c r="AC233">
        <f>IF($AG233="","",INDEX('04_調査結果'!$AF$5:$AF$404,$AG233))</f>
        <v/>
      </c>
      <c r="AD233">
        <f>IF($AG233="","",INDEX('04_調査結果'!$AC$5:$AC$404,$AG233)&amp;"")</f>
        <v/>
      </c>
      <c r="AE233">
        <f>IF($AG233="","",INDEX('04_調査結果'!$V$5:$V$404,$AG233)&amp;"")</f>
        <v/>
      </c>
      <c r="AF233">
        <f>IF($AG233="","",INDEX('04_調査結果'!$X$5:$X$404,$AG233)&amp;"")</f>
        <v/>
      </c>
      <c r="AG233" s="34">
        <f>IFERROR(MATCH(ROW()-4,'04_調査結果'!$AT$5:$AT$404,0),"")</f>
        <v/>
      </c>
    </row>
    <row r="234">
      <c r="A234">
        <f>IF($AG234="","",'01_設定'!$C$4)</f>
        <v/>
      </c>
      <c r="B234">
        <f>IF($AG234="","",'01_設定'!$C$5)</f>
        <v/>
      </c>
      <c r="C234">
        <f>IF($AG234="","",'01_設定'!$C$6)</f>
        <v/>
      </c>
      <c r="D234" s="36">
        <f>IF($AG234="","",'01_設定'!$C$22)</f>
        <v/>
      </c>
      <c r="E234" s="36">
        <f>IF($AG234="","",'01_設定'!$C$23)</f>
        <v/>
      </c>
      <c r="F234">
        <f>IF($AG234="","",'01_設定'!$C$32)</f>
        <v/>
      </c>
      <c r="G234">
        <f>IF($AG234="","",ROW()-4)</f>
        <v/>
      </c>
      <c r="H234">
        <f>IF($AG234="","",INDEX('04_調査結果'!$AJ$5:$AJ$404,$AG234))</f>
        <v/>
      </c>
      <c r="I234">
        <f>IF($AG234="","",INDEX('04_調査結果'!$D$5:$D$404,$AG234)&amp;"")</f>
        <v/>
      </c>
      <c r="J234">
        <f>IF($AG234="","",INDEX('04_調査結果'!$AK$5:$AK$404,$AG234)&amp;"")</f>
        <v/>
      </c>
      <c r="K234">
        <f>IF($AG234="","",IFERROR(INDEX('M1_類型マスタ'!$B$5:$B$19,MATCH(J234,'M1_類型マスタ'!$A$5:$A$19,0)),""))</f>
        <v/>
      </c>
      <c r="L234">
        <f>IF($AG234="","",INDEX('04_調査結果'!$F$5:$F$404,$AG234)&amp;"")</f>
        <v/>
      </c>
      <c r="M234">
        <f>IF($AG234="","",INDEX('04_調査結果'!$G$5:$G$404,$AG234)&amp;"")</f>
        <v/>
      </c>
      <c r="N234">
        <f>IF($AG234="","",INDEX('04_調査結果'!$H$5:$H$404,$AG234)&amp;"")</f>
        <v/>
      </c>
      <c r="O234" s="33">
        <f>IF($AG234="","",IF(INDEX('04_調査結果'!$Z$5:$Z$404,$AG234)&lt;&gt;"",INDEX('04_調査結果'!$Z$5:$Z$404,$AG234),INDEX('04_調査結果'!$AM$5:$AM$404,$AG234)))</f>
        <v/>
      </c>
      <c r="P234" s="33">
        <f>IF($AG234="","",IF(INDEX('04_調査結果'!$AA$5:$AA$404,$AG234)&lt;&gt;"",INDEX('04_調査結果'!$AA$5:$AA$404,$AG234),INDEX('04_調査結果'!$AN$5:$AN$404,$AG234)))</f>
        <v/>
      </c>
      <c r="Q234" s="33">
        <f>IF($AG234="","",INDEX('04_調査結果'!$AD$5:$AD$404,$AG234))</f>
        <v/>
      </c>
      <c r="R234">
        <f>IF($AG234="","",INDEX('04_調査結果'!$AO$5:$AO$404,$AG234))</f>
        <v/>
      </c>
      <c r="S234" s="37">
        <f>IF($AG234="","",INDEX('04_調査結果'!$AQ$5:$AQ$404,$AG234))</f>
        <v/>
      </c>
      <c r="T234" s="37">
        <f>IF($AG234="","",INDEX('04_調査結果'!$AR$5:$AR$404,$AG234))</f>
        <v/>
      </c>
      <c r="U234">
        <f>IF($AG234="","",INDEX('04_調査結果'!$N$5:$N$404,$AG234)&amp;"")</f>
        <v/>
      </c>
      <c r="V234">
        <f>IF($AG234="","",INDEX('04_調査結果'!$O$5:$O$404,$AG234))</f>
        <v/>
      </c>
      <c r="W234">
        <f>IF($AG234="","",INDEX('04_調査結果'!$P$5:$P$404,$AG234))</f>
        <v/>
      </c>
      <c r="X234">
        <f>IF($AG234="","",INDEX('04_調査結果'!$Q$5:$Q$404,$AG234))</f>
        <v/>
      </c>
      <c r="Y234">
        <f>IF($AG234="","",INDEX('04_調査結果'!$R$5:$R$404,$AG234))</f>
        <v/>
      </c>
      <c r="Z234">
        <f>IF($AG234="","",INDEX('04_調査結果'!$S$5:$S$404,$AG234))</f>
        <v/>
      </c>
      <c r="AA234">
        <f>IF($AG234="","",INDEX('04_調査結果'!$T$5:$T$404,$AG234))</f>
        <v/>
      </c>
      <c r="AB234">
        <f>IF($AG234="","",INDEX('04_調査結果'!$U$5:$U$404,$AG234))</f>
        <v/>
      </c>
      <c r="AC234">
        <f>IF($AG234="","",INDEX('04_調査結果'!$AF$5:$AF$404,$AG234))</f>
        <v/>
      </c>
      <c r="AD234">
        <f>IF($AG234="","",INDEX('04_調査結果'!$AC$5:$AC$404,$AG234)&amp;"")</f>
        <v/>
      </c>
      <c r="AE234">
        <f>IF($AG234="","",INDEX('04_調査結果'!$V$5:$V$404,$AG234)&amp;"")</f>
        <v/>
      </c>
      <c r="AF234">
        <f>IF($AG234="","",INDEX('04_調査結果'!$X$5:$X$404,$AG234)&amp;"")</f>
        <v/>
      </c>
      <c r="AG234" s="34">
        <f>IFERROR(MATCH(ROW()-4,'04_調査結果'!$AT$5:$AT$404,0),"")</f>
        <v/>
      </c>
    </row>
    <row r="235">
      <c r="A235">
        <f>IF($AG235="","",'01_設定'!$C$4)</f>
        <v/>
      </c>
      <c r="B235">
        <f>IF($AG235="","",'01_設定'!$C$5)</f>
        <v/>
      </c>
      <c r="C235">
        <f>IF($AG235="","",'01_設定'!$C$6)</f>
        <v/>
      </c>
      <c r="D235" s="36">
        <f>IF($AG235="","",'01_設定'!$C$22)</f>
        <v/>
      </c>
      <c r="E235" s="36">
        <f>IF($AG235="","",'01_設定'!$C$23)</f>
        <v/>
      </c>
      <c r="F235">
        <f>IF($AG235="","",'01_設定'!$C$32)</f>
        <v/>
      </c>
      <c r="G235">
        <f>IF($AG235="","",ROW()-4)</f>
        <v/>
      </c>
      <c r="H235">
        <f>IF($AG235="","",INDEX('04_調査結果'!$AJ$5:$AJ$404,$AG235))</f>
        <v/>
      </c>
      <c r="I235">
        <f>IF($AG235="","",INDEX('04_調査結果'!$D$5:$D$404,$AG235)&amp;"")</f>
        <v/>
      </c>
      <c r="J235">
        <f>IF($AG235="","",INDEX('04_調査結果'!$AK$5:$AK$404,$AG235)&amp;"")</f>
        <v/>
      </c>
      <c r="K235">
        <f>IF($AG235="","",IFERROR(INDEX('M1_類型マスタ'!$B$5:$B$19,MATCH(J235,'M1_類型マスタ'!$A$5:$A$19,0)),""))</f>
        <v/>
      </c>
      <c r="L235">
        <f>IF($AG235="","",INDEX('04_調査結果'!$F$5:$F$404,$AG235)&amp;"")</f>
        <v/>
      </c>
      <c r="M235">
        <f>IF($AG235="","",INDEX('04_調査結果'!$G$5:$G$404,$AG235)&amp;"")</f>
        <v/>
      </c>
      <c r="N235">
        <f>IF($AG235="","",INDEX('04_調査結果'!$H$5:$H$404,$AG235)&amp;"")</f>
        <v/>
      </c>
      <c r="O235" s="33">
        <f>IF($AG235="","",IF(INDEX('04_調査結果'!$Z$5:$Z$404,$AG235)&lt;&gt;"",INDEX('04_調査結果'!$Z$5:$Z$404,$AG235),INDEX('04_調査結果'!$AM$5:$AM$404,$AG235)))</f>
        <v/>
      </c>
      <c r="P235" s="33">
        <f>IF($AG235="","",IF(INDEX('04_調査結果'!$AA$5:$AA$404,$AG235)&lt;&gt;"",INDEX('04_調査結果'!$AA$5:$AA$404,$AG235),INDEX('04_調査結果'!$AN$5:$AN$404,$AG235)))</f>
        <v/>
      </c>
      <c r="Q235" s="33">
        <f>IF($AG235="","",INDEX('04_調査結果'!$AD$5:$AD$404,$AG235))</f>
        <v/>
      </c>
      <c r="R235">
        <f>IF($AG235="","",INDEX('04_調査結果'!$AO$5:$AO$404,$AG235))</f>
        <v/>
      </c>
      <c r="S235" s="37">
        <f>IF($AG235="","",INDEX('04_調査結果'!$AQ$5:$AQ$404,$AG235))</f>
        <v/>
      </c>
      <c r="T235" s="37">
        <f>IF($AG235="","",INDEX('04_調査結果'!$AR$5:$AR$404,$AG235))</f>
        <v/>
      </c>
      <c r="U235">
        <f>IF($AG235="","",INDEX('04_調査結果'!$N$5:$N$404,$AG235)&amp;"")</f>
        <v/>
      </c>
      <c r="V235">
        <f>IF($AG235="","",INDEX('04_調査結果'!$O$5:$O$404,$AG235))</f>
        <v/>
      </c>
      <c r="W235">
        <f>IF($AG235="","",INDEX('04_調査結果'!$P$5:$P$404,$AG235))</f>
        <v/>
      </c>
      <c r="X235">
        <f>IF($AG235="","",INDEX('04_調査結果'!$Q$5:$Q$404,$AG235))</f>
        <v/>
      </c>
      <c r="Y235">
        <f>IF($AG235="","",INDEX('04_調査結果'!$R$5:$R$404,$AG235))</f>
        <v/>
      </c>
      <c r="Z235">
        <f>IF($AG235="","",INDEX('04_調査結果'!$S$5:$S$404,$AG235))</f>
        <v/>
      </c>
      <c r="AA235">
        <f>IF($AG235="","",INDEX('04_調査結果'!$T$5:$T$404,$AG235))</f>
        <v/>
      </c>
      <c r="AB235">
        <f>IF($AG235="","",INDEX('04_調査結果'!$U$5:$U$404,$AG235))</f>
        <v/>
      </c>
      <c r="AC235">
        <f>IF($AG235="","",INDEX('04_調査結果'!$AF$5:$AF$404,$AG235))</f>
        <v/>
      </c>
      <c r="AD235">
        <f>IF($AG235="","",INDEX('04_調査結果'!$AC$5:$AC$404,$AG235)&amp;"")</f>
        <v/>
      </c>
      <c r="AE235">
        <f>IF($AG235="","",INDEX('04_調査結果'!$V$5:$V$404,$AG235)&amp;"")</f>
        <v/>
      </c>
      <c r="AF235">
        <f>IF($AG235="","",INDEX('04_調査結果'!$X$5:$X$404,$AG235)&amp;"")</f>
        <v/>
      </c>
      <c r="AG235" s="34">
        <f>IFERROR(MATCH(ROW()-4,'04_調査結果'!$AT$5:$AT$404,0),"")</f>
        <v/>
      </c>
    </row>
    <row r="236">
      <c r="A236">
        <f>IF($AG236="","",'01_設定'!$C$4)</f>
        <v/>
      </c>
      <c r="B236">
        <f>IF($AG236="","",'01_設定'!$C$5)</f>
        <v/>
      </c>
      <c r="C236">
        <f>IF($AG236="","",'01_設定'!$C$6)</f>
        <v/>
      </c>
      <c r="D236" s="36">
        <f>IF($AG236="","",'01_設定'!$C$22)</f>
        <v/>
      </c>
      <c r="E236" s="36">
        <f>IF($AG236="","",'01_設定'!$C$23)</f>
        <v/>
      </c>
      <c r="F236">
        <f>IF($AG236="","",'01_設定'!$C$32)</f>
        <v/>
      </c>
      <c r="G236">
        <f>IF($AG236="","",ROW()-4)</f>
        <v/>
      </c>
      <c r="H236">
        <f>IF($AG236="","",INDEX('04_調査結果'!$AJ$5:$AJ$404,$AG236))</f>
        <v/>
      </c>
      <c r="I236">
        <f>IF($AG236="","",INDEX('04_調査結果'!$D$5:$D$404,$AG236)&amp;"")</f>
        <v/>
      </c>
      <c r="J236">
        <f>IF($AG236="","",INDEX('04_調査結果'!$AK$5:$AK$404,$AG236)&amp;"")</f>
        <v/>
      </c>
      <c r="K236">
        <f>IF($AG236="","",IFERROR(INDEX('M1_類型マスタ'!$B$5:$B$19,MATCH(J236,'M1_類型マスタ'!$A$5:$A$19,0)),""))</f>
        <v/>
      </c>
      <c r="L236">
        <f>IF($AG236="","",INDEX('04_調査結果'!$F$5:$F$404,$AG236)&amp;"")</f>
        <v/>
      </c>
      <c r="M236">
        <f>IF($AG236="","",INDEX('04_調査結果'!$G$5:$G$404,$AG236)&amp;"")</f>
        <v/>
      </c>
      <c r="N236">
        <f>IF($AG236="","",INDEX('04_調査結果'!$H$5:$H$404,$AG236)&amp;"")</f>
        <v/>
      </c>
      <c r="O236" s="33">
        <f>IF($AG236="","",IF(INDEX('04_調査結果'!$Z$5:$Z$404,$AG236)&lt;&gt;"",INDEX('04_調査結果'!$Z$5:$Z$404,$AG236),INDEX('04_調査結果'!$AM$5:$AM$404,$AG236)))</f>
        <v/>
      </c>
      <c r="P236" s="33">
        <f>IF($AG236="","",IF(INDEX('04_調査結果'!$AA$5:$AA$404,$AG236)&lt;&gt;"",INDEX('04_調査結果'!$AA$5:$AA$404,$AG236),INDEX('04_調査結果'!$AN$5:$AN$404,$AG236)))</f>
        <v/>
      </c>
      <c r="Q236" s="33">
        <f>IF($AG236="","",INDEX('04_調査結果'!$AD$5:$AD$404,$AG236))</f>
        <v/>
      </c>
      <c r="R236">
        <f>IF($AG236="","",INDEX('04_調査結果'!$AO$5:$AO$404,$AG236))</f>
        <v/>
      </c>
      <c r="S236" s="37">
        <f>IF($AG236="","",INDEX('04_調査結果'!$AQ$5:$AQ$404,$AG236))</f>
        <v/>
      </c>
      <c r="T236" s="37">
        <f>IF($AG236="","",INDEX('04_調査結果'!$AR$5:$AR$404,$AG236))</f>
        <v/>
      </c>
      <c r="U236">
        <f>IF($AG236="","",INDEX('04_調査結果'!$N$5:$N$404,$AG236)&amp;"")</f>
        <v/>
      </c>
      <c r="V236">
        <f>IF($AG236="","",INDEX('04_調査結果'!$O$5:$O$404,$AG236))</f>
        <v/>
      </c>
      <c r="W236">
        <f>IF($AG236="","",INDEX('04_調査結果'!$P$5:$P$404,$AG236))</f>
        <v/>
      </c>
      <c r="X236">
        <f>IF($AG236="","",INDEX('04_調査結果'!$Q$5:$Q$404,$AG236))</f>
        <v/>
      </c>
      <c r="Y236">
        <f>IF($AG236="","",INDEX('04_調査結果'!$R$5:$R$404,$AG236))</f>
        <v/>
      </c>
      <c r="Z236">
        <f>IF($AG236="","",INDEX('04_調査結果'!$S$5:$S$404,$AG236))</f>
        <v/>
      </c>
      <c r="AA236">
        <f>IF($AG236="","",INDEX('04_調査結果'!$T$5:$T$404,$AG236))</f>
        <v/>
      </c>
      <c r="AB236">
        <f>IF($AG236="","",INDEX('04_調査結果'!$U$5:$U$404,$AG236))</f>
        <v/>
      </c>
      <c r="AC236">
        <f>IF($AG236="","",INDEX('04_調査結果'!$AF$5:$AF$404,$AG236))</f>
        <v/>
      </c>
      <c r="AD236">
        <f>IF($AG236="","",INDEX('04_調査結果'!$AC$5:$AC$404,$AG236)&amp;"")</f>
        <v/>
      </c>
      <c r="AE236">
        <f>IF($AG236="","",INDEX('04_調査結果'!$V$5:$V$404,$AG236)&amp;"")</f>
        <v/>
      </c>
      <c r="AF236">
        <f>IF($AG236="","",INDEX('04_調査結果'!$X$5:$X$404,$AG236)&amp;"")</f>
        <v/>
      </c>
      <c r="AG236" s="34">
        <f>IFERROR(MATCH(ROW()-4,'04_調査結果'!$AT$5:$AT$404,0),"")</f>
        <v/>
      </c>
    </row>
    <row r="237">
      <c r="A237">
        <f>IF($AG237="","",'01_設定'!$C$4)</f>
        <v/>
      </c>
      <c r="B237">
        <f>IF($AG237="","",'01_設定'!$C$5)</f>
        <v/>
      </c>
      <c r="C237">
        <f>IF($AG237="","",'01_設定'!$C$6)</f>
        <v/>
      </c>
      <c r="D237" s="36">
        <f>IF($AG237="","",'01_設定'!$C$22)</f>
        <v/>
      </c>
      <c r="E237" s="36">
        <f>IF($AG237="","",'01_設定'!$C$23)</f>
        <v/>
      </c>
      <c r="F237">
        <f>IF($AG237="","",'01_設定'!$C$32)</f>
        <v/>
      </c>
      <c r="G237">
        <f>IF($AG237="","",ROW()-4)</f>
        <v/>
      </c>
      <c r="H237">
        <f>IF($AG237="","",INDEX('04_調査結果'!$AJ$5:$AJ$404,$AG237))</f>
        <v/>
      </c>
      <c r="I237">
        <f>IF($AG237="","",INDEX('04_調査結果'!$D$5:$D$404,$AG237)&amp;"")</f>
        <v/>
      </c>
      <c r="J237">
        <f>IF($AG237="","",INDEX('04_調査結果'!$AK$5:$AK$404,$AG237)&amp;"")</f>
        <v/>
      </c>
      <c r="K237">
        <f>IF($AG237="","",IFERROR(INDEX('M1_類型マスタ'!$B$5:$B$19,MATCH(J237,'M1_類型マスタ'!$A$5:$A$19,0)),""))</f>
        <v/>
      </c>
      <c r="L237">
        <f>IF($AG237="","",INDEX('04_調査結果'!$F$5:$F$404,$AG237)&amp;"")</f>
        <v/>
      </c>
      <c r="M237">
        <f>IF($AG237="","",INDEX('04_調査結果'!$G$5:$G$404,$AG237)&amp;"")</f>
        <v/>
      </c>
      <c r="N237">
        <f>IF($AG237="","",INDEX('04_調査結果'!$H$5:$H$404,$AG237)&amp;"")</f>
        <v/>
      </c>
      <c r="O237" s="33">
        <f>IF($AG237="","",IF(INDEX('04_調査結果'!$Z$5:$Z$404,$AG237)&lt;&gt;"",INDEX('04_調査結果'!$Z$5:$Z$404,$AG237),INDEX('04_調査結果'!$AM$5:$AM$404,$AG237)))</f>
        <v/>
      </c>
      <c r="P237" s="33">
        <f>IF($AG237="","",IF(INDEX('04_調査結果'!$AA$5:$AA$404,$AG237)&lt;&gt;"",INDEX('04_調査結果'!$AA$5:$AA$404,$AG237),INDEX('04_調査結果'!$AN$5:$AN$404,$AG237)))</f>
        <v/>
      </c>
      <c r="Q237" s="33">
        <f>IF($AG237="","",INDEX('04_調査結果'!$AD$5:$AD$404,$AG237))</f>
        <v/>
      </c>
      <c r="R237">
        <f>IF($AG237="","",INDEX('04_調査結果'!$AO$5:$AO$404,$AG237))</f>
        <v/>
      </c>
      <c r="S237" s="37">
        <f>IF($AG237="","",INDEX('04_調査結果'!$AQ$5:$AQ$404,$AG237))</f>
        <v/>
      </c>
      <c r="T237" s="37">
        <f>IF($AG237="","",INDEX('04_調査結果'!$AR$5:$AR$404,$AG237))</f>
        <v/>
      </c>
      <c r="U237">
        <f>IF($AG237="","",INDEX('04_調査結果'!$N$5:$N$404,$AG237)&amp;"")</f>
        <v/>
      </c>
      <c r="V237">
        <f>IF($AG237="","",INDEX('04_調査結果'!$O$5:$O$404,$AG237))</f>
        <v/>
      </c>
      <c r="W237">
        <f>IF($AG237="","",INDEX('04_調査結果'!$P$5:$P$404,$AG237))</f>
        <v/>
      </c>
      <c r="X237">
        <f>IF($AG237="","",INDEX('04_調査結果'!$Q$5:$Q$404,$AG237))</f>
        <v/>
      </c>
      <c r="Y237">
        <f>IF($AG237="","",INDEX('04_調査結果'!$R$5:$R$404,$AG237))</f>
        <v/>
      </c>
      <c r="Z237">
        <f>IF($AG237="","",INDEX('04_調査結果'!$S$5:$S$404,$AG237))</f>
        <v/>
      </c>
      <c r="AA237">
        <f>IF($AG237="","",INDEX('04_調査結果'!$T$5:$T$404,$AG237))</f>
        <v/>
      </c>
      <c r="AB237">
        <f>IF($AG237="","",INDEX('04_調査結果'!$U$5:$U$404,$AG237))</f>
        <v/>
      </c>
      <c r="AC237">
        <f>IF($AG237="","",INDEX('04_調査結果'!$AF$5:$AF$404,$AG237))</f>
        <v/>
      </c>
      <c r="AD237">
        <f>IF($AG237="","",INDEX('04_調査結果'!$AC$5:$AC$404,$AG237)&amp;"")</f>
        <v/>
      </c>
      <c r="AE237">
        <f>IF($AG237="","",INDEX('04_調査結果'!$V$5:$V$404,$AG237)&amp;"")</f>
        <v/>
      </c>
      <c r="AF237">
        <f>IF($AG237="","",INDEX('04_調査結果'!$X$5:$X$404,$AG237)&amp;"")</f>
        <v/>
      </c>
      <c r="AG237" s="34">
        <f>IFERROR(MATCH(ROW()-4,'04_調査結果'!$AT$5:$AT$404,0),"")</f>
        <v/>
      </c>
    </row>
    <row r="238">
      <c r="A238">
        <f>IF($AG238="","",'01_設定'!$C$4)</f>
        <v/>
      </c>
      <c r="B238">
        <f>IF($AG238="","",'01_設定'!$C$5)</f>
        <v/>
      </c>
      <c r="C238">
        <f>IF($AG238="","",'01_設定'!$C$6)</f>
        <v/>
      </c>
      <c r="D238" s="36">
        <f>IF($AG238="","",'01_設定'!$C$22)</f>
        <v/>
      </c>
      <c r="E238" s="36">
        <f>IF($AG238="","",'01_設定'!$C$23)</f>
        <v/>
      </c>
      <c r="F238">
        <f>IF($AG238="","",'01_設定'!$C$32)</f>
        <v/>
      </c>
      <c r="G238">
        <f>IF($AG238="","",ROW()-4)</f>
        <v/>
      </c>
      <c r="H238">
        <f>IF($AG238="","",INDEX('04_調査結果'!$AJ$5:$AJ$404,$AG238))</f>
        <v/>
      </c>
      <c r="I238">
        <f>IF($AG238="","",INDEX('04_調査結果'!$D$5:$D$404,$AG238)&amp;"")</f>
        <v/>
      </c>
      <c r="J238">
        <f>IF($AG238="","",INDEX('04_調査結果'!$AK$5:$AK$404,$AG238)&amp;"")</f>
        <v/>
      </c>
      <c r="K238">
        <f>IF($AG238="","",IFERROR(INDEX('M1_類型マスタ'!$B$5:$B$19,MATCH(J238,'M1_類型マスタ'!$A$5:$A$19,0)),""))</f>
        <v/>
      </c>
      <c r="L238">
        <f>IF($AG238="","",INDEX('04_調査結果'!$F$5:$F$404,$AG238)&amp;"")</f>
        <v/>
      </c>
      <c r="M238">
        <f>IF($AG238="","",INDEX('04_調査結果'!$G$5:$G$404,$AG238)&amp;"")</f>
        <v/>
      </c>
      <c r="N238">
        <f>IF($AG238="","",INDEX('04_調査結果'!$H$5:$H$404,$AG238)&amp;"")</f>
        <v/>
      </c>
      <c r="O238" s="33">
        <f>IF($AG238="","",IF(INDEX('04_調査結果'!$Z$5:$Z$404,$AG238)&lt;&gt;"",INDEX('04_調査結果'!$Z$5:$Z$404,$AG238),INDEX('04_調査結果'!$AM$5:$AM$404,$AG238)))</f>
        <v/>
      </c>
      <c r="P238" s="33">
        <f>IF($AG238="","",IF(INDEX('04_調査結果'!$AA$5:$AA$404,$AG238)&lt;&gt;"",INDEX('04_調査結果'!$AA$5:$AA$404,$AG238),INDEX('04_調査結果'!$AN$5:$AN$404,$AG238)))</f>
        <v/>
      </c>
      <c r="Q238" s="33">
        <f>IF($AG238="","",INDEX('04_調査結果'!$AD$5:$AD$404,$AG238))</f>
        <v/>
      </c>
      <c r="R238">
        <f>IF($AG238="","",INDEX('04_調査結果'!$AO$5:$AO$404,$AG238))</f>
        <v/>
      </c>
      <c r="S238" s="37">
        <f>IF($AG238="","",INDEX('04_調査結果'!$AQ$5:$AQ$404,$AG238))</f>
        <v/>
      </c>
      <c r="T238" s="37">
        <f>IF($AG238="","",INDEX('04_調査結果'!$AR$5:$AR$404,$AG238))</f>
        <v/>
      </c>
      <c r="U238">
        <f>IF($AG238="","",INDEX('04_調査結果'!$N$5:$N$404,$AG238)&amp;"")</f>
        <v/>
      </c>
      <c r="V238">
        <f>IF($AG238="","",INDEX('04_調査結果'!$O$5:$O$404,$AG238))</f>
        <v/>
      </c>
      <c r="W238">
        <f>IF($AG238="","",INDEX('04_調査結果'!$P$5:$P$404,$AG238))</f>
        <v/>
      </c>
      <c r="X238">
        <f>IF($AG238="","",INDEX('04_調査結果'!$Q$5:$Q$404,$AG238))</f>
        <v/>
      </c>
      <c r="Y238">
        <f>IF($AG238="","",INDEX('04_調査結果'!$R$5:$R$404,$AG238))</f>
        <v/>
      </c>
      <c r="Z238">
        <f>IF($AG238="","",INDEX('04_調査結果'!$S$5:$S$404,$AG238))</f>
        <v/>
      </c>
      <c r="AA238">
        <f>IF($AG238="","",INDEX('04_調査結果'!$T$5:$T$404,$AG238))</f>
        <v/>
      </c>
      <c r="AB238">
        <f>IF($AG238="","",INDEX('04_調査結果'!$U$5:$U$404,$AG238))</f>
        <v/>
      </c>
      <c r="AC238">
        <f>IF($AG238="","",INDEX('04_調査結果'!$AF$5:$AF$404,$AG238))</f>
        <v/>
      </c>
      <c r="AD238">
        <f>IF($AG238="","",INDEX('04_調査結果'!$AC$5:$AC$404,$AG238)&amp;"")</f>
        <v/>
      </c>
      <c r="AE238">
        <f>IF($AG238="","",INDEX('04_調査結果'!$V$5:$V$404,$AG238)&amp;"")</f>
        <v/>
      </c>
      <c r="AF238">
        <f>IF($AG238="","",INDEX('04_調査結果'!$X$5:$X$404,$AG238)&amp;"")</f>
        <v/>
      </c>
      <c r="AG238" s="34">
        <f>IFERROR(MATCH(ROW()-4,'04_調査結果'!$AT$5:$AT$404,0),"")</f>
        <v/>
      </c>
    </row>
    <row r="239">
      <c r="A239">
        <f>IF($AG239="","",'01_設定'!$C$4)</f>
        <v/>
      </c>
      <c r="B239">
        <f>IF($AG239="","",'01_設定'!$C$5)</f>
        <v/>
      </c>
      <c r="C239">
        <f>IF($AG239="","",'01_設定'!$C$6)</f>
        <v/>
      </c>
      <c r="D239" s="36">
        <f>IF($AG239="","",'01_設定'!$C$22)</f>
        <v/>
      </c>
      <c r="E239" s="36">
        <f>IF($AG239="","",'01_設定'!$C$23)</f>
        <v/>
      </c>
      <c r="F239">
        <f>IF($AG239="","",'01_設定'!$C$32)</f>
        <v/>
      </c>
      <c r="G239">
        <f>IF($AG239="","",ROW()-4)</f>
        <v/>
      </c>
      <c r="H239">
        <f>IF($AG239="","",INDEX('04_調査結果'!$AJ$5:$AJ$404,$AG239))</f>
        <v/>
      </c>
      <c r="I239">
        <f>IF($AG239="","",INDEX('04_調査結果'!$D$5:$D$404,$AG239)&amp;"")</f>
        <v/>
      </c>
      <c r="J239">
        <f>IF($AG239="","",INDEX('04_調査結果'!$AK$5:$AK$404,$AG239)&amp;"")</f>
        <v/>
      </c>
      <c r="K239">
        <f>IF($AG239="","",IFERROR(INDEX('M1_類型マスタ'!$B$5:$B$19,MATCH(J239,'M1_類型マスタ'!$A$5:$A$19,0)),""))</f>
        <v/>
      </c>
      <c r="L239">
        <f>IF($AG239="","",INDEX('04_調査結果'!$F$5:$F$404,$AG239)&amp;"")</f>
        <v/>
      </c>
      <c r="M239">
        <f>IF($AG239="","",INDEX('04_調査結果'!$G$5:$G$404,$AG239)&amp;"")</f>
        <v/>
      </c>
      <c r="N239">
        <f>IF($AG239="","",INDEX('04_調査結果'!$H$5:$H$404,$AG239)&amp;"")</f>
        <v/>
      </c>
      <c r="O239" s="33">
        <f>IF($AG239="","",IF(INDEX('04_調査結果'!$Z$5:$Z$404,$AG239)&lt;&gt;"",INDEX('04_調査結果'!$Z$5:$Z$404,$AG239),INDEX('04_調査結果'!$AM$5:$AM$404,$AG239)))</f>
        <v/>
      </c>
      <c r="P239" s="33">
        <f>IF($AG239="","",IF(INDEX('04_調査結果'!$AA$5:$AA$404,$AG239)&lt;&gt;"",INDEX('04_調査結果'!$AA$5:$AA$404,$AG239),INDEX('04_調査結果'!$AN$5:$AN$404,$AG239)))</f>
        <v/>
      </c>
      <c r="Q239" s="33">
        <f>IF($AG239="","",INDEX('04_調査結果'!$AD$5:$AD$404,$AG239))</f>
        <v/>
      </c>
      <c r="R239">
        <f>IF($AG239="","",INDEX('04_調査結果'!$AO$5:$AO$404,$AG239))</f>
        <v/>
      </c>
      <c r="S239" s="37">
        <f>IF($AG239="","",INDEX('04_調査結果'!$AQ$5:$AQ$404,$AG239))</f>
        <v/>
      </c>
      <c r="T239" s="37">
        <f>IF($AG239="","",INDEX('04_調査結果'!$AR$5:$AR$404,$AG239))</f>
        <v/>
      </c>
      <c r="U239">
        <f>IF($AG239="","",INDEX('04_調査結果'!$N$5:$N$404,$AG239)&amp;"")</f>
        <v/>
      </c>
      <c r="V239">
        <f>IF($AG239="","",INDEX('04_調査結果'!$O$5:$O$404,$AG239))</f>
        <v/>
      </c>
      <c r="W239">
        <f>IF($AG239="","",INDEX('04_調査結果'!$P$5:$P$404,$AG239))</f>
        <v/>
      </c>
      <c r="X239">
        <f>IF($AG239="","",INDEX('04_調査結果'!$Q$5:$Q$404,$AG239))</f>
        <v/>
      </c>
      <c r="Y239">
        <f>IF($AG239="","",INDEX('04_調査結果'!$R$5:$R$404,$AG239))</f>
        <v/>
      </c>
      <c r="Z239">
        <f>IF($AG239="","",INDEX('04_調査結果'!$S$5:$S$404,$AG239))</f>
        <v/>
      </c>
      <c r="AA239">
        <f>IF($AG239="","",INDEX('04_調査結果'!$T$5:$T$404,$AG239))</f>
        <v/>
      </c>
      <c r="AB239">
        <f>IF($AG239="","",INDEX('04_調査結果'!$U$5:$U$404,$AG239))</f>
        <v/>
      </c>
      <c r="AC239">
        <f>IF($AG239="","",INDEX('04_調査結果'!$AF$5:$AF$404,$AG239))</f>
        <v/>
      </c>
      <c r="AD239">
        <f>IF($AG239="","",INDEX('04_調査結果'!$AC$5:$AC$404,$AG239)&amp;"")</f>
        <v/>
      </c>
      <c r="AE239">
        <f>IF($AG239="","",INDEX('04_調査結果'!$V$5:$V$404,$AG239)&amp;"")</f>
        <v/>
      </c>
      <c r="AF239">
        <f>IF($AG239="","",INDEX('04_調査結果'!$X$5:$X$404,$AG239)&amp;"")</f>
        <v/>
      </c>
      <c r="AG239" s="34">
        <f>IFERROR(MATCH(ROW()-4,'04_調査結果'!$AT$5:$AT$404,0),"")</f>
        <v/>
      </c>
    </row>
    <row r="240">
      <c r="A240">
        <f>IF($AG240="","",'01_設定'!$C$4)</f>
        <v/>
      </c>
      <c r="B240">
        <f>IF($AG240="","",'01_設定'!$C$5)</f>
        <v/>
      </c>
      <c r="C240">
        <f>IF($AG240="","",'01_設定'!$C$6)</f>
        <v/>
      </c>
      <c r="D240" s="36">
        <f>IF($AG240="","",'01_設定'!$C$22)</f>
        <v/>
      </c>
      <c r="E240" s="36">
        <f>IF($AG240="","",'01_設定'!$C$23)</f>
        <v/>
      </c>
      <c r="F240">
        <f>IF($AG240="","",'01_設定'!$C$32)</f>
        <v/>
      </c>
      <c r="G240">
        <f>IF($AG240="","",ROW()-4)</f>
        <v/>
      </c>
      <c r="H240">
        <f>IF($AG240="","",INDEX('04_調査結果'!$AJ$5:$AJ$404,$AG240))</f>
        <v/>
      </c>
      <c r="I240">
        <f>IF($AG240="","",INDEX('04_調査結果'!$D$5:$D$404,$AG240)&amp;"")</f>
        <v/>
      </c>
      <c r="J240">
        <f>IF($AG240="","",INDEX('04_調査結果'!$AK$5:$AK$404,$AG240)&amp;"")</f>
        <v/>
      </c>
      <c r="K240">
        <f>IF($AG240="","",IFERROR(INDEX('M1_類型マスタ'!$B$5:$B$19,MATCH(J240,'M1_類型マスタ'!$A$5:$A$19,0)),""))</f>
        <v/>
      </c>
      <c r="L240">
        <f>IF($AG240="","",INDEX('04_調査結果'!$F$5:$F$404,$AG240)&amp;"")</f>
        <v/>
      </c>
      <c r="M240">
        <f>IF($AG240="","",INDEX('04_調査結果'!$G$5:$G$404,$AG240)&amp;"")</f>
        <v/>
      </c>
      <c r="N240">
        <f>IF($AG240="","",INDEX('04_調査結果'!$H$5:$H$404,$AG240)&amp;"")</f>
        <v/>
      </c>
      <c r="O240" s="33">
        <f>IF($AG240="","",IF(INDEX('04_調査結果'!$Z$5:$Z$404,$AG240)&lt;&gt;"",INDEX('04_調査結果'!$Z$5:$Z$404,$AG240),INDEX('04_調査結果'!$AM$5:$AM$404,$AG240)))</f>
        <v/>
      </c>
      <c r="P240" s="33">
        <f>IF($AG240="","",IF(INDEX('04_調査結果'!$AA$5:$AA$404,$AG240)&lt;&gt;"",INDEX('04_調査結果'!$AA$5:$AA$404,$AG240),INDEX('04_調査結果'!$AN$5:$AN$404,$AG240)))</f>
        <v/>
      </c>
      <c r="Q240" s="33">
        <f>IF($AG240="","",INDEX('04_調査結果'!$AD$5:$AD$404,$AG240))</f>
        <v/>
      </c>
      <c r="R240">
        <f>IF($AG240="","",INDEX('04_調査結果'!$AO$5:$AO$404,$AG240))</f>
        <v/>
      </c>
      <c r="S240" s="37">
        <f>IF($AG240="","",INDEX('04_調査結果'!$AQ$5:$AQ$404,$AG240))</f>
        <v/>
      </c>
      <c r="T240" s="37">
        <f>IF($AG240="","",INDEX('04_調査結果'!$AR$5:$AR$404,$AG240))</f>
        <v/>
      </c>
      <c r="U240">
        <f>IF($AG240="","",INDEX('04_調査結果'!$N$5:$N$404,$AG240)&amp;"")</f>
        <v/>
      </c>
      <c r="V240">
        <f>IF($AG240="","",INDEX('04_調査結果'!$O$5:$O$404,$AG240))</f>
        <v/>
      </c>
      <c r="W240">
        <f>IF($AG240="","",INDEX('04_調査結果'!$P$5:$P$404,$AG240))</f>
        <v/>
      </c>
      <c r="X240">
        <f>IF($AG240="","",INDEX('04_調査結果'!$Q$5:$Q$404,$AG240))</f>
        <v/>
      </c>
      <c r="Y240">
        <f>IF($AG240="","",INDEX('04_調査結果'!$R$5:$R$404,$AG240))</f>
        <v/>
      </c>
      <c r="Z240">
        <f>IF($AG240="","",INDEX('04_調査結果'!$S$5:$S$404,$AG240))</f>
        <v/>
      </c>
      <c r="AA240">
        <f>IF($AG240="","",INDEX('04_調査結果'!$T$5:$T$404,$AG240))</f>
        <v/>
      </c>
      <c r="AB240">
        <f>IF($AG240="","",INDEX('04_調査結果'!$U$5:$U$404,$AG240))</f>
        <v/>
      </c>
      <c r="AC240">
        <f>IF($AG240="","",INDEX('04_調査結果'!$AF$5:$AF$404,$AG240))</f>
        <v/>
      </c>
      <c r="AD240">
        <f>IF($AG240="","",INDEX('04_調査結果'!$AC$5:$AC$404,$AG240)&amp;"")</f>
        <v/>
      </c>
      <c r="AE240">
        <f>IF($AG240="","",INDEX('04_調査結果'!$V$5:$V$404,$AG240)&amp;"")</f>
        <v/>
      </c>
      <c r="AF240">
        <f>IF($AG240="","",INDEX('04_調査結果'!$X$5:$X$404,$AG240)&amp;"")</f>
        <v/>
      </c>
      <c r="AG240" s="34">
        <f>IFERROR(MATCH(ROW()-4,'04_調査結果'!$AT$5:$AT$404,0),"")</f>
        <v/>
      </c>
    </row>
    <row r="241">
      <c r="A241">
        <f>IF($AG241="","",'01_設定'!$C$4)</f>
        <v/>
      </c>
      <c r="B241">
        <f>IF($AG241="","",'01_設定'!$C$5)</f>
        <v/>
      </c>
      <c r="C241">
        <f>IF($AG241="","",'01_設定'!$C$6)</f>
        <v/>
      </c>
      <c r="D241" s="36">
        <f>IF($AG241="","",'01_設定'!$C$22)</f>
        <v/>
      </c>
      <c r="E241" s="36">
        <f>IF($AG241="","",'01_設定'!$C$23)</f>
        <v/>
      </c>
      <c r="F241">
        <f>IF($AG241="","",'01_設定'!$C$32)</f>
        <v/>
      </c>
      <c r="G241">
        <f>IF($AG241="","",ROW()-4)</f>
        <v/>
      </c>
      <c r="H241">
        <f>IF($AG241="","",INDEX('04_調査結果'!$AJ$5:$AJ$404,$AG241))</f>
        <v/>
      </c>
      <c r="I241">
        <f>IF($AG241="","",INDEX('04_調査結果'!$D$5:$D$404,$AG241)&amp;"")</f>
        <v/>
      </c>
      <c r="J241">
        <f>IF($AG241="","",INDEX('04_調査結果'!$AK$5:$AK$404,$AG241)&amp;"")</f>
        <v/>
      </c>
      <c r="K241">
        <f>IF($AG241="","",IFERROR(INDEX('M1_類型マスタ'!$B$5:$B$19,MATCH(J241,'M1_類型マスタ'!$A$5:$A$19,0)),""))</f>
        <v/>
      </c>
      <c r="L241">
        <f>IF($AG241="","",INDEX('04_調査結果'!$F$5:$F$404,$AG241)&amp;"")</f>
        <v/>
      </c>
      <c r="M241">
        <f>IF($AG241="","",INDEX('04_調査結果'!$G$5:$G$404,$AG241)&amp;"")</f>
        <v/>
      </c>
      <c r="N241">
        <f>IF($AG241="","",INDEX('04_調査結果'!$H$5:$H$404,$AG241)&amp;"")</f>
        <v/>
      </c>
      <c r="O241" s="33">
        <f>IF($AG241="","",IF(INDEX('04_調査結果'!$Z$5:$Z$404,$AG241)&lt;&gt;"",INDEX('04_調査結果'!$Z$5:$Z$404,$AG241),INDEX('04_調査結果'!$AM$5:$AM$404,$AG241)))</f>
        <v/>
      </c>
      <c r="P241" s="33">
        <f>IF($AG241="","",IF(INDEX('04_調査結果'!$AA$5:$AA$404,$AG241)&lt;&gt;"",INDEX('04_調査結果'!$AA$5:$AA$404,$AG241),INDEX('04_調査結果'!$AN$5:$AN$404,$AG241)))</f>
        <v/>
      </c>
      <c r="Q241" s="33">
        <f>IF($AG241="","",INDEX('04_調査結果'!$AD$5:$AD$404,$AG241))</f>
        <v/>
      </c>
      <c r="R241">
        <f>IF($AG241="","",INDEX('04_調査結果'!$AO$5:$AO$404,$AG241))</f>
        <v/>
      </c>
      <c r="S241" s="37">
        <f>IF($AG241="","",INDEX('04_調査結果'!$AQ$5:$AQ$404,$AG241))</f>
        <v/>
      </c>
      <c r="T241" s="37">
        <f>IF($AG241="","",INDEX('04_調査結果'!$AR$5:$AR$404,$AG241))</f>
        <v/>
      </c>
      <c r="U241">
        <f>IF($AG241="","",INDEX('04_調査結果'!$N$5:$N$404,$AG241)&amp;"")</f>
        <v/>
      </c>
      <c r="V241">
        <f>IF($AG241="","",INDEX('04_調査結果'!$O$5:$O$404,$AG241))</f>
        <v/>
      </c>
      <c r="W241">
        <f>IF($AG241="","",INDEX('04_調査結果'!$P$5:$P$404,$AG241))</f>
        <v/>
      </c>
      <c r="X241">
        <f>IF($AG241="","",INDEX('04_調査結果'!$Q$5:$Q$404,$AG241))</f>
        <v/>
      </c>
      <c r="Y241">
        <f>IF($AG241="","",INDEX('04_調査結果'!$R$5:$R$404,$AG241))</f>
        <v/>
      </c>
      <c r="Z241">
        <f>IF($AG241="","",INDEX('04_調査結果'!$S$5:$S$404,$AG241))</f>
        <v/>
      </c>
      <c r="AA241">
        <f>IF($AG241="","",INDEX('04_調査結果'!$T$5:$T$404,$AG241))</f>
        <v/>
      </c>
      <c r="AB241">
        <f>IF($AG241="","",INDEX('04_調査結果'!$U$5:$U$404,$AG241))</f>
        <v/>
      </c>
      <c r="AC241">
        <f>IF($AG241="","",INDEX('04_調査結果'!$AF$5:$AF$404,$AG241))</f>
        <v/>
      </c>
      <c r="AD241">
        <f>IF($AG241="","",INDEX('04_調査結果'!$AC$5:$AC$404,$AG241)&amp;"")</f>
        <v/>
      </c>
      <c r="AE241">
        <f>IF($AG241="","",INDEX('04_調査結果'!$V$5:$V$404,$AG241)&amp;"")</f>
        <v/>
      </c>
      <c r="AF241">
        <f>IF($AG241="","",INDEX('04_調査結果'!$X$5:$X$404,$AG241)&amp;"")</f>
        <v/>
      </c>
      <c r="AG241" s="34">
        <f>IFERROR(MATCH(ROW()-4,'04_調査結果'!$AT$5:$AT$404,0),"")</f>
        <v/>
      </c>
    </row>
    <row r="242">
      <c r="A242">
        <f>IF($AG242="","",'01_設定'!$C$4)</f>
        <v/>
      </c>
      <c r="B242">
        <f>IF($AG242="","",'01_設定'!$C$5)</f>
        <v/>
      </c>
      <c r="C242">
        <f>IF($AG242="","",'01_設定'!$C$6)</f>
        <v/>
      </c>
      <c r="D242" s="36">
        <f>IF($AG242="","",'01_設定'!$C$22)</f>
        <v/>
      </c>
      <c r="E242" s="36">
        <f>IF($AG242="","",'01_設定'!$C$23)</f>
        <v/>
      </c>
      <c r="F242">
        <f>IF($AG242="","",'01_設定'!$C$32)</f>
        <v/>
      </c>
      <c r="G242">
        <f>IF($AG242="","",ROW()-4)</f>
        <v/>
      </c>
      <c r="H242">
        <f>IF($AG242="","",INDEX('04_調査結果'!$AJ$5:$AJ$404,$AG242))</f>
        <v/>
      </c>
      <c r="I242">
        <f>IF($AG242="","",INDEX('04_調査結果'!$D$5:$D$404,$AG242)&amp;"")</f>
        <v/>
      </c>
      <c r="J242">
        <f>IF($AG242="","",INDEX('04_調査結果'!$AK$5:$AK$404,$AG242)&amp;"")</f>
        <v/>
      </c>
      <c r="K242">
        <f>IF($AG242="","",IFERROR(INDEX('M1_類型マスタ'!$B$5:$B$19,MATCH(J242,'M1_類型マスタ'!$A$5:$A$19,0)),""))</f>
        <v/>
      </c>
      <c r="L242">
        <f>IF($AG242="","",INDEX('04_調査結果'!$F$5:$F$404,$AG242)&amp;"")</f>
        <v/>
      </c>
      <c r="M242">
        <f>IF($AG242="","",INDEX('04_調査結果'!$G$5:$G$404,$AG242)&amp;"")</f>
        <v/>
      </c>
      <c r="N242">
        <f>IF($AG242="","",INDEX('04_調査結果'!$H$5:$H$404,$AG242)&amp;"")</f>
        <v/>
      </c>
      <c r="O242" s="33">
        <f>IF($AG242="","",IF(INDEX('04_調査結果'!$Z$5:$Z$404,$AG242)&lt;&gt;"",INDEX('04_調査結果'!$Z$5:$Z$404,$AG242),INDEX('04_調査結果'!$AM$5:$AM$404,$AG242)))</f>
        <v/>
      </c>
      <c r="P242" s="33">
        <f>IF($AG242="","",IF(INDEX('04_調査結果'!$AA$5:$AA$404,$AG242)&lt;&gt;"",INDEX('04_調査結果'!$AA$5:$AA$404,$AG242),INDEX('04_調査結果'!$AN$5:$AN$404,$AG242)))</f>
        <v/>
      </c>
      <c r="Q242" s="33">
        <f>IF($AG242="","",INDEX('04_調査結果'!$AD$5:$AD$404,$AG242))</f>
        <v/>
      </c>
      <c r="R242">
        <f>IF($AG242="","",INDEX('04_調査結果'!$AO$5:$AO$404,$AG242))</f>
        <v/>
      </c>
      <c r="S242" s="37">
        <f>IF($AG242="","",INDEX('04_調査結果'!$AQ$5:$AQ$404,$AG242))</f>
        <v/>
      </c>
      <c r="T242" s="37">
        <f>IF($AG242="","",INDEX('04_調査結果'!$AR$5:$AR$404,$AG242))</f>
        <v/>
      </c>
      <c r="U242">
        <f>IF($AG242="","",INDEX('04_調査結果'!$N$5:$N$404,$AG242)&amp;"")</f>
        <v/>
      </c>
      <c r="V242">
        <f>IF($AG242="","",INDEX('04_調査結果'!$O$5:$O$404,$AG242))</f>
        <v/>
      </c>
      <c r="W242">
        <f>IF($AG242="","",INDEX('04_調査結果'!$P$5:$P$404,$AG242))</f>
        <v/>
      </c>
      <c r="X242">
        <f>IF($AG242="","",INDEX('04_調査結果'!$Q$5:$Q$404,$AG242))</f>
        <v/>
      </c>
      <c r="Y242">
        <f>IF($AG242="","",INDEX('04_調査結果'!$R$5:$R$404,$AG242))</f>
        <v/>
      </c>
      <c r="Z242">
        <f>IF($AG242="","",INDEX('04_調査結果'!$S$5:$S$404,$AG242))</f>
        <v/>
      </c>
      <c r="AA242">
        <f>IF($AG242="","",INDEX('04_調査結果'!$T$5:$T$404,$AG242))</f>
        <v/>
      </c>
      <c r="AB242">
        <f>IF($AG242="","",INDEX('04_調査結果'!$U$5:$U$404,$AG242))</f>
        <v/>
      </c>
      <c r="AC242">
        <f>IF($AG242="","",INDEX('04_調査結果'!$AF$5:$AF$404,$AG242))</f>
        <v/>
      </c>
      <c r="AD242">
        <f>IF($AG242="","",INDEX('04_調査結果'!$AC$5:$AC$404,$AG242)&amp;"")</f>
        <v/>
      </c>
      <c r="AE242">
        <f>IF($AG242="","",INDEX('04_調査結果'!$V$5:$V$404,$AG242)&amp;"")</f>
        <v/>
      </c>
      <c r="AF242">
        <f>IF($AG242="","",INDEX('04_調査結果'!$X$5:$X$404,$AG242)&amp;"")</f>
        <v/>
      </c>
      <c r="AG242" s="34">
        <f>IFERROR(MATCH(ROW()-4,'04_調査結果'!$AT$5:$AT$404,0),"")</f>
        <v/>
      </c>
    </row>
    <row r="243">
      <c r="A243">
        <f>IF($AG243="","",'01_設定'!$C$4)</f>
        <v/>
      </c>
      <c r="B243">
        <f>IF($AG243="","",'01_設定'!$C$5)</f>
        <v/>
      </c>
      <c r="C243">
        <f>IF($AG243="","",'01_設定'!$C$6)</f>
        <v/>
      </c>
      <c r="D243" s="36">
        <f>IF($AG243="","",'01_設定'!$C$22)</f>
        <v/>
      </c>
      <c r="E243" s="36">
        <f>IF($AG243="","",'01_設定'!$C$23)</f>
        <v/>
      </c>
      <c r="F243">
        <f>IF($AG243="","",'01_設定'!$C$32)</f>
        <v/>
      </c>
      <c r="G243">
        <f>IF($AG243="","",ROW()-4)</f>
        <v/>
      </c>
      <c r="H243">
        <f>IF($AG243="","",INDEX('04_調査結果'!$AJ$5:$AJ$404,$AG243))</f>
        <v/>
      </c>
      <c r="I243">
        <f>IF($AG243="","",INDEX('04_調査結果'!$D$5:$D$404,$AG243)&amp;"")</f>
        <v/>
      </c>
      <c r="J243">
        <f>IF($AG243="","",INDEX('04_調査結果'!$AK$5:$AK$404,$AG243)&amp;"")</f>
        <v/>
      </c>
      <c r="K243">
        <f>IF($AG243="","",IFERROR(INDEX('M1_類型マスタ'!$B$5:$B$19,MATCH(J243,'M1_類型マスタ'!$A$5:$A$19,0)),""))</f>
        <v/>
      </c>
      <c r="L243">
        <f>IF($AG243="","",INDEX('04_調査結果'!$F$5:$F$404,$AG243)&amp;"")</f>
        <v/>
      </c>
      <c r="M243">
        <f>IF($AG243="","",INDEX('04_調査結果'!$G$5:$G$404,$AG243)&amp;"")</f>
        <v/>
      </c>
      <c r="N243">
        <f>IF($AG243="","",INDEX('04_調査結果'!$H$5:$H$404,$AG243)&amp;"")</f>
        <v/>
      </c>
      <c r="O243" s="33">
        <f>IF($AG243="","",IF(INDEX('04_調査結果'!$Z$5:$Z$404,$AG243)&lt;&gt;"",INDEX('04_調査結果'!$Z$5:$Z$404,$AG243),INDEX('04_調査結果'!$AM$5:$AM$404,$AG243)))</f>
        <v/>
      </c>
      <c r="P243" s="33">
        <f>IF($AG243="","",IF(INDEX('04_調査結果'!$AA$5:$AA$404,$AG243)&lt;&gt;"",INDEX('04_調査結果'!$AA$5:$AA$404,$AG243),INDEX('04_調査結果'!$AN$5:$AN$404,$AG243)))</f>
        <v/>
      </c>
      <c r="Q243" s="33">
        <f>IF($AG243="","",INDEX('04_調査結果'!$AD$5:$AD$404,$AG243))</f>
        <v/>
      </c>
      <c r="R243">
        <f>IF($AG243="","",INDEX('04_調査結果'!$AO$5:$AO$404,$AG243))</f>
        <v/>
      </c>
      <c r="S243" s="37">
        <f>IF($AG243="","",INDEX('04_調査結果'!$AQ$5:$AQ$404,$AG243))</f>
        <v/>
      </c>
      <c r="T243" s="37">
        <f>IF($AG243="","",INDEX('04_調査結果'!$AR$5:$AR$404,$AG243))</f>
        <v/>
      </c>
      <c r="U243">
        <f>IF($AG243="","",INDEX('04_調査結果'!$N$5:$N$404,$AG243)&amp;"")</f>
        <v/>
      </c>
      <c r="V243">
        <f>IF($AG243="","",INDEX('04_調査結果'!$O$5:$O$404,$AG243))</f>
        <v/>
      </c>
      <c r="W243">
        <f>IF($AG243="","",INDEX('04_調査結果'!$P$5:$P$404,$AG243))</f>
        <v/>
      </c>
      <c r="X243">
        <f>IF($AG243="","",INDEX('04_調査結果'!$Q$5:$Q$404,$AG243))</f>
        <v/>
      </c>
      <c r="Y243">
        <f>IF($AG243="","",INDEX('04_調査結果'!$R$5:$R$404,$AG243))</f>
        <v/>
      </c>
      <c r="Z243">
        <f>IF($AG243="","",INDEX('04_調査結果'!$S$5:$S$404,$AG243))</f>
        <v/>
      </c>
      <c r="AA243">
        <f>IF($AG243="","",INDEX('04_調査結果'!$T$5:$T$404,$AG243))</f>
        <v/>
      </c>
      <c r="AB243">
        <f>IF($AG243="","",INDEX('04_調査結果'!$U$5:$U$404,$AG243))</f>
        <v/>
      </c>
      <c r="AC243">
        <f>IF($AG243="","",INDEX('04_調査結果'!$AF$5:$AF$404,$AG243))</f>
        <v/>
      </c>
      <c r="AD243">
        <f>IF($AG243="","",INDEX('04_調査結果'!$AC$5:$AC$404,$AG243)&amp;"")</f>
        <v/>
      </c>
      <c r="AE243">
        <f>IF($AG243="","",INDEX('04_調査結果'!$V$5:$V$404,$AG243)&amp;"")</f>
        <v/>
      </c>
      <c r="AF243">
        <f>IF($AG243="","",INDEX('04_調査結果'!$X$5:$X$404,$AG243)&amp;"")</f>
        <v/>
      </c>
      <c r="AG243" s="34">
        <f>IFERROR(MATCH(ROW()-4,'04_調査結果'!$AT$5:$AT$404,0),"")</f>
        <v/>
      </c>
    </row>
    <row r="244">
      <c r="A244">
        <f>IF($AG244="","",'01_設定'!$C$4)</f>
        <v/>
      </c>
      <c r="B244">
        <f>IF($AG244="","",'01_設定'!$C$5)</f>
        <v/>
      </c>
      <c r="C244">
        <f>IF($AG244="","",'01_設定'!$C$6)</f>
        <v/>
      </c>
      <c r="D244" s="36">
        <f>IF($AG244="","",'01_設定'!$C$22)</f>
        <v/>
      </c>
      <c r="E244" s="36">
        <f>IF($AG244="","",'01_設定'!$C$23)</f>
        <v/>
      </c>
      <c r="F244">
        <f>IF($AG244="","",'01_設定'!$C$32)</f>
        <v/>
      </c>
      <c r="G244">
        <f>IF($AG244="","",ROW()-4)</f>
        <v/>
      </c>
      <c r="H244">
        <f>IF($AG244="","",INDEX('04_調査結果'!$AJ$5:$AJ$404,$AG244))</f>
        <v/>
      </c>
      <c r="I244">
        <f>IF($AG244="","",INDEX('04_調査結果'!$D$5:$D$404,$AG244)&amp;"")</f>
        <v/>
      </c>
      <c r="J244">
        <f>IF($AG244="","",INDEX('04_調査結果'!$AK$5:$AK$404,$AG244)&amp;"")</f>
        <v/>
      </c>
      <c r="K244">
        <f>IF($AG244="","",IFERROR(INDEX('M1_類型マスタ'!$B$5:$B$19,MATCH(J244,'M1_類型マスタ'!$A$5:$A$19,0)),""))</f>
        <v/>
      </c>
      <c r="L244">
        <f>IF($AG244="","",INDEX('04_調査結果'!$F$5:$F$404,$AG244)&amp;"")</f>
        <v/>
      </c>
      <c r="M244">
        <f>IF($AG244="","",INDEX('04_調査結果'!$G$5:$G$404,$AG244)&amp;"")</f>
        <v/>
      </c>
      <c r="N244">
        <f>IF($AG244="","",INDEX('04_調査結果'!$H$5:$H$404,$AG244)&amp;"")</f>
        <v/>
      </c>
      <c r="O244" s="33">
        <f>IF($AG244="","",IF(INDEX('04_調査結果'!$Z$5:$Z$404,$AG244)&lt;&gt;"",INDEX('04_調査結果'!$Z$5:$Z$404,$AG244),INDEX('04_調査結果'!$AM$5:$AM$404,$AG244)))</f>
        <v/>
      </c>
      <c r="P244" s="33">
        <f>IF($AG244="","",IF(INDEX('04_調査結果'!$AA$5:$AA$404,$AG244)&lt;&gt;"",INDEX('04_調査結果'!$AA$5:$AA$404,$AG244),INDEX('04_調査結果'!$AN$5:$AN$404,$AG244)))</f>
        <v/>
      </c>
      <c r="Q244" s="33">
        <f>IF($AG244="","",INDEX('04_調査結果'!$AD$5:$AD$404,$AG244))</f>
        <v/>
      </c>
      <c r="R244">
        <f>IF($AG244="","",INDEX('04_調査結果'!$AO$5:$AO$404,$AG244))</f>
        <v/>
      </c>
      <c r="S244" s="37">
        <f>IF($AG244="","",INDEX('04_調査結果'!$AQ$5:$AQ$404,$AG244))</f>
        <v/>
      </c>
      <c r="T244" s="37">
        <f>IF($AG244="","",INDEX('04_調査結果'!$AR$5:$AR$404,$AG244))</f>
        <v/>
      </c>
      <c r="U244">
        <f>IF($AG244="","",INDEX('04_調査結果'!$N$5:$N$404,$AG244)&amp;"")</f>
        <v/>
      </c>
      <c r="V244">
        <f>IF($AG244="","",INDEX('04_調査結果'!$O$5:$O$404,$AG244))</f>
        <v/>
      </c>
      <c r="W244">
        <f>IF($AG244="","",INDEX('04_調査結果'!$P$5:$P$404,$AG244))</f>
        <v/>
      </c>
      <c r="X244">
        <f>IF($AG244="","",INDEX('04_調査結果'!$Q$5:$Q$404,$AG244))</f>
        <v/>
      </c>
      <c r="Y244">
        <f>IF($AG244="","",INDEX('04_調査結果'!$R$5:$R$404,$AG244))</f>
        <v/>
      </c>
      <c r="Z244">
        <f>IF($AG244="","",INDEX('04_調査結果'!$S$5:$S$404,$AG244))</f>
        <v/>
      </c>
      <c r="AA244">
        <f>IF($AG244="","",INDEX('04_調査結果'!$T$5:$T$404,$AG244))</f>
        <v/>
      </c>
      <c r="AB244">
        <f>IF($AG244="","",INDEX('04_調査結果'!$U$5:$U$404,$AG244))</f>
        <v/>
      </c>
      <c r="AC244">
        <f>IF($AG244="","",INDEX('04_調査結果'!$AF$5:$AF$404,$AG244))</f>
        <v/>
      </c>
      <c r="AD244">
        <f>IF($AG244="","",INDEX('04_調査結果'!$AC$5:$AC$404,$AG244)&amp;"")</f>
        <v/>
      </c>
      <c r="AE244">
        <f>IF($AG244="","",INDEX('04_調査結果'!$V$5:$V$404,$AG244)&amp;"")</f>
        <v/>
      </c>
      <c r="AF244">
        <f>IF($AG244="","",INDEX('04_調査結果'!$X$5:$X$404,$AG244)&amp;"")</f>
        <v/>
      </c>
      <c r="AG244" s="34">
        <f>IFERROR(MATCH(ROW()-4,'04_調査結果'!$AT$5:$AT$404,0),"")</f>
        <v/>
      </c>
    </row>
    <row r="245">
      <c r="A245">
        <f>IF($AG245="","",'01_設定'!$C$4)</f>
        <v/>
      </c>
      <c r="B245">
        <f>IF($AG245="","",'01_設定'!$C$5)</f>
        <v/>
      </c>
      <c r="C245">
        <f>IF($AG245="","",'01_設定'!$C$6)</f>
        <v/>
      </c>
      <c r="D245" s="36">
        <f>IF($AG245="","",'01_設定'!$C$22)</f>
        <v/>
      </c>
      <c r="E245" s="36">
        <f>IF($AG245="","",'01_設定'!$C$23)</f>
        <v/>
      </c>
      <c r="F245">
        <f>IF($AG245="","",'01_設定'!$C$32)</f>
        <v/>
      </c>
      <c r="G245">
        <f>IF($AG245="","",ROW()-4)</f>
        <v/>
      </c>
      <c r="H245">
        <f>IF($AG245="","",INDEX('04_調査結果'!$AJ$5:$AJ$404,$AG245))</f>
        <v/>
      </c>
      <c r="I245">
        <f>IF($AG245="","",INDEX('04_調査結果'!$D$5:$D$404,$AG245)&amp;"")</f>
        <v/>
      </c>
      <c r="J245">
        <f>IF($AG245="","",INDEX('04_調査結果'!$AK$5:$AK$404,$AG245)&amp;"")</f>
        <v/>
      </c>
      <c r="K245">
        <f>IF($AG245="","",IFERROR(INDEX('M1_類型マスタ'!$B$5:$B$19,MATCH(J245,'M1_類型マスタ'!$A$5:$A$19,0)),""))</f>
        <v/>
      </c>
      <c r="L245">
        <f>IF($AG245="","",INDEX('04_調査結果'!$F$5:$F$404,$AG245)&amp;"")</f>
        <v/>
      </c>
      <c r="M245">
        <f>IF($AG245="","",INDEX('04_調査結果'!$G$5:$G$404,$AG245)&amp;"")</f>
        <v/>
      </c>
      <c r="N245">
        <f>IF($AG245="","",INDEX('04_調査結果'!$H$5:$H$404,$AG245)&amp;"")</f>
        <v/>
      </c>
      <c r="O245" s="33">
        <f>IF($AG245="","",IF(INDEX('04_調査結果'!$Z$5:$Z$404,$AG245)&lt;&gt;"",INDEX('04_調査結果'!$Z$5:$Z$404,$AG245),INDEX('04_調査結果'!$AM$5:$AM$404,$AG245)))</f>
        <v/>
      </c>
      <c r="P245" s="33">
        <f>IF($AG245="","",IF(INDEX('04_調査結果'!$AA$5:$AA$404,$AG245)&lt;&gt;"",INDEX('04_調査結果'!$AA$5:$AA$404,$AG245),INDEX('04_調査結果'!$AN$5:$AN$404,$AG245)))</f>
        <v/>
      </c>
      <c r="Q245" s="33">
        <f>IF($AG245="","",INDEX('04_調査結果'!$AD$5:$AD$404,$AG245))</f>
        <v/>
      </c>
      <c r="R245">
        <f>IF($AG245="","",INDEX('04_調査結果'!$AO$5:$AO$404,$AG245))</f>
        <v/>
      </c>
      <c r="S245" s="37">
        <f>IF($AG245="","",INDEX('04_調査結果'!$AQ$5:$AQ$404,$AG245))</f>
        <v/>
      </c>
      <c r="T245" s="37">
        <f>IF($AG245="","",INDEX('04_調査結果'!$AR$5:$AR$404,$AG245))</f>
        <v/>
      </c>
      <c r="U245">
        <f>IF($AG245="","",INDEX('04_調査結果'!$N$5:$N$404,$AG245)&amp;"")</f>
        <v/>
      </c>
      <c r="V245">
        <f>IF($AG245="","",INDEX('04_調査結果'!$O$5:$O$404,$AG245))</f>
        <v/>
      </c>
      <c r="W245">
        <f>IF($AG245="","",INDEX('04_調査結果'!$P$5:$P$404,$AG245))</f>
        <v/>
      </c>
      <c r="X245">
        <f>IF($AG245="","",INDEX('04_調査結果'!$Q$5:$Q$404,$AG245))</f>
        <v/>
      </c>
      <c r="Y245">
        <f>IF($AG245="","",INDEX('04_調査結果'!$R$5:$R$404,$AG245))</f>
        <v/>
      </c>
      <c r="Z245">
        <f>IF($AG245="","",INDEX('04_調査結果'!$S$5:$S$404,$AG245))</f>
        <v/>
      </c>
      <c r="AA245">
        <f>IF($AG245="","",INDEX('04_調査結果'!$T$5:$T$404,$AG245))</f>
        <v/>
      </c>
      <c r="AB245">
        <f>IF($AG245="","",INDEX('04_調査結果'!$U$5:$U$404,$AG245))</f>
        <v/>
      </c>
      <c r="AC245">
        <f>IF($AG245="","",INDEX('04_調査結果'!$AF$5:$AF$404,$AG245))</f>
        <v/>
      </c>
      <c r="AD245">
        <f>IF($AG245="","",INDEX('04_調査結果'!$AC$5:$AC$404,$AG245)&amp;"")</f>
        <v/>
      </c>
      <c r="AE245">
        <f>IF($AG245="","",INDEX('04_調査結果'!$V$5:$V$404,$AG245)&amp;"")</f>
        <v/>
      </c>
      <c r="AF245">
        <f>IF($AG245="","",INDEX('04_調査結果'!$X$5:$X$404,$AG245)&amp;"")</f>
        <v/>
      </c>
      <c r="AG245" s="34">
        <f>IFERROR(MATCH(ROW()-4,'04_調査結果'!$AT$5:$AT$404,0),"")</f>
        <v/>
      </c>
    </row>
    <row r="246">
      <c r="A246">
        <f>IF($AG246="","",'01_設定'!$C$4)</f>
        <v/>
      </c>
      <c r="B246">
        <f>IF($AG246="","",'01_設定'!$C$5)</f>
        <v/>
      </c>
      <c r="C246">
        <f>IF($AG246="","",'01_設定'!$C$6)</f>
        <v/>
      </c>
      <c r="D246" s="36">
        <f>IF($AG246="","",'01_設定'!$C$22)</f>
        <v/>
      </c>
      <c r="E246" s="36">
        <f>IF($AG246="","",'01_設定'!$C$23)</f>
        <v/>
      </c>
      <c r="F246">
        <f>IF($AG246="","",'01_設定'!$C$32)</f>
        <v/>
      </c>
      <c r="G246">
        <f>IF($AG246="","",ROW()-4)</f>
        <v/>
      </c>
      <c r="H246">
        <f>IF($AG246="","",INDEX('04_調査結果'!$AJ$5:$AJ$404,$AG246))</f>
        <v/>
      </c>
      <c r="I246">
        <f>IF($AG246="","",INDEX('04_調査結果'!$D$5:$D$404,$AG246)&amp;"")</f>
        <v/>
      </c>
      <c r="J246">
        <f>IF($AG246="","",INDEX('04_調査結果'!$AK$5:$AK$404,$AG246)&amp;"")</f>
        <v/>
      </c>
      <c r="K246">
        <f>IF($AG246="","",IFERROR(INDEX('M1_類型マスタ'!$B$5:$B$19,MATCH(J246,'M1_類型マスタ'!$A$5:$A$19,0)),""))</f>
        <v/>
      </c>
      <c r="L246">
        <f>IF($AG246="","",INDEX('04_調査結果'!$F$5:$F$404,$AG246)&amp;"")</f>
        <v/>
      </c>
      <c r="M246">
        <f>IF($AG246="","",INDEX('04_調査結果'!$G$5:$G$404,$AG246)&amp;"")</f>
        <v/>
      </c>
      <c r="N246">
        <f>IF($AG246="","",INDEX('04_調査結果'!$H$5:$H$404,$AG246)&amp;"")</f>
        <v/>
      </c>
      <c r="O246" s="33">
        <f>IF($AG246="","",IF(INDEX('04_調査結果'!$Z$5:$Z$404,$AG246)&lt;&gt;"",INDEX('04_調査結果'!$Z$5:$Z$404,$AG246),INDEX('04_調査結果'!$AM$5:$AM$404,$AG246)))</f>
        <v/>
      </c>
      <c r="P246" s="33">
        <f>IF($AG246="","",IF(INDEX('04_調査結果'!$AA$5:$AA$404,$AG246)&lt;&gt;"",INDEX('04_調査結果'!$AA$5:$AA$404,$AG246),INDEX('04_調査結果'!$AN$5:$AN$404,$AG246)))</f>
        <v/>
      </c>
      <c r="Q246" s="33">
        <f>IF($AG246="","",INDEX('04_調査結果'!$AD$5:$AD$404,$AG246))</f>
        <v/>
      </c>
      <c r="R246">
        <f>IF($AG246="","",INDEX('04_調査結果'!$AO$5:$AO$404,$AG246))</f>
        <v/>
      </c>
      <c r="S246" s="37">
        <f>IF($AG246="","",INDEX('04_調査結果'!$AQ$5:$AQ$404,$AG246))</f>
        <v/>
      </c>
      <c r="T246" s="37">
        <f>IF($AG246="","",INDEX('04_調査結果'!$AR$5:$AR$404,$AG246))</f>
        <v/>
      </c>
      <c r="U246">
        <f>IF($AG246="","",INDEX('04_調査結果'!$N$5:$N$404,$AG246)&amp;"")</f>
        <v/>
      </c>
      <c r="V246">
        <f>IF($AG246="","",INDEX('04_調査結果'!$O$5:$O$404,$AG246))</f>
        <v/>
      </c>
      <c r="W246">
        <f>IF($AG246="","",INDEX('04_調査結果'!$P$5:$P$404,$AG246))</f>
        <v/>
      </c>
      <c r="X246">
        <f>IF($AG246="","",INDEX('04_調査結果'!$Q$5:$Q$404,$AG246))</f>
        <v/>
      </c>
      <c r="Y246">
        <f>IF($AG246="","",INDEX('04_調査結果'!$R$5:$R$404,$AG246))</f>
        <v/>
      </c>
      <c r="Z246">
        <f>IF($AG246="","",INDEX('04_調査結果'!$S$5:$S$404,$AG246))</f>
        <v/>
      </c>
      <c r="AA246">
        <f>IF($AG246="","",INDEX('04_調査結果'!$T$5:$T$404,$AG246))</f>
        <v/>
      </c>
      <c r="AB246">
        <f>IF($AG246="","",INDEX('04_調査結果'!$U$5:$U$404,$AG246))</f>
        <v/>
      </c>
      <c r="AC246">
        <f>IF($AG246="","",INDEX('04_調査結果'!$AF$5:$AF$404,$AG246))</f>
        <v/>
      </c>
      <c r="AD246">
        <f>IF($AG246="","",INDEX('04_調査結果'!$AC$5:$AC$404,$AG246)&amp;"")</f>
        <v/>
      </c>
      <c r="AE246">
        <f>IF($AG246="","",INDEX('04_調査結果'!$V$5:$V$404,$AG246)&amp;"")</f>
        <v/>
      </c>
      <c r="AF246">
        <f>IF($AG246="","",INDEX('04_調査結果'!$X$5:$X$404,$AG246)&amp;"")</f>
        <v/>
      </c>
      <c r="AG246" s="34">
        <f>IFERROR(MATCH(ROW()-4,'04_調査結果'!$AT$5:$AT$404,0),"")</f>
        <v/>
      </c>
    </row>
    <row r="247">
      <c r="A247">
        <f>IF($AG247="","",'01_設定'!$C$4)</f>
        <v/>
      </c>
      <c r="B247">
        <f>IF($AG247="","",'01_設定'!$C$5)</f>
        <v/>
      </c>
      <c r="C247">
        <f>IF($AG247="","",'01_設定'!$C$6)</f>
        <v/>
      </c>
      <c r="D247" s="36">
        <f>IF($AG247="","",'01_設定'!$C$22)</f>
        <v/>
      </c>
      <c r="E247" s="36">
        <f>IF($AG247="","",'01_設定'!$C$23)</f>
        <v/>
      </c>
      <c r="F247">
        <f>IF($AG247="","",'01_設定'!$C$32)</f>
        <v/>
      </c>
      <c r="G247">
        <f>IF($AG247="","",ROW()-4)</f>
        <v/>
      </c>
      <c r="H247">
        <f>IF($AG247="","",INDEX('04_調査結果'!$AJ$5:$AJ$404,$AG247))</f>
        <v/>
      </c>
      <c r="I247">
        <f>IF($AG247="","",INDEX('04_調査結果'!$D$5:$D$404,$AG247)&amp;"")</f>
        <v/>
      </c>
      <c r="J247">
        <f>IF($AG247="","",INDEX('04_調査結果'!$AK$5:$AK$404,$AG247)&amp;"")</f>
        <v/>
      </c>
      <c r="K247">
        <f>IF($AG247="","",IFERROR(INDEX('M1_類型マスタ'!$B$5:$B$19,MATCH(J247,'M1_類型マスタ'!$A$5:$A$19,0)),""))</f>
        <v/>
      </c>
      <c r="L247">
        <f>IF($AG247="","",INDEX('04_調査結果'!$F$5:$F$404,$AG247)&amp;"")</f>
        <v/>
      </c>
      <c r="M247">
        <f>IF($AG247="","",INDEX('04_調査結果'!$G$5:$G$404,$AG247)&amp;"")</f>
        <v/>
      </c>
      <c r="N247">
        <f>IF($AG247="","",INDEX('04_調査結果'!$H$5:$H$404,$AG247)&amp;"")</f>
        <v/>
      </c>
      <c r="O247" s="33">
        <f>IF($AG247="","",IF(INDEX('04_調査結果'!$Z$5:$Z$404,$AG247)&lt;&gt;"",INDEX('04_調査結果'!$Z$5:$Z$404,$AG247),INDEX('04_調査結果'!$AM$5:$AM$404,$AG247)))</f>
        <v/>
      </c>
      <c r="P247" s="33">
        <f>IF($AG247="","",IF(INDEX('04_調査結果'!$AA$5:$AA$404,$AG247)&lt;&gt;"",INDEX('04_調査結果'!$AA$5:$AA$404,$AG247),INDEX('04_調査結果'!$AN$5:$AN$404,$AG247)))</f>
        <v/>
      </c>
      <c r="Q247" s="33">
        <f>IF($AG247="","",INDEX('04_調査結果'!$AD$5:$AD$404,$AG247))</f>
        <v/>
      </c>
      <c r="R247">
        <f>IF($AG247="","",INDEX('04_調査結果'!$AO$5:$AO$404,$AG247))</f>
        <v/>
      </c>
      <c r="S247" s="37">
        <f>IF($AG247="","",INDEX('04_調査結果'!$AQ$5:$AQ$404,$AG247))</f>
        <v/>
      </c>
      <c r="T247" s="37">
        <f>IF($AG247="","",INDEX('04_調査結果'!$AR$5:$AR$404,$AG247))</f>
        <v/>
      </c>
      <c r="U247">
        <f>IF($AG247="","",INDEX('04_調査結果'!$N$5:$N$404,$AG247)&amp;"")</f>
        <v/>
      </c>
      <c r="V247">
        <f>IF($AG247="","",INDEX('04_調査結果'!$O$5:$O$404,$AG247))</f>
        <v/>
      </c>
      <c r="W247">
        <f>IF($AG247="","",INDEX('04_調査結果'!$P$5:$P$404,$AG247))</f>
        <v/>
      </c>
      <c r="X247">
        <f>IF($AG247="","",INDEX('04_調査結果'!$Q$5:$Q$404,$AG247))</f>
        <v/>
      </c>
      <c r="Y247">
        <f>IF($AG247="","",INDEX('04_調査結果'!$R$5:$R$404,$AG247))</f>
        <v/>
      </c>
      <c r="Z247">
        <f>IF($AG247="","",INDEX('04_調査結果'!$S$5:$S$404,$AG247))</f>
        <v/>
      </c>
      <c r="AA247">
        <f>IF($AG247="","",INDEX('04_調査結果'!$T$5:$T$404,$AG247))</f>
        <v/>
      </c>
      <c r="AB247">
        <f>IF($AG247="","",INDEX('04_調査結果'!$U$5:$U$404,$AG247))</f>
        <v/>
      </c>
      <c r="AC247">
        <f>IF($AG247="","",INDEX('04_調査結果'!$AF$5:$AF$404,$AG247))</f>
        <v/>
      </c>
      <c r="AD247">
        <f>IF($AG247="","",INDEX('04_調査結果'!$AC$5:$AC$404,$AG247)&amp;"")</f>
        <v/>
      </c>
      <c r="AE247">
        <f>IF($AG247="","",INDEX('04_調査結果'!$V$5:$V$404,$AG247)&amp;"")</f>
        <v/>
      </c>
      <c r="AF247">
        <f>IF($AG247="","",INDEX('04_調査結果'!$X$5:$X$404,$AG247)&amp;"")</f>
        <v/>
      </c>
      <c r="AG247" s="34">
        <f>IFERROR(MATCH(ROW()-4,'04_調査結果'!$AT$5:$AT$404,0),"")</f>
        <v/>
      </c>
    </row>
    <row r="248">
      <c r="A248">
        <f>IF($AG248="","",'01_設定'!$C$4)</f>
        <v/>
      </c>
      <c r="B248">
        <f>IF($AG248="","",'01_設定'!$C$5)</f>
        <v/>
      </c>
      <c r="C248">
        <f>IF($AG248="","",'01_設定'!$C$6)</f>
        <v/>
      </c>
      <c r="D248" s="36">
        <f>IF($AG248="","",'01_設定'!$C$22)</f>
        <v/>
      </c>
      <c r="E248" s="36">
        <f>IF($AG248="","",'01_設定'!$C$23)</f>
        <v/>
      </c>
      <c r="F248">
        <f>IF($AG248="","",'01_設定'!$C$32)</f>
        <v/>
      </c>
      <c r="G248">
        <f>IF($AG248="","",ROW()-4)</f>
        <v/>
      </c>
      <c r="H248">
        <f>IF($AG248="","",INDEX('04_調査結果'!$AJ$5:$AJ$404,$AG248))</f>
        <v/>
      </c>
      <c r="I248">
        <f>IF($AG248="","",INDEX('04_調査結果'!$D$5:$D$404,$AG248)&amp;"")</f>
        <v/>
      </c>
      <c r="J248">
        <f>IF($AG248="","",INDEX('04_調査結果'!$AK$5:$AK$404,$AG248)&amp;"")</f>
        <v/>
      </c>
      <c r="K248">
        <f>IF($AG248="","",IFERROR(INDEX('M1_類型マスタ'!$B$5:$B$19,MATCH(J248,'M1_類型マスタ'!$A$5:$A$19,0)),""))</f>
        <v/>
      </c>
      <c r="L248">
        <f>IF($AG248="","",INDEX('04_調査結果'!$F$5:$F$404,$AG248)&amp;"")</f>
        <v/>
      </c>
      <c r="M248">
        <f>IF($AG248="","",INDEX('04_調査結果'!$G$5:$G$404,$AG248)&amp;"")</f>
        <v/>
      </c>
      <c r="N248">
        <f>IF($AG248="","",INDEX('04_調査結果'!$H$5:$H$404,$AG248)&amp;"")</f>
        <v/>
      </c>
      <c r="O248" s="33">
        <f>IF($AG248="","",IF(INDEX('04_調査結果'!$Z$5:$Z$404,$AG248)&lt;&gt;"",INDEX('04_調査結果'!$Z$5:$Z$404,$AG248),INDEX('04_調査結果'!$AM$5:$AM$404,$AG248)))</f>
        <v/>
      </c>
      <c r="P248" s="33">
        <f>IF($AG248="","",IF(INDEX('04_調査結果'!$AA$5:$AA$404,$AG248)&lt;&gt;"",INDEX('04_調査結果'!$AA$5:$AA$404,$AG248),INDEX('04_調査結果'!$AN$5:$AN$404,$AG248)))</f>
        <v/>
      </c>
      <c r="Q248" s="33">
        <f>IF($AG248="","",INDEX('04_調査結果'!$AD$5:$AD$404,$AG248))</f>
        <v/>
      </c>
      <c r="R248">
        <f>IF($AG248="","",INDEX('04_調査結果'!$AO$5:$AO$404,$AG248))</f>
        <v/>
      </c>
      <c r="S248" s="37">
        <f>IF($AG248="","",INDEX('04_調査結果'!$AQ$5:$AQ$404,$AG248))</f>
        <v/>
      </c>
      <c r="T248" s="37">
        <f>IF($AG248="","",INDEX('04_調査結果'!$AR$5:$AR$404,$AG248))</f>
        <v/>
      </c>
      <c r="U248">
        <f>IF($AG248="","",INDEX('04_調査結果'!$N$5:$N$404,$AG248)&amp;"")</f>
        <v/>
      </c>
      <c r="V248">
        <f>IF($AG248="","",INDEX('04_調査結果'!$O$5:$O$404,$AG248))</f>
        <v/>
      </c>
      <c r="W248">
        <f>IF($AG248="","",INDEX('04_調査結果'!$P$5:$P$404,$AG248))</f>
        <v/>
      </c>
      <c r="X248">
        <f>IF($AG248="","",INDEX('04_調査結果'!$Q$5:$Q$404,$AG248))</f>
        <v/>
      </c>
      <c r="Y248">
        <f>IF($AG248="","",INDEX('04_調査結果'!$R$5:$R$404,$AG248))</f>
        <v/>
      </c>
      <c r="Z248">
        <f>IF($AG248="","",INDEX('04_調査結果'!$S$5:$S$404,$AG248))</f>
        <v/>
      </c>
      <c r="AA248">
        <f>IF($AG248="","",INDEX('04_調査結果'!$T$5:$T$404,$AG248))</f>
        <v/>
      </c>
      <c r="AB248">
        <f>IF($AG248="","",INDEX('04_調査結果'!$U$5:$U$404,$AG248))</f>
        <v/>
      </c>
      <c r="AC248">
        <f>IF($AG248="","",INDEX('04_調査結果'!$AF$5:$AF$404,$AG248))</f>
        <v/>
      </c>
      <c r="AD248">
        <f>IF($AG248="","",INDEX('04_調査結果'!$AC$5:$AC$404,$AG248)&amp;"")</f>
        <v/>
      </c>
      <c r="AE248">
        <f>IF($AG248="","",INDEX('04_調査結果'!$V$5:$V$404,$AG248)&amp;"")</f>
        <v/>
      </c>
      <c r="AF248">
        <f>IF($AG248="","",INDEX('04_調査結果'!$X$5:$X$404,$AG248)&amp;"")</f>
        <v/>
      </c>
      <c r="AG248" s="34">
        <f>IFERROR(MATCH(ROW()-4,'04_調査結果'!$AT$5:$AT$404,0),"")</f>
        <v/>
      </c>
    </row>
    <row r="249">
      <c r="A249">
        <f>IF($AG249="","",'01_設定'!$C$4)</f>
        <v/>
      </c>
      <c r="B249">
        <f>IF($AG249="","",'01_設定'!$C$5)</f>
        <v/>
      </c>
      <c r="C249">
        <f>IF($AG249="","",'01_設定'!$C$6)</f>
        <v/>
      </c>
      <c r="D249" s="36">
        <f>IF($AG249="","",'01_設定'!$C$22)</f>
        <v/>
      </c>
      <c r="E249" s="36">
        <f>IF($AG249="","",'01_設定'!$C$23)</f>
        <v/>
      </c>
      <c r="F249">
        <f>IF($AG249="","",'01_設定'!$C$32)</f>
        <v/>
      </c>
      <c r="G249">
        <f>IF($AG249="","",ROW()-4)</f>
        <v/>
      </c>
      <c r="H249">
        <f>IF($AG249="","",INDEX('04_調査結果'!$AJ$5:$AJ$404,$AG249))</f>
        <v/>
      </c>
      <c r="I249">
        <f>IF($AG249="","",INDEX('04_調査結果'!$D$5:$D$404,$AG249)&amp;"")</f>
        <v/>
      </c>
      <c r="J249">
        <f>IF($AG249="","",INDEX('04_調査結果'!$AK$5:$AK$404,$AG249)&amp;"")</f>
        <v/>
      </c>
      <c r="K249">
        <f>IF($AG249="","",IFERROR(INDEX('M1_類型マスタ'!$B$5:$B$19,MATCH(J249,'M1_類型マスタ'!$A$5:$A$19,0)),""))</f>
        <v/>
      </c>
      <c r="L249">
        <f>IF($AG249="","",INDEX('04_調査結果'!$F$5:$F$404,$AG249)&amp;"")</f>
        <v/>
      </c>
      <c r="M249">
        <f>IF($AG249="","",INDEX('04_調査結果'!$G$5:$G$404,$AG249)&amp;"")</f>
        <v/>
      </c>
      <c r="N249">
        <f>IF($AG249="","",INDEX('04_調査結果'!$H$5:$H$404,$AG249)&amp;"")</f>
        <v/>
      </c>
      <c r="O249" s="33">
        <f>IF($AG249="","",IF(INDEX('04_調査結果'!$Z$5:$Z$404,$AG249)&lt;&gt;"",INDEX('04_調査結果'!$Z$5:$Z$404,$AG249),INDEX('04_調査結果'!$AM$5:$AM$404,$AG249)))</f>
        <v/>
      </c>
      <c r="P249" s="33">
        <f>IF($AG249="","",IF(INDEX('04_調査結果'!$AA$5:$AA$404,$AG249)&lt;&gt;"",INDEX('04_調査結果'!$AA$5:$AA$404,$AG249),INDEX('04_調査結果'!$AN$5:$AN$404,$AG249)))</f>
        <v/>
      </c>
      <c r="Q249" s="33">
        <f>IF($AG249="","",INDEX('04_調査結果'!$AD$5:$AD$404,$AG249))</f>
        <v/>
      </c>
      <c r="R249">
        <f>IF($AG249="","",INDEX('04_調査結果'!$AO$5:$AO$404,$AG249))</f>
        <v/>
      </c>
      <c r="S249" s="37">
        <f>IF($AG249="","",INDEX('04_調査結果'!$AQ$5:$AQ$404,$AG249))</f>
        <v/>
      </c>
      <c r="T249" s="37">
        <f>IF($AG249="","",INDEX('04_調査結果'!$AR$5:$AR$404,$AG249))</f>
        <v/>
      </c>
      <c r="U249">
        <f>IF($AG249="","",INDEX('04_調査結果'!$N$5:$N$404,$AG249)&amp;"")</f>
        <v/>
      </c>
      <c r="V249">
        <f>IF($AG249="","",INDEX('04_調査結果'!$O$5:$O$404,$AG249))</f>
        <v/>
      </c>
      <c r="W249">
        <f>IF($AG249="","",INDEX('04_調査結果'!$P$5:$P$404,$AG249))</f>
        <v/>
      </c>
      <c r="X249">
        <f>IF($AG249="","",INDEX('04_調査結果'!$Q$5:$Q$404,$AG249))</f>
        <v/>
      </c>
      <c r="Y249">
        <f>IF($AG249="","",INDEX('04_調査結果'!$R$5:$R$404,$AG249))</f>
        <v/>
      </c>
      <c r="Z249">
        <f>IF($AG249="","",INDEX('04_調査結果'!$S$5:$S$404,$AG249))</f>
        <v/>
      </c>
      <c r="AA249">
        <f>IF($AG249="","",INDEX('04_調査結果'!$T$5:$T$404,$AG249))</f>
        <v/>
      </c>
      <c r="AB249">
        <f>IF($AG249="","",INDEX('04_調査結果'!$U$5:$U$404,$AG249))</f>
        <v/>
      </c>
      <c r="AC249">
        <f>IF($AG249="","",INDEX('04_調査結果'!$AF$5:$AF$404,$AG249))</f>
        <v/>
      </c>
      <c r="AD249">
        <f>IF($AG249="","",INDEX('04_調査結果'!$AC$5:$AC$404,$AG249)&amp;"")</f>
        <v/>
      </c>
      <c r="AE249">
        <f>IF($AG249="","",INDEX('04_調査結果'!$V$5:$V$404,$AG249)&amp;"")</f>
        <v/>
      </c>
      <c r="AF249">
        <f>IF($AG249="","",INDEX('04_調査結果'!$X$5:$X$404,$AG249)&amp;"")</f>
        <v/>
      </c>
      <c r="AG249" s="34">
        <f>IFERROR(MATCH(ROW()-4,'04_調査結果'!$AT$5:$AT$404,0),"")</f>
        <v/>
      </c>
    </row>
    <row r="250">
      <c r="A250">
        <f>IF($AG250="","",'01_設定'!$C$4)</f>
        <v/>
      </c>
      <c r="B250">
        <f>IF($AG250="","",'01_設定'!$C$5)</f>
        <v/>
      </c>
      <c r="C250">
        <f>IF($AG250="","",'01_設定'!$C$6)</f>
        <v/>
      </c>
      <c r="D250" s="36">
        <f>IF($AG250="","",'01_設定'!$C$22)</f>
        <v/>
      </c>
      <c r="E250" s="36">
        <f>IF($AG250="","",'01_設定'!$C$23)</f>
        <v/>
      </c>
      <c r="F250">
        <f>IF($AG250="","",'01_設定'!$C$32)</f>
        <v/>
      </c>
      <c r="G250">
        <f>IF($AG250="","",ROW()-4)</f>
        <v/>
      </c>
      <c r="H250">
        <f>IF($AG250="","",INDEX('04_調査結果'!$AJ$5:$AJ$404,$AG250))</f>
        <v/>
      </c>
      <c r="I250">
        <f>IF($AG250="","",INDEX('04_調査結果'!$D$5:$D$404,$AG250)&amp;"")</f>
        <v/>
      </c>
      <c r="J250">
        <f>IF($AG250="","",INDEX('04_調査結果'!$AK$5:$AK$404,$AG250)&amp;"")</f>
        <v/>
      </c>
      <c r="K250">
        <f>IF($AG250="","",IFERROR(INDEX('M1_類型マスタ'!$B$5:$B$19,MATCH(J250,'M1_類型マスタ'!$A$5:$A$19,0)),""))</f>
        <v/>
      </c>
      <c r="L250">
        <f>IF($AG250="","",INDEX('04_調査結果'!$F$5:$F$404,$AG250)&amp;"")</f>
        <v/>
      </c>
      <c r="M250">
        <f>IF($AG250="","",INDEX('04_調査結果'!$G$5:$G$404,$AG250)&amp;"")</f>
        <v/>
      </c>
      <c r="N250">
        <f>IF($AG250="","",INDEX('04_調査結果'!$H$5:$H$404,$AG250)&amp;"")</f>
        <v/>
      </c>
      <c r="O250" s="33">
        <f>IF($AG250="","",IF(INDEX('04_調査結果'!$Z$5:$Z$404,$AG250)&lt;&gt;"",INDEX('04_調査結果'!$Z$5:$Z$404,$AG250),INDEX('04_調査結果'!$AM$5:$AM$404,$AG250)))</f>
        <v/>
      </c>
      <c r="P250" s="33">
        <f>IF($AG250="","",IF(INDEX('04_調査結果'!$AA$5:$AA$404,$AG250)&lt;&gt;"",INDEX('04_調査結果'!$AA$5:$AA$404,$AG250),INDEX('04_調査結果'!$AN$5:$AN$404,$AG250)))</f>
        <v/>
      </c>
      <c r="Q250" s="33">
        <f>IF($AG250="","",INDEX('04_調査結果'!$AD$5:$AD$404,$AG250))</f>
        <v/>
      </c>
      <c r="R250">
        <f>IF($AG250="","",INDEX('04_調査結果'!$AO$5:$AO$404,$AG250))</f>
        <v/>
      </c>
      <c r="S250" s="37">
        <f>IF($AG250="","",INDEX('04_調査結果'!$AQ$5:$AQ$404,$AG250))</f>
        <v/>
      </c>
      <c r="T250" s="37">
        <f>IF($AG250="","",INDEX('04_調査結果'!$AR$5:$AR$404,$AG250))</f>
        <v/>
      </c>
      <c r="U250">
        <f>IF($AG250="","",INDEX('04_調査結果'!$N$5:$N$404,$AG250)&amp;"")</f>
        <v/>
      </c>
      <c r="V250">
        <f>IF($AG250="","",INDEX('04_調査結果'!$O$5:$O$404,$AG250))</f>
        <v/>
      </c>
      <c r="W250">
        <f>IF($AG250="","",INDEX('04_調査結果'!$P$5:$P$404,$AG250))</f>
        <v/>
      </c>
      <c r="X250">
        <f>IF($AG250="","",INDEX('04_調査結果'!$Q$5:$Q$404,$AG250))</f>
        <v/>
      </c>
      <c r="Y250">
        <f>IF($AG250="","",INDEX('04_調査結果'!$R$5:$R$404,$AG250))</f>
        <v/>
      </c>
      <c r="Z250">
        <f>IF($AG250="","",INDEX('04_調査結果'!$S$5:$S$404,$AG250))</f>
        <v/>
      </c>
      <c r="AA250">
        <f>IF($AG250="","",INDEX('04_調査結果'!$T$5:$T$404,$AG250))</f>
        <v/>
      </c>
      <c r="AB250">
        <f>IF($AG250="","",INDEX('04_調査結果'!$U$5:$U$404,$AG250))</f>
        <v/>
      </c>
      <c r="AC250">
        <f>IF($AG250="","",INDEX('04_調査結果'!$AF$5:$AF$404,$AG250))</f>
        <v/>
      </c>
      <c r="AD250">
        <f>IF($AG250="","",INDEX('04_調査結果'!$AC$5:$AC$404,$AG250)&amp;"")</f>
        <v/>
      </c>
      <c r="AE250">
        <f>IF($AG250="","",INDEX('04_調査結果'!$V$5:$V$404,$AG250)&amp;"")</f>
        <v/>
      </c>
      <c r="AF250">
        <f>IF($AG250="","",INDEX('04_調査結果'!$X$5:$X$404,$AG250)&amp;"")</f>
        <v/>
      </c>
      <c r="AG250" s="34">
        <f>IFERROR(MATCH(ROW()-4,'04_調査結果'!$AT$5:$AT$404,0),"")</f>
        <v/>
      </c>
    </row>
    <row r="251">
      <c r="A251">
        <f>IF($AG251="","",'01_設定'!$C$4)</f>
        <v/>
      </c>
      <c r="B251">
        <f>IF($AG251="","",'01_設定'!$C$5)</f>
        <v/>
      </c>
      <c r="C251">
        <f>IF($AG251="","",'01_設定'!$C$6)</f>
        <v/>
      </c>
      <c r="D251" s="36">
        <f>IF($AG251="","",'01_設定'!$C$22)</f>
        <v/>
      </c>
      <c r="E251" s="36">
        <f>IF($AG251="","",'01_設定'!$C$23)</f>
        <v/>
      </c>
      <c r="F251">
        <f>IF($AG251="","",'01_設定'!$C$32)</f>
        <v/>
      </c>
      <c r="G251">
        <f>IF($AG251="","",ROW()-4)</f>
        <v/>
      </c>
      <c r="H251">
        <f>IF($AG251="","",INDEX('04_調査結果'!$AJ$5:$AJ$404,$AG251))</f>
        <v/>
      </c>
      <c r="I251">
        <f>IF($AG251="","",INDEX('04_調査結果'!$D$5:$D$404,$AG251)&amp;"")</f>
        <v/>
      </c>
      <c r="J251">
        <f>IF($AG251="","",INDEX('04_調査結果'!$AK$5:$AK$404,$AG251)&amp;"")</f>
        <v/>
      </c>
      <c r="K251">
        <f>IF($AG251="","",IFERROR(INDEX('M1_類型マスタ'!$B$5:$B$19,MATCH(J251,'M1_類型マスタ'!$A$5:$A$19,0)),""))</f>
        <v/>
      </c>
      <c r="L251">
        <f>IF($AG251="","",INDEX('04_調査結果'!$F$5:$F$404,$AG251)&amp;"")</f>
        <v/>
      </c>
      <c r="M251">
        <f>IF($AG251="","",INDEX('04_調査結果'!$G$5:$G$404,$AG251)&amp;"")</f>
        <v/>
      </c>
      <c r="N251">
        <f>IF($AG251="","",INDEX('04_調査結果'!$H$5:$H$404,$AG251)&amp;"")</f>
        <v/>
      </c>
      <c r="O251" s="33">
        <f>IF($AG251="","",IF(INDEX('04_調査結果'!$Z$5:$Z$404,$AG251)&lt;&gt;"",INDEX('04_調査結果'!$Z$5:$Z$404,$AG251),INDEX('04_調査結果'!$AM$5:$AM$404,$AG251)))</f>
        <v/>
      </c>
      <c r="P251" s="33">
        <f>IF($AG251="","",IF(INDEX('04_調査結果'!$AA$5:$AA$404,$AG251)&lt;&gt;"",INDEX('04_調査結果'!$AA$5:$AA$404,$AG251),INDEX('04_調査結果'!$AN$5:$AN$404,$AG251)))</f>
        <v/>
      </c>
      <c r="Q251" s="33">
        <f>IF($AG251="","",INDEX('04_調査結果'!$AD$5:$AD$404,$AG251))</f>
        <v/>
      </c>
      <c r="R251">
        <f>IF($AG251="","",INDEX('04_調査結果'!$AO$5:$AO$404,$AG251))</f>
        <v/>
      </c>
      <c r="S251" s="37">
        <f>IF($AG251="","",INDEX('04_調査結果'!$AQ$5:$AQ$404,$AG251))</f>
        <v/>
      </c>
      <c r="T251" s="37">
        <f>IF($AG251="","",INDEX('04_調査結果'!$AR$5:$AR$404,$AG251))</f>
        <v/>
      </c>
      <c r="U251">
        <f>IF($AG251="","",INDEX('04_調査結果'!$N$5:$N$404,$AG251)&amp;"")</f>
        <v/>
      </c>
      <c r="V251">
        <f>IF($AG251="","",INDEX('04_調査結果'!$O$5:$O$404,$AG251))</f>
        <v/>
      </c>
      <c r="W251">
        <f>IF($AG251="","",INDEX('04_調査結果'!$P$5:$P$404,$AG251))</f>
        <v/>
      </c>
      <c r="X251">
        <f>IF($AG251="","",INDEX('04_調査結果'!$Q$5:$Q$404,$AG251))</f>
        <v/>
      </c>
      <c r="Y251">
        <f>IF($AG251="","",INDEX('04_調査結果'!$R$5:$R$404,$AG251))</f>
        <v/>
      </c>
      <c r="Z251">
        <f>IF($AG251="","",INDEX('04_調査結果'!$S$5:$S$404,$AG251))</f>
        <v/>
      </c>
      <c r="AA251">
        <f>IF($AG251="","",INDEX('04_調査結果'!$T$5:$T$404,$AG251))</f>
        <v/>
      </c>
      <c r="AB251">
        <f>IF($AG251="","",INDEX('04_調査結果'!$U$5:$U$404,$AG251))</f>
        <v/>
      </c>
      <c r="AC251">
        <f>IF($AG251="","",INDEX('04_調査結果'!$AF$5:$AF$404,$AG251))</f>
        <v/>
      </c>
      <c r="AD251">
        <f>IF($AG251="","",INDEX('04_調査結果'!$AC$5:$AC$404,$AG251)&amp;"")</f>
        <v/>
      </c>
      <c r="AE251">
        <f>IF($AG251="","",INDEX('04_調査結果'!$V$5:$V$404,$AG251)&amp;"")</f>
        <v/>
      </c>
      <c r="AF251">
        <f>IF($AG251="","",INDEX('04_調査結果'!$X$5:$X$404,$AG251)&amp;"")</f>
        <v/>
      </c>
      <c r="AG251" s="34">
        <f>IFERROR(MATCH(ROW()-4,'04_調査結果'!$AT$5:$AT$404,0),"")</f>
        <v/>
      </c>
    </row>
    <row r="252">
      <c r="A252">
        <f>IF($AG252="","",'01_設定'!$C$4)</f>
        <v/>
      </c>
      <c r="B252">
        <f>IF($AG252="","",'01_設定'!$C$5)</f>
        <v/>
      </c>
      <c r="C252">
        <f>IF($AG252="","",'01_設定'!$C$6)</f>
        <v/>
      </c>
      <c r="D252" s="36">
        <f>IF($AG252="","",'01_設定'!$C$22)</f>
        <v/>
      </c>
      <c r="E252" s="36">
        <f>IF($AG252="","",'01_設定'!$C$23)</f>
        <v/>
      </c>
      <c r="F252">
        <f>IF($AG252="","",'01_設定'!$C$32)</f>
        <v/>
      </c>
      <c r="G252">
        <f>IF($AG252="","",ROW()-4)</f>
        <v/>
      </c>
      <c r="H252">
        <f>IF($AG252="","",INDEX('04_調査結果'!$AJ$5:$AJ$404,$AG252))</f>
        <v/>
      </c>
      <c r="I252">
        <f>IF($AG252="","",INDEX('04_調査結果'!$D$5:$D$404,$AG252)&amp;"")</f>
        <v/>
      </c>
      <c r="J252">
        <f>IF($AG252="","",INDEX('04_調査結果'!$AK$5:$AK$404,$AG252)&amp;"")</f>
        <v/>
      </c>
      <c r="K252">
        <f>IF($AG252="","",IFERROR(INDEX('M1_類型マスタ'!$B$5:$B$19,MATCH(J252,'M1_類型マスタ'!$A$5:$A$19,0)),""))</f>
        <v/>
      </c>
      <c r="L252">
        <f>IF($AG252="","",INDEX('04_調査結果'!$F$5:$F$404,$AG252)&amp;"")</f>
        <v/>
      </c>
      <c r="M252">
        <f>IF($AG252="","",INDEX('04_調査結果'!$G$5:$G$404,$AG252)&amp;"")</f>
        <v/>
      </c>
      <c r="N252">
        <f>IF($AG252="","",INDEX('04_調査結果'!$H$5:$H$404,$AG252)&amp;"")</f>
        <v/>
      </c>
      <c r="O252" s="33">
        <f>IF($AG252="","",IF(INDEX('04_調査結果'!$Z$5:$Z$404,$AG252)&lt;&gt;"",INDEX('04_調査結果'!$Z$5:$Z$404,$AG252),INDEX('04_調査結果'!$AM$5:$AM$404,$AG252)))</f>
        <v/>
      </c>
      <c r="P252" s="33">
        <f>IF($AG252="","",IF(INDEX('04_調査結果'!$AA$5:$AA$404,$AG252)&lt;&gt;"",INDEX('04_調査結果'!$AA$5:$AA$404,$AG252),INDEX('04_調査結果'!$AN$5:$AN$404,$AG252)))</f>
        <v/>
      </c>
      <c r="Q252" s="33">
        <f>IF($AG252="","",INDEX('04_調査結果'!$AD$5:$AD$404,$AG252))</f>
        <v/>
      </c>
      <c r="R252">
        <f>IF($AG252="","",INDEX('04_調査結果'!$AO$5:$AO$404,$AG252))</f>
        <v/>
      </c>
      <c r="S252" s="37">
        <f>IF($AG252="","",INDEX('04_調査結果'!$AQ$5:$AQ$404,$AG252))</f>
        <v/>
      </c>
      <c r="T252" s="37">
        <f>IF($AG252="","",INDEX('04_調査結果'!$AR$5:$AR$404,$AG252))</f>
        <v/>
      </c>
      <c r="U252">
        <f>IF($AG252="","",INDEX('04_調査結果'!$N$5:$N$404,$AG252)&amp;"")</f>
        <v/>
      </c>
      <c r="V252">
        <f>IF($AG252="","",INDEX('04_調査結果'!$O$5:$O$404,$AG252))</f>
        <v/>
      </c>
      <c r="W252">
        <f>IF($AG252="","",INDEX('04_調査結果'!$P$5:$P$404,$AG252))</f>
        <v/>
      </c>
      <c r="X252">
        <f>IF($AG252="","",INDEX('04_調査結果'!$Q$5:$Q$404,$AG252))</f>
        <v/>
      </c>
      <c r="Y252">
        <f>IF($AG252="","",INDEX('04_調査結果'!$R$5:$R$404,$AG252))</f>
        <v/>
      </c>
      <c r="Z252">
        <f>IF($AG252="","",INDEX('04_調査結果'!$S$5:$S$404,$AG252))</f>
        <v/>
      </c>
      <c r="AA252">
        <f>IF($AG252="","",INDEX('04_調査結果'!$T$5:$T$404,$AG252))</f>
        <v/>
      </c>
      <c r="AB252">
        <f>IF($AG252="","",INDEX('04_調査結果'!$U$5:$U$404,$AG252))</f>
        <v/>
      </c>
      <c r="AC252">
        <f>IF($AG252="","",INDEX('04_調査結果'!$AF$5:$AF$404,$AG252))</f>
        <v/>
      </c>
      <c r="AD252">
        <f>IF($AG252="","",INDEX('04_調査結果'!$AC$5:$AC$404,$AG252)&amp;"")</f>
        <v/>
      </c>
      <c r="AE252">
        <f>IF($AG252="","",INDEX('04_調査結果'!$V$5:$V$404,$AG252)&amp;"")</f>
        <v/>
      </c>
      <c r="AF252">
        <f>IF($AG252="","",INDEX('04_調査結果'!$X$5:$X$404,$AG252)&amp;"")</f>
        <v/>
      </c>
      <c r="AG252" s="34">
        <f>IFERROR(MATCH(ROW()-4,'04_調査結果'!$AT$5:$AT$404,0),"")</f>
        <v/>
      </c>
    </row>
    <row r="253">
      <c r="A253">
        <f>IF($AG253="","",'01_設定'!$C$4)</f>
        <v/>
      </c>
      <c r="B253">
        <f>IF($AG253="","",'01_設定'!$C$5)</f>
        <v/>
      </c>
      <c r="C253">
        <f>IF($AG253="","",'01_設定'!$C$6)</f>
        <v/>
      </c>
      <c r="D253" s="36">
        <f>IF($AG253="","",'01_設定'!$C$22)</f>
        <v/>
      </c>
      <c r="E253" s="36">
        <f>IF($AG253="","",'01_設定'!$C$23)</f>
        <v/>
      </c>
      <c r="F253">
        <f>IF($AG253="","",'01_設定'!$C$32)</f>
        <v/>
      </c>
      <c r="G253">
        <f>IF($AG253="","",ROW()-4)</f>
        <v/>
      </c>
      <c r="H253">
        <f>IF($AG253="","",INDEX('04_調査結果'!$AJ$5:$AJ$404,$AG253))</f>
        <v/>
      </c>
      <c r="I253">
        <f>IF($AG253="","",INDEX('04_調査結果'!$D$5:$D$404,$AG253)&amp;"")</f>
        <v/>
      </c>
      <c r="J253">
        <f>IF($AG253="","",INDEX('04_調査結果'!$AK$5:$AK$404,$AG253)&amp;"")</f>
        <v/>
      </c>
      <c r="K253">
        <f>IF($AG253="","",IFERROR(INDEX('M1_類型マスタ'!$B$5:$B$19,MATCH(J253,'M1_類型マスタ'!$A$5:$A$19,0)),""))</f>
        <v/>
      </c>
      <c r="L253">
        <f>IF($AG253="","",INDEX('04_調査結果'!$F$5:$F$404,$AG253)&amp;"")</f>
        <v/>
      </c>
      <c r="M253">
        <f>IF($AG253="","",INDEX('04_調査結果'!$G$5:$G$404,$AG253)&amp;"")</f>
        <v/>
      </c>
      <c r="N253">
        <f>IF($AG253="","",INDEX('04_調査結果'!$H$5:$H$404,$AG253)&amp;"")</f>
        <v/>
      </c>
      <c r="O253" s="33">
        <f>IF($AG253="","",IF(INDEX('04_調査結果'!$Z$5:$Z$404,$AG253)&lt;&gt;"",INDEX('04_調査結果'!$Z$5:$Z$404,$AG253),INDEX('04_調査結果'!$AM$5:$AM$404,$AG253)))</f>
        <v/>
      </c>
      <c r="P253" s="33">
        <f>IF($AG253="","",IF(INDEX('04_調査結果'!$AA$5:$AA$404,$AG253)&lt;&gt;"",INDEX('04_調査結果'!$AA$5:$AA$404,$AG253),INDEX('04_調査結果'!$AN$5:$AN$404,$AG253)))</f>
        <v/>
      </c>
      <c r="Q253" s="33">
        <f>IF($AG253="","",INDEX('04_調査結果'!$AD$5:$AD$404,$AG253))</f>
        <v/>
      </c>
      <c r="R253">
        <f>IF($AG253="","",INDEX('04_調査結果'!$AO$5:$AO$404,$AG253))</f>
        <v/>
      </c>
      <c r="S253" s="37">
        <f>IF($AG253="","",INDEX('04_調査結果'!$AQ$5:$AQ$404,$AG253))</f>
        <v/>
      </c>
      <c r="T253" s="37">
        <f>IF($AG253="","",INDEX('04_調査結果'!$AR$5:$AR$404,$AG253))</f>
        <v/>
      </c>
      <c r="U253">
        <f>IF($AG253="","",INDEX('04_調査結果'!$N$5:$N$404,$AG253)&amp;"")</f>
        <v/>
      </c>
      <c r="V253">
        <f>IF($AG253="","",INDEX('04_調査結果'!$O$5:$O$404,$AG253))</f>
        <v/>
      </c>
      <c r="W253">
        <f>IF($AG253="","",INDEX('04_調査結果'!$P$5:$P$404,$AG253))</f>
        <v/>
      </c>
      <c r="X253">
        <f>IF($AG253="","",INDEX('04_調査結果'!$Q$5:$Q$404,$AG253))</f>
        <v/>
      </c>
      <c r="Y253">
        <f>IF($AG253="","",INDEX('04_調査結果'!$R$5:$R$404,$AG253))</f>
        <v/>
      </c>
      <c r="Z253">
        <f>IF($AG253="","",INDEX('04_調査結果'!$S$5:$S$404,$AG253))</f>
        <v/>
      </c>
      <c r="AA253">
        <f>IF($AG253="","",INDEX('04_調査結果'!$T$5:$T$404,$AG253))</f>
        <v/>
      </c>
      <c r="AB253">
        <f>IF($AG253="","",INDEX('04_調査結果'!$U$5:$U$404,$AG253))</f>
        <v/>
      </c>
      <c r="AC253">
        <f>IF($AG253="","",INDEX('04_調査結果'!$AF$5:$AF$404,$AG253))</f>
        <v/>
      </c>
      <c r="AD253">
        <f>IF($AG253="","",INDEX('04_調査結果'!$AC$5:$AC$404,$AG253)&amp;"")</f>
        <v/>
      </c>
      <c r="AE253">
        <f>IF($AG253="","",INDEX('04_調査結果'!$V$5:$V$404,$AG253)&amp;"")</f>
        <v/>
      </c>
      <c r="AF253">
        <f>IF($AG253="","",INDEX('04_調査結果'!$X$5:$X$404,$AG253)&amp;"")</f>
        <v/>
      </c>
      <c r="AG253" s="34">
        <f>IFERROR(MATCH(ROW()-4,'04_調査結果'!$AT$5:$AT$404,0),"")</f>
        <v/>
      </c>
    </row>
    <row r="254">
      <c r="A254">
        <f>IF($AG254="","",'01_設定'!$C$4)</f>
        <v/>
      </c>
      <c r="B254">
        <f>IF($AG254="","",'01_設定'!$C$5)</f>
        <v/>
      </c>
      <c r="C254">
        <f>IF($AG254="","",'01_設定'!$C$6)</f>
        <v/>
      </c>
      <c r="D254" s="36">
        <f>IF($AG254="","",'01_設定'!$C$22)</f>
        <v/>
      </c>
      <c r="E254" s="36">
        <f>IF($AG254="","",'01_設定'!$C$23)</f>
        <v/>
      </c>
      <c r="F254">
        <f>IF($AG254="","",'01_設定'!$C$32)</f>
        <v/>
      </c>
      <c r="G254">
        <f>IF($AG254="","",ROW()-4)</f>
        <v/>
      </c>
      <c r="H254">
        <f>IF($AG254="","",INDEX('04_調査結果'!$AJ$5:$AJ$404,$AG254))</f>
        <v/>
      </c>
      <c r="I254">
        <f>IF($AG254="","",INDEX('04_調査結果'!$D$5:$D$404,$AG254)&amp;"")</f>
        <v/>
      </c>
      <c r="J254">
        <f>IF($AG254="","",INDEX('04_調査結果'!$AK$5:$AK$404,$AG254)&amp;"")</f>
        <v/>
      </c>
      <c r="K254">
        <f>IF($AG254="","",IFERROR(INDEX('M1_類型マスタ'!$B$5:$B$19,MATCH(J254,'M1_類型マスタ'!$A$5:$A$19,0)),""))</f>
        <v/>
      </c>
      <c r="L254">
        <f>IF($AG254="","",INDEX('04_調査結果'!$F$5:$F$404,$AG254)&amp;"")</f>
        <v/>
      </c>
      <c r="M254">
        <f>IF($AG254="","",INDEX('04_調査結果'!$G$5:$G$404,$AG254)&amp;"")</f>
        <v/>
      </c>
      <c r="N254">
        <f>IF($AG254="","",INDEX('04_調査結果'!$H$5:$H$404,$AG254)&amp;"")</f>
        <v/>
      </c>
      <c r="O254" s="33">
        <f>IF($AG254="","",IF(INDEX('04_調査結果'!$Z$5:$Z$404,$AG254)&lt;&gt;"",INDEX('04_調査結果'!$Z$5:$Z$404,$AG254),INDEX('04_調査結果'!$AM$5:$AM$404,$AG254)))</f>
        <v/>
      </c>
      <c r="P254" s="33">
        <f>IF($AG254="","",IF(INDEX('04_調査結果'!$AA$5:$AA$404,$AG254)&lt;&gt;"",INDEX('04_調査結果'!$AA$5:$AA$404,$AG254),INDEX('04_調査結果'!$AN$5:$AN$404,$AG254)))</f>
        <v/>
      </c>
      <c r="Q254" s="33">
        <f>IF($AG254="","",INDEX('04_調査結果'!$AD$5:$AD$404,$AG254))</f>
        <v/>
      </c>
      <c r="R254">
        <f>IF($AG254="","",INDEX('04_調査結果'!$AO$5:$AO$404,$AG254))</f>
        <v/>
      </c>
      <c r="S254" s="37">
        <f>IF($AG254="","",INDEX('04_調査結果'!$AQ$5:$AQ$404,$AG254))</f>
        <v/>
      </c>
      <c r="T254" s="37">
        <f>IF($AG254="","",INDEX('04_調査結果'!$AR$5:$AR$404,$AG254))</f>
        <v/>
      </c>
      <c r="U254">
        <f>IF($AG254="","",INDEX('04_調査結果'!$N$5:$N$404,$AG254)&amp;"")</f>
        <v/>
      </c>
      <c r="V254">
        <f>IF($AG254="","",INDEX('04_調査結果'!$O$5:$O$404,$AG254))</f>
        <v/>
      </c>
      <c r="W254">
        <f>IF($AG254="","",INDEX('04_調査結果'!$P$5:$P$404,$AG254))</f>
        <v/>
      </c>
      <c r="X254">
        <f>IF($AG254="","",INDEX('04_調査結果'!$Q$5:$Q$404,$AG254))</f>
        <v/>
      </c>
      <c r="Y254">
        <f>IF($AG254="","",INDEX('04_調査結果'!$R$5:$R$404,$AG254))</f>
        <v/>
      </c>
      <c r="Z254">
        <f>IF($AG254="","",INDEX('04_調査結果'!$S$5:$S$404,$AG254))</f>
        <v/>
      </c>
      <c r="AA254">
        <f>IF($AG254="","",INDEX('04_調査結果'!$T$5:$T$404,$AG254))</f>
        <v/>
      </c>
      <c r="AB254">
        <f>IF($AG254="","",INDEX('04_調査結果'!$U$5:$U$404,$AG254))</f>
        <v/>
      </c>
      <c r="AC254">
        <f>IF($AG254="","",INDEX('04_調査結果'!$AF$5:$AF$404,$AG254))</f>
        <v/>
      </c>
      <c r="AD254">
        <f>IF($AG254="","",INDEX('04_調査結果'!$AC$5:$AC$404,$AG254)&amp;"")</f>
        <v/>
      </c>
      <c r="AE254">
        <f>IF($AG254="","",INDEX('04_調査結果'!$V$5:$V$404,$AG254)&amp;"")</f>
        <v/>
      </c>
      <c r="AF254">
        <f>IF($AG254="","",INDEX('04_調査結果'!$X$5:$X$404,$AG254)&amp;"")</f>
        <v/>
      </c>
      <c r="AG254" s="34">
        <f>IFERROR(MATCH(ROW()-4,'04_調査結果'!$AT$5:$AT$404,0),"")</f>
        <v/>
      </c>
    </row>
    <row r="255">
      <c r="A255">
        <f>IF($AG255="","",'01_設定'!$C$4)</f>
        <v/>
      </c>
      <c r="B255">
        <f>IF($AG255="","",'01_設定'!$C$5)</f>
        <v/>
      </c>
      <c r="C255">
        <f>IF($AG255="","",'01_設定'!$C$6)</f>
        <v/>
      </c>
      <c r="D255" s="36">
        <f>IF($AG255="","",'01_設定'!$C$22)</f>
        <v/>
      </c>
      <c r="E255" s="36">
        <f>IF($AG255="","",'01_設定'!$C$23)</f>
        <v/>
      </c>
      <c r="F255">
        <f>IF($AG255="","",'01_設定'!$C$32)</f>
        <v/>
      </c>
      <c r="G255">
        <f>IF($AG255="","",ROW()-4)</f>
        <v/>
      </c>
      <c r="H255">
        <f>IF($AG255="","",INDEX('04_調査結果'!$AJ$5:$AJ$404,$AG255))</f>
        <v/>
      </c>
      <c r="I255">
        <f>IF($AG255="","",INDEX('04_調査結果'!$D$5:$D$404,$AG255)&amp;"")</f>
        <v/>
      </c>
      <c r="J255">
        <f>IF($AG255="","",INDEX('04_調査結果'!$AK$5:$AK$404,$AG255)&amp;"")</f>
        <v/>
      </c>
      <c r="K255">
        <f>IF($AG255="","",IFERROR(INDEX('M1_類型マスタ'!$B$5:$B$19,MATCH(J255,'M1_類型マスタ'!$A$5:$A$19,0)),""))</f>
        <v/>
      </c>
      <c r="L255">
        <f>IF($AG255="","",INDEX('04_調査結果'!$F$5:$F$404,$AG255)&amp;"")</f>
        <v/>
      </c>
      <c r="M255">
        <f>IF($AG255="","",INDEX('04_調査結果'!$G$5:$G$404,$AG255)&amp;"")</f>
        <v/>
      </c>
      <c r="N255">
        <f>IF($AG255="","",INDEX('04_調査結果'!$H$5:$H$404,$AG255)&amp;"")</f>
        <v/>
      </c>
      <c r="O255" s="33">
        <f>IF($AG255="","",IF(INDEX('04_調査結果'!$Z$5:$Z$404,$AG255)&lt;&gt;"",INDEX('04_調査結果'!$Z$5:$Z$404,$AG255),INDEX('04_調査結果'!$AM$5:$AM$404,$AG255)))</f>
        <v/>
      </c>
      <c r="P255" s="33">
        <f>IF($AG255="","",IF(INDEX('04_調査結果'!$AA$5:$AA$404,$AG255)&lt;&gt;"",INDEX('04_調査結果'!$AA$5:$AA$404,$AG255),INDEX('04_調査結果'!$AN$5:$AN$404,$AG255)))</f>
        <v/>
      </c>
      <c r="Q255" s="33">
        <f>IF($AG255="","",INDEX('04_調査結果'!$AD$5:$AD$404,$AG255))</f>
        <v/>
      </c>
      <c r="R255">
        <f>IF($AG255="","",INDEX('04_調査結果'!$AO$5:$AO$404,$AG255))</f>
        <v/>
      </c>
      <c r="S255" s="37">
        <f>IF($AG255="","",INDEX('04_調査結果'!$AQ$5:$AQ$404,$AG255))</f>
        <v/>
      </c>
      <c r="T255" s="37">
        <f>IF($AG255="","",INDEX('04_調査結果'!$AR$5:$AR$404,$AG255))</f>
        <v/>
      </c>
      <c r="U255">
        <f>IF($AG255="","",INDEX('04_調査結果'!$N$5:$N$404,$AG255)&amp;"")</f>
        <v/>
      </c>
      <c r="V255">
        <f>IF($AG255="","",INDEX('04_調査結果'!$O$5:$O$404,$AG255))</f>
        <v/>
      </c>
      <c r="W255">
        <f>IF($AG255="","",INDEX('04_調査結果'!$P$5:$P$404,$AG255))</f>
        <v/>
      </c>
      <c r="X255">
        <f>IF($AG255="","",INDEX('04_調査結果'!$Q$5:$Q$404,$AG255))</f>
        <v/>
      </c>
      <c r="Y255">
        <f>IF($AG255="","",INDEX('04_調査結果'!$R$5:$R$404,$AG255))</f>
        <v/>
      </c>
      <c r="Z255">
        <f>IF($AG255="","",INDEX('04_調査結果'!$S$5:$S$404,$AG255))</f>
        <v/>
      </c>
      <c r="AA255">
        <f>IF($AG255="","",INDEX('04_調査結果'!$T$5:$T$404,$AG255))</f>
        <v/>
      </c>
      <c r="AB255">
        <f>IF($AG255="","",INDEX('04_調査結果'!$U$5:$U$404,$AG255))</f>
        <v/>
      </c>
      <c r="AC255">
        <f>IF($AG255="","",INDEX('04_調査結果'!$AF$5:$AF$404,$AG255))</f>
        <v/>
      </c>
      <c r="AD255">
        <f>IF($AG255="","",INDEX('04_調査結果'!$AC$5:$AC$404,$AG255)&amp;"")</f>
        <v/>
      </c>
      <c r="AE255">
        <f>IF($AG255="","",INDEX('04_調査結果'!$V$5:$V$404,$AG255)&amp;"")</f>
        <v/>
      </c>
      <c r="AF255">
        <f>IF($AG255="","",INDEX('04_調査結果'!$X$5:$X$404,$AG255)&amp;"")</f>
        <v/>
      </c>
      <c r="AG255" s="34">
        <f>IFERROR(MATCH(ROW()-4,'04_調査結果'!$AT$5:$AT$404,0),"")</f>
        <v/>
      </c>
    </row>
    <row r="256">
      <c r="A256">
        <f>IF($AG256="","",'01_設定'!$C$4)</f>
        <v/>
      </c>
      <c r="B256">
        <f>IF($AG256="","",'01_設定'!$C$5)</f>
        <v/>
      </c>
      <c r="C256">
        <f>IF($AG256="","",'01_設定'!$C$6)</f>
        <v/>
      </c>
      <c r="D256" s="36">
        <f>IF($AG256="","",'01_設定'!$C$22)</f>
        <v/>
      </c>
      <c r="E256" s="36">
        <f>IF($AG256="","",'01_設定'!$C$23)</f>
        <v/>
      </c>
      <c r="F256">
        <f>IF($AG256="","",'01_設定'!$C$32)</f>
        <v/>
      </c>
      <c r="G256">
        <f>IF($AG256="","",ROW()-4)</f>
        <v/>
      </c>
      <c r="H256">
        <f>IF($AG256="","",INDEX('04_調査結果'!$AJ$5:$AJ$404,$AG256))</f>
        <v/>
      </c>
      <c r="I256">
        <f>IF($AG256="","",INDEX('04_調査結果'!$D$5:$D$404,$AG256)&amp;"")</f>
        <v/>
      </c>
      <c r="J256">
        <f>IF($AG256="","",INDEX('04_調査結果'!$AK$5:$AK$404,$AG256)&amp;"")</f>
        <v/>
      </c>
      <c r="K256">
        <f>IF($AG256="","",IFERROR(INDEX('M1_類型マスタ'!$B$5:$B$19,MATCH(J256,'M1_類型マスタ'!$A$5:$A$19,0)),""))</f>
        <v/>
      </c>
      <c r="L256">
        <f>IF($AG256="","",INDEX('04_調査結果'!$F$5:$F$404,$AG256)&amp;"")</f>
        <v/>
      </c>
      <c r="M256">
        <f>IF($AG256="","",INDEX('04_調査結果'!$G$5:$G$404,$AG256)&amp;"")</f>
        <v/>
      </c>
      <c r="N256">
        <f>IF($AG256="","",INDEX('04_調査結果'!$H$5:$H$404,$AG256)&amp;"")</f>
        <v/>
      </c>
      <c r="O256" s="33">
        <f>IF($AG256="","",IF(INDEX('04_調査結果'!$Z$5:$Z$404,$AG256)&lt;&gt;"",INDEX('04_調査結果'!$Z$5:$Z$404,$AG256),INDEX('04_調査結果'!$AM$5:$AM$404,$AG256)))</f>
        <v/>
      </c>
      <c r="P256" s="33">
        <f>IF($AG256="","",IF(INDEX('04_調査結果'!$AA$5:$AA$404,$AG256)&lt;&gt;"",INDEX('04_調査結果'!$AA$5:$AA$404,$AG256),INDEX('04_調査結果'!$AN$5:$AN$404,$AG256)))</f>
        <v/>
      </c>
      <c r="Q256" s="33">
        <f>IF($AG256="","",INDEX('04_調査結果'!$AD$5:$AD$404,$AG256))</f>
        <v/>
      </c>
      <c r="R256">
        <f>IF($AG256="","",INDEX('04_調査結果'!$AO$5:$AO$404,$AG256))</f>
        <v/>
      </c>
      <c r="S256" s="37">
        <f>IF($AG256="","",INDEX('04_調査結果'!$AQ$5:$AQ$404,$AG256))</f>
        <v/>
      </c>
      <c r="T256" s="37">
        <f>IF($AG256="","",INDEX('04_調査結果'!$AR$5:$AR$404,$AG256))</f>
        <v/>
      </c>
      <c r="U256">
        <f>IF($AG256="","",INDEX('04_調査結果'!$N$5:$N$404,$AG256)&amp;"")</f>
        <v/>
      </c>
      <c r="V256">
        <f>IF($AG256="","",INDEX('04_調査結果'!$O$5:$O$404,$AG256))</f>
        <v/>
      </c>
      <c r="W256">
        <f>IF($AG256="","",INDEX('04_調査結果'!$P$5:$P$404,$AG256))</f>
        <v/>
      </c>
      <c r="X256">
        <f>IF($AG256="","",INDEX('04_調査結果'!$Q$5:$Q$404,$AG256))</f>
        <v/>
      </c>
      <c r="Y256">
        <f>IF($AG256="","",INDEX('04_調査結果'!$R$5:$R$404,$AG256))</f>
        <v/>
      </c>
      <c r="Z256">
        <f>IF($AG256="","",INDEX('04_調査結果'!$S$5:$S$404,$AG256))</f>
        <v/>
      </c>
      <c r="AA256">
        <f>IF($AG256="","",INDEX('04_調査結果'!$T$5:$T$404,$AG256))</f>
        <v/>
      </c>
      <c r="AB256">
        <f>IF($AG256="","",INDEX('04_調査結果'!$U$5:$U$404,$AG256))</f>
        <v/>
      </c>
      <c r="AC256">
        <f>IF($AG256="","",INDEX('04_調査結果'!$AF$5:$AF$404,$AG256))</f>
        <v/>
      </c>
      <c r="AD256">
        <f>IF($AG256="","",INDEX('04_調査結果'!$AC$5:$AC$404,$AG256)&amp;"")</f>
        <v/>
      </c>
      <c r="AE256">
        <f>IF($AG256="","",INDEX('04_調査結果'!$V$5:$V$404,$AG256)&amp;"")</f>
        <v/>
      </c>
      <c r="AF256">
        <f>IF($AG256="","",INDEX('04_調査結果'!$X$5:$X$404,$AG256)&amp;"")</f>
        <v/>
      </c>
      <c r="AG256" s="34">
        <f>IFERROR(MATCH(ROW()-4,'04_調査結果'!$AT$5:$AT$404,0),"")</f>
        <v/>
      </c>
    </row>
    <row r="257">
      <c r="A257">
        <f>IF($AG257="","",'01_設定'!$C$4)</f>
        <v/>
      </c>
      <c r="B257">
        <f>IF($AG257="","",'01_設定'!$C$5)</f>
        <v/>
      </c>
      <c r="C257">
        <f>IF($AG257="","",'01_設定'!$C$6)</f>
        <v/>
      </c>
      <c r="D257" s="36">
        <f>IF($AG257="","",'01_設定'!$C$22)</f>
        <v/>
      </c>
      <c r="E257" s="36">
        <f>IF($AG257="","",'01_設定'!$C$23)</f>
        <v/>
      </c>
      <c r="F257">
        <f>IF($AG257="","",'01_設定'!$C$32)</f>
        <v/>
      </c>
      <c r="G257">
        <f>IF($AG257="","",ROW()-4)</f>
        <v/>
      </c>
      <c r="H257">
        <f>IF($AG257="","",INDEX('04_調査結果'!$AJ$5:$AJ$404,$AG257))</f>
        <v/>
      </c>
      <c r="I257">
        <f>IF($AG257="","",INDEX('04_調査結果'!$D$5:$D$404,$AG257)&amp;"")</f>
        <v/>
      </c>
      <c r="J257">
        <f>IF($AG257="","",INDEX('04_調査結果'!$AK$5:$AK$404,$AG257)&amp;"")</f>
        <v/>
      </c>
      <c r="K257">
        <f>IF($AG257="","",IFERROR(INDEX('M1_類型マスタ'!$B$5:$B$19,MATCH(J257,'M1_類型マスタ'!$A$5:$A$19,0)),""))</f>
        <v/>
      </c>
      <c r="L257">
        <f>IF($AG257="","",INDEX('04_調査結果'!$F$5:$F$404,$AG257)&amp;"")</f>
        <v/>
      </c>
      <c r="M257">
        <f>IF($AG257="","",INDEX('04_調査結果'!$G$5:$G$404,$AG257)&amp;"")</f>
        <v/>
      </c>
      <c r="N257">
        <f>IF($AG257="","",INDEX('04_調査結果'!$H$5:$H$404,$AG257)&amp;"")</f>
        <v/>
      </c>
      <c r="O257" s="33">
        <f>IF($AG257="","",IF(INDEX('04_調査結果'!$Z$5:$Z$404,$AG257)&lt;&gt;"",INDEX('04_調査結果'!$Z$5:$Z$404,$AG257),INDEX('04_調査結果'!$AM$5:$AM$404,$AG257)))</f>
        <v/>
      </c>
      <c r="P257" s="33">
        <f>IF($AG257="","",IF(INDEX('04_調査結果'!$AA$5:$AA$404,$AG257)&lt;&gt;"",INDEX('04_調査結果'!$AA$5:$AA$404,$AG257),INDEX('04_調査結果'!$AN$5:$AN$404,$AG257)))</f>
        <v/>
      </c>
      <c r="Q257" s="33">
        <f>IF($AG257="","",INDEX('04_調査結果'!$AD$5:$AD$404,$AG257))</f>
        <v/>
      </c>
      <c r="R257">
        <f>IF($AG257="","",INDEX('04_調査結果'!$AO$5:$AO$404,$AG257))</f>
        <v/>
      </c>
      <c r="S257" s="37">
        <f>IF($AG257="","",INDEX('04_調査結果'!$AQ$5:$AQ$404,$AG257))</f>
        <v/>
      </c>
      <c r="T257" s="37">
        <f>IF($AG257="","",INDEX('04_調査結果'!$AR$5:$AR$404,$AG257))</f>
        <v/>
      </c>
      <c r="U257">
        <f>IF($AG257="","",INDEX('04_調査結果'!$N$5:$N$404,$AG257)&amp;"")</f>
        <v/>
      </c>
      <c r="V257">
        <f>IF($AG257="","",INDEX('04_調査結果'!$O$5:$O$404,$AG257))</f>
        <v/>
      </c>
      <c r="W257">
        <f>IF($AG257="","",INDEX('04_調査結果'!$P$5:$P$404,$AG257))</f>
        <v/>
      </c>
      <c r="X257">
        <f>IF($AG257="","",INDEX('04_調査結果'!$Q$5:$Q$404,$AG257))</f>
        <v/>
      </c>
      <c r="Y257">
        <f>IF($AG257="","",INDEX('04_調査結果'!$R$5:$R$404,$AG257))</f>
        <v/>
      </c>
      <c r="Z257">
        <f>IF($AG257="","",INDEX('04_調査結果'!$S$5:$S$404,$AG257))</f>
        <v/>
      </c>
      <c r="AA257">
        <f>IF($AG257="","",INDEX('04_調査結果'!$T$5:$T$404,$AG257))</f>
        <v/>
      </c>
      <c r="AB257">
        <f>IF($AG257="","",INDEX('04_調査結果'!$U$5:$U$404,$AG257))</f>
        <v/>
      </c>
      <c r="AC257">
        <f>IF($AG257="","",INDEX('04_調査結果'!$AF$5:$AF$404,$AG257))</f>
        <v/>
      </c>
      <c r="AD257">
        <f>IF($AG257="","",INDEX('04_調査結果'!$AC$5:$AC$404,$AG257)&amp;"")</f>
        <v/>
      </c>
      <c r="AE257">
        <f>IF($AG257="","",INDEX('04_調査結果'!$V$5:$V$404,$AG257)&amp;"")</f>
        <v/>
      </c>
      <c r="AF257">
        <f>IF($AG257="","",INDEX('04_調査結果'!$X$5:$X$404,$AG257)&amp;"")</f>
        <v/>
      </c>
      <c r="AG257" s="34">
        <f>IFERROR(MATCH(ROW()-4,'04_調査結果'!$AT$5:$AT$404,0),"")</f>
        <v/>
      </c>
    </row>
    <row r="258">
      <c r="A258">
        <f>IF($AG258="","",'01_設定'!$C$4)</f>
        <v/>
      </c>
      <c r="B258">
        <f>IF($AG258="","",'01_設定'!$C$5)</f>
        <v/>
      </c>
      <c r="C258">
        <f>IF($AG258="","",'01_設定'!$C$6)</f>
        <v/>
      </c>
      <c r="D258" s="36">
        <f>IF($AG258="","",'01_設定'!$C$22)</f>
        <v/>
      </c>
      <c r="E258" s="36">
        <f>IF($AG258="","",'01_設定'!$C$23)</f>
        <v/>
      </c>
      <c r="F258">
        <f>IF($AG258="","",'01_設定'!$C$32)</f>
        <v/>
      </c>
      <c r="G258">
        <f>IF($AG258="","",ROW()-4)</f>
        <v/>
      </c>
      <c r="H258">
        <f>IF($AG258="","",INDEX('04_調査結果'!$AJ$5:$AJ$404,$AG258))</f>
        <v/>
      </c>
      <c r="I258">
        <f>IF($AG258="","",INDEX('04_調査結果'!$D$5:$D$404,$AG258)&amp;"")</f>
        <v/>
      </c>
      <c r="J258">
        <f>IF($AG258="","",INDEX('04_調査結果'!$AK$5:$AK$404,$AG258)&amp;"")</f>
        <v/>
      </c>
      <c r="K258">
        <f>IF($AG258="","",IFERROR(INDEX('M1_類型マスタ'!$B$5:$B$19,MATCH(J258,'M1_類型マスタ'!$A$5:$A$19,0)),""))</f>
        <v/>
      </c>
      <c r="L258">
        <f>IF($AG258="","",INDEX('04_調査結果'!$F$5:$F$404,$AG258)&amp;"")</f>
        <v/>
      </c>
      <c r="M258">
        <f>IF($AG258="","",INDEX('04_調査結果'!$G$5:$G$404,$AG258)&amp;"")</f>
        <v/>
      </c>
      <c r="N258">
        <f>IF($AG258="","",INDEX('04_調査結果'!$H$5:$H$404,$AG258)&amp;"")</f>
        <v/>
      </c>
      <c r="O258" s="33">
        <f>IF($AG258="","",IF(INDEX('04_調査結果'!$Z$5:$Z$404,$AG258)&lt;&gt;"",INDEX('04_調査結果'!$Z$5:$Z$404,$AG258),INDEX('04_調査結果'!$AM$5:$AM$404,$AG258)))</f>
        <v/>
      </c>
      <c r="P258" s="33">
        <f>IF($AG258="","",IF(INDEX('04_調査結果'!$AA$5:$AA$404,$AG258)&lt;&gt;"",INDEX('04_調査結果'!$AA$5:$AA$404,$AG258),INDEX('04_調査結果'!$AN$5:$AN$404,$AG258)))</f>
        <v/>
      </c>
      <c r="Q258" s="33">
        <f>IF($AG258="","",INDEX('04_調査結果'!$AD$5:$AD$404,$AG258))</f>
        <v/>
      </c>
      <c r="R258">
        <f>IF($AG258="","",INDEX('04_調査結果'!$AO$5:$AO$404,$AG258))</f>
        <v/>
      </c>
      <c r="S258" s="37">
        <f>IF($AG258="","",INDEX('04_調査結果'!$AQ$5:$AQ$404,$AG258))</f>
        <v/>
      </c>
      <c r="T258" s="37">
        <f>IF($AG258="","",INDEX('04_調査結果'!$AR$5:$AR$404,$AG258))</f>
        <v/>
      </c>
      <c r="U258">
        <f>IF($AG258="","",INDEX('04_調査結果'!$N$5:$N$404,$AG258)&amp;"")</f>
        <v/>
      </c>
      <c r="V258">
        <f>IF($AG258="","",INDEX('04_調査結果'!$O$5:$O$404,$AG258))</f>
        <v/>
      </c>
      <c r="W258">
        <f>IF($AG258="","",INDEX('04_調査結果'!$P$5:$P$404,$AG258))</f>
        <v/>
      </c>
      <c r="X258">
        <f>IF($AG258="","",INDEX('04_調査結果'!$Q$5:$Q$404,$AG258))</f>
        <v/>
      </c>
      <c r="Y258">
        <f>IF($AG258="","",INDEX('04_調査結果'!$R$5:$R$404,$AG258))</f>
        <v/>
      </c>
      <c r="Z258">
        <f>IF($AG258="","",INDEX('04_調査結果'!$S$5:$S$404,$AG258))</f>
        <v/>
      </c>
      <c r="AA258">
        <f>IF($AG258="","",INDEX('04_調査結果'!$T$5:$T$404,$AG258))</f>
        <v/>
      </c>
      <c r="AB258">
        <f>IF($AG258="","",INDEX('04_調査結果'!$U$5:$U$404,$AG258))</f>
        <v/>
      </c>
      <c r="AC258">
        <f>IF($AG258="","",INDEX('04_調査結果'!$AF$5:$AF$404,$AG258))</f>
        <v/>
      </c>
      <c r="AD258">
        <f>IF($AG258="","",INDEX('04_調査結果'!$AC$5:$AC$404,$AG258)&amp;"")</f>
        <v/>
      </c>
      <c r="AE258">
        <f>IF($AG258="","",INDEX('04_調査結果'!$V$5:$V$404,$AG258)&amp;"")</f>
        <v/>
      </c>
      <c r="AF258">
        <f>IF($AG258="","",INDEX('04_調査結果'!$X$5:$X$404,$AG258)&amp;"")</f>
        <v/>
      </c>
      <c r="AG258" s="34">
        <f>IFERROR(MATCH(ROW()-4,'04_調査結果'!$AT$5:$AT$404,0),"")</f>
        <v/>
      </c>
    </row>
    <row r="259">
      <c r="A259">
        <f>IF($AG259="","",'01_設定'!$C$4)</f>
        <v/>
      </c>
      <c r="B259">
        <f>IF($AG259="","",'01_設定'!$C$5)</f>
        <v/>
      </c>
      <c r="C259">
        <f>IF($AG259="","",'01_設定'!$C$6)</f>
        <v/>
      </c>
      <c r="D259" s="36">
        <f>IF($AG259="","",'01_設定'!$C$22)</f>
        <v/>
      </c>
      <c r="E259" s="36">
        <f>IF($AG259="","",'01_設定'!$C$23)</f>
        <v/>
      </c>
      <c r="F259">
        <f>IF($AG259="","",'01_設定'!$C$32)</f>
        <v/>
      </c>
      <c r="G259">
        <f>IF($AG259="","",ROW()-4)</f>
        <v/>
      </c>
      <c r="H259">
        <f>IF($AG259="","",INDEX('04_調査結果'!$AJ$5:$AJ$404,$AG259))</f>
        <v/>
      </c>
      <c r="I259">
        <f>IF($AG259="","",INDEX('04_調査結果'!$D$5:$D$404,$AG259)&amp;"")</f>
        <v/>
      </c>
      <c r="J259">
        <f>IF($AG259="","",INDEX('04_調査結果'!$AK$5:$AK$404,$AG259)&amp;"")</f>
        <v/>
      </c>
      <c r="K259">
        <f>IF($AG259="","",IFERROR(INDEX('M1_類型マスタ'!$B$5:$B$19,MATCH(J259,'M1_類型マスタ'!$A$5:$A$19,0)),""))</f>
        <v/>
      </c>
      <c r="L259">
        <f>IF($AG259="","",INDEX('04_調査結果'!$F$5:$F$404,$AG259)&amp;"")</f>
        <v/>
      </c>
      <c r="M259">
        <f>IF($AG259="","",INDEX('04_調査結果'!$G$5:$G$404,$AG259)&amp;"")</f>
        <v/>
      </c>
      <c r="N259">
        <f>IF($AG259="","",INDEX('04_調査結果'!$H$5:$H$404,$AG259)&amp;"")</f>
        <v/>
      </c>
      <c r="O259" s="33">
        <f>IF($AG259="","",IF(INDEX('04_調査結果'!$Z$5:$Z$404,$AG259)&lt;&gt;"",INDEX('04_調査結果'!$Z$5:$Z$404,$AG259),INDEX('04_調査結果'!$AM$5:$AM$404,$AG259)))</f>
        <v/>
      </c>
      <c r="P259" s="33">
        <f>IF($AG259="","",IF(INDEX('04_調査結果'!$AA$5:$AA$404,$AG259)&lt;&gt;"",INDEX('04_調査結果'!$AA$5:$AA$404,$AG259),INDEX('04_調査結果'!$AN$5:$AN$404,$AG259)))</f>
        <v/>
      </c>
      <c r="Q259" s="33">
        <f>IF($AG259="","",INDEX('04_調査結果'!$AD$5:$AD$404,$AG259))</f>
        <v/>
      </c>
      <c r="R259">
        <f>IF($AG259="","",INDEX('04_調査結果'!$AO$5:$AO$404,$AG259))</f>
        <v/>
      </c>
      <c r="S259" s="37">
        <f>IF($AG259="","",INDEX('04_調査結果'!$AQ$5:$AQ$404,$AG259))</f>
        <v/>
      </c>
      <c r="T259" s="37">
        <f>IF($AG259="","",INDEX('04_調査結果'!$AR$5:$AR$404,$AG259))</f>
        <v/>
      </c>
      <c r="U259">
        <f>IF($AG259="","",INDEX('04_調査結果'!$N$5:$N$404,$AG259)&amp;"")</f>
        <v/>
      </c>
      <c r="V259">
        <f>IF($AG259="","",INDEX('04_調査結果'!$O$5:$O$404,$AG259))</f>
        <v/>
      </c>
      <c r="W259">
        <f>IF($AG259="","",INDEX('04_調査結果'!$P$5:$P$404,$AG259))</f>
        <v/>
      </c>
      <c r="X259">
        <f>IF($AG259="","",INDEX('04_調査結果'!$Q$5:$Q$404,$AG259))</f>
        <v/>
      </c>
      <c r="Y259">
        <f>IF($AG259="","",INDEX('04_調査結果'!$R$5:$R$404,$AG259))</f>
        <v/>
      </c>
      <c r="Z259">
        <f>IF($AG259="","",INDEX('04_調査結果'!$S$5:$S$404,$AG259))</f>
        <v/>
      </c>
      <c r="AA259">
        <f>IF($AG259="","",INDEX('04_調査結果'!$T$5:$T$404,$AG259))</f>
        <v/>
      </c>
      <c r="AB259">
        <f>IF($AG259="","",INDEX('04_調査結果'!$U$5:$U$404,$AG259))</f>
        <v/>
      </c>
      <c r="AC259">
        <f>IF($AG259="","",INDEX('04_調査結果'!$AF$5:$AF$404,$AG259))</f>
        <v/>
      </c>
      <c r="AD259">
        <f>IF($AG259="","",INDEX('04_調査結果'!$AC$5:$AC$404,$AG259)&amp;"")</f>
        <v/>
      </c>
      <c r="AE259">
        <f>IF($AG259="","",INDEX('04_調査結果'!$V$5:$V$404,$AG259)&amp;"")</f>
        <v/>
      </c>
      <c r="AF259">
        <f>IF($AG259="","",INDEX('04_調査結果'!$X$5:$X$404,$AG259)&amp;"")</f>
        <v/>
      </c>
      <c r="AG259" s="34">
        <f>IFERROR(MATCH(ROW()-4,'04_調査結果'!$AT$5:$AT$404,0),"")</f>
        <v/>
      </c>
    </row>
    <row r="260">
      <c r="A260">
        <f>IF($AG260="","",'01_設定'!$C$4)</f>
        <v/>
      </c>
      <c r="B260">
        <f>IF($AG260="","",'01_設定'!$C$5)</f>
        <v/>
      </c>
      <c r="C260">
        <f>IF($AG260="","",'01_設定'!$C$6)</f>
        <v/>
      </c>
      <c r="D260" s="36">
        <f>IF($AG260="","",'01_設定'!$C$22)</f>
        <v/>
      </c>
      <c r="E260" s="36">
        <f>IF($AG260="","",'01_設定'!$C$23)</f>
        <v/>
      </c>
      <c r="F260">
        <f>IF($AG260="","",'01_設定'!$C$32)</f>
        <v/>
      </c>
      <c r="G260">
        <f>IF($AG260="","",ROW()-4)</f>
        <v/>
      </c>
      <c r="H260">
        <f>IF($AG260="","",INDEX('04_調査結果'!$AJ$5:$AJ$404,$AG260))</f>
        <v/>
      </c>
      <c r="I260">
        <f>IF($AG260="","",INDEX('04_調査結果'!$D$5:$D$404,$AG260)&amp;"")</f>
        <v/>
      </c>
      <c r="J260">
        <f>IF($AG260="","",INDEX('04_調査結果'!$AK$5:$AK$404,$AG260)&amp;"")</f>
        <v/>
      </c>
      <c r="K260">
        <f>IF($AG260="","",IFERROR(INDEX('M1_類型マスタ'!$B$5:$B$19,MATCH(J260,'M1_類型マスタ'!$A$5:$A$19,0)),""))</f>
        <v/>
      </c>
      <c r="L260">
        <f>IF($AG260="","",INDEX('04_調査結果'!$F$5:$F$404,$AG260)&amp;"")</f>
        <v/>
      </c>
      <c r="M260">
        <f>IF($AG260="","",INDEX('04_調査結果'!$G$5:$G$404,$AG260)&amp;"")</f>
        <v/>
      </c>
      <c r="N260">
        <f>IF($AG260="","",INDEX('04_調査結果'!$H$5:$H$404,$AG260)&amp;"")</f>
        <v/>
      </c>
      <c r="O260" s="33">
        <f>IF($AG260="","",IF(INDEX('04_調査結果'!$Z$5:$Z$404,$AG260)&lt;&gt;"",INDEX('04_調査結果'!$Z$5:$Z$404,$AG260),INDEX('04_調査結果'!$AM$5:$AM$404,$AG260)))</f>
        <v/>
      </c>
      <c r="P260" s="33">
        <f>IF($AG260="","",IF(INDEX('04_調査結果'!$AA$5:$AA$404,$AG260)&lt;&gt;"",INDEX('04_調査結果'!$AA$5:$AA$404,$AG260),INDEX('04_調査結果'!$AN$5:$AN$404,$AG260)))</f>
        <v/>
      </c>
      <c r="Q260" s="33">
        <f>IF($AG260="","",INDEX('04_調査結果'!$AD$5:$AD$404,$AG260))</f>
        <v/>
      </c>
      <c r="R260">
        <f>IF($AG260="","",INDEX('04_調査結果'!$AO$5:$AO$404,$AG260))</f>
        <v/>
      </c>
      <c r="S260" s="37">
        <f>IF($AG260="","",INDEX('04_調査結果'!$AQ$5:$AQ$404,$AG260))</f>
        <v/>
      </c>
      <c r="T260" s="37">
        <f>IF($AG260="","",INDEX('04_調査結果'!$AR$5:$AR$404,$AG260))</f>
        <v/>
      </c>
      <c r="U260">
        <f>IF($AG260="","",INDEX('04_調査結果'!$N$5:$N$404,$AG260)&amp;"")</f>
        <v/>
      </c>
      <c r="V260">
        <f>IF($AG260="","",INDEX('04_調査結果'!$O$5:$O$404,$AG260))</f>
        <v/>
      </c>
      <c r="W260">
        <f>IF($AG260="","",INDEX('04_調査結果'!$P$5:$P$404,$AG260))</f>
        <v/>
      </c>
      <c r="X260">
        <f>IF($AG260="","",INDEX('04_調査結果'!$Q$5:$Q$404,$AG260))</f>
        <v/>
      </c>
      <c r="Y260">
        <f>IF($AG260="","",INDEX('04_調査結果'!$R$5:$R$404,$AG260))</f>
        <v/>
      </c>
      <c r="Z260">
        <f>IF($AG260="","",INDEX('04_調査結果'!$S$5:$S$404,$AG260))</f>
        <v/>
      </c>
      <c r="AA260">
        <f>IF($AG260="","",INDEX('04_調査結果'!$T$5:$T$404,$AG260))</f>
        <v/>
      </c>
      <c r="AB260">
        <f>IF($AG260="","",INDEX('04_調査結果'!$U$5:$U$404,$AG260))</f>
        <v/>
      </c>
      <c r="AC260">
        <f>IF($AG260="","",INDEX('04_調査結果'!$AF$5:$AF$404,$AG260))</f>
        <v/>
      </c>
      <c r="AD260">
        <f>IF($AG260="","",INDEX('04_調査結果'!$AC$5:$AC$404,$AG260)&amp;"")</f>
        <v/>
      </c>
      <c r="AE260">
        <f>IF($AG260="","",INDEX('04_調査結果'!$V$5:$V$404,$AG260)&amp;"")</f>
        <v/>
      </c>
      <c r="AF260">
        <f>IF($AG260="","",INDEX('04_調査結果'!$X$5:$X$404,$AG260)&amp;"")</f>
        <v/>
      </c>
      <c r="AG260" s="34">
        <f>IFERROR(MATCH(ROW()-4,'04_調査結果'!$AT$5:$AT$404,0),"")</f>
        <v/>
      </c>
    </row>
    <row r="261">
      <c r="A261">
        <f>IF($AG261="","",'01_設定'!$C$4)</f>
        <v/>
      </c>
      <c r="B261">
        <f>IF($AG261="","",'01_設定'!$C$5)</f>
        <v/>
      </c>
      <c r="C261">
        <f>IF($AG261="","",'01_設定'!$C$6)</f>
        <v/>
      </c>
      <c r="D261" s="36">
        <f>IF($AG261="","",'01_設定'!$C$22)</f>
        <v/>
      </c>
      <c r="E261" s="36">
        <f>IF($AG261="","",'01_設定'!$C$23)</f>
        <v/>
      </c>
      <c r="F261">
        <f>IF($AG261="","",'01_設定'!$C$32)</f>
        <v/>
      </c>
      <c r="G261">
        <f>IF($AG261="","",ROW()-4)</f>
        <v/>
      </c>
      <c r="H261">
        <f>IF($AG261="","",INDEX('04_調査結果'!$AJ$5:$AJ$404,$AG261))</f>
        <v/>
      </c>
      <c r="I261">
        <f>IF($AG261="","",INDEX('04_調査結果'!$D$5:$D$404,$AG261)&amp;"")</f>
        <v/>
      </c>
      <c r="J261">
        <f>IF($AG261="","",INDEX('04_調査結果'!$AK$5:$AK$404,$AG261)&amp;"")</f>
        <v/>
      </c>
      <c r="K261">
        <f>IF($AG261="","",IFERROR(INDEX('M1_類型マスタ'!$B$5:$B$19,MATCH(J261,'M1_類型マスタ'!$A$5:$A$19,0)),""))</f>
        <v/>
      </c>
      <c r="L261">
        <f>IF($AG261="","",INDEX('04_調査結果'!$F$5:$F$404,$AG261)&amp;"")</f>
        <v/>
      </c>
      <c r="M261">
        <f>IF($AG261="","",INDEX('04_調査結果'!$G$5:$G$404,$AG261)&amp;"")</f>
        <v/>
      </c>
      <c r="N261">
        <f>IF($AG261="","",INDEX('04_調査結果'!$H$5:$H$404,$AG261)&amp;"")</f>
        <v/>
      </c>
      <c r="O261" s="33">
        <f>IF($AG261="","",IF(INDEX('04_調査結果'!$Z$5:$Z$404,$AG261)&lt;&gt;"",INDEX('04_調査結果'!$Z$5:$Z$404,$AG261),INDEX('04_調査結果'!$AM$5:$AM$404,$AG261)))</f>
        <v/>
      </c>
      <c r="P261" s="33">
        <f>IF($AG261="","",IF(INDEX('04_調査結果'!$AA$5:$AA$404,$AG261)&lt;&gt;"",INDEX('04_調査結果'!$AA$5:$AA$404,$AG261),INDEX('04_調査結果'!$AN$5:$AN$404,$AG261)))</f>
        <v/>
      </c>
      <c r="Q261" s="33">
        <f>IF($AG261="","",INDEX('04_調査結果'!$AD$5:$AD$404,$AG261))</f>
        <v/>
      </c>
      <c r="R261">
        <f>IF($AG261="","",INDEX('04_調査結果'!$AO$5:$AO$404,$AG261))</f>
        <v/>
      </c>
      <c r="S261" s="37">
        <f>IF($AG261="","",INDEX('04_調査結果'!$AQ$5:$AQ$404,$AG261))</f>
        <v/>
      </c>
      <c r="T261" s="37">
        <f>IF($AG261="","",INDEX('04_調査結果'!$AR$5:$AR$404,$AG261))</f>
        <v/>
      </c>
      <c r="U261">
        <f>IF($AG261="","",INDEX('04_調査結果'!$N$5:$N$404,$AG261)&amp;"")</f>
        <v/>
      </c>
      <c r="V261">
        <f>IF($AG261="","",INDEX('04_調査結果'!$O$5:$O$404,$AG261))</f>
        <v/>
      </c>
      <c r="W261">
        <f>IF($AG261="","",INDEX('04_調査結果'!$P$5:$P$404,$AG261))</f>
        <v/>
      </c>
      <c r="X261">
        <f>IF($AG261="","",INDEX('04_調査結果'!$Q$5:$Q$404,$AG261))</f>
        <v/>
      </c>
      <c r="Y261">
        <f>IF($AG261="","",INDEX('04_調査結果'!$R$5:$R$404,$AG261))</f>
        <v/>
      </c>
      <c r="Z261">
        <f>IF($AG261="","",INDEX('04_調査結果'!$S$5:$S$404,$AG261))</f>
        <v/>
      </c>
      <c r="AA261">
        <f>IF($AG261="","",INDEX('04_調査結果'!$T$5:$T$404,$AG261))</f>
        <v/>
      </c>
      <c r="AB261">
        <f>IF($AG261="","",INDEX('04_調査結果'!$U$5:$U$404,$AG261))</f>
        <v/>
      </c>
      <c r="AC261">
        <f>IF($AG261="","",INDEX('04_調査結果'!$AF$5:$AF$404,$AG261))</f>
        <v/>
      </c>
      <c r="AD261">
        <f>IF($AG261="","",INDEX('04_調査結果'!$AC$5:$AC$404,$AG261)&amp;"")</f>
        <v/>
      </c>
      <c r="AE261">
        <f>IF($AG261="","",INDEX('04_調査結果'!$V$5:$V$404,$AG261)&amp;"")</f>
        <v/>
      </c>
      <c r="AF261">
        <f>IF($AG261="","",INDEX('04_調査結果'!$X$5:$X$404,$AG261)&amp;"")</f>
        <v/>
      </c>
      <c r="AG261" s="34">
        <f>IFERROR(MATCH(ROW()-4,'04_調査結果'!$AT$5:$AT$404,0),"")</f>
        <v/>
      </c>
    </row>
    <row r="262">
      <c r="A262">
        <f>IF($AG262="","",'01_設定'!$C$4)</f>
        <v/>
      </c>
      <c r="B262">
        <f>IF($AG262="","",'01_設定'!$C$5)</f>
        <v/>
      </c>
      <c r="C262">
        <f>IF($AG262="","",'01_設定'!$C$6)</f>
        <v/>
      </c>
      <c r="D262" s="36">
        <f>IF($AG262="","",'01_設定'!$C$22)</f>
        <v/>
      </c>
      <c r="E262" s="36">
        <f>IF($AG262="","",'01_設定'!$C$23)</f>
        <v/>
      </c>
      <c r="F262">
        <f>IF($AG262="","",'01_設定'!$C$32)</f>
        <v/>
      </c>
      <c r="G262">
        <f>IF($AG262="","",ROW()-4)</f>
        <v/>
      </c>
      <c r="H262">
        <f>IF($AG262="","",INDEX('04_調査結果'!$AJ$5:$AJ$404,$AG262))</f>
        <v/>
      </c>
      <c r="I262">
        <f>IF($AG262="","",INDEX('04_調査結果'!$D$5:$D$404,$AG262)&amp;"")</f>
        <v/>
      </c>
      <c r="J262">
        <f>IF($AG262="","",INDEX('04_調査結果'!$AK$5:$AK$404,$AG262)&amp;"")</f>
        <v/>
      </c>
      <c r="K262">
        <f>IF($AG262="","",IFERROR(INDEX('M1_類型マスタ'!$B$5:$B$19,MATCH(J262,'M1_類型マスタ'!$A$5:$A$19,0)),""))</f>
        <v/>
      </c>
      <c r="L262">
        <f>IF($AG262="","",INDEX('04_調査結果'!$F$5:$F$404,$AG262)&amp;"")</f>
        <v/>
      </c>
      <c r="M262">
        <f>IF($AG262="","",INDEX('04_調査結果'!$G$5:$G$404,$AG262)&amp;"")</f>
        <v/>
      </c>
      <c r="N262">
        <f>IF($AG262="","",INDEX('04_調査結果'!$H$5:$H$404,$AG262)&amp;"")</f>
        <v/>
      </c>
      <c r="O262" s="33">
        <f>IF($AG262="","",IF(INDEX('04_調査結果'!$Z$5:$Z$404,$AG262)&lt;&gt;"",INDEX('04_調査結果'!$Z$5:$Z$404,$AG262),INDEX('04_調査結果'!$AM$5:$AM$404,$AG262)))</f>
        <v/>
      </c>
      <c r="P262" s="33">
        <f>IF($AG262="","",IF(INDEX('04_調査結果'!$AA$5:$AA$404,$AG262)&lt;&gt;"",INDEX('04_調査結果'!$AA$5:$AA$404,$AG262),INDEX('04_調査結果'!$AN$5:$AN$404,$AG262)))</f>
        <v/>
      </c>
      <c r="Q262" s="33">
        <f>IF($AG262="","",INDEX('04_調査結果'!$AD$5:$AD$404,$AG262))</f>
        <v/>
      </c>
      <c r="R262">
        <f>IF($AG262="","",INDEX('04_調査結果'!$AO$5:$AO$404,$AG262))</f>
        <v/>
      </c>
      <c r="S262" s="37">
        <f>IF($AG262="","",INDEX('04_調査結果'!$AQ$5:$AQ$404,$AG262))</f>
        <v/>
      </c>
      <c r="T262" s="37">
        <f>IF($AG262="","",INDEX('04_調査結果'!$AR$5:$AR$404,$AG262))</f>
        <v/>
      </c>
      <c r="U262">
        <f>IF($AG262="","",INDEX('04_調査結果'!$N$5:$N$404,$AG262)&amp;"")</f>
        <v/>
      </c>
      <c r="V262">
        <f>IF($AG262="","",INDEX('04_調査結果'!$O$5:$O$404,$AG262))</f>
        <v/>
      </c>
      <c r="W262">
        <f>IF($AG262="","",INDEX('04_調査結果'!$P$5:$P$404,$AG262))</f>
        <v/>
      </c>
      <c r="X262">
        <f>IF($AG262="","",INDEX('04_調査結果'!$Q$5:$Q$404,$AG262))</f>
        <v/>
      </c>
      <c r="Y262">
        <f>IF($AG262="","",INDEX('04_調査結果'!$R$5:$R$404,$AG262))</f>
        <v/>
      </c>
      <c r="Z262">
        <f>IF($AG262="","",INDEX('04_調査結果'!$S$5:$S$404,$AG262))</f>
        <v/>
      </c>
      <c r="AA262">
        <f>IF($AG262="","",INDEX('04_調査結果'!$T$5:$T$404,$AG262))</f>
        <v/>
      </c>
      <c r="AB262">
        <f>IF($AG262="","",INDEX('04_調査結果'!$U$5:$U$404,$AG262))</f>
        <v/>
      </c>
      <c r="AC262">
        <f>IF($AG262="","",INDEX('04_調査結果'!$AF$5:$AF$404,$AG262))</f>
        <v/>
      </c>
      <c r="AD262">
        <f>IF($AG262="","",INDEX('04_調査結果'!$AC$5:$AC$404,$AG262)&amp;"")</f>
        <v/>
      </c>
      <c r="AE262">
        <f>IF($AG262="","",INDEX('04_調査結果'!$V$5:$V$404,$AG262)&amp;"")</f>
        <v/>
      </c>
      <c r="AF262">
        <f>IF($AG262="","",INDEX('04_調査結果'!$X$5:$X$404,$AG262)&amp;"")</f>
        <v/>
      </c>
      <c r="AG262" s="34">
        <f>IFERROR(MATCH(ROW()-4,'04_調査結果'!$AT$5:$AT$404,0),"")</f>
        <v/>
      </c>
    </row>
    <row r="263">
      <c r="A263">
        <f>IF($AG263="","",'01_設定'!$C$4)</f>
        <v/>
      </c>
      <c r="B263">
        <f>IF($AG263="","",'01_設定'!$C$5)</f>
        <v/>
      </c>
      <c r="C263">
        <f>IF($AG263="","",'01_設定'!$C$6)</f>
        <v/>
      </c>
      <c r="D263" s="36">
        <f>IF($AG263="","",'01_設定'!$C$22)</f>
        <v/>
      </c>
      <c r="E263" s="36">
        <f>IF($AG263="","",'01_設定'!$C$23)</f>
        <v/>
      </c>
      <c r="F263">
        <f>IF($AG263="","",'01_設定'!$C$32)</f>
        <v/>
      </c>
      <c r="G263">
        <f>IF($AG263="","",ROW()-4)</f>
        <v/>
      </c>
      <c r="H263">
        <f>IF($AG263="","",INDEX('04_調査結果'!$AJ$5:$AJ$404,$AG263))</f>
        <v/>
      </c>
      <c r="I263">
        <f>IF($AG263="","",INDEX('04_調査結果'!$D$5:$D$404,$AG263)&amp;"")</f>
        <v/>
      </c>
      <c r="J263">
        <f>IF($AG263="","",INDEX('04_調査結果'!$AK$5:$AK$404,$AG263)&amp;"")</f>
        <v/>
      </c>
      <c r="K263">
        <f>IF($AG263="","",IFERROR(INDEX('M1_類型マスタ'!$B$5:$B$19,MATCH(J263,'M1_類型マスタ'!$A$5:$A$19,0)),""))</f>
        <v/>
      </c>
      <c r="L263">
        <f>IF($AG263="","",INDEX('04_調査結果'!$F$5:$F$404,$AG263)&amp;"")</f>
        <v/>
      </c>
      <c r="M263">
        <f>IF($AG263="","",INDEX('04_調査結果'!$G$5:$G$404,$AG263)&amp;"")</f>
        <v/>
      </c>
      <c r="N263">
        <f>IF($AG263="","",INDEX('04_調査結果'!$H$5:$H$404,$AG263)&amp;"")</f>
        <v/>
      </c>
      <c r="O263" s="33">
        <f>IF($AG263="","",IF(INDEX('04_調査結果'!$Z$5:$Z$404,$AG263)&lt;&gt;"",INDEX('04_調査結果'!$Z$5:$Z$404,$AG263),INDEX('04_調査結果'!$AM$5:$AM$404,$AG263)))</f>
        <v/>
      </c>
      <c r="P263" s="33">
        <f>IF($AG263="","",IF(INDEX('04_調査結果'!$AA$5:$AA$404,$AG263)&lt;&gt;"",INDEX('04_調査結果'!$AA$5:$AA$404,$AG263),INDEX('04_調査結果'!$AN$5:$AN$404,$AG263)))</f>
        <v/>
      </c>
      <c r="Q263" s="33">
        <f>IF($AG263="","",INDEX('04_調査結果'!$AD$5:$AD$404,$AG263))</f>
        <v/>
      </c>
      <c r="R263">
        <f>IF($AG263="","",INDEX('04_調査結果'!$AO$5:$AO$404,$AG263))</f>
        <v/>
      </c>
      <c r="S263" s="37">
        <f>IF($AG263="","",INDEX('04_調査結果'!$AQ$5:$AQ$404,$AG263))</f>
        <v/>
      </c>
      <c r="T263" s="37">
        <f>IF($AG263="","",INDEX('04_調査結果'!$AR$5:$AR$404,$AG263))</f>
        <v/>
      </c>
      <c r="U263">
        <f>IF($AG263="","",INDEX('04_調査結果'!$N$5:$N$404,$AG263)&amp;"")</f>
        <v/>
      </c>
      <c r="V263">
        <f>IF($AG263="","",INDEX('04_調査結果'!$O$5:$O$404,$AG263))</f>
        <v/>
      </c>
      <c r="W263">
        <f>IF($AG263="","",INDEX('04_調査結果'!$P$5:$P$404,$AG263))</f>
        <v/>
      </c>
      <c r="X263">
        <f>IF($AG263="","",INDEX('04_調査結果'!$Q$5:$Q$404,$AG263))</f>
        <v/>
      </c>
      <c r="Y263">
        <f>IF($AG263="","",INDEX('04_調査結果'!$R$5:$R$404,$AG263))</f>
        <v/>
      </c>
      <c r="Z263">
        <f>IF($AG263="","",INDEX('04_調査結果'!$S$5:$S$404,$AG263))</f>
        <v/>
      </c>
      <c r="AA263">
        <f>IF($AG263="","",INDEX('04_調査結果'!$T$5:$T$404,$AG263))</f>
        <v/>
      </c>
      <c r="AB263">
        <f>IF($AG263="","",INDEX('04_調査結果'!$U$5:$U$404,$AG263))</f>
        <v/>
      </c>
      <c r="AC263">
        <f>IF($AG263="","",INDEX('04_調査結果'!$AF$5:$AF$404,$AG263))</f>
        <v/>
      </c>
      <c r="AD263">
        <f>IF($AG263="","",INDEX('04_調査結果'!$AC$5:$AC$404,$AG263)&amp;"")</f>
        <v/>
      </c>
      <c r="AE263">
        <f>IF($AG263="","",INDEX('04_調査結果'!$V$5:$V$404,$AG263)&amp;"")</f>
        <v/>
      </c>
      <c r="AF263">
        <f>IF($AG263="","",INDEX('04_調査結果'!$X$5:$X$404,$AG263)&amp;"")</f>
        <v/>
      </c>
      <c r="AG263" s="34">
        <f>IFERROR(MATCH(ROW()-4,'04_調査結果'!$AT$5:$AT$404,0),"")</f>
        <v/>
      </c>
    </row>
    <row r="264">
      <c r="A264">
        <f>IF($AG264="","",'01_設定'!$C$4)</f>
        <v/>
      </c>
      <c r="B264">
        <f>IF($AG264="","",'01_設定'!$C$5)</f>
        <v/>
      </c>
      <c r="C264">
        <f>IF($AG264="","",'01_設定'!$C$6)</f>
        <v/>
      </c>
      <c r="D264" s="36">
        <f>IF($AG264="","",'01_設定'!$C$22)</f>
        <v/>
      </c>
      <c r="E264" s="36">
        <f>IF($AG264="","",'01_設定'!$C$23)</f>
        <v/>
      </c>
      <c r="F264">
        <f>IF($AG264="","",'01_設定'!$C$32)</f>
        <v/>
      </c>
      <c r="G264">
        <f>IF($AG264="","",ROW()-4)</f>
        <v/>
      </c>
      <c r="H264">
        <f>IF($AG264="","",INDEX('04_調査結果'!$AJ$5:$AJ$404,$AG264))</f>
        <v/>
      </c>
      <c r="I264">
        <f>IF($AG264="","",INDEX('04_調査結果'!$D$5:$D$404,$AG264)&amp;"")</f>
        <v/>
      </c>
      <c r="J264">
        <f>IF($AG264="","",INDEX('04_調査結果'!$AK$5:$AK$404,$AG264)&amp;"")</f>
        <v/>
      </c>
      <c r="K264">
        <f>IF($AG264="","",IFERROR(INDEX('M1_類型マスタ'!$B$5:$B$19,MATCH(J264,'M1_類型マスタ'!$A$5:$A$19,0)),""))</f>
        <v/>
      </c>
      <c r="L264">
        <f>IF($AG264="","",INDEX('04_調査結果'!$F$5:$F$404,$AG264)&amp;"")</f>
        <v/>
      </c>
      <c r="M264">
        <f>IF($AG264="","",INDEX('04_調査結果'!$G$5:$G$404,$AG264)&amp;"")</f>
        <v/>
      </c>
      <c r="N264">
        <f>IF($AG264="","",INDEX('04_調査結果'!$H$5:$H$404,$AG264)&amp;"")</f>
        <v/>
      </c>
      <c r="O264" s="33">
        <f>IF($AG264="","",IF(INDEX('04_調査結果'!$Z$5:$Z$404,$AG264)&lt;&gt;"",INDEX('04_調査結果'!$Z$5:$Z$404,$AG264),INDEX('04_調査結果'!$AM$5:$AM$404,$AG264)))</f>
        <v/>
      </c>
      <c r="P264" s="33">
        <f>IF($AG264="","",IF(INDEX('04_調査結果'!$AA$5:$AA$404,$AG264)&lt;&gt;"",INDEX('04_調査結果'!$AA$5:$AA$404,$AG264),INDEX('04_調査結果'!$AN$5:$AN$404,$AG264)))</f>
        <v/>
      </c>
      <c r="Q264" s="33">
        <f>IF($AG264="","",INDEX('04_調査結果'!$AD$5:$AD$404,$AG264))</f>
        <v/>
      </c>
      <c r="R264">
        <f>IF($AG264="","",INDEX('04_調査結果'!$AO$5:$AO$404,$AG264))</f>
        <v/>
      </c>
      <c r="S264" s="37">
        <f>IF($AG264="","",INDEX('04_調査結果'!$AQ$5:$AQ$404,$AG264))</f>
        <v/>
      </c>
      <c r="T264" s="37">
        <f>IF($AG264="","",INDEX('04_調査結果'!$AR$5:$AR$404,$AG264))</f>
        <v/>
      </c>
      <c r="U264">
        <f>IF($AG264="","",INDEX('04_調査結果'!$N$5:$N$404,$AG264)&amp;"")</f>
        <v/>
      </c>
      <c r="V264">
        <f>IF($AG264="","",INDEX('04_調査結果'!$O$5:$O$404,$AG264))</f>
        <v/>
      </c>
      <c r="W264">
        <f>IF($AG264="","",INDEX('04_調査結果'!$P$5:$P$404,$AG264))</f>
        <v/>
      </c>
      <c r="X264">
        <f>IF($AG264="","",INDEX('04_調査結果'!$Q$5:$Q$404,$AG264))</f>
        <v/>
      </c>
      <c r="Y264">
        <f>IF($AG264="","",INDEX('04_調査結果'!$R$5:$R$404,$AG264))</f>
        <v/>
      </c>
      <c r="Z264">
        <f>IF($AG264="","",INDEX('04_調査結果'!$S$5:$S$404,$AG264))</f>
        <v/>
      </c>
      <c r="AA264">
        <f>IF($AG264="","",INDEX('04_調査結果'!$T$5:$T$404,$AG264))</f>
        <v/>
      </c>
      <c r="AB264">
        <f>IF($AG264="","",INDEX('04_調査結果'!$U$5:$U$404,$AG264))</f>
        <v/>
      </c>
      <c r="AC264">
        <f>IF($AG264="","",INDEX('04_調査結果'!$AF$5:$AF$404,$AG264))</f>
        <v/>
      </c>
      <c r="AD264">
        <f>IF($AG264="","",INDEX('04_調査結果'!$AC$5:$AC$404,$AG264)&amp;"")</f>
        <v/>
      </c>
      <c r="AE264">
        <f>IF($AG264="","",INDEX('04_調査結果'!$V$5:$V$404,$AG264)&amp;"")</f>
        <v/>
      </c>
      <c r="AF264">
        <f>IF($AG264="","",INDEX('04_調査結果'!$X$5:$X$404,$AG264)&amp;"")</f>
        <v/>
      </c>
      <c r="AG264" s="34">
        <f>IFERROR(MATCH(ROW()-4,'04_調査結果'!$AT$5:$AT$404,0),"")</f>
        <v/>
      </c>
    </row>
    <row r="265">
      <c r="A265">
        <f>IF($AG265="","",'01_設定'!$C$4)</f>
        <v/>
      </c>
      <c r="B265">
        <f>IF($AG265="","",'01_設定'!$C$5)</f>
        <v/>
      </c>
      <c r="C265">
        <f>IF($AG265="","",'01_設定'!$C$6)</f>
        <v/>
      </c>
      <c r="D265" s="36">
        <f>IF($AG265="","",'01_設定'!$C$22)</f>
        <v/>
      </c>
      <c r="E265" s="36">
        <f>IF($AG265="","",'01_設定'!$C$23)</f>
        <v/>
      </c>
      <c r="F265">
        <f>IF($AG265="","",'01_設定'!$C$32)</f>
        <v/>
      </c>
      <c r="G265">
        <f>IF($AG265="","",ROW()-4)</f>
        <v/>
      </c>
      <c r="H265">
        <f>IF($AG265="","",INDEX('04_調査結果'!$AJ$5:$AJ$404,$AG265))</f>
        <v/>
      </c>
      <c r="I265">
        <f>IF($AG265="","",INDEX('04_調査結果'!$D$5:$D$404,$AG265)&amp;"")</f>
        <v/>
      </c>
      <c r="J265">
        <f>IF($AG265="","",INDEX('04_調査結果'!$AK$5:$AK$404,$AG265)&amp;"")</f>
        <v/>
      </c>
      <c r="K265">
        <f>IF($AG265="","",IFERROR(INDEX('M1_類型マスタ'!$B$5:$B$19,MATCH(J265,'M1_類型マスタ'!$A$5:$A$19,0)),""))</f>
        <v/>
      </c>
      <c r="L265">
        <f>IF($AG265="","",INDEX('04_調査結果'!$F$5:$F$404,$AG265)&amp;"")</f>
        <v/>
      </c>
      <c r="M265">
        <f>IF($AG265="","",INDEX('04_調査結果'!$G$5:$G$404,$AG265)&amp;"")</f>
        <v/>
      </c>
      <c r="N265">
        <f>IF($AG265="","",INDEX('04_調査結果'!$H$5:$H$404,$AG265)&amp;"")</f>
        <v/>
      </c>
      <c r="O265" s="33">
        <f>IF($AG265="","",IF(INDEX('04_調査結果'!$Z$5:$Z$404,$AG265)&lt;&gt;"",INDEX('04_調査結果'!$Z$5:$Z$404,$AG265),INDEX('04_調査結果'!$AM$5:$AM$404,$AG265)))</f>
        <v/>
      </c>
      <c r="P265" s="33">
        <f>IF($AG265="","",IF(INDEX('04_調査結果'!$AA$5:$AA$404,$AG265)&lt;&gt;"",INDEX('04_調査結果'!$AA$5:$AA$404,$AG265),INDEX('04_調査結果'!$AN$5:$AN$404,$AG265)))</f>
        <v/>
      </c>
      <c r="Q265" s="33">
        <f>IF($AG265="","",INDEX('04_調査結果'!$AD$5:$AD$404,$AG265))</f>
        <v/>
      </c>
      <c r="R265">
        <f>IF($AG265="","",INDEX('04_調査結果'!$AO$5:$AO$404,$AG265))</f>
        <v/>
      </c>
      <c r="S265" s="37">
        <f>IF($AG265="","",INDEX('04_調査結果'!$AQ$5:$AQ$404,$AG265))</f>
        <v/>
      </c>
      <c r="T265" s="37">
        <f>IF($AG265="","",INDEX('04_調査結果'!$AR$5:$AR$404,$AG265))</f>
        <v/>
      </c>
      <c r="U265">
        <f>IF($AG265="","",INDEX('04_調査結果'!$N$5:$N$404,$AG265)&amp;"")</f>
        <v/>
      </c>
      <c r="V265">
        <f>IF($AG265="","",INDEX('04_調査結果'!$O$5:$O$404,$AG265))</f>
        <v/>
      </c>
      <c r="W265">
        <f>IF($AG265="","",INDEX('04_調査結果'!$P$5:$P$404,$AG265))</f>
        <v/>
      </c>
      <c r="X265">
        <f>IF($AG265="","",INDEX('04_調査結果'!$Q$5:$Q$404,$AG265))</f>
        <v/>
      </c>
      <c r="Y265">
        <f>IF($AG265="","",INDEX('04_調査結果'!$R$5:$R$404,$AG265))</f>
        <v/>
      </c>
      <c r="Z265">
        <f>IF($AG265="","",INDEX('04_調査結果'!$S$5:$S$404,$AG265))</f>
        <v/>
      </c>
      <c r="AA265">
        <f>IF($AG265="","",INDEX('04_調査結果'!$T$5:$T$404,$AG265))</f>
        <v/>
      </c>
      <c r="AB265">
        <f>IF($AG265="","",INDEX('04_調査結果'!$U$5:$U$404,$AG265))</f>
        <v/>
      </c>
      <c r="AC265">
        <f>IF($AG265="","",INDEX('04_調査結果'!$AF$5:$AF$404,$AG265))</f>
        <v/>
      </c>
      <c r="AD265">
        <f>IF($AG265="","",INDEX('04_調査結果'!$AC$5:$AC$404,$AG265)&amp;"")</f>
        <v/>
      </c>
      <c r="AE265">
        <f>IF($AG265="","",INDEX('04_調査結果'!$V$5:$V$404,$AG265)&amp;"")</f>
        <v/>
      </c>
      <c r="AF265">
        <f>IF($AG265="","",INDEX('04_調査結果'!$X$5:$X$404,$AG265)&amp;"")</f>
        <v/>
      </c>
      <c r="AG265" s="34">
        <f>IFERROR(MATCH(ROW()-4,'04_調査結果'!$AT$5:$AT$404,0),"")</f>
        <v/>
      </c>
    </row>
    <row r="266">
      <c r="A266">
        <f>IF($AG266="","",'01_設定'!$C$4)</f>
        <v/>
      </c>
      <c r="B266">
        <f>IF($AG266="","",'01_設定'!$C$5)</f>
        <v/>
      </c>
      <c r="C266">
        <f>IF($AG266="","",'01_設定'!$C$6)</f>
        <v/>
      </c>
      <c r="D266" s="36">
        <f>IF($AG266="","",'01_設定'!$C$22)</f>
        <v/>
      </c>
      <c r="E266" s="36">
        <f>IF($AG266="","",'01_設定'!$C$23)</f>
        <v/>
      </c>
      <c r="F266">
        <f>IF($AG266="","",'01_設定'!$C$32)</f>
        <v/>
      </c>
      <c r="G266">
        <f>IF($AG266="","",ROW()-4)</f>
        <v/>
      </c>
      <c r="H266">
        <f>IF($AG266="","",INDEX('04_調査結果'!$AJ$5:$AJ$404,$AG266))</f>
        <v/>
      </c>
      <c r="I266">
        <f>IF($AG266="","",INDEX('04_調査結果'!$D$5:$D$404,$AG266)&amp;"")</f>
        <v/>
      </c>
      <c r="J266">
        <f>IF($AG266="","",INDEX('04_調査結果'!$AK$5:$AK$404,$AG266)&amp;"")</f>
        <v/>
      </c>
      <c r="K266">
        <f>IF($AG266="","",IFERROR(INDEX('M1_類型マスタ'!$B$5:$B$19,MATCH(J266,'M1_類型マスタ'!$A$5:$A$19,0)),""))</f>
        <v/>
      </c>
      <c r="L266">
        <f>IF($AG266="","",INDEX('04_調査結果'!$F$5:$F$404,$AG266)&amp;"")</f>
        <v/>
      </c>
      <c r="M266">
        <f>IF($AG266="","",INDEX('04_調査結果'!$G$5:$G$404,$AG266)&amp;"")</f>
        <v/>
      </c>
      <c r="N266">
        <f>IF($AG266="","",INDEX('04_調査結果'!$H$5:$H$404,$AG266)&amp;"")</f>
        <v/>
      </c>
      <c r="O266" s="33">
        <f>IF($AG266="","",IF(INDEX('04_調査結果'!$Z$5:$Z$404,$AG266)&lt;&gt;"",INDEX('04_調査結果'!$Z$5:$Z$404,$AG266),INDEX('04_調査結果'!$AM$5:$AM$404,$AG266)))</f>
        <v/>
      </c>
      <c r="P266" s="33">
        <f>IF($AG266="","",IF(INDEX('04_調査結果'!$AA$5:$AA$404,$AG266)&lt;&gt;"",INDEX('04_調査結果'!$AA$5:$AA$404,$AG266),INDEX('04_調査結果'!$AN$5:$AN$404,$AG266)))</f>
        <v/>
      </c>
      <c r="Q266" s="33">
        <f>IF($AG266="","",INDEX('04_調査結果'!$AD$5:$AD$404,$AG266))</f>
        <v/>
      </c>
      <c r="R266">
        <f>IF($AG266="","",INDEX('04_調査結果'!$AO$5:$AO$404,$AG266))</f>
        <v/>
      </c>
      <c r="S266" s="37">
        <f>IF($AG266="","",INDEX('04_調査結果'!$AQ$5:$AQ$404,$AG266))</f>
        <v/>
      </c>
      <c r="T266" s="37">
        <f>IF($AG266="","",INDEX('04_調査結果'!$AR$5:$AR$404,$AG266))</f>
        <v/>
      </c>
      <c r="U266">
        <f>IF($AG266="","",INDEX('04_調査結果'!$N$5:$N$404,$AG266)&amp;"")</f>
        <v/>
      </c>
      <c r="V266">
        <f>IF($AG266="","",INDEX('04_調査結果'!$O$5:$O$404,$AG266))</f>
        <v/>
      </c>
      <c r="W266">
        <f>IF($AG266="","",INDEX('04_調査結果'!$P$5:$P$404,$AG266))</f>
        <v/>
      </c>
      <c r="X266">
        <f>IF($AG266="","",INDEX('04_調査結果'!$Q$5:$Q$404,$AG266))</f>
        <v/>
      </c>
      <c r="Y266">
        <f>IF($AG266="","",INDEX('04_調査結果'!$R$5:$R$404,$AG266))</f>
        <v/>
      </c>
      <c r="Z266">
        <f>IF($AG266="","",INDEX('04_調査結果'!$S$5:$S$404,$AG266))</f>
        <v/>
      </c>
      <c r="AA266">
        <f>IF($AG266="","",INDEX('04_調査結果'!$T$5:$T$404,$AG266))</f>
        <v/>
      </c>
      <c r="AB266">
        <f>IF($AG266="","",INDEX('04_調査結果'!$U$5:$U$404,$AG266))</f>
        <v/>
      </c>
      <c r="AC266">
        <f>IF($AG266="","",INDEX('04_調査結果'!$AF$5:$AF$404,$AG266))</f>
        <v/>
      </c>
      <c r="AD266">
        <f>IF($AG266="","",INDEX('04_調査結果'!$AC$5:$AC$404,$AG266)&amp;"")</f>
        <v/>
      </c>
      <c r="AE266">
        <f>IF($AG266="","",INDEX('04_調査結果'!$V$5:$V$404,$AG266)&amp;"")</f>
        <v/>
      </c>
      <c r="AF266">
        <f>IF($AG266="","",INDEX('04_調査結果'!$X$5:$X$404,$AG266)&amp;"")</f>
        <v/>
      </c>
      <c r="AG266" s="34">
        <f>IFERROR(MATCH(ROW()-4,'04_調査結果'!$AT$5:$AT$404,0),"")</f>
        <v/>
      </c>
    </row>
    <row r="267">
      <c r="A267">
        <f>IF($AG267="","",'01_設定'!$C$4)</f>
        <v/>
      </c>
      <c r="B267">
        <f>IF($AG267="","",'01_設定'!$C$5)</f>
        <v/>
      </c>
      <c r="C267">
        <f>IF($AG267="","",'01_設定'!$C$6)</f>
        <v/>
      </c>
      <c r="D267" s="36">
        <f>IF($AG267="","",'01_設定'!$C$22)</f>
        <v/>
      </c>
      <c r="E267" s="36">
        <f>IF($AG267="","",'01_設定'!$C$23)</f>
        <v/>
      </c>
      <c r="F267">
        <f>IF($AG267="","",'01_設定'!$C$32)</f>
        <v/>
      </c>
      <c r="G267">
        <f>IF($AG267="","",ROW()-4)</f>
        <v/>
      </c>
      <c r="H267">
        <f>IF($AG267="","",INDEX('04_調査結果'!$AJ$5:$AJ$404,$AG267))</f>
        <v/>
      </c>
      <c r="I267">
        <f>IF($AG267="","",INDEX('04_調査結果'!$D$5:$D$404,$AG267)&amp;"")</f>
        <v/>
      </c>
      <c r="J267">
        <f>IF($AG267="","",INDEX('04_調査結果'!$AK$5:$AK$404,$AG267)&amp;"")</f>
        <v/>
      </c>
      <c r="K267">
        <f>IF($AG267="","",IFERROR(INDEX('M1_類型マスタ'!$B$5:$B$19,MATCH(J267,'M1_類型マスタ'!$A$5:$A$19,0)),""))</f>
        <v/>
      </c>
      <c r="L267">
        <f>IF($AG267="","",INDEX('04_調査結果'!$F$5:$F$404,$AG267)&amp;"")</f>
        <v/>
      </c>
      <c r="M267">
        <f>IF($AG267="","",INDEX('04_調査結果'!$G$5:$G$404,$AG267)&amp;"")</f>
        <v/>
      </c>
      <c r="N267">
        <f>IF($AG267="","",INDEX('04_調査結果'!$H$5:$H$404,$AG267)&amp;"")</f>
        <v/>
      </c>
      <c r="O267" s="33">
        <f>IF($AG267="","",IF(INDEX('04_調査結果'!$Z$5:$Z$404,$AG267)&lt;&gt;"",INDEX('04_調査結果'!$Z$5:$Z$404,$AG267),INDEX('04_調査結果'!$AM$5:$AM$404,$AG267)))</f>
        <v/>
      </c>
      <c r="P267" s="33">
        <f>IF($AG267="","",IF(INDEX('04_調査結果'!$AA$5:$AA$404,$AG267)&lt;&gt;"",INDEX('04_調査結果'!$AA$5:$AA$404,$AG267),INDEX('04_調査結果'!$AN$5:$AN$404,$AG267)))</f>
        <v/>
      </c>
      <c r="Q267" s="33">
        <f>IF($AG267="","",INDEX('04_調査結果'!$AD$5:$AD$404,$AG267))</f>
        <v/>
      </c>
      <c r="R267">
        <f>IF($AG267="","",INDEX('04_調査結果'!$AO$5:$AO$404,$AG267))</f>
        <v/>
      </c>
      <c r="S267" s="37">
        <f>IF($AG267="","",INDEX('04_調査結果'!$AQ$5:$AQ$404,$AG267))</f>
        <v/>
      </c>
      <c r="T267" s="37">
        <f>IF($AG267="","",INDEX('04_調査結果'!$AR$5:$AR$404,$AG267))</f>
        <v/>
      </c>
      <c r="U267">
        <f>IF($AG267="","",INDEX('04_調査結果'!$N$5:$N$404,$AG267)&amp;"")</f>
        <v/>
      </c>
      <c r="V267">
        <f>IF($AG267="","",INDEX('04_調査結果'!$O$5:$O$404,$AG267))</f>
        <v/>
      </c>
      <c r="W267">
        <f>IF($AG267="","",INDEX('04_調査結果'!$P$5:$P$404,$AG267))</f>
        <v/>
      </c>
      <c r="X267">
        <f>IF($AG267="","",INDEX('04_調査結果'!$Q$5:$Q$404,$AG267))</f>
        <v/>
      </c>
      <c r="Y267">
        <f>IF($AG267="","",INDEX('04_調査結果'!$R$5:$R$404,$AG267))</f>
        <v/>
      </c>
      <c r="Z267">
        <f>IF($AG267="","",INDEX('04_調査結果'!$S$5:$S$404,$AG267))</f>
        <v/>
      </c>
      <c r="AA267">
        <f>IF($AG267="","",INDEX('04_調査結果'!$T$5:$T$404,$AG267))</f>
        <v/>
      </c>
      <c r="AB267">
        <f>IF($AG267="","",INDEX('04_調査結果'!$U$5:$U$404,$AG267))</f>
        <v/>
      </c>
      <c r="AC267">
        <f>IF($AG267="","",INDEX('04_調査結果'!$AF$5:$AF$404,$AG267))</f>
        <v/>
      </c>
      <c r="AD267">
        <f>IF($AG267="","",INDEX('04_調査結果'!$AC$5:$AC$404,$AG267)&amp;"")</f>
        <v/>
      </c>
      <c r="AE267">
        <f>IF($AG267="","",INDEX('04_調査結果'!$V$5:$V$404,$AG267)&amp;"")</f>
        <v/>
      </c>
      <c r="AF267">
        <f>IF($AG267="","",INDEX('04_調査結果'!$X$5:$X$404,$AG267)&amp;"")</f>
        <v/>
      </c>
      <c r="AG267" s="34">
        <f>IFERROR(MATCH(ROW()-4,'04_調査結果'!$AT$5:$AT$404,0),"")</f>
        <v/>
      </c>
    </row>
    <row r="268">
      <c r="A268">
        <f>IF($AG268="","",'01_設定'!$C$4)</f>
        <v/>
      </c>
      <c r="B268">
        <f>IF($AG268="","",'01_設定'!$C$5)</f>
        <v/>
      </c>
      <c r="C268">
        <f>IF($AG268="","",'01_設定'!$C$6)</f>
        <v/>
      </c>
      <c r="D268" s="36">
        <f>IF($AG268="","",'01_設定'!$C$22)</f>
        <v/>
      </c>
      <c r="E268" s="36">
        <f>IF($AG268="","",'01_設定'!$C$23)</f>
        <v/>
      </c>
      <c r="F268">
        <f>IF($AG268="","",'01_設定'!$C$32)</f>
        <v/>
      </c>
      <c r="G268">
        <f>IF($AG268="","",ROW()-4)</f>
        <v/>
      </c>
      <c r="H268">
        <f>IF($AG268="","",INDEX('04_調査結果'!$AJ$5:$AJ$404,$AG268))</f>
        <v/>
      </c>
      <c r="I268">
        <f>IF($AG268="","",INDEX('04_調査結果'!$D$5:$D$404,$AG268)&amp;"")</f>
        <v/>
      </c>
      <c r="J268">
        <f>IF($AG268="","",INDEX('04_調査結果'!$AK$5:$AK$404,$AG268)&amp;"")</f>
        <v/>
      </c>
      <c r="K268">
        <f>IF($AG268="","",IFERROR(INDEX('M1_類型マスタ'!$B$5:$B$19,MATCH(J268,'M1_類型マスタ'!$A$5:$A$19,0)),""))</f>
        <v/>
      </c>
      <c r="L268">
        <f>IF($AG268="","",INDEX('04_調査結果'!$F$5:$F$404,$AG268)&amp;"")</f>
        <v/>
      </c>
      <c r="M268">
        <f>IF($AG268="","",INDEX('04_調査結果'!$G$5:$G$404,$AG268)&amp;"")</f>
        <v/>
      </c>
      <c r="N268">
        <f>IF($AG268="","",INDEX('04_調査結果'!$H$5:$H$404,$AG268)&amp;"")</f>
        <v/>
      </c>
      <c r="O268" s="33">
        <f>IF($AG268="","",IF(INDEX('04_調査結果'!$Z$5:$Z$404,$AG268)&lt;&gt;"",INDEX('04_調査結果'!$Z$5:$Z$404,$AG268),INDEX('04_調査結果'!$AM$5:$AM$404,$AG268)))</f>
        <v/>
      </c>
      <c r="P268" s="33">
        <f>IF($AG268="","",IF(INDEX('04_調査結果'!$AA$5:$AA$404,$AG268)&lt;&gt;"",INDEX('04_調査結果'!$AA$5:$AA$404,$AG268),INDEX('04_調査結果'!$AN$5:$AN$404,$AG268)))</f>
        <v/>
      </c>
      <c r="Q268" s="33">
        <f>IF($AG268="","",INDEX('04_調査結果'!$AD$5:$AD$404,$AG268))</f>
        <v/>
      </c>
      <c r="R268">
        <f>IF($AG268="","",INDEX('04_調査結果'!$AO$5:$AO$404,$AG268))</f>
        <v/>
      </c>
      <c r="S268" s="37">
        <f>IF($AG268="","",INDEX('04_調査結果'!$AQ$5:$AQ$404,$AG268))</f>
        <v/>
      </c>
      <c r="T268" s="37">
        <f>IF($AG268="","",INDEX('04_調査結果'!$AR$5:$AR$404,$AG268))</f>
        <v/>
      </c>
      <c r="U268">
        <f>IF($AG268="","",INDEX('04_調査結果'!$N$5:$N$404,$AG268)&amp;"")</f>
        <v/>
      </c>
      <c r="V268">
        <f>IF($AG268="","",INDEX('04_調査結果'!$O$5:$O$404,$AG268))</f>
        <v/>
      </c>
      <c r="W268">
        <f>IF($AG268="","",INDEX('04_調査結果'!$P$5:$P$404,$AG268))</f>
        <v/>
      </c>
      <c r="X268">
        <f>IF($AG268="","",INDEX('04_調査結果'!$Q$5:$Q$404,$AG268))</f>
        <v/>
      </c>
      <c r="Y268">
        <f>IF($AG268="","",INDEX('04_調査結果'!$R$5:$R$404,$AG268))</f>
        <v/>
      </c>
      <c r="Z268">
        <f>IF($AG268="","",INDEX('04_調査結果'!$S$5:$S$404,$AG268))</f>
        <v/>
      </c>
      <c r="AA268">
        <f>IF($AG268="","",INDEX('04_調査結果'!$T$5:$T$404,$AG268))</f>
        <v/>
      </c>
      <c r="AB268">
        <f>IF($AG268="","",INDEX('04_調査結果'!$U$5:$U$404,$AG268))</f>
        <v/>
      </c>
      <c r="AC268">
        <f>IF($AG268="","",INDEX('04_調査結果'!$AF$5:$AF$404,$AG268))</f>
        <v/>
      </c>
      <c r="AD268">
        <f>IF($AG268="","",INDEX('04_調査結果'!$AC$5:$AC$404,$AG268)&amp;"")</f>
        <v/>
      </c>
      <c r="AE268">
        <f>IF($AG268="","",INDEX('04_調査結果'!$V$5:$V$404,$AG268)&amp;"")</f>
        <v/>
      </c>
      <c r="AF268">
        <f>IF($AG268="","",INDEX('04_調査結果'!$X$5:$X$404,$AG268)&amp;"")</f>
        <v/>
      </c>
      <c r="AG268" s="34">
        <f>IFERROR(MATCH(ROW()-4,'04_調査結果'!$AT$5:$AT$404,0),"")</f>
        <v/>
      </c>
    </row>
    <row r="269">
      <c r="A269">
        <f>IF($AG269="","",'01_設定'!$C$4)</f>
        <v/>
      </c>
      <c r="B269">
        <f>IF($AG269="","",'01_設定'!$C$5)</f>
        <v/>
      </c>
      <c r="C269">
        <f>IF($AG269="","",'01_設定'!$C$6)</f>
        <v/>
      </c>
      <c r="D269" s="36">
        <f>IF($AG269="","",'01_設定'!$C$22)</f>
        <v/>
      </c>
      <c r="E269" s="36">
        <f>IF($AG269="","",'01_設定'!$C$23)</f>
        <v/>
      </c>
      <c r="F269">
        <f>IF($AG269="","",'01_設定'!$C$32)</f>
        <v/>
      </c>
      <c r="G269">
        <f>IF($AG269="","",ROW()-4)</f>
        <v/>
      </c>
      <c r="H269">
        <f>IF($AG269="","",INDEX('04_調査結果'!$AJ$5:$AJ$404,$AG269))</f>
        <v/>
      </c>
      <c r="I269">
        <f>IF($AG269="","",INDEX('04_調査結果'!$D$5:$D$404,$AG269)&amp;"")</f>
        <v/>
      </c>
      <c r="J269">
        <f>IF($AG269="","",INDEX('04_調査結果'!$AK$5:$AK$404,$AG269)&amp;"")</f>
        <v/>
      </c>
      <c r="K269">
        <f>IF($AG269="","",IFERROR(INDEX('M1_類型マスタ'!$B$5:$B$19,MATCH(J269,'M1_類型マスタ'!$A$5:$A$19,0)),""))</f>
        <v/>
      </c>
      <c r="L269">
        <f>IF($AG269="","",INDEX('04_調査結果'!$F$5:$F$404,$AG269)&amp;"")</f>
        <v/>
      </c>
      <c r="M269">
        <f>IF($AG269="","",INDEX('04_調査結果'!$G$5:$G$404,$AG269)&amp;"")</f>
        <v/>
      </c>
      <c r="N269">
        <f>IF($AG269="","",INDEX('04_調査結果'!$H$5:$H$404,$AG269)&amp;"")</f>
        <v/>
      </c>
      <c r="O269" s="33">
        <f>IF($AG269="","",IF(INDEX('04_調査結果'!$Z$5:$Z$404,$AG269)&lt;&gt;"",INDEX('04_調査結果'!$Z$5:$Z$404,$AG269),INDEX('04_調査結果'!$AM$5:$AM$404,$AG269)))</f>
        <v/>
      </c>
      <c r="P269" s="33">
        <f>IF($AG269="","",IF(INDEX('04_調査結果'!$AA$5:$AA$404,$AG269)&lt;&gt;"",INDEX('04_調査結果'!$AA$5:$AA$404,$AG269),INDEX('04_調査結果'!$AN$5:$AN$404,$AG269)))</f>
        <v/>
      </c>
      <c r="Q269" s="33">
        <f>IF($AG269="","",INDEX('04_調査結果'!$AD$5:$AD$404,$AG269))</f>
        <v/>
      </c>
      <c r="R269">
        <f>IF($AG269="","",INDEX('04_調査結果'!$AO$5:$AO$404,$AG269))</f>
        <v/>
      </c>
      <c r="S269" s="37">
        <f>IF($AG269="","",INDEX('04_調査結果'!$AQ$5:$AQ$404,$AG269))</f>
        <v/>
      </c>
      <c r="T269" s="37">
        <f>IF($AG269="","",INDEX('04_調査結果'!$AR$5:$AR$404,$AG269))</f>
        <v/>
      </c>
      <c r="U269">
        <f>IF($AG269="","",INDEX('04_調査結果'!$N$5:$N$404,$AG269)&amp;"")</f>
        <v/>
      </c>
      <c r="V269">
        <f>IF($AG269="","",INDEX('04_調査結果'!$O$5:$O$404,$AG269))</f>
        <v/>
      </c>
      <c r="W269">
        <f>IF($AG269="","",INDEX('04_調査結果'!$P$5:$P$404,$AG269))</f>
        <v/>
      </c>
      <c r="X269">
        <f>IF($AG269="","",INDEX('04_調査結果'!$Q$5:$Q$404,$AG269))</f>
        <v/>
      </c>
      <c r="Y269">
        <f>IF($AG269="","",INDEX('04_調査結果'!$R$5:$R$404,$AG269))</f>
        <v/>
      </c>
      <c r="Z269">
        <f>IF($AG269="","",INDEX('04_調査結果'!$S$5:$S$404,$AG269))</f>
        <v/>
      </c>
      <c r="AA269">
        <f>IF($AG269="","",INDEX('04_調査結果'!$T$5:$T$404,$AG269))</f>
        <v/>
      </c>
      <c r="AB269">
        <f>IF($AG269="","",INDEX('04_調査結果'!$U$5:$U$404,$AG269))</f>
        <v/>
      </c>
      <c r="AC269">
        <f>IF($AG269="","",INDEX('04_調査結果'!$AF$5:$AF$404,$AG269))</f>
        <v/>
      </c>
      <c r="AD269">
        <f>IF($AG269="","",INDEX('04_調査結果'!$AC$5:$AC$404,$AG269)&amp;"")</f>
        <v/>
      </c>
      <c r="AE269">
        <f>IF($AG269="","",INDEX('04_調査結果'!$V$5:$V$404,$AG269)&amp;"")</f>
        <v/>
      </c>
      <c r="AF269">
        <f>IF($AG269="","",INDEX('04_調査結果'!$X$5:$X$404,$AG269)&amp;"")</f>
        <v/>
      </c>
      <c r="AG269" s="34">
        <f>IFERROR(MATCH(ROW()-4,'04_調査結果'!$AT$5:$AT$404,0),"")</f>
        <v/>
      </c>
    </row>
    <row r="270">
      <c r="A270">
        <f>IF($AG270="","",'01_設定'!$C$4)</f>
        <v/>
      </c>
      <c r="B270">
        <f>IF($AG270="","",'01_設定'!$C$5)</f>
        <v/>
      </c>
      <c r="C270">
        <f>IF($AG270="","",'01_設定'!$C$6)</f>
        <v/>
      </c>
      <c r="D270" s="36">
        <f>IF($AG270="","",'01_設定'!$C$22)</f>
        <v/>
      </c>
      <c r="E270" s="36">
        <f>IF($AG270="","",'01_設定'!$C$23)</f>
        <v/>
      </c>
      <c r="F270">
        <f>IF($AG270="","",'01_設定'!$C$32)</f>
        <v/>
      </c>
      <c r="G270">
        <f>IF($AG270="","",ROW()-4)</f>
        <v/>
      </c>
      <c r="H270">
        <f>IF($AG270="","",INDEX('04_調査結果'!$AJ$5:$AJ$404,$AG270))</f>
        <v/>
      </c>
      <c r="I270">
        <f>IF($AG270="","",INDEX('04_調査結果'!$D$5:$D$404,$AG270)&amp;"")</f>
        <v/>
      </c>
      <c r="J270">
        <f>IF($AG270="","",INDEX('04_調査結果'!$AK$5:$AK$404,$AG270)&amp;"")</f>
        <v/>
      </c>
      <c r="K270">
        <f>IF($AG270="","",IFERROR(INDEX('M1_類型マスタ'!$B$5:$B$19,MATCH(J270,'M1_類型マスタ'!$A$5:$A$19,0)),""))</f>
        <v/>
      </c>
      <c r="L270">
        <f>IF($AG270="","",INDEX('04_調査結果'!$F$5:$F$404,$AG270)&amp;"")</f>
        <v/>
      </c>
      <c r="M270">
        <f>IF($AG270="","",INDEX('04_調査結果'!$G$5:$G$404,$AG270)&amp;"")</f>
        <v/>
      </c>
      <c r="N270">
        <f>IF($AG270="","",INDEX('04_調査結果'!$H$5:$H$404,$AG270)&amp;"")</f>
        <v/>
      </c>
      <c r="O270" s="33">
        <f>IF($AG270="","",IF(INDEX('04_調査結果'!$Z$5:$Z$404,$AG270)&lt;&gt;"",INDEX('04_調査結果'!$Z$5:$Z$404,$AG270),INDEX('04_調査結果'!$AM$5:$AM$404,$AG270)))</f>
        <v/>
      </c>
      <c r="P270" s="33">
        <f>IF($AG270="","",IF(INDEX('04_調査結果'!$AA$5:$AA$404,$AG270)&lt;&gt;"",INDEX('04_調査結果'!$AA$5:$AA$404,$AG270),INDEX('04_調査結果'!$AN$5:$AN$404,$AG270)))</f>
        <v/>
      </c>
      <c r="Q270" s="33">
        <f>IF($AG270="","",INDEX('04_調査結果'!$AD$5:$AD$404,$AG270))</f>
        <v/>
      </c>
      <c r="R270">
        <f>IF($AG270="","",INDEX('04_調査結果'!$AO$5:$AO$404,$AG270))</f>
        <v/>
      </c>
      <c r="S270" s="37">
        <f>IF($AG270="","",INDEX('04_調査結果'!$AQ$5:$AQ$404,$AG270))</f>
        <v/>
      </c>
      <c r="T270" s="37">
        <f>IF($AG270="","",INDEX('04_調査結果'!$AR$5:$AR$404,$AG270))</f>
        <v/>
      </c>
      <c r="U270">
        <f>IF($AG270="","",INDEX('04_調査結果'!$N$5:$N$404,$AG270)&amp;"")</f>
        <v/>
      </c>
      <c r="V270">
        <f>IF($AG270="","",INDEX('04_調査結果'!$O$5:$O$404,$AG270))</f>
        <v/>
      </c>
      <c r="W270">
        <f>IF($AG270="","",INDEX('04_調査結果'!$P$5:$P$404,$AG270))</f>
        <v/>
      </c>
      <c r="X270">
        <f>IF($AG270="","",INDEX('04_調査結果'!$Q$5:$Q$404,$AG270))</f>
        <v/>
      </c>
      <c r="Y270">
        <f>IF($AG270="","",INDEX('04_調査結果'!$R$5:$R$404,$AG270))</f>
        <v/>
      </c>
      <c r="Z270">
        <f>IF($AG270="","",INDEX('04_調査結果'!$S$5:$S$404,$AG270))</f>
        <v/>
      </c>
      <c r="AA270">
        <f>IF($AG270="","",INDEX('04_調査結果'!$T$5:$T$404,$AG270))</f>
        <v/>
      </c>
      <c r="AB270">
        <f>IF($AG270="","",INDEX('04_調査結果'!$U$5:$U$404,$AG270))</f>
        <v/>
      </c>
      <c r="AC270">
        <f>IF($AG270="","",INDEX('04_調査結果'!$AF$5:$AF$404,$AG270))</f>
        <v/>
      </c>
      <c r="AD270">
        <f>IF($AG270="","",INDEX('04_調査結果'!$AC$5:$AC$404,$AG270)&amp;"")</f>
        <v/>
      </c>
      <c r="AE270">
        <f>IF($AG270="","",INDEX('04_調査結果'!$V$5:$V$404,$AG270)&amp;"")</f>
        <v/>
      </c>
      <c r="AF270">
        <f>IF($AG270="","",INDEX('04_調査結果'!$X$5:$X$404,$AG270)&amp;"")</f>
        <v/>
      </c>
      <c r="AG270" s="34">
        <f>IFERROR(MATCH(ROW()-4,'04_調査結果'!$AT$5:$AT$404,0),"")</f>
        <v/>
      </c>
    </row>
    <row r="271">
      <c r="A271">
        <f>IF($AG271="","",'01_設定'!$C$4)</f>
        <v/>
      </c>
      <c r="B271">
        <f>IF($AG271="","",'01_設定'!$C$5)</f>
        <v/>
      </c>
      <c r="C271">
        <f>IF($AG271="","",'01_設定'!$C$6)</f>
        <v/>
      </c>
      <c r="D271" s="36">
        <f>IF($AG271="","",'01_設定'!$C$22)</f>
        <v/>
      </c>
      <c r="E271" s="36">
        <f>IF($AG271="","",'01_設定'!$C$23)</f>
        <v/>
      </c>
      <c r="F271">
        <f>IF($AG271="","",'01_設定'!$C$32)</f>
        <v/>
      </c>
      <c r="G271">
        <f>IF($AG271="","",ROW()-4)</f>
        <v/>
      </c>
      <c r="H271">
        <f>IF($AG271="","",INDEX('04_調査結果'!$AJ$5:$AJ$404,$AG271))</f>
        <v/>
      </c>
      <c r="I271">
        <f>IF($AG271="","",INDEX('04_調査結果'!$D$5:$D$404,$AG271)&amp;"")</f>
        <v/>
      </c>
      <c r="J271">
        <f>IF($AG271="","",INDEX('04_調査結果'!$AK$5:$AK$404,$AG271)&amp;"")</f>
        <v/>
      </c>
      <c r="K271">
        <f>IF($AG271="","",IFERROR(INDEX('M1_類型マスタ'!$B$5:$B$19,MATCH(J271,'M1_類型マスタ'!$A$5:$A$19,0)),""))</f>
        <v/>
      </c>
      <c r="L271">
        <f>IF($AG271="","",INDEX('04_調査結果'!$F$5:$F$404,$AG271)&amp;"")</f>
        <v/>
      </c>
      <c r="M271">
        <f>IF($AG271="","",INDEX('04_調査結果'!$G$5:$G$404,$AG271)&amp;"")</f>
        <v/>
      </c>
      <c r="N271">
        <f>IF($AG271="","",INDEX('04_調査結果'!$H$5:$H$404,$AG271)&amp;"")</f>
        <v/>
      </c>
      <c r="O271" s="33">
        <f>IF($AG271="","",IF(INDEX('04_調査結果'!$Z$5:$Z$404,$AG271)&lt;&gt;"",INDEX('04_調査結果'!$Z$5:$Z$404,$AG271),INDEX('04_調査結果'!$AM$5:$AM$404,$AG271)))</f>
        <v/>
      </c>
      <c r="P271" s="33">
        <f>IF($AG271="","",IF(INDEX('04_調査結果'!$AA$5:$AA$404,$AG271)&lt;&gt;"",INDEX('04_調査結果'!$AA$5:$AA$404,$AG271),INDEX('04_調査結果'!$AN$5:$AN$404,$AG271)))</f>
        <v/>
      </c>
      <c r="Q271" s="33">
        <f>IF($AG271="","",INDEX('04_調査結果'!$AD$5:$AD$404,$AG271))</f>
        <v/>
      </c>
      <c r="R271">
        <f>IF($AG271="","",INDEX('04_調査結果'!$AO$5:$AO$404,$AG271))</f>
        <v/>
      </c>
      <c r="S271" s="37">
        <f>IF($AG271="","",INDEX('04_調査結果'!$AQ$5:$AQ$404,$AG271))</f>
        <v/>
      </c>
      <c r="T271" s="37">
        <f>IF($AG271="","",INDEX('04_調査結果'!$AR$5:$AR$404,$AG271))</f>
        <v/>
      </c>
      <c r="U271">
        <f>IF($AG271="","",INDEX('04_調査結果'!$N$5:$N$404,$AG271)&amp;"")</f>
        <v/>
      </c>
      <c r="V271">
        <f>IF($AG271="","",INDEX('04_調査結果'!$O$5:$O$404,$AG271))</f>
        <v/>
      </c>
      <c r="W271">
        <f>IF($AG271="","",INDEX('04_調査結果'!$P$5:$P$404,$AG271))</f>
        <v/>
      </c>
      <c r="X271">
        <f>IF($AG271="","",INDEX('04_調査結果'!$Q$5:$Q$404,$AG271))</f>
        <v/>
      </c>
      <c r="Y271">
        <f>IF($AG271="","",INDEX('04_調査結果'!$R$5:$R$404,$AG271))</f>
        <v/>
      </c>
      <c r="Z271">
        <f>IF($AG271="","",INDEX('04_調査結果'!$S$5:$S$404,$AG271))</f>
        <v/>
      </c>
      <c r="AA271">
        <f>IF($AG271="","",INDEX('04_調査結果'!$T$5:$T$404,$AG271))</f>
        <v/>
      </c>
      <c r="AB271">
        <f>IF($AG271="","",INDEX('04_調査結果'!$U$5:$U$404,$AG271))</f>
        <v/>
      </c>
      <c r="AC271">
        <f>IF($AG271="","",INDEX('04_調査結果'!$AF$5:$AF$404,$AG271))</f>
        <v/>
      </c>
      <c r="AD271">
        <f>IF($AG271="","",INDEX('04_調査結果'!$AC$5:$AC$404,$AG271)&amp;"")</f>
        <v/>
      </c>
      <c r="AE271">
        <f>IF($AG271="","",INDEX('04_調査結果'!$V$5:$V$404,$AG271)&amp;"")</f>
        <v/>
      </c>
      <c r="AF271">
        <f>IF($AG271="","",INDEX('04_調査結果'!$X$5:$X$404,$AG271)&amp;"")</f>
        <v/>
      </c>
      <c r="AG271" s="34">
        <f>IFERROR(MATCH(ROW()-4,'04_調査結果'!$AT$5:$AT$404,0),"")</f>
        <v/>
      </c>
    </row>
    <row r="272">
      <c r="A272">
        <f>IF($AG272="","",'01_設定'!$C$4)</f>
        <v/>
      </c>
      <c r="B272">
        <f>IF($AG272="","",'01_設定'!$C$5)</f>
        <v/>
      </c>
      <c r="C272">
        <f>IF($AG272="","",'01_設定'!$C$6)</f>
        <v/>
      </c>
      <c r="D272" s="36">
        <f>IF($AG272="","",'01_設定'!$C$22)</f>
        <v/>
      </c>
      <c r="E272" s="36">
        <f>IF($AG272="","",'01_設定'!$C$23)</f>
        <v/>
      </c>
      <c r="F272">
        <f>IF($AG272="","",'01_設定'!$C$32)</f>
        <v/>
      </c>
      <c r="G272">
        <f>IF($AG272="","",ROW()-4)</f>
        <v/>
      </c>
      <c r="H272">
        <f>IF($AG272="","",INDEX('04_調査結果'!$AJ$5:$AJ$404,$AG272))</f>
        <v/>
      </c>
      <c r="I272">
        <f>IF($AG272="","",INDEX('04_調査結果'!$D$5:$D$404,$AG272)&amp;"")</f>
        <v/>
      </c>
      <c r="J272">
        <f>IF($AG272="","",INDEX('04_調査結果'!$AK$5:$AK$404,$AG272)&amp;"")</f>
        <v/>
      </c>
      <c r="K272">
        <f>IF($AG272="","",IFERROR(INDEX('M1_類型マスタ'!$B$5:$B$19,MATCH(J272,'M1_類型マスタ'!$A$5:$A$19,0)),""))</f>
        <v/>
      </c>
      <c r="L272">
        <f>IF($AG272="","",INDEX('04_調査結果'!$F$5:$F$404,$AG272)&amp;"")</f>
        <v/>
      </c>
      <c r="M272">
        <f>IF($AG272="","",INDEX('04_調査結果'!$G$5:$G$404,$AG272)&amp;"")</f>
        <v/>
      </c>
      <c r="N272">
        <f>IF($AG272="","",INDEX('04_調査結果'!$H$5:$H$404,$AG272)&amp;"")</f>
        <v/>
      </c>
      <c r="O272" s="33">
        <f>IF($AG272="","",IF(INDEX('04_調査結果'!$Z$5:$Z$404,$AG272)&lt;&gt;"",INDEX('04_調査結果'!$Z$5:$Z$404,$AG272),INDEX('04_調査結果'!$AM$5:$AM$404,$AG272)))</f>
        <v/>
      </c>
      <c r="P272" s="33">
        <f>IF($AG272="","",IF(INDEX('04_調査結果'!$AA$5:$AA$404,$AG272)&lt;&gt;"",INDEX('04_調査結果'!$AA$5:$AA$404,$AG272),INDEX('04_調査結果'!$AN$5:$AN$404,$AG272)))</f>
        <v/>
      </c>
      <c r="Q272" s="33">
        <f>IF($AG272="","",INDEX('04_調査結果'!$AD$5:$AD$404,$AG272))</f>
        <v/>
      </c>
      <c r="R272">
        <f>IF($AG272="","",INDEX('04_調査結果'!$AO$5:$AO$404,$AG272))</f>
        <v/>
      </c>
      <c r="S272" s="37">
        <f>IF($AG272="","",INDEX('04_調査結果'!$AQ$5:$AQ$404,$AG272))</f>
        <v/>
      </c>
      <c r="T272" s="37">
        <f>IF($AG272="","",INDEX('04_調査結果'!$AR$5:$AR$404,$AG272))</f>
        <v/>
      </c>
      <c r="U272">
        <f>IF($AG272="","",INDEX('04_調査結果'!$N$5:$N$404,$AG272)&amp;"")</f>
        <v/>
      </c>
      <c r="V272">
        <f>IF($AG272="","",INDEX('04_調査結果'!$O$5:$O$404,$AG272))</f>
        <v/>
      </c>
      <c r="W272">
        <f>IF($AG272="","",INDEX('04_調査結果'!$P$5:$P$404,$AG272))</f>
        <v/>
      </c>
      <c r="X272">
        <f>IF($AG272="","",INDEX('04_調査結果'!$Q$5:$Q$404,$AG272))</f>
        <v/>
      </c>
      <c r="Y272">
        <f>IF($AG272="","",INDEX('04_調査結果'!$R$5:$R$404,$AG272))</f>
        <v/>
      </c>
      <c r="Z272">
        <f>IF($AG272="","",INDEX('04_調査結果'!$S$5:$S$404,$AG272))</f>
        <v/>
      </c>
      <c r="AA272">
        <f>IF($AG272="","",INDEX('04_調査結果'!$T$5:$T$404,$AG272))</f>
        <v/>
      </c>
      <c r="AB272">
        <f>IF($AG272="","",INDEX('04_調査結果'!$U$5:$U$404,$AG272))</f>
        <v/>
      </c>
      <c r="AC272">
        <f>IF($AG272="","",INDEX('04_調査結果'!$AF$5:$AF$404,$AG272))</f>
        <v/>
      </c>
      <c r="AD272">
        <f>IF($AG272="","",INDEX('04_調査結果'!$AC$5:$AC$404,$AG272)&amp;"")</f>
        <v/>
      </c>
      <c r="AE272">
        <f>IF($AG272="","",INDEX('04_調査結果'!$V$5:$V$404,$AG272)&amp;"")</f>
        <v/>
      </c>
      <c r="AF272">
        <f>IF($AG272="","",INDEX('04_調査結果'!$X$5:$X$404,$AG272)&amp;"")</f>
        <v/>
      </c>
      <c r="AG272" s="34">
        <f>IFERROR(MATCH(ROW()-4,'04_調査結果'!$AT$5:$AT$404,0),"")</f>
        <v/>
      </c>
    </row>
    <row r="273">
      <c r="A273">
        <f>IF($AG273="","",'01_設定'!$C$4)</f>
        <v/>
      </c>
      <c r="B273">
        <f>IF($AG273="","",'01_設定'!$C$5)</f>
        <v/>
      </c>
      <c r="C273">
        <f>IF($AG273="","",'01_設定'!$C$6)</f>
        <v/>
      </c>
      <c r="D273" s="36">
        <f>IF($AG273="","",'01_設定'!$C$22)</f>
        <v/>
      </c>
      <c r="E273" s="36">
        <f>IF($AG273="","",'01_設定'!$C$23)</f>
        <v/>
      </c>
      <c r="F273">
        <f>IF($AG273="","",'01_設定'!$C$32)</f>
        <v/>
      </c>
      <c r="G273">
        <f>IF($AG273="","",ROW()-4)</f>
        <v/>
      </c>
      <c r="H273">
        <f>IF($AG273="","",INDEX('04_調査結果'!$AJ$5:$AJ$404,$AG273))</f>
        <v/>
      </c>
      <c r="I273">
        <f>IF($AG273="","",INDEX('04_調査結果'!$D$5:$D$404,$AG273)&amp;"")</f>
        <v/>
      </c>
      <c r="J273">
        <f>IF($AG273="","",INDEX('04_調査結果'!$AK$5:$AK$404,$AG273)&amp;"")</f>
        <v/>
      </c>
      <c r="K273">
        <f>IF($AG273="","",IFERROR(INDEX('M1_類型マスタ'!$B$5:$B$19,MATCH(J273,'M1_類型マスタ'!$A$5:$A$19,0)),""))</f>
        <v/>
      </c>
      <c r="L273">
        <f>IF($AG273="","",INDEX('04_調査結果'!$F$5:$F$404,$AG273)&amp;"")</f>
        <v/>
      </c>
      <c r="M273">
        <f>IF($AG273="","",INDEX('04_調査結果'!$G$5:$G$404,$AG273)&amp;"")</f>
        <v/>
      </c>
      <c r="N273">
        <f>IF($AG273="","",INDEX('04_調査結果'!$H$5:$H$404,$AG273)&amp;"")</f>
        <v/>
      </c>
      <c r="O273" s="33">
        <f>IF($AG273="","",IF(INDEX('04_調査結果'!$Z$5:$Z$404,$AG273)&lt;&gt;"",INDEX('04_調査結果'!$Z$5:$Z$404,$AG273),INDEX('04_調査結果'!$AM$5:$AM$404,$AG273)))</f>
        <v/>
      </c>
      <c r="P273" s="33">
        <f>IF($AG273="","",IF(INDEX('04_調査結果'!$AA$5:$AA$404,$AG273)&lt;&gt;"",INDEX('04_調査結果'!$AA$5:$AA$404,$AG273),INDEX('04_調査結果'!$AN$5:$AN$404,$AG273)))</f>
        <v/>
      </c>
      <c r="Q273" s="33">
        <f>IF($AG273="","",INDEX('04_調査結果'!$AD$5:$AD$404,$AG273))</f>
        <v/>
      </c>
      <c r="R273">
        <f>IF($AG273="","",INDEX('04_調査結果'!$AO$5:$AO$404,$AG273))</f>
        <v/>
      </c>
      <c r="S273" s="37">
        <f>IF($AG273="","",INDEX('04_調査結果'!$AQ$5:$AQ$404,$AG273))</f>
        <v/>
      </c>
      <c r="T273" s="37">
        <f>IF($AG273="","",INDEX('04_調査結果'!$AR$5:$AR$404,$AG273))</f>
        <v/>
      </c>
      <c r="U273">
        <f>IF($AG273="","",INDEX('04_調査結果'!$N$5:$N$404,$AG273)&amp;"")</f>
        <v/>
      </c>
      <c r="V273">
        <f>IF($AG273="","",INDEX('04_調査結果'!$O$5:$O$404,$AG273))</f>
        <v/>
      </c>
      <c r="W273">
        <f>IF($AG273="","",INDEX('04_調査結果'!$P$5:$P$404,$AG273))</f>
        <v/>
      </c>
      <c r="X273">
        <f>IF($AG273="","",INDEX('04_調査結果'!$Q$5:$Q$404,$AG273))</f>
        <v/>
      </c>
      <c r="Y273">
        <f>IF($AG273="","",INDEX('04_調査結果'!$R$5:$R$404,$AG273))</f>
        <v/>
      </c>
      <c r="Z273">
        <f>IF($AG273="","",INDEX('04_調査結果'!$S$5:$S$404,$AG273))</f>
        <v/>
      </c>
      <c r="AA273">
        <f>IF($AG273="","",INDEX('04_調査結果'!$T$5:$T$404,$AG273))</f>
        <v/>
      </c>
      <c r="AB273">
        <f>IF($AG273="","",INDEX('04_調査結果'!$U$5:$U$404,$AG273))</f>
        <v/>
      </c>
      <c r="AC273">
        <f>IF($AG273="","",INDEX('04_調査結果'!$AF$5:$AF$404,$AG273))</f>
        <v/>
      </c>
      <c r="AD273">
        <f>IF($AG273="","",INDEX('04_調査結果'!$AC$5:$AC$404,$AG273)&amp;"")</f>
        <v/>
      </c>
      <c r="AE273">
        <f>IF($AG273="","",INDEX('04_調査結果'!$V$5:$V$404,$AG273)&amp;"")</f>
        <v/>
      </c>
      <c r="AF273">
        <f>IF($AG273="","",INDEX('04_調査結果'!$X$5:$X$404,$AG273)&amp;"")</f>
        <v/>
      </c>
      <c r="AG273" s="34">
        <f>IFERROR(MATCH(ROW()-4,'04_調査結果'!$AT$5:$AT$404,0),"")</f>
        <v/>
      </c>
    </row>
    <row r="274">
      <c r="A274">
        <f>IF($AG274="","",'01_設定'!$C$4)</f>
        <v/>
      </c>
      <c r="B274">
        <f>IF($AG274="","",'01_設定'!$C$5)</f>
        <v/>
      </c>
      <c r="C274">
        <f>IF($AG274="","",'01_設定'!$C$6)</f>
        <v/>
      </c>
      <c r="D274" s="36">
        <f>IF($AG274="","",'01_設定'!$C$22)</f>
        <v/>
      </c>
      <c r="E274" s="36">
        <f>IF($AG274="","",'01_設定'!$C$23)</f>
        <v/>
      </c>
      <c r="F274">
        <f>IF($AG274="","",'01_設定'!$C$32)</f>
        <v/>
      </c>
      <c r="G274">
        <f>IF($AG274="","",ROW()-4)</f>
        <v/>
      </c>
      <c r="H274">
        <f>IF($AG274="","",INDEX('04_調査結果'!$AJ$5:$AJ$404,$AG274))</f>
        <v/>
      </c>
      <c r="I274">
        <f>IF($AG274="","",INDEX('04_調査結果'!$D$5:$D$404,$AG274)&amp;"")</f>
        <v/>
      </c>
      <c r="J274">
        <f>IF($AG274="","",INDEX('04_調査結果'!$AK$5:$AK$404,$AG274)&amp;"")</f>
        <v/>
      </c>
      <c r="K274">
        <f>IF($AG274="","",IFERROR(INDEX('M1_類型マスタ'!$B$5:$B$19,MATCH(J274,'M1_類型マスタ'!$A$5:$A$19,0)),""))</f>
        <v/>
      </c>
      <c r="L274">
        <f>IF($AG274="","",INDEX('04_調査結果'!$F$5:$F$404,$AG274)&amp;"")</f>
        <v/>
      </c>
      <c r="M274">
        <f>IF($AG274="","",INDEX('04_調査結果'!$G$5:$G$404,$AG274)&amp;"")</f>
        <v/>
      </c>
      <c r="N274">
        <f>IF($AG274="","",INDEX('04_調査結果'!$H$5:$H$404,$AG274)&amp;"")</f>
        <v/>
      </c>
      <c r="O274" s="33">
        <f>IF($AG274="","",IF(INDEX('04_調査結果'!$Z$5:$Z$404,$AG274)&lt;&gt;"",INDEX('04_調査結果'!$Z$5:$Z$404,$AG274),INDEX('04_調査結果'!$AM$5:$AM$404,$AG274)))</f>
        <v/>
      </c>
      <c r="P274" s="33">
        <f>IF($AG274="","",IF(INDEX('04_調査結果'!$AA$5:$AA$404,$AG274)&lt;&gt;"",INDEX('04_調査結果'!$AA$5:$AA$404,$AG274),INDEX('04_調査結果'!$AN$5:$AN$404,$AG274)))</f>
        <v/>
      </c>
      <c r="Q274" s="33">
        <f>IF($AG274="","",INDEX('04_調査結果'!$AD$5:$AD$404,$AG274))</f>
        <v/>
      </c>
      <c r="R274">
        <f>IF($AG274="","",INDEX('04_調査結果'!$AO$5:$AO$404,$AG274))</f>
        <v/>
      </c>
      <c r="S274" s="37">
        <f>IF($AG274="","",INDEX('04_調査結果'!$AQ$5:$AQ$404,$AG274))</f>
        <v/>
      </c>
      <c r="T274" s="37">
        <f>IF($AG274="","",INDEX('04_調査結果'!$AR$5:$AR$404,$AG274))</f>
        <v/>
      </c>
      <c r="U274">
        <f>IF($AG274="","",INDEX('04_調査結果'!$N$5:$N$404,$AG274)&amp;"")</f>
        <v/>
      </c>
      <c r="V274">
        <f>IF($AG274="","",INDEX('04_調査結果'!$O$5:$O$404,$AG274))</f>
        <v/>
      </c>
      <c r="W274">
        <f>IF($AG274="","",INDEX('04_調査結果'!$P$5:$P$404,$AG274))</f>
        <v/>
      </c>
      <c r="X274">
        <f>IF($AG274="","",INDEX('04_調査結果'!$Q$5:$Q$404,$AG274))</f>
        <v/>
      </c>
      <c r="Y274">
        <f>IF($AG274="","",INDEX('04_調査結果'!$R$5:$R$404,$AG274))</f>
        <v/>
      </c>
      <c r="Z274">
        <f>IF($AG274="","",INDEX('04_調査結果'!$S$5:$S$404,$AG274))</f>
        <v/>
      </c>
      <c r="AA274">
        <f>IF($AG274="","",INDEX('04_調査結果'!$T$5:$T$404,$AG274))</f>
        <v/>
      </c>
      <c r="AB274">
        <f>IF($AG274="","",INDEX('04_調査結果'!$U$5:$U$404,$AG274))</f>
        <v/>
      </c>
      <c r="AC274">
        <f>IF($AG274="","",INDEX('04_調査結果'!$AF$5:$AF$404,$AG274))</f>
        <v/>
      </c>
      <c r="AD274">
        <f>IF($AG274="","",INDEX('04_調査結果'!$AC$5:$AC$404,$AG274)&amp;"")</f>
        <v/>
      </c>
      <c r="AE274">
        <f>IF($AG274="","",INDEX('04_調査結果'!$V$5:$V$404,$AG274)&amp;"")</f>
        <v/>
      </c>
      <c r="AF274">
        <f>IF($AG274="","",INDEX('04_調査結果'!$X$5:$X$404,$AG274)&amp;"")</f>
        <v/>
      </c>
      <c r="AG274" s="34">
        <f>IFERROR(MATCH(ROW()-4,'04_調査結果'!$AT$5:$AT$404,0),"")</f>
        <v/>
      </c>
    </row>
    <row r="275">
      <c r="A275">
        <f>IF($AG275="","",'01_設定'!$C$4)</f>
        <v/>
      </c>
      <c r="B275">
        <f>IF($AG275="","",'01_設定'!$C$5)</f>
        <v/>
      </c>
      <c r="C275">
        <f>IF($AG275="","",'01_設定'!$C$6)</f>
        <v/>
      </c>
      <c r="D275" s="36">
        <f>IF($AG275="","",'01_設定'!$C$22)</f>
        <v/>
      </c>
      <c r="E275" s="36">
        <f>IF($AG275="","",'01_設定'!$C$23)</f>
        <v/>
      </c>
      <c r="F275">
        <f>IF($AG275="","",'01_設定'!$C$32)</f>
        <v/>
      </c>
      <c r="G275">
        <f>IF($AG275="","",ROW()-4)</f>
        <v/>
      </c>
      <c r="H275">
        <f>IF($AG275="","",INDEX('04_調査結果'!$AJ$5:$AJ$404,$AG275))</f>
        <v/>
      </c>
      <c r="I275">
        <f>IF($AG275="","",INDEX('04_調査結果'!$D$5:$D$404,$AG275)&amp;"")</f>
        <v/>
      </c>
      <c r="J275">
        <f>IF($AG275="","",INDEX('04_調査結果'!$AK$5:$AK$404,$AG275)&amp;"")</f>
        <v/>
      </c>
      <c r="K275">
        <f>IF($AG275="","",IFERROR(INDEX('M1_類型マスタ'!$B$5:$B$19,MATCH(J275,'M1_類型マスタ'!$A$5:$A$19,0)),""))</f>
        <v/>
      </c>
      <c r="L275">
        <f>IF($AG275="","",INDEX('04_調査結果'!$F$5:$F$404,$AG275)&amp;"")</f>
        <v/>
      </c>
      <c r="M275">
        <f>IF($AG275="","",INDEX('04_調査結果'!$G$5:$G$404,$AG275)&amp;"")</f>
        <v/>
      </c>
      <c r="N275">
        <f>IF($AG275="","",INDEX('04_調査結果'!$H$5:$H$404,$AG275)&amp;"")</f>
        <v/>
      </c>
      <c r="O275" s="33">
        <f>IF($AG275="","",IF(INDEX('04_調査結果'!$Z$5:$Z$404,$AG275)&lt;&gt;"",INDEX('04_調査結果'!$Z$5:$Z$404,$AG275),INDEX('04_調査結果'!$AM$5:$AM$404,$AG275)))</f>
        <v/>
      </c>
      <c r="P275" s="33">
        <f>IF($AG275="","",IF(INDEX('04_調査結果'!$AA$5:$AA$404,$AG275)&lt;&gt;"",INDEX('04_調査結果'!$AA$5:$AA$404,$AG275),INDEX('04_調査結果'!$AN$5:$AN$404,$AG275)))</f>
        <v/>
      </c>
      <c r="Q275" s="33">
        <f>IF($AG275="","",INDEX('04_調査結果'!$AD$5:$AD$404,$AG275))</f>
        <v/>
      </c>
      <c r="R275">
        <f>IF($AG275="","",INDEX('04_調査結果'!$AO$5:$AO$404,$AG275))</f>
        <v/>
      </c>
      <c r="S275" s="37">
        <f>IF($AG275="","",INDEX('04_調査結果'!$AQ$5:$AQ$404,$AG275))</f>
        <v/>
      </c>
      <c r="T275" s="37">
        <f>IF($AG275="","",INDEX('04_調査結果'!$AR$5:$AR$404,$AG275))</f>
        <v/>
      </c>
      <c r="U275">
        <f>IF($AG275="","",INDEX('04_調査結果'!$N$5:$N$404,$AG275)&amp;"")</f>
        <v/>
      </c>
      <c r="V275">
        <f>IF($AG275="","",INDEX('04_調査結果'!$O$5:$O$404,$AG275))</f>
        <v/>
      </c>
      <c r="W275">
        <f>IF($AG275="","",INDEX('04_調査結果'!$P$5:$P$404,$AG275))</f>
        <v/>
      </c>
      <c r="X275">
        <f>IF($AG275="","",INDEX('04_調査結果'!$Q$5:$Q$404,$AG275))</f>
        <v/>
      </c>
      <c r="Y275">
        <f>IF($AG275="","",INDEX('04_調査結果'!$R$5:$R$404,$AG275))</f>
        <v/>
      </c>
      <c r="Z275">
        <f>IF($AG275="","",INDEX('04_調査結果'!$S$5:$S$404,$AG275))</f>
        <v/>
      </c>
      <c r="AA275">
        <f>IF($AG275="","",INDEX('04_調査結果'!$T$5:$T$404,$AG275))</f>
        <v/>
      </c>
      <c r="AB275">
        <f>IF($AG275="","",INDEX('04_調査結果'!$U$5:$U$404,$AG275))</f>
        <v/>
      </c>
      <c r="AC275">
        <f>IF($AG275="","",INDEX('04_調査結果'!$AF$5:$AF$404,$AG275))</f>
        <v/>
      </c>
      <c r="AD275">
        <f>IF($AG275="","",INDEX('04_調査結果'!$AC$5:$AC$404,$AG275)&amp;"")</f>
        <v/>
      </c>
      <c r="AE275">
        <f>IF($AG275="","",INDEX('04_調査結果'!$V$5:$V$404,$AG275)&amp;"")</f>
        <v/>
      </c>
      <c r="AF275">
        <f>IF($AG275="","",INDEX('04_調査結果'!$X$5:$X$404,$AG275)&amp;"")</f>
        <v/>
      </c>
      <c r="AG275" s="34">
        <f>IFERROR(MATCH(ROW()-4,'04_調査結果'!$AT$5:$AT$404,0),"")</f>
        <v/>
      </c>
    </row>
    <row r="276">
      <c r="A276">
        <f>IF($AG276="","",'01_設定'!$C$4)</f>
        <v/>
      </c>
      <c r="B276">
        <f>IF($AG276="","",'01_設定'!$C$5)</f>
        <v/>
      </c>
      <c r="C276">
        <f>IF($AG276="","",'01_設定'!$C$6)</f>
        <v/>
      </c>
      <c r="D276" s="36">
        <f>IF($AG276="","",'01_設定'!$C$22)</f>
        <v/>
      </c>
      <c r="E276" s="36">
        <f>IF($AG276="","",'01_設定'!$C$23)</f>
        <v/>
      </c>
      <c r="F276">
        <f>IF($AG276="","",'01_設定'!$C$32)</f>
        <v/>
      </c>
      <c r="G276">
        <f>IF($AG276="","",ROW()-4)</f>
        <v/>
      </c>
      <c r="H276">
        <f>IF($AG276="","",INDEX('04_調査結果'!$AJ$5:$AJ$404,$AG276))</f>
        <v/>
      </c>
      <c r="I276">
        <f>IF($AG276="","",INDEX('04_調査結果'!$D$5:$D$404,$AG276)&amp;"")</f>
        <v/>
      </c>
      <c r="J276">
        <f>IF($AG276="","",INDEX('04_調査結果'!$AK$5:$AK$404,$AG276)&amp;"")</f>
        <v/>
      </c>
      <c r="K276">
        <f>IF($AG276="","",IFERROR(INDEX('M1_類型マスタ'!$B$5:$B$19,MATCH(J276,'M1_類型マスタ'!$A$5:$A$19,0)),""))</f>
        <v/>
      </c>
      <c r="L276">
        <f>IF($AG276="","",INDEX('04_調査結果'!$F$5:$F$404,$AG276)&amp;"")</f>
        <v/>
      </c>
      <c r="M276">
        <f>IF($AG276="","",INDEX('04_調査結果'!$G$5:$G$404,$AG276)&amp;"")</f>
        <v/>
      </c>
      <c r="N276">
        <f>IF($AG276="","",INDEX('04_調査結果'!$H$5:$H$404,$AG276)&amp;"")</f>
        <v/>
      </c>
      <c r="O276" s="33">
        <f>IF($AG276="","",IF(INDEX('04_調査結果'!$Z$5:$Z$404,$AG276)&lt;&gt;"",INDEX('04_調査結果'!$Z$5:$Z$404,$AG276),INDEX('04_調査結果'!$AM$5:$AM$404,$AG276)))</f>
        <v/>
      </c>
      <c r="P276" s="33">
        <f>IF($AG276="","",IF(INDEX('04_調査結果'!$AA$5:$AA$404,$AG276)&lt;&gt;"",INDEX('04_調査結果'!$AA$5:$AA$404,$AG276),INDEX('04_調査結果'!$AN$5:$AN$404,$AG276)))</f>
        <v/>
      </c>
      <c r="Q276" s="33">
        <f>IF($AG276="","",INDEX('04_調査結果'!$AD$5:$AD$404,$AG276))</f>
        <v/>
      </c>
      <c r="R276">
        <f>IF($AG276="","",INDEX('04_調査結果'!$AO$5:$AO$404,$AG276))</f>
        <v/>
      </c>
      <c r="S276" s="37">
        <f>IF($AG276="","",INDEX('04_調査結果'!$AQ$5:$AQ$404,$AG276))</f>
        <v/>
      </c>
      <c r="T276" s="37">
        <f>IF($AG276="","",INDEX('04_調査結果'!$AR$5:$AR$404,$AG276))</f>
        <v/>
      </c>
      <c r="U276">
        <f>IF($AG276="","",INDEX('04_調査結果'!$N$5:$N$404,$AG276)&amp;"")</f>
        <v/>
      </c>
      <c r="V276">
        <f>IF($AG276="","",INDEX('04_調査結果'!$O$5:$O$404,$AG276))</f>
        <v/>
      </c>
      <c r="W276">
        <f>IF($AG276="","",INDEX('04_調査結果'!$P$5:$P$404,$AG276))</f>
        <v/>
      </c>
      <c r="X276">
        <f>IF($AG276="","",INDEX('04_調査結果'!$Q$5:$Q$404,$AG276))</f>
        <v/>
      </c>
      <c r="Y276">
        <f>IF($AG276="","",INDEX('04_調査結果'!$R$5:$R$404,$AG276))</f>
        <v/>
      </c>
      <c r="Z276">
        <f>IF($AG276="","",INDEX('04_調査結果'!$S$5:$S$404,$AG276))</f>
        <v/>
      </c>
      <c r="AA276">
        <f>IF($AG276="","",INDEX('04_調査結果'!$T$5:$T$404,$AG276))</f>
        <v/>
      </c>
      <c r="AB276">
        <f>IF($AG276="","",INDEX('04_調査結果'!$U$5:$U$404,$AG276))</f>
        <v/>
      </c>
      <c r="AC276">
        <f>IF($AG276="","",INDEX('04_調査結果'!$AF$5:$AF$404,$AG276))</f>
        <v/>
      </c>
      <c r="AD276">
        <f>IF($AG276="","",INDEX('04_調査結果'!$AC$5:$AC$404,$AG276)&amp;"")</f>
        <v/>
      </c>
      <c r="AE276">
        <f>IF($AG276="","",INDEX('04_調査結果'!$V$5:$V$404,$AG276)&amp;"")</f>
        <v/>
      </c>
      <c r="AF276">
        <f>IF($AG276="","",INDEX('04_調査結果'!$X$5:$X$404,$AG276)&amp;"")</f>
        <v/>
      </c>
      <c r="AG276" s="34">
        <f>IFERROR(MATCH(ROW()-4,'04_調査結果'!$AT$5:$AT$404,0),"")</f>
        <v/>
      </c>
    </row>
    <row r="277">
      <c r="A277">
        <f>IF($AG277="","",'01_設定'!$C$4)</f>
        <v/>
      </c>
      <c r="B277">
        <f>IF($AG277="","",'01_設定'!$C$5)</f>
        <v/>
      </c>
      <c r="C277">
        <f>IF($AG277="","",'01_設定'!$C$6)</f>
        <v/>
      </c>
      <c r="D277" s="36">
        <f>IF($AG277="","",'01_設定'!$C$22)</f>
        <v/>
      </c>
      <c r="E277" s="36">
        <f>IF($AG277="","",'01_設定'!$C$23)</f>
        <v/>
      </c>
      <c r="F277">
        <f>IF($AG277="","",'01_設定'!$C$32)</f>
        <v/>
      </c>
      <c r="G277">
        <f>IF($AG277="","",ROW()-4)</f>
        <v/>
      </c>
      <c r="H277">
        <f>IF($AG277="","",INDEX('04_調査結果'!$AJ$5:$AJ$404,$AG277))</f>
        <v/>
      </c>
      <c r="I277">
        <f>IF($AG277="","",INDEX('04_調査結果'!$D$5:$D$404,$AG277)&amp;"")</f>
        <v/>
      </c>
      <c r="J277">
        <f>IF($AG277="","",INDEX('04_調査結果'!$AK$5:$AK$404,$AG277)&amp;"")</f>
        <v/>
      </c>
      <c r="K277">
        <f>IF($AG277="","",IFERROR(INDEX('M1_類型マスタ'!$B$5:$B$19,MATCH(J277,'M1_類型マスタ'!$A$5:$A$19,0)),""))</f>
        <v/>
      </c>
      <c r="L277">
        <f>IF($AG277="","",INDEX('04_調査結果'!$F$5:$F$404,$AG277)&amp;"")</f>
        <v/>
      </c>
      <c r="M277">
        <f>IF($AG277="","",INDEX('04_調査結果'!$G$5:$G$404,$AG277)&amp;"")</f>
        <v/>
      </c>
      <c r="N277">
        <f>IF($AG277="","",INDEX('04_調査結果'!$H$5:$H$404,$AG277)&amp;"")</f>
        <v/>
      </c>
      <c r="O277" s="33">
        <f>IF($AG277="","",IF(INDEX('04_調査結果'!$Z$5:$Z$404,$AG277)&lt;&gt;"",INDEX('04_調査結果'!$Z$5:$Z$404,$AG277),INDEX('04_調査結果'!$AM$5:$AM$404,$AG277)))</f>
        <v/>
      </c>
      <c r="P277" s="33">
        <f>IF($AG277="","",IF(INDEX('04_調査結果'!$AA$5:$AA$404,$AG277)&lt;&gt;"",INDEX('04_調査結果'!$AA$5:$AA$404,$AG277),INDEX('04_調査結果'!$AN$5:$AN$404,$AG277)))</f>
        <v/>
      </c>
      <c r="Q277" s="33">
        <f>IF($AG277="","",INDEX('04_調査結果'!$AD$5:$AD$404,$AG277))</f>
        <v/>
      </c>
      <c r="R277">
        <f>IF($AG277="","",INDEX('04_調査結果'!$AO$5:$AO$404,$AG277))</f>
        <v/>
      </c>
      <c r="S277" s="37">
        <f>IF($AG277="","",INDEX('04_調査結果'!$AQ$5:$AQ$404,$AG277))</f>
        <v/>
      </c>
      <c r="T277" s="37">
        <f>IF($AG277="","",INDEX('04_調査結果'!$AR$5:$AR$404,$AG277))</f>
        <v/>
      </c>
      <c r="U277">
        <f>IF($AG277="","",INDEX('04_調査結果'!$N$5:$N$404,$AG277)&amp;"")</f>
        <v/>
      </c>
      <c r="V277">
        <f>IF($AG277="","",INDEX('04_調査結果'!$O$5:$O$404,$AG277))</f>
        <v/>
      </c>
      <c r="W277">
        <f>IF($AG277="","",INDEX('04_調査結果'!$P$5:$P$404,$AG277))</f>
        <v/>
      </c>
      <c r="X277">
        <f>IF($AG277="","",INDEX('04_調査結果'!$Q$5:$Q$404,$AG277))</f>
        <v/>
      </c>
      <c r="Y277">
        <f>IF($AG277="","",INDEX('04_調査結果'!$R$5:$R$404,$AG277))</f>
        <v/>
      </c>
      <c r="Z277">
        <f>IF($AG277="","",INDEX('04_調査結果'!$S$5:$S$404,$AG277))</f>
        <v/>
      </c>
      <c r="AA277">
        <f>IF($AG277="","",INDEX('04_調査結果'!$T$5:$T$404,$AG277))</f>
        <v/>
      </c>
      <c r="AB277">
        <f>IF($AG277="","",INDEX('04_調査結果'!$U$5:$U$404,$AG277))</f>
        <v/>
      </c>
      <c r="AC277">
        <f>IF($AG277="","",INDEX('04_調査結果'!$AF$5:$AF$404,$AG277))</f>
        <v/>
      </c>
      <c r="AD277">
        <f>IF($AG277="","",INDEX('04_調査結果'!$AC$5:$AC$404,$AG277)&amp;"")</f>
        <v/>
      </c>
      <c r="AE277">
        <f>IF($AG277="","",INDEX('04_調査結果'!$V$5:$V$404,$AG277)&amp;"")</f>
        <v/>
      </c>
      <c r="AF277">
        <f>IF($AG277="","",INDEX('04_調査結果'!$X$5:$X$404,$AG277)&amp;"")</f>
        <v/>
      </c>
      <c r="AG277" s="34">
        <f>IFERROR(MATCH(ROW()-4,'04_調査結果'!$AT$5:$AT$404,0),"")</f>
        <v/>
      </c>
    </row>
    <row r="278">
      <c r="A278">
        <f>IF($AG278="","",'01_設定'!$C$4)</f>
        <v/>
      </c>
      <c r="B278">
        <f>IF($AG278="","",'01_設定'!$C$5)</f>
        <v/>
      </c>
      <c r="C278">
        <f>IF($AG278="","",'01_設定'!$C$6)</f>
        <v/>
      </c>
      <c r="D278" s="36">
        <f>IF($AG278="","",'01_設定'!$C$22)</f>
        <v/>
      </c>
      <c r="E278" s="36">
        <f>IF($AG278="","",'01_設定'!$C$23)</f>
        <v/>
      </c>
      <c r="F278">
        <f>IF($AG278="","",'01_設定'!$C$32)</f>
        <v/>
      </c>
      <c r="G278">
        <f>IF($AG278="","",ROW()-4)</f>
        <v/>
      </c>
      <c r="H278">
        <f>IF($AG278="","",INDEX('04_調査結果'!$AJ$5:$AJ$404,$AG278))</f>
        <v/>
      </c>
      <c r="I278">
        <f>IF($AG278="","",INDEX('04_調査結果'!$D$5:$D$404,$AG278)&amp;"")</f>
        <v/>
      </c>
      <c r="J278">
        <f>IF($AG278="","",INDEX('04_調査結果'!$AK$5:$AK$404,$AG278)&amp;"")</f>
        <v/>
      </c>
      <c r="K278">
        <f>IF($AG278="","",IFERROR(INDEX('M1_類型マスタ'!$B$5:$B$19,MATCH(J278,'M1_類型マスタ'!$A$5:$A$19,0)),""))</f>
        <v/>
      </c>
      <c r="L278">
        <f>IF($AG278="","",INDEX('04_調査結果'!$F$5:$F$404,$AG278)&amp;"")</f>
        <v/>
      </c>
      <c r="M278">
        <f>IF($AG278="","",INDEX('04_調査結果'!$G$5:$G$404,$AG278)&amp;"")</f>
        <v/>
      </c>
      <c r="N278">
        <f>IF($AG278="","",INDEX('04_調査結果'!$H$5:$H$404,$AG278)&amp;"")</f>
        <v/>
      </c>
      <c r="O278" s="33">
        <f>IF($AG278="","",IF(INDEX('04_調査結果'!$Z$5:$Z$404,$AG278)&lt;&gt;"",INDEX('04_調査結果'!$Z$5:$Z$404,$AG278),INDEX('04_調査結果'!$AM$5:$AM$404,$AG278)))</f>
        <v/>
      </c>
      <c r="P278" s="33">
        <f>IF($AG278="","",IF(INDEX('04_調査結果'!$AA$5:$AA$404,$AG278)&lt;&gt;"",INDEX('04_調査結果'!$AA$5:$AA$404,$AG278),INDEX('04_調査結果'!$AN$5:$AN$404,$AG278)))</f>
        <v/>
      </c>
      <c r="Q278" s="33">
        <f>IF($AG278="","",INDEX('04_調査結果'!$AD$5:$AD$404,$AG278))</f>
        <v/>
      </c>
      <c r="R278">
        <f>IF($AG278="","",INDEX('04_調査結果'!$AO$5:$AO$404,$AG278))</f>
        <v/>
      </c>
      <c r="S278" s="37">
        <f>IF($AG278="","",INDEX('04_調査結果'!$AQ$5:$AQ$404,$AG278))</f>
        <v/>
      </c>
      <c r="T278" s="37">
        <f>IF($AG278="","",INDEX('04_調査結果'!$AR$5:$AR$404,$AG278))</f>
        <v/>
      </c>
      <c r="U278">
        <f>IF($AG278="","",INDEX('04_調査結果'!$N$5:$N$404,$AG278)&amp;"")</f>
        <v/>
      </c>
      <c r="V278">
        <f>IF($AG278="","",INDEX('04_調査結果'!$O$5:$O$404,$AG278))</f>
        <v/>
      </c>
      <c r="W278">
        <f>IF($AG278="","",INDEX('04_調査結果'!$P$5:$P$404,$AG278))</f>
        <v/>
      </c>
      <c r="X278">
        <f>IF($AG278="","",INDEX('04_調査結果'!$Q$5:$Q$404,$AG278))</f>
        <v/>
      </c>
      <c r="Y278">
        <f>IF($AG278="","",INDEX('04_調査結果'!$R$5:$R$404,$AG278))</f>
        <v/>
      </c>
      <c r="Z278">
        <f>IF($AG278="","",INDEX('04_調査結果'!$S$5:$S$404,$AG278))</f>
        <v/>
      </c>
      <c r="AA278">
        <f>IF($AG278="","",INDEX('04_調査結果'!$T$5:$T$404,$AG278))</f>
        <v/>
      </c>
      <c r="AB278">
        <f>IF($AG278="","",INDEX('04_調査結果'!$U$5:$U$404,$AG278))</f>
        <v/>
      </c>
      <c r="AC278">
        <f>IF($AG278="","",INDEX('04_調査結果'!$AF$5:$AF$404,$AG278))</f>
        <v/>
      </c>
      <c r="AD278">
        <f>IF($AG278="","",INDEX('04_調査結果'!$AC$5:$AC$404,$AG278)&amp;"")</f>
        <v/>
      </c>
      <c r="AE278">
        <f>IF($AG278="","",INDEX('04_調査結果'!$V$5:$V$404,$AG278)&amp;"")</f>
        <v/>
      </c>
      <c r="AF278">
        <f>IF($AG278="","",INDEX('04_調査結果'!$X$5:$X$404,$AG278)&amp;"")</f>
        <v/>
      </c>
      <c r="AG278" s="34">
        <f>IFERROR(MATCH(ROW()-4,'04_調査結果'!$AT$5:$AT$404,0),"")</f>
        <v/>
      </c>
    </row>
    <row r="279">
      <c r="A279">
        <f>IF($AG279="","",'01_設定'!$C$4)</f>
        <v/>
      </c>
      <c r="B279">
        <f>IF($AG279="","",'01_設定'!$C$5)</f>
        <v/>
      </c>
      <c r="C279">
        <f>IF($AG279="","",'01_設定'!$C$6)</f>
        <v/>
      </c>
      <c r="D279" s="36">
        <f>IF($AG279="","",'01_設定'!$C$22)</f>
        <v/>
      </c>
      <c r="E279" s="36">
        <f>IF($AG279="","",'01_設定'!$C$23)</f>
        <v/>
      </c>
      <c r="F279">
        <f>IF($AG279="","",'01_設定'!$C$32)</f>
        <v/>
      </c>
      <c r="G279">
        <f>IF($AG279="","",ROW()-4)</f>
        <v/>
      </c>
      <c r="H279">
        <f>IF($AG279="","",INDEX('04_調査結果'!$AJ$5:$AJ$404,$AG279))</f>
        <v/>
      </c>
      <c r="I279">
        <f>IF($AG279="","",INDEX('04_調査結果'!$D$5:$D$404,$AG279)&amp;"")</f>
        <v/>
      </c>
      <c r="J279">
        <f>IF($AG279="","",INDEX('04_調査結果'!$AK$5:$AK$404,$AG279)&amp;"")</f>
        <v/>
      </c>
      <c r="K279">
        <f>IF($AG279="","",IFERROR(INDEX('M1_類型マスタ'!$B$5:$B$19,MATCH(J279,'M1_類型マスタ'!$A$5:$A$19,0)),""))</f>
        <v/>
      </c>
      <c r="L279">
        <f>IF($AG279="","",INDEX('04_調査結果'!$F$5:$F$404,$AG279)&amp;"")</f>
        <v/>
      </c>
      <c r="M279">
        <f>IF($AG279="","",INDEX('04_調査結果'!$G$5:$G$404,$AG279)&amp;"")</f>
        <v/>
      </c>
      <c r="N279">
        <f>IF($AG279="","",INDEX('04_調査結果'!$H$5:$H$404,$AG279)&amp;"")</f>
        <v/>
      </c>
      <c r="O279" s="33">
        <f>IF($AG279="","",IF(INDEX('04_調査結果'!$Z$5:$Z$404,$AG279)&lt;&gt;"",INDEX('04_調査結果'!$Z$5:$Z$404,$AG279),INDEX('04_調査結果'!$AM$5:$AM$404,$AG279)))</f>
        <v/>
      </c>
      <c r="P279" s="33">
        <f>IF($AG279="","",IF(INDEX('04_調査結果'!$AA$5:$AA$404,$AG279)&lt;&gt;"",INDEX('04_調査結果'!$AA$5:$AA$404,$AG279),INDEX('04_調査結果'!$AN$5:$AN$404,$AG279)))</f>
        <v/>
      </c>
      <c r="Q279" s="33">
        <f>IF($AG279="","",INDEX('04_調査結果'!$AD$5:$AD$404,$AG279))</f>
        <v/>
      </c>
      <c r="R279">
        <f>IF($AG279="","",INDEX('04_調査結果'!$AO$5:$AO$404,$AG279))</f>
        <v/>
      </c>
      <c r="S279" s="37">
        <f>IF($AG279="","",INDEX('04_調査結果'!$AQ$5:$AQ$404,$AG279))</f>
        <v/>
      </c>
      <c r="T279" s="37">
        <f>IF($AG279="","",INDEX('04_調査結果'!$AR$5:$AR$404,$AG279))</f>
        <v/>
      </c>
      <c r="U279">
        <f>IF($AG279="","",INDEX('04_調査結果'!$N$5:$N$404,$AG279)&amp;"")</f>
        <v/>
      </c>
      <c r="V279">
        <f>IF($AG279="","",INDEX('04_調査結果'!$O$5:$O$404,$AG279))</f>
        <v/>
      </c>
      <c r="W279">
        <f>IF($AG279="","",INDEX('04_調査結果'!$P$5:$P$404,$AG279))</f>
        <v/>
      </c>
      <c r="X279">
        <f>IF($AG279="","",INDEX('04_調査結果'!$Q$5:$Q$404,$AG279))</f>
        <v/>
      </c>
      <c r="Y279">
        <f>IF($AG279="","",INDEX('04_調査結果'!$R$5:$R$404,$AG279))</f>
        <v/>
      </c>
      <c r="Z279">
        <f>IF($AG279="","",INDEX('04_調査結果'!$S$5:$S$404,$AG279))</f>
        <v/>
      </c>
      <c r="AA279">
        <f>IF($AG279="","",INDEX('04_調査結果'!$T$5:$T$404,$AG279))</f>
        <v/>
      </c>
      <c r="AB279">
        <f>IF($AG279="","",INDEX('04_調査結果'!$U$5:$U$404,$AG279))</f>
        <v/>
      </c>
      <c r="AC279">
        <f>IF($AG279="","",INDEX('04_調査結果'!$AF$5:$AF$404,$AG279))</f>
        <v/>
      </c>
      <c r="AD279">
        <f>IF($AG279="","",INDEX('04_調査結果'!$AC$5:$AC$404,$AG279)&amp;"")</f>
        <v/>
      </c>
      <c r="AE279">
        <f>IF($AG279="","",INDEX('04_調査結果'!$V$5:$V$404,$AG279)&amp;"")</f>
        <v/>
      </c>
      <c r="AF279">
        <f>IF($AG279="","",INDEX('04_調査結果'!$X$5:$X$404,$AG279)&amp;"")</f>
        <v/>
      </c>
      <c r="AG279" s="34">
        <f>IFERROR(MATCH(ROW()-4,'04_調査結果'!$AT$5:$AT$404,0),"")</f>
        <v/>
      </c>
    </row>
    <row r="280">
      <c r="A280">
        <f>IF($AG280="","",'01_設定'!$C$4)</f>
        <v/>
      </c>
      <c r="B280">
        <f>IF($AG280="","",'01_設定'!$C$5)</f>
        <v/>
      </c>
      <c r="C280">
        <f>IF($AG280="","",'01_設定'!$C$6)</f>
        <v/>
      </c>
      <c r="D280" s="36">
        <f>IF($AG280="","",'01_設定'!$C$22)</f>
        <v/>
      </c>
      <c r="E280" s="36">
        <f>IF($AG280="","",'01_設定'!$C$23)</f>
        <v/>
      </c>
      <c r="F280">
        <f>IF($AG280="","",'01_設定'!$C$32)</f>
        <v/>
      </c>
      <c r="G280">
        <f>IF($AG280="","",ROW()-4)</f>
        <v/>
      </c>
      <c r="H280">
        <f>IF($AG280="","",INDEX('04_調査結果'!$AJ$5:$AJ$404,$AG280))</f>
        <v/>
      </c>
      <c r="I280">
        <f>IF($AG280="","",INDEX('04_調査結果'!$D$5:$D$404,$AG280)&amp;"")</f>
        <v/>
      </c>
      <c r="J280">
        <f>IF($AG280="","",INDEX('04_調査結果'!$AK$5:$AK$404,$AG280)&amp;"")</f>
        <v/>
      </c>
      <c r="K280">
        <f>IF($AG280="","",IFERROR(INDEX('M1_類型マスタ'!$B$5:$B$19,MATCH(J280,'M1_類型マスタ'!$A$5:$A$19,0)),""))</f>
        <v/>
      </c>
      <c r="L280">
        <f>IF($AG280="","",INDEX('04_調査結果'!$F$5:$F$404,$AG280)&amp;"")</f>
        <v/>
      </c>
      <c r="M280">
        <f>IF($AG280="","",INDEX('04_調査結果'!$G$5:$G$404,$AG280)&amp;"")</f>
        <v/>
      </c>
      <c r="N280">
        <f>IF($AG280="","",INDEX('04_調査結果'!$H$5:$H$404,$AG280)&amp;"")</f>
        <v/>
      </c>
      <c r="O280" s="33">
        <f>IF($AG280="","",IF(INDEX('04_調査結果'!$Z$5:$Z$404,$AG280)&lt;&gt;"",INDEX('04_調査結果'!$Z$5:$Z$404,$AG280),INDEX('04_調査結果'!$AM$5:$AM$404,$AG280)))</f>
        <v/>
      </c>
      <c r="P280" s="33">
        <f>IF($AG280="","",IF(INDEX('04_調査結果'!$AA$5:$AA$404,$AG280)&lt;&gt;"",INDEX('04_調査結果'!$AA$5:$AA$404,$AG280),INDEX('04_調査結果'!$AN$5:$AN$404,$AG280)))</f>
        <v/>
      </c>
      <c r="Q280" s="33">
        <f>IF($AG280="","",INDEX('04_調査結果'!$AD$5:$AD$404,$AG280))</f>
        <v/>
      </c>
      <c r="R280">
        <f>IF($AG280="","",INDEX('04_調査結果'!$AO$5:$AO$404,$AG280))</f>
        <v/>
      </c>
      <c r="S280" s="37">
        <f>IF($AG280="","",INDEX('04_調査結果'!$AQ$5:$AQ$404,$AG280))</f>
        <v/>
      </c>
      <c r="T280" s="37">
        <f>IF($AG280="","",INDEX('04_調査結果'!$AR$5:$AR$404,$AG280))</f>
        <v/>
      </c>
      <c r="U280">
        <f>IF($AG280="","",INDEX('04_調査結果'!$N$5:$N$404,$AG280)&amp;"")</f>
        <v/>
      </c>
      <c r="V280">
        <f>IF($AG280="","",INDEX('04_調査結果'!$O$5:$O$404,$AG280))</f>
        <v/>
      </c>
      <c r="W280">
        <f>IF($AG280="","",INDEX('04_調査結果'!$P$5:$P$404,$AG280))</f>
        <v/>
      </c>
      <c r="X280">
        <f>IF($AG280="","",INDEX('04_調査結果'!$Q$5:$Q$404,$AG280))</f>
        <v/>
      </c>
      <c r="Y280">
        <f>IF($AG280="","",INDEX('04_調査結果'!$R$5:$R$404,$AG280))</f>
        <v/>
      </c>
      <c r="Z280">
        <f>IF($AG280="","",INDEX('04_調査結果'!$S$5:$S$404,$AG280))</f>
        <v/>
      </c>
      <c r="AA280">
        <f>IF($AG280="","",INDEX('04_調査結果'!$T$5:$T$404,$AG280))</f>
        <v/>
      </c>
      <c r="AB280">
        <f>IF($AG280="","",INDEX('04_調査結果'!$U$5:$U$404,$AG280))</f>
        <v/>
      </c>
      <c r="AC280">
        <f>IF($AG280="","",INDEX('04_調査結果'!$AF$5:$AF$404,$AG280))</f>
        <v/>
      </c>
      <c r="AD280">
        <f>IF($AG280="","",INDEX('04_調査結果'!$AC$5:$AC$404,$AG280)&amp;"")</f>
        <v/>
      </c>
      <c r="AE280">
        <f>IF($AG280="","",INDEX('04_調査結果'!$V$5:$V$404,$AG280)&amp;"")</f>
        <v/>
      </c>
      <c r="AF280">
        <f>IF($AG280="","",INDEX('04_調査結果'!$X$5:$X$404,$AG280)&amp;"")</f>
        <v/>
      </c>
      <c r="AG280" s="34">
        <f>IFERROR(MATCH(ROW()-4,'04_調査結果'!$AT$5:$AT$404,0),"")</f>
        <v/>
      </c>
    </row>
    <row r="281">
      <c r="A281">
        <f>IF($AG281="","",'01_設定'!$C$4)</f>
        <v/>
      </c>
      <c r="B281">
        <f>IF($AG281="","",'01_設定'!$C$5)</f>
        <v/>
      </c>
      <c r="C281">
        <f>IF($AG281="","",'01_設定'!$C$6)</f>
        <v/>
      </c>
      <c r="D281" s="36">
        <f>IF($AG281="","",'01_設定'!$C$22)</f>
        <v/>
      </c>
      <c r="E281" s="36">
        <f>IF($AG281="","",'01_設定'!$C$23)</f>
        <v/>
      </c>
      <c r="F281">
        <f>IF($AG281="","",'01_設定'!$C$32)</f>
        <v/>
      </c>
      <c r="G281">
        <f>IF($AG281="","",ROW()-4)</f>
        <v/>
      </c>
      <c r="H281">
        <f>IF($AG281="","",INDEX('04_調査結果'!$AJ$5:$AJ$404,$AG281))</f>
        <v/>
      </c>
      <c r="I281">
        <f>IF($AG281="","",INDEX('04_調査結果'!$D$5:$D$404,$AG281)&amp;"")</f>
        <v/>
      </c>
      <c r="J281">
        <f>IF($AG281="","",INDEX('04_調査結果'!$AK$5:$AK$404,$AG281)&amp;"")</f>
        <v/>
      </c>
      <c r="K281">
        <f>IF($AG281="","",IFERROR(INDEX('M1_類型マスタ'!$B$5:$B$19,MATCH(J281,'M1_類型マスタ'!$A$5:$A$19,0)),""))</f>
        <v/>
      </c>
      <c r="L281">
        <f>IF($AG281="","",INDEX('04_調査結果'!$F$5:$F$404,$AG281)&amp;"")</f>
        <v/>
      </c>
      <c r="M281">
        <f>IF($AG281="","",INDEX('04_調査結果'!$G$5:$G$404,$AG281)&amp;"")</f>
        <v/>
      </c>
      <c r="N281">
        <f>IF($AG281="","",INDEX('04_調査結果'!$H$5:$H$404,$AG281)&amp;"")</f>
        <v/>
      </c>
      <c r="O281" s="33">
        <f>IF($AG281="","",IF(INDEX('04_調査結果'!$Z$5:$Z$404,$AG281)&lt;&gt;"",INDEX('04_調査結果'!$Z$5:$Z$404,$AG281),INDEX('04_調査結果'!$AM$5:$AM$404,$AG281)))</f>
        <v/>
      </c>
      <c r="P281" s="33">
        <f>IF($AG281="","",IF(INDEX('04_調査結果'!$AA$5:$AA$404,$AG281)&lt;&gt;"",INDEX('04_調査結果'!$AA$5:$AA$404,$AG281),INDEX('04_調査結果'!$AN$5:$AN$404,$AG281)))</f>
        <v/>
      </c>
      <c r="Q281" s="33">
        <f>IF($AG281="","",INDEX('04_調査結果'!$AD$5:$AD$404,$AG281))</f>
        <v/>
      </c>
      <c r="R281">
        <f>IF($AG281="","",INDEX('04_調査結果'!$AO$5:$AO$404,$AG281))</f>
        <v/>
      </c>
      <c r="S281" s="37">
        <f>IF($AG281="","",INDEX('04_調査結果'!$AQ$5:$AQ$404,$AG281))</f>
        <v/>
      </c>
      <c r="T281" s="37">
        <f>IF($AG281="","",INDEX('04_調査結果'!$AR$5:$AR$404,$AG281))</f>
        <v/>
      </c>
      <c r="U281">
        <f>IF($AG281="","",INDEX('04_調査結果'!$N$5:$N$404,$AG281)&amp;"")</f>
        <v/>
      </c>
      <c r="V281">
        <f>IF($AG281="","",INDEX('04_調査結果'!$O$5:$O$404,$AG281))</f>
        <v/>
      </c>
      <c r="W281">
        <f>IF($AG281="","",INDEX('04_調査結果'!$P$5:$P$404,$AG281))</f>
        <v/>
      </c>
      <c r="X281">
        <f>IF($AG281="","",INDEX('04_調査結果'!$Q$5:$Q$404,$AG281))</f>
        <v/>
      </c>
      <c r="Y281">
        <f>IF($AG281="","",INDEX('04_調査結果'!$R$5:$R$404,$AG281))</f>
        <v/>
      </c>
      <c r="Z281">
        <f>IF($AG281="","",INDEX('04_調査結果'!$S$5:$S$404,$AG281))</f>
        <v/>
      </c>
      <c r="AA281">
        <f>IF($AG281="","",INDEX('04_調査結果'!$T$5:$T$404,$AG281))</f>
        <v/>
      </c>
      <c r="AB281">
        <f>IF($AG281="","",INDEX('04_調査結果'!$U$5:$U$404,$AG281))</f>
        <v/>
      </c>
      <c r="AC281">
        <f>IF($AG281="","",INDEX('04_調査結果'!$AF$5:$AF$404,$AG281))</f>
        <v/>
      </c>
      <c r="AD281">
        <f>IF($AG281="","",INDEX('04_調査結果'!$AC$5:$AC$404,$AG281)&amp;"")</f>
        <v/>
      </c>
      <c r="AE281">
        <f>IF($AG281="","",INDEX('04_調査結果'!$V$5:$V$404,$AG281)&amp;"")</f>
        <v/>
      </c>
      <c r="AF281">
        <f>IF($AG281="","",INDEX('04_調査結果'!$X$5:$X$404,$AG281)&amp;"")</f>
        <v/>
      </c>
      <c r="AG281" s="34">
        <f>IFERROR(MATCH(ROW()-4,'04_調査結果'!$AT$5:$AT$404,0),"")</f>
        <v/>
      </c>
    </row>
    <row r="282">
      <c r="A282">
        <f>IF($AG282="","",'01_設定'!$C$4)</f>
        <v/>
      </c>
      <c r="B282">
        <f>IF($AG282="","",'01_設定'!$C$5)</f>
        <v/>
      </c>
      <c r="C282">
        <f>IF($AG282="","",'01_設定'!$C$6)</f>
        <v/>
      </c>
      <c r="D282" s="36">
        <f>IF($AG282="","",'01_設定'!$C$22)</f>
        <v/>
      </c>
      <c r="E282" s="36">
        <f>IF($AG282="","",'01_設定'!$C$23)</f>
        <v/>
      </c>
      <c r="F282">
        <f>IF($AG282="","",'01_設定'!$C$32)</f>
        <v/>
      </c>
      <c r="G282">
        <f>IF($AG282="","",ROW()-4)</f>
        <v/>
      </c>
      <c r="H282">
        <f>IF($AG282="","",INDEX('04_調査結果'!$AJ$5:$AJ$404,$AG282))</f>
        <v/>
      </c>
      <c r="I282">
        <f>IF($AG282="","",INDEX('04_調査結果'!$D$5:$D$404,$AG282)&amp;"")</f>
        <v/>
      </c>
      <c r="J282">
        <f>IF($AG282="","",INDEX('04_調査結果'!$AK$5:$AK$404,$AG282)&amp;"")</f>
        <v/>
      </c>
      <c r="K282">
        <f>IF($AG282="","",IFERROR(INDEX('M1_類型マスタ'!$B$5:$B$19,MATCH(J282,'M1_類型マスタ'!$A$5:$A$19,0)),""))</f>
        <v/>
      </c>
      <c r="L282">
        <f>IF($AG282="","",INDEX('04_調査結果'!$F$5:$F$404,$AG282)&amp;"")</f>
        <v/>
      </c>
      <c r="M282">
        <f>IF($AG282="","",INDEX('04_調査結果'!$G$5:$G$404,$AG282)&amp;"")</f>
        <v/>
      </c>
      <c r="N282">
        <f>IF($AG282="","",INDEX('04_調査結果'!$H$5:$H$404,$AG282)&amp;"")</f>
        <v/>
      </c>
      <c r="O282" s="33">
        <f>IF($AG282="","",IF(INDEX('04_調査結果'!$Z$5:$Z$404,$AG282)&lt;&gt;"",INDEX('04_調査結果'!$Z$5:$Z$404,$AG282),INDEX('04_調査結果'!$AM$5:$AM$404,$AG282)))</f>
        <v/>
      </c>
      <c r="P282" s="33">
        <f>IF($AG282="","",IF(INDEX('04_調査結果'!$AA$5:$AA$404,$AG282)&lt;&gt;"",INDEX('04_調査結果'!$AA$5:$AA$404,$AG282),INDEX('04_調査結果'!$AN$5:$AN$404,$AG282)))</f>
        <v/>
      </c>
      <c r="Q282" s="33">
        <f>IF($AG282="","",INDEX('04_調査結果'!$AD$5:$AD$404,$AG282))</f>
        <v/>
      </c>
      <c r="R282">
        <f>IF($AG282="","",INDEX('04_調査結果'!$AO$5:$AO$404,$AG282))</f>
        <v/>
      </c>
      <c r="S282" s="37">
        <f>IF($AG282="","",INDEX('04_調査結果'!$AQ$5:$AQ$404,$AG282))</f>
        <v/>
      </c>
      <c r="T282" s="37">
        <f>IF($AG282="","",INDEX('04_調査結果'!$AR$5:$AR$404,$AG282))</f>
        <v/>
      </c>
      <c r="U282">
        <f>IF($AG282="","",INDEX('04_調査結果'!$N$5:$N$404,$AG282)&amp;"")</f>
        <v/>
      </c>
      <c r="V282">
        <f>IF($AG282="","",INDEX('04_調査結果'!$O$5:$O$404,$AG282))</f>
        <v/>
      </c>
      <c r="W282">
        <f>IF($AG282="","",INDEX('04_調査結果'!$P$5:$P$404,$AG282))</f>
        <v/>
      </c>
      <c r="X282">
        <f>IF($AG282="","",INDEX('04_調査結果'!$Q$5:$Q$404,$AG282))</f>
        <v/>
      </c>
      <c r="Y282">
        <f>IF($AG282="","",INDEX('04_調査結果'!$R$5:$R$404,$AG282))</f>
        <v/>
      </c>
      <c r="Z282">
        <f>IF($AG282="","",INDEX('04_調査結果'!$S$5:$S$404,$AG282))</f>
        <v/>
      </c>
      <c r="AA282">
        <f>IF($AG282="","",INDEX('04_調査結果'!$T$5:$T$404,$AG282))</f>
        <v/>
      </c>
      <c r="AB282">
        <f>IF($AG282="","",INDEX('04_調査結果'!$U$5:$U$404,$AG282))</f>
        <v/>
      </c>
      <c r="AC282">
        <f>IF($AG282="","",INDEX('04_調査結果'!$AF$5:$AF$404,$AG282))</f>
        <v/>
      </c>
      <c r="AD282">
        <f>IF($AG282="","",INDEX('04_調査結果'!$AC$5:$AC$404,$AG282)&amp;"")</f>
        <v/>
      </c>
      <c r="AE282">
        <f>IF($AG282="","",INDEX('04_調査結果'!$V$5:$V$404,$AG282)&amp;"")</f>
        <v/>
      </c>
      <c r="AF282">
        <f>IF($AG282="","",INDEX('04_調査結果'!$X$5:$X$404,$AG282)&amp;"")</f>
        <v/>
      </c>
      <c r="AG282" s="34">
        <f>IFERROR(MATCH(ROW()-4,'04_調査結果'!$AT$5:$AT$404,0),"")</f>
        <v/>
      </c>
    </row>
    <row r="283">
      <c r="A283">
        <f>IF($AG283="","",'01_設定'!$C$4)</f>
        <v/>
      </c>
      <c r="B283">
        <f>IF($AG283="","",'01_設定'!$C$5)</f>
        <v/>
      </c>
      <c r="C283">
        <f>IF($AG283="","",'01_設定'!$C$6)</f>
        <v/>
      </c>
      <c r="D283" s="36">
        <f>IF($AG283="","",'01_設定'!$C$22)</f>
        <v/>
      </c>
      <c r="E283" s="36">
        <f>IF($AG283="","",'01_設定'!$C$23)</f>
        <v/>
      </c>
      <c r="F283">
        <f>IF($AG283="","",'01_設定'!$C$32)</f>
        <v/>
      </c>
      <c r="G283">
        <f>IF($AG283="","",ROW()-4)</f>
        <v/>
      </c>
      <c r="H283">
        <f>IF($AG283="","",INDEX('04_調査結果'!$AJ$5:$AJ$404,$AG283))</f>
        <v/>
      </c>
      <c r="I283">
        <f>IF($AG283="","",INDEX('04_調査結果'!$D$5:$D$404,$AG283)&amp;"")</f>
        <v/>
      </c>
      <c r="J283">
        <f>IF($AG283="","",INDEX('04_調査結果'!$AK$5:$AK$404,$AG283)&amp;"")</f>
        <v/>
      </c>
      <c r="K283">
        <f>IF($AG283="","",IFERROR(INDEX('M1_類型マスタ'!$B$5:$B$19,MATCH(J283,'M1_類型マスタ'!$A$5:$A$19,0)),""))</f>
        <v/>
      </c>
      <c r="L283">
        <f>IF($AG283="","",INDEX('04_調査結果'!$F$5:$F$404,$AG283)&amp;"")</f>
        <v/>
      </c>
      <c r="M283">
        <f>IF($AG283="","",INDEX('04_調査結果'!$G$5:$G$404,$AG283)&amp;"")</f>
        <v/>
      </c>
      <c r="N283">
        <f>IF($AG283="","",INDEX('04_調査結果'!$H$5:$H$404,$AG283)&amp;"")</f>
        <v/>
      </c>
      <c r="O283" s="33">
        <f>IF($AG283="","",IF(INDEX('04_調査結果'!$Z$5:$Z$404,$AG283)&lt;&gt;"",INDEX('04_調査結果'!$Z$5:$Z$404,$AG283),INDEX('04_調査結果'!$AM$5:$AM$404,$AG283)))</f>
        <v/>
      </c>
      <c r="P283" s="33">
        <f>IF($AG283="","",IF(INDEX('04_調査結果'!$AA$5:$AA$404,$AG283)&lt;&gt;"",INDEX('04_調査結果'!$AA$5:$AA$404,$AG283),INDEX('04_調査結果'!$AN$5:$AN$404,$AG283)))</f>
        <v/>
      </c>
      <c r="Q283" s="33">
        <f>IF($AG283="","",INDEX('04_調査結果'!$AD$5:$AD$404,$AG283))</f>
        <v/>
      </c>
      <c r="R283">
        <f>IF($AG283="","",INDEX('04_調査結果'!$AO$5:$AO$404,$AG283))</f>
        <v/>
      </c>
      <c r="S283" s="37">
        <f>IF($AG283="","",INDEX('04_調査結果'!$AQ$5:$AQ$404,$AG283))</f>
        <v/>
      </c>
      <c r="T283" s="37">
        <f>IF($AG283="","",INDEX('04_調査結果'!$AR$5:$AR$404,$AG283))</f>
        <v/>
      </c>
      <c r="U283">
        <f>IF($AG283="","",INDEX('04_調査結果'!$N$5:$N$404,$AG283)&amp;"")</f>
        <v/>
      </c>
      <c r="V283">
        <f>IF($AG283="","",INDEX('04_調査結果'!$O$5:$O$404,$AG283))</f>
        <v/>
      </c>
      <c r="W283">
        <f>IF($AG283="","",INDEX('04_調査結果'!$P$5:$P$404,$AG283))</f>
        <v/>
      </c>
      <c r="X283">
        <f>IF($AG283="","",INDEX('04_調査結果'!$Q$5:$Q$404,$AG283))</f>
        <v/>
      </c>
      <c r="Y283">
        <f>IF($AG283="","",INDEX('04_調査結果'!$R$5:$R$404,$AG283))</f>
        <v/>
      </c>
      <c r="Z283">
        <f>IF($AG283="","",INDEX('04_調査結果'!$S$5:$S$404,$AG283))</f>
        <v/>
      </c>
      <c r="AA283">
        <f>IF($AG283="","",INDEX('04_調査結果'!$T$5:$T$404,$AG283))</f>
        <v/>
      </c>
      <c r="AB283">
        <f>IF($AG283="","",INDEX('04_調査結果'!$U$5:$U$404,$AG283))</f>
        <v/>
      </c>
      <c r="AC283">
        <f>IF($AG283="","",INDEX('04_調査結果'!$AF$5:$AF$404,$AG283))</f>
        <v/>
      </c>
      <c r="AD283">
        <f>IF($AG283="","",INDEX('04_調査結果'!$AC$5:$AC$404,$AG283)&amp;"")</f>
        <v/>
      </c>
      <c r="AE283">
        <f>IF($AG283="","",INDEX('04_調査結果'!$V$5:$V$404,$AG283)&amp;"")</f>
        <v/>
      </c>
      <c r="AF283">
        <f>IF($AG283="","",INDEX('04_調査結果'!$X$5:$X$404,$AG283)&amp;"")</f>
        <v/>
      </c>
      <c r="AG283" s="34">
        <f>IFERROR(MATCH(ROW()-4,'04_調査結果'!$AT$5:$AT$404,0),"")</f>
        <v/>
      </c>
    </row>
    <row r="284">
      <c r="A284">
        <f>IF($AG284="","",'01_設定'!$C$4)</f>
        <v/>
      </c>
      <c r="B284">
        <f>IF($AG284="","",'01_設定'!$C$5)</f>
        <v/>
      </c>
      <c r="C284">
        <f>IF($AG284="","",'01_設定'!$C$6)</f>
        <v/>
      </c>
      <c r="D284" s="36">
        <f>IF($AG284="","",'01_設定'!$C$22)</f>
        <v/>
      </c>
      <c r="E284" s="36">
        <f>IF($AG284="","",'01_設定'!$C$23)</f>
        <v/>
      </c>
      <c r="F284">
        <f>IF($AG284="","",'01_設定'!$C$32)</f>
        <v/>
      </c>
      <c r="G284">
        <f>IF($AG284="","",ROW()-4)</f>
        <v/>
      </c>
      <c r="H284">
        <f>IF($AG284="","",INDEX('04_調査結果'!$AJ$5:$AJ$404,$AG284))</f>
        <v/>
      </c>
      <c r="I284">
        <f>IF($AG284="","",INDEX('04_調査結果'!$D$5:$D$404,$AG284)&amp;"")</f>
        <v/>
      </c>
      <c r="J284">
        <f>IF($AG284="","",INDEX('04_調査結果'!$AK$5:$AK$404,$AG284)&amp;"")</f>
        <v/>
      </c>
      <c r="K284">
        <f>IF($AG284="","",IFERROR(INDEX('M1_類型マスタ'!$B$5:$B$19,MATCH(J284,'M1_類型マスタ'!$A$5:$A$19,0)),""))</f>
        <v/>
      </c>
      <c r="L284">
        <f>IF($AG284="","",INDEX('04_調査結果'!$F$5:$F$404,$AG284)&amp;"")</f>
        <v/>
      </c>
      <c r="M284">
        <f>IF($AG284="","",INDEX('04_調査結果'!$G$5:$G$404,$AG284)&amp;"")</f>
        <v/>
      </c>
      <c r="N284">
        <f>IF($AG284="","",INDEX('04_調査結果'!$H$5:$H$404,$AG284)&amp;"")</f>
        <v/>
      </c>
      <c r="O284" s="33">
        <f>IF($AG284="","",IF(INDEX('04_調査結果'!$Z$5:$Z$404,$AG284)&lt;&gt;"",INDEX('04_調査結果'!$Z$5:$Z$404,$AG284),INDEX('04_調査結果'!$AM$5:$AM$404,$AG284)))</f>
        <v/>
      </c>
      <c r="P284" s="33">
        <f>IF($AG284="","",IF(INDEX('04_調査結果'!$AA$5:$AA$404,$AG284)&lt;&gt;"",INDEX('04_調査結果'!$AA$5:$AA$404,$AG284),INDEX('04_調査結果'!$AN$5:$AN$404,$AG284)))</f>
        <v/>
      </c>
      <c r="Q284" s="33">
        <f>IF($AG284="","",INDEX('04_調査結果'!$AD$5:$AD$404,$AG284))</f>
        <v/>
      </c>
      <c r="R284">
        <f>IF($AG284="","",INDEX('04_調査結果'!$AO$5:$AO$404,$AG284))</f>
        <v/>
      </c>
      <c r="S284" s="37">
        <f>IF($AG284="","",INDEX('04_調査結果'!$AQ$5:$AQ$404,$AG284))</f>
        <v/>
      </c>
      <c r="T284" s="37">
        <f>IF($AG284="","",INDEX('04_調査結果'!$AR$5:$AR$404,$AG284))</f>
        <v/>
      </c>
      <c r="U284">
        <f>IF($AG284="","",INDEX('04_調査結果'!$N$5:$N$404,$AG284)&amp;"")</f>
        <v/>
      </c>
      <c r="V284">
        <f>IF($AG284="","",INDEX('04_調査結果'!$O$5:$O$404,$AG284))</f>
        <v/>
      </c>
      <c r="W284">
        <f>IF($AG284="","",INDEX('04_調査結果'!$P$5:$P$404,$AG284))</f>
        <v/>
      </c>
      <c r="X284">
        <f>IF($AG284="","",INDEX('04_調査結果'!$Q$5:$Q$404,$AG284))</f>
        <v/>
      </c>
      <c r="Y284">
        <f>IF($AG284="","",INDEX('04_調査結果'!$R$5:$R$404,$AG284))</f>
        <v/>
      </c>
      <c r="Z284">
        <f>IF($AG284="","",INDEX('04_調査結果'!$S$5:$S$404,$AG284))</f>
        <v/>
      </c>
      <c r="AA284">
        <f>IF($AG284="","",INDEX('04_調査結果'!$T$5:$T$404,$AG284))</f>
        <v/>
      </c>
      <c r="AB284">
        <f>IF($AG284="","",INDEX('04_調査結果'!$U$5:$U$404,$AG284))</f>
        <v/>
      </c>
      <c r="AC284">
        <f>IF($AG284="","",INDEX('04_調査結果'!$AF$5:$AF$404,$AG284))</f>
        <v/>
      </c>
      <c r="AD284">
        <f>IF($AG284="","",INDEX('04_調査結果'!$AC$5:$AC$404,$AG284)&amp;"")</f>
        <v/>
      </c>
      <c r="AE284">
        <f>IF($AG284="","",INDEX('04_調査結果'!$V$5:$V$404,$AG284)&amp;"")</f>
        <v/>
      </c>
      <c r="AF284">
        <f>IF($AG284="","",INDEX('04_調査結果'!$X$5:$X$404,$AG284)&amp;"")</f>
        <v/>
      </c>
      <c r="AG284" s="34">
        <f>IFERROR(MATCH(ROW()-4,'04_調査結果'!$AT$5:$AT$404,0),"")</f>
        <v/>
      </c>
    </row>
    <row r="285">
      <c r="A285">
        <f>IF($AG285="","",'01_設定'!$C$4)</f>
        <v/>
      </c>
      <c r="B285">
        <f>IF($AG285="","",'01_設定'!$C$5)</f>
        <v/>
      </c>
      <c r="C285">
        <f>IF($AG285="","",'01_設定'!$C$6)</f>
        <v/>
      </c>
      <c r="D285" s="36">
        <f>IF($AG285="","",'01_設定'!$C$22)</f>
        <v/>
      </c>
      <c r="E285" s="36">
        <f>IF($AG285="","",'01_設定'!$C$23)</f>
        <v/>
      </c>
      <c r="F285">
        <f>IF($AG285="","",'01_設定'!$C$32)</f>
        <v/>
      </c>
      <c r="G285">
        <f>IF($AG285="","",ROW()-4)</f>
        <v/>
      </c>
      <c r="H285">
        <f>IF($AG285="","",INDEX('04_調査結果'!$AJ$5:$AJ$404,$AG285))</f>
        <v/>
      </c>
      <c r="I285">
        <f>IF($AG285="","",INDEX('04_調査結果'!$D$5:$D$404,$AG285)&amp;"")</f>
        <v/>
      </c>
      <c r="J285">
        <f>IF($AG285="","",INDEX('04_調査結果'!$AK$5:$AK$404,$AG285)&amp;"")</f>
        <v/>
      </c>
      <c r="K285">
        <f>IF($AG285="","",IFERROR(INDEX('M1_類型マスタ'!$B$5:$B$19,MATCH(J285,'M1_類型マスタ'!$A$5:$A$19,0)),""))</f>
        <v/>
      </c>
      <c r="L285">
        <f>IF($AG285="","",INDEX('04_調査結果'!$F$5:$F$404,$AG285)&amp;"")</f>
        <v/>
      </c>
      <c r="M285">
        <f>IF($AG285="","",INDEX('04_調査結果'!$G$5:$G$404,$AG285)&amp;"")</f>
        <v/>
      </c>
      <c r="N285">
        <f>IF($AG285="","",INDEX('04_調査結果'!$H$5:$H$404,$AG285)&amp;"")</f>
        <v/>
      </c>
      <c r="O285" s="33">
        <f>IF($AG285="","",IF(INDEX('04_調査結果'!$Z$5:$Z$404,$AG285)&lt;&gt;"",INDEX('04_調査結果'!$Z$5:$Z$404,$AG285),INDEX('04_調査結果'!$AM$5:$AM$404,$AG285)))</f>
        <v/>
      </c>
      <c r="P285" s="33">
        <f>IF($AG285="","",IF(INDEX('04_調査結果'!$AA$5:$AA$404,$AG285)&lt;&gt;"",INDEX('04_調査結果'!$AA$5:$AA$404,$AG285),INDEX('04_調査結果'!$AN$5:$AN$404,$AG285)))</f>
        <v/>
      </c>
      <c r="Q285" s="33">
        <f>IF($AG285="","",INDEX('04_調査結果'!$AD$5:$AD$404,$AG285))</f>
        <v/>
      </c>
      <c r="R285">
        <f>IF($AG285="","",INDEX('04_調査結果'!$AO$5:$AO$404,$AG285))</f>
        <v/>
      </c>
      <c r="S285" s="37">
        <f>IF($AG285="","",INDEX('04_調査結果'!$AQ$5:$AQ$404,$AG285))</f>
        <v/>
      </c>
      <c r="T285" s="37">
        <f>IF($AG285="","",INDEX('04_調査結果'!$AR$5:$AR$404,$AG285))</f>
        <v/>
      </c>
      <c r="U285">
        <f>IF($AG285="","",INDEX('04_調査結果'!$N$5:$N$404,$AG285)&amp;"")</f>
        <v/>
      </c>
      <c r="V285">
        <f>IF($AG285="","",INDEX('04_調査結果'!$O$5:$O$404,$AG285))</f>
        <v/>
      </c>
      <c r="W285">
        <f>IF($AG285="","",INDEX('04_調査結果'!$P$5:$P$404,$AG285))</f>
        <v/>
      </c>
      <c r="X285">
        <f>IF($AG285="","",INDEX('04_調査結果'!$Q$5:$Q$404,$AG285))</f>
        <v/>
      </c>
      <c r="Y285">
        <f>IF($AG285="","",INDEX('04_調査結果'!$R$5:$R$404,$AG285))</f>
        <v/>
      </c>
      <c r="Z285">
        <f>IF($AG285="","",INDEX('04_調査結果'!$S$5:$S$404,$AG285))</f>
        <v/>
      </c>
      <c r="AA285">
        <f>IF($AG285="","",INDEX('04_調査結果'!$T$5:$T$404,$AG285))</f>
        <v/>
      </c>
      <c r="AB285">
        <f>IF($AG285="","",INDEX('04_調査結果'!$U$5:$U$404,$AG285))</f>
        <v/>
      </c>
      <c r="AC285">
        <f>IF($AG285="","",INDEX('04_調査結果'!$AF$5:$AF$404,$AG285))</f>
        <v/>
      </c>
      <c r="AD285">
        <f>IF($AG285="","",INDEX('04_調査結果'!$AC$5:$AC$404,$AG285)&amp;"")</f>
        <v/>
      </c>
      <c r="AE285">
        <f>IF($AG285="","",INDEX('04_調査結果'!$V$5:$V$404,$AG285)&amp;"")</f>
        <v/>
      </c>
      <c r="AF285">
        <f>IF($AG285="","",INDEX('04_調査結果'!$X$5:$X$404,$AG285)&amp;"")</f>
        <v/>
      </c>
      <c r="AG285" s="34">
        <f>IFERROR(MATCH(ROW()-4,'04_調査結果'!$AT$5:$AT$404,0),"")</f>
        <v/>
      </c>
    </row>
    <row r="286">
      <c r="A286">
        <f>IF($AG286="","",'01_設定'!$C$4)</f>
        <v/>
      </c>
      <c r="B286">
        <f>IF($AG286="","",'01_設定'!$C$5)</f>
        <v/>
      </c>
      <c r="C286">
        <f>IF($AG286="","",'01_設定'!$C$6)</f>
        <v/>
      </c>
      <c r="D286" s="36">
        <f>IF($AG286="","",'01_設定'!$C$22)</f>
        <v/>
      </c>
      <c r="E286" s="36">
        <f>IF($AG286="","",'01_設定'!$C$23)</f>
        <v/>
      </c>
      <c r="F286">
        <f>IF($AG286="","",'01_設定'!$C$32)</f>
        <v/>
      </c>
      <c r="G286">
        <f>IF($AG286="","",ROW()-4)</f>
        <v/>
      </c>
      <c r="H286">
        <f>IF($AG286="","",INDEX('04_調査結果'!$AJ$5:$AJ$404,$AG286))</f>
        <v/>
      </c>
      <c r="I286">
        <f>IF($AG286="","",INDEX('04_調査結果'!$D$5:$D$404,$AG286)&amp;"")</f>
        <v/>
      </c>
      <c r="J286">
        <f>IF($AG286="","",INDEX('04_調査結果'!$AK$5:$AK$404,$AG286)&amp;"")</f>
        <v/>
      </c>
      <c r="K286">
        <f>IF($AG286="","",IFERROR(INDEX('M1_類型マスタ'!$B$5:$B$19,MATCH(J286,'M1_類型マスタ'!$A$5:$A$19,0)),""))</f>
        <v/>
      </c>
      <c r="L286">
        <f>IF($AG286="","",INDEX('04_調査結果'!$F$5:$F$404,$AG286)&amp;"")</f>
        <v/>
      </c>
      <c r="M286">
        <f>IF($AG286="","",INDEX('04_調査結果'!$G$5:$G$404,$AG286)&amp;"")</f>
        <v/>
      </c>
      <c r="N286">
        <f>IF($AG286="","",INDEX('04_調査結果'!$H$5:$H$404,$AG286)&amp;"")</f>
        <v/>
      </c>
      <c r="O286" s="33">
        <f>IF($AG286="","",IF(INDEX('04_調査結果'!$Z$5:$Z$404,$AG286)&lt;&gt;"",INDEX('04_調査結果'!$Z$5:$Z$404,$AG286),INDEX('04_調査結果'!$AM$5:$AM$404,$AG286)))</f>
        <v/>
      </c>
      <c r="P286" s="33">
        <f>IF($AG286="","",IF(INDEX('04_調査結果'!$AA$5:$AA$404,$AG286)&lt;&gt;"",INDEX('04_調査結果'!$AA$5:$AA$404,$AG286),INDEX('04_調査結果'!$AN$5:$AN$404,$AG286)))</f>
        <v/>
      </c>
      <c r="Q286" s="33">
        <f>IF($AG286="","",INDEX('04_調査結果'!$AD$5:$AD$404,$AG286))</f>
        <v/>
      </c>
      <c r="R286">
        <f>IF($AG286="","",INDEX('04_調査結果'!$AO$5:$AO$404,$AG286))</f>
        <v/>
      </c>
      <c r="S286" s="37">
        <f>IF($AG286="","",INDEX('04_調査結果'!$AQ$5:$AQ$404,$AG286))</f>
        <v/>
      </c>
      <c r="T286" s="37">
        <f>IF($AG286="","",INDEX('04_調査結果'!$AR$5:$AR$404,$AG286))</f>
        <v/>
      </c>
      <c r="U286">
        <f>IF($AG286="","",INDEX('04_調査結果'!$N$5:$N$404,$AG286)&amp;"")</f>
        <v/>
      </c>
      <c r="V286">
        <f>IF($AG286="","",INDEX('04_調査結果'!$O$5:$O$404,$AG286))</f>
        <v/>
      </c>
      <c r="W286">
        <f>IF($AG286="","",INDEX('04_調査結果'!$P$5:$P$404,$AG286))</f>
        <v/>
      </c>
      <c r="X286">
        <f>IF($AG286="","",INDEX('04_調査結果'!$Q$5:$Q$404,$AG286))</f>
        <v/>
      </c>
      <c r="Y286">
        <f>IF($AG286="","",INDEX('04_調査結果'!$R$5:$R$404,$AG286))</f>
        <v/>
      </c>
      <c r="Z286">
        <f>IF($AG286="","",INDEX('04_調査結果'!$S$5:$S$404,$AG286))</f>
        <v/>
      </c>
      <c r="AA286">
        <f>IF($AG286="","",INDEX('04_調査結果'!$T$5:$T$404,$AG286))</f>
        <v/>
      </c>
      <c r="AB286">
        <f>IF($AG286="","",INDEX('04_調査結果'!$U$5:$U$404,$AG286))</f>
        <v/>
      </c>
      <c r="AC286">
        <f>IF($AG286="","",INDEX('04_調査結果'!$AF$5:$AF$404,$AG286))</f>
        <v/>
      </c>
      <c r="AD286">
        <f>IF($AG286="","",INDEX('04_調査結果'!$AC$5:$AC$404,$AG286)&amp;"")</f>
        <v/>
      </c>
      <c r="AE286">
        <f>IF($AG286="","",INDEX('04_調査結果'!$V$5:$V$404,$AG286)&amp;"")</f>
        <v/>
      </c>
      <c r="AF286">
        <f>IF($AG286="","",INDEX('04_調査結果'!$X$5:$X$404,$AG286)&amp;"")</f>
        <v/>
      </c>
      <c r="AG286" s="34">
        <f>IFERROR(MATCH(ROW()-4,'04_調査結果'!$AT$5:$AT$404,0),"")</f>
        <v/>
      </c>
    </row>
    <row r="287">
      <c r="A287">
        <f>IF($AG287="","",'01_設定'!$C$4)</f>
        <v/>
      </c>
      <c r="B287">
        <f>IF($AG287="","",'01_設定'!$C$5)</f>
        <v/>
      </c>
      <c r="C287">
        <f>IF($AG287="","",'01_設定'!$C$6)</f>
        <v/>
      </c>
      <c r="D287" s="36">
        <f>IF($AG287="","",'01_設定'!$C$22)</f>
        <v/>
      </c>
      <c r="E287" s="36">
        <f>IF($AG287="","",'01_設定'!$C$23)</f>
        <v/>
      </c>
      <c r="F287">
        <f>IF($AG287="","",'01_設定'!$C$32)</f>
        <v/>
      </c>
      <c r="G287">
        <f>IF($AG287="","",ROW()-4)</f>
        <v/>
      </c>
      <c r="H287">
        <f>IF($AG287="","",INDEX('04_調査結果'!$AJ$5:$AJ$404,$AG287))</f>
        <v/>
      </c>
      <c r="I287">
        <f>IF($AG287="","",INDEX('04_調査結果'!$D$5:$D$404,$AG287)&amp;"")</f>
        <v/>
      </c>
      <c r="J287">
        <f>IF($AG287="","",INDEX('04_調査結果'!$AK$5:$AK$404,$AG287)&amp;"")</f>
        <v/>
      </c>
      <c r="K287">
        <f>IF($AG287="","",IFERROR(INDEX('M1_類型マスタ'!$B$5:$B$19,MATCH(J287,'M1_類型マスタ'!$A$5:$A$19,0)),""))</f>
        <v/>
      </c>
      <c r="L287">
        <f>IF($AG287="","",INDEX('04_調査結果'!$F$5:$F$404,$AG287)&amp;"")</f>
        <v/>
      </c>
      <c r="M287">
        <f>IF($AG287="","",INDEX('04_調査結果'!$G$5:$G$404,$AG287)&amp;"")</f>
        <v/>
      </c>
      <c r="N287">
        <f>IF($AG287="","",INDEX('04_調査結果'!$H$5:$H$404,$AG287)&amp;"")</f>
        <v/>
      </c>
      <c r="O287" s="33">
        <f>IF($AG287="","",IF(INDEX('04_調査結果'!$Z$5:$Z$404,$AG287)&lt;&gt;"",INDEX('04_調査結果'!$Z$5:$Z$404,$AG287),INDEX('04_調査結果'!$AM$5:$AM$404,$AG287)))</f>
        <v/>
      </c>
      <c r="P287" s="33">
        <f>IF($AG287="","",IF(INDEX('04_調査結果'!$AA$5:$AA$404,$AG287)&lt;&gt;"",INDEX('04_調査結果'!$AA$5:$AA$404,$AG287),INDEX('04_調査結果'!$AN$5:$AN$404,$AG287)))</f>
        <v/>
      </c>
      <c r="Q287" s="33">
        <f>IF($AG287="","",INDEX('04_調査結果'!$AD$5:$AD$404,$AG287))</f>
        <v/>
      </c>
      <c r="R287">
        <f>IF($AG287="","",INDEX('04_調査結果'!$AO$5:$AO$404,$AG287))</f>
        <v/>
      </c>
      <c r="S287" s="37">
        <f>IF($AG287="","",INDEX('04_調査結果'!$AQ$5:$AQ$404,$AG287))</f>
        <v/>
      </c>
      <c r="T287" s="37">
        <f>IF($AG287="","",INDEX('04_調査結果'!$AR$5:$AR$404,$AG287))</f>
        <v/>
      </c>
      <c r="U287">
        <f>IF($AG287="","",INDEX('04_調査結果'!$N$5:$N$404,$AG287)&amp;"")</f>
        <v/>
      </c>
      <c r="V287">
        <f>IF($AG287="","",INDEX('04_調査結果'!$O$5:$O$404,$AG287))</f>
        <v/>
      </c>
      <c r="W287">
        <f>IF($AG287="","",INDEX('04_調査結果'!$P$5:$P$404,$AG287))</f>
        <v/>
      </c>
      <c r="X287">
        <f>IF($AG287="","",INDEX('04_調査結果'!$Q$5:$Q$404,$AG287))</f>
        <v/>
      </c>
      <c r="Y287">
        <f>IF($AG287="","",INDEX('04_調査結果'!$R$5:$R$404,$AG287))</f>
        <v/>
      </c>
      <c r="Z287">
        <f>IF($AG287="","",INDEX('04_調査結果'!$S$5:$S$404,$AG287))</f>
        <v/>
      </c>
      <c r="AA287">
        <f>IF($AG287="","",INDEX('04_調査結果'!$T$5:$T$404,$AG287))</f>
        <v/>
      </c>
      <c r="AB287">
        <f>IF($AG287="","",INDEX('04_調査結果'!$U$5:$U$404,$AG287))</f>
        <v/>
      </c>
      <c r="AC287">
        <f>IF($AG287="","",INDEX('04_調査結果'!$AF$5:$AF$404,$AG287))</f>
        <v/>
      </c>
      <c r="AD287">
        <f>IF($AG287="","",INDEX('04_調査結果'!$AC$5:$AC$404,$AG287)&amp;"")</f>
        <v/>
      </c>
      <c r="AE287">
        <f>IF($AG287="","",INDEX('04_調査結果'!$V$5:$V$404,$AG287)&amp;"")</f>
        <v/>
      </c>
      <c r="AF287">
        <f>IF($AG287="","",INDEX('04_調査結果'!$X$5:$X$404,$AG287)&amp;"")</f>
        <v/>
      </c>
      <c r="AG287" s="34">
        <f>IFERROR(MATCH(ROW()-4,'04_調査結果'!$AT$5:$AT$404,0),"")</f>
        <v/>
      </c>
    </row>
    <row r="288">
      <c r="A288">
        <f>IF($AG288="","",'01_設定'!$C$4)</f>
        <v/>
      </c>
      <c r="B288">
        <f>IF($AG288="","",'01_設定'!$C$5)</f>
        <v/>
      </c>
      <c r="C288">
        <f>IF($AG288="","",'01_設定'!$C$6)</f>
        <v/>
      </c>
      <c r="D288" s="36">
        <f>IF($AG288="","",'01_設定'!$C$22)</f>
        <v/>
      </c>
      <c r="E288" s="36">
        <f>IF($AG288="","",'01_設定'!$C$23)</f>
        <v/>
      </c>
      <c r="F288">
        <f>IF($AG288="","",'01_設定'!$C$32)</f>
        <v/>
      </c>
      <c r="G288">
        <f>IF($AG288="","",ROW()-4)</f>
        <v/>
      </c>
      <c r="H288">
        <f>IF($AG288="","",INDEX('04_調査結果'!$AJ$5:$AJ$404,$AG288))</f>
        <v/>
      </c>
      <c r="I288">
        <f>IF($AG288="","",INDEX('04_調査結果'!$D$5:$D$404,$AG288)&amp;"")</f>
        <v/>
      </c>
      <c r="J288">
        <f>IF($AG288="","",INDEX('04_調査結果'!$AK$5:$AK$404,$AG288)&amp;"")</f>
        <v/>
      </c>
      <c r="K288">
        <f>IF($AG288="","",IFERROR(INDEX('M1_類型マスタ'!$B$5:$B$19,MATCH(J288,'M1_類型マスタ'!$A$5:$A$19,0)),""))</f>
        <v/>
      </c>
      <c r="L288">
        <f>IF($AG288="","",INDEX('04_調査結果'!$F$5:$F$404,$AG288)&amp;"")</f>
        <v/>
      </c>
      <c r="M288">
        <f>IF($AG288="","",INDEX('04_調査結果'!$G$5:$G$404,$AG288)&amp;"")</f>
        <v/>
      </c>
      <c r="N288">
        <f>IF($AG288="","",INDEX('04_調査結果'!$H$5:$H$404,$AG288)&amp;"")</f>
        <v/>
      </c>
      <c r="O288" s="33">
        <f>IF($AG288="","",IF(INDEX('04_調査結果'!$Z$5:$Z$404,$AG288)&lt;&gt;"",INDEX('04_調査結果'!$Z$5:$Z$404,$AG288),INDEX('04_調査結果'!$AM$5:$AM$404,$AG288)))</f>
        <v/>
      </c>
      <c r="P288" s="33">
        <f>IF($AG288="","",IF(INDEX('04_調査結果'!$AA$5:$AA$404,$AG288)&lt;&gt;"",INDEX('04_調査結果'!$AA$5:$AA$404,$AG288),INDEX('04_調査結果'!$AN$5:$AN$404,$AG288)))</f>
        <v/>
      </c>
      <c r="Q288" s="33">
        <f>IF($AG288="","",INDEX('04_調査結果'!$AD$5:$AD$404,$AG288))</f>
        <v/>
      </c>
      <c r="R288">
        <f>IF($AG288="","",INDEX('04_調査結果'!$AO$5:$AO$404,$AG288))</f>
        <v/>
      </c>
      <c r="S288" s="37">
        <f>IF($AG288="","",INDEX('04_調査結果'!$AQ$5:$AQ$404,$AG288))</f>
        <v/>
      </c>
      <c r="T288" s="37">
        <f>IF($AG288="","",INDEX('04_調査結果'!$AR$5:$AR$404,$AG288))</f>
        <v/>
      </c>
      <c r="U288">
        <f>IF($AG288="","",INDEX('04_調査結果'!$N$5:$N$404,$AG288)&amp;"")</f>
        <v/>
      </c>
      <c r="V288">
        <f>IF($AG288="","",INDEX('04_調査結果'!$O$5:$O$404,$AG288))</f>
        <v/>
      </c>
      <c r="W288">
        <f>IF($AG288="","",INDEX('04_調査結果'!$P$5:$P$404,$AG288))</f>
        <v/>
      </c>
      <c r="X288">
        <f>IF($AG288="","",INDEX('04_調査結果'!$Q$5:$Q$404,$AG288))</f>
        <v/>
      </c>
      <c r="Y288">
        <f>IF($AG288="","",INDEX('04_調査結果'!$R$5:$R$404,$AG288))</f>
        <v/>
      </c>
      <c r="Z288">
        <f>IF($AG288="","",INDEX('04_調査結果'!$S$5:$S$404,$AG288))</f>
        <v/>
      </c>
      <c r="AA288">
        <f>IF($AG288="","",INDEX('04_調査結果'!$T$5:$T$404,$AG288))</f>
        <v/>
      </c>
      <c r="AB288">
        <f>IF($AG288="","",INDEX('04_調査結果'!$U$5:$U$404,$AG288))</f>
        <v/>
      </c>
      <c r="AC288">
        <f>IF($AG288="","",INDEX('04_調査結果'!$AF$5:$AF$404,$AG288))</f>
        <v/>
      </c>
      <c r="AD288">
        <f>IF($AG288="","",INDEX('04_調査結果'!$AC$5:$AC$404,$AG288)&amp;"")</f>
        <v/>
      </c>
      <c r="AE288">
        <f>IF($AG288="","",INDEX('04_調査結果'!$V$5:$V$404,$AG288)&amp;"")</f>
        <v/>
      </c>
      <c r="AF288">
        <f>IF($AG288="","",INDEX('04_調査結果'!$X$5:$X$404,$AG288)&amp;"")</f>
        <v/>
      </c>
      <c r="AG288" s="34">
        <f>IFERROR(MATCH(ROW()-4,'04_調査結果'!$AT$5:$AT$404,0),"")</f>
        <v/>
      </c>
    </row>
    <row r="289">
      <c r="A289">
        <f>IF($AG289="","",'01_設定'!$C$4)</f>
        <v/>
      </c>
      <c r="B289">
        <f>IF($AG289="","",'01_設定'!$C$5)</f>
        <v/>
      </c>
      <c r="C289">
        <f>IF($AG289="","",'01_設定'!$C$6)</f>
        <v/>
      </c>
      <c r="D289" s="36">
        <f>IF($AG289="","",'01_設定'!$C$22)</f>
        <v/>
      </c>
      <c r="E289" s="36">
        <f>IF($AG289="","",'01_設定'!$C$23)</f>
        <v/>
      </c>
      <c r="F289">
        <f>IF($AG289="","",'01_設定'!$C$32)</f>
        <v/>
      </c>
      <c r="G289">
        <f>IF($AG289="","",ROW()-4)</f>
        <v/>
      </c>
      <c r="H289">
        <f>IF($AG289="","",INDEX('04_調査結果'!$AJ$5:$AJ$404,$AG289))</f>
        <v/>
      </c>
      <c r="I289">
        <f>IF($AG289="","",INDEX('04_調査結果'!$D$5:$D$404,$AG289)&amp;"")</f>
        <v/>
      </c>
      <c r="J289">
        <f>IF($AG289="","",INDEX('04_調査結果'!$AK$5:$AK$404,$AG289)&amp;"")</f>
        <v/>
      </c>
      <c r="K289">
        <f>IF($AG289="","",IFERROR(INDEX('M1_類型マスタ'!$B$5:$B$19,MATCH(J289,'M1_類型マスタ'!$A$5:$A$19,0)),""))</f>
        <v/>
      </c>
      <c r="L289">
        <f>IF($AG289="","",INDEX('04_調査結果'!$F$5:$F$404,$AG289)&amp;"")</f>
        <v/>
      </c>
      <c r="M289">
        <f>IF($AG289="","",INDEX('04_調査結果'!$G$5:$G$404,$AG289)&amp;"")</f>
        <v/>
      </c>
      <c r="N289">
        <f>IF($AG289="","",INDEX('04_調査結果'!$H$5:$H$404,$AG289)&amp;"")</f>
        <v/>
      </c>
      <c r="O289" s="33">
        <f>IF($AG289="","",IF(INDEX('04_調査結果'!$Z$5:$Z$404,$AG289)&lt;&gt;"",INDEX('04_調査結果'!$Z$5:$Z$404,$AG289),INDEX('04_調査結果'!$AM$5:$AM$404,$AG289)))</f>
        <v/>
      </c>
      <c r="P289" s="33">
        <f>IF($AG289="","",IF(INDEX('04_調査結果'!$AA$5:$AA$404,$AG289)&lt;&gt;"",INDEX('04_調査結果'!$AA$5:$AA$404,$AG289),INDEX('04_調査結果'!$AN$5:$AN$404,$AG289)))</f>
        <v/>
      </c>
      <c r="Q289" s="33">
        <f>IF($AG289="","",INDEX('04_調査結果'!$AD$5:$AD$404,$AG289))</f>
        <v/>
      </c>
      <c r="R289">
        <f>IF($AG289="","",INDEX('04_調査結果'!$AO$5:$AO$404,$AG289))</f>
        <v/>
      </c>
      <c r="S289" s="37">
        <f>IF($AG289="","",INDEX('04_調査結果'!$AQ$5:$AQ$404,$AG289))</f>
        <v/>
      </c>
      <c r="T289" s="37">
        <f>IF($AG289="","",INDEX('04_調査結果'!$AR$5:$AR$404,$AG289))</f>
        <v/>
      </c>
      <c r="U289">
        <f>IF($AG289="","",INDEX('04_調査結果'!$N$5:$N$404,$AG289)&amp;"")</f>
        <v/>
      </c>
      <c r="V289">
        <f>IF($AG289="","",INDEX('04_調査結果'!$O$5:$O$404,$AG289))</f>
        <v/>
      </c>
      <c r="W289">
        <f>IF($AG289="","",INDEX('04_調査結果'!$P$5:$P$404,$AG289))</f>
        <v/>
      </c>
      <c r="X289">
        <f>IF($AG289="","",INDEX('04_調査結果'!$Q$5:$Q$404,$AG289))</f>
        <v/>
      </c>
      <c r="Y289">
        <f>IF($AG289="","",INDEX('04_調査結果'!$R$5:$R$404,$AG289))</f>
        <v/>
      </c>
      <c r="Z289">
        <f>IF($AG289="","",INDEX('04_調査結果'!$S$5:$S$404,$AG289))</f>
        <v/>
      </c>
      <c r="AA289">
        <f>IF($AG289="","",INDEX('04_調査結果'!$T$5:$T$404,$AG289))</f>
        <v/>
      </c>
      <c r="AB289">
        <f>IF($AG289="","",INDEX('04_調査結果'!$U$5:$U$404,$AG289))</f>
        <v/>
      </c>
      <c r="AC289">
        <f>IF($AG289="","",INDEX('04_調査結果'!$AF$5:$AF$404,$AG289))</f>
        <v/>
      </c>
      <c r="AD289">
        <f>IF($AG289="","",INDEX('04_調査結果'!$AC$5:$AC$404,$AG289)&amp;"")</f>
        <v/>
      </c>
      <c r="AE289">
        <f>IF($AG289="","",INDEX('04_調査結果'!$V$5:$V$404,$AG289)&amp;"")</f>
        <v/>
      </c>
      <c r="AF289">
        <f>IF($AG289="","",INDEX('04_調査結果'!$X$5:$X$404,$AG289)&amp;"")</f>
        <v/>
      </c>
      <c r="AG289" s="34">
        <f>IFERROR(MATCH(ROW()-4,'04_調査結果'!$AT$5:$AT$404,0),"")</f>
        <v/>
      </c>
    </row>
    <row r="290">
      <c r="A290">
        <f>IF($AG290="","",'01_設定'!$C$4)</f>
        <v/>
      </c>
      <c r="B290">
        <f>IF($AG290="","",'01_設定'!$C$5)</f>
        <v/>
      </c>
      <c r="C290">
        <f>IF($AG290="","",'01_設定'!$C$6)</f>
        <v/>
      </c>
      <c r="D290" s="36">
        <f>IF($AG290="","",'01_設定'!$C$22)</f>
        <v/>
      </c>
      <c r="E290" s="36">
        <f>IF($AG290="","",'01_設定'!$C$23)</f>
        <v/>
      </c>
      <c r="F290">
        <f>IF($AG290="","",'01_設定'!$C$32)</f>
        <v/>
      </c>
      <c r="G290">
        <f>IF($AG290="","",ROW()-4)</f>
        <v/>
      </c>
      <c r="H290">
        <f>IF($AG290="","",INDEX('04_調査結果'!$AJ$5:$AJ$404,$AG290))</f>
        <v/>
      </c>
      <c r="I290">
        <f>IF($AG290="","",INDEX('04_調査結果'!$D$5:$D$404,$AG290)&amp;"")</f>
        <v/>
      </c>
      <c r="J290">
        <f>IF($AG290="","",INDEX('04_調査結果'!$AK$5:$AK$404,$AG290)&amp;"")</f>
        <v/>
      </c>
      <c r="K290">
        <f>IF($AG290="","",IFERROR(INDEX('M1_類型マスタ'!$B$5:$B$19,MATCH(J290,'M1_類型マスタ'!$A$5:$A$19,0)),""))</f>
        <v/>
      </c>
      <c r="L290">
        <f>IF($AG290="","",INDEX('04_調査結果'!$F$5:$F$404,$AG290)&amp;"")</f>
        <v/>
      </c>
      <c r="M290">
        <f>IF($AG290="","",INDEX('04_調査結果'!$G$5:$G$404,$AG290)&amp;"")</f>
        <v/>
      </c>
      <c r="N290">
        <f>IF($AG290="","",INDEX('04_調査結果'!$H$5:$H$404,$AG290)&amp;"")</f>
        <v/>
      </c>
      <c r="O290" s="33">
        <f>IF($AG290="","",IF(INDEX('04_調査結果'!$Z$5:$Z$404,$AG290)&lt;&gt;"",INDEX('04_調査結果'!$Z$5:$Z$404,$AG290),INDEX('04_調査結果'!$AM$5:$AM$404,$AG290)))</f>
        <v/>
      </c>
      <c r="P290" s="33">
        <f>IF($AG290="","",IF(INDEX('04_調査結果'!$AA$5:$AA$404,$AG290)&lt;&gt;"",INDEX('04_調査結果'!$AA$5:$AA$404,$AG290),INDEX('04_調査結果'!$AN$5:$AN$404,$AG290)))</f>
        <v/>
      </c>
      <c r="Q290" s="33">
        <f>IF($AG290="","",INDEX('04_調査結果'!$AD$5:$AD$404,$AG290))</f>
        <v/>
      </c>
      <c r="R290">
        <f>IF($AG290="","",INDEX('04_調査結果'!$AO$5:$AO$404,$AG290))</f>
        <v/>
      </c>
      <c r="S290" s="37">
        <f>IF($AG290="","",INDEX('04_調査結果'!$AQ$5:$AQ$404,$AG290))</f>
        <v/>
      </c>
      <c r="T290" s="37">
        <f>IF($AG290="","",INDEX('04_調査結果'!$AR$5:$AR$404,$AG290))</f>
        <v/>
      </c>
      <c r="U290">
        <f>IF($AG290="","",INDEX('04_調査結果'!$N$5:$N$404,$AG290)&amp;"")</f>
        <v/>
      </c>
      <c r="V290">
        <f>IF($AG290="","",INDEX('04_調査結果'!$O$5:$O$404,$AG290))</f>
        <v/>
      </c>
      <c r="W290">
        <f>IF($AG290="","",INDEX('04_調査結果'!$P$5:$P$404,$AG290))</f>
        <v/>
      </c>
      <c r="X290">
        <f>IF($AG290="","",INDEX('04_調査結果'!$Q$5:$Q$404,$AG290))</f>
        <v/>
      </c>
      <c r="Y290">
        <f>IF($AG290="","",INDEX('04_調査結果'!$R$5:$R$404,$AG290))</f>
        <v/>
      </c>
      <c r="Z290">
        <f>IF($AG290="","",INDEX('04_調査結果'!$S$5:$S$404,$AG290))</f>
        <v/>
      </c>
      <c r="AA290">
        <f>IF($AG290="","",INDEX('04_調査結果'!$T$5:$T$404,$AG290))</f>
        <v/>
      </c>
      <c r="AB290">
        <f>IF($AG290="","",INDEX('04_調査結果'!$U$5:$U$404,$AG290))</f>
        <v/>
      </c>
      <c r="AC290">
        <f>IF($AG290="","",INDEX('04_調査結果'!$AF$5:$AF$404,$AG290))</f>
        <v/>
      </c>
      <c r="AD290">
        <f>IF($AG290="","",INDEX('04_調査結果'!$AC$5:$AC$404,$AG290)&amp;"")</f>
        <v/>
      </c>
      <c r="AE290">
        <f>IF($AG290="","",INDEX('04_調査結果'!$V$5:$V$404,$AG290)&amp;"")</f>
        <v/>
      </c>
      <c r="AF290">
        <f>IF($AG290="","",INDEX('04_調査結果'!$X$5:$X$404,$AG290)&amp;"")</f>
        <v/>
      </c>
      <c r="AG290" s="34">
        <f>IFERROR(MATCH(ROW()-4,'04_調査結果'!$AT$5:$AT$404,0),"")</f>
        <v/>
      </c>
    </row>
    <row r="291">
      <c r="A291">
        <f>IF($AG291="","",'01_設定'!$C$4)</f>
        <v/>
      </c>
      <c r="B291">
        <f>IF($AG291="","",'01_設定'!$C$5)</f>
        <v/>
      </c>
      <c r="C291">
        <f>IF($AG291="","",'01_設定'!$C$6)</f>
        <v/>
      </c>
      <c r="D291" s="36">
        <f>IF($AG291="","",'01_設定'!$C$22)</f>
        <v/>
      </c>
      <c r="E291" s="36">
        <f>IF($AG291="","",'01_設定'!$C$23)</f>
        <v/>
      </c>
      <c r="F291">
        <f>IF($AG291="","",'01_設定'!$C$32)</f>
        <v/>
      </c>
      <c r="G291">
        <f>IF($AG291="","",ROW()-4)</f>
        <v/>
      </c>
      <c r="H291">
        <f>IF($AG291="","",INDEX('04_調査結果'!$AJ$5:$AJ$404,$AG291))</f>
        <v/>
      </c>
      <c r="I291">
        <f>IF($AG291="","",INDEX('04_調査結果'!$D$5:$D$404,$AG291)&amp;"")</f>
        <v/>
      </c>
      <c r="J291">
        <f>IF($AG291="","",INDEX('04_調査結果'!$AK$5:$AK$404,$AG291)&amp;"")</f>
        <v/>
      </c>
      <c r="K291">
        <f>IF($AG291="","",IFERROR(INDEX('M1_類型マスタ'!$B$5:$B$19,MATCH(J291,'M1_類型マスタ'!$A$5:$A$19,0)),""))</f>
        <v/>
      </c>
      <c r="L291">
        <f>IF($AG291="","",INDEX('04_調査結果'!$F$5:$F$404,$AG291)&amp;"")</f>
        <v/>
      </c>
      <c r="M291">
        <f>IF($AG291="","",INDEX('04_調査結果'!$G$5:$G$404,$AG291)&amp;"")</f>
        <v/>
      </c>
      <c r="N291">
        <f>IF($AG291="","",INDEX('04_調査結果'!$H$5:$H$404,$AG291)&amp;"")</f>
        <v/>
      </c>
      <c r="O291" s="33">
        <f>IF($AG291="","",IF(INDEX('04_調査結果'!$Z$5:$Z$404,$AG291)&lt;&gt;"",INDEX('04_調査結果'!$Z$5:$Z$404,$AG291),INDEX('04_調査結果'!$AM$5:$AM$404,$AG291)))</f>
        <v/>
      </c>
      <c r="P291" s="33">
        <f>IF($AG291="","",IF(INDEX('04_調査結果'!$AA$5:$AA$404,$AG291)&lt;&gt;"",INDEX('04_調査結果'!$AA$5:$AA$404,$AG291),INDEX('04_調査結果'!$AN$5:$AN$404,$AG291)))</f>
        <v/>
      </c>
      <c r="Q291" s="33">
        <f>IF($AG291="","",INDEX('04_調査結果'!$AD$5:$AD$404,$AG291))</f>
        <v/>
      </c>
      <c r="R291">
        <f>IF($AG291="","",INDEX('04_調査結果'!$AO$5:$AO$404,$AG291))</f>
        <v/>
      </c>
      <c r="S291" s="37">
        <f>IF($AG291="","",INDEX('04_調査結果'!$AQ$5:$AQ$404,$AG291))</f>
        <v/>
      </c>
      <c r="T291" s="37">
        <f>IF($AG291="","",INDEX('04_調査結果'!$AR$5:$AR$404,$AG291))</f>
        <v/>
      </c>
      <c r="U291">
        <f>IF($AG291="","",INDEX('04_調査結果'!$N$5:$N$404,$AG291)&amp;"")</f>
        <v/>
      </c>
      <c r="V291">
        <f>IF($AG291="","",INDEX('04_調査結果'!$O$5:$O$404,$AG291))</f>
        <v/>
      </c>
      <c r="W291">
        <f>IF($AG291="","",INDEX('04_調査結果'!$P$5:$P$404,$AG291))</f>
        <v/>
      </c>
      <c r="X291">
        <f>IF($AG291="","",INDEX('04_調査結果'!$Q$5:$Q$404,$AG291))</f>
        <v/>
      </c>
      <c r="Y291">
        <f>IF($AG291="","",INDEX('04_調査結果'!$R$5:$R$404,$AG291))</f>
        <v/>
      </c>
      <c r="Z291">
        <f>IF($AG291="","",INDEX('04_調査結果'!$S$5:$S$404,$AG291))</f>
        <v/>
      </c>
      <c r="AA291">
        <f>IF($AG291="","",INDEX('04_調査結果'!$T$5:$T$404,$AG291))</f>
        <v/>
      </c>
      <c r="AB291">
        <f>IF($AG291="","",INDEX('04_調査結果'!$U$5:$U$404,$AG291))</f>
        <v/>
      </c>
      <c r="AC291">
        <f>IF($AG291="","",INDEX('04_調査結果'!$AF$5:$AF$404,$AG291))</f>
        <v/>
      </c>
      <c r="AD291">
        <f>IF($AG291="","",INDEX('04_調査結果'!$AC$5:$AC$404,$AG291)&amp;"")</f>
        <v/>
      </c>
      <c r="AE291">
        <f>IF($AG291="","",INDEX('04_調査結果'!$V$5:$V$404,$AG291)&amp;"")</f>
        <v/>
      </c>
      <c r="AF291">
        <f>IF($AG291="","",INDEX('04_調査結果'!$X$5:$X$404,$AG291)&amp;"")</f>
        <v/>
      </c>
      <c r="AG291" s="34">
        <f>IFERROR(MATCH(ROW()-4,'04_調査結果'!$AT$5:$AT$404,0),"")</f>
        <v/>
      </c>
    </row>
    <row r="292">
      <c r="A292">
        <f>IF($AG292="","",'01_設定'!$C$4)</f>
        <v/>
      </c>
      <c r="B292">
        <f>IF($AG292="","",'01_設定'!$C$5)</f>
        <v/>
      </c>
      <c r="C292">
        <f>IF($AG292="","",'01_設定'!$C$6)</f>
        <v/>
      </c>
      <c r="D292" s="36">
        <f>IF($AG292="","",'01_設定'!$C$22)</f>
        <v/>
      </c>
      <c r="E292" s="36">
        <f>IF($AG292="","",'01_設定'!$C$23)</f>
        <v/>
      </c>
      <c r="F292">
        <f>IF($AG292="","",'01_設定'!$C$32)</f>
        <v/>
      </c>
      <c r="G292">
        <f>IF($AG292="","",ROW()-4)</f>
        <v/>
      </c>
      <c r="H292">
        <f>IF($AG292="","",INDEX('04_調査結果'!$AJ$5:$AJ$404,$AG292))</f>
        <v/>
      </c>
      <c r="I292">
        <f>IF($AG292="","",INDEX('04_調査結果'!$D$5:$D$404,$AG292)&amp;"")</f>
        <v/>
      </c>
      <c r="J292">
        <f>IF($AG292="","",INDEX('04_調査結果'!$AK$5:$AK$404,$AG292)&amp;"")</f>
        <v/>
      </c>
      <c r="K292">
        <f>IF($AG292="","",IFERROR(INDEX('M1_類型マスタ'!$B$5:$B$19,MATCH(J292,'M1_類型マスタ'!$A$5:$A$19,0)),""))</f>
        <v/>
      </c>
      <c r="L292">
        <f>IF($AG292="","",INDEX('04_調査結果'!$F$5:$F$404,$AG292)&amp;"")</f>
        <v/>
      </c>
      <c r="M292">
        <f>IF($AG292="","",INDEX('04_調査結果'!$G$5:$G$404,$AG292)&amp;"")</f>
        <v/>
      </c>
      <c r="N292">
        <f>IF($AG292="","",INDEX('04_調査結果'!$H$5:$H$404,$AG292)&amp;"")</f>
        <v/>
      </c>
      <c r="O292" s="33">
        <f>IF($AG292="","",IF(INDEX('04_調査結果'!$Z$5:$Z$404,$AG292)&lt;&gt;"",INDEX('04_調査結果'!$Z$5:$Z$404,$AG292),INDEX('04_調査結果'!$AM$5:$AM$404,$AG292)))</f>
        <v/>
      </c>
      <c r="P292" s="33">
        <f>IF($AG292="","",IF(INDEX('04_調査結果'!$AA$5:$AA$404,$AG292)&lt;&gt;"",INDEX('04_調査結果'!$AA$5:$AA$404,$AG292),INDEX('04_調査結果'!$AN$5:$AN$404,$AG292)))</f>
        <v/>
      </c>
      <c r="Q292" s="33">
        <f>IF($AG292="","",INDEX('04_調査結果'!$AD$5:$AD$404,$AG292))</f>
        <v/>
      </c>
      <c r="R292">
        <f>IF($AG292="","",INDEX('04_調査結果'!$AO$5:$AO$404,$AG292))</f>
        <v/>
      </c>
      <c r="S292" s="37">
        <f>IF($AG292="","",INDEX('04_調査結果'!$AQ$5:$AQ$404,$AG292))</f>
        <v/>
      </c>
      <c r="T292" s="37">
        <f>IF($AG292="","",INDEX('04_調査結果'!$AR$5:$AR$404,$AG292))</f>
        <v/>
      </c>
      <c r="U292">
        <f>IF($AG292="","",INDEX('04_調査結果'!$N$5:$N$404,$AG292)&amp;"")</f>
        <v/>
      </c>
      <c r="V292">
        <f>IF($AG292="","",INDEX('04_調査結果'!$O$5:$O$404,$AG292))</f>
        <v/>
      </c>
      <c r="W292">
        <f>IF($AG292="","",INDEX('04_調査結果'!$P$5:$P$404,$AG292))</f>
        <v/>
      </c>
      <c r="X292">
        <f>IF($AG292="","",INDEX('04_調査結果'!$Q$5:$Q$404,$AG292))</f>
        <v/>
      </c>
      <c r="Y292">
        <f>IF($AG292="","",INDEX('04_調査結果'!$R$5:$R$404,$AG292))</f>
        <v/>
      </c>
      <c r="Z292">
        <f>IF($AG292="","",INDEX('04_調査結果'!$S$5:$S$404,$AG292))</f>
        <v/>
      </c>
      <c r="AA292">
        <f>IF($AG292="","",INDEX('04_調査結果'!$T$5:$T$404,$AG292))</f>
        <v/>
      </c>
      <c r="AB292">
        <f>IF($AG292="","",INDEX('04_調査結果'!$U$5:$U$404,$AG292))</f>
        <v/>
      </c>
      <c r="AC292">
        <f>IF($AG292="","",INDEX('04_調査結果'!$AF$5:$AF$404,$AG292))</f>
        <v/>
      </c>
      <c r="AD292">
        <f>IF($AG292="","",INDEX('04_調査結果'!$AC$5:$AC$404,$AG292)&amp;"")</f>
        <v/>
      </c>
      <c r="AE292">
        <f>IF($AG292="","",INDEX('04_調査結果'!$V$5:$V$404,$AG292)&amp;"")</f>
        <v/>
      </c>
      <c r="AF292">
        <f>IF($AG292="","",INDEX('04_調査結果'!$X$5:$X$404,$AG292)&amp;"")</f>
        <v/>
      </c>
      <c r="AG292" s="34">
        <f>IFERROR(MATCH(ROW()-4,'04_調査結果'!$AT$5:$AT$404,0),"")</f>
        <v/>
      </c>
    </row>
    <row r="293">
      <c r="A293">
        <f>IF($AG293="","",'01_設定'!$C$4)</f>
        <v/>
      </c>
      <c r="B293">
        <f>IF($AG293="","",'01_設定'!$C$5)</f>
        <v/>
      </c>
      <c r="C293">
        <f>IF($AG293="","",'01_設定'!$C$6)</f>
        <v/>
      </c>
      <c r="D293" s="36">
        <f>IF($AG293="","",'01_設定'!$C$22)</f>
        <v/>
      </c>
      <c r="E293" s="36">
        <f>IF($AG293="","",'01_設定'!$C$23)</f>
        <v/>
      </c>
      <c r="F293">
        <f>IF($AG293="","",'01_設定'!$C$32)</f>
        <v/>
      </c>
      <c r="G293">
        <f>IF($AG293="","",ROW()-4)</f>
        <v/>
      </c>
      <c r="H293">
        <f>IF($AG293="","",INDEX('04_調査結果'!$AJ$5:$AJ$404,$AG293))</f>
        <v/>
      </c>
      <c r="I293">
        <f>IF($AG293="","",INDEX('04_調査結果'!$D$5:$D$404,$AG293)&amp;"")</f>
        <v/>
      </c>
      <c r="J293">
        <f>IF($AG293="","",INDEX('04_調査結果'!$AK$5:$AK$404,$AG293)&amp;"")</f>
        <v/>
      </c>
      <c r="K293">
        <f>IF($AG293="","",IFERROR(INDEX('M1_類型マスタ'!$B$5:$B$19,MATCH(J293,'M1_類型マスタ'!$A$5:$A$19,0)),""))</f>
        <v/>
      </c>
      <c r="L293">
        <f>IF($AG293="","",INDEX('04_調査結果'!$F$5:$F$404,$AG293)&amp;"")</f>
        <v/>
      </c>
      <c r="M293">
        <f>IF($AG293="","",INDEX('04_調査結果'!$G$5:$G$404,$AG293)&amp;"")</f>
        <v/>
      </c>
      <c r="N293">
        <f>IF($AG293="","",INDEX('04_調査結果'!$H$5:$H$404,$AG293)&amp;"")</f>
        <v/>
      </c>
      <c r="O293" s="33">
        <f>IF($AG293="","",IF(INDEX('04_調査結果'!$Z$5:$Z$404,$AG293)&lt;&gt;"",INDEX('04_調査結果'!$Z$5:$Z$404,$AG293),INDEX('04_調査結果'!$AM$5:$AM$404,$AG293)))</f>
        <v/>
      </c>
      <c r="P293" s="33">
        <f>IF($AG293="","",IF(INDEX('04_調査結果'!$AA$5:$AA$404,$AG293)&lt;&gt;"",INDEX('04_調査結果'!$AA$5:$AA$404,$AG293),INDEX('04_調査結果'!$AN$5:$AN$404,$AG293)))</f>
        <v/>
      </c>
      <c r="Q293" s="33">
        <f>IF($AG293="","",INDEX('04_調査結果'!$AD$5:$AD$404,$AG293))</f>
        <v/>
      </c>
      <c r="R293">
        <f>IF($AG293="","",INDEX('04_調査結果'!$AO$5:$AO$404,$AG293))</f>
        <v/>
      </c>
      <c r="S293" s="37">
        <f>IF($AG293="","",INDEX('04_調査結果'!$AQ$5:$AQ$404,$AG293))</f>
        <v/>
      </c>
      <c r="T293" s="37">
        <f>IF($AG293="","",INDEX('04_調査結果'!$AR$5:$AR$404,$AG293))</f>
        <v/>
      </c>
      <c r="U293">
        <f>IF($AG293="","",INDEX('04_調査結果'!$N$5:$N$404,$AG293)&amp;"")</f>
        <v/>
      </c>
      <c r="V293">
        <f>IF($AG293="","",INDEX('04_調査結果'!$O$5:$O$404,$AG293))</f>
        <v/>
      </c>
      <c r="W293">
        <f>IF($AG293="","",INDEX('04_調査結果'!$P$5:$P$404,$AG293))</f>
        <v/>
      </c>
      <c r="X293">
        <f>IF($AG293="","",INDEX('04_調査結果'!$Q$5:$Q$404,$AG293))</f>
        <v/>
      </c>
      <c r="Y293">
        <f>IF($AG293="","",INDEX('04_調査結果'!$R$5:$R$404,$AG293))</f>
        <v/>
      </c>
      <c r="Z293">
        <f>IF($AG293="","",INDEX('04_調査結果'!$S$5:$S$404,$AG293))</f>
        <v/>
      </c>
      <c r="AA293">
        <f>IF($AG293="","",INDEX('04_調査結果'!$T$5:$T$404,$AG293))</f>
        <v/>
      </c>
      <c r="AB293">
        <f>IF($AG293="","",INDEX('04_調査結果'!$U$5:$U$404,$AG293))</f>
        <v/>
      </c>
      <c r="AC293">
        <f>IF($AG293="","",INDEX('04_調査結果'!$AF$5:$AF$404,$AG293))</f>
        <v/>
      </c>
      <c r="AD293">
        <f>IF($AG293="","",INDEX('04_調査結果'!$AC$5:$AC$404,$AG293)&amp;"")</f>
        <v/>
      </c>
      <c r="AE293">
        <f>IF($AG293="","",INDEX('04_調査結果'!$V$5:$V$404,$AG293)&amp;"")</f>
        <v/>
      </c>
      <c r="AF293">
        <f>IF($AG293="","",INDEX('04_調査結果'!$X$5:$X$404,$AG293)&amp;"")</f>
        <v/>
      </c>
      <c r="AG293" s="34">
        <f>IFERROR(MATCH(ROW()-4,'04_調査結果'!$AT$5:$AT$404,0),"")</f>
        <v/>
      </c>
    </row>
    <row r="294">
      <c r="A294">
        <f>IF($AG294="","",'01_設定'!$C$4)</f>
        <v/>
      </c>
      <c r="B294">
        <f>IF($AG294="","",'01_設定'!$C$5)</f>
        <v/>
      </c>
      <c r="C294">
        <f>IF($AG294="","",'01_設定'!$C$6)</f>
        <v/>
      </c>
      <c r="D294" s="36">
        <f>IF($AG294="","",'01_設定'!$C$22)</f>
        <v/>
      </c>
      <c r="E294" s="36">
        <f>IF($AG294="","",'01_設定'!$C$23)</f>
        <v/>
      </c>
      <c r="F294">
        <f>IF($AG294="","",'01_設定'!$C$32)</f>
        <v/>
      </c>
      <c r="G294">
        <f>IF($AG294="","",ROW()-4)</f>
        <v/>
      </c>
      <c r="H294">
        <f>IF($AG294="","",INDEX('04_調査結果'!$AJ$5:$AJ$404,$AG294))</f>
        <v/>
      </c>
      <c r="I294">
        <f>IF($AG294="","",INDEX('04_調査結果'!$D$5:$D$404,$AG294)&amp;"")</f>
        <v/>
      </c>
      <c r="J294">
        <f>IF($AG294="","",INDEX('04_調査結果'!$AK$5:$AK$404,$AG294)&amp;"")</f>
        <v/>
      </c>
      <c r="K294">
        <f>IF($AG294="","",IFERROR(INDEX('M1_類型マスタ'!$B$5:$B$19,MATCH(J294,'M1_類型マスタ'!$A$5:$A$19,0)),""))</f>
        <v/>
      </c>
      <c r="L294">
        <f>IF($AG294="","",INDEX('04_調査結果'!$F$5:$F$404,$AG294)&amp;"")</f>
        <v/>
      </c>
      <c r="M294">
        <f>IF($AG294="","",INDEX('04_調査結果'!$G$5:$G$404,$AG294)&amp;"")</f>
        <v/>
      </c>
      <c r="N294">
        <f>IF($AG294="","",INDEX('04_調査結果'!$H$5:$H$404,$AG294)&amp;"")</f>
        <v/>
      </c>
      <c r="O294" s="33">
        <f>IF($AG294="","",IF(INDEX('04_調査結果'!$Z$5:$Z$404,$AG294)&lt;&gt;"",INDEX('04_調査結果'!$Z$5:$Z$404,$AG294),INDEX('04_調査結果'!$AM$5:$AM$404,$AG294)))</f>
        <v/>
      </c>
      <c r="P294" s="33">
        <f>IF($AG294="","",IF(INDEX('04_調査結果'!$AA$5:$AA$404,$AG294)&lt;&gt;"",INDEX('04_調査結果'!$AA$5:$AA$404,$AG294),INDEX('04_調査結果'!$AN$5:$AN$404,$AG294)))</f>
        <v/>
      </c>
      <c r="Q294" s="33">
        <f>IF($AG294="","",INDEX('04_調査結果'!$AD$5:$AD$404,$AG294))</f>
        <v/>
      </c>
      <c r="R294">
        <f>IF($AG294="","",INDEX('04_調査結果'!$AO$5:$AO$404,$AG294))</f>
        <v/>
      </c>
      <c r="S294" s="37">
        <f>IF($AG294="","",INDEX('04_調査結果'!$AQ$5:$AQ$404,$AG294))</f>
        <v/>
      </c>
      <c r="T294" s="37">
        <f>IF($AG294="","",INDEX('04_調査結果'!$AR$5:$AR$404,$AG294))</f>
        <v/>
      </c>
      <c r="U294">
        <f>IF($AG294="","",INDEX('04_調査結果'!$N$5:$N$404,$AG294)&amp;"")</f>
        <v/>
      </c>
      <c r="V294">
        <f>IF($AG294="","",INDEX('04_調査結果'!$O$5:$O$404,$AG294))</f>
        <v/>
      </c>
      <c r="W294">
        <f>IF($AG294="","",INDEX('04_調査結果'!$P$5:$P$404,$AG294))</f>
        <v/>
      </c>
      <c r="X294">
        <f>IF($AG294="","",INDEX('04_調査結果'!$Q$5:$Q$404,$AG294))</f>
        <v/>
      </c>
      <c r="Y294">
        <f>IF($AG294="","",INDEX('04_調査結果'!$R$5:$R$404,$AG294))</f>
        <v/>
      </c>
      <c r="Z294">
        <f>IF($AG294="","",INDEX('04_調査結果'!$S$5:$S$404,$AG294))</f>
        <v/>
      </c>
      <c r="AA294">
        <f>IF($AG294="","",INDEX('04_調査結果'!$T$5:$T$404,$AG294))</f>
        <v/>
      </c>
      <c r="AB294">
        <f>IF($AG294="","",INDEX('04_調査結果'!$U$5:$U$404,$AG294))</f>
        <v/>
      </c>
      <c r="AC294">
        <f>IF($AG294="","",INDEX('04_調査結果'!$AF$5:$AF$404,$AG294))</f>
        <v/>
      </c>
      <c r="AD294">
        <f>IF($AG294="","",INDEX('04_調査結果'!$AC$5:$AC$404,$AG294)&amp;"")</f>
        <v/>
      </c>
      <c r="AE294">
        <f>IF($AG294="","",INDEX('04_調査結果'!$V$5:$V$404,$AG294)&amp;"")</f>
        <v/>
      </c>
      <c r="AF294">
        <f>IF($AG294="","",INDEX('04_調査結果'!$X$5:$X$404,$AG294)&amp;"")</f>
        <v/>
      </c>
      <c r="AG294" s="34">
        <f>IFERROR(MATCH(ROW()-4,'04_調査結果'!$AT$5:$AT$404,0),"")</f>
        <v/>
      </c>
    </row>
    <row r="295">
      <c r="A295">
        <f>IF($AG295="","",'01_設定'!$C$4)</f>
        <v/>
      </c>
      <c r="B295">
        <f>IF($AG295="","",'01_設定'!$C$5)</f>
        <v/>
      </c>
      <c r="C295">
        <f>IF($AG295="","",'01_設定'!$C$6)</f>
        <v/>
      </c>
      <c r="D295" s="36">
        <f>IF($AG295="","",'01_設定'!$C$22)</f>
        <v/>
      </c>
      <c r="E295" s="36">
        <f>IF($AG295="","",'01_設定'!$C$23)</f>
        <v/>
      </c>
      <c r="F295">
        <f>IF($AG295="","",'01_設定'!$C$32)</f>
        <v/>
      </c>
      <c r="G295">
        <f>IF($AG295="","",ROW()-4)</f>
        <v/>
      </c>
      <c r="H295">
        <f>IF($AG295="","",INDEX('04_調査結果'!$AJ$5:$AJ$404,$AG295))</f>
        <v/>
      </c>
      <c r="I295">
        <f>IF($AG295="","",INDEX('04_調査結果'!$D$5:$D$404,$AG295)&amp;"")</f>
        <v/>
      </c>
      <c r="J295">
        <f>IF($AG295="","",INDEX('04_調査結果'!$AK$5:$AK$404,$AG295)&amp;"")</f>
        <v/>
      </c>
      <c r="K295">
        <f>IF($AG295="","",IFERROR(INDEX('M1_類型マスタ'!$B$5:$B$19,MATCH(J295,'M1_類型マスタ'!$A$5:$A$19,0)),""))</f>
        <v/>
      </c>
      <c r="L295">
        <f>IF($AG295="","",INDEX('04_調査結果'!$F$5:$F$404,$AG295)&amp;"")</f>
        <v/>
      </c>
      <c r="M295">
        <f>IF($AG295="","",INDEX('04_調査結果'!$G$5:$G$404,$AG295)&amp;"")</f>
        <v/>
      </c>
      <c r="N295">
        <f>IF($AG295="","",INDEX('04_調査結果'!$H$5:$H$404,$AG295)&amp;"")</f>
        <v/>
      </c>
      <c r="O295" s="33">
        <f>IF($AG295="","",IF(INDEX('04_調査結果'!$Z$5:$Z$404,$AG295)&lt;&gt;"",INDEX('04_調査結果'!$Z$5:$Z$404,$AG295),INDEX('04_調査結果'!$AM$5:$AM$404,$AG295)))</f>
        <v/>
      </c>
      <c r="P295" s="33">
        <f>IF($AG295="","",IF(INDEX('04_調査結果'!$AA$5:$AA$404,$AG295)&lt;&gt;"",INDEX('04_調査結果'!$AA$5:$AA$404,$AG295),INDEX('04_調査結果'!$AN$5:$AN$404,$AG295)))</f>
        <v/>
      </c>
      <c r="Q295" s="33">
        <f>IF($AG295="","",INDEX('04_調査結果'!$AD$5:$AD$404,$AG295))</f>
        <v/>
      </c>
      <c r="R295">
        <f>IF($AG295="","",INDEX('04_調査結果'!$AO$5:$AO$404,$AG295))</f>
        <v/>
      </c>
      <c r="S295" s="37">
        <f>IF($AG295="","",INDEX('04_調査結果'!$AQ$5:$AQ$404,$AG295))</f>
        <v/>
      </c>
      <c r="T295" s="37">
        <f>IF($AG295="","",INDEX('04_調査結果'!$AR$5:$AR$404,$AG295))</f>
        <v/>
      </c>
      <c r="U295">
        <f>IF($AG295="","",INDEX('04_調査結果'!$N$5:$N$404,$AG295)&amp;"")</f>
        <v/>
      </c>
      <c r="V295">
        <f>IF($AG295="","",INDEX('04_調査結果'!$O$5:$O$404,$AG295))</f>
        <v/>
      </c>
      <c r="W295">
        <f>IF($AG295="","",INDEX('04_調査結果'!$P$5:$P$404,$AG295))</f>
        <v/>
      </c>
      <c r="X295">
        <f>IF($AG295="","",INDEX('04_調査結果'!$Q$5:$Q$404,$AG295))</f>
        <v/>
      </c>
      <c r="Y295">
        <f>IF($AG295="","",INDEX('04_調査結果'!$R$5:$R$404,$AG295))</f>
        <v/>
      </c>
      <c r="Z295">
        <f>IF($AG295="","",INDEX('04_調査結果'!$S$5:$S$404,$AG295))</f>
        <v/>
      </c>
      <c r="AA295">
        <f>IF($AG295="","",INDEX('04_調査結果'!$T$5:$T$404,$AG295))</f>
        <v/>
      </c>
      <c r="AB295">
        <f>IF($AG295="","",INDEX('04_調査結果'!$U$5:$U$404,$AG295))</f>
        <v/>
      </c>
      <c r="AC295">
        <f>IF($AG295="","",INDEX('04_調査結果'!$AF$5:$AF$404,$AG295))</f>
        <v/>
      </c>
      <c r="AD295">
        <f>IF($AG295="","",INDEX('04_調査結果'!$AC$5:$AC$404,$AG295)&amp;"")</f>
        <v/>
      </c>
      <c r="AE295">
        <f>IF($AG295="","",INDEX('04_調査結果'!$V$5:$V$404,$AG295)&amp;"")</f>
        <v/>
      </c>
      <c r="AF295">
        <f>IF($AG295="","",INDEX('04_調査結果'!$X$5:$X$404,$AG295)&amp;"")</f>
        <v/>
      </c>
      <c r="AG295" s="34">
        <f>IFERROR(MATCH(ROW()-4,'04_調査結果'!$AT$5:$AT$404,0),"")</f>
        <v/>
      </c>
    </row>
    <row r="296">
      <c r="A296">
        <f>IF($AG296="","",'01_設定'!$C$4)</f>
        <v/>
      </c>
      <c r="B296">
        <f>IF($AG296="","",'01_設定'!$C$5)</f>
        <v/>
      </c>
      <c r="C296">
        <f>IF($AG296="","",'01_設定'!$C$6)</f>
        <v/>
      </c>
      <c r="D296" s="36">
        <f>IF($AG296="","",'01_設定'!$C$22)</f>
        <v/>
      </c>
      <c r="E296" s="36">
        <f>IF($AG296="","",'01_設定'!$C$23)</f>
        <v/>
      </c>
      <c r="F296">
        <f>IF($AG296="","",'01_設定'!$C$32)</f>
        <v/>
      </c>
      <c r="G296">
        <f>IF($AG296="","",ROW()-4)</f>
        <v/>
      </c>
      <c r="H296">
        <f>IF($AG296="","",INDEX('04_調査結果'!$AJ$5:$AJ$404,$AG296))</f>
        <v/>
      </c>
      <c r="I296">
        <f>IF($AG296="","",INDEX('04_調査結果'!$D$5:$D$404,$AG296)&amp;"")</f>
        <v/>
      </c>
      <c r="J296">
        <f>IF($AG296="","",INDEX('04_調査結果'!$AK$5:$AK$404,$AG296)&amp;"")</f>
        <v/>
      </c>
      <c r="K296">
        <f>IF($AG296="","",IFERROR(INDEX('M1_類型マスタ'!$B$5:$B$19,MATCH(J296,'M1_類型マスタ'!$A$5:$A$19,0)),""))</f>
        <v/>
      </c>
      <c r="L296">
        <f>IF($AG296="","",INDEX('04_調査結果'!$F$5:$F$404,$AG296)&amp;"")</f>
        <v/>
      </c>
      <c r="M296">
        <f>IF($AG296="","",INDEX('04_調査結果'!$G$5:$G$404,$AG296)&amp;"")</f>
        <v/>
      </c>
      <c r="N296">
        <f>IF($AG296="","",INDEX('04_調査結果'!$H$5:$H$404,$AG296)&amp;"")</f>
        <v/>
      </c>
      <c r="O296" s="33">
        <f>IF($AG296="","",IF(INDEX('04_調査結果'!$Z$5:$Z$404,$AG296)&lt;&gt;"",INDEX('04_調査結果'!$Z$5:$Z$404,$AG296),INDEX('04_調査結果'!$AM$5:$AM$404,$AG296)))</f>
        <v/>
      </c>
      <c r="P296" s="33">
        <f>IF($AG296="","",IF(INDEX('04_調査結果'!$AA$5:$AA$404,$AG296)&lt;&gt;"",INDEX('04_調査結果'!$AA$5:$AA$404,$AG296),INDEX('04_調査結果'!$AN$5:$AN$404,$AG296)))</f>
        <v/>
      </c>
      <c r="Q296" s="33">
        <f>IF($AG296="","",INDEX('04_調査結果'!$AD$5:$AD$404,$AG296))</f>
        <v/>
      </c>
      <c r="R296">
        <f>IF($AG296="","",INDEX('04_調査結果'!$AO$5:$AO$404,$AG296))</f>
        <v/>
      </c>
      <c r="S296" s="37">
        <f>IF($AG296="","",INDEX('04_調査結果'!$AQ$5:$AQ$404,$AG296))</f>
        <v/>
      </c>
      <c r="T296" s="37">
        <f>IF($AG296="","",INDEX('04_調査結果'!$AR$5:$AR$404,$AG296))</f>
        <v/>
      </c>
      <c r="U296">
        <f>IF($AG296="","",INDEX('04_調査結果'!$N$5:$N$404,$AG296)&amp;"")</f>
        <v/>
      </c>
      <c r="V296">
        <f>IF($AG296="","",INDEX('04_調査結果'!$O$5:$O$404,$AG296))</f>
        <v/>
      </c>
      <c r="W296">
        <f>IF($AG296="","",INDEX('04_調査結果'!$P$5:$P$404,$AG296))</f>
        <v/>
      </c>
      <c r="X296">
        <f>IF($AG296="","",INDEX('04_調査結果'!$Q$5:$Q$404,$AG296))</f>
        <v/>
      </c>
      <c r="Y296">
        <f>IF($AG296="","",INDEX('04_調査結果'!$R$5:$R$404,$AG296))</f>
        <v/>
      </c>
      <c r="Z296">
        <f>IF($AG296="","",INDEX('04_調査結果'!$S$5:$S$404,$AG296))</f>
        <v/>
      </c>
      <c r="AA296">
        <f>IF($AG296="","",INDEX('04_調査結果'!$T$5:$T$404,$AG296))</f>
        <v/>
      </c>
      <c r="AB296">
        <f>IF($AG296="","",INDEX('04_調査結果'!$U$5:$U$404,$AG296))</f>
        <v/>
      </c>
      <c r="AC296">
        <f>IF($AG296="","",INDEX('04_調査結果'!$AF$5:$AF$404,$AG296))</f>
        <v/>
      </c>
      <c r="AD296">
        <f>IF($AG296="","",INDEX('04_調査結果'!$AC$5:$AC$404,$AG296)&amp;"")</f>
        <v/>
      </c>
      <c r="AE296">
        <f>IF($AG296="","",INDEX('04_調査結果'!$V$5:$V$404,$AG296)&amp;"")</f>
        <v/>
      </c>
      <c r="AF296">
        <f>IF($AG296="","",INDEX('04_調査結果'!$X$5:$X$404,$AG296)&amp;"")</f>
        <v/>
      </c>
      <c r="AG296" s="34">
        <f>IFERROR(MATCH(ROW()-4,'04_調査結果'!$AT$5:$AT$404,0),"")</f>
        <v/>
      </c>
    </row>
    <row r="297">
      <c r="A297">
        <f>IF($AG297="","",'01_設定'!$C$4)</f>
        <v/>
      </c>
      <c r="B297">
        <f>IF($AG297="","",'01_設定'!$C$5)</f>
        <v/>
      </c>
      <c r="C297">
        <f>IF($AG297="","",'01_設定'!$C$6)</f>
        <v/>
      </c>
      <c r="D297" s="36">
        <f>IF($AG297="","",'01_設定'!$C$22)</f>
        <v/>
      </c>
      <c r="E297" s="36">
        <f>IF($AG297="","",'01_設定'!$C$23)</f>
        <v/>
      </c>
      <c r="F297">
        <f>IF($AG297="","",'01_設定'!$C$32)</f>
        <v/>
      </c>
      <c r="G297">
        <f>IF($AG297="","",ROW()-4)</f>
        <v/>
      </c>
      <c r="H297">
        <f>IF($AG297="","",INDEX('04_調査結果'!$AJ$5:$AJ$404,$AG297))</f>
        <v/>
      </c>
      <c r="I297">
        <f>IF($AG297="","",INDEX('04_調査結果'!$D$5:$D$404,$AG297)&amp;"")</f>
        <v/>
      </c>
      <c r="J297">
        <f>IF($AG297="","",INDEX('04_調査結果'!$AK$5:$AK$404,$AG297)&amp;"")</f>
        <v/>
      </c>
      <c r="K297">
        <f>IF($AG297="","",IFERROR(INDEX('M1_類型マスタ'!$B$5:$B$19,MATCH(J297,'M1_類型マスタ'!$A$5:$A$19,0)),""))</f>
        <v/>
      </c>
      <c r="L297">
        <f>IF($AG297="","",INDEX('04_調査結果'!$F$5:$F$404,$AG297)&amp;"")</f>
        <v/>
      </c>
      <c r="M297">
        <f>IF($AG297="","",INDEX('04_調査結果'!$G$5:$G$404,$AG297)&amp;"")</f>
        <v/>
      </c>
      <c r="N297">
        <f>IF($AG297="","",INDEX('04_調査結果'!$H$5:$H$404,$AG297)&amp;"")</f>
        <v/>
      </c>
      <c r="O297" s="33">
        <f>IF($AG297="","",IF(INDEX('04_調査結果'!$Z$5:$Z$404,$AG297)&lt;&gt;"",INDEX('04_調査結果'!$Z$5:$Z$404,$AG297),INDEX('04_調査結果'!$AM$5:$AM$404,$AG297)))</f>
        <v/>
      </c>
      <c r="P297" s="33">
        <f>IF($AG297="","",IF(INDEX('04_調査結果'!$AA$5:$AA$404,$AG297)&lt;&gt;"",INDEX('04_調査結果'!$AA$5:$AA$404,$AG297),INDEX('04_調査結果'!$AN$5:$AN$404,$AG297)))</f>
        <v/>
      </c>
      <c r="Q297" s="33">
        <f>IF($AG297="","",INDEX('04_調査結果'!$AD$5:$AD$404,$AG297))</f>
        <v/>
      </c>
      <c r="R297">
        <f>IF($AG297="","",INDEX('04_調査結果'!$AO$5:$AO$404,$AG297))</f>
        <v/>
      </c>
      <c r="S297" s="37">
        <f>IF($AG297="","",INDEX('04_調査結果'!$AQ$5:$AQ$404,$AG297))</f>
        <v/>
      </c>
      <c r="T297" s="37">
        <f>IF($AG297="","",INDEX('04_調査結果'!$AR$5:$AR$404,$AG297))</f>
        <v/>
      </c>
      <c r="U297">
        <f>IF($AG297="","",INDEX('04_調査結果'!$N$5:$N$404,$AG297)&amp;"")</f>
        <v/>
      </c>
      <c r="V297">
        <f>IF($AG297="","",INDEX('04_調査結果'!$O$5:$O$404,$AG297))</f>
        <v/>
      </c>
      <c r="W297">
        <f>IF($AG297="","",INDEX('04_調査結果'!$P$5:$P$404,$AG297))</f>
        <v/>
      </c>
      <c r="X297">
        <f>IF($AG297="","",INDEX('04_調査結果'!$Q$5:$Q$404,$AG297))</f>
        <v/>
      </c>
      <c r="Y297">
        <f>IF($AG297="","",INDEX('04_調査結果'!$R$5:$R$404,$AG297))</f>
        <v/>
      </c>
      <c r="Z297">
        <f>IF($AG297="","",INDEX('04_調査結果'!$S$5:$S$404,$AG297))</f>
        <v/>
      </c>
      <c r="AA297">
        <f>IF($AG297="","",INDEX('04_調査結果'!$T$5:$T$404,$AG297))</f>
        <v/>
      </c>
      <c r="AB297">
        <f>IF($AG297="","",INDEX('04_調査結果'!$U$5:$U$404,$AG297))</f>
        <v/>
      </c>
      <c r="AC297">
        <f>IF($AG297="","",INDEX('04_調査結果'!$AF$5:$AF$404,$AG297))</f>
        <v/>
      </c>
      <c r="AD297">
        <f>IF($AG297="","",INDEX('04_調査結果'!$AC$5:$AC$404,$AG297)&amp;"")</f>
        <v/>
      </c>
      <c r="AE297">
        <f>IF($AG297="","",INDEX('04_調査結果'!$V$5:$V$404,$AG297)&amp;"")</f>
        <v/>
      </c>
      <c r="AF297">
        <f>IF($AG297="","",INDEX('04_調査結果'!$X$5:$X$404,$AG297)&amp;"")</f>
        <v/>
      </c>
      <c r="AG297" s="34">
        <f>IFERROR(MATCH(ROW()-4,'04_調査結果'!$AT$5:$AT$404,0),"")</f>
        <v/>
      </c>
    </row>
    <row r="298">
      <c r="A298">
        <f>IF($AG298="","",'01_設定'!$C$4)</f>
        <v/>
      </c>
      <c r="B298">
        <f>IF($AG298="","",'01_設定'!$C$5)</f>
        <v/>
      </c>
      <c r="C298">
        <f>IF($AG298="","",'01_設定'!$C$6)</f>
        <v/>
      </c>
      <c r="D298" s="36">
        <f>IF($AG298="","",'01_設定'!$C$22)</f>
        <v/>
      </c>
      <c r="E298" s="36">
        <f>IF($AG298="","",'01_設定'!$C$23)</f>
        <v/>
      </c>
      <c r="F298">
        <f>IF($AG298="","",'01_設定'!$C$32)</f>
        <v/>
      </c>
      <c r="G298">
        <f>IF($AG298="","",ROW()-4)</f>
        <v/>
      </c>
      <c r="H298">
        <f>IF($AG298="","",INDEX('04_調査結果'!$AJ$5:$AJ$404,$AG298))</f>
        <v/>
      </c>
      <c r="I298">
        <f>IF($AG298="","",INDEX('04_調査結果'!$D$5:$D$404,$AG298)&amp;"")</f>
        <v/>
      </c>
      <c r="J298">
        <f>IF($AG298="","",INDEX('04_調査結果'!$AK$5:$AK$404,$AG298)&amp;"")</f>
        <v/>
      </c>
      <c r="K298">
        <f>IF($AG298="","",IFERROR(INDEX('M1_類型マスタ'!$B$5:$B$19,MATCH(J298,'M1_類型マスタ'!$A$5:$A$19,0)),""))</f>
        <v/>
      </c>
      <c r="L298">
        <f>IF($AG298="","",INDEX('04_調査結果'!$F$5:$F$404,$AG298)&amp;"")</f>
        <v/>
      </c>
      <c r="M298">
        <f>IF($AG298="","",INDEX('04_調査結果'!$G$5:$G$404,$AG298)&amp;"")</f>
        <v/>
      </c>
      <c r="N298">
        <f>IF($AG298="","",INDEX('04_調査結果'!$H$5:$H$404,$AG298)&amp;"")</f>
        <v/>
      </c>
      <c r="O298" s="33">
        <f>IF($AG298="","",IF(INDEX('04_調査結果'!$Z$5:$Z$404,$AG298)&lt;&gt;"",INDEX('04_調査結果'!$Z$5:$Z$404,$AG298),INDEX('04_調査結果'!$AM$5:$AM$404,$AG298)))</f>
        <v/>
      </c>
      <c r="P298" s="33">
        <f>IF($AG298="","",IF(INDEX('04_調査結果'!$AA$5:$AA$404,$AG298)&lt;&gt;"",INDEX('04_調査結果'!$AA$5:$AA$404,$AG298),INDEX('04_調査結果'!$AN$5:$AN$404,$AG298)))</f>
        <v/>
      </c>
      <c r="Q298" s="33">
        <f>IF($AG298="","",INDEX('04_調査結果'!$AD$5:$AD$404,$AG298))</f>
        <v/>
      </c>
      <c r="R298">
        <f>IF($AG298="","",INDEX('04_調査結果'!$AO$5:$AO$404,$AG298))</f>
        <v/>
      </c>
      <c r="S298" s="37">
        <f>IF($AG298="","",INDEX('04_調査結果'!$AQ$5:$AQ$404,$AG298))</f>
        <v/>
      </c>
      <c r="T298" s="37">
        <f>IF($AG298="","",INDEX('04_調査結果'!$AR$5:$AR$404,$AG298))</f>
        <v/>
      </c>
      <c r="U298">
        <f>IF($AG298="","",INDEX('04_調査結果'!$N$5:$N$404,$AG298)&amp;"")</f>
        <v/>
      </c>
      <c r="V298">
        <f>IF($AG298="","",INDEX('04_調査結果'!$O$5:$O$404,$AG298))</f>
        <v/>
      </c>
      <c r="W298">
        <f>IF($AG298="","",INDEX('04_調査結果'!$P$5:$P$404,$AG298))</f>
        <v/>
      </c>
      <c r="X298">
        <f>IF($AG298="","",INDEX('04_調査結果'!$Q$5:$Q$404,$AG298))</f>
        <v/>
      </c>
      <c r="Y298">
        <f>IF($AG298="","",INDEX('04_調査結果'!$R$5:$R$404,$AG298))</f>
        <v/>
      </c>
      <c r="Z298">
        <f>IF($AG298="","",INDEX('04_調査結果'!$S$5:$S$404,$AG298))</f>
        <v/>
      </c>
      <c r="AA298">
        <f>IF($AG298="","",INDEX('04_調査結果'!$T$5:$T$404,$AG298))</f>
        <v/>
      </c>
      <c r="AB298">
        <f>IF($AG298="","",INDEX('04_調査結果'!$U$5:$U$404,$AG298))</f>
        <v/>
      </c>
      <c r="AC298">
        <f>IF($AG298="","",INDEX('04_調査結果'!$AF$5:$AF$404,$AG298))</f>
        <v/>
      </c>
      <c r="AD298">
        <f>IF($AG298="","",INDEX('04_調査結果'!$AC$5:$AC$404,$AG298)&amp;"")</f>
        <v/>
      </c>
      <c r="AE298">
        <f>IF($AG298="","",INDEX('04_調査結果'!$V$5:$V$404,$AG298)&amp;"")</f>
        <v/>
      </c>
      <c r="AF298">
        <f>IF($AG298="","",INDEX('04_調査結果'!$X$5:$X$404,$AG298)&amp;"")</f>
        <v/>
      </c>
      <c r="AG298" s="34">
        <f>IFERROR(MATCH(ROW()-4,'04_調査結果'!$AT$5:$AT$404,0),"")</f>
        <v/>
      </c>
    </row>
    <row r="299">
      <c r="A299">
        <f>IF($AG299="","",'01_設定'!$C$4)</f>
        <v/>
      </c>
      <c r="B299">
        <f>IF($AG299="","",'01_設定'!$C$5)</f>
        <v/>
      </c>
      <c r="C299">
        <f>IF($AG299="","",'01_設定'!$C$6)</f>
        <v/>
      </c>
      <c r="D299" s="36">
        <f>IF($AG299="","",'01_設定'!$C$22)</f>
        <v/>
      </c>
      <c r="E299" s="36">
        <f>IF($AG299="","",'01_設定'!$C$23)</f>
        <v/>
      </c>
      <c r="F299">
        <f>IF($AG299="","",'01_設定'!$C$32)</f>
        <v/>
      </c>
      <c r="G299">
        <f>IF($AG299="","",ROW()-4)</f>
        <v/>
      </c>
      <c r="H299">
        <f>IF($AG299="","",INDEX('04_調査結果'!$AJ$5:$AJ$404,$AG299))</f>
        <v/>
      </c>
      <c r="I299">
        <f>IF($AG299="","",INDEX('04_調査結果'!$D$5:$D$404,$AG299)&amp;"")</f>
        <v/>
      </c>
      <c r="J299">
        <f>IF($AG299="","",INDEX('04_調査結果'!$AK$5:$AK$404,$AG299)&amp;"")</f>
        <v/>
      </c>
      <c r="K299">
        <f>IF($AG299="","",IFERROR(INDEX('M1_類型マスタ'!$B$5:$B$19,MATCH(J299,'M1_類型マスタ'!$A$5:$A$19,0)),""))</f>
        <v/>
      </c>
      <c r="L299">
        <f>IF($AG299="","",INDEX('04_調査結果'!$F$5:$F$404,$AG299)&amp;"")</f>
        <v/>
      </c>
      <c r="M299">
        <f>IF($AG299="","",INDEX('04_調査結果'!$G$5:$G$404,$AG299)&amp;"")</f>
        <v/>
      </c>
      <c r="N299">
        <f>IF($AG299="","",INDEX('04_調査結果'!$H$5:$H$404,$AG299)&amp;"")</f>
        <v/>
      </c>
      <c r="O299" s="33">
        <f>IF($AG299="","",IF(INDEX('04_調査結果'!$Z$5:$Z$404,$AG299)&lt;&gt;"",INDEX('04_調査結果'!$Z$5:$Z$404,$AG299),INDEX('04_調査結果'!$AM$5:$AM$404,$AG299)))</f>
        <v/>
      </c>
      <c r="P299" s="33">
        <f>IF($AG299="","",IF(INDEX('04_調査結果'!$AA$5:$AA$404,$AG299)&lt;&gt;"",INDEX('04_調査結果'!$AA$5:$AA$404,$AG299),INDEX('04_調査結果'!$AN$5:$AN$404,$AG299)))</f>
        <v/>
      </c>
      <c r="Q299" s="33">
        <f>IF($AG299="","",INDEX('04_調査結果'!$AD$5:$AD$404,$AG299))</f>
        <v/>
      </c>
      <c r="R299">
        <f>IF($AG299="","",INDEX('04_調査結果'!$AO$5:$AO$404,$AG299))</f>
        <v/>
      </c>
      <c r="S299" s="37">
        <f>IF($AG299="","",INDEX('04_調査結果'!$AQ$5:$AQ$404,$AG299))</f>
        <v/>
      </c>
      <c r="T299" s="37">
        <f>IF($AG299="","",INDEX('04_調査結果'!$AR$5:$AR$404,$AG299))</f>
        <v/>
      </c>
      <c r="U299">
        <f>IF($AG299="","",INDEX('04_調査結果'!$N$5:$N$404,$AG299)&amp;"")</f>
        <v/>
      </c>
      <c r="V299">
        <f>IF($AG299="","",INDEX('04_調査結果'!$O$5:$O$404,$AG299))</f>
        <v/>
      </c>
      <c r="W299">
        <f>IF($AG299="","",INDEX('04_調査結果'!$P$5:$P$404,$AG299))</f>
        <v/>
      </c>
      <c r="X299">
        <f>IF($AG299="","",INDEX('04_調査結果'!$Q$5:$Q$404,$AG299))</f>
        <v/>
      </c>
      <c r="Y299">
        <f>IF($AG299="","",INDEX('04_調査結果'!$R$5:$R$404,$AG299))</f>
        <v/>
      </c>
      <c r="Z299">
        <f>IF($AG299="","",INDEX('04_調査結果'!$S$5:$S$404,$AG299))</f>
        <v/>
      </c>
      <c r="AA299">
        <f>IF($AG299="","",INDEX('04_調査結果'!$T$5:$T$404,$AG299))</f>
        <v/>
      </c>
      <c r="AB299">
        <f>IF($AG299="","",INDEX('04_調査結果'!$U$5:$U$404,$AG299))</f>
        <v/>
      </c>
      <c r="AC299">
        <f>IF($AG299="","",INDEX('04_調査結果'!$AF$5:$AF$404,$AG299))</f>
        <v/>
      </c>
      <c r="AD299">
        <f>IF($AG299="","",INDEX('04_調査結果'!$AC$5:$AC$404,$AG299)&amp;"")</f>
        <v/>
      </c>
      <c r="AE299">
        <f>IF($AG299="","",INDEX('04_調査結果'!$V$5:$V$404,$AG299)&amp;"")</f>
        <v/>
      </c>
      <c r="AF299">
        <f>IF($AG299="","",INDEX('04_調査結果'!$X$5:$X$404,$AG299)&amp;"")</f>
        <v/>
      </c>
      <c r="AG299" s="34">
        <f>IFERROR(MATCH(ROW()-4,'04_調査結果'!$AT$5:$AT$404,0),"")</f>
        <v/>
      </c>
    </row>
    <row r="300">
      <c r="A300">
        <f>IF($AG300="","",'01_設定'!$C$4)</f>
        <v/>
      </c>
      <c r="B300">
        <f>IF($AG300="","",'01_設定'!$C$5)</f>
        <v/>
      </c>
      <c r="C300">
        <f>IF($AG300="","",'01_設定'!$C$6)</f>
        <v/>
      </c>
      <c r="D300" s="36">
        <f>IF($AG300="","",'01_設定'!$C$22)</f>
        <v/>
      </c>
      <c r="E300" s="36">
        <f>IF($AG300="","",'01_設定'!$C$23)</f>
        <v/>
      </c>
      <c r="F300">
        <f>IF($AG300="","",'01_設定'!$C$32)</f>
        <v/>
      </c>
      <c r="G300">
        <f>IF($AG300="","",ROW()-4)</f>
        <v/>
      </c>
      <c r="H300">
        <f>IF($AG300="","",INDEX('04_調査結果'!$AJ$5:$AJ$404,$AG300))</f>
        <v/>
      </c>
      <c r="I300">
        <f>IF($AG300="","",INDEX('04_調査結果'!$D$5:$D$404,$AG300)&amp;"")</f>
        <v/>
      </c>
      <c r="J300">
        <f>IF($AG300="","",INDEX('04_調査結果'!$AK$5:$AK$404,$AG300)&amp;"")</f>
        <v/>
      </c>
      <c r="K300">
        <f>IF($AG300="","",IFERROR(INDEX('M1_類型マスタ'!$B$5:$B$19,MATCH(J300,'M1_類型マスタ'!$A$5:$A$19,0)),""))</f>
        <v/>
      </c>
      <c r="L300">
        <f>IF($AG300="","",INDEX('04_調査結果'!$F$5:$F$404,$AG300)&amp;"")</f>
        <v/>
      </c>
      <c r="M300">
        <f>IF($AG300="","",INDEX('04_調査結果'!$G$5:$G$404,$AG300)&amp;"")</f>
        <v/>
      </c>
      <c r="N300">
        <f>IF($AG300="","",INDEX('04_調査結果'!$H$5:$H$404,$AG300)&amp;"")</f>
        <v/>
      </c>
      <c r="O300" s="33">
        <f>IF($AG300="","",IF(INDEX('04_調査結果'!$Z$5:$Z$404,$AG300)&lt;&gt;"",INDEX('04_調査結果'!$Z$5:$Z$404,$AG300),INDEX('04_調査結果'!$AM$5:$AM$404,$AG300)))</f>
        <v/>
      </c>
      <c r="P300" s="33">
        <f>IF($AG300="","",IF(INDEX('04_調査結果'!$AA$5:$AA$404,$AG300)&lt;&gt;"",INDEX('04_調査結果'!$AA$5:$AA$404,$AG300),INDEX('04_調査結果'!$AN$5:$AN$404,$AG300)))</f>
        <v/>
      </c>
      <c r="Q300" s="33">
        <f>IF($AG300="","",INDEX('04_調査結果'!$AD$5:$AD$404,$AG300))</f>
        <v/>
      </c>
      <c r="R300">
        <f>IF($AG300="","",INDEX('04_調査結果'!$AO$5:$AO$404,$AG300))</f>
        <v/>
      </c>
      <c r="S300" s="37">
        <f>IF($AG300="","",INDEX('04_調査結果'!$AQ$5:$AQ$404,$AG300))</f>
        <v/>
      </c>
      <c r="T300" s="37">
        <f>IF($AG300="","",INDEX('04_調査結果'!$AR$5:$AR$404,$AG300))</f>
        <v/>
      </c>
      <c r="U300">
        <f>IF($AG300="","",INDEX('04_調査結果'!$N$5:$N$404,$AG300)&amp;"")</f>
        <v/>
      </c>
      <c r="V300">
        <f>IF($AG300="","",INDEX('04_調査結果'!$O$5:$O$404,$AG300))</f>
        <v/>
      </c>
      <c r="W300">
        <f>IF($AG300="","",INDEX('04_調査結果'!$P$5:$P$404,$AG300))</f>
        <v/>
      </c>
      <c r="X300">
        <f>IF($AG300="","",INDEX('04_調査結果'!$Q$5:$Q$404,$AG300))</f>
        <v/>
      </c>
      <c r="Y300">
        <f>IF($AG300="","",INDEX('04_調査結果'!$R$5:$R$404,$AG300))</f>
        <v/>
      </c>
      <c r="Z300">
        <f>IF($AG300="","",INDEX('04_調査結果'!$S$5:$S$404,$AG300))</f>
        <v/>
      </c>
      <c r="AA300">
        <f>IF($AG300="","",INDEX('04_調査結果'!$T$5:$T$404,$AG300))</f>
        <v/>
      </c>
      <c r="AB300">
        <f>IF($AG300="","",INDEX('04_調査結果'!$U$5:$U$404,$AG300))</f>
        <v/>
      </c>
      <c r="AC300">
        <f>IF($AG300="","",INDEX('04_調査結果'!$AF$5:$AF$404,$AG300))</f>
        <v/>
      </c>
      <c r="AD300">
        <f>IF($AG300="","",INDEX('04_調査結果'!$AC$5:$AC$404,$AG300)&amp;"")</f>
        <v/>
      </c>
      <c r="AE300">
        <f>IF($AG300="","",INDEX('04_調査結果'!$V$5:$V$404,$AG300)&amp;"")</f>
        <v/>
      </c>
      <c r="AF300">
        <f>IF($AG300="","",INDEX('04_調査結果'!$X$5:$X$404,$AG300)&amp;"")</f>
        <v/>
      </c>
      <c r="AG300" s="34">
        <f>IFERROR(MATCH(ROW()-4,'04_調査結果'!$AT$5:$AT$404,0),"")</f>
        <v/>
      </c>
    </row>
    <row r="301">
      <c r="A301">
        <f>IF($AG301="","",'01_設定'!$C$4)</f>
        <v/>
      </c>
      <c r="B301">
        <f>IF($AG301="","",'01_設定'!$C$5)</f>
        <v/>
      </c>
      <c r="C301">
        <f>IF($AG301="","",'01_設定'!$C$6)</f>
        <v/>
      </c>
      <c r="D301" s="36">
        <f>IF($AG301="","",'01_設定'!$C$22)</f>
        <v/>
      </c>
      <c r="E301" s="36">
        <f>IF($AG301="","",'01_設定'!$C$23)</f>
        <v/>
      </c>
      <c r="F301">
        <f>IF($AG301="","",'01_設定'!$C$32)</f>
        <v/>
      </c>
      <c r="G301">
        <f>IF($AG301="","",ROW()-4)</f>
        <v/>
      </c>
      <c r="H301">
        <f>IF($AG301="","",INDEX('04_調査結果'!$AJ$5:$AJ$404,$AG301))</f>
        <v/>
      </c>
      <c r="I301">
        <f>IF($AG301="","",INDEX('04_調査結果'!$D$5:$D$404,$AG301)&amp;"")</f>
        <v/>
      </c>
      <c r="J301">
        <f>IF($AG301="","",INDEX('04_調査結果'!$AK$5:$AK$404,$AG301)&amp;"")</f>
        <v/>
      </c>
      <c r="K301">
        <f>IF($AG301="","",IFERROR(INDEX('M1_類型マスタ'!$B$5:$B$19,MATCH(J301,'M1_類型マスタ'!$A$5:$A$19,0)),""))</f>
        <v/>
      </c>
      <c r="L301">
        <f>IF($AG301="","",INDEX('04_調査結果'!$F$5:$F$404,$AG301)&amp;"")</f>
        <v/>
      </c>
      <c r="M301">
        <f>IF($AG301="","",INDEX('04_調査結果'!$G$5:$G$404,$AG301)&amp;"")</f>
        <v/>
      </c>
      <c r="N301">
        <f>IF($AG301="","",INDEX('04_調査結果'!$H$5:$H$404,$AG301)&amp;"")</f>
        <v/>
      </c>
      <c r="O301" s="33">
        <f>IF($AG301="","",IF(INDEX('04_調査結果'!$Z$5:$Z$404,$AG301)&lt;&gt;"",INDEX('04_調査結果'!$Z$5:$Z$404,$AG301),INDEX('04_調査結果'!$AM$5:$AM$404,$AG301)))</f>
        <v/>
      </c>
      <c r="P301" s="33">
        <f>IF($AG301="","",IF(INDEX('04_調査結果'!$AA$5:$AA$404,$AG301)&lt;&gt;"",INDEX('04_調査結果'!$AA$5:$AA$404,$AG301),INDEX('04_調査結果'!$AN$5:$AN$404,$AG301)))</f>
        <v/>
      </c>
      <c r="Q301" s="33">
        <f>IF($AG301="","",INDEX('04_調査結果'!$AD$5:$AD$404,$AG301))</f>
        <v/>
      </c>
      <c r="R301">
        <f>IF($AG301="","",INDEX('04_調査結果'!$AO$5:$AO$404,$AG301))</f>
        <v/>
      </c>
      <c r="S301" s="37">
        <f>IF($AG301="","",INDEX('04_調査結果'!$AQ$5:$AQ$404,$AG301))</f>
        <v/>
      </c>
      <c r="T301" s="37">
        <f>IF($AG301="","",INDEX('04_調査結果'!$AR$5:$AR$404,$AG301))</f>
        <v/>
      </c>
      <c r="U301">
        <f>IF($AG301="","",INDEX('04_調査結果'!$N$5:$N$404,$AG301)&amp;"")</f>
        <v/>
      </c>
      <c r="V301">
        <f>IF($AG301="","",INDEX('04_調査結果'!$O$5:$O$404,$AG301))</f>
        <v/>
      </c>
      <c r="W301">
        <f>IF($AG301="","",INDEX('04_調査結果'!$P$5:$P$404,$AG301))</f>
        <v/>
      </c>
      <c r="X301">
        <f>IF($AG301="","",INDEX('04_調査結果'!$Q$5:$Q$404,$AG301))</f>
        <v/>
      </c>
      <c r="Y301">
        <f>IF($AG301="","",INDEX('04_調査結果'!$R$5:$R$404,$AG301))</f>
        <v/>
      </c>
      <c r="Z301">
        <f>IF($AG301="","",INDEX('04_調査結果'!$S$5:$S$404,$AG301))</f>
        <v/>
      </c>
      <c r="AA301">
        <f>IF($AG301="","",INDEX('04_調査結果'!$T$5:$T$404,$AG301))</f>
        <v/>
      </c>
      <c r="AB301">
        <f>IF($AG301="","",INDEX('04_調査結果'!$U$5:$U$404,$AG301))</f>
        <v/>
      </c>
      <c r="AC301">
        <f>IF($AG301="","",INDEX('04_調査結果'!$AF$5:$AF$404,$AG301))</f>
        <v/>
      </c>
      <c r="AD301">
        <f>IF($AG301="","",INDEX('04_調査結果'!$AC$5:$AC$404,$AG301)&amp;"")</f>
        <v/>
      </c>
      <c r="AE301">
        <f>IF($AG301="","",INDEX('04_調査結果'!$V$5:$V$404,$AG301)&amp;"")</f>
        <v/>
      </c>
      <c r="AF301">
        <f>IF($AG301="","",INDEX('04_調査結果'!$X$5:$X$404,$AG301)&amp;"")</f>
        <v/>
      </c>
      <c r="AG301" s="34">
        <f>IFERROR(MATCH(ROW()-4,'04_調査結果'!$AT$5:$AT$404,0),"")</f>
        <v/>
      </c>
    </row>
    <row r="302">
      <c r="A302">
        <f>IF($AG302="","",'01_設定'!$C$4)</f>
        <v/>
      </c>
      <c r="B302">
        <f>IF($AG302="","",'01_設定'!$C$5)</f>
        <v/>
      </c>
      <c r="C302">
        <f>IF($AG302="","",'01_設定'!$C$6)</f>
        <v/>
      </c>
      <c r="D302" s="36">
        <f>IF($AG302="","",'01_設定'!$C$22)</f>
        <v/>
      </c>
      <c r="E302" s="36">
        <f>IF($AG302="","",'01_設定'!$C$23)</f>
        <v/>
      </c>
      <c r="F302">
        <f>IF($AG302="","",'01_設定'!$C$32)</f>
        <v/>
      </c>
      <c r="G302">
        <f>IF($AG302="","",ROW()-4)</f>
        <v/>
      </c>
      <c r="H302">
        <f>IF($AG302="","",INDEX('04_調査結果'!$AJ$5:$AJ$404,$AG302))</f>
        <v/>
      </c>
      <c r="I302">
        <f>IF($AG302="","",INDEX('04_調査結果'!$D$5:$D$404,$AG302)&amp;"")</f>
        <v/>
      </c>
      <c r="J302">
        <f>IF($AG302="","",INDEX('04_調査結果'!$AK$5:$AK$404,$AG302)&amp;"")</f>
        <v/>
      </c>
      <c r="K302">
        <f>IF($AG302="","",IFERROR(INDEX('M1_類型マスタ'!$B$5:$B$19,MATCH(J302,'M1_類型マスタ'!$A$5:$A$19,0)),""))</f>
        <v/>
      </c>
      <c r="L302">
        <f>IF($AG302="","",INDEX('04_調査結果'!$F$5:$F$404,$AG302)&amp;"")</f>
        <v/>
      </c>
      <c r="M302">
        <f>IF($AG302="","",INDEX('04_調査結果'!$G$5:$G$404,$AG302)&amp;"")</f>
        <v/>
      </c>
      <c r="N302">
        <f>IF($AG302="","",INDEX('04_調査結果'!$H$5:$H$404,$AG302)&amp;"")</f>
        <v/>
      </c>
      <c r="O302" s="33">
        <f>IF($AG302="","",IF(INDEX('04_調査結果'!$Z$5:$Z$404,$AG302)&lt;&gt;"",INDEX('04_調査結果'!$Z$5:$Z$404,$AG302),INDEX('04_調査結果'!$AM$5:$AM$404,$AG302)))</f>
        <v/>
      </c>
      <c r="P302" s="33">
        <f>IF($AG302="","",IF(INDEX('04_調査結果'!$AA$5:$AA$404,$AG302)&lt;&gt;"",INDEX('04_調査結果'!$AA$5:$AA$404,$AG302),INDEX('04_調査結果'!$AN$5:$AN$404,$AG302)))</f>
        <v/>
      </c>
      <c r="Q302" s="33">
        <f>IF($AG302="","",INDEX('04_調査結果'!$AD$5:$AD$404,$AG302))</f>
        <v/>
      </c>
      <c r="R302">
        <f>IF($AG302="","",INDEX('04_調査結果'!$AO$5:$AO$404,$AG302))</f>
        <v/>
      </c>
      <c r="S302" s="37">
        <f>IF($AG302="","",INDEX('04_調査結果'!$AQ$5:$AQ$404,$AG302))</f>
        <v/>
      </c>
      <c r="T302" s="37">
        <f>IF($AG302="","",INDEX('04_調査結果'!$AR$5:$AR$404,$AG302))</f>
        <v/>
      </c>
      <c r="U302">
        <f>IF($AG302="","",INDEX('04_調査結果'!$N$5:$N$404,$AG302)&amp;"")</f>
        <v/>
      </c>
      <c r="V302">
        <f>IF($AG302="","",INDEX('04_調査結果'!$O$5:$O$404,$AG302))</f>
        <v/>
      </c>
      <c r="W302">
        <f>IF($AG302="","",INDEX('04_調査結果'!$P$5:$P$404,$AG302))</f>
        <v/>
      </c>
      <c r="X302">
        <f>IF($AG302="","",INDEX('04_調査結果'!$Q$5:$Q$404,$AG302))</f>
        <v/>
      </c>
      <c r="Y302">
        <f>IF($AG302="","",INDEX('04_調査結果'!$R$5:$R$404,$AG302))</f>
        <v/>
      </c>
      <c r="Z302">
        <f>IF($AG302="","",INDEX('04_調査結果'!$S$5:$S$404,$AG302))</f>
        <v/>
      </c>
      <c r="AA302">
        <f>IF($AG302="","",INDEX('04_調査結果'!$T$5:$T$404,$AG302))</f>
        <v/>
      </c>
      <c r="AB302">
        <f>IF($AG302="","",INDEX('04_調査結果'!$U$5:$U$404,$AG302))</f>
        <v/>
      </c>
      <c r="AC302">
        <f>IF($AG302="","",INDEX('04_調査結果'!$AF$5:$AF$404,$AG302))</f>
        <v/>
      </c>
      <c r="AD302">
        <f>IF($AG302="","",INDEX('04_調査結果'!$AC$5:$AC$404,$AG302)&amp;"")</f>
        <v/>
      </c>
      <c r="AE302">
        <f>IF($AG302="","",INDEX('04_調査結果'!$V$5:$V$404,$AG302)&amp;"")</f>
        <v/>
      </c>
      <c r="AF302">
        <f>IF($AG302="","",INDEX('04_調査結果'!$X$5:$X$404,$AG302)&amp;"")</f>
        <v/>
      </c>
      <c r="AG302" s="34">
        <f>IFERROR(MATCH(ROW()-4,'04_調査結果'!$AT$5:$AT$404,0),"")</f>
        <v/>
      </c>
    </row>
    <row r="303">
      <c r="A303">
        <f>IF($AG303="","",'01_設定'!$C$4)</f>
        <v/>
      </c>
      <c r="B303">
        <f>IF($AG303="","",'01_設定'!$C$5)</f>
        <v/>
      </c>
      <c r="C303">
        <f>IF($AG303="","",'01_設定'!$C$6)</f>
        <v/>
      </c>
      <c r="D303" s="36">
        <f>IF($AG303="","",'01_設定'!$C$22)</f>
        <v/>
      </c>
      <c r="E303" s="36">
        <f>IF($AG303="","",'01_設定'!$C$23)</f>
        <v/>
      </c>
      <c r="F303">
        <f>IF($AG303="","",'01_設定'!$C$32)</f>
        <v/>
      </c>
      <c r="G303">
        <f>IF($AG303="","",ROW()-4)</f>
        <v/>
      </c>
      <c r="H303">
        <f>IF($AG303="","",INDEX('04_調査結果'!$AJ$5:$AJ$404,$AG303))</f>
        <v/>
      </c>
      <c r="I303">
        <f>IF($AG303="","",INDEX('04_調査結果'!$D$5:$D$404,$AG303)&amp;"")</f>
        <v/>
      </c>
      <c r="J303">
        <f>IF($AG303="","",INDEX('04_調査結果'!$AK$5:$AK$404,$AG303)&amp;"")</f>
        <v/>
      </c>
      <c r="K303">
        <f>IF($AG303="","",IFERROR(INDEX('M1_類型マスタ'!$B$5:$B$19,MATCH(J303,'M1_類型マスタ'!$A$5:$A$19,0)),""))</f>
        <v/>
      </c>
      <c r="L303">
        <f>IF($AG303="","",INDEX('04_調査結果'!$F$5:$F$404,$AG303)&amp;"")</f>
        <v/>
      </c>
      <c r="M303">
        <f>IF($AG303="","",INDEX('04_調査結果'!$G$5:$G$404,$AG303)&amp;"")</f>
        <v/>
      </c>
      <c r="N303">
        <f>IF($AG303="","",INDEX('04_調査結果'!$H$5:$H$404,$AG303)&amp;"")</f>
        <v/>
      </c>
      <c r="O303" s="33">
        <f>IF($AG303="","",IF(INDEX('04_調査結果'!$Z$5:$Z$404,$AG303)&lt;&gt;"",INDEX('04_調査結果'!$Z$5:$Z$404,$AG303),INDEX('04_調査結果'!$AM$5:$AM$404,$AG303)))</f>
        <v/>
      </c>
      <c r="P303" s="33">
        <f>IF($AG303="","",IF(INDEX('04_調査結果'!$AA$5:$AA$404,$AG303)&lt;&gt;"",INDEX('04_調査結果'!$AA$5:$AA$404,$AG303),INDEX('04_調査結果'!$AN$5:$AN$404,$AG303)))</f>
        <v/>
      </c>
      <c r="Q303" s="33">
        <f>IF($AG303="","",INDEX('04_調査結果'!$AD$5:$AD$404,$AG303))</f>
        <v/>
      </c>
      <c r="R303">
        <f>IF($AG303="","",INDEX('04_調査結果'!$AO$5:$AO$404,$AG303))</f>
        <v/>
      </c>
      <c r="S303" s="37">
        <f>IF($AG303="","",INDEX('04_調査結果'!$AQ$5:$AQ$404,$AG303))</f>
        <v/>
      </c>
      <c r="T303" s="37">
        <f>IF($AG303="","",INDEX('04_調査結果'!$AR$5:$AR$404,$AG303))</f>
        <v/>
      </c>
      <c r="U303">
        <f>IF($AG303="","",INDEX('04_調査結果'!$N$5:$N$404,$AG303)&amp;"")</f>
        <v/>
      </c>
      <c r="V303">
        <f>IF($AG303="","",INDEX('04_調査結果'!$O$5:$O$404,$AG303))</f>
        <v/>
      </c>
      <c r="W303">
        <f>IF($AG303="","",INDEX('04_調査結果'!$P$5:$P$404,$AG303))</f>
        <v/>
      </c>
      <c r="X303">
        <f>IF($AG303="","",INDEX('04_調査結果'!$Q$5:$Q$404,$AG303))</f>
        <v/>
      </c>
      <c r="Y303">
        <f>IF($AG303="","",INDEX('04_調査結果'!$R$5:$R$404,$AG303))</f>
        <v/>
      </c>
      <c r="Z303">
        <f>IF($AG303="","",INDEX('04_調査結果'!$S$5:$S$404,$AG303))</f>
        <v/>
      </c>
      <c r="AA303">
        <f>IF($AG303="","",INDEX('04_調査結果'!$T$5:$T$404,$AG303))</f>
        <v/>
      </c>
      <c r="AB303">
        <f>IF($AG303="","",INDEX('04_調査結果'!$U$5:$U$404,$AG303))</f>
        <v/>
      </c>
      <c r="AC303">
        <f>IF($AG303="","",INDEX('04_調査結果'!$AF$5:$AF$404,$AG303))</f>
        <v/>
      </c>
      <c r="AD303">
        <f>IF($AG303="","",INDEX('04_調査結果'!$AC$5:$AC$404,$AG303)&amp;"")</f>
        <v/>
      </c>
      <c r="AE303">
        <f>IF($AG303="","",INDEX('04_調査結果'!$V$5:$V$404,$AG303)&amp;"")</f>
        <v/>
      </c>
      <c r="AF303">
        <f>IF($AG303="","",INDEX('04_調査結果'!$X$5:$X$404,$AG303)&amp;"")</f>
        <v/>
      </c>
      <c r="AG303" s="34">
        <f>IFERROR(MATCH(ROW()-4,'04_調査結果'!$AT$5:$AT$404,0),"")</f>
        <v/>
      </c>
    </row>
    <row r="304">
      <c r="A304">
        <f>IF($AG304="","",'01_設定'!$C$4)</f>
        <v/>
      </c>
      <c r="B304">
        <f>IF($AG304="","",'01_設定'!$C$5)</f>
        <v/>
      </c>
      <c r="C304">
        <f>IF($AG304="","",'01_設定'!$C$6)</f>
        <v/>
      </c>
      <c r="D304" s="36">
        <f>IF($AG304="","",'01_設定'!$C$22)</f>
        <v/>
      </c>
      <c r="E304" s="36">
        <f>IF($AG304="","",'01_設定'!$C$23)</f>
        <v/>
      </c>
      <c r="F304">
        <f>IF($AG304="","",'01_設定'!$C$32)</f>
        <v/>
      </c>
      <c r="G304">
        <f>IF($AG304="","",ROW()-4)</f>
        <v/>
      </c>
      <c r="H304">
        <f>IF($AG304="","",INDEX('04_調査結果'!$AJ$5:$AJ$404,$AG304))</f>
        <v/>
      </c>
      <c r="I304">
        <f>IF($AG304="","",INDEX('04_調査結果'!$D$5:$D$404,$AG304)&amp;"")</f>
        <v/>
      </c>
      <c r="J304">
        <f>IF($AG304="","",INDEX('04_調査結果'!$AK$5:$AK$404,$AG304)&amp;"")</f>
        <v/>
      </c>
      <c r="K304">
        <f>IF($AG304="","",IFERROR(INDEX('M1_類型マスタ'!$B$5:$B$19,MATCH(J304,'M1_類型マスタ'!$A$5:$A$19,0)),""))</f>
        <v/>
      </c>
      <c r="L304">
        <f>IF($AG304="","",INDEX('04_調査結果'!$F$5:$F$404,$AG304)&amp;"")</f>
        <v/>
      </c>
      <c r="M304">
        <f>IF($AG304="","",INDEX('04_調査結果'!$G$5:$G$404,$AG304)&amp;"")</f>
        <v/>
      </c>
      <c r="N304">
        <f>IF($AG304="","",INDEX('04_調査結果'!$H$5:$H$404,$AG304)&amp;"")</f>
        <v/>
      </c>
      <c r="O304" s="33">
        <f>IF($AG304="","",IF(INDEX('04_調査結果'!$Z$5:$Z$404,$AG304)&lt;&gt;"",INDEX('04_調査結果'!$Z$5:$Z$404,$AG304),INDEX('04_調査結果'!$AM$5:$AM$404,$AG304)))</f>
        <v/>
      </c>
      <c r="P304" s="33">
        <f>IF($AG304="","",IF(INDEX('04_調査結果'!$AA$5:$AA$404,$AG304)&lt;&gt;"",INDEX('04_調査結果'!$AA$5:$AA$404,$AG304),INDEX('04_調査結果'!$AN$5:$AN$404,$AG304)))</f>
        <v/>
      </c>
      <c r="Q304" s="33">
        <f>IF($AG304="","",INDEX('04_調査結果'!$AD$5:$AD$404,$AG304))</f>
        <v/>
      </c>
      <c r="R304">
        <f>IF($AG304="","",INDEX('04_調査結果'!$AO$5:$AO$404,$AG304))</f>
        <v/>
      </c>
      <c r="S304" s="37">
        <f>IF($AG304="","",INDEX('04_調査結果'!$AQ$5:$AQ$404,$AG304))</f>
        <v/>
      </c>
      <c r="T304" s="37">
        <f>IF($AG304="","",INDEX('04_調査結果'!$AR$5:$AR$404,$AG304))</f>
        <v/>
      </c>
      <c r="U304">
        <f>IF($AG304="","",INDEX('04_調査結果'!$N$5:$N$404,$AG304)&amp;"")</f>
        <v/>
      </c>
      <c r="V304">
        <f>IF($AG304="","",INDEX('04_調査結果'!$O$5:$O$404,$AG304))</f>
        <v/>
      </c>
      <c r="W304">
        <f>IF($AG304="","",INDEX('04_調査結果'!$P$5:$P$404,$AG304))</f>
        <v/>
      </c>
      <c r="X304">
        <f>IF($AG304="","",INDEX('04_調査結果'!$Q$5:$Q$404,$AG304))</f>
        <v/>
      </c>
      <c r="Y304">
        <f>IF($AG304="","",INDEX('04_調査結果'!$R$5:$R$404,$AG304))</f>
        <v/>
      </c>
      <c r="Z304">
        <f>IF($AG304="","",INDEX('04_調査結果'!$S$5:$S$404,$AG304))</f>
        <v/>
      </c>
      <c r="AA304">
        <f>IF($AG304="","",INDEX('04_調査結果'!$T$5:$T$404,$AG304))</f>
        <v/>
      </c>
      <c r="AB304">
        <f>IF($AG304="","",INDEX('04_調査結果'!$U$5:$U$404,$AG304))</f>
        <v/>
      </c>
      <c r="AC304">
        <f>IF($AG304="","",INDEX('04_調査結果'!$AF$5:$AF$404,$AG304))</f>
        <v/>
      </c>
      <c r="AD304">
        <f>IF($AG304="","",INDEX('04_調査結果'!$AC$5:$AC$404,$AG304)&amp;"")</f>
        <v/>
      </c>
      <c r="AE304">
        <f>IF($AG304="","",INDEX('04_調査結果'!$V$5:$V$404,$AG304)&amp;"")</f>
        <v/>
      </c>
      <c r="AF304">
        <f>IF($AG304="","",INDEX('04_調査結果'!$X$5:$X$404,$AG304)&amp;"")</f>
        <v/>
      </c>
      <c r="AG304" s="34">
        <f>IFERROR(MATCH(ROW()-4,'04_調査結果'!$AT$5:$AT$404,0),"")</f>
        <v/>
      </c>
    </row>
  </sheetData>
  <conditionalFormatting sqref="AD5:AD304">
    <cfRule type="expression" priority="1" dxfId="6">
      <formula>$AD5="自動化候補"</formula>
    </cfRule>
    <cfRule type="expression" priority="2" dxfId="7">
      <formula>$AD5="オフショア候補"</formula>
    </cfRule>
    <cfRule type="expression" priority="3" dxfId="8">
      <formula>$AD5="ニアショア候補"</formula>
    </cfRule>
    <cfRule type="expression" priority="4" dxfId="1">
      <formula>$AD5="社内で手順化→再評価"</formula>
    </cfRule>
    <cfRule type="expression" priority="5" dxfId="9">
      <formula>$AD5="社内残置"</formula>
    </cfRule>
  </conditionalFormatting>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E19"/>
  <sheetViews>
    <sheetView showGridLines="1" workbookViewId="0">
      <selection activeCell="A1" sqref="A1"/>
    </sheetView>
  </sheetViews>
  <sheetFormatPr baseColWidth="8" defaultRowHeight="15"/>
  <cols>
    <col width="10" customWidth="1" min="1" max="1"/>
    <col width="22" customWidth="1" min="2" max="2"/>
    <col width="52" customWidth="1" min="3" max="3"/>
    <col width="40" customWidth="1" min="4" max="4"/>
    <col width="34" customWidth="1" min="5" max="5"/>
  </cols>
  <sheetData>
    <row r="1">
      <c r="A1" s="5" t="inlineStr">
        <is>
          <t>M1_類型マスタ</t>
        </is>
      </c>
    </row>
    <row r="2">
      <c r="A2" s="2" t="inlineStr">
        <is>
          <t>暗黙タスクの類型（全員共通）。</t>
        </is>
      </c>
    </row>
    <row r="4" ht="30" customHeight="1">
      <c r="A4" s="6" t="inlineStr">
        <is>
          <t>類型コード</t>
        </is>
      </c>
      <c r="B4" s="6" t="inlineStr">
        <is>
          <t>名称</t>
        </is>
      </c>
      <c r="C4" s="6" t="inlineStr">
        <is>
          <t>定義</t>
        </is>
      </c>
      <c r="D4" s="6" t="inlineStr">
        <is>
          <t>典型的な行動の例</t>
        </is>
      </c>
      <c r="E4" s="6" t="inlineStr">
        <is>
          <t>移管の傾向（参考）</t>
        </is>
      </c>
    </row>
    <row r="5" ht="30" customHeight="1">
      <c r="A5" s="8" t="inlineStr">
        <is>
          <t>T01</t>
        </is>
      </c>
      <c r="B5" s="8" t="inlineStr">
        <is>
          <t>中継・転送</t>
        </is>
      </c>
      <c r="C5" s="23" t="inlineStr">
        <is>
          <t>受け取った情報・依頼を、内容をほぼ変えずに別の人・部署へ回す</t>
        </is>
      </c>
      <c r="D5" s="23" t="inlineStr">
        <is>
          <t>社外からの問合せを担当者へ転送／通達をチームに共有</t>
        </is>
      </c>
      <c r="E5" s="23" t="inlineStr">
        <is>
          <t>自動化・オフショア向き（転送ルールを決めやすい）</t>
        </is>
      </c>
    </row>
    <row r="6" ht="30" customHeight="1">
      <c r="A6" s="8" t="inlineStr">
        <is>
          <t>T02</t>
        </is>
      </c>
      <c r="B6" s="8" t="inlineStr">
        <is>
          <t>日程・会議調整</t>
        </is>
      </c>
      <c r="C6" s="23" t="inlineStr">
        <is>
          <t>複数人の予定を確認し、日時・場所・参加者を決めて連絡する</t>
        </is>
      </c>
      <c r="D6" s="23" t="inlineStr">
        <is>
          <t>候補日の提示／会議室予約／リスケ連絡</t>
        </is>
      </c>
      <c r="E6" s="23" t="inlineStr">
        <is>
          <t>ニアショア向き（アシスタント業務）</t>
        </is>
      </c>
    </row>
    <row r="7" ht="30" customHeight="1">
      <c r="A7" s="8" t="inlineStr">
        <is>
          <t>T03</t>
        </is>
      </c>
      <c r="B7" s="8" t="inlineStr">
        <is>
          <t>催促・フォローアップ</t>
        </is>
      </c>
      <c r="C7" s="23" t="inlineStr">
        <is>
          <t>返事や提出がない相手に再確認・催促する</t>
        </is>
      </c>
      <c r="D7" s="23" t="inlineStr">
        <is>
          <t>提出期限のリマインド／回答状況の確認</t>
        </is>
      </c>
      <c r="E7" s="23" t="inlineStr">
        <is>
          <t>自動化（リマインド）・ニアショア向き</t>
        </is>
      </c>
    </row>
    <row r="8" ht="30" customHeight="1">
      <c r="A8" s="8" t="inlineStr">
        <is>
          <t>T04</t>
        </is>
      </c>
      <c r="B8" s="8" t="inlineStr">
        <is>
          <t>取りまとめ・集約</t>
        </is>
      </c>
      <c r="C8" s="23" t="inlineStr">
        <is>
          <t>複数人から情報・資料を回収し、一つにまとめる</t>
        </is>
      </c>
      <c r="D8" s="23" t="inlineStr">
        <is>
          <t>各課の数値回収と集計／アンケート回収</t>
        </is>
      </c>
      <c r="E8" s="23" t="inlineStr">
        <is>
          <t>様式を決めればオフショア・ニアショア向き</t>
        </is>
      </c>
    </row>
    <row r="9" ht="30" customHeight="1">
      <c r="A9" s="8" t="inlineStr">
        <is>
          <t>T05</t>
        </is>
      </c>
      <c r="B9" s="8" t="inlineStr">
        <is>
          <t>確認・承認・レビュー</t>
        </is>
      </c>
      <c r="C9" s="23" t="inlineStr">
        <is>
          <t>他人の作成物・申請を確認し、承認・差し戻し・修正する</t>
        </is>
      </c>
      <c r="D9" s="23" t="inlineStr">
        <is>
          <t>資料レビュー／稟議の事前確認／経費チェック</t>
        </is>
      </c>
      <c r="E9" s="23" t="inlineStr">
        <is>
          <t>社内残置が多い（形式チェックは移管可）</t>
        </is>
      </c>
    </row>
    <row r="10" ht="30" customHeight="1">
      <c r="A10" s="8" t="inlineStr">
        <is>
          <t>T06</t>
        </is>
      </c>
      <c r="B10" s="8" t="inlineStr">
        <is>
          <t>問い合わせ対応・振り分け</t>
        </is>
      </c>
      <c r="C10" s="23" t="inlineStr">
        <is>
          <t>質問・依頼を受け、一次回答するか担当を決めて振る</t>
        </is>
      </c>
      <c r="D10" s="23" t="inlineStr">
        <is>
          <t>他部署からの質問への回答／担当者の割り当て</t>
        </is>
      </c>
      <c r="E10" s="23" t="inlineStr">
        <is>
          <t>FAQ化すればニアショア向き</t>
        </is>
      </c>
    </row>
    <row r="11" ht="30" customHeight="1">
      <c r="A11" s="8" t="inlineStr">
        <is>
          <t>T07</t>
        </is>
      </c>
      <c r="B11" s="8" t="inlineStr">
        <is>
          <t>利害調整・合意形成</t>
        </is>
      </c>
      <c r="C11" s="23" t="inlineStr">
        <is>
          <t>立場の違う関係者の意見をすり合わせ、合意を作る</t>
        </is>
      </c>
      <c r="D11" s="23" t="inlineStr">
        <is>
          <t>部署間の役割分担の調整／根回し</t>
        </is>
      </c>
      <c r="E11" s="23" t="inlineStr">
        <is>
          <t>社内残置</t>
        </is>
      </c>
    </row>
    <row r="12" ht="30" customHeight="1">
      <c r="A12" s="8" t="inlineStr">
        <is>
          <t>T08</t>
        </is>
      </c>
      <c r="B12" s="8" t="inlineStr">
        <is>
          <t>定例報告・数値更新</t>
        </is>
      </c>
      <c r="C12" s="23" t="inlineStr">
        <is>
          <t>決まった周期で報告書・数値・進捗を更新し送付する</t>
        </is>
      </c>
      <c r="D12" s="23" t="inlineStr">
        <is>
          <t>週次報告／月次KPIの更新</t>
        </is>
      </c>
      <c r="E12" s="23" t="inlineStr">
        <is>
          <t>自動化・オフショア向き</t>
        </is>
      </c>
    </row>
    <row r="13" ht="30" customHeight="1">
      <c r="A13" s="8" t="inlineStr">
        <is>
          <t>T09</t>
        </is>
      </c>
      <c r="B13" s="8" t="inlineStr">
        <is>
          <t>申請・手配・事務手続き</t>
        </is>
      </c>
      <c r="C13" s="23" t="inlineStr">
        <is>
          <t>社内外の手続き・発注・予約・登録を行う</t>
        </is>
      </c>
      <c r="D13" s="23" t="inlineStr">
        <is>
          <t>出張手配／アカウント申請／発注処理</t>
        </is>
      </c>
      <c r="E13" s="23" t="inlineStr">
        <is>
          <t>ニアショア・オフショア向き</t>
        </is>
      </c>
    </row>
    <row r="14" ht="30" customHeight="1">
      <c r="A14" s="8" t="inlineStr">
        <is>
          <t>T10</t>
        </is>
      </c>
      <c r="B14" s="8" t="inlineStr">
        <is>
          <t>調査・情報探し</t>
        </is>
      </c>
      <c r="C14" s="23" t="inlineStr">
        <is>
          <t>回答や判断のために、資料・過去の経緯・データを調べる</t>
        </is>
      </c>
      <c r="D14" s="23" t="inlineStr">
        <is>
          <t>過去メールの経緯確認／規程の確認</t>
        </is>
      </c>
      <c r="E14" s="23" t="inlineStr">
        <is>
          <t>内容しだい</t>
        </is>
      </c>
    </row>
    <row r="15" ht="30" customHeight="1">
      <c r="A15" s="8" t="inlineStr">
        <is>
          <t>T11</t>
        </is>
      </c>
      <c r="B15" s="8" t="inlineStr">
        <is>
          <t>トラブル・例外対応</t>
        </is>
      </c>
      <c r="C15" s="23" t="inlineStr">
        <is>
          <t>想定外の事象に一次対応し、必要ならエスカレーションする</t>
        </is>
      </c>
      <c r="D15" s="23" t="inlineStr">
        <is>
          <t>障害の連絡／クレームの一次対応</t>
        </is>
      </c>
      <c r="E15" s="23" t="inlineStr">
        <is>
          <t>社内残置が多い</t>
        </is>
      </c>
    </row>
    <row r="16" ht="30" customHeight="1">
      <c r="A16" s="8" t="inlineStr">
        <is>
          <t>T12</t>
        </is>
      </c>
      <c r="B16" s="8" t="inlineStr">
        <is>
          <t>相談対応・指導</t>
        </is>
      </c>
      <c r="C16" s="23" t="inlineStr">
        <is>
          <t>部下・同僚からの相談に乗り、指導・助言する</t>
        </is>
      </c>
      <c r="D16" s="23" t="inlineStr">
        <is>
          <t>進め方の相談／文書の添削</t>
        </is>
      </c>
      <c r="E16" s="23" t="inlineStr">
        <is>
          <t>社内残置</t>
        </is>
      </c>
    </row>
    <row r="17" ht="30" customHeight="1">
      <c r="A17" s="8" t="inlineStr">
        <is>
          <t>T13</t>
        </is>
      </c>
      <c r="B17" s="8" t="inlineStr">
        <is>
          <t>会議運営</t>
        </is>
      </c>
      <c r="C17" s="23" t="inlineStr">
        <is>
          <t>会議の準備・進行・議事録作成・共有・宿題管理を行う</t>
        </is>
      </c>
      <c r="D17" s="23" t="inlineStr">
        <is>
          <t>アジェンダ作成／議事録配布／宿題の追跡</t>
        </is>
      </c>
      <c r="E17" s="23" t="inlineStr">
        <is>
          <t>議事録・宿題管理はニアショア向き</t>
        </is>
      </c>
    </row>
    <row r="18" ht="30" customHeight="1">
      <c r="A18" s="8" t="inlineStr">
        <is>
          <t>T14</t>
        </is>
      </c>
      <c r="B18" s="8" t="inlineStr">
        <is>
          <t>資料・文書作成</t>
        </is>
      </c>
      <c r="C18" s="23" t="inlineStr">
        <is>
          <t>報告書・提案書・手順書など成果物そのものを作る</t>
        </is>
      </c>
      <c r="D18" s="23" t="inlineStr">
        <is>
          <t>提案資料の作成／手順書の作成</t>
        </is>
      </c>
      <c r="E18" s="23" t="inlineStr">
        <is>
          <t>内容しだい</t>
        </is>
      </c>
    </row>
    <row r="19" ht="30" customHeight="1">
      <c r="A19" s="8" t="inlineStr">
        <is>
          <t>T99</t>
        </is>
      </c>
      <c r="B19" s="8" t="inlineStr">
        <is>
          <t>その他</t>
        </is>
      </c>
      <c r="C19" s="23" t="inlineStr">
        <is>
          <t>上のどれにも当たらないもの</t>
        </is>
      </c>
      <c r="D19" s="23" t="inlineStr">
        <is>
          <t>-</t>
        </is>
      </c>
      <c r="E19" s="23" t="inlineStr">
        <is>
          <t>個別に判断</t>
        </is>
      </c>
    </row>
  </sheetData>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H46"/>
  <sheetViews>
    <sheetView showGridLines="1" workbookViewId="0">
      <selection activeCell="A1" sqref="A1"/>
    </sheetView>
  </sheetViews>
  <sheetFormatPr baseColWidth="8" defaultRowHeight="15"/>
  <cols>
    <col width="18" customWidth="1" min="2" max="2"/>
    <col width="30" customWidth="1" min="3" max="3"/>
    <col width="30" customWidth="1" min="4" max="4"/>
    <col width="40" customWidth="1" min="5" max="5"/>
    <col width="14" customWidth="1" min="6" max="6"/>
    <col width="22" customWidth="1" min="7" max="7"/>
    <col width="10" customWidth="1" min="8" max="8"/>
  </cols>
  <sheetData>
    <row r="1">
      <c r="A1" s="5" t="inlineStr">
        <is>
          <t>M2_区分マスタ</t>
        </is>
      </c>
    </row>
    <row r="2">
      <c r="A2" s="2" t="inlineStr">
        <is>
          <t>プルダウンの選択肢と、評価・判定の基準。</t>
        </is>
      </c>
    </row>
    <row r="4" ht="30" customHeight="1">
      <c r="B4" s="6" t="inlineStr">
        <is>
          <t>部署区分</t>
        </is>
      </c>
      <c r="C4" s="6" t="inlineStr">
        <is>
          <t>役職区分</t>
        </is>
      </c>
      <c r="D4" s="6" t="inlineStr">
        <is>
          <t>調査の完了</t>
        </is>
      </c>
      <c r="E4" s="6" t="inlineStr">
        <is>
          <t>本人確認の状況</t>
        </is>
      </c>
      <c r="F4" s="6" t="inlineStr">
        <is>
          <t>提出状況</t>
        </is>
      </c>
      <c r="G4" s="6" t="inlineStr">
        <is>
          <t>移管区分</t>
        </is>
      </c>
      <c r="H4" s="6" t="inlineStr">
        <is>
          <t>本人確認</t>
        </is>
      </c>
    </row>
    <row r="5">
      <c r="B5" s="8" t="inlineStr">
        <is>
          <t>営業</t>
        </is>
      </c>
      <c r="C5" s="8" t="inlineStr">
        <is>
          <t>部長級以上</t>
        </is>
      </c>
      <c r="D5" s="8" t="inlineStr">
        <is>
          <t>自動</t>
        </is>
      </c>
      <c r="E5" s="8" t="inlineStr">
        <is>
          <t>未完了</t>
        </is>
      </c>
      <c r="F5" s="8" t="inlineStr">
        <is>
          <t>未提出</t>
        </is>
      </c>
      <c r="G5" s="8" t="inlineStr">
        <is>
          <t>自動化候補</t>
        </is>
      </c>
      <c r="H5" s="8" t="inlineStr">
        <is>
          <t>除外</t>
        </is>
      </c>
    </row>
    <row r="6">
      <c r="B6" s="8" t="inlineStr">
        <is>
          <t>マーケティング</t>
        </is>
      </c>
      <c r="C6" s="8" t="inlineStr">
        <is>
          <t>課長級</t>
        </is>
      </c>
      <c r="D6" s="8" t="inlineStr">
        <is>
          <t>完了</t>
        </is>
      </c>
      <c r="E6" s="8" t="inlineStr">
        <is>
          <t>完了</t>
        </is>
      </c>
      <c r="F6" s="8" t="inlineStr">
        <is>
          <t>提出済み</t>
        </is>
      </c>
      <c r="G6" s="8" t="inlineStr">
        <is>
          <t>オフショア候補</t>
        </is>
      </c>
    </row>
    <row r="7">
      <c r="B7" s="8" t="inlineStr">
        <is>
          <t>企画・管理</t>
        </is>
      </c>
      <c r="C7" s="8" t="inlineStr">
        <is>
          <t>係長・リーダー級</t>
        </is>
      </c>
      <c r="G7" s="8" t="inlineStr">
        <is>
          <t>ニアショア候補</t>
        </is>
      </c>
    </row>
    <row r="8">
      <c r="B8" s="8" t="inlineStr">
        <is>
          <t>開発・技術</t>
        </is>
      </c>
      <c r="C8" s="8" t="inlineStr">
        <is>
          <t>その他</t>
        </is>
      </c>
      <c r="G8" s="8" t="inlineStr">
        <is>
          <t>社内で手順化→再評価</t>
        </is>
      </c>
    </row>
    <row r="9">
      <c r="B9" s="8" t="inlineStr">
        <is>
          <t>製造・品質</t>
        </is>
      </c>
      <c r="G9" s="8" t="inlineStr">
        <is>
          <t>社内残置</t>
        </is>
      </c>
    </row>
    <row r="10">
      <c r="B10" s="8" t="inlineStr">
        <is>
          <t>購買・物流</t>
        </is>
      </c>
    </row>
    <row r="11">
      <c r="B11" s="8" t="inlineStr">
        <is>
          <t>人事・総務</t>
        </is>
      </c>
    </row>
    <row r="12">
      <c r="B12" s="8" t="inlineStr">
        <is>
          <t>経理・財務</t>
        </is>
      </c>
    </row>
    <row r="13">
      <c r="B13" s="8" t="inlineStr">
        <is>
          <t>情報システム</t>
        </is>
      </c>
    </row>
    <row r="14">
      <c r="B14" s="8" t="inlineStr">
        <is>
          <t>法務・監査</t>
        </is>
      </c>
    </row>
    <row r="15">
      <c r="B15" s="8" t="inlineStr">
        <is>
          <t>顧客サポート</t>
        </is>
      </c>
    </row>
    <row r="16">
      <c r="B16" s="8" t="inlineStr">
        <is>
          <t>その他</t>
        </is>
      </c>
    </row>
    <row r="20">
      <c r="B20" s="12" t="inlineStr">
        <is>
          <t>■ 属性評価の基準（大きいほど任せにくい）</t>
        </is>
      </c>
    </row>
    <row r="21" ht="30" customHeight="1">
      <c r="B21" s="6" t="inlineStr">
        <is>
          <t>観点</t>
        </is>
      </c>
      <c r="C21" s="6" t="inlineStr">
        <is>
          <t>0</t>
        </is>
      </c>
      <c r="D21" s="6" t="inlineStr">
        <is>
          <t>1</t>
        </is>
      </c>
      <c r="E21" s="6" t="inlineStr">
        <is>
          <t>2</t>
        </is>
      </c>
    </row>
    <row r="22">
      <c r="B22" s="23" t="inlineStr">
        <is>
          <t>A1 判断・裁量</t>
        </is>
      </c>
      <c r="C22" s="23" t="inlineStr">
        <is>
          <t>手順どおりで判断不要</t>
        </is>
      </c>
      <c r="D22" s="23" t="inlineStr">
        <is>
          <t>軽い判断がある</t>
        </is>
      </c>
      <c r="E22" s="23" t="inlineStr">
        <is>
          <t>管理職の判断・決裁が必要</t>
        </is>
      </c>
    </row>
    <row r="23">
      <c r="B23" s="23" t="inlineStr">
        <is>
          <t>A2 機密性</t>
        </is>
      </c>
      <c r="C23" s="23" t="inlineStr">
        <is>
          <t>社内の一般的な情報</t>
        </is>
      </c>
      <c r="D23" s="23" t="inlineStr">
        <is>
          <t>社外秘</t>
        </is>
      </c>
      <c r="E23" s="23" t="inlineStr">
        <is>
          <t>人事・評価・個人情報・未公表の経営情報</t>
        </is>
      </c>
    </row>
    <row r="24">
      <c r="B24" s="23" t="inlineStr">
        <is>
          <t>A3 関係性</t>
        </is>
      </c>
      <c r="C24" s="23" t="inlineStr">
        <is>
          <t>誰が対応しても同じ</t>
        </is>
      </c>
      <c r="D24" s="23" t="inlineStr">
        <is>
          <t>相手との一定の関係が必要</t>
        </is>
      </c>
      <c r="E24" s="23" t="inlineStr">
        <is>
          <t>本人との信頼関係が前提</t>
        </is>
      </c>
    </row>
    <row r="25">
      <c r="B25" s="23" t="inlineStr">
        <is>
          <t>A4 言語・文脈</t>
        </is>
      </c>
      <c r="C25" s="23" t="inlineStr">
        <is>
          <t>定型文で足りる</t>
        </is>
      </c>
      <c r="D25" s="23" t="inlineStr">
        <is>
          <t>日本語の言い回し・社内用語が必要</t>
        </is>
      </c>
      <c r="E25" s="23" t="inlineStr">
        <is>
          <t>経緯や空気を読む高度な日本語が必要</t>
        </is>
      </c>
    </row>
    <row r="26">
      <c r="B26" s="23" t="inlineStr">
        <is>
          <t>A5 即時性</t>
        </is>
      </c>
      <c r="C26" s="23" t="inlineStr">
        <is>
          <t>翌営業日でよい</t>
        </is>
      </c>
      <c r="D26" s="23" t="inlineStr">
        <is>
          <t>当日中に必要</t>
        </is>
      </c>
      <c r="E26" s="23" t="inlineStr">
        <is>
          <t>即時、または日本の勤務時間内の対応が必須</t>
        </is>
      </c>
    </row>
    <row r="27">
      <c r="B27" s="23" t="inlineStr">
        <is>
          <t>A6 非定型度</t>
        </is>
      </c>
      <c r="C27" s="23" t="inlineStr">
        <is>
          <t>毎回同じ手順</t>
        </is>
      </c>
      <c r="D27" s="23" t="inlineStr">
        <is>
          <t>いくつかのパターンがある</t>
        </is>
      </c>
      <c r="E27" s="23" t="inlineStr">
        <is>
          <t>毎回内容が違う</t>
        </is>
      </c>
    </row>
    <row r="28">
      <c r="B28" s="23" t="inlineStr">
        <is>
          <t>A7 システム権限</t>
        </is>
      </c>
      <c r="C28" s="23" t="inlineStr">
        <is>
          <t>メール・Teamsだけで完結</t>
        </is>
      </c>
      <c r="D28" s="23" t="inlineStr">
        <is>
          <t>社内システムの閲覧が必要</t>
        </is>
      </c>
      <c r="E28" s="23" t="inlineStr">
        <is>
          <t>承認権限・特別なIDが必要</t>
        </is>
      </c>
    </row>
    <row r="31">
      <c r="B31" s="12" t="inlineStr">
        <is>
          <t>■ 移管区分の自動判定ルール（上から順に当てはめる）</t>
        </is>
      </c>
    </row>
    <row r="32" ht="30" customHeight="1">
      <c r="B32" s="6" t="inlineStr">
        <is>
          <t>順</t>
        </is>
      </c>
      <c r="C32" s="6" t="inlineStr">
        <is>
          <t>区分</t>
        </is>
      </c>
      <c r="D32" s="6" t="inlineStr">
        <is>
          <t>条件</t>
        </is>
      </c>
    </row>
    <row r="33">
      <c r="B33" s="8" t="inlineStr">
        <is>
          <t>1</t>
        </is>
      </c>
      <c r="C33" s="8" t="inlineStr">
        <is>
          <t>社内残置</t>
        </is>
      </c>
      <c r="D33" s="8" t="inlineStr">
        <is>
          <t>A1・A2・A3 のどれかが2</t>
        </is>
      </c>
    </row>
    <row r="34">
      <c r="B34" s="8" t="inlineStr">
        <is>
          <t>2</t>
        </is>
      </c>
      <c r="C34" s="8" t="inlineStr">
        <is>
          <t>自動化候補</t>
        </is>
      </c>
      <c r="D34" s="8" t="inlineStr">
        <is>
          <t>A1=0 かつ A4=0 かつ A6=0</t>
        </is>
      </c>
    </row>
    <row r="35">
      <c r="B35" s="8" t="inlineStr">
        <is>
          <t>3</t>
        </is>
      </c>
      <c r="C35" s="8" t="inlineStr">
        <is>
          <t>オフショア候補</t>
        </is>
      </c>
      <c r="D35" s="8" t="inlineStr">
        <is>
          <t>A2=0 かつ A4〜A7 がすべて1以下（海外拠点・海外委託）</t>
        </is>
      </c>
    </row>
    <row r="36">
      <c r="B36" s="8" t="inlineStr">
        <is>
          <t>4</t>
        </is>
      </c>
      <c r="C36" s="8" t="inlineStr">
        <is>
          <t>ニアショア候補</t>
        </is>
      </c>
      <c r="D36" s="8" t="inlineStr">
        <is>
          <t>A6 と A7 が1以下（国内別拠点・国内委託）</t>
        </is>
      </c>
    </row>
    <row r="37">
      <c r="B37" s="8" t="inlineStr">
        <is>
          <t>5</t>
        </is>
      </c>
      <c r="C37" s="8" t="inlineStr">
        <is>
          <t>社内で手順化→再評価</t>
        </is>
      </c>
      <c r="D37" s="8" t="inlineStr">
        <is>
          <t>上のどれにも当たらない</t>
        </is>
      </c>
    </row>
    <row r="39">
      <c r="B39" s="12" t="inlineStr">
        <is>
          <t>■ 回数・時間の読み替え（Researcher が数字以外で書いた場合）</t>
        </is>
      </c>
    </row>
    <row r="40">
      <c r="B40" s="8" t="inlineStr">
        <is>
          <t>週n回</t>
        </is>
      </c>
      <c r="C40" s="8" t="inlineStr">
        <is>
          <t>n×4.3 回/月</t>
        </is>
      </c>
    </row>
    <row r="41">
      <c r="B41" s="8" t="inlineStr">
        <is>
          <t>年n回</t>
        </is>
      </c>
      <c r="C41" s="8" t="inlineStr">
        <is>
          <t>n÷12 回/月</t>
        </is>
      </c>
    </row>
    <row r="42">
      <c r="B42" s="8" t="inlineStr">
        <is>
          <t>毎日・日次</t>
        </is>
      </c>
      <c r="C42" s="8" t="inlineStr">
        <is>
          <t>20 回/月</t>
        </is>
      </c>
    </row>
    <row r="43">
      <c r="B43" s="8" t="inlineStr">
        <is>
          <t>毎週</t>
        </is>
      </c>
      <c r="C43" s="8" t="inlineStr">
        <is>
          <t>4.3 回/月</t>
        </is>
      </c>
    </row>
    <row r="44">
      <c r="B44" s="8" t="inlineStr">
        <is>
          <t>毎月</t>
        </is>
      </c>
      <c r="C44" s="8" t="inlineStr">
        <is>
          <t>1 回/月</t>
        </is>
      </c>
    </row>
    <row r="45">
      <c r="B45" s="8" t="inlineStr">
        <is>
          <t>n時間</t>
        </is>
      </c>
      <c r="C45" s="8" t="inlineStr">
        <is>
          <t>n×60 分</t>
        </is>
      </c>
    </row>
    <row r="46">
      <c r="B46" s="8" t="inlineStr">
        <is>
          <t>それ以外</t>
        </is>
      </c>
      <c r="C46" s="8" t="inlineStr">
        <is>
          <t>読み替えず「△回数・分が数字でない」になる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2026-10-06T15:34:43Z</dcterms:created>
  <dcterms:modified xsi:type="dcterms:W3CDTF">2026-10-06T15:34:43Z</dcterms:modified>
</cp:coreProperties>
</file>